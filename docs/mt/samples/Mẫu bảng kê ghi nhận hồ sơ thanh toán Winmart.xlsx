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CHIEN\hgc\VĂN PHÒNG\CÁ NHÂN\BÍCH HẰNG\CÔNG NỢ KÊNH MT\ĐẠI SIÊU THỊ 2025\WINMART\BẢNG KÊ HÓA ĐƠN WINCOMMERCE\BẢNG KÊ GỬI ONLINE 2026\"/>
    </mc:Choice>
  </mc:AlternateContent>
  <xr:revisionPtr revIDLastSave="0" documentId="13_ncr:1_{66344AA4-BC8C-4E8A-A7CA-0B0F1E6CA3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3" i="1"/>
  <c r="I3" i="1" s="1"/>
  <c r="H4" i="1"/>
  <c r="I4" i="1" s="1"/>
  <c r="H5" i="1"/>
  <c r="I5" i="1" s="1"/>
  <c r="H6" i="1"/>
  <c r="I6" i="1" s="1"/>
  <c r="H11" i="1"/>
  <c r="I11" i="1" s="1"/>
  <c r="H12" i="1"/>
  <c r="I12" i="1" s="1"/>
  <c r="H7" i="1"/>
  <c r="I7" i="1" s="1"/>
  <c r="H8" i="1"/>
  <c r="I8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1" i="1"/>
  <c r="I21" i="1" s="1"/>
  <c r="H20" i="1"/>
  <c r="I20" i="1" s="1"/>
  <c r="H9" i="1"/>
  <c r="I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Trung Hoi</author>
  </authors>
  <commentList>
    <comment ref="J2" authorId="0" shapeId="0" xr:uid="{00000000-0006-0000-0000-000001000000}">
      <text>
        <r>
          <rPr>
            <sz val="9"/>
            <color indexed="81"/>
            <rFont val="Tahoma"/>
            <family val="2"/>
          </rPr>
          <t>nhập theo tên của file Pdf</t>
        </r>
      </text>
    </comment>
  </commentList>
</comments>
</file>

<file path=xl/sharedStrings.xml><?xml version="1.0" encoding="utf-8"?>
<sst xmlns="http://schemas.openxmlformats.org/spreadsheetml/2006/main" count="48" uniqueCount="12">
  <si>
    <t>STT</t>
  </si>
  <si>
    <t>Code</t>
  </si>
  <si>
    <t>PO VCM</t>
  </si>
  <si>
    <t>Số hóa đơn</t>
  </si>
  <si>
    <t>Ngày hóa đơn</t>
  </si>
  <si>
    <t>Tên File PDF</t>
  </si>
  <si>
    <t>VAT</t>
  </si>
  <si>
    <t>Tổng tiền thanh toán</t>
  </si>
  <si>
    <t>Số Tiền trước VAT</t>
  </si>
  <si>
    <t>Ký hiệu HĐ</t>
  </si>
  <si>
    <t>1C26THG</t>
  </si>
  <si>
    <t>20260817_2007766_01_PF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</si>
</sst>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6" fontId="0" fillId="0" borderId="1" xfId="1" applyNumberFormat="1" applyFont="1" applyBorder="1"/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9A6B7DD-CC12-47B2-BA43-78048688690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tabSelected="1" zoomScale="170" zoomScaleNormal="170" workbookViewId="0">
      <selection activeCell="G8" sqref="G8"/>
    </sheetView>
  </sheetViews>
  <sheetFormatPr defaultColWidth="6.21875" defaultRowHeight="14.4" x14ac:dyDescent="0.3"/>
  <cols>
    <col min="2" max="2" width="9.109375" customWidth="1"/>
    <col min="3" max="3" width="13.109375" customWidth="1"/>
    <col min="4" max="4" width="10.44140625" customWidth="1"/>
    <col min="5" max="5" width="7.44140625" style="4" customWidth="1"/>
    <col min="6" max="6" width="13.21875" style="4" customWidth="1"/>
    <col min="7" max="7" width="15.77734375" customWidth="1"/>
    <col min="8" max="8" width="15.33203125" customWidth="1"/>
    <col min="9" max="9" width="15.88671875" customWidth="1"/>
  </cols>
  <sheetData>
    <row r="2" spans="1:10" ht="27.6" x14ac:dyDescent="0.3">
      <c r="A2" s="1" t="s">
        <v>0</v>
      </c>
      <c r="B2" s="1" t="s">
        <v>1</v>
      </c>
      <c r="C2" s="1" t="s">
        <v>2</v>
      </c>
      <c r="D2" s="10" t="s">
        <v>9</v>
      </c>
      <c r="E2" s="10" t="s">
        <v>3</v>
      </c>
      <c r="F2" s="2" t="s">
        <v>4</v>
      </c>
      <c r="G2" s="9" t="s">
        <v>8</v>
      </c>
      <c r="H2" s="2" t="s">
        <v>6</v>
      </c>
      <c r="I2" s="11" t="s">
        <v>7</v>
      </c>
      <c r="J2" s="1" t="s">
        <v>5</v>
      </c>
    </row>
    <row r="3" spans="1:10" x14ac:dyDescent="0.3">
      <c r="A3" s="5">
        <v>3</v>
      </c>
      <c r="B3" s="3">
        <v>2007766</v>
      </c>
      <c r="C3" s="6">
        <v>4193862223</v>
      </c>
      <c r="D3" s="6" t="s">
        <v>10</v>
      </c>
      <c r="E3" s="5">
        <v>6999</v>
      </c>
      <c r="F3" s="8">
        <v>46248</v>
      </c>
      <c r="G3" s="7">
        <v>640000</v>
      </c>
      <c r="H3" s="7">
        <f t="shared" ref="H3:H8" si="0">+G3*0.08</f>
        <v>51200</v>
      </c>
      <c r="I3" s="7">
        <f t="shared" ref="I3:I8" si="1">+H3+G3</f>
        <v>691200</v>
      </c>
      <c r="J3" s="3" t="s">
        <v>11</v>
      </c>
    </row>
    <row r="4" spans="1:10" x14ac:dyDescent="0.3">
      <c r="A4" s="5">
        <v>4</v>
      </c>
      <c r="B4" s="3">
        <v>2007766</v>
      </c>
      <c r="C4" s="6">
        <v>4193876257</v>
      </c>
      <c r="D4" s="6" t="s">
        <v>10</v>
      </c>
      <c r="E4" s="5">
        <v>7006</v>
      </c>
      <c r="F4" s="8">
        <v>46248</v>
      </c>
      <c r="G4" s="7">
        <v>10383500</v>
      </c>
      <c r="H4" s="7">
        <f t="shared" si="0"/>
        <v>830680</v>
      </c>
      <c r="I4" s="7">
        <f t="shared" si="1"/>
        <v>11214180</v>
      </c>
      <c r="J4" s="3" t="s">
        <v>11</v>
      </c>
    </row>
    <row r="5" spans="1:10" x14ac:dyDescent="0.3">
      <c r="A5" s="5">
        <v>5</v>
      </c>
      <c r="B5" s="3">
        <v>2007766</v>
      </c>
      <c r="C5" s="6">
        <v>4193877353</v>
      </c>
      <c r="D5" s="6" t="s">
        <v>10</v>
      </c>
      <c r="E5" s="5">
        <v>7012</v>
      </c>
      <c r="F5" s="8">
        <v>46248</v>
      </c>
      <c r="G5" s="7">
        <v>4800000</v>
      </c>
      <c r="H5" s="7">
        <f t="shared" si="0"/>
        <v>384000</v>
      </c>
      <c r="I5" s="7">
        <f t="shared" si="1"/>
        <v>5184000</v>
      </c>
      <c r="J5" s="3" t="s">
        <v>11</v>
      </c>
    </row>
    <row r="6" spans="1:10" x14ac:dyDescent="0.3">
      <c r="A6" s="5">
        <v>6</v>
      </c>
      <c r="B6" s="3">
        <v>2007766</v>
      </c>
      <c r="C6" s="6">
        <v>4194001498</v>
      </c>
      <c r="D6" s="6" t="s">
        <v>10</v>
      </c>
      <c r="E6" s="5">
        <v>7018</v>
      </c>
      <c r="F6" s="8">
        <v>46248</v>
      </c>
      <c r="G6" s="7">
        <v>6720000</v>
      </c>
      <c r="H6" s="7">
        <f t="shared" si="0"/>
        <v>537600</v>
      </c>
      <c r="I6" s="7">
        <f t="shared" si="1"/>
        <v>7257600</v>
      </c>
      <c r="J6" s="3" t="s">
        <v>11</v>
      </c>
    </row>
    <row r="7" spans="1:10" x14ac:dyDescent="0.3">
      <c r="A7" s="5">
        <v>9</v>
      </c>
      <c r="B7" s="3">
        <v>2007766</v>
      </c>
      <c r="C7" s="6">
        <v>4194036886</v>
      </c>
      <c r="D7" s="6" t="s">
        <v>10</v>
      </c>
      <c r="E7" s="5">
        <v>7020</v>
      </c>
      <c r="F7" s="8">
        <v>46248</v>
      </c>
      <c r="G7" s="7">
        <v>814050</v>
      </c>
      <c r="H7" s="7">
        <f t="shared" si="0"/>
        <v>65124</v>
      </c>
      <c r="I7" s="7">
        <f t="shared" si="1"/>
        <v>879174</v>
      </c>
      <c r="J7" s="3" t="s">
        <v>11</v>
      </c>
    </row>
    <row r="8" spans="1:10" x14ac:dyDescent="0.3">
      <c r="A8" s="5">
        <v>10</v>
      </c>
      <c r="B8" s="3">
        <v>2007766</v>
      </c>
      <c r="C8" s="6">
        <v>4194036801</v>
      </c>
      <c r="D8" s="6" t="s">
        <v>10</v>
      </c>
      <c r="E8" s="5">
        <v>7021</v>
      </c>
      <c r="F8" s="8">
        <v>46248</v>
      </c>
      <c r="G8" s="7">
        <v>1440000</v>
      </c>
      <c r="H8" s="7">
        <f t="shared" si="0"/>
        <v>115200</v>
      </c>
      <c r="I8" s="7">
        <f t="shared" si="1"/>
        <v>1555200</v>
      </c>
      <c r="J8" s="3" t="s">
        <v>11</v>
      </c>
    </row>
    <row r="9" spans="1:10" x14ac:dyDescent="0.3">
      <c r="A9" s="5">
        <v>1</v>
      </c>
      <c r="B9" s="3">
        <v>2007766</v>
      </c>
      <c r="C9" s="6">
        <v>4194241252</v>
      </c>
      <c r="D9" s="6" t="s">
        <v>10</v>
      </c>
      <c r="E9" s="5">
        <v>7028</v>
      </c>
      <c r="F9" s="8">
        <v>46248</v>
      </c>
      <c r="G9" s="7">
        <v>3680000</v>
      </c>
      <c r="H9" s="7">
        <f t="shared" ref="H9:H21" si="2">+G9*0.08</f>
        <v>294400</v>
      </c>
      <c r="I9" s="7">
        <f t="shared" ref="I9:I21" si="3">+H9+G9</f>
        <v>3974400</v>
      </c>
      <c r="J9" s="3" t="s">
        <v>11</v>
      </c>
    </row>
    <row r="10" spans="1:10" x14ac:dyDescent="0.3">
      <c r="A10" s="5">
        <v>2</v>
      </c>
      <c r="B10" s="3">
        <v>2007766</v>
      </c>
      <c r="C10" s="6">
        <v>4194282362</v>
      </c>
      <c r="D10" s="6" t="s">
        <v>10</v>
      </c>
      <c r="E10" s="5">
        <v>7029</v>
      </c>
      <c r="F10" s="8">
        <v>46248</v>
      </c>
      <c r="G10" s="7">
        <v>3628000</v>
      </c>
      <c r="H10" s="7">
        <f t="shared" si="2"/>
        <v>290240</v>
      </c>
      <c r="I10" s="7">
        <f t="shared" si="3"/>
        <v>3918240</v>
      </c>
      <c r="J10" s="3" t="s">
        <v>11</v>
      </c>
    </row>
    <row r="11" spans="1:10" x14ac:dyDescent="0.3">
      <c r="A11" s="5">
        <v>7</v>
      </c>
      <c r="B11" s="3">
        <v>2007766</v>
      </c>
      <c r="C11" s="6">
        <v>4194263474</v>
      </c>
      <c r="D11" s="6" t="s">
        <v>10</v>
      </c>
      <c r="E11" s="5">
        <v>7030</v>
      </c>
      <c r="F11" s="8">
        <v>46248</v>
      </c>
      <c r="G11" s="7">
        <v>1654000</v>
      </c>
      <c r="H11" s="7">
        <f t="shared" si="2"/>
        <v>132320</v>
      </c>
      <c r="I11" s="7">
        <f t="shared" si="3"/>
        <v>1786320</v>
      </c>
      <c r="J11" s="3" t="s">
        <v>11</v>
      </c>
    </row>
    <row r="12" spans="1:10" x14ac:dyDescent="0.3">
      <c r="A12" s="5">
        <v>8</v>
      </c>
      <c r="B12" s="3">
        <v>2007766</v>
      </c>
      <c r="C12" s="6">
        <v>4194282298</v>
      </c>
      <c r="D12" s="6" t="s">
        <v>10</v>
      </c>
      <c r="E12" s="5">
        <v>7032</v>
      </c>
      <c r="F12" s="8">
        <v>46248</v>
      </c>
      <c r="G12" s="7">
        <v>2960000</v>
      </c>
      <c r="H12" s="7">
        <f t="shared" si="2"/>
        <v>236800</v>
      </c>
      <c r="I12" s="7">
        <f t="shared" si="3"/>
        <v>3196800</v>
      </c>
      <c r="J12" s="3" t="s">
        <v>11</v>
      </c>
    </row>
    <row r="13" spans="1:10" x14ac:dyDescent="0.3">
      <c r="A13" s="5">
        <v>11</v>
      </c>
      <c r="B13" s="3">
        <v>2007766</v>
      </c>
      <c r="C13" s="6">
        <v>4194282292</v>
      </c>
      <c r="D13" s="6" t="s">
        <v>10</v>
      </c>
      <c r="E13" s="5">
        <v>7033</v>
      </c>
      <c r="F13" s="8">
        <v>46248</v>
      </c>
      <c r="G13" s="7">
        <v>7680000</v>
      </c>
      <c r="H13" s="7">
        <f t="shared" si="2"/>
        <v>614400</v>
      </c>
      <c r="I13" s="7">
        <f t="shared" si="3"/>
        <v>8294400</v>
      </c>
      <c r="J13" s="3" t="s">
        <v>11</v>
      </c>
    </row>
    <row r="14" spans="1:10" x14ac:dyDescent="0.3">
      <c r="A14" s="5">
        <v>12</v>
      </c>
      <c r="B14" s="3">
        <v>2007766</v>
      </c>
      <c r="C14" s="6">
        <v>4194265241</v>
      </c>
      <c r="D14" s="6" t="s">
        <v>10</v>
      </c>
      <c r="E14" s="5">
        <v>7034</v>
      </c>
      <c r="F14" s="8">
        <v>46248</v>
      </c>
      <c r="G14" s="7">
        <v>1280000</v>
      </c>
      <c r="H14" s="7">
        <f t="shared" si="2"/>
        <v>102400</v>
      </c>
      <c r="I14" s="7">
        <f t="shared" si="3"/>
        <v>1382400</v>
      </c>
      <c r="J14" s="3" t="s">
        <v>11</v>
      </c>
    </row>
    <row r="15" spans="1:10" x14ac:dyDescent="0.3">
      <c r="A15" s="5">
        <v>13</v>
      </c>
      <c r="B15" s="3">
        <v>2007766</v>
      </c>
      <c r="C15" s="6">
        <v>4194282174</v>
      </c>
      <c r="D15" s="6" t="s">
        <v>10</v>
      </c>
      <c r="E15" s="5">
        <v>7035</v>
      </c>
      <c r="F15" s="8">
        <v>46248</v>
      </c>
      <c r="G15" s="7">
        <v>4188000</v>
      </c>
      <c r="H15" s="7">
        <f t="shared" si="2"/>
        <v>335040</v>
      </c>
      <c r="I15" s="7">
        <f t="shared" si="3"/>
        <v>4523040</v>
      </c>
      <c r="J15" s="3" t="s">
        <v>11</v>
      </c>
    </row>
    <row r="16" spans="1:10" x14ac:dyDescent="0.3">
      <c r="A16" s="5">
        <v>14</v>
      </c>
      <c r="B16" s="3">
        <v>2007766</v>
      </c>
      <c r="C16" s="6">
        <v>4194282089</v>
      </c>
      <c r="D16" s="6" t="s">
        <v>10</v>
      </c>
      <c r="E16" s="5">
        <v>7036</v>
      </c>
      <c r="F16" s="8">
        <v>46248</v>
      </c>
      <c r="G16" s="7">
        <v>1040000</v>
      </c>
      <c r="H16" s="7">
        <f t="shared" si="2"/>
        <v>83200</v>
      </c>
      <c r="I16" s="7">
        <f t="shared" si="3"/>
        <v>1123200</v>
      </c>
      <c r="J16" s="3" t="s">
        <v>11</v>
      </c>
    </row>
    <row r="17" spans="1:10" x14ac:dyDescent="0.3">
      <c r="A17" s="5">
        <v>15</v>
      </c>
      <c r="B17" s="3">
        <v>2007766</v>
      </c>
      <c r="C17" s="6">
        <v>4194265333</v>
      </c>
      <c r="D17" s="6" t="s">
        <v>10</v>
      </c>
      <c r="E17" s="5">
        <v>7038</v>
      </c>
      <c r="F17" s="8">
        <v>46248</v>
      </c>
      <c r="G17" s="7">
        <v>640000</v>
      </c>
      <c r="H17" s="7">
        <f t="shared" si="2"/>
        <v>51200</v>
      </c>
      <c r="I17" s="7">
        <f t="shared" si="3"/>
        <v>691200</v>
      </c>
      <c r="J17" s="3" t="s">
        <v>11</v>
      </c>
    </row>
    <row r="18" spans="1:10" x14ac:dyDescent="0.3">
      <c r="A18" s="5">
        <v>16</v>
      </c>
      <c r="B18" s="3">
        <v>2007766</v>
      </c>
      <c r="C18" s="6">
        <v>4194433527</v>
      </c>
      <c r="D18" s="6" t="s">
        <v>10</v>
      </c>
      <c r="E18" s="5">
        <v>7039</v>
      </c>
      <c r="F18" s="8">
        <v>46248</v>
      </c>
      <c r="G18" s="7">
        <v>480000</v>
      </c>
      <c r="H18" s="7">
        <f t="shared" si="2"/>
        <v>38400</v>
      </c>
      <c r="I18" s="7">
        <f t="shared" si="3"/>
        <v>518400</v>
      </c>
      <c r="J18" s="3" t="s">
        <v>11</v>
      </c>
    </row>
    <row r="19" spans="1:10" x14ac:dyDescent="0.3">
      <c r="A19" s="5">
        <v>17</v>
      </c>
      <c r="B19" s="3">
        <v>2007766</v>
      </c>
      <c r="C19" s="6">
        <v>4194433283</v>
      </c>
      <c r="D19" s="6" t="s">
        <v>10</v>
      </c>
      <c r="E19" s="5">
        <v>7040</v>
      </c>
      <c r="F19" s="8">
        <v>46248</v>
      </c>
      <c r="G19" s="7">
        <v>1424000</v>
      </c>
      <c r="H19" s="7">
        <f t="shared" si="2"/>
        <v>113920</v>
      </c>
      <c r="I19" s="7">
        <f t="shared" si="3"/>
        <v>1537920</v>
      </c>
      <c r="J19" s="3" t="s">
        <v>11</v>
      </c>
    </row>
    <row r="20" spans="1:10" x14ac:dyDescent="0.3">
      <c r="A20" s="5">
        <v>18</v>
      </c>
      <c r="B20" s="3">
        <v>2007766</v>
      </c>
      <c r="C20" s="6">
        <v>4194422089</v>
      </c>
      <c r="D20" s="6" t="s">
        <v>10</v>
      </c>
      <c r="E20" s="5">
        <v>7041</v>
      </c>
      <c r="F20" s="8">
        <v>46248</v>
      </c>
      <c r="G20" s="7">
        <v>1728000</v>
      </c>
      <c r="H20" s="7">
        <f>+G20*0.08</f>
        <v>138240</v>
      </c>
      <c r="I20" s="7">
        <f>+H20+G20</f>
        <v>1866240</v>
      </c>
      <c r="J20" s="3" t="s">
        <v>11</v>
      </c>
    </row>
    <row r="21" spans="1:10" x14ac:dyDescent="0.3">
      <c r="A21" s="5">
        <v>19</v>
      </c>
      <c r="B21" s="3">
        <v>2007766</v>
      </c>
      <c r="C21" s="6">
        <v>4194433263</v>
      </c>
      <c r="D21" s="6" t="s">
        <v>10</v>
      </c>
      <c r="E21" s="5">
        <v>7118</v>
      </c>
      <c r="F21" s="8">
        <v>46249</v>
      </c>
      <c r="G21" s="7">
        <v>1040000</v>
      </c>
      <c r="H21" s="7">
        <f t="shared" si="2"/>
        <v>83200</v>
      </c>
      <c r="I21" s="7">
        <f t="shared" si="3"/>
        <v>1123200</v>
      </c>
      <c r="J21" s="3" t="s">
        <v>11</v>
      </c>
    </row>
  </sheetData>
  <autoFilter ref="A2:J2" xr:uid="{00000000-0001-0000-0000-000000000000}"/>
  <conditionalFormatting sqref="E2">
    <cfRule type="duplicateValues" dxfId="0" priority="1"/>
  </conditionalFormatting>
  <pageMargins left="0.7" right="0.7" top="0.75" bottom="0.75" header="0.3" footer="0.3"/>
  <pageSetup orientation="portrait" r:id="rId1"/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Thúy (WM-TCKT-MB)</dc:creator>
  <cp:lastModifiedBy>HBK</cp:lastModifiedBy>
  <dcterms:created xsi:type="dcterms:W3CDTF">2023-12-27T08:41:06Z</dcterms:created>
  <dcterms:modified xsi:type="dcterms:W3CDTF">2026-08-17T06:51:26Z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