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E471D5F5-DBF5-4068-8CF4-089511127CE1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2024" sheetId="2" r:id="rId1"/>
    <sheet name="HOA DON TRA LAI" sheetId="3" r:id="rId2"/>
    <sheet name="Sheet1" sheetId="1" r:id="rId3"/>
  </sheets>
  <definedNames>
    <definedName name="_xlnm._FilterDatabase" localSheetId="0" hidden="1">'2024'!$A$8:$N$2486</definedName>
    <definedName name="_xlnm._FilterDatabase" localSheetId="1" hidden="1">'HOA DON TRA LAI'!$A$9:$XEA$709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08" i="3" l="1"/>
  <c r="F708" i="3" s="1"/>
  <c r="H708" i="3" s="1"/>
  <c r="H709" i="3"/>
  <c r="H706" i="3"/>
  <c r="H705" i="3"/>
  <c r="H704" i="3"/>
  <c r="H703" i="3"/>
  <c r="E707" i="3"/>
  <c r="F707" i="3" s="1"/>
  <c r="H707" i="3" s="1"/>
  <c r="F2464" i="2"/>
  <c r="G2464" i="2" s="1"/>
  <c r="I2464" i="2" s="1"/>
  <c r="F2465" i="2"/>
  <c r="G2465" i="2" s="1"/>
  <c r="I2465" i="2" s="1"/>
  <c r="F2466" i="2"/>
  <c r="G2466" i="2" s="1"/>
  <c r="I2466" i="2" s="1"/>
  <c r="F2467" i="2"/>
  <c r="G2467" i="2" s="1"/>
  <c r="I2467" i="2" s="1"/>
  <c r="F2468" i="2"/>
  <c r="G2468" i="2" s="1"/>
  <c r="I2468" i="2" s="1"/>
  <c r="F2469" i="2"/>
  <c r="G2469" i="2" s="1"/>
  <c r="I2469" i="2" s="1"/>
  <c r="F2470" i="2"/>
  <c r="G2470" i="2" s="1"/>
  <c r="I2470" i="2" s="1"/>
  <c r="F2471" i="2"/>
  <c r="G2471" i="2" s="1"/>
  <c r="I2471" i="2" s="1"/>
  <c r="F2472" i="2"/>
  <c r="G2472" i="2" s="1"/>
  <c r="I2472" i="2" s="1"/>
  <c r="F2473" i="2"/>
  <c r="G2473" i="2" s="1"/>
  <c r="I2473" i="2" s="1"/>
  <c r="F2474" i="2"/>
  <c r="G2474" i="2" s="1"/>
  <c r="I2474" i="2" s="1"/>
  <c r="F2475" i="2"/>
  <c r="G2475" i="2" s="1"/>
  <c r="I2475" i="2" s="1"/>
  <c r="F2476" i="2"/>
  <c r="G2476" i="2" s="1"/>
  <c r="I2476" i="2" s="1"/>
  <c r="F2477" i="2"/>
  <c r="G2477" i="2" s="1"/>
  <c r="I2477" i="2" s="1"/>
  <c r="F2478" i="2"/>
  <c r="G2478" i="2" s="1"/>
  <c r="I2478" i="2" s="1"/>
  <c r="F2479" i="2"/>
  <c r="G2479" i="2" s="1"/>
  <c r="I2479" i="2" s="1"/>
  <c r="F2480" i="2"/>
  <c r="G2480" i="2" s="1"/>
  <c r="I2480" i="2" s="1"/>
  <c r="F2481" i="2"/>
  <c r="G2481" i="2" s="1"/>
  <c r="I2481" i="2" s="1"/>
  <c r="F2482" i="2"/>
  <c r="G2482" i="2" s="1"/>
  <c r="I2482" i="2" s="1"/>
  <c r="F2483" i="2"/>
  <c r="G2483" i="2" s="1"/>
  <c r="I2483" i="2" s="1"/>
  <c r="F2484" i="2"/>
  <c r="G2484" i="2" s="1"/>
  <c r="I2484" i="2" s="1"/>
  <c r="F2485" i="2"/>
  <c r="G2485" i="2" s="1"/>
  <c r="I2485" i="2" s="1"/>
  <c r="F2486" i="2"/>
  <c r="G2486" i="2" s="1"/>
  <c r="I2486" i="2" s="1"/>
  <c r="F2413" i="2"/>
  <c r="G2413" i="2" s="1"/>
  <c r="I2413" i="2" s="1"/>
  <c r="F2414" i="2"/>
  <c r="G2414" i="2" s="1"/>
  <c r="I2414" i="2" s="1"/>
  <c r="F2415" i="2"/>
  <c r="G2415" i="2" s="1"/>
  <c r="I2415" i="2" s="1"/>
  <c r="F2416" i="2"/>
  <c r="G2416" i="2" s="1"/>
  <c r="I2416" i="2" s="1"/>
  <c r="F2417" i="2"/>
  <c r="G2417" i="2" s="1"/>
  <c r="I2417" i="2" s="1"/>
  <c r="F2418" i="2"/>
  <c r="G2418" i="2" s="1"/>
  <c r="I2418" i="2" s="1"/>
  <c r="F2419" i="2"/>
  <c r="G2419" i="2" s="1"/>
  <c r="I2419" i="2" s="1"/>
  <c r="F2420" i="2"/>
  <c r="G2420" i="2" s="1"/>
  <c r="I2420" i="2" s="1"/>
  <c r="F2421" i="2"/>
  <c r="G2421" i="2" s="1"/>
  <c r="I2421" i="2" s="1"/>
  <c r="F2422" i="2"/>
  <c r="G2422" i="2" s="1"/>
  <c r="I2422" i="2" s="1"/>
  <c r="F2423" i="2"/>
  <c r="G2423" i="2" s="1"/>
  <c r="I2423" i="2" s="1"/>
  <c r="F2424" i="2"/>
  <c r="G2424" i="2" s="1"/>
  <c r="I2424" i="2" s="1"/>
  <c r="F2425" i="2"/>
  <c r="G2425" i="2" s="1"/>
  <c r="I2425" i="2" s="1"/>
  <c r="F2426" i="2"/>
  <c r="G2426" i="2" s="1"/>
  <c r="I2426" i="2" s="1"/>
  <c r="F2427" i="2"/>
  <c r="G2427" i="2" s="1"/>
  <c r="I2427" i="2" s="1"/>
  <c r="F2428" i="2"/>
  <c r="G2428" i="2" s="1"/>
  <c r="I2428" i="2" s="1"/>
  <c r="F2429" i="2"/>
  <c r="G2429" i="2" s="1"/>
  <c r="I2429" i="2" s="1"/>
  <c r="F2430" i="2"/>
  <c r="G2430" i="2" s="1"/>
  <c r="I2430" i="2" s="1"/>
  <c r="F2431" i="2"/>
  <c r="G2431" i="2" s="1"/>
  <c r="I2431" i="2" s="1"/>
  <c r="F2432" i="2"/>
  <c r="G2432" i="2" s="1"/>
  <c r="I2432" i="2" s="1"/>
  <c r="F2433" i="2"/>
  <c r="G2433" i="2" s="1"/>
  <c r="I2433" i="2" s="1"/>
  <c r="F2434" i="2"/>
  <c r="G2434" i="2" s="1"/>
  <c r="I2434" i="2" s="1"/>
  <c r="F2435" i="2"/>
  <c r="G2435" i="2" s="1"/>
  <c r="I2435" i="2" s="1"/>
  <c r="F2436" i="2"/>
  <c r="G2436" i="2" s="1"/>
  <c r="I2436" i="2" s="1"/>
  <c r="F2437" i="2"/>
  <c r="G2437" i="2" s="1"/>
  <c r="I2437" i="2" s="1"/>
  <c r="F2438" i="2"/>
  <c r="G2438" i="2" s="1"/>
  <c r="I2438" i="2" s="1"/>
  <c r="F2439" i="2"/>
  <c r="G2439" i="2" s="1"/>
  <c r="I2439" i="2" s="1"/>
  <c r="F2440" i="2"/>
  <c r="G2440" i="2" s="1"/>
  <c r="I2440" i="2" s="1"/>
  <c r="F2441" i="2"/>
  <c r="G2441" i="2" s="1"/>
  <c r="I2441" i="2" s="1"/>
  <c r="F2442" i="2"/>
  <c r="G2442" i="2" s="1"/>
  <c r="I2442" i="2" s="1"/>
  <c r="F2443" i="2"/>
  <c r="G2443" i="2" s="1"/>
  <c r="I2443" i="2" s="1"/>
  <c r="F2444" i="2"/>
  <c r="G2444" i="2" s="1"/>
  <c r="I2444" i="2" s="1"/>
  <c r="F2445" i="2"/>
  <c r="G2445" i="2" s="1"/>
  <c r="I2445" i="2" s="1"/>
  <c r="F2446" i="2"/>
  <c r="G2446" i="2" s="1"/>
  <c r="I2446" i="2" s="1"/>
  <c r="F2447" i="2"/>
  <c r="G2447" i="2" s="1"/>
  <c r="I2447" i="2" s="1"/>
  <c r="F2448" i="2"/>
  <c r="G2448" i="2" s="1"/>
  <c r="I2448" i="2" s="1"/>
  <c r="F2449" i="2"/>
  <c r="G2449" i="2" s="1"/>
  <c r="I2449" i="2" s="1"/>
  <c r="F2450" i="2"/>
  <c r="G2450" i="2" s="1"/>
  <c r="I2450" i="2" s="1"/>
  <c r="F2451" i="2"/>
  <c r="G2451" i="2" s="1"/>
  <c r="I2451" i="2" s="1"/>
  <c r="F2452" i="2"/>
  <c r="G2452" i="2" s="1"/>
  <c r="I2452" i="2" s="1"/>
  <c r="F2453" i="2"/>
  <c r="G2453" i="2" s="1"/>
  <c r="I2453" i="2" s="1"/>
  <c r="F2454" i="2"/>
  <c r="G2454" i="2" s="1"/>
  <c r="I2454" i="2" s="1"/>
  <c r="F2455" i="2"/>
  <c r="G2455" i="2" s="1"/>
  <c r="I2455" i="2" s="1"/>
  <c r="F2456" i="2"/>
  <c r="G2456" i="2" s="1"/>
  <c r="I2456" i="2" s="1"/>
  <c r="F2457" i="2"/>
  <c r="G2457" i="2" s="1"/>
  <c r="I2457" i="2" s="1"/>
  <c r="F2458" i="2"/>
  <c r="G2458" i="2" s="1"/>
  <c r="I2458" i="2" s="1"/>
  <c r="F2459" i="2"/>
  <c r="G2459" i="2" s="1"/>
  <c r="I2459" i="2" s="1"/>
  <c r="F2460" i="2"/>
  <c r="G2460" i="2" s="1"/>
  <c r="I2460" i="2" s="1"/>
  <c r="F2461" i="2"/>
  <c r="G2461" i="2" s="1"/>
  <c r="I2461" i="2" s="1"/>
  <c r="F2462" i="2"/>
  <c r="G2462" i="2" s="1"/>
  <c r="I2462" i="2" s="1"/>
  <c r="F2463" i="2"/>
  <c r="G2463" i="2" s="1"/>
  <c r="I2463" i="2" s="1"/>
  <c r="F2372" i="2"/>
  <c r="G2372" i="2" s="1"/>
  <c r="I2372" i="2" s="1"/>
  <c r="F2373" i="2"/>
  <c r="G2373" i="2" s="1"/>
  <c r="I2373" i="2" s="1"/>
  <c r="F2374" i="2"/>
  <c r="G2374" i="2" s="1"/>
  <c r="I2374" i="2" s="1"/>
  <c r="F2375" i="2"/>
  <c r="G2375" i="2" s="1"/>
  <c r="I2375" i="2" s="1"/>
  <c r="F2376" i="2"/>
  <c r="G2376" i="2" s="1"/>
  <c r="I2376" i="2" s="1"/>
  <c r="F2377" i="2"/>
  <c r="G2377" i="2" s="1"/>
  <c r="I2377" i="2" s="1"/>
  <c r="F2378" i="2"/>
  <c r="G2378" i="2" s="1"/>
  <c r="I2378" i="2" s="1"/>
  <c r="F2379" i="2"/>
  <c r="G2379" i="2" s="1"/>
  <c r="I2379" i="2" s="1"/>
  <c r="F2380" i="2"/>
  <c r="G2380" i="2" s="1"/>
  <c r="I2380" i="2" s="1"/>
  <c r="F2381" i="2"/>
  <c r="G2381" i="2" s="1"/>
  <c r="I2381" i="2" s="1"/>
  <c r="F2382" i="2"/>
  <c r="G2382" i="2" s="1"/>
  <c r="I2382" i="2" s="1"/>
  <c r="F2383" i="2"/>
  <c r="G2383" i="2" s="1"/>
  <c r="I2383" i="2" s="1"/>
  <c r="F2384" i="2"/>
  <c r="G2384" i="2" s="1"/>
  <c r="I2384" i="2" s="1"/>
  <c r="F2385" i="2"/>
  <c r="G2385" i="2" s="1"/>
  <c r="I2385" i="2" s="1"/>
  <c r="F2386" i="2"/>
  <c r="G2386" i="2" s="1"/>
  <c r="I2386" i="2" s="1"/>
  <c r="F2387" i="2"/>
  <c r="G2387" i="2" s="1"/>
  <c r="I2387" i="2" s="1"/>
  <c r="F2388" i="2"/>
  <c r="G2388" i="2" s="1"/>
  <c r="I2388" i="2" s="1"/>
  <c r="F2389" i="2"/>
  <c r="G2389" i="2" s="1"/>
  <c r="I2389" i="2" s="1"/>
  <c r="F2390" i="2"/>
  <c r="G2390" i="2" s="1"/>
  <c r="I2390" i="2" s="1"/>
  <c r="F2391" i="2"/>
  <c r="G2391" i="2" s="1"/>
  <c r="I2391" i="2" s="1"/>
  <c r="F2392" i="2"/>
  <c r="G2392" i="2" s="1"/>
  <c r="I2392" i="2" s="1"/>
  <c r="F2393" i="2"/>
  <c r="G2393" i="2" s="1"/>
  <c r="I2393" i="2" s="1"/>
  <c r="F2394" i="2"/>
  <c r="G2394" i="2" s="1"/>
  <c r="I2394" i="2" s="1"/>
  <c r="F2395" i="2"/>
  <c r="G2395" i="2" s="1"/>
  <c r="I2395" i="2" s="1"/>
  <c r="F2396" i="2"/>
  <c r="G2396" i="2" s="1"/>
  <c r="I2396" i="2" s="1"/>
  <c r="F2397" i="2"/>
  <c r="G2397" i="2" s="1"/>
  <c r="I2397" i="2" s="1"/>
  <c r="I2398" i="2"/>
  <c r="F2399" i="2"/>
  <c r="G2399" i="2" s="1"/>
  <c r="I2399" i="2" s="1"/>
  <c r="F2400" i="2"/>
  <c r="G2400" i="2" s="1"/>
  <c r="I2400" i="2" s="1"/>
  <c r="F2401" i="2"/>
  <c r="G2401" i="2" s="1"/>
  <c r="I2401" i="2" s="1"/>
  <c r="F2402" i="2"/>
  <c r="G2402" i="2" s="1"/>
  <c r="I2402" i="2" s="1"/>
  <c r="F2403" i="2"/>
  <c r="G2403" i="2" s="1"/>
  <c r="I2403" i="2" s="1"/>
  <c r="F2404" i="2"/>
  <c r="G2404" i="2" s="1"/>
  <c r="I2404" i="2" s="1"/>
  <c r="F2405" i="2"/>
  <c r="G2405" i="2" s="1"/>
  <c r="I2405" i="2" s="1"/>
  <c r="F2406" i="2"/>
  <c r="G2406" i="2" s="1"/>
  <c r="I2406" i="2" s="1"/>
  <c r="F2407" i="2"/>
  <c r="G2407" i="2" s="1"/>
  <c r="I2407" i="2" s="1"/>
  <c r="F2408" i="2"/>
  <c r="G2408" i="2" s="1"/>
  <c r="I2408" i="2" s="1"/>
  <c r="F2409" i="2"/>
  <c r="G2409" i="2" s="1"/>
  <c r="I2409" i="2" s="1"/>
  <c r="F2410" i="2"/>
  <c r="G2410" i="2" s="1"/>
  <c r="I2410" i="2" s="1"/>
  <c r="F2411" i="2"/>
  <c r="G2411" i="2" s="1"/>
  <c r="I2411" i="2" s="1"/>
  <c r="F2412" i="2"/>
  <c r="G2412" i="2" s="1"/>
  <c r="I2412" i="2" s="1"/>
  <c r="F2197" i="2"/>
  <c r="E683" i="3"/>
  <c r="F683" i="3" s="1"/>
  <c r="H683" i="3" s="1"/>
  <c r="F2259" i="2"/>
  <c r="G2259" i="2" s="1"/>
  <c r="I2259" i="2" s="1"/>
  <c r="F2260" i="2"/>
  <c r="G2260" i="2" s="1"/>
  <c r="I2260" i="2" s="1"/>
  <c r="F2261" i="2"/>
  <c r="G2261" i="2" s="1"/>
  <c r="I2261" i="2" s="1"/>
  <c r="F2262" i="2"/>
  <c r="G2262" i="2" s="1"/>
  <c r="I2262" i="2" s="1"/>
  <c r="F2263" i="2"/>
  <c r="G2263" i="2" s="1"/>
  <c r="I2263" i="2" s="1"/>
  <c r="F2264" i="2"/>
  <c r="G2264" i="2" s="1"/>
  <c r="I2264" i="2" s="1"/>
  <c r="F2265" i="2"/>
  <c r="G2265" i="2" s="1"/>
  <c r="I2265" i="2" s="1"/>
  <c r="F2266" i="2"/>
  <c r="G2266" i="2" s="1"/>
  <c r="I2266" i="2" s="1"/>
  <c r="F2267" i="2"/>
  <c r="G2267" i="2" s="1"/>
  <c r="I2267" i="2" s="1"/>
  <c r="F2268" i="2"/>
  <c r="G2268" i="2" s="1"/>
  <c r="I2268" i="2" s="1"/>
  <c r="F2269" i="2"/>
  <c r="G2269" i="2" s="1"/>
  <c r="I2269" i="2" s="1"/>
  <c r="F2270" i="2"/>
  <c r="G2270" i="2" s="1"/>
  <c r="I2270" i="2" s="1"/>
  <c r="F2271" i="2"/>
  <c r="G2271" i="2" s="1"/>
  <c r="I2271" i="2" s="1"/>
  <c r="F2272" i="2"/>
  <c r="G2272" i="2" s="1"/>
  <c r="I2272" i="2" s="1"/>
  <c r="F2273" i="2"/>
  <c r="G2273" i="2" s="1"/>
  <c r="I2273" i="2" s="1"/>
  <c r="F2274" i="2"/>
  <c r="G2274" i="2" s="1"/>
  <c r="I2274" i="2" s="1"/>
  <c r="F2275" i="2"/>
  <c r="G2275" i="2" s="1"/>
  <c r="I2275" i="2" s="1"/>
  <c r="F2276" i="2"/>
  <c r="G2276" i="2" s="1"/>
  <c r="I2276" i="2" s="1"/>
  <c r="F2277" i="2"/>
  <c r="G2277" i="2" s="1"/>
  <c r="I2277" i="2" s="1"/>
  <c r="F2278" i="2"/>
  <c r="G2278" i="2" s="1"/>
  <c r="I2278" i="2" s="1"/>
  <c r="F2279" i="2"/>
  <c r="G2279" i="2" s="1"/>
  <c r="I2279" i="2" s="1"/>
  <c r="F2280" i="2"/>
  <c r="G2280" i="2" s="1"/>
  <c r="I2280" i="2" s="1"/>
  <c r="F2281" i="2"/>
  <c r="G2281" i="2" s="1"/>
  <c r="I2281" i="2" s="1"/>
  <c r="F2282" i="2"/>
  <c r="G2282" i="2" s="1"/>
  <c r="I2282" i="2" s="1"/>
  <c r="F2283" i="2"/>
  <c r="G2283" i="2" s="1"/>
  <c r="I2283" i="2" s="1"/>
  <c r="F2284" i="2"/>
  <c r="G2284" i="2" s="1"/>
  <c r="I2284" i="2" s="1"/>
  <c r="F2285" i="2"/>
  <c r="G2285" i="2" s="1"/>
  <c r="I2285" i="2" s="1"/>
  <c r="F2286" i="2"/>
  <c r="G2286" i="2" s="1"/>
  <c r="I2286" i="2" s="1"/>
  <c r="F2287" i="2"/>
  <c r="G2287" i="2" s="1"/>
  <c r="I2287" i="2" s="1"/>
  <c r="F2288" i="2"/>
  <c r="G2288" i="2" s="1"/>
  <c r="I2288" i="2" s="1"/>
  <c r="F2289" i="2"/>
  <c r="G2289" i="2" s="1"/>
  <c r="I2289" i="2" s="1"/>
  <c r="F2290" i="2"/>
  <c r="G2290" i="2" s="1"/>
  <c r="I2290" i="2" s="1"/>
  <c r="F2291" i="2"/>
  <c r="G2291" i="2" s="1"/>
  <c r="I2291" i="2" s="1"/>
  <c r="F2292" i="2"/>
  <c r="G2292" i="2" s="1"/>
  <c r="I2292" i="2" s="1"/>
  <c r="F2293" i="2"/>
  <c r="G2293" i="2" s="1"/>
  <c r="I2293" i="2" s="1"/>
  <c r="F2294" i="2"/>
  <c r="G2294" i="2" s="1"/>
  <c r="I2294" i="2" s="1"/>
  <c r="F2295" i="2"/>
  <c r="G2295" i="2" s="1"/>
  <c r="I2295" i="2" s="1"/>
  <c r="F2296" i="2"/>
  <c r="G2296" i="2" s="1"/>
  <c r="I2296" i="2" s="1"/>
  <c r="F2297" i="2"/>
  <c r="G2297" i="2" s="1"/>
  <c r="I2297" i="2" s="1"/>
  <c r="F2298" i="2"/>
  <c r="G2298" i="2" s="1"/>
  <c r="I2298" i="2" s="1"/>
  <c r="F2299" i="2"/>
  <c r="G2299" i="2" s="1"/>
  <c r="I2299" i="2" s="1"/>
  <c r="F2300" i="2"/>
  <c r="G2300" i="2" s="1"/>
  <c r="I2300" i="2" s="1"/>
  <c r="F2301" i="2"/>
  <c r="G2301" i="2" s="1"/>
  <c r="I2301" i="2" s="1"/>
  <c r="F2302" i="2"/>
  <c r="G2302" i="2" s="1"/>
  <c r="I2302" i="2" s="1"/>
  <c r="F2303" i="2"/>
  <c r="G2303" i="2" s="1"/>
  <c r="I2303" i="2" s="1"/>
  <c r="F2304" i="2"/>
  <c r="G2304" i="2" s="1"/>
  <c r="I2304" i="2" s="1"/>
  <c r="F2305" i="2"/>
  <c r="G2305" i="2" s="1"/>
  <c r="I2305" i="2" s="1"/>
  <c r="F2306" i="2"/>
  <c r="G2306" i="2" s="1"/>
  <c r="I2306" i="2" s="1"/>
  <c r="F2307" i="2"/>
  <c r="G2307" i="2" s="1"/>
  <c r="I2307" i="2" s="1"/>
  <c r="F2308" i="2"/>
  <c r="G2308" i="2" s="1"/>
  <c r="I2308" i="2" s="1"/>
  <c r="F2309" i="2"/>
  <c r="G2309" i="2" s="1"/>
  <c r="I2309" i="2" s="1"/>
  <c r="F2310" i="2"/>
  <c r="G2310" i="2" s="1"/>
  <c r="I2310" i="2" s="1"/>
  <c r="F2311" i="2"/>
  <c r="G2311" i="2" s="1"/>
  <c r="I2311" i="2" s="1"/>
  <c r="F2312" i="2"/>
  <c r="G2312" i="2" s="1"/>
  <c r="I2312" i="2" s="1"/>
  <c r="F2313" i="2"/>
  <c r="G2313" i="2" s="1"/>
  <c r="I2313" i="2" s="1"/>
  <c r="F2314" i="2"/>
  <c r="G2314" i="2" s="1"/>
  <c r="I2314" i="2" s="1"/>
  <c r="F2315" i="2"/>
  <c r="G2315" i="2" s="1"/>
  <c r="I2315" i="2" s="1"/>
  <c r="F2316" i="2"/>
  <c r="G2316" i="2" s="1"/>
  <c r="I2316" i="2" s="1"/>
  <c r="F2317" i="2"/>
  <c r="G2317" i="2" s="1"/>
  <c r="I2317" i="2" s="1"/>
  <c r="F2318" i="2"/>
  <c r="G2318" i="2" s="1"/>
  <c r="I2318" i="2" s="1"/>
  <c r="F2319" i="2"/>
  <c r="G2319" i="2" s="1"/>
  <c r="I2319" i="2" s="1"/>
  <c r="F2320" i="2"/>
  <c r="G2320" i="2" s="1"/>
  <c r="I2320" i="2" s="1"/>
  <c r="F2321" i="2"/>
  <c r="G2321" i="2" s="1"/>
  <c r="I2321" i="2" s="1"/>
  <c r="F2322" i="2"/>
  <c r="G2322" i="2" s="1"/>
  <c r="I2322" i="2" s="1"/>
  <c r="F2323" i="2"/>
  <c r="G2323" i="2" s="1"/>
  <c r="I2323" i="2" s="1"/>
  <c r="F2324" i="2"/>
  <c r="G2324" i="2" s="1"/>
  <c r="I2324" i="2" s="1"/>
  <c r="F2325" i="2"/>
  <c r="G2325" i="2" s="1"/>
  <c r="I2325" i="2" s="1"/>
  <c r="F2326" i="2"/>
  <c r="G2326" i="2" s="1"/>
  <c r="I2326" i="2" s="1"/>
  <c r="F2327" i="2"/>
  <c r="G2327" i="2" s="1"/>
  <c r="I2327" i="2" s="1"/>
  <c r="F2328" i="2"/>
  <c r="G2328" i="2" s="1"/>
  <c r="I2328" i="2" s="1"/>
  <c r="F2329" i="2"/>
  <c r="G2329" i="2" s="1"/>
  <c r="I2329" i="2" s="1"/>
  <c r="F2330" i="2"/>
  <c r="G2330" i="2" s="1"/>
  <c r="I2330" i="2" s="1"/>
  <c r="F2331" i="2"/>
  <c r="G2331" i="2" s="1"/>
  <c r="I2331" i="2" s="1"/>
  <c r="F2332" i="2"/>
  <c r="G2332" i="2" s="1"/>
  <c r="I2332" i="2" s="1"/>
  <c r="F2333" i="2"/>
  <c r="G2333" i="2" s="1"/>
  <c r="I2333" i="2" s="1"/>
  <c r="F2334" i="2"/>
  <c r="G2334" i="2" s="1"/>
  <c r="I2334" i="2" s="1"/>
  <c r="F2335" i="2"/>
  <c r="G2335" i="2" s="1"/>
  <c r="I2335" i="2" s="1"/>
  <c r="F2336" i="2"/>
  <c r="G2336" i="2" s="1"/>
  <c r="I2336" i="2" s="1"/>
  <c r="F2337" i="2"/>
  <c r="G2337" i="2" s="1"/>
  <c r="I2337" i="2" s="1"/>
  <c r="F2338" i="2"/>
  <c r="G2338" i="2" s="1"/>
  <c r="I2338" i="2" s="1"/>
  <c r="F2339" i="2"/>
  <c r="G2339" i="2" s="1"/>
  <c r="I2339" i="2" s="1"/>
  <c r="F2340" i="2"/>
  <c r="G2340" i="2" s="1"/>
  <c r="I2340" i="2" s="1"/>
  <c r="F2341" i="2"/>
  <c r="G2341" i="2" s="1"/>
  <c r="I2341" i="2" s="1"/>
  <c r="F2342" i="2"/>
  <c r="G2342" i="2" s="1"/>
  <c r="I2342" i="2" s="1"/>
  <c r="F2343" i="2"/>
  <c r="G2343" i="2" s="1"/>
  <c r="I2343" i="2" s="1"/>
  <c r="F2344" i="2"/>
  <c r="G2344" i="2" s="1"/>
  <c r="I2344" i="2" s="1"/>
  <c r="F2345" i="2"/>
  <c r="G2345" i="2" s="1"/>
  <c r="I2345" i="2" s="1"/>
  <c r="F2346" i="2"/>
  <c r="G2346" i="2" s="1"/>
  <c r="I2346" i="2" s="1"/>
  <c r="F2347" i="2"/>
  <c r="G2347" i="2" s="1"/>
  <c r="I2347" i="2" s="1"/>
  <c r="F2348" i="2"/>
  <c r="G2348" i="2" s="1"/>
  <c r="I2348" i="2" s="1"/>
  <c r="F2349" i="2"/>
  <c r="G2349" i="2" s="1"/>
  <c r="I2349" i="2" s="1"/>
  <c r="F2350" i="2"/>
  <c r="G2350" i="2" s="1"/>
  <c r="I2350" i="2" s="1"/>
  <c r="F2351" i="2"/>
  <c r="G2351" i="2" s="1"/>
  <c r="I2351" i="2" s="1"/>
  <c r="F2352" i="2"/>
  <c r="G2352" i="2" s="1"/>
  <c r="I2352" i="2" s="1"/>
  <c r="F2353" i="2"/>
  <c r="G2353" i="2" s="1"/>
  <c r="I2353" i="2" s="1"/>
  <c r="F2354" i="2"/>
  <c r="G2354" i="2" s="1"/>
  <c r="I2354" i="2" s="1"/>
  <c r="F2355" i="2"/>
  <c r="G2355" i="2" s="1"/>
  <c r="I2355" i="2" s="1"/>
  <c r="F2356" i="2"/>
  <c r="G2356" i="2" s="1"/>
  <c r="I2356" i="2" s="1"/>
  <c r="F2357" i="2"/>
  <c r="G2357" i="2" s="1"/>
  <c r="I2357" i="2" s="1"/>
  <c r="F2358" i="2"/>
  <c r="G2358" i="2" s="1"/>
  <c r="I2358" i="2" s="1"/>
  <c r="F2359" i="2"/>
  <c r="G2359" i="2" s="1"/>
  <c r="I2359" i="2" s="1"/>
  <c r="F2360" i="2"/>
  <c r="G2360" i="2" s="1"/>
  <c r="I2360" i="2" s="1"/>
  <c r="F2361" i="2"/>
  <c r="G2361" i="2" s="1"/>
  <c r="I2361" i="2" s="1"/>
  <c r="F2362" i="2"/>
  <c r="G2362" i="2" s="1"/>
  <c r="I2362" i="2" s="1"/>
  <c r="F2363" i="2"/>
  <c r="G2363" i="2" s="1"/>
  <c r="I2363" i="2" s="1"/>
  <c r="F2364" i="2"/>
  <c r="G2364" i="2" s="1"/>
  <c r="I2364" i="2" s="1"/>
  <c r="F2365" i="2"/>
  <c r="G2365" i="2" s="1"/>
  <c r="I2365" i="2" s="1"/>
  <c r="F2366" i="2"/>
  <c r="G2366" i="2" s="1"/>
  <c r="I2366" i="2" s="1"/>
  <c r="F2367" i="2"/>
  <c r="G2367" i="2" s="1"/>
  <c r="I2367" i="2" s="1"/>
  <c r="F2368" i="2"/>
  <c r="G2368" i="2" s="1"/>
  <c r="I2368" i="2" s="1"/>
  <c r="F2369" i="2"/>
  <c r="G2369" i="2" s="1"/>
  <c r="I2369" i="2" s="1"/>
  <c r="F2370" i="2"/>
  <c r="G2370" i="2" s="1"/>
  <c r="I2370" i="2" s="1"/>
  <c r="F2371" i="2"/>
  <c r="G2371" i="2" s="1"/>
  <c r="I2371" i="2" s="1"/>
  <c r="F2153" i="2"/>
  <c r="F2154" i="2"/>
  <c r="G2154" i="2" s="1"/>
  <c r="I2154" i="2" s="1"/>
  <c r="F2155" i="2"/>
  <c r="G2155" i="2" s="1"/>
  <c r="I2155" i="2" s="1"/>
  <c r="F2156" i="2"/>
  <c r="G2156" i="2" s="1"/>
  <c r="I2156" i="2" s="1"/>
  <c r="F2157" i="2"/>
  <c r="G2157" i="2" s="1"/>
  <c r="I2157" i="2" s="1"/>
  <c r="F2158" i="2"/>
  <c r="G2158" i="2" s="1"/>
  <c r="I2158" i="2" s="1"/>
  <c r="F2159" i="2"/>
  <c r="G2159" i="2" s="1"/>
  <c r="I2159" i="2" s="1"/>
  <c r="F2160" i="2"/>
  <c r="G2160" i="2" s="1"/>
  <c r="I2160" i="2" s="1"/>
  <c r="F2161" i="2"/>
  <c r="G2161" i="2" s="1"/>
  <c r="I2161" i="2" s="1"/>
  <c r="F2162" i="2"/>
  <c r="G2162" i="2" s="1"/>
  <c r="I2162" i="2" s="1"/>
  <c r="F2163" i="2"/>
  <c r="G2163" i="2" s="1"/>
  <c r="I2163" i="2" s="1"/>
  <c r="F2164" i="2"/>
  <c r="G2164" i="2" s="1"/>
  <c r="I2164" i="2" s="1"/>
  <c r="F2165" i="2"/>
  <c r="G2165" i="2" s="1"/>
  <c r="I2165" i="2" s="1"/>
  <c r="F2166" i="2"/>
  <c r="G2166" i="2" s="1"/>
  <c r="I2166" i="2" s="1"/>
  <c r="F2167" i="2"/>
  <c r="G2167" i="2" s="1"/>
  <c r="I2167" i="2" s="1"/>
  <c r="F2168" i="2"/>
  <c r="G2168" i="2" s="1"/>
  <c r="I2168" i="2" s="1"/>
  <c r="F2169" i="2"/>
  <c r="G2169" i="2" s="1"/>
  <c r="I2169" i="2" s="1"/>
  <c r="F2170" i="2"/>
  <c r="G2170" i="2" s="1"/>
  <c r="I2170" i="2" s="1"/>
  <c r="F2171" i="2"/>
  <c r="G2171" i="2" s="1"/>
  <c r="I2171" i="2" s="1"/>
  <c r="F2172" i="2"/>
  <c r="G2172" i="2" s="1"/>
  <c r="I2172" i="2" s="1"/>
  <c r="F2173" i="2"/>
  <c r="G2173" i="2" s="1"/>
  <c r="I2173" i="2" s="1"/>
  <c r="F2174" i="2"/>
  <c r="G2174" i="2" s="1"/>
  <c r="I2174" i="2" s="1"/>
  <c r="F2175" i="2"/>
  <c r="G2175" i="2" s="1"/>
  <c r="I2175" i="2" s="1"/>
  <c r="F2176" i="2"/>
  <c r="G2176" i="2" s="1"/>
  <c r="I2176" i="2" s="1"/>
  <c r="F2177" i="2"/>
  <c r="G2177" i="2" s="1"/>
  <c r="I2177" i="2" s="1"/>
  <c r="F2178" i="2"/>
  <c r="G2178" i="2" s="1"/>
  <c r="I2178" i="2" s="1"/>
  <c r="F2179" i="2"/>
  <c r="G2179" i="2" s="1"/>
  <c r="I2179" i="2" s="1"/>
  <c r="F2180" i="2"/>
  <c r="G2180" i="2" s="1"/>
  <c r="I2180" i="2" s="1"/>
  <c r="F2181" i="2"/>
  <c r="G2181" i="2" s="1"/>
  <c r="I2181" i="2" s="1"/>
  <c r="F2182" i="2"/>
  <c r="G2182" i="2" s="1"/>
  <c r="I2182" i="2" s="1"/>
  <c r="F2183" i="2"/>
  <c r="G2183" i="2" s="1"/>
  <c r="I2183" i="2" s="1"/>
  <c r="F2184" i="2"/>
  <c r="G2184" i="2" s="1"/>
  <c r="I2184" i="2" s="1"/>
  <c r="F2185" i="2"/>
  <c r="G2185" i="2" s="1"/>
  <c r="I2185" i="2" s="1"/>
  <c r="F2186" i="2"/>
  <c r="G2186" i="2" s="1"/>
  <c r="I2186" i="2" s="1"/>
  <c r="F2187" i="2"/>
  <c r="G2187" i="2" s="1"/>
  <c r="I2187" i="2" s="1"/>
  <c r="F2188" i="2"/>
  <c r="G2188" i="2" s="1"/>
  <c r="I2188" i="2" s="1"/>
  <c r="F2189" i="2"/>
  <c r="G2189" i="2" s="1"/>
  <c r="I2189" i="2" s="1"/>
  <c r="F2190" i="2"/>
  <c r="G2190" i="2" s="1"/>
  <c r="I2190" i="2" s="1"/>
  <c r="F2191" i="2"/>
  <c r="G2191" i="2" s="1"/>
  <c r="I2191" i="2" s="1"/>
  <c r="F2192" i="2"/>
  <c r="G2192" i="2" s="1"/>
  <c r="I2192" i="2" s="1"/>
  <c r="F2193" i="2"/>
  <c r="G2193" i="2" s="1"/>
  <c r="I2193" i="2" s="1"/>
  <c r="F2194" i="2"/>
  <c r="G2194" i="2" s="1"/>
  <c r="I2194" i="2" s="1"/>
  <c r="F2195" i="2"/>
  <c r="G2195" i="2" s="1"/>
  <c r="I2195" i="2" s="1"/>
  <c r="F2196" i="2"/>
  <c r="G2196" i="2" s="1"/>
  <c r="I2196" i="2" s="1"/>
  <c r="F2198" i="2"/>
  <c r="G2198" i="2" s="1"/>
  <c r="I2198" i="2" s="1"/>
  <c r="F2199" i="2"/>
  <c r="G2199" i="2" s="1"/>
  <c r="I2199" i="2" s="1"/>
  <c r="F2200" i="2"/>
  <c r="G2200" i="2" s="1"/>
  <c r="I2200" i="2" s="1"/>
  <c r="F2201" i="2"/>
  <c r="G2201" i="2" s="1"/>
  <c r="I2201" i="2" s="1"/>
  <c r="F2202" i="2"/>
  <c r="G2202" i="2" s="1"/>
  <c r="I2202" i="2" s="1"/>
  <c r="F2203" i="2"/>
  <c r="G2203" i="2" s="1"/>
  <c r="I2203" i="2" s="1"/>
  <c r="F2204" i="2"/>
  <c r="G2204" i="2" s="1"/>
  <c r="I2204" i="2" s="1"/>
  <c r="F2205" i="2"/>
  <c r="G2205" i="2" s="1"/>
  <c r="I2205" i="2" s="1"/>
  <c r="F2206" i="2"/>
  <c r="G2206" i="2" s="1"/>
  <c r="I2206" i="2" s="1"/>
  <c r="F2207" i="2"/>
  <c r="G2207" i="2" s="1"/>
  <c r="I2207" i="2" s="1"/>
  <c r="F2208" i="2"/>
  <c r="G2208" i="2" s="1"/>
  <c r="I2208" i="2" s="1"/>
  <c r="F2209" i="2"/>
  <c r="G2209" i="2" s="1"/>
  <c r="I2209" i="2" s="1"/>
  <c r="F2210" i="2"/>
  <c r="G2210" i="2" s="1"/>
  <c r="I2210" i="2" s="1"/>
  <c r="F2211" i="2"/>
  <c r="G2211" i="2" s="1"/>
  <c r="I2211" i="2" s="1"/>
  <c r="F2212" i="2"/>
  <c r="G2212" i="2" s="1"/>
  <c r="I2212" i="2" s="1"/>
  <c r="F2213" i="2"/>
  <c r="G2213" i="2" s="1"/>
  <c r="I2213" i="2" s="1"/>
  <c r="F2214" i="2"/>
  <c r="G2214" i="2" s="1"/>
  <c r="I2214" i="2" s="1"/>
  <c r="F2215" i="2"/>
  <c r="G2215" i="2" s="1"/>
  <c r="I2215" i="2" s="1"/>
  <c r="F2216" i="2"/>
  <c r="G2216" i="2" s="1"/>
  <c r="I2216" i="2" s="1"/>
  <c r="F2217" i="2"/>
  <c r="G2217" i="2" s="1"/>
  <c r="I2217" i="2" s="1"/>
  <c r="F2218" i="2"/>
  <c r="G2218" i="2" s="1"/>
  <c r="I2218" i="2" s="1"/>
  <c r="F2219" i="2"/>
  <c r="G2219" i="2" s="1"/>
  <c r="I2219" i="2" s="1"/>
  <c r="F2220" i="2"/>
  <c r="G2220" i="2" s="1"/>
  <c r="I2220" i="2" s="1"/>
  <c r="F2221" i="2"/>
  <c r="G2221" i="2" s="1"/>
  <c r="I2221" i="2" s="1"/>
  <c r="F2222" i="2"/>
  <c r="G2222" i="2" s="1"/>
  <c r="I2222" i="2" s="1"/>
  <c r="F2223" i="2"/>
  <c r="G2223" i="2" s="1"/>
  <c r="I2223" i="2" s="1"/>
  <c r="F2224" i="2"/>
  <c r="G2224" i="2" s="1"/>
  <c r="I2224" i="2" s="1"/>
  <c r="F2225" i="2"/>
  <c r="G2225" i="2" s="1"/>
  <c r="I2225" i="2" s="1"/>
  <c r="F2226" i="2"/>
  <c r="G2226" i="2" s="1"/>
  <c r="I2226" i="2" s="1"/>
  <c r="F2227" i="2"/>
  <c r="G2227" i="2" s="1"/>
  <c r="I2227" i="2" s="1"/>
  <c r="F2228" i="2"/>
  <c r="G2228" i="2" s="1"/>
  <c r="I2228" i="2" s="1"/>
  <c r="F2229" i="2"/>
  <c r="G2229" i="2" s="1"/>
  <c r="I2229" i="2" s="1"/>
  <c r="F2230" i="2"/>
  <c r="G2230" i="2" s="1"/>
  <c r="I2230" i="2" s="1"/>
  <c r="F2231" i="2"/>
  <c r="G2231" i="2" s="1"/>
  <c r="I2231" i="2" s="1"/>
  <c r="F2232" i="2"/>
  <c r="G2232" i="2" s="1"/>
  <c r="I2232" i="2" s="1"/>
  <c r="F2233" i="2"/>
  <c r="G2233" i="2" s="1"/>
  <c r="I2233" i="2" s="1"/>
  <c r="F2234" i="2"/>
  <c r="G2234" i="2" s="1"/>
  <c r="I2234" i="2" s="1"/>
  <c r="F2235" i="2"/>
  <c r="G2235" i="2" s="1"/>
  <c r="I2235" i="2" s="1"/>
  <c r="F2236" i="2"/>
  <c r="G2236" i="2" s="1"/>
  <c r="I2236" i="2" s="1"/>
  <c r="F2237" i="2"/>
  <c r="G2237" i="2" s="1"/>
  <c r="I2237" i="2" s="1"/>
  <c r="F2238" i="2"/>
  <c r="G2238" i="2" s="1"/>
  <c r="I2238" i="2" s="1"/>
  <c r="F2239" i="2"/>
  <c r="G2239" i="2" s="1"/>
  <c r="I2239" i="2" s="1"/>
  <c r="F2240" i="2"/>
  <c r="G2240" i="2" s="1"/>
  <c r="I2240" i="2" s="1"/>
  <c r="F2241" i="2"/>
  <c r="G2241" i="2" s="1"/>
  <c r="I2241" i="2" s="1"/>
  <c r="F2242" i="2"/>
  <c r="G2242" i="2" s="1"/>
  <c r="I2242" i="2" s="1"/>
  <c r="F2243" i="2"/>
  <c r="G2243" i="2" s="1"/>
  <c r="I2243" i="2" s="1"/>
  <c r="F2244" i="2"/>
  <c r="G2244" i="2" s="1"/>
  <c r="I2244" i="2" s="1"/>
  <c r="F2245" i="2"/>
  <c r="G2245" i="2" s="1"/>
  <c r="I2245" i="2" s="1"/>
  <c r="F2246" i="2"/>
  <c r="G2246" i="2" s="1"/>
  <c r="I2246" i="2" s="1"/>
  <c r="F2247" i="2"/>
  <c r="G2247" i="2" s="1"/>
  <c r="I2247" i="2" s="1"/>
  <c r="F2248" i="2"/>
  <c r="G2248" i="2" s="1"/>
  <c r="I2248" i="2" s="1"/>
  <c r="F2249" i="2"/>
  <c r="G2249" i="2" s="1"/>
  <c r="I2249" i="2" s="1"/>
  <c r="F2250" i="2"/>
  <c r="G2250" i="2" s="1"/>
  <c r="I2250" i="2" s="1"/>
  <c r="F2251" i="2"/>
  <c r="G2251" i="2" s="1"/>
  <c r="I2251" i="2" s="1"/>
  <c r="F2252" i="2"/>
  <c r="G2252" i="2" s="1"/>
  <c r="I2252" i="2" s="1"/>
  <c r="F2253" i="2"/>
  <c r="G2253" i="2" s="1"/>
  <c r="I2253" i="2" s="1"/>
  <c r="F2254" i="2"/>
  <c r="G2254" i="2" s="1"/>
  <c r="I2254" i="2" s="1"/>
  <c r="F2255" i="2"/>
  <c r="G2255" i="2" s="1"/>
  <c r="I2255" i="2" s="1"/>
  <c r="F2256" i="2"/>
  <c r="G2256" i="2" s="1"/>
  <c r="I2256" i="2" s="1"/>
  <c r="F2257" i="2"/>
  <c r="G2257" i="2" s="1"/>
  <c r="I2257" i="2" s="1"/>
  <c r="F2258" i="2"/>
  <c r="G2258" i="2" s="1"/>
  <c r="I2258" i="2" s="1"/>
  <c r="E699" i="3"/>
  <c r="F699" i="3" s="1"/>
  <c r="H699" i="3" s="1"/>
  <c r="E700" i="3"/>
  <c r="F700" i="3" s="1"/>
  <c r="H700" i="3" s="1"/>
  <c r="E701" i="3"/>
  <c r="F701" i="3" s="1"/>
  <c r="H701" i="3" s="1"/>
  <c r="E702" i="3"/>
  <c r="F702" i="3" s="1"/>
  <c r="E703" i="3"/>
  <c r="F703" i="3" s="1"/>
  <c r="E704" i="3"/>
  <c r="F704" i="3" s="1"/>
  <c r="E705" i="3"/>
  <c r="F705" i="3" s="1"/>
  <c r="E706" i="3"/>
  <c r="F706" i="3" s="1"/>
  <c r="G2153" i="2" l="1"/>
  <c r="I2153" i="2" s="1"/>
  <c r="G2197" i="2"/>
  <c r="I2197" i="2" s="1"/>
  <c r="E687" i="3"/>
  <c r="F687" i="3" s="1"/>
  <c r="H687" i="3" s="1"/>
  <c r="E688" i="3"/>
  <c r="F688" i="3" s="1"/>
  <c r="H688" i="3" s="1"/>
  <c r="E689" i="3"/>
  <c r="F689" i="3" s="1"/>
  <c r="H689" i="3" s="1"/>
  <c r="E690" i="3"/>
  <c r="F690" i="3" s="1"/>
  <c r="H690" i="3" s="1"/>
  <c r="E691" i="3"/>
  <c r="F691" i="3" s="1"/>
  <c r="H691" i="3" s="1"/>
  <c r="E692" i="3"/>
  <c r="F692" i="3" s="1"/>
  <c r="H692" i="3" s="1"/>
  <c r="E693" i="3"/>
  <c r="F693" i="3" s="1"/>
  <c r="H693" i="3" s="1"/>
  <c r="E694" i="3"/>
  <c r="F694" i="3" s="1"/>
  <c r="H694" i="3" s="1"/>
  <c r="E695" i="3"/>
  <c r="F695" i="3" s="1"/>
  <c r="H695" i="3" s="1"/>
  <c r="E696" i="3"/>
  <c r="F696" i="3" s="1"/>
  <c r="H696" i="3" s="1"/>
  <c r="E697" i="3"/>
  <c r="F697" i="3" s="1"/>
  <c r="H697" i="3" s="1"/>
  <c r="E698" i="3"/>
  <c r="F698" i="3" s="1"/>
  <c r="H698" i="3" s="1"/>
  <c r="E666" i="3" l="1"/>
  <c r="F666" i="3" s="1"/>
  <c r="H666" i="3" s="1"/>
  <c r="E667" i="3"/>
  <c r="F667" i="3" s="1"/>
  <c r="H667" i="3" s="1"/>
  <c r="E668" i="3"/>
  <c r="F668" i="3" s="1"/>
  <c r="H668" i="3" s="1"/>
  <c r="E669" i="3"/>
  <c r="F669" i="3" s="1"/>
  <c r="H669" i="3" s="1"/>
  <c r="E670" i="3"/>
  <c r="F670" i="3" s="1"/>
  <c r="H670" i="3" s="1"/>
  <c r="E671" i="3"/>
  <c r="F671" i="3" s="1"/>
  <c r="H671" i="3" s="1"/>
  <c r="E672" i="3"/>
  <c r="F672" i="3" s="1"/>
  <c r="H672" i="3" s="1"/>
  <c r="E673" i="3"/>
  <c r="F673" i="3" s="1"/>
  <c r="H673" i="3" s="1"/>
  <c r="E674" i="3"/>
  <c r="F674" i="3" s="1"/>
  <c r="H674" i="3" s="1"/>
  <c r="E675" i="3"/>
  <c r="F675" i="3" s="1"/>
  <c r="H675" i="3" s="1"/>
  <c r="E676" i="3"/>
  <c r="F676" i="3" s="1"/>
  <c r="H676" i="3" s="1"/>
  <c r="E677" i="3"/>
  <c r="F677" i="3" s="1"/>
  <c r="H677" i="3" s="1"/>
  <c r="E678" i="3"/>
  <c r="F678" i="3" s="1"/>
  <c r="H678" i="3" s="1"/>
  <c r="E679" i="3"/>
  <c r="F679" i="3" s="1"/>
  <c r="H679" i="3" s="1"/>
  <c r="E680" i="3"/>
  <c r="F680" i="3" s="1"/>
  <c r="H680" i="3" s="1"/>
  <c r="E681" i="3"/>
  <c r="F681" i="3" s="1"/>
  <c r="H681" i="3" s="1"/>
  <c r="E682" i="3"/>
  <c r="F682" i="3" s="1"/>
  <c r="H682" i="3" s="1"/>
  <c r="E684" i="3"/>
  <c r="F684" i="3" s="1"/>
  <c r="H684" i="3" s="1"/>
  <c r="E685" i="3"/>
  <c r="F685" i="3" s="1"/>
  <c r="H685" i="3" s="1"/>
  <c r="E686" i="3"/>
  <c r="F686" i="3" s="1"/>
  <c r="H686" i="3" s="1"/>
  <c r="E659" i="3"/>
  <c r="F659" i="3" s="1"/>
  <c r="H659" i="3" s="1"/>
  <c r="E660" i="3"/>
  <c r="F660" i="3" s="1"/>
  <c r="H660" i="3" s="1"/>
  <c r="E661" i="3"/>
  <c r="F661" i="3" s="1"/>
  <c r="H661" i="3" s="1"/>
  <c r="E662" i="3"/>
  <c r="F662" i="3" s="1"/>
  <c r="H662" i="3" s="1"/>
  <c r="E663" i="3"/>
  <c r="F663" i="3" s="1"/>
  <c r="H663" i="3" s="1"/>
  <c r="E664" i="3"/>
  <c r="F664" i="3" s="1"/>
  <c r="H664" i="3" s="1"/>
  <c r="E665" i="3"/>
  <c r="F665" i="3" s="1"/>
  <c r="H665" i="3" s="1"/>
  <c r="E658" i="3" l="1"/>
  <c r="F658" i="3" s="1"/>
  <c r="H658" i="3" s="1"/>
  <c r="E657" i="3"/>
  <c r="F657" i="3" s="1"/>
  <c r="H657" i="3" s="1"/>
  <c r="E656" i="3"/>
  <c r="F656" i="3" s="1"/>
  <c r="H656" i="3" s="1"/>
  <c r="E655" i="3" l="1"/>
  <c r="F655" i="3" s="1"/>
  <c r="H655" i="3" s="1"/>
  <c r="E654" i="3"/>
  <c r="F654" i="3" s="1"/>
  <c r="H654" i="3" s="1"/>
  <c r="E653" i="3"/>
  <c r="F653" i="3" s="1"/>
  <c r="H653" i="3" s="1"/>
  <c r="E652" i="3"/>
  <c r="F652" i="3" s="1"/>
  <c r="H652" i="3" s="1"/>
  <c r="E648" i="3" l="1"/>
  <c r="F648" i="3" s="1"/>
  <c r="H648" i="3" s="1"/>
  <c r="E649" i="3"/>
  <c r="F649" i="3" s="1"/>
  <c r="H649" i="3" s="1"/>
  <c r="E650" i="3"/>
  <c r="F650" i="3" s="1"/>
  <c r="H650" i="3" s="1"/>
  <c r="E651" i="3"/>
  <c r="F651" i="3" s="1"/>
  <c r="H651" i="3" s="1"/>
  <c r="E637" i="3"/>
  <c r="F637" i="3" s="1"/>
  <c r="H637" i="3" s="1"/>
  <c r="E638" i="3"/>
  <c r="F638" i="3" s="1"/>
  <c r="H638" i="3" s="1"/>
  <c r="E639" i="3"/>
  <c r="F639" i="3" s="1"/>
  <c r="H639" i="3" s="1"/>
  <c r="E640" i="3"/>
  <c r="F640" i="3" s="1"/>
  <c r="H640" i="3" s="1"/>
  <c r="E641" i="3"/>
  <c r="F641" i="3" s="1"/>
  <c r="H641" i="3" s="1"/>
  <c r="E642" i="3"/>
  <c r="F642" i="3" s="1"/>
  <c r="H642" i="3" s="1"/>
  <c r="E643" i="3"/>
  <c r="F643" i="3" s="1"/>
  <c r="H643" i="3" s="1"/>
  <c r="E644" i="3"/>
  <c r="F644" i="3" s="1"/>
  <c r="H644" i="3" s="1"/>
  <c r="E645" i="3"/>
  <c r="F645" i="3" s="1"/>
  <c r="H645" i="3" s="1"/>
  <c r="E646" i="3"/>
  <c r="F646" i="3" s="1"/>
  <c r="H646" i="3" s="1"/>
  <c r="E647" i="3"/>
  <c r="F647" i="3" s="1"/>
  <c r="H647" i="3" s="1"/>
  <c r="E636" i="3" l="1"/>
  <c r="F636" i="3" s="1"/>
  <c r="H636" i="3" s="1"/>
  <c r="E635" i="3"/>
  <c r="F635" i="3" s="1"/>
  <c r="H635" i="3" s="1"/>
  <c r="E634" i="3"/>
  <c r="F634" i="3" s="1"/>
  <c r="H634" i="3" s="1"/>
  <c r="E632" i="3" l="1"/>
  <c r="F632" i="3" s="1"/>
  <c r="H632" i="3" s="1"/>
  <c r="E633" i="3"/>
  <c r="F633" i="3" s="1"/>
  <c r="H633" i="3" s="1"/>
  <c r="E623" i="3" l="1"/>
  <c r="F623" i="3" s="1"/>
  <c r="H623" i="3" s="1"/>
  <c r="E624" i="3"/>
  <c r="F624" i="3" s="1"/>
  <c r="H624" i="3" s="1"/>
  <c r="E625" i="3"/>
  <c r="F625" i="3" s="1"/>
  <c r="H625" i="3" s="1"/>
  <c r="E626" i="3"/>
  <c r="F626" i="3" s="1"/>
  <c r="H626" i="3" s="1"/>
  <c r="E627" i="3"/>
  <c r="F627" i="3" s="1"/>
  <c r="H627" i="3" s="1"/>
  <c r="E628" i="3"/>
  <c r="F628" i="3" s="1"/>
  <c r="H628" i="3" s="1"/>
  <c r="E629" i="3"/>
  <c r="F629" i="3" s="1"/>
  <c r="H629" i="3" s="1"/>
  <c r="E630" i="3"/>
  <c r="F630" i="3" s="1"/>
  <c r="H630" i="3" s="1"/>
  <c r="E631" i="3"/>
  <c r="F631" i="3" s="1"/>
  <c r="H631" i="3" s="1"/>
  <c r="E583" i="3"/>
  <c r="F583" i="3" s="1"/>
  <c r="H583" i="3" s="1"/>
  <c r="E584" i="3"/>
  <c r="F584" i="3" s="1"/>
  <c r="H584" i="3" s="1"/>
  <c r="E585" i="3"/>
  <c r="F585" i="3" s="1"/>
  <c r="H585" i="3" s="1"/>
  <c r="E586" i="3"/>
  <c r="F586" i="3" s="1"/>
  <c r="H586" i="3" s="1"/>
  <c r="E587" i="3"/>
  <c r="F587" i="3" s="1"/>
  <c r="H587" i="3" s="1"/>
  <c r="E588" i="3"/>
  <c r="F588" i="3" s="1"/>
  <c r="H588" i="3" s="1"/>
  <c r="E589" i="3"/>
  <c r="F589" i="3" s="1"/>
  <c r="H589" i="3" s="1"/>
  <c r="E590" i="3"/>
  <c r="F590" i="3" s="1"/>
  <c r="H590" i="3" s="1"/>
  <c r="E591" i="3"/>
  <c r="F591" i="3" s="1"/>
  <c r="H591" i="3" s="1"/>
  <c r="E592" i="3"/>
  <c r="F592" i="3" s="1"/>
  <c r="H592" i="3" s="1"/>
  <c r="E593" i="3"/>
  <c r="F593" i="3" s="1"/>
  <c r="H593" i="3" s="1"/>
  <c r="E594" i="3"/>
  <c r="F594" i="3" s="1"/>
  <c r="H594" i="3" s="1"/>
  <c r="E595" i="3"/>
  <c r="F595" i="3" s="1"/>
  <c r="H595" i="3" s="1"/>
  <c r="E596" i="3"/>
  <c r="F596" i="3" s="1"/>
  <c r="H596" i="3" s="1"/>
  <c r="E597" i="3"/>
  <c r="F597" i="3" s="1"/>
  <c r="H597" i="3" s="1"/>
  <c r="E598" i="3"/>
  <c r="F598" i="3" s="1"/>
  <c r="H598" i="3" s="1"/>
  <c r="E599" i="3"/>
  <c r="F599" i="3" s="1"/>
  <c r="H599" i="3" s="1"/>
  <c r="E600" i="3"/>
  <c r="F600" i="3" s="1"/>
  <c r="H600" i="3" s="1"/>
  <c r="E601" i="3"/>
  <c r="F601" i="3" s="1"/>
  <c r="H601" i="3" s="1"/>
  <c r="E602" i="3"/>
  <c r="F602" i="3" s="1"/>
  <c r="H602" i="3" s="1"/>
  <c r="E603" i="3"/>
  <c r="F603" i="3" s="1"/>
  <c r="H603" i="3" s="1"/>
  <c r="E604" i="3"/>
  <c r="F604" i="3" s="1"/>
  <c r="H604" i="3" s="1"/>
  <c r="E605" i="3"/>
  <c r="F605" i="3" s="1"/>
  <c r="H605" i="3" s="1"/>
  <c r="E606" i="3"/>
  <c r="F606" i="3" s="1"/>
  <c r="H606" i="3" s="1"/>
  <c r="E607" i="3"/>
  <c r="F607" i="3" s="1"/>
  <c r="H607" i="3" s="1"/>
  <c r="E608" i="3"/>
  <c r="F608" i="3" s="1"/>
  <c r="H608" i="3" s="1"/>
  <c r="E609" i="3"/>
  <c r="F609" i="3" s="1"/>
  <c r="H609" i="3" s="1"/>
  <c r="E610" i="3"/>
  <c r="F610" i="3" s="1"/>
  <c r="H610" i="3" s="1"/>
  <c r="E611" i="3"/>
  <c r="F611" i="3" s="1"/>
  <c r="H611" i="3" s="1"/>
  <c r="E612" i="3"/>
  <c r="F612" i="3" s="1"/>
  <c r="H612" i="3" s="1"/>
  <c r="E613" i="3"/>
  <c r="F613" i="3" s="1"/>
  <c r="H613" i="3" s="1"/>
  <c r="E614" i="3"/>
  <c r="F614" i="3" s="1"/>
  <c r="H614" i="3" s="1"/>
  <c r="E615" i="3"/>
  <c r="F615" i="3" s="1"/>
  <c r="H615" i="3" s="1"/>
  <c r="E616" i="3"/>
  <c r="F616" i="3" s="1"/>
  <c r="H616" i="3" s="1"/>
  <c r="E617" i="3"/>
  <c r="F617" i="3" s="1"/>
  <c r="H617" i="3" s="1"/>
  <c r="E618" i="3"/>
  <c r="F618" i="3" s="1"/>
  <c r="H618" i="3" s="1"/>
  <c r="E619" i="3"/>
  <c r="F619" i="3" s="1"/>
  <c r="H619" i="3" s="1"/>
  <c r="E620" i="3"/>
  <c r="F620" i="3" s="1"/>
  <c r="H620" i="3" s="1"/>
  <c r="E621" i="3"/>
  <c r="F621" i="3" s="1"/>
  <c r="H621" i="3" s="1"/>
  <c r="E622" i="3"/>
  <c r="F622" i="3" s="1"/>
  <c r="H622" i="3" s="1"/>
  <c r="E7" i="2" l="1"/>
  <c r="H7" i="2"/>
  <c r="F1948" i="2" l="1"/>
  <c r="F1949" i="2"/>
  <c r="F1950" i="2"/>
  <c r="F1951" i="2"/>
  <c r="F1945" i="2" l="1"/>
  <c r="G1945" i="2" s="1"/>
  <c r="I1945" i="2" s="1"/>
  <c r="F1946" i="2"/>
  <c r="G1946" i="2" s="1"/>
  <c r="I1946" i="2" s="1"/>
  <c r="F1947" i="2"/>
  <c r="G1947" i="2" s="1"/>
  <c r="I1947" i="2" s="1"/>
  <c r="G1948" i="2"/>
  <c r="I1948" i="2" s="1"/>
  <c r="G1949" i="2"/>
  <c r="I1949" i="2" s="1"/>
  <c r="G1950" i="2"/>
  <c r="I1950" i="2" s="1"/>
  <c r="G1951" i="2"/>
  <c r="I1951" i="2" s="1"/>
  <c r="F1952" i="2"/>
  <c r="G1952" i="2" s="1"/>
  <c r="I1952" i="2" s="1"/>
  <c r="F1953" i="2"/>
  <c r="G1953" i="2" s="1"/>
  <c r="I1953" i="2" s="1"/>
  <c r="F1954" i="2"/>
  <c r="G1954" i="2" s="1"/>
  <c r="I1954" i="2" s="1"/>
  <c r="F1955" i="2"/>
  <c r="G1955" i="2" s="1"/>
  <c r="I1955" i="2" s="1"/>
  <c r="F1956" i="2"/>
  <c r="G1956" i="2" s="1"/>
  <c r="I1956" i="2" s="1"/>
  <c r="F1957" i="2"/>
  <c r="G1957" i="2" s="1"/>
  <c r="I1957" i="2" s="1"/>
  <c r="F1958" i="2"/>
  <c r="G1958" i="2" s="1"/>
  <c r="I1958" i="2" s="1"/>
  <c r="F1959" i="2"/>
  <c r="G1959" i="2" s="1"/>
  <c r="I1959" i="2" s="1"/>
  <c r="F1960" i="2"/>
  <c r="G1960" i="2" s="1"/>
  <c r="I1960" i="2" s="1"/>
  <c r="F1961" i="2"/>
  <c r="G1961" i="2" s="1"/>
  <c r="I1961" i="2" s="1"/>
  <c r="F1962" i="2"/>
  <c r="G1962" i="2" s="1"/>
  <c r="I1962" i="2" s="1"/>
  <c r="F1963" i="2"/>
  <c r="G1963" i="2" s="1"/>
  <c r="I1963" i="2" s="1"/>
  <c r="F1964" i="2"/>
  <c r="G1964" i="2" s="1"/>
  <c r="I1964" i="2" s="1"/>
  <c r="F1965" i="2"/>
  <c r="G1965" i="2" s="1"/>
  <c r="I1965" i="2" s="1"/>
  <c r="F1966" i="2"/>
  <c r="G1966" i="2" s="1"/>
  <c r="I1966" i="2" s="1"/>
  <c r="F1967" i="2"/>
  <c r="G1967" i="2" s="1"/>
  <c r="I1967" i="2" s="1"/>
  <c r="F1968" i="2"/>
  <c r="G1968" i="2" s="1"/>
  <c r="I1968" i="2" s="1"/>
  <c r="F1969" i="2"/>
  <c r="G1969" i="2" s="1"/>
  <c r="I1969" i="2" s="1"/>
  <c r="F1970" i="2"/>
  <c r="G1970" i="2" s="1"/>
  <c r="I1970" i="2" s="1"/>
  <c r="F1971" i="2"/>
  <c r="G1971" i="2" s="1"/>
  <c r="I1971" i="2" s="1"/>
  <c r="F1972" i="2"/>
  <c r="G1972" i="2" s="1"/>
  <c r="I1972" i="2" s="1"/>
  <c r="F1973" i="2"/>
  <c r="G1973" i="2" s="1"/>
  <c r="I1973" i="2" s="1"/>
  <c r="F1974" i="2"/>
  <c r="G1974" i="2" s="1"/>
  <c r="I1974" i="2" s="1"/>
  <c r="F1975" i="2"/>
  <c r="G1975" i="2" s="1"/>
  <c r="I1975" i="2" s="1"/>
  <c r="F1976" i="2"/>
  <c r="G1976" i="2" s="1"/>
  <c r="I1976" i="2" s="1"/>
  <c r="F1977" i="2"/>
  <c r="G1977" i="2" s="1"/>
  <c r="I1977" i="2" s="1"/>
  <c r="F1978" i="2"/>
  <c r="G1978" i="2" s="1"/>
  <c r="I1978" i="2" s="1"/>
  <c r="F1979" i="2"/>
  <c r="G1979" i="2" s="1"/>
  <c r="I1979" i="2" s="1"/>
  <c r="F1980" i="2"/>
  <c r="G1980" i="2" s="1"/>
  <c r="I1980" i="2" s="1"/>
  <c r="F1981" i="2"/>
  <c r="G1981" i="2" s="1"/>
  <c r="I1981" i="2" s="1"/>
  <c r="F1982" i="2"/>
  <c r="G1982" i="2" s="1"/>
  <c r="I1982" i="2" s="1"/>
  <c r="F1983" i="2"/>
  <c r="G1983" i="2" s="1"/>
  <c r="I1983" i="2" s="1"/>
  <c r="F1984" i="2"/>
  <c r="G1984" i="2" s="1"/>
  <c r="I1984" i="2" s="1"/>
  <c r="F1985" i="2"/>
  <c r="G1985" i="2" s="1"/>
  <c r="I1985" i="2" s="1"/>
  <c r="F1986" i="2"/>
  <c r="G1986" i="2" s="1"/>
  <c r="I1986" i="2" s="1"/>
  <c r="F1987" i="2"/>
  <c r="G1987" i="2" s="1"/>
  <c r="I1987" i="2" s="1"/>
  <c r="F1988" i="2"/>
  <c r="G1988" i="2" s="1"/>
  <c r="I1988" i="2" s="1"/>
  <c r="F1989" i="2"/>
  <c r="G1989" i="2" s="1"/>
  <c r="I1989" i="2" s="1"/>
  <c r="F1990" i="2"/>
  <c r="G1990" i="2" s="1"/>
  <c r="I1990" i="2" s="1"/>
  <c r="F1991" i="2"/>
  <c r="G1991" i="2" s="1"/>
  <c r="I1991" i="2" s="1"/>
  <c r="F1992" i="2"/>
  <c r="G1992" i="2" s="1"/>
  <c r="I1992" i="2" s="1"/>
  <c r="F1993" i="2"/>
  <c r="G1993" i="2" s="1"/>
  <c r="I1993" i="2" s="1"/>
  <c r="F1994" i="2"/>
  <c r="G1994" i="2" s="1"/>
  <c r="I1994" i="2" s="1"/>
  <c r="F1995" i="2"/>
  <c r="G1995" i="2" s="1"/>
  <c r="I1995" i="2" s="1"/>
  <c r="F1996" i="2"/>
  <c r="G1996" i="2" s="1"/>
  <c r="I1996" i="2" s="1"/>
  <c r="F1997" i="2"/>
  <c r="G1997" i="2" s="1"/>
  <c r="I1997" i="2" s="1"/>
  <c r="F1998" i="2"/>
  <c r="G1998" i="2" s="1"/>
  <c r="I1998" i="2" s="1"/>
  <c r="F1999" i="2"/>
  <c r="G1999" i="2" s="1"/>
  <c r="I1999" i="2" s="1"/>
  <c r="F2000" i="2"/>
  <c r="G2000" i="2" s="1"/>
  <c r="I2000" i="2" s="1"/>
  <c r="F2001" i="2"/>
  <c r="G2001" i="2" s="1"/>
  <c r="I2001" i="2" s="1"/>
  <c r="F2002" i="2"/>
  <c r="G2002" i="2" s="1"/>
  <c r="I2002" i="2" s="1"/>
  <c r="F2003" i="2"/>
  <c r="G2003" i="2" s="1"/>
  <c r="I2003" i="2" s="1"/>
  <c r="F2004" i="2"/>
  <c r="G2004" i="2" s="1"/>
  <c r="I2004" i="2" s="1"/>
  <c r="F2005" i="2"/>
  <c r="G2005" i="2" s="1"/>
  <c r="I2005" i="2" s="1"/>
  <c r="F2006" i="2"/>
  <c r="I2006" i="2" s="1"/>
  <c r="F2007" i="2"/>
  <c r="G2007" i="2" s="1"/>
  <c r="I2007" i="2" s="1"/>
  <c r="F2008" i="2"/>
  <c r="G2008" i="2" s="1"/>
  <c r="I2008" i="2" s="1"/>
  <c r="F2009" i="2"/>
  <c r="G2009" i="2" s="1"/>
  <c r="I2009" i="2" s="1"/>
  <c r="F2010" i="2"/>
  <c r="G2010" i="2" s="1"/>
  <c r="I2010" i="2" s="1"/>
  <c r="F2011" i="2"/>
  <c r="G2011" i="2" s="1"/>
  <c r="I2011" i="2" s="1"/>
  <c r="F2012" i="2"/>
  <c r="G2012" i="2" s="1"/>
  <c r="I2012" i="2" s="1"/>
  <c r="F2013" i="2"/>
  <c r="G2013" i="2" s="1"/>
  <c r="I2013" i="2" s="1"/>
  <c r="F2014" i="2"/>
  <c r="G2014" i="2" s="1"/>
  <c r="I2014" i="2" s="1"/>
  <c r="F2015" i="2"/>
  <c r="G2015" i="2" s="1"/>
  <c r="I2015" i="2" s="1"/>
  <c r="F2016" i="2"/>
  <c r="G2016" i="2" s="1"/>
  <c r="I2016" i="2" s="1"/>
  <c r="F2017" i="2"/>
  <c r="G2017" i="2" s="1"/>
  <c r="I2017" i="2" s="1"/>
  <c r="F2018" i="2"/>
  <c r="G2018" i="2" s="1"/>
  <c r="I2018" i="2" s="1"/>
  <c r="F2019" i="2"/>
  <c r="G2019" i="2" s="1"/>
  <c r="I2019" i="2" s="1"/>
  <c r="F2020" i="2"/>
  <c r="G2020" i="2" s="1"/>
  <c r="I2020" i="2" s="1"/>
  <c r="F2021" i="2"/>
  <c r="G2021" i="2" s="1"/>
  <c r="I2021" i="2" s="1"/>
  <c r="F2022" i="2"/>
  <c r="G2022" i="2" s="1"/>
  <c r="I2022" i="2" s="1"/>
  <c r="F2023" i="2"/>
  <c r="G2023" i="2" s="1"/>
  <c r="I2023" i="2" s="1"/>
  <c r="F2024" i="2"/>
  <c r="G2024" i="2" s="1"/>
  <c r="I2024" i="2" s="1"/>
  <c r="F2025" i="2"/>
  <c r="G2025" i="2" s="1"/>
  <c r="I2025" i="2" s="1"/>
  <c r="F2026" i="2"/>
  <c r="G2026" i="2" s="1"/>
  <c r="I2026" i="2" s="1"/>
  <c r="F2027" i="2"/>
  <c r="G2027" i="2" s="1"/>
  <c r="I2027" i="2" s="1"/>
  <c r="F2028" i="2"/>
  <c r="G2028" i="2" s="1"/>
  <c r="I2028" i="2" s="1"/>
  <c r="F2029" i="2"/>
  <c r="G2029" i="2" s="1"/>
  <c r="I2029" i="2" s="1"/>
  <c r="F2030" i="2"/>
  <c r="G2030" i="2" s="1"/>
  <c r="I2030" i="2" s="1"/>
  <c r="F2031" i="2"/>
  <c r="G2031" i="2" s="1"/>
  <c r="I2031" i="2" s="1"/>
  <c r="F2032" i="2"/>
  <c r="G2032" i="2" s="1"/>
  <c r="I2032" i="2" s="1"/>
  <c r="F2033" i="2"/>
  <c r="G2033" i="2" s="1"/>
  <c r="I2033" i="2" s="1"/>
  <c r="F2034" i="2"/>
  <c r="G2034" i="2" s="1"/>
  <c r="F2035" i="2"/>
  <c r="G2035" i="2" s="1"/>
  <c r="I2035" i="2" s="1"/>
  <c r="F2036" i="2"/>
  <c r="G2036" i="2" s="1"/>
  <c r="I2036" i="2" s="1"/>
  <c r="F2037" i="2"/>
  <c r="G2037" i="2" s="1"/>
  <c r="I2037" i="2" s="1"/>
  <c r="F2038" i="2"/>
  <c r="G2038" i="2" s="1"/>
  <c r="I2038" i="2" s="1"/>
  <c r="F2039" i="2"/>
  <c r="G2039" i="2" s="1"/>
  <c r="I2039" i="2" s="1"/>
  <c r="F2040" i="2"/>
  <c r="G2040" i="2" s="1"/>
  <c r="I2040" i="2" s="1"/>
  <c r="F2041" i="2"/>
  <c r="G2041" i="2" s="1"/>
  <c r="I2041" i="2" s="1"/>
  <c r="F2042" i="2"/>
  <c r="G2042" i="2" s="1"/>
  <c r="I2042" i="2" s="1"/>
  <c r="F2043" i="2"/>
  <c r="G2043" i="2" s="1"/>
  <c r="I2043" i="2" s="1"/>
  <c r="F2044" i="2"/>
  <c r="G2044" i="2" s="1"/>
  <c r="I2044" i="2" s="1"/>
  <c r="F2045" i="2"/>
  <c r="G2045" i="2" s="1"/>
  <c r="I2045" i="2" s="1"/>
  <c r="F2046" i="2"/>
  <c r="G2046" i="2" s="1"/>
  <c r="I2046" i="2" s="1"/>
  <c r="F2047" i="2"/>
  <c r="G2047" i="2" s="1"/>
  <c r="I2047" i="2" s="1"/>
  <c r="F2048" i="2"/>
  <c r="G2048" i="2" s="1"/>
  <c r="I2048" i="2" s="1"/>
  <c r="F2049" i="2"/>
  <c r="G2049" i="2" s="1"/>
  <c r="I2049" i="2" s="1"/>
  <c r="F2050" i="2"/>
  <c r="G2050" i="2" s="1"/>
  <c r="I2050" i="2" s="1"/>
  <c r="F2051" i="2"/>
  <c r="G2051" i="2" s="1"/>
  <c r="I2051" i="2" s="1"/>
  <c r="F2052" i="2"/>
  <c r="G2052" i="2" s="1"/>
  <c r="I2052" i="2" s="1"/>
  <c r="F2053" i="2"/>
  <c r="G2053" i="2" s="1"/>
  <c r="I2053" i="2" s="1"/>
  <c r="F2054" i="2"/>
  <c r="G2054" i="2" s="1"/>
  <c r="I2054" i="2" s="1"/>
  <c r="F2055" i="2"/>
  <c r="G2055" i="2" s="1"/>
  <c r="I2055" i="2" s="1"/>
  <c r="F2056" i="2"/>
  <c r="G2056" i="2" s="1"/>
  <c r="I2056" i="2" s="1"/>
  <c r="F2057" i="2"/>
  <c r="G2057" i="2" s="1"/>
  <c r="I2057" i="2" s="1"/>
  <c r="F2058" i="2"/>
  <c r="G2058" i="2" s="1"/>
  <c r="I2058" i="2" s="1"/>
  <c r="F2059" i="2"/>
  <c r="G2059" i="2" s="1"/>
  <c r="I2059" i="2" s="1"/>
  <c r="F2060" i="2"/>
  <c r="G2060" i="2" s="1"/>
  <c r="I2060" i="2" s="1"/>
  <c r="F2061" i="2"/>
  <c r="G2061" i="2" s="1"/>
  <c r="I2061" i="2" s="1"/>
  <c r="F2062" i="2"/>
  <c r="G2062" i="2" s="1"/>
  <c r="I2062" i="2" s="1"/>
  <c r="F2063" i="2"/>
  <c r="G2063" i="2" s="1"/>
  <c r="I2063" i="2" s="1"/>
  <c r="F2064" i="2"/>
  <c r="G2064" i="2" s="1"/>
  <c r="I2064" i="2" s="1"/>
  <c r="F2065" i="2"/>
  <c r="G2065" i="2" s="1"/>
  <c r="I2065" i="2" s="1"/>
  <c r="F2066" i="2"/>
  <c r="G2066" i="2" s="1"/>
  <c r="I2066" i="2" s="1"/>
  <c r="F2067" i="2"/>
  <c r="G2067" i="2" s="1"/>
  <c r="I2067" i="2" s="1"/>
  <c r="F2068" i="2"/>
  <c r="G2068" i="2" s="1"/>
  <c r="I2068" i="2" s="1"/>
  <c r="F2069" i="2"/>
  <c r="G2069" i="2" s="1"/>
  <c r="I2069" i="2" s="1"/>
  <c r="F2070" i="2"/>
  <c r="G2070" i="2" s="1"/>
  <c r="I2070" i="2" s="1"/>
  <c r="F2071" i="2"/>
  <c r="G2071" i="2" s="1"/>
  <c r="I2071" i="2" s="1"/>
  <c r="F2072" i="2"/>
  <c r="G2072" i="2" s="1"/>
  <c r="I2072" i="2" s="1"/>
  <c r="F2073" i="2"/>
  <c r="G2073" i="2" s="1"/>
  <c r="I2073" i="2" s="1"/>
  <c r="F2074" i="2"/>
  <c r="G2074" i="2" s="1"/>
  <c r="I2074" i="2" s="1"/>
  <c r="F2075" i="2"/>
  <c r="G2075" i="2" s="1"/>
  <c r="I2075" i="2" s="1"/>
  <c r="F2076" i="2"/>
  <c r="G2076" i="2" s="1"/>
  <c r="I2076" i="2" s="1"/>
  <c r="F2077" i="2"/>
  <c r="G2077" i="2" s="1"/>
  <c r="I2077" i="2" s="1"/>
  <c r="F2078" i="2"/>
  <c r="G2078" i="2" s="1"/>
  <c r="I2078" i="2" s="1"/>
  <c r="F2079" i="2"/>
  <c r="G2079" i="2" s="1"/>
  <c r="I2079" i="2" s="1"/>
  <c r="F2080" i="2"/>
  <c r="G2080" i="2" s="1"/>
  <c r="I2080" i="2" s="1"/>
  <c r="F2081" i="2"/>
  <c r="G2081" i="2" s="1"/>
  <c r="I2081" i="2" s="1"/>
  <c r="F2082" i="2"/>
  <c r="G2082" i="2" s="1"/>
  <c r="I2082" i="2" s="1"/>
  <c r="F2083" i="2"/>
  <c r="G2083" i="2" s="1"/>
  <c r="I2083" i="2" s="1"/>
  <c r="F2084" i="2"/>
  <c r="G2084" i="2" s="1"/>
  <c r="I2084" i="2" s="1"/>
  <c r="F2085" i="2"/>
  <c r="G2085" i="2" s="1"/>
  <c r="I2085" i="2" s="1"/>
  <c r="F2086" i="2"/>
  <c r="G2086" i="2" s="1"/>
  <c r="I2086" i="2" s="1"/>
  <c r="F2087" i="2"/>
  <c r="G2087" i="2" s="1"/>
  <c r="I2087" i="2" s="1"/>
  <c r="F2088" i="2"/>
  <c r="G2088" i="2" s="1"/>
  <c r="I2088" i="2" s="1"/>
  <c r="F2089" i="2"/>
  <c r="G2089" i="2" s="1"/>
  <c r="I2089" i="2" s="1"/>
  <c r="F2090" i="2"/>
  <c r="G2090" i="2" s="1"/>
  <c r="I2090" i="2" s="1"/>
  <c r="F2091" i="2"/>
  <c r="G2091" i="2" s="1"/>
  <c r="I2091" i="2" s="1"/>
  <c r="F2092" i="2"/>
  <c r="G2092" i="2" s="1"/>
  <c r="I2092" i="2" s="1"/>
  <c r="F2093" i="2"/>
  <c r="G2093" i="2" s="1"/>
  <c r="I2093" i="2" s="1"/>
  <c r="F2094" i="2"/>
  <c r="G2094" i="2" s="1"/>
  <c r="I2094" i="2" s="1"/>
  <c r="F2095" i="2"/>
  <c r="G2095" i="2" s="1"/>
  <c r="I2095" i="2" s="1"/>
  <c r="F2096" i="2"/>
  <c r="G2096" i="2" s="1"/>
  <c r="I2096" i="2" s="1"/>
  <c r="F2097" i="2"/>
  <c r="G2097" i="2" s="1"/>
  <c r="I2097" i="2" s="1"/>
  <c r="F2098" i="2"/>
  <c r="G2098" i="2" s="1"/>
  <c r="I2098" i="2" s="1"/>
  <c r="F2099" i="2"/>
  <c r="G2099" i="2" s="1"/>
  <c r="I2099" i="2" s="1"/>
  <c r="F2100" i="2"/>
  <c r="G2100" i="2" s="1"/>
  <c r="I2100" i="2" s="1"/>
  <c r="F2101" i="2"/>
  <c r="G2101" i="2" s="1"/>
  <c r="I2101" i="2" s="1"/>
  <c r="F2102" i="2"/>
  <c r="G2102" i="2" s="1"/>
  <c r="I2102" i="2" s="1"/>
  <c r="F2103" i="2"/>
  <c r="G2103" i="2" s="1"/>
  <c r="I2103" i="2" s="1"/>
  <c r="F2104" i="2"/>
  <c r="G2104" i="2" s="1"/>
  <c r="I2104" i="2" s="1"/>
  <c r="F2105" i="2"/>
  <c r="G2105" i="2" s="1"/>
  <c r="I2105" i="2" s="1"/>
  <c r="F2106" i="2"/>
  <c r="G2106" i="2" s="1"/>
  <c r="I2106" i="2" s="1"/>
  <c r="F2107" i="2"/>
  <c r="G2107" i="2" s="1"/>
  <c r="I2107" i="2" s="1"/>
  <c r="F2108" i="2"/>
  <c r="G2108" i="2" s="1"/>
  <c r="I2108" i="2" s="1"/>
  <c r="F2109" i="2"/>
  <c r="G2109" i="2" s="1"/>
  <c r="I2109" i="2" s="1"/>
  <c r="F2110" i="2"/>
  <c r="G2110" i="2" s="1"/>
  <c r="I2110" i="2" s="1"/>
  <c r="F2111" i="2"/>
  <c r="G2111" i="2" s="1"/>
  <c r="I2111" i="2" s="1"/>
  <c r="F2112" i="2"/>
  <c r="G2112" i="2" s="1"/>
  <c r="I2112" i="2" s="1"/>
  <c r="F2113" i="2"/>
  <c r="G2113" i="2" s="1"/>
  <c r="I2113" i="2" s="1"/>
  <c r="F2114" i="2"/>
  <c r="G2114" i="2" s="1"/>
  <c r="I2114" i="2" s="1"/>
  <c r="F2115" i="2"/>
  <c r="G2115" i="2" s="1"/>
  <c r="I2115" i="2" s="1"/>
  <c r="F2116" i="2"/>
  <c r="G2116" i="2" s="1"/>
  <c r="I2116" i="2" s="1"/>
  <c r="F2117" i="2"/>
  <c r="G2117" i="2" s="1"/>
  <c r="I2117" i="2" s="1"/>
  <c r="F2118" i="2"/>
  <c r="G2118" i="2" s="1"/>
  <c r="I2118" i="2" s="1"/>
  <c r="F2119" i="2"/>
  <c r="G2119" i="2" s="1"/>
  <c r="I2119" i="2" s="1"/>
  <c r="F2120" i="2"/>
  <c r="G2120" i="2" s="1"/>
  <c r="I2120" i="2" s="1"/>
  <c r="F2121" i="2"/>
  <c r="G2121" i="2" s="1"/>
  <c r="I2121" i="2" s="1"/>
  <c r="F2122" i="2"/>
  <c r="G2122" i="2" s="1"/>
  <c r="I2122" i="2" s="1"/>
  <c r="F2123" i="2"/>
  <c r="G2123" i="2" s="1"/>
  <c r="I2123" i="2" s="1"/>
  <c r="F2124" i="2"/>
  <c r="G2124" i="2" s="1"/>
  <c r="I2124" i="2" s="1"/>
  <c r="F2125" i="2"/>
  <c r="G2125" i="2" s="1"/>
  <c r="I2125" i="2" s="1"/>
  <c r="F2126" i="2"/>
  <c r="G2126" i="2" s="1"/>
  <c r="I2126" i="2" s="1"/>
  <c r="F2127" i="2"/>
  <c r="G2127" i="2" s="1"/>
  <c r="I2127" i="2" s="1"/>
  <c r="F2128" i="2"/>
  <c r="G2128" i="2" s="1"/>
  <c r="I2128" i="2" s="1"/>
  <c r="F2129" i="2"/>
  <c r="G2129" i="2" s="1"/>
  <c r="I2129" i="2" s="1"/>
  <c r="F2130" i="2"/>
  <c r="G2130" i="2" s="1"/>
  <c r="I2130" i="2" s="1"/>
  <c r="F2131" i="2"/>
  <c r="G2131" i="2" s="1"/>
  <c r="I2131" i="2" s="1"/>
  <c r="F2132" i="2"/>
  <c r="G2132" i="2" s="1"/>
  <c r="I2132" i="2" s="1"/>
  <c r="F2133" i="2"/>
  <c r="G2133" i="2" s="1"/>
  <c r="I2133" i="2" s="1"/>
  <c r="F2134" i="2"/>
  <c r="G2134" i="2" s="1"/>
  <c r="I2134" i="2" s="1"/>
  <c r="F2135" i="2"/>
  <c r="G2135" i="2" s="1"/>
  <c r="I2135" i="2" s="1"/>
  <c r="F2136" i="2"/>
  <c r="G2136" i="2" s="1"/>
  <c r="I2136" i="2" s="1"/>
  <c r="F2137" i="2"/>
  <c r="G2137" i="2" s="1"/>
  <c r="I2137" i="2" s="1"/>
  <c r="F2138" i="2"/>
  <c r="G2138" i="2" s="1"/>
  <c r="I2138" i="2" s="1"/>
  <c r="F2139" i="2"/>
  <c r="G2139" i="2" s="1"/>
  <c r="I2139" i="2" s="1"/>
  <c r="F2140" i="2"/>
  <c r="G2140" i="2" s="1"/>
  <c r="I2140" i="2" s="1"/>
  <c r="F2141" i="2"/>
  <c r="G2141" i="2" s="1"/>
  <c r="I2141" i="2" s="1"/>
  <c r="F2142" i="2"/>
  <c r="G2142" i="2" s="1"/>
  <c r="I2142" i="2" s="1"/>
  <c r="F2143" i="2"/>
  <c r="G2143" i="2" s="1"/>
  <c r="I2143" i="2" s="1"/>
  <c r="F2144" i="2"/>
  <c r="G2144" i="2" s="1"/>
  <c r="I2144" i="2" s="1"/>
  <c r="F2145" i="2"/>
  <c r="G2145" i="2" s="1"/>
  <c r="I2145" i="2" s="1"/>
  <c r="F2146" i="2"/>
  <c r="G2146" i="2" s="1"/>
  <c r="I2146" i="2" s="1"/>
  <c r="F2147" i="2"/>
  <c r="G2147" i="2" s="1"/>
  <c r="I2147" i="2" s="1"/>
  <c r="F2148" i="2"/>
  <c r="G2148" i="2" s="1"/>
  <c r="I2148" i="2" s="1"/>
  <c r="F2149" i="2"/>
  <c r="G2149" i="2" s="1"/>
  <c r="I2149" i="2" s="1"/>
  <c r="F2150" i="2"/>
  <c r="G2150" i="2" s="1"/>
  <c r="I2150" i="2" s="1"/>
  <c r="F2151" i="2"/>
  <c r="G2151" i="2" s="1"/>
  <c r="I2151" i="2" s="1"/>
  <c r="F2152" i="2"/>
  <c r="G2152" i="2" s="1"/>
  <c r="I2152" i="2" s="1"/>
  <c r="F1825" i="2"/>
  <c r="F1826" i="2"/>
  <c r="F1827" i="2"/>
  <c r="F1828" i="2"/>
  <c r="G1828" i="2" s="1"/>
  <c r="I1828" i="2" s="1"/>
  <c r="F1829" i="2"/>
  <c r="G1829" i="2" s="1"/>
  <c r="I1829" i="2" s="1"/>
  <c r="F1830" i="2"/>
  <c r="G1830" i="2" s="1"/>
  <c r="I1830" i="2" s="1"/>
  <c r="F1831" i="2"/>
  <c r="G1831" i="2" s="1"/>
  <c r="I1831" i="2" s="1"/>
  <c r="F1832" i="2"/>
  <c r="G1832" i="2" s="1"/>
  <c r="I1832" i="2" s="1"/>
  <c r="F1833" i="2"/>
  <c r="G1833" i="2" s="1"/>
  <c r="I1833" i="2" s="1"/>
  <c r="F1834" i="2"/>
  <c r="G1834" i="2" s="1"/>
  <c r="I1834" i="2" s="1"/>
  <c r="F1835" i="2"/>
  <c r="G1835" i="2" s="1"/>
  <c r="I1835" i="2" s="1"/>
  <c r="F1836" i="2"/>
  <c r="G1836" i="2" s="1"/>
  <c r="I1836" i="2" s="1"/>
  <c r="F1837" i="2"/>
  <c r="G1837" i="2" s="1"/>
  <c r="I1837" i="2" s="1"/>
  <c r="F1838" i="2"/>
  <c r="G1838" i="2" s="1"/>
  <c r="I1838" i="2" s="1"/>
  <c r="F1839" i="2"/>
  <c r="G1839" i="2" s="1"/>
  <c r="I1839" i="2" s="1"/>
  <c r="F1840" i="2"/>
  <c r="G1840" i="2" s="1"/>
  <c r="I1840" i="2" s="1"/>
  <c r="F1841" i="2"/>
  <c r="G1841" i="2" s="1"/>
  <c r="I1841" i="2" s="1"/>
  <c r="F1842" i="2"/>
  <c r="G1842" i="2" s="1"/>
  <c r="I1842" i="2" s="1"/>
  <c r="F1843" i="2"/>
  <c r="G1843" i="2" s="1"/>
  <c r="I1843" i="2" s="1"/>
  <c r="F1844" i="2"/>
  <c r="G1844" i="2" s="1"/>
  <c r="I1844" i="2" s="1"/>
  <c r="F1845" i="2"/>
  <c r="G1845" i="2" s="1"/>
  <c r="I1845" i="2" s="1"/>
  <c r="F1846" i="2"/>
  <c r="G1846" i="2" s="1"/>
  <c r="I1846" i="2" s="1"/>
  <c r="F1847" i="2"/>
  <c r="G1847" i="2" s="1"/>
  <c r="I1847" i="2" s="1"/>
  <c r="F1848" i="2"/>
  <c r="G1848" i="2" s="1"/>
  <c r="I1848" i="2" s="1"/>
  <c r="F1849" i="2"/>
  <c r="G1849" i="2" s="1"/>
  <c r="I1849" i="2" s="1"/>
  <c r="F1850" i="2"/>
  <c r="G1850" i="2" s="1"/>
  <c r="I1850" i="2" s="1"/>
  <c r="F1851" i="2"/>
  <c r="G1851" i="2" s="1"/>
  <c r="I1851" i="2" s="1"/>
  <c r="F1852" i="2"/>
  <c r="G1852" i="2" s="1"/>
  <c r="I1852" i="2" s="1"/>
  <c r="F1853" i="2"/>
  <c r="G1853" i="2" s="1"/>
  <c r="I1853" i="2" s="1"/>
  <c r="F1854" i="2"/>
  <c r="G1854" i="2" s="1"/>
  <c r="I1854" i="2" s="1"/>
  <c r="F1855" i="2"/>
  <c r="G1855" i="2" s="1"/>
  <c r="I1855" i="2" s="1"/>
  <c r="F1856" i="2"/>
  <c r="G1856" i="2" s="1"/>
  <c r="I1856" i="2" s="1"/>
  <c r="F1857" i="2"/>
  <c r="G1857" i="2" s="1"/>
  <c r="I1857" i="2" s="1"/>
  <c r="F1858" i="2"/>
  <c r="G1858" i="2" s="1"/>
  <c r="I1858" i="2" s="1"/>
  <c r="F1859" i="2"/>
  <c r="G1859" i="2" s="1"/>
  <c r="I1859" i="2" s="1"/>
  <c r="F1860" i="2"/>
  <c r="G1860" i="2" s="1"/>
  <c r="I1860" i="2" s="1"/>
  <c r="F1861" i="2"/>
  <c r="G1861" i="2" s="1"/>
  <c r="I1861" i="2" s="1"/>
  <c r="F1862" i="2"/>
  <c r="G1862" i="2" s="1"/>
  <c r="I1862" i="2" s="1"/>
  <c r="F1863" i="2"/>
  <c r="G1863" i="2" s="1"/>
  <c r="I1863" i="2" s="1"/>
  <c r="F1864" i="2"/>
  <c r="G1864" i="2" s="1"/>
  <c r="I1864" i="2" s="1"/>
  <c r="F1865" i="2"/>
  <c r="G1865" i="2" s="1"/>
  <c r="I1865" i="2" s="1"/>
  <c r="F1866" i="2"/>
  <c r="G1866" i="2" s="1"/>
  <c r="I1866" i="2" s="1"/>
  <c r="F1867" i="2"/>
  <c r="G1867" i="2" s="1"/>
  <c r="I1867" i="2" s="1"/>
  <c r="F1868" i="2"/>
  <c r="G1868" i="2" s="1"/>
  <c r="I1868" i="2" s="1"/>
  <c r="F1869" i="2"/>
  <c r="G1869" i="2" s="1"/>
  <c r="I1869" i="2" s="1"/>
  <c r="F1870" i="2"/>
  <c r="G1870" i="2" s="1"/>
  <c r="I1870" i="2" s="1"/>
  <c r="F1871" i="2"/>
  <c r="G1871" i="2" s="1"/>
  <c r="I1871" i="2" s="1"/>
  <c r="F1872" i="2"/>
  <c r="G1872" i="2" s="1"/>
  <c r="I1872" i="2" s="1"/>
  <c r="F1873" i="2"/>
  <c r="G1873" i="2" s="1"/>
  <c r="I1873" i="2" s="1"/>
  <c r="F1874" i="2"/>
  <c r="G1874" i="2" s="1"/>
  <c r="I1874" i="2" s="1"/>
  <c r="F1875" i="2"/>
  <c r="G1875" i="2" s="1"/>
  <c r="I1875" i="2" s="1"/>
  <c r="F1876" i="2"/>
  <c r="G1876" i="2" s="1"/>
  <c r="I1876" i="2" s="1"/>
  <c r="F1877" i="2"/>
  <c r="G1877" i="2" s="1"/>
  <c r="I1877" i="2" s="1"/>
  <c r="F1878" i="2"/>
  <c r="G1878" i="2" s="1"/>
  <c r="I1878" i="2" s="1"/>
  <c r="F1879" i="2"/>
  <c r="G1879" i="2" s="1"/>
  <c r="I1879" i="2" s="1"/>
  <c r="F1880" i="2"/>
  <c r="G1880" i="2" s="1"/>
  <c r="I1880" i="2" s="1"/>
  <c r="F1881" i="2"/>
  <c r="G1881" i="2" s="1"/>
  <c r="I1881" i="2" s="1"/>
  <c r="F1882" i="2"/>
  <c r="G1882" i="2" s="1"/>
  <c r="I1882" i="2" s="1"/>
  <c r="F1883" i="2"/>
  <c r="G1883" i="2" s="1"/>
  <c r="I1883" i="2" s="1"/>
  <c r="F1884" i="2"/>
  <c r="G1884" i="2" s="1"/>
  <c r="I1884" i="2" s="1"/>
  <c r="F1885" i="2"/>
  <c r="G1885" i="2" s="1"/>
  <c r="I1885" i="2" s="1"/>
  <c r="F1886" i="2"/>
  <c r="G1886" i="2" s="1"/>
  <c r="I1886" i="2" s="1"/>
  <c r="F1887" i="2"/>
  <c r="G1887" i="2" s="1"/>
  <c r="I1887" i="2" s="1"/>
  <c r="F1888" i="2"/>
  <c r="G1888" i="2" s="1"/>
  <c r="I1888" i="2" s="1"/>
  <c r="F1889" i="2"/>
  <c r="G1889" i="2" s="1"/>
  <c r="I1889" i="2" s="1"/>
  <c r="F1890" i="2"/>
  <c r="G1890" i="2" s="1"/>
  <c r="I1890" i="2" s="1"/>
  <c r="F1891" i="2"/>
  <c r="G1891" i="2" s="1"/>
  <c r="I1891" i="2" s="1"/>
  <c r="F1892" i="2"/>
  <c r="G1892" i="2" s="1"/>
  <c r="I1892" i="2" s="1"/>
  <c r="F1893" i="2"/>
  <c r="G1893" i="2" s="1"/>
  <c r="I1893" i="2" s="1"/>
  <c r="F1894" i="2"/>
  <c r="G1894" i="2" s="1"/>
  <c r="I1894" i="2" s="1"/>
  <c r="F1895" i="2"/>
  <c r="G1895" i="2" s="1"/>
  <c r="I1895" i="2" s="1"/>
  <c r="F1896" i="2"/>
  <c r="G1896" i="2" s="1"/>
  <c r="I1896" i="2" s="1"/>
  <c r="F1897" i="2"/>
  <c r="G1897" i="2" s="1"/>
  <c r="I1897" i="2" s="1"/>
  <c r="F1898" i="2"/>
  <c r="G1898" i="2" s="1"/>
  <c r="I1898" i="2" s="1"/>
  <c r="F1899" i="2"/>
  <c r="G1899" i="2" s="1"/>
  <c r="I1899" i="2" s="1"/>
  <c r="F1900" i="2"/>
  <c r="G1900" i="2" s="1"/>
  <c r="I1900" i="2" s="1"/>
  <c r="F1901" i="2"/>
  <c r="G1901" i="2" s="1"/>
  <c r="I1901" i="2" s="1"/>
  <c r="F1902" i="2"/>
  <c r="G1902" i="2" s="1"/>
  <c r="I1902" i="2" s="1"/>
  <c r="F1903" i="2"/>
  <c r="G1903" i="2" s="1"/>
  <c r="I1903" i="2" s="1"/>
  <c r="F1904" i="2"/>
  <c r="G1904" i="2" s="1"/>
  <c r="I1904" i="2" s="1"/>
  <c r="F1905" i="2"/>
  <c r="G1905" i="2" s="1"/>
  <c r="I1905" i="2" s="1"/>
  <c r="F1906" i="2"/>
  <c r="G1906" i="2" s="1"/>
  <c r="I1906" i="2" s="1"/>
  <c r="F1907" i="2"/>
  <c r="G1907" i="2" s="1"/>
  <c r="I1907" i="2" s="1"/>
  <c r="F1908" i="2"/>
  <c r="G1908" i="2" s="1"/>
  <c r="I1908" i="2" s="1"/>
  <c r="F1909" i="2"/>
  <c r="G1909" i="2" s="1"/>
  <c r="I1909" i="2" s="1"/>
  <c r="F1910" i="2"/>
  <c r="G1910" i="2" s="1"/>
  <c r="I1910" i="2" s="1"/>
  <c r="F1911" i="2"/>
  <c r="G1911" i="2" s="1"/>
  <c r="I1911" i="2" s="1"/>
  <c r="F1912" i="2"/>
  <c r="G1912" i="2" s="1"/>
  <c r="I1912" i="2" s="1"/>
  <c r="F1913" i="2"/>
  <c r="G1913" i="2" s="1"/>
  <c r="I1913" i="2" s="1"/>
  <c r="F1914" i="2"/>
  <c r="G1914" i="2" s="1"/>
  <c r="I1914" i="2" s="1"/>
  <c r="F1915" i="2"/>
  <c r="G1915" i="2" s="1"/>
  <c r="I1915" i="2" s="1"/>
  <c r="F1916" i="2"/>
  <c r="G1916" i="2" s="1"/>
  <c r="I1916" i="2" s="1"/>
  <c r="F1917" i="2"/>
  <c r="G1917" i="2" s="1"/>
  <c r="I1917" i="2" s="1"/>
  <c r="F1918" i="2"/>
  <c r="G1918" i="2" s="1"/>
  <c r="I1918" i="2" s="1"/>
  <c r="F1919" i="2"/>
  <c r="G1919" i="2" s="1"/>
  <c r="I1919" i="2" s="1"/>
  <c r="F1920" i="2"/>
  <c r="G1920" i="2" s="1"/>
  <c r="I1920" i="2" s="1"/>
  <c r="F1921" i="2"/>
  <c r="G1921" i="2" s="1"/>
  <c r="I1921" i="2" s="1"/>
  <c r="F1922" i="2"/>
  <c r="G1922" i="2" s="1"/>
  <c r="I1922" i="2" s="1"/>
  <c r="F1923" i="2"/>
  <c r="G1923" i="2" s="1"/>
  <c r="I1923" i="2" s="1"/>
  <c r="F1924" i="2"/>
  <c r="G1924" i="2" s="1"/>
  <c r="I1924" i="2" s="1"/>
  <c r="F1925" i="2"/>
  <c r="G1925" i="2" s="1"/>
  <c r="I1925" i="2" s="1"/>
  <c r="F1926" i="2"/>
  <c r="G1926" i="2" s="1"/>
  <c r="I1926" i="2" s="1"/>
  <c r="F1927" i="2"/>
  <c r="G1927" i="2" s="1"/>
  <c r="I1927" i="2" s="1"/>
  <c r="F1928" i="2"/>
  <c r="G1928" i="2" s="1"/>
  <c r="I1928" i="2" s="1"/>
  <c r="F1929" i="2"/>
  <c r="G1929" i="2" s="1"/>
  <c r="I1929" i="2" s="1"/>
  <c r="F1930" i="2"/>
  <c r="G1930" i="2" s="1"/>
  <c r="I1930" i="2" s="1"/>
  <c r="F1931" i="2"/>
  <c r="G1931" i="2" s="1"/>
  <c r="I1931" i="2" s="1"/>
  <c r="F1932" i="2"/>
  <c r="G1932" i="2" s="1"/>
  <c r="I1932" i="2" s="1"/>
  <c r="F1933" i="2"/>
  <c r="G1933" i="2" s="1"/>
  <c r="I1933" i="2" s="1"/>
  <c r="F1934" i="2"/>
  <c r="G1934" i="2" s="1"/>
  <c r="I1934" i="2" s="1"/>
  <c r="F1935" i="2"/>
  <c r="G1935" i="2" s="1"/>
  <c r="I1935" i="2" s="1"/>
  <c r="F1936" i="2"/>
  <c r="G1936" i="2" s="1"/>
  <c r="I1936" i="2" s="1"/>
  <c r="F1937" i="2"/>
  <c r="G1937" i="2" s="1"/>
  <c r="I1937" i="2" s="1"/>
  <c r="F1938" i="2"/>
  <c r="G1938" i="2" s="1"/>
  <c r="I1938" i="2" s="1"/>
  <c r="F1939" i="2"/>
  <c r="G1939" i="2" s="1"/>
  <c r="I1939" i="2" s="1"/>
  <c r="F1940" i="2"/>
  <c r="G1940" i="2" s="1"/>
  <c r="I1940" i="2" s="1"/>
  <c r="F1941" i="2"/>
  <c r="G1941" i="2" s="1"/>
  <c r="I1941" i="2" s="1"/>
  <c r="F1942" i="2"/>
  <c r="G1942" i="2" s="1"/>
  <c r="I1942" i="2" s="1"/>
  <c r="F1943" i="2"/>
  <c r="G1943" i="2" s="1"/>
  <c r="I1943" i="2" s="1"/>
  <c r="F1944" i="2"/>
  <c r="G1944" i="2" s="1"/>
  <c r="I1944" i="2" s="1"/>
  <c r="I2034" i="2" l="1"/>
  <c r="F1816" i="2"/>
  <c r="G1816" i="2" s="1"/>
  <c r="I1816" i="2" s="1"/>
  <c r="F1817" i="2"/>
  <c r="G1817" i="2" s="1"/>
  <c r="I1817" i="2" s="1"/>
  <c r="F1818" i="2"/>
  <c r="G1818" i="2" s="1"/>
  <c r="I1818" i="2" s="1"/>
  <c r="F1819" i="2"/>
  <c r="G1819" i="2" s="1"/>
  <c r="I1819" i="2" s="1"/>
  <c r="F1820" i="2"/>
  <c r="G1820" i="2" s="1"/>
  <c r="I1820" i="2" s="1"/>
  <c r="F1821" i="2"/>
  <c r="G1821" i="2" s="1"/>
  <c r="I1821" i="2" s="1"/>
  <c r="F1822" i="2"/>
  <c r="G1822" i="2" s="1"/>
  <c r="I1822" i="2" s="1"/>
  <c r="F1823" i="2"/>
  <c r="G1823" i="2" s="1"/>
  <c r="I1823" i="2" s="1"/>
  <c r="F1824" i="2"/>
  <c r="G1824" i="2" s="1"/>
  <c r="I1824" i="2" s="1"/>
  <c r="G1825" i="2"/>
  <c r="I1825" i="2" s="1"/>
  <c r="G1826" i="2"/>
  <c r="I1826" i="2" s="1"/>
  <c r="G1827" i="2"/>
  <c r="I1827" i="2" s="1"/>
  <c r="F1765" i="2" l="1"/>
  <c r="G1765" i="2" s="1"/>
  <c r="I1765" i="2" s="1"/>
  <c r="F1766" i="2"/>
  <c r="G1766" i="2" s="1"/>
  <c r="I1766" i="2" s="1"/>
  <c r="F1767" i="2"/>
  <c r="G1767" i="2" s="1"/>
  <c r="I1767" i="2" s="1"/>
  <c r="F1768" i="2"/>
  <c r="G1768" i="2" s="1"/>
  <c r="I1768" i="2" s="1"/>
  <c r="F1769" i="2"/>
  <c r="G1769" i="2" s="1"/>
  <c r="I1769" i="2" s="1"/>
  <c r="F1770" i="2"/>
  <c r="G1770" i="2" s="1"/>
  <c r="I1770" i="2" s="1"/>
  <c r="F1771" i="2"/>
  <c r="G1771" i="2" s="1"/>
  <c r="I1771" i="2" s="1"/>
  <c r="F1772" i="2"/>
  <c r="G1772" i="2" s="1"/>
  <c r="I1772" i="2" s="1"/>
  <c r="F1773" i="2"/>
  <c r="G1773" i="2" s="1"/>
  <c r="I1773" i="2" s="1"/>
  <c r="F1774" i="2"/>
  <c r="G1774" i="2" s="1"/>
  <c r="I1774" i="2" s="1"/>
  <c r="F1775" i="2"/>
  <c r="G1775" i="2" s="1"/>
  <c r="I1775" i="2" s="1"/>
  <c r="F1776" i="2"/>
  <c r="G1776" i="2" s="1"/>
  <c r="I1776" i="2" s="1"/>
  <c r="F1777" i="2"/>
  <c r="G1777" i="2" s="1"/>
  <c r="I1777" i="2" s="1"/>
  <c r="F1778" i="2"/>
  <c r="G1778" i="2" s="1"/>
  <c r="I1778" i="2" s="1"/>
  <c r="F1779" i="2"/>
  <c r="G1779" i="2" s="1"/>
  <c r="I1779" i="2" s="1"/>
  <c r="F1780" i="2"/>
  <c r="G1780" i="2" s="1"/>
  <c r="I1780" i="2" s="1"/>
  <c r="F1781" i="2"/>
  <c r="G1781" i="2" s="1"/>
  <c r="I1781" i="2" s="1"/>
  <c r="F1782" i="2"/>
  <c r="G1782" i="2" s="1"/>
  <c r="I1782" i="2" s="1"/>
  <c r="F1783" i="2"/>
  <c r="G1783" i="2" s="1"/>
  <c r="I1783" i="2" s="1"/>
  <c r="F1784" i="2"/>
  <c r="G1784" i="2" s="1"/>
  <c r="I1784" i="2" s="1"/>
  <c r="F1785" i="2"/>
  <c r="G1785" i="2" s="1"/>
  <c r="I1785" i="2" s="1"/>
  <c r="F1786" i="2"/>
  <c r="G1786" i="2" s="1"/>
  <c r="I1786" i="2" s="1"/>
  <c r="F1787" i="2"/>
  <c r="G1787" i="2" s="1"/>
  <c r="I1787" i="2" s="1"/>
  <c r="F1788" i="2"/>
  <c r="G1788" i="2" s="1"/>
  <c r="I1788" i="2" s="1"/>
  <c r="F1789" i="2"/>
  <c r="G1789" i="2" s="1"/>
  <c r="I1789" i="2" s="1"/>
  <c r="F1790" i="2"/>
  <c r="G1790" i="2" s="1"/>
  <c r="I1790" i="2" s="1"/>
  <c r="F1791" i="2"/>
  <c r="G1791" i="2" s="1"/>
  <c r="I1791" i="2" s="1"/>
  <c r="F1792" i="2"/>
  <c r="G1792" i="2" s="1"/>
  <c r="I1792" i="2" s="1"/>
  <c r="F1793" i="2"/>
  <c r="G1793" i="2" s="1"/>
  <c r="I1793" i="2" s="1"/>
  <c r="F1794" i="2"/>
  <c r="G1794" i="2" s="1"/>
  <c r="I1794" i="2" s="1"/>
  <c r="F1795" i="2"/>
  <c r="G1795" i="2" s="1"/>
  <c r="I1795" i="2" s="1"/>
  <c r="F1796" i="2"/>
  <c r="G1796" i="2" s="1"/>
  <c r="I1796" i="2" s="1"/>
  <c r="F1797" i="2"/>
  <c r="G1797" i="2" s="1"/>
  <c r="I1797" i="2" s="1"/>
  <c r="F1798" i="2"/>
  <c r="G1798" i="2" s="1"/>
  <c r="I1798" i="2" s="1"/>
  <c r="F1799" i="2"/>
  <c r="G1799" i="2" s="1"/>
  <c r="I1799" i="2" s="1"/>
  <c r="F1800" i="2"/>
  <c r="G1800" i="2" s="1"/>
  <c r="I1800" i="2" s="1"/>
  <c r="F1801" i="2"/>
  <c r="G1801" i="2" s="1"/>
  <c r="I1801" i="2" s="1"/>
  <c r="F1802" i="2"/>
  <c r="G1802" i="2" s="1"/>
  <c r="I1802" i="2" s="1"/>
  <c r="F1803" i="2"/>
  <c r="G1803" i="2" s="1"/>
  <c r="I1803" i="2" s="1"/>
  <c r="F1804" i="2"/>
  <c r="G1804" i="2" s="1"/>
  <c r="I1804" i="2" s="1"/>
  <c r="F1805" i="2"/>
  <c r="G1805" i="2" s="1"/>
  <c r="I1805" i="2" s="1"/>
  <c r="F1806" i="2"/>
  <c r="G1806" i="2" s="1"/>
  <c r="I1806" i="2" s="1"/>
  <c r="F1807" i="2"/>
  <c r="G1807" i="2" s="1"/>
  <c r="I1807" i="2" s="1"/>
  <c r="F1808" i="2"/>
  <c r="G1808" i="2" s="1"/>
  <c r="I1808" i="2" s="1"/>
  <c r="F1809" i="2"/>
  <c r="G1809" i="2" s="1"/>
  <c r="I1809" i="2" s="1"/>
  <c r="F1810" i="2"/>
  <c r="G1810" i="2" s="1"/>
  <c r="I1810" i="2" s="1"/>
  <c r="F1811" i="2"/>
  <c r="G1811" i="2" s="1"/>
  <c r="I1811" i="2" s="1"/>
  <c r="F1812" i="2"/>
  <c r="G1812" i="2" s="1"/>
  <c r="I1812" i="2" s="1"/>
  <c r="F1813" i="2"/>
  <c r="G1813" i="2" s="1"/>
  <c r="I1813" i="2" s="1"/>
  <c r="F1814" i="2"/>
  <c r="G1814" i="2" s="1"/>
  <c r="I1814" i="2" s="1"/>
  <c r="F1815" i="2"/>
  <c r="G1815" i="2" s="1"/>
  <c r="I1815" i="2" s="1"/>
  <c r="F1152" i="2" l="1"/>
  <c r="G1152" i="2" s="1"/>
  <c r="I1152" i="2" s="1"/>
  <c r="F1153" i="2"/>
  <c r="G1153" i="2" s="1"/>
  <c r="I1153" i="2" s="1"/>
  <c r="F1154" i="2"/>
  <c r="G1154" i="2" s="1"/>
  <c r="I1154" i="2" s="1"/>
  <c r="F1155" i="2"/>
  <c r="G1155" i="2" s="1"/>
  <c r="I1155" i="2" s="1"/>
  <c r="F1156" i="2"/>
  <c r="G1156" i="2" s="1"/>
  <c r="I1156" i="2" s="1"/>
  <c r="F1157" i="2"/>
  <c r="G1157" i="2" s="1"/>
  <c r="I1157" i="2" s="1"/>
  <c r="F1158" i="2"/>
  <c r="G1158" i="2" s="1"/>
  <c r="I1158" i="2" s="1"/>
  <c r="F1159" i="2"/>
  <c r="G1159" i="2" s="1"/>
  <c r="I1159" i="2" s="1"/>
  <c r="F1160" i="2"/>
  <c r="G1160" i="2" s="1"/>
  <c r="I1160" i="2" s="1"/>
  <c r="F1161" i="2"/>
  <c r="G1161" i="2" s="1"/>
  <c r="I1161" i="2" s="1"/>
  <c r="F1162" i="2"/>
  <c r="G1162" i="2" s="1"/>
  <c r="I1162" i="2" s="1"/>
  <c r="F1163" i="2"/>
  <c r="G1163" i="2" s="1"/>
  <c r="I1163" i="2" s="1"/>
  <c r="F1164" i="2"/>
  <c r="G1164" i="2" s="1"/>
  <c r="I1164" i="2" s="1"/>
  <c r="F1165" i="2"/>
  <c r="G1165" i="2" s="1"/>
  <c r="I1165" i="2" s="1"/>
  <c r="F1166" i="2"/>
  <c r="G1166" i="2" s="1"/>
  <c r="I1166" i="2" s="1"/>
  <c r="F1167" i="2"/>
  <c r="G1167" i="2" s="1"/>
  <c r="I1167" i="2" s="1"/>
  <c r="F1168" i="2"/>
  <c r="G1168" i="2" s="1"/>
  <c r="I1168" i="2" s="1"/>
  <c r="F1169" i="2"/>
  <c r="G1169" i="2" s="1"/>
  <c r="I1169" i="2" s="1"/>
  <c r="F1170" i="2"/>
  <c r="G1170" i="2" s="1"/>
  <c r="I1170" i="2" s="1"/>
  <c r="F1171" i="2"/>
  <c r="G1171" i="2" s="1"/>
  <c r="I1171" i="2" s="1"/>
  <c r="F1172" i="2"/>
  <c r="G1172" i="2" s="1"/>
  <c r="I1172" i="2" s="1"/>
  <c r="F1173" i="2"/>
  <c r="G1173" i="2" s="1"/>
  <c r="I1173" i="2" s="1"/>
  <c r="F1174" i="2"/>
  <c r="G1174" i="2" s="1"/>
  <c r="I1174" i="2" s="1"/>
  <c r="F1175" i="2"/>
  <c r="G1175" i="2" s="1"/>
  <c r="I1175" i="2" s="1"/>
  <c r="F1176" i="2"/>
  <c r="G1176" i="2" s="1"/>
  <c r="I1176" i="2" s="1"/>
  <c r="F1177" i="2"/>
  <c r="G1177" i="2" s="1"/>
  <c r="I1177" i="2" s="1"/>
  <c r="F1178" i="2"/>
  <c r="G1178" i="2" s="1"/>
  <c r="I1178" i="2" s="1"/>
  <c r="F1179" i="2"/>
  <c r="G1179" i="2" s="1"/>
  <c r="I1179" i="2" s="1"/>
  <c r="F1180" i="2"/>
  <c r="G1180" i="2" s="1"/>
  <c r="I1180" i="2" s="1"/>
  <c r="F1181" i="2"/>
  <c r="G1181" i="2" s="1"/>
  <c r="I1181" i="2" s="1"/>
  <c r="F1182" i="2"/>
  <c r="G1182" i="2" s="1"/>
  <c r="I1182" i="2" s="1"/>
  <c r="F1183" i="2"/>
  <c r="G1183" i="2" s="1"/>
  <c r="I1183" i="2" s="1"/>
  <c r="F1184" i="2"/>
  <c r="G1184" i="2" s="1"/>
  <c r="I1184" i="2" s="1"/>
  <c r="F1185" i="2"/>
  <c r="G1185" i="2" s="1"/>
  <c r="I1185" i="2" s="1"/>
  <c r="F1186" i="2"/>
  <c r="G1186" i="2" s="1"/>
  <c r="I1186" i="2" s="1"/>
  <c r="F1187" i="2"/>
  <c r="G1187" i="2" s="1"/>
  <c r="I1187" i="2" s="1"/>
  <c r="F1188" i="2"/>
  <c r="G1188" i="2" s="1"/>
  <c r="I1188" i="2" s="1"/>
  <c r="F1189" i="2"/>
  <c r="G1189" i="2" s="1"/>
  <c r="I1189" i="2" s="1"/>
  <c r="F1190" i="2"/>
  <c r="G1190" i="2" s="1"/>
  <c r="I1190" i="2" s="1"/>
  <c r="F1191" i="2"/>
  <c r="G1191" i="2" s="1"/>
  <c r="I1191" i="2" s="1"/>
  <c r="F1192" i="2"/>
  <c r="G1192" i="2" s="1"/>
  <c r="I1192" i="2" s="1"/>
  <c r="I1193" i="2"/>
  <c r="I1194" i="2"/>
  <c r="F1195" i="2"/>
  <c r="G1195" i="2" s="1"/>
  <c r="I1195" i="2" s="1"/>
  <c r="F1196" i="2"/>
  <c r="G1196" i="2" s="1"/>
  <c r="I1196" i="2" s="1"/>
  <c r="F1197" i="2"/>
  <c r="G1197" i="2" s="1"/>
  <c r="I1197" i="2" s="1"/>
  <c r="F1198" i="2"/>
  <c r="G1198" i="2" s="1"/>
  <c r="I1198" i="2" s="1"/>
  <c r="F1199" i="2"/>
  <c r="G1199" i="2" s="1"/>
  <c r="I1199" i="2" s="1"/>
  <c r="F1200" i="2"/>
  <c r="G1200" i="2" s="1"/>
  <c r="I1200" i="2" s="1"/>
  <c r="F1201" i="2"/>
  <c r="G1201" i="2" s="1"/>
  <c r="I1201" i="2" s="1"/>
  <c r="F1202" i="2"/>
  <c r="G1202" i="2" s="1"/>
  <c r="I1202" i="2" s="1"/>
  <c r="F1203" i="2"/>
  <c r="G1203" i="2" s="1"/>
  <c r="I1203" i="2" s="1"/>
  <c r="F1204" i="2"/>
  <c r="G1204" i="2" s="1"/>
  <c r="I1204" i="2" s="1"/>
  <c r="F1205" i="2"/>
  <c r="G1205" i="2" s="1"/>
  <c r="I1205" i="2" s="1"/>
  <c r="F1206" i="2"/>
  <c r="G1206" i="2" s="1"/>
  <c r="I1206" i="2" s="1"/>
  <c r="F1207" i="2"/>
  <c r="G1207" i="2" s="1"/>
  <c r="I1207" i="2" s="1"/>
  <c r="F1208" i="2"/>
  <c r="G1208" i="2" s="1"/>
  <c r="I1208" i="2" s="1"/>
  <c r="F1209" i="2"/>
  <c r="G1209" i="2" s="1"/>
  <c r="I1209" i="2" s="1"/>
  <c r="F1210" i="2"/>
  <c r="G1210" i="2" s="1"/>
  <c r="I1210" i="2" s="1"/>
  <c r="F1211" i="2"/>
  <c r="G1211" i="2" s="1"/>
  <c r="I1211" i="2" s="1"/>
  <c r="F1212" i="2"/>
  <c r="G1212" i="2" s="1"/>
  <c r="I1212" i="2" s="1"/>
  <c r="F1213" i="2"/>
  <c r="G1213" i="2" s="1"/>
  <c r="I1213" i="2" s="1"/>
  <c r="F1214" i="2"/>
  <c r="G1214" i="2" s="1"/>
  <c r="I1214" i="2" s="1"/>
  <c r="F1215" i="2"/>
  <c r="G1215" i="2" s="1"/>
  <c r="I1215" i="2" s="1"/>
  <c r="F1216" i="2"/>
  <c r="G1216" i="2" s="1"/>
  <c r="I1216" i="2" s="1"/>
  <c r="F1217" i="2"/>
  <c r="G1217" i="2" s="1"/>
  <c r="I1217" i="2" s="1"/>
  <c r="F1218" i="2"/>
  <c r="G1218" i="2" s="1"/>
  <c r="I1218" i="2" s="1"/>
  <c r="F1219" i="2"/>
  <c r="G1219" i="2" s="1"/>
  <c r="I1219" i="2" s="1"/>
  <c r="F1220" i="2"/>
  <c r="G1220" i="2" s="1"/>
  <c r="I1220" i="2" s="1"/>
  <c r="F1221" i="2"/>
  <c r="G1221" i="2" s="1"/>
  <c r="I1221" i="2" s="1"/>
  <c r="F1222" i="2"/>
  <c r="G1222" i="2" s="1"/>
  <c r="I1222" i="2" s="1"/>
  <c r="F1223" i="2"/>
  <c r="G1223" i="2" s="1"/>
  <c r="I1223" i="2" s="1"/>
  <c r="F1224" i="2"/>
  <c r="G1224" i="2" s="1"/>
  <c r="I1224" i="2" s="1"/>
  <c r="F1225" i="2"/>
  <c r="G1225" i="2" s="1"/>
  <c r="I1225" i="2" s="1"/>
  <c r="F1226" i="2"/>
  <c r="G1226" i="2" s="1"/>
  <c r="I1226" i="2" s="1"/>
  <c r="F1227" i="2"/>
  <c r="G1227" i="2" s="1"/>
  <c r="I1227" i="2" s="1"/>
  <c r="F1228" i="2"/>
  <c r="G1228" i="2" s="1"/>
  <c r="I1228" i="2" s="1"/>
  <c r="F1229" i="2"/>
  <c r="G1229" i="2" s="1"/>
  <c r="I1229" i="2" s="1"/>
  <c r="F1230" i="2"/>
  <c r="G1230" i="2" s="1"/>
  <c r="I1230" i="2" s="1"/>
  <c r="F1231" i="2"/>
  <c r="G1231" i="2" s="1"/>
  <c r="I1231" i="2" s="1"/>
  <c r="F1232" i="2"/>
  <c r="G1232" i="2" s="1"/>
  <c r="I1232" i="2" s="1"/>
  <c r="F1233" i="2"/>
  <c r="G1233" i="2" s="1"/>
  <c r="I1233" i="2" s="1"/>
  <c r="F1234" i="2"/>
  <c r="G1234" i="2" s="1"/>
  <c r="I1234" i="2" s="1"/>
  <c r="F1235" i="2"/>
  <c r="G1235" i="2" s="1"/>
  <c r="I1235" i="2" s="1"/>
  <c r="F1236" i="2"/>
  <c r="G1236" i="2" s="1"/>
  <c r="I1236" i="2" s="1"/>
  <c r="F1237" i="2"/>
  <c r="G1237" i="2" s="1"/>
  <c r="I1237" i="2" s="1"/>
  <c r="F1238" i="2"/>
  <c r="G1238" i="2" s="1"/>
  <c r="I1238" i="2" s="1"/>
  <c r="F1239" i="2"/>
  <c r="G1239" i="2" s="1"/>
  <c r="I1239" i="2" s="1"/>
  <c r="F1240" i="2"/>
  <c r="G1240" i="2" s="1"/>
  <c r="I1240" i="2" s="1"/>
  <c r="F1241" i="2"/>
  <c r="G1241" i="2" s="1"/>
  <c r="I1241" i="2" s="1"/>
  <c r="F1242" i="2"/>
  <c r="G1242" i="2" s="1"/>
  <c r="I1242" i="2" s="1"/>
  <c r="F1243" i="2"/>
  <c r="G1243" i="2" s="1"/>
  <c r="I1243" i="2" s="1"/>
  <c r="F1244" i="2"/>
  <c r="G1244" i="2" s="1"/>
  <c r="I1244" i="2" s="1"/>
  <c r="F1245" i="2"/>
  <c r="G1245" i="2" s="1"/>
  <c r="I1245" i="2" s="1"/>
  <c r="F1246" i="2"/>
  <c r="G1246" i="2" s="1"/>
  <c r="I1246" i="2" s="1"/>
  <c r="F1247" i="2"/>
  <c r="G1247" i="2" s="1"/>
  <c r="I1247" i="2" s="1"/>
  <c r="F1248" i="2"/>
  <c r="G1248" i="2" s="1"/>
  <c r="I1248" i="2" s="1"/>
  <c r="F1249" i="2"/>
  <c r="G1249" i="2" s="1"/>
  <c r="I1249" i="2" s="1"/>
  <c r="F1250" i="2"/>
  <c r="G1250" i="2" s="1"/>
  <c r="I1250" i="2" s="1"/>
  <c r="F1251" i="2"/>
  <c r="G1251" i="2" s="1"/>
  <c r="I1251" i="2" s="1"/>
  <c r="F1252" i="2"/>
  <c r="G1252" i="2" s="1"/>
  <c r="I1252" i="2" s="1"/>
  <c r="F1253" i="2"/>
  <c r="G1253" i="2" s="1"/>
  <c r="I1253" i="2" s="1"/>
  <c r="F1254" i="2"/>
  <c r="G1254" i="2" s="1"/>
  <c r="I1254" i="2" s="1"/>
  <c r="F1255" i="2"/>
  <c r="G1255" i="2" s="1"/>
  <c r="I1255" i="2" s="1"/>
  <c r="F1256" i="2"/>
  <c r="G1256" i="2" s="1"/>
  <c r="I1256" i="2" s="1"/>
  <c r="F1257" i="2"/>
  <c r="G1257" i="2" s="1"/>
  <c r="I1257" i="2" s="1"/>
  <c r="F1258" i="2"/>
  <c r="G1258" i="2" s="1"/>
  <c r="I1258" i="2" s="1"/>
  <c r="F1259" i="2"/>
  <c r="G1259" i="2" s="1"/>
  <c r="I1259" i="2" s="1"/>
  <c r="F1260" i="2"/>
  <c r="G1260" i="2" s="1"/>
  <c r="I1260" i="2" s="1"/>
  <c r="F1261" i="2"/>
  <c r="G1261" i="2" s="1"/>
  <c r="I1261" i="2" s="1"/>
  <c r="F1262" i="2"/>
  <c r="G1262" i="2" s="1"/>
  <c r="I1262" i="2" s="1"/>
  <c r="F1263" i="2"/>
  <c r="G1263" i="2" s="1"/>
  <c r="I1263" i="2" s="1"/>
  <c r="F1264" i="2"/>
  <c r="G1264" i="2" s="1"/>
  <c r="I1264" i="2" s="1"/>
  <c r="F1265" i="2"/>
  <c r="G1265" i="2" s="1"/>
  <c r="I1265" i="2" s="1"/>
  <c r="F1266" i="2"/>
  <c r="G1266" i="2" s="1"/>
  <c r="I1266" i="2" s="1"/>
  <c r="F1267" i="2"/>
  <c r="G1267" i="2" s="1"/>
  <c r="I1267" i="2" s="1"/>
  <c r="F1268" i="2"/>
  <c r="G1268" i="2" s="1"/>
  <c r="I1268" i="2" s="1"/>
  <c r="F1269" i="2"/>
  <c r="G1269" i="2" s="1"/>
  <c r="I1269" i="2" s="1"/>
  <c r="F1270" i="2"/>
  <c r="G1270" i="2" s="1"/>
  <c r="I1270" i="2" s="1"/>
  <c r="F1271" i="2"/>
  <c r="G1271" i="2" s="1"/>
  <c r="I1271" i="2" s="1"/>
  <c r="F1272" i="2"/>
  <c r="G1272" i="2" s="1"/>
  <c r="I1272" i="2" s="1"/>
  <c r="F1273" i="2"/>
  <c r="G1273" i="2" s="1"/>
  <c r="I1273" i="2" s="1"/>
  <c r="F1274" i="2"/>
  <c r="G1274" i="2" s="1"/>
  <c r="I1274" i="2" s="1"/>
  <c r="F1275" i="2"/>
  <c r="G1275" i="2" s="1"/>
  <c r="I1275" i="2" s="1"/>
  <c r="F1276" i="2"/>
  <c r="G1276" i="2" s="1"/>
  <c r="I1276" i="2" s="1"/>
  <c r="F1277" i="2"/>
  <c r="G1277" i="2" s="1"/>
  <c r="I1277" i="2" s="1"/>
  <c r="F1278" i="2"/>
  <c r="G1278" i="2" s="1"/>
  <c r="I1278" i="2" s="1"/>
  <c r="F1279" i="2"/>
  <c r="G1279" i="2" s="1"/>
  <c r="I1279" i="2" s="1"/>
  <c r="F1280" i="2"/>
  <c r="G1280" i="2" s="1"/>
  <c r="I1280" i="2" s="1"/>
  <c r="F1281" i="2"/>
  <c r="G1281" i="2" s="1"/>
  <c r="I1281" i="2" s="1"/>
  <c r="F1282" i="2"/>
  <c r="G1282" i="2" s="1"/>
  <c r="I1282" i="2" s="1"/>
  <c r="F1283" i="2"/>
  <c r="G1283" i="2" s="1"/>
  <c r="I1283" i="2" s="1"/>
  <c r="F1284" i="2"/>
  <c r="G1284" i="2" s="1"/>
  <c r="I1284" i="2" s="1"/>
  <c r="F1285" i="2"/>
  <c r="G1285" i="2" s="1"/>
  <c r="I1285" i="2" s="1"/>
  <c r="F1286" i="2"/>
  <c r="G1286" i="2" s="1"/>
  <c r="I1286" i="2" s="1"/>
  <c r="F1287" i="2"/>
  <c r="G1287" i="2" s="1"/>
  <c r="I1287" i="2" s="1"/>
  <c r="F1288" i="2"/>
  <c r="G1288" i="2" s="1"/>
  <c r="I1288" i="2" s="1"/>
  <c r="F1289" i="2"/>
  <c r="G1289" i="2" s="1"/>
  <c r="I1289" i="2" s="1"/>
  <c r="F1290" i="2"/>
  <c r="G1290" i="2" s="1"/>
  <c r="I1290" i="2" s="1"/>
  <c r="F1291" i="2"/>
  <c r="G1291" i="2" s="1"/>
  <c r="I1291" i="2" s="1"/>
  <c r="F1292" i="2"/>
  <c r="G1292" i="2" s="1"/>
  <c r="I1292" i="2" s="1"/>
  <c r="F1293" i="2"/>
  <c r="G1293" i="2" s="1"/>
  <c r="I1293" i="2" s="1"/>
  <c r="F1294" i="2"/>
  <c r="G1294" i="2" s="1"/>
  <c r="I1294" i="2" s="1"/>
  <c r="F1295" i="2"/>
  <c r="G1295" i="2" s="1"/>
  <c r="I1295" i="2" s="1"/>
  <c r="F1296" i="2"/>
  <c r="G1296" i="2" s="1"/>
  <c r="I1296" i="2" s="1"/>
  <c r="F1297" i="2"/>
  <c r="G1297" i="2" s="1"/>
  <c r="I1297" i="2" s="1"/>
  <c r="F1298" i="2"/>
  <c r="G1298" i="2" s="1"/>
  <c r="I1298" i="2" s="1"/>
  <c r="F1299" i="2"/>
  <c r="G1299" i="2" s="1"/>
  <c r="I1299" i="2" s="1"/>
  <c r="F1300" i="2"/>
  <c r="G1300" i="2" s="1"/>
  <c r="I1300" i="2" s="1"/>
  <c r="F1301" i="2"/>
  <c r="G1301" i="2" s="1"/>
  <c r="I1301" i="2" s="1"/>
  <c r="F1302" i="2"/>
  <c r="G1302" i="2" s="1"/>
  <c r="I1302" i="2" s="1"/>
  <c r="F1303" i="2"/>
  <c r="G1303" i="2" s="1"/>
  <c r="I1303" i="2" s="1"/>
  <c r="F1304" i="2"/>
  <c r="G1304" i="2" s="1"/>
  <c r="I1304" i="2" s="1"/>
  <c r="F1305" i="2"/>
  <c r="G1305" i="2" s="1"/>
  <c r="I1305" i="2" s="1"/>
  <c r="F1306" i="2"/>
  <c r="G1306" i="2" s="1"/>
  <c r="I1306" i="2" s="1"/>
  <c r="F1307" i="2"/>
  <c r="G1307" i="2" s="1"/>
  <c r="I1307" i="2" s="1"/>
  <c r="F1308" i="2"/>
  <c r="G1308" i="2" s="1"/>
  <c r="I1308" i="2" s="1"/>
  <c r="F1309" i="2"/>
  <c r="G1309" i="2" s="1"/>
  <c r="I1309" i="2" s="1"/>
  <c r="F1310" i="2"/>
  <c r="G1310" i="2" s="1"/>
  <c r="I1310" i="2" s="1"/>
  <c r="F1311" i="2"/>
  <c r="G1311" i="2" s="1"/>
  <c r="I1311" i="2" s="1"/>
  <c r="F1312" i="2"/>
  <c r="G1312" i="2" s="1"/>
  <c r="I1312" i="2" s="1"/>
  <c r="F1313" i="2"/>
  <c r="G1313" i="2" s="1"/>
  <c r="I1313" i="2" s="1"/>
  <c r="F1314" i="2"/>
  <c r="G1314" i="2" s="1"/>
  <c r="I1314" i="2" s="1"/>
  <c r="F1315" i="2"/>
  <c r="G1315" i="2" s="1"/>
  <c r="I1315" i="2" s="1"/>
  <c r="F1316" i="2"/>
  <c r="G1316" i="2" s="1"/>
  <c r="I1316" i="2" s="1"/>
  <c r="F1317" i="2"/>
  <c r="G1317" i="2" s="1"/>
  <c r="I1317" i="2" s="1"/>
  <c r="F1318" i="2"/>
  <c r="G1318" i="2" s="1"/>
  <c r="I1318" i="2" s="1"/>
  <c r="F1319" i="2"/>
  <c r="G1319" i="2" s="1"/>
  <c r="I1319" i="2" s="1"/>
  <c r="F1320" i="2"/>
  <c r="G1320" i="2" s="1"/>
  <c r="I1320" i="2" s="1"/>
  <c r="F1321" i="2"/>
  <c r="G1321" i="2" s="1"/>
  <c r="I1321" i="2" s="1"/>
  <c r="F1322" i="2"/>
  <c r="F1323" i="2"/>
  <c r="G1323" i="2" s="1"/>
  <c r="I1323" i="2" s="1"/>
  <c r="F1324" i="2"/>
  <c r="G1324" i="2" s="1"/>
  <c r="I1324" i="2" s="1"/>
  <c r="F1325" i="2"/>
  <c r="G1325" i="2" s="1"/>
  <c r="I1325" i="2" s="1"/>
  <c r="F1326" i="2"/>
  <c r="G1326" i="2" s="1"/>
  <c r="I1326" i="2" s="1"/>
  <c r="F1327" i="2"/>
  <c r="G1327" i="2" s="1"/>
  <c r="I1327" i="2" s="1"/>
  <c r="F1328" i="2"/>
  <c r="G1328" i="2" s="1"/>
  <c r="I1328" i="2" s="1"/>
  <c r="F1329" i="2"/>
  <c r="G1329" i="2" s="1"/>
  <c r="I1329" i="2" s="1"/>
  <c r="F1330" i="2"/>
  <c r="G1330" i="2" s="1"/>
  <c r="I1330" i="2" s="1"/>
  <c r="F1331" i="2"/>
  <c r="G1331" i="2" s="1"/>
  <c r="I1331" i="2" s="1"/>
  <c r="F1332" i="2"/>
  <c r="G1332" i="2" s="1"/>
  <c r="I1332" i="2" s="1"/>
  <c r="F1333" i="2"/>
  <c r="G1333" i="2" s="1"/>
  <c r="I1333" i="2" s="1"/>
  <c r="F1334" i="2"/>
  <c r="G1334" i="2" s="1"/>
  <c r="I1334" i="2" s="1"/>
  <c r="F1335" i="2"/>
  <c r="G1335" i="2" s="1"/>
  <c r="I1335" i="2" s="1"/>
  <c r="F1336" i="2"/>
  <c r="G1336" i="2" s="1"/>
  <c r="I1336" i="2" s="1"/>
  <c r="F1337" i="2"/>
  <c r="G1337" i="2" s="1"/>
  <c r="I1337" i="2" s="1"/>
  <c r="F1338" i="2"/>
  <c r="G1338" i="2" s="1"/>
  <c r="I1338" i="2" s="1"/>
  <c r="F1339" i="2"/>
  <c r="G1339" i="2" s="1"/>
  <c r="I1339" i="2" s="1"/>
  <c r="F1340" i="2"/>
  <c r="G1340" i="2" s="1"/>
  <c r="I1340" i="2" s="1"/>
  <c r="F1341" i="2"/>
  <c r="G1341" i="2" s="1"/>
  <c r="I1341" i="2" s="1"/>
  <c r="F1342" i="2"/>
  <c r="G1342" i="2" s="1"/>
  <c r="I1342" i="2" s="1"/>
  <c r="F1343" i="2"/>
  <c r="G1343" i="2" s="1"/>
  <c r="I1343" i="2" s="1"/>
  <c r="F1344" i="2"/>
  <c r="G1344" i="2" s="1"/>
  <c r="I1344" i="2" s="1"/>
  <c r="F1345" i="2"/>
  <c r="G1345" i="2" s="1"/>
  <c r="I1345" i="2" s="1"/>
  <c r="F1346" i="2"/>
  <c r="G1346" i="2" s="1"/>
  <c r="I1346" i="2" s="1"/>
  <c r="F1347" i="2"/>
  <c r="G1347" i="2" s="1"/>
  <c r="I1347" i="2" s="1"/>
  <c r="F1348" i="2"/>
  <c r="G1348" i="2" s="1"/>
  <c r="I1348" i="2" s="1"/>
  <c r="F1349" i="2"/>
  <c r="G1349" i="2" s="1"/>
  <c r="I1349" i="2" s="1"/>
  <c r="F1350" i="2"/>
  <c r="G1350" i="2" s="1"/>
  <c r="I1350" i="2" s="1"/>
  <c r="F1351" i="2"/>
  <c r="G1351" i="2" s="1"/>
  <c r="I1351" i="2" s="1"/>
  <c r="F1352" i="2"/>
  <c r="G1352" i="2" s="1"/>
  <c r="I1352" i="2" s="1"/>
  <c r="F1353" i="2"/>
  <c r="G1353" i="2" s="1"/>
  <c r="I1353" i="2" s="1"/>
  <c r="F1354" i="2"/>
  <c r="G1354" i="2" s="1"/>
  <c r="I1354" i="2" s="1"/>
  <c r="F1355" i="2"/>
  <c r="G1355" i="2" s="1"/>
  <c r="I1355" i="2" s="1"/>
  <c r="F1356" i="2"/>
  <c r="G1356" i="2" s="1"/>
  <c r="I1356" i="2" s="1"/>
  <c r="F1357" i="2"/>
  <c r="G1357" i="2" s="1"/>
  <c r="I1357" i="2" s="1"/>
  <c r="F1358" i="2"/>
  <c r="G1358" i="2" s="1"/>
  <c r="I1358" i="2" s="1"/>
  <c r="F1359" i="2"/>
  <c r="G1359" i="2" s="1"/>
  <c r="I1359" i="2" s="1"/>
  <c r="F1360" i="2"/>
  <c r="G1360" i="2" s="1"/>
  <c r="I1360" i="2" s="1"/>
  <c r="F1361" i="2"/>
  <c r="G1361" i="2" s="1"/>
  <c r="I1361" i="2" s="1"/>
  <c r="F1362" i="2"/>
  <c r="G1362" i="2" s="1"/>
  <c r="I1362" i="2" s="1"/>
  <c r="F1363" i="2"/>
  <c r="G1363" i="2" s="1"/>
  <c r="I1363" i="2" s="1"/>
  <c r="F1364" i="2"/>
  <c r="G1364" i="2" s="1"/>
  <c r="I1364" i="2" s="1"/>
  <c r="F1365" i="2"/>
  <c r="G1365" i="2" s="1"/>
  <c r="I1365" i="2" s="1"/>
  <c r="F1366" i="2"/>
  <c r="G1366" i="2" s="1"/>
  <c r="I1366" i="2" s="1"/>
  <c r="F1367" i="2"/>
  <c r="G1367" i="2" s="1"/>
  <c r="I1367" i="2" s="1"/>
  <c r="F1368" i="2"/>
  <c r="G1368" i="2" s="1"/>
  <c r="I1368" i="2" s="1"/>
  <c r="F1369" i="2"/>
  <c r="G1369" i="2" s="1"/>
  <c r="I1369" i="2" s="1"/>
  <c r="F1370" i="2"/>
  <c r="G1370" i="2" s="1"/>
  <c r="I1370" i="2" s="1"/>
  <c r="F1371" i="2"/>
  <c r="G1371" i="2" s="1"/>
  <c r="I1371" i="2" s="1"/>
  <c r="F1372" i="2"/>
  <c r="G1372" i="2" s="1"/>
  <c r="I1372" i="2" s="1"/>
  <c r="F1373" i="2"/>
  <c r="G1373" i="2" s="1"/>
  <c r="I1373" i="2" s="1"/>
  <c r="F1374" i="2"/>
  <c r="G1374" i="2" s="1"/>
  <c r="I1374" i="2" s="1"/>
  <c r="F1375" i="2"/>
  <c r="G1375" i="2" s="1"/>
  <c r="I1375" i="2" s="1"/>
  <c r="F1376" i="2"/>
  <c r="G1376" i="2" s="1"/>
  <c r="I1376" i="2" s="1"/>
  <c r="F1377" i="2"/>
  <c r="G1377" i="2" s="1"/>
  <c r="I1377" i="2" s="1"/>
  <c r="F1378" i="2"/>
  <c r="G1378" i="2" s="1"/>
  <c r="I1378" i="2" s="1"/>
  <c r="F1379" i="2"/>
  <c r="G1379" i="2" s="1"/>
  <c r="I1379" i="2" s="1"/>
  <c r="F1380" i="2"/>
  <c r="G1380" i="2" s="1"/>
  <c r="I1380" i="2" s="1"/>
  <c r="F1381" i="2"/>
  <c r="G1381" i="2" s="1"/>
  <c r="I1381" i="2" s="1"/>
  <c r="F1382" i="2"/>
  <c r="G1382" i="2" s="1"/>
  <c r="I1382" i="2" s="1"/>
  <c r="F1383" i="2"/>
  <c r="G1383" i="2" s="1"/>
  <c r="I1383" i="2" s="1"/>
  <c r="F1384" i="2"/>
  <c r="G1384" i="2" s="1"/>
  <c r="I1384" i="2" s="1"/>
  <c r="F1385" i="2"/>
  <c r="G1385" i="2" s="1"/>
  <c r="I1385" i="2" s="1"/>
  <c r="F1386" i="2"/>
  <c r="G1386" i="2" s="1"/>
  <c r="I1386" i="2" s="1"/>
  <c r="F1387" i="2"/>
  <c r="G1387" i="2" s="1"/>
  <c r="I1387" i="2" s="1"/>
  <c r="F1388" i="2"/>
  <c r="G1388" i="2" s="1"/>
  <c r="I1388" i="2" s="1"/>
  <c r="F1389" i="2"/>
  <c r="G1389" i="2" s="1"/>
  <c r="I1389" i="2" s="1"/>
  <c r="F1390" i="2"/>
  <c r="G1390" i="2" s="1"/>
  <c r="I1390" i="2" s="1"/>
  <c r="F1391" i="2"/>
  <c r="G1391" i="2" s="1"/>
  <c r="I1391" i="2" s="1"/>
  <c r="F1392" i="2"/>
  <c r="G1392" i="2" s="1"/>
  <c r="I1392" i="2" s="1"/>
  <c r="F1393" i="2"/>
  <c r="G1393" i="2" s="1"/>
  <c r="I1393" i="2" s="1"/>
  <c r="F1394" i="2"/>
  <c r="G1394" i="2" s="1"/>
  <c r="I1394" i="2" s="1"/>
  <c r="F1395" i="2"/>
  <c r="G1395" i="2" s="1"/>
  <c r="I1395" i="2" s="1"/>
  <c r="F1396" i="2"/>
  <c r="G1396" i="2" s="1"/>
  <c r="I1396" i="2" s="1"/>
  <c r="F1397" i="2"/>
  <c r="G1397" i="2" s="1"/>
  <c r="I1397" i="2" s="1"/>
  <c r="F1398" i="2"/>
  <c r="G1398" i="2" s="1"/>
  <c r="I1398" i="2" s="1"/>
  <c r="F1399" i="2"/>
  <c r="G1399" i="2" s="1"/>
  <c r="I1399" i="2" s="1"/>
  <c r="F1400" i="2"/>
  <c r="G1400" i="2" s="1"/>
  <c r="I1400" i="2" s="1"/>
  <c r="F1401" i="2"/>
  <c r="G1401" i="2" s="1"/>
  <c r="I1401" i="2" s="1"/>
  <c r="F1402" i="2"/>
  <c r="G1402" i="2" s="1"/>
  <c r="I1402" i="2" s="1"/>
  <c r="F1403" i="2"/>
  <c r="G1403" i="2" s="1"/>
  <c r="I1403" i="2" s="1"/>
  <c r="F1404" i="2"/>
  <c r="G1404" i="2" s="1"/>
  <c r="I1404" i="2" s="1"/>
  <c r="F1405" i="2"/>
  <c r="G1405" i="2" s="1"/>
  <c r="I1405" i="2" s="1"/>
  <c r="F1406" i="2"/>
  <c r="G1406" i="2" s="1"/>
  <c r="I1406" i="2" s="1"/>
  <c r="F1407" i="2"/>
  <c r="G1407" i="2" s="1"/>
  <c r="I1407" i="2" s="1"/>
  <c r="F1408" i="2"/>
  <c r="G1408" i="2" s="1"/>
  <c r="I1408" i="2" s="1"/>
  <c r="F1409" i="2"/>
  <c r="G1409" i="2" s="1"/>
  <c r="I1409" i="2" s="1"/>
  <c r="F1410" i="2"/>
  <c r="G1410" i="2" s="1"/>
  <c r="I1410" i="2" s="1"/>
  <c r="F1411" i="2"/>
  <c r="G1411" i="2" s="1"/>
  <c r="I1411" i="2" s="1"/>
  <c r="F1412" i="2"/>
  <c r="G1412" i="2" s="1"/>
  <c r="I1412" i="2" s="1"/>
  <c r="F1413" i="2"/>
  <c r="G1413" i="2" s="1"/>
  <c r="I1413" i="2" s="1"/>
  <c r="F1414" i="2"/>
  <c r="G1414" i="2" s="1"/>
  <c r="I1414" i="2" s="1"/>
  <c r="F1415" i="2"/>
  <c r="G1415" i="2" s="1"/>
  <c r="I1415" i="2" s="1"/>
  <c r="F1416" i="2"/>
  <c r="G1416" i="2" s="1"/>
  <c r="I1416" i="2" s="1"/>
  <c r="F1417" i="2"/>
  <c r="G1417" i="2" s="1"/>
  <c r="I1417" i="2" s="1"/>
  <c r="F1418" i="2"/>
  <c r="G1418" i="2" s="1"/>
  <c r="I1418" i="2" s="1"/>
  <c r="F1419" i="2"/>
  <c r="G1419" i="2" s="1"/>
  <c r="I1419" i="2" s="1"/>
  <c r="F1420" i="2"/>
  <c r="G1420" i="2" s="1"/>
  <c r="I1420" i="2" s="1"/>
  <c r="F1421" i="2"/>
  <c r="G1421" i="2" s="1"/>
  <c r="I1421" i="2" s="1"/>
  <c r="F1422" i="2"/>
  <c r="G1422" i="2" s="1"/>
  <c r="I1422" i="2" s="1"/>
  <c r="F1423" i="2"/>
  <c r="G1423" i="2" s="1"/>
  <c r="I1423" i="2" s="1"/>
  <c r="F1424" i="2"/>
  <c r="G1424" i="2" s="1"/>
  <c r="I1424" i="2" s="1"/>
  <c r="F1425" i="2"/>
  <c r="G1425" i="2" s="1"/>
  <c r="I1425" i="2" s="1"/>
  <c r="F1426" i="2"/>
  <c r="G1426" i="2" s="1"/>
  <c r="I1426" i="2" s="1"/>
  <c r="F1427" i="2"/>
  <c r="G1427" i="2" s="1"/>
  <c r="I1427" i="2" s="1"/>
  <c r="F1428" i="2"/>
  <c r="G1428" i="2" s="1"/>
  <c r="I1428" i="2" s="1"/>
  <c r="F1429" i="2"/>
  <c r="G1429" i="2" s="1"/>
  <c r="I1429" i="2" s="1"/>
  <c r="F1430" i="2"/>
  <c r="G1430" i="2" s="1"/>
  <c r="I1430" i="2" s="1"/>
  <c r="F1431" i="2"/>
  <c r="G1431" i="2" s="1"/>
  <c r="I1431" i="2" s="1"/>
  <c r="F1432" i="2"/>
  <c r="G1432" i="2" s="1"/>
  <c r="I1432" i="2" s="1"/>
  <c r="F1433" i="2"/>
  <c r="G1433" i="2" s="1"/>
  <c r="I1433" i="2" s="1"/>
  <c r="F1434" i="2"/>
  <c r="G1434" i="2" s="1"/>
  <c r="I1434" i="2" s="1"/>
  <c r="F1435" i="2"/>
  <c r="G1435" i="2" s="1"/>
  <c r="I1435" i="2" s="1"/>
  <c r="F1436" i="2"/>
  <c r="G1436" i="2" s="1"/>
  <c r="I1436" i="2" s="1"/>
  <c r="F1437" i="2"/>
  <c r="G1437" i="2" s="1"/>
  <c r="I1437" i="2" s="1"/>
  <c r="F1438" i="2"/>
  <c r="G1438" i="2" s="1"/>
  <c r="I1438" i="2" s="1"/>
  <c r="F1439" i="2"/>
  <c r="G1439" i="2" s="1"/>
  <c r="I1439" i="2" s="1"/>
  <c r="F1440" i="2"/>
  <c r="G1440" i="2" s="1"/>
  <c r="I1440" i="2" s="1"/>
  <c r="F1441" i="2"/>
  <c r="G1441" i="2" s="1"/>
  <c r="I1441" i="2" s="1"/>
  <c r="F1442" i="2"/>
  <c r="G1442" i="2" s="1"/>
  <c r="I1442" i="2" s="1"/>
  <c r="F1443" i="2"/>
  <c r="G1443" i="2" s="1"/>
  <c r="I1443" i="2" s="1"/>
  <c r="F1444" i="2"/>
  <c r="G1444" i="2" s="1"/>
  <c r="I1444" i="2" s="1"/>
  <c r="F1445" i="2"/>
  <c r="G1445" i="2" s="1"/>
  <c r="I1445" i="2" s="1"/>
  <c r="F1446" i="2"/>
  <c r="G1446" i="2" s="1"/>
  <c r="I1446" i="2" s="1"/>
  <c r="F1447" i="2"/>
  <c r="G1447" i="2" s="1"/>
  <c r="I1447" i="2" s="1"/>
  <c r="F1448" i="2"/>
  <c r="G1448" i="2" s="1"/>
  <c r="I1448" i="2" s="1"/>
  <c r="F1449" i="2"/>
  <c r="G1449" i="2" s="1"/>
  <c r="I1449" i="2" s="1"/>
  <c r="F1450" i="2"/>
  <c r="G1450" i="2" s="1"/>
  <c r="I1450" i="2" s="1"/>
  <c r="F1451" i="2"/>
  <c r="G1451" i="2" s="1"/>
  <c r="I1451" i="2" s="1"/>
  <c r="F1452" i="2"/>
  <c r="G1452" i="2" s="1"/>
  <c r="I1452" i="2" s="1"/>
  <c r="F1453" i="2"/>
  <c r="G1453" i="2" s="1"/>
  <c r="I1453" i="2" s="1"/>
  <c r="F1454" i="2"/>
  <c r="G1454" i="2" s="1"/>
  <c r="I1454" i="2" s="1"/>
  <c r="F1455" i="2"/>
  <c r="G1455" i="2" s="1"/>
  <c r="I1455" i="2" s="1"/>
  <c r="F1456" i="2"/>
  <c r="G1456" i="2" s="1"/>
  <c r="I1456" i="2" s="1"/>
  <c r="F1457" i="2"/>
  <c r="G1457" i="2" s="1"/>
  <c r="I1457" i="2" s="1"/>
  <c r="F1458" i="2"/>
  <c r="G1458" i="2" s="1"/>
  <c r="I1458" i="2" s="1"/>
  <c r="F1459" i="2"/>
  <c r="G1459" i="2" s="1"/>
  <c r="I1459" i="2" s="1"/>
  <c r="F1460" i="2"/>
  <c r="G1460" i="2" s="1"/>
  <c r="I1460" i="2" s="1"/>
  <c r="F1461" i="2"/>
  <c r="G1461" i="2" s="1"/>
  <c r="I1461" i="2" s="1"/>
  <c r="F1462" i="2"/>
  <c r="G1462" i="2" s="1"/>
  <c r="I1462" i="2" s="1"/>
  <c r="F1463" i="2"/>
  <c r="G1463" i="2" s="1"/>
  <c r="I1463" i="2" s="1"/>
  <c r="F1464" i="2"/>
  <c r="G1464" i="2" s="1"/>
  <c r="I1464" i="2" s="1"/>
  <c r="F1465" i="2"/>
  <c r="G1465" i="2" s="1"/>
  <c r="I1465" i="2" s="1"/>
  <c r="F1466" i="2"/>
  <c r="G1466" i="2" s="1"/>
  <c r="I1466" i="2" s="1"/>
  <c r="F1467" i="2"/>
  <c r="G1467" i="2" s="1"/>
  <c r="I1467" i="2" s="1"/>
  <c r="F1468" i="2"/>
  <c r="G1468" i="2" s="1"/>
  <c r="I1468" i="2" s="1"/>
  <c r="F1469" i="2"/>
  <c r="G1469" i="2" s="1"/>
  <c r="I1469" i="2" s="1"/>
  <c r="F1470" i="2"/>
  <c r="G1470" i="2" s="1"/>
  <c r="I1470" i="2" s="1"/>
  <c r="F1471" i="2"/>
  <c r="G1471" i="2" s="1"/>
  <c r="I1471" i="2" s="1"/>
  <c r="F1472" i="2"/>
  <c r="G1472" i="2" s="1"/>
  <c r="I1472" i="2" s="1"/>
  <c r="F1473" i="2"/>
  <c r="G1473" i="2" s="1"/>
  <c r="I1473" i="2" s="1"/>
  <c r="F1474" i="2"/>
  <c r="G1474" i="2" s="1"/>
  <c r="I1474" i="2" s="1"/>
  <c r="F1475" i="2"/>
  <c r="G1475" i="2" s="1"/>
  <c r="I1475" i="2" s="1"/>
  <c r="F1476" i="2"/>
  <c r="G1476" i="2" s="1"/>
  <c r="I1476" i="2" s="1"/>
  <c r="F1477" i="2"/>
  <c r="G1477" i="2" s="1"/>
  <c r="I1477" i="2" s="1"/>
  <c r="F1478" i="2"/>
  <c r="G1478" i="2" s="1"/>
  <c r="I1478" i="2" s="1"/>
  <c r="F1479" i="2"/>
  <c r="G1479" i="2" s="1"/>
  <c r="I1479" i="2" s="1"/>
  <c r="F1480" i="2"/>
  <c r="G1480" i="2" s="1"/>
  <c r="I1480" i="2" s="1"/>
  <c r="F1481" i="2"/>
  <c r="G1481" i="2" s="1"/>
  <c r="I1481" i="2" s="1"/>
  <c r="F1482" i="2"/>
  <c r="G1482" i="2" s="1"/>
  <c r="I1482" i="2" s="1"/>
  <c r="F1483" i="2"/>
  <c r="G1483" i="2" s="1"/>
  <c r="I1483" i="2" s="1"/>
  <c r="F1484" i="2"/>
  <c r="G1484" i="2" s="1"/>
  <c r="I1484" i="2" s="1"/>
  <c r="F1485" i="2"/>
  <c r="G1485" i="2" s="1"/>
  <c r="I1485" i="2" s="1"/>
  <c r="F1486" i="2"/>
  <c r="G1486" i="2" s="1"/>
  <c r="I1486" i="2" s="1"/>
  <c r="F1487" i="2"/>
  <c r="G1487" i="2" s="1"/>
  <c r="I1487" i="2" s="1"/>
  <c r="F1488" i="2"/>
  <c r="G1488" i="2" s="1"/>
  <c r="I1488" i="2" s="1"/>
  <c r="F1489" i="2"/>
  <c r="G1489" i="2" s="1"/>
  <c r="I1489" i="2" s="1"/>
  <c r="F1490" i="2"/>
  <c r="G1490" i="2" s="1"/>
  <c r="I1490" i="2" s="1"/>
  <c r="F1491" i="2"/>
  <c r="G1491" i="2" s="1"/>
  <c r="I1491" i="2" s="1"/>
  <c r="F1492" i="2"/>
  <c r="G1492" i="2" s="1"/>
  <c r="I1492" i="2" s="1"/>
  <c r="F1493" i="2"/>
  <c r="G1493" i="2" s="1"/>
  <c r="I1493" i="2" s="1"/>
  <c r="F1494" i="2"/>
  <c r="G1494" i="2" s="1"/>
  <c r="I1494" i="2" s="1"/>
  <c r="F1495" i="2"/>
  <c r="G1495" i="2" s="1"/>
  <c r="I1495" i="2" s="1"/>
  <c r="F1496" i="2"/>
  <c r="G1496" i="2" s="1"/>
  <c r="I1496" i="2" s="1"/>
  <c r="F1497" i="2"/>
  <c r="G1497" i="2" s="1"/>
  <c r="I1497" i="2" s="1"/>
  <c r="F1498" i="2"/>
  <c r="G1498" i="2" s="1"/>
  <c r="I1498" i="2" s="1"/>
  <c r="F1499" i="2"/>
  <c r="G1499" i="2" s="1"/>
  <c r="I1499" i="2" s="1"/>
  <c r="F1500" i="2"/>
  <c r="G1500" i="2" s="1"/>
  <c r="I1500" i="2" s="1"/>
  <c r="F1501" i="2"/>
  <c r="G1501" i="2" s="1"/>
  <c r="I1501" i="2" s="1"/>
  <c r="F1502" i="2"/>
  <c r="G1502" i="2" s="1"/>
  <c r="I1502" i="2" s="1"/>
  <c r="F1503" i="2"/>
  <c r="G1503" i="2" s="1"/>
  <c r="I1503" i="2" s="1"/>
  <c r="F1504" i="2"/>
  <c r="G1504" i="2" s="1"/>
  <c r="I1504" i="2" s="1"/>
  <c r="F1505" i="2"/>
  <c r="G1505" i="2" s="1"/>
  <c r="I1505" i="2" s="1"/>
  <c r="F1506" i="2"/>
  <c r="G1506" i="2" s="1"/>
  <c r="I1506" i="2" s="1"/>
  <c r="F1507" i="2"/>
  <c r="G1507" i="2" s="1"/>
  <c r="I1507" i="2" s="1"/>
  <c r="F1508" i="2"/>
  <c r="G1508" i="2" s="1"/>
  <c r="I1508" i="2" s="1"/>
  <c r="F1509" i="2"/>
  <c r="G1509" i="2" s="1"/>
  <c r="I1509" i="2" s="1"/>
  <c r="F1510" i="2"/>
  <c r="G1510" i="2" s="1"/>
  <c r="I1510" i="2" s="1"/>
  <c r="F1511" i="2"/>
  <c r="G1511" i="2" s="1"/>
  <c r="I1511" i="2" s="1"/>
  <c r="F1512" i="2"/>
  <c r="G1512" i="2" s="1"/>
  <c r="I1512" i="2" s="1"/>
  <c r="F1513" i="2"/>
  <c r="G1513" i="2" s="1"/>
  <c r="I1513" i="2" s="1"/>
  <c r="F1514" i="2"/>
  <c r="G1514" i="2" s="1"/>
  <c r="I1514" i="2" s="1"/>
  <c r="F1515" i="2"/>
  <c r="G1515" i="2" s="1"/>
  <c r="I1515" i="2" s="1"/>
  <c r="F1516" i="2"/>
  <c r="G1516" i="2" s="1"/>
  <c r="I1516" i="2" s="1"/>
  <c r="F1517" i="2"/>
  <c r="G1517" i="2" s="1"/>
  <c r="I1517" i="2" s="1"/>
  <c r="F1518" i="2"/>
  <c r="G1518" i="2" s="1"/>
  <c r="I1518" i="2" s="1"/>
  <c r="F1519" i="2"/>
  <c r="G1519" i="2" s="1"/>
  <c r="I1519" i="2" s="1"/>
  <c r="F1520" i="2"/>
  <c r="G1520" i="2" s="1"/>
  <c r="I1520" i="2" s="1"/>
  <c r="F1521" i="2"/>
  <c r="G1521" i="2" s="1"/>
  <c r="I1521" i="2" s="1"/>
  <c r="F1522" i="2"/>
  <c r="G1522" i="2" s="1"/>
  <c r="I1522" i="2" s="1"/>
  <c r="F1523" i="2"/>
  <c r="G1523" i="2" s="1"/>
  <c r="I1523" i="2" s="1"/>
  <c r="F1524" i="2"/>
  <c r="G1524" i="2" s="1"/>
  <c r="I1524" i="2" s="1"/>
  <c r="F1525" i="2"/>
  <c r="G1525" i="2" s="1"/>
  <c r="I1525" i="2" s="1"/>
  <c r="F1526" i="2"/>
  <c r="G1526" i="2" s="1"/>
  <c r="I1526" i="2" s="1"/>
  <c r="F1527" i="2"/>
  <c r="G1527" i="2" s="1"/>
  <c r="I1527" i="2" s="1"/>
  <c r="F1528" i="2"/>
  <c r="G1528" i="2" s="1"/>
  <c r="I1528" i="2" s="1"/>
  <c r="F1529" i="2"/>
  <c r="G1529" i="2" s="1"/>
  <c r="I1529" i="2" s="1"/>
  <c r="F1530" i="2"/>
  <c r="G1530" i="2" s="1"/>
  <c r="I1530" i="2" s="1"/>
  <c r="F1531" i="2"/>
  <c r="G1531" i="2" s="1"/>
  <c r="I1531" i="2" s="1"/>
  <c r="F1532" i="2"/>
  <c r="G1532" i="2" s="1"/>
  <c r="I1532" i="2" s="1"/>
  <c r="F1533" i="2"/>
  <c r="G1533" i="2" s="1"/>
  <c r="I1533" i="2" s="1"/>
  <c r="F1534" i="2"/>
  <c r="G1534" i="2" s="1"/>
  <c r="I1534" i="2" s="1"/>
  <c r="F1535" i="2"/>
  <c r="G1535" i="2" s="1"/>
  <c r="I1535" i="2" s="1"/>
  <c r="F1536" i="2"/>
  <c r="G1536" i="2" s="1"/>
  <c r="I1536" i="2" s="1"/>
  <c r="F1537" i="2"/>
  <c r="G1537" i="2" s="1"/>
  <c r="I1537" i="2" s="1"/>
  <c r="F1538" i="2"/>
  <c r="G1538" i="2" s="1"/>
  <c r="I1538" i="2" s="1"/>
  <c r="F1539" i="2"/>
  <c r="G1539" i="2" s="1"/>
  <c r="I1539" i="2" s="1"/>
  <c r="F1540" i="2"/>
  <c r="G1540" i="2" s="1"/>
  <c r="I1540" i="2" s="1"/>
  <c r="F1541" i="2"/>
  <c r="G1541" i="2" s="1"/>
  <c r="I1541" i="2" s="1"/>
  <c r="F1542" i="2"/>
  <c r="G1542" i="2" s="1"/>
  <c r="I1542" i="2" s="1"/>
  <c r="F1543" i="2"/>
  <c r="G1543" i="2" s="1"/>
  <c r="I1543" i="2" s="1"/>
  <c r="F1544" i="2"/>
  <c r="G1544" i="2" s="1"/>
  <c r="I1544" i="2" s="1"/>
  <c r="F1545" i="2"/>
  <c r="G1545" i="2" s="1"/>
  <c r="I1545" i="2" s="1"/>
  <c r="F1546" i="2"/>
  <c r="G1546" i="2" s="1"/>
  <c r="I1546" i="2" s="1"/>
  <c r="F1547" i="2"/>
  <c r="G1547" i="2" s="1"/>
  <c r="I1547" i="2" s="1"/>
  <c r="F1548" i="2"/>
  <c r="G1548" i="2" s="1"/>
  <c r="I1548" i="2" s="1"/>
  <c r="F1549" i="2"/>
  <c r="G1549" i="2" s="1"/>
  <c r="I1549" i="2" s="1"/>
  <c r="F1550" i="2"/>
  <c r="G1550" i="2" s="1"/>
  <c r="I1550" i="2" s="1"/>
  <c r="F1551" i="2"/>
  <c r="G1551" i="2" s="1"/>
  <c r="I1551" i="2" s="1"/>
  <c r="F1552" i="2"/>
  <c r="G1552" i="2" s="1"/>
  <c r="I1552" i="2" s="1"/>
  <c r="F1553" i="2"/>
  <c r="G1553" i="2" s="1"/>
  <c r="I1553" i="2" s="1"/>
  <c r="F1554" i="2"/>
  <c r="G1554" i="2" s="1"/>
  <c r="I1554" i="2" s="1"/>
  <c r="F1555" i="2"/>
  <c r="G1555" i="2" s="1"/>
  <c r="I1555" i="2" s="1"/>
  <c r="F1556" i="2"/>
  <c r="G1556" i="2" s="1"/>
  <c r="I1556" i="2" s="1"/>
  <c r="F1557" i="2"/>
  <c r="G1557" i="2" s="1"/>
  <c r="I1557" i="2" s="1"/>
  <c r="F1558" i="2"/>
  <c r="G1558" i="2" s="1"/>
  <c r="I1558" i="2" s="1"/>
  <c r="F1559" i="2"/>
  <c r="G1559" i="2" s="1"/>
  <c r="I1559" i="2" s="1"/>
  <c r="F1560" i="2"/>
  <c r="G1560" i="2" s="1"/>
  <c r="I1560" i="2" s="1"/>
  <c r="F1561" i="2"/>
  <c r="G1561" i="2" s="1"/>
  <c r="I1561" i="2" s="1"/>
  <c r="F1562" i="2"/>
  <c r="G1562" i="2" s="1"/>
  <c r="I1562" i="2" s="1"/>
  <c r="F1563" i="2"/>
  <c r="G1563" i="2" s="1"/>
  <c r="I1563" i="2" s="1"/>
  <c r="F1564" i="2"/>
  <c r="G1564" i="2" s="1"/>
  <c r="I1564" i="2" s="1"/>
  <c r="F1565" i="2"/>
  <c r="G1565" i="2" s="1"/>
  <c r="I1565" i="2" s="1"/>
  <c r="F1566" i="2"/>
  <c r="G1566" i="2" s="1"/>
  <c r="I1566" i="2" s="1"/>
  <c r="F1567" i="2"/>
  <c r="G1567" i="2" s="1"/>
  <c r="I1567" i="2" s="1"/>
  <c r="F1568" i="2"/>
  <c r="G1568" i="2" s="1"/>
  <c r="I1568" i="2" s="1"/>
  <c r="F1569" i="2"/>
  <c r="G1569" i="2" s="1"/>
  <c r="I1569" i="2" s="1"/>
  <c r="F1570" i="2"/>
  <c r="G1570" i="2" s="1"/>
  <c r="I1570" i="2" s="1"/>
  <c r="F1571" i="2"/>
  <c r="G1571" i="2" s="1"/>
  <c r="I1571" i="2" s="1"/>
  <c r="F1572" i="2"/>
  <c r="G1572" i="2" s="1"/>
  <c r="I1572" i="2" s="1"/>
  <c r="F1573" i="2"/>
  <c r="G1573" i="2" s="1"/>
  <c r="I1573" i="2" s="1"/>
  <c r="F1574" i="2"/>
  <c r="G1574" i="2" s="1"/>
  <c r="I1574" i="2" s="1"/>
  <c r="F1575" i="2"/>
  <c r="G1575" i="2" s="1"/>
  <c r="I1575" i="2" s="1"/>
  <c r="F1576" i="2"/>
  <c r="G1576" i="2" s="1"/>
  <c r="I1576" i="2" s="1"/>
  <c r="F1577" i="2"/>
  <c r="G1577" i="2" s="1"/>
  <c r="I1577" i="2" s="1"/>
  <c r="F1578" i="2"/>
  <c r="G1578" i="2" s="1"/>
  <c r="I1578" i="2" s="1"/>
  <c r="F1579" i="2"/>
  <c r="G1579" i="2" s="1"/>
  <c r="I1579" i="2" s="1"/>
  <c r="F1580" i="2"/>
  <c r="G1580" i="2" s="1"/>
  <c r="I1580" i="2" s="1"/>
  <c r="F1581" i="2"/>
  <c r="G1581" i="2" s="1"/>
  <c r="I1581" i="2" s="1"/>
  <c r="F1582" i="2"/>
  <c r="G1582" i="2" s="1"/>
  <c r="I1582" i="2" s="1"/>
  <c r="F1583" i="2"/>
  <c r="G1583" i="2" s="1"/>
  <c r="I1583" i="2" s="1"/>
  <c r="F1584" i="2"/>
  <c r="G1584" i="2" s="1"/>
  <c r="I1584" i="2" s="1"/>
  <c r="F1585" i="2"/>
  <c r="G1585" i="2" s="1"/>
  <c r="I1585" i="2" s="1"/>
  <c r="F1586" i="2"/>
  <c r="G1586" i="2" s="1"/>
  <c r="I1586" i="2" s="1"/>
  <c r="F1587" i="2"/>
  <c r="G1587" i="2" s="1"/>
  <c r="I1587" i="2" s="1"/>
  <c r="F1588" i="2"/>
  <c r="G1588" i="2" s="1"/>
  <c r="I1588" i="2" s="1"/>
  <c r="F1589" i="2"/>
  <c r="G1589" i="2" s="1"/>
  <c r="I1589" i="2" s="1"/>
  <c r="F1590" i="2"/>
  <c r="G1590" i="2" s="1"/>
  <c r="I1590" i="2" s="1"/>
  <c r="F1591" i="2"/>
  <c r="G1591" i="2" s="1"/>
  <c r="I1591" i="2" s="1"/>
  <c r="F1592" i="2"/>
  <c r="G1592" i="2" s="1"/>
  <c r="I1592" i="2" s="1"/>
  <c r="F1593" i="2"/>
  <c r="G1593" i="2" s="1"/>
  <c r="I1593" i="2" s="1"/>
  <c r="F1594" i="2"/>
  <c r="G1594" i="2" s="1"/>
  <c r="I1594" i="2" s="1"/>
  <c r="F1595" i="2"/>
  <c r="G1595" i="2" s="1"/>
  <c r="I1595" i="2" s="1"/>
  <c r="F1596" i="2"/>
  <c r="G1596" i="2" s="1"/>
  <c r="I1596" i="2" s="1"/>
  <c r="F1597" i="2"/>
  <c r="G1597" i="2" s="1"/>
  <c r="I1597" i="2" s="1"/>
  <c r="F1598" i="2"/>
  <c r="G1598" i="2" s="1"/>
  <c r="I1598" i="2" s="1"/>
  <c r="F1599" i="2"/>
  <c r="G1599" i="2" s="1"/>
  <c r="I1599" i="2" s="1"/>
  <c r="F1600" i="2"/>
  <c r="G1600" i="2" s="1"/>
  <c r="I1600" i="2" s="1"/>
  <c r="F1601" i="2"/>
  <c r="G1601" i="2" s="1"/>
  <c r="I1601" i="2" s="1"/>
  <c r="F1602" i="2"/>
  <c r="G1602" i="2" s="1"/>
  <c r="I1602" i="2" s="1"/>
  <c r="F1603" i="2"/>
  <c r="G1603" i="2" s="1"/>
  <c r="I1603" i="2" s="1"/>
  <c r="F1604" i="2"/>
  <c r="G1604" i="2" s="1"/>
  <c r="I1604" i="2" s="1"/>
  <c r="F1605" i="2"/>
  <c r="G1605" i="2" s="1"/>
  <c r="I1605" i="2" s="1"/>
  <c r="F1606" i="2"/>
  <c r="G1606" i="2" s="1"/>
  <c r="I1606" i="2" s="1"/>
  <c r="F1607" i="2"/>
  <c r="G1607" i="2" s="1"/>
  <c r="I1607" i="2" s="1"/>
  <c r="F1608" i="2"/>
  <c r="G1608" i="2" s="1"/>
  <c r="I1608" i="2" s="1"/>
  <c r="F1609" i="2"/>
  <c r="G1609" i="2" s="1"/>
  <c r="I1609" i="2" s="1"/>
  <c r="F1610" i="2"/>
  <c r="G1610" i="2" s="1"/>
  <c r="I1610" i="2" s="1"/>
  <c r="F1611" i="2"/>
  <c r="G1611" i="2" s="1"/>
  <c r="I1611" i="2" s="1"/>
  <c r="F1612" i="2"/>
  <c r="G1612" i="2" s="1"/>
  <c r="I1612" i="2" s="1"/>
  <c r="F1613" i="2"/>
  <c r="G1613" i="2" s="1"/>
  <c r="I1613" i="2" s="1"/>
  <c r="F1614" i="2"/>
  <c r="G1614" i="2" s="1"/>
  <c r="I1614" i="2" s="1"/>
  <c r="F1615" i="2"/>
  <c r="G1615" i="2" s="1"/>
  <c r="I1615" i="2" s="1"/>
  <c r="F1616" i="2"/>
  <c r="G1616" i="2" s="1"/>
  <c r="I1616" i="2" s="1"/>
  <c r="F1617" i="2"/>
  <c r="G1617" i="2" s="1"/>
  <c r="I1617" i="2" s="1"/>
  <c r="F1618" i="2"/>
  <c r="G1618" i="2" s="1"/>
  <c r="I1618" i="2" s="1"/>
  <c r="F1619" i="2"/>
  <c r="G1619" i="2" s="1"/>
  <c r="I1619" i="2" s="1"/>
  <c r="F1620" i="2"/>
  <c r="G1620" i="2" s="1"/>
  <c r="I1620" i="2" s="1"/>
  <c r="F1621" i="2"/>
  <c r="G1621" i="2" s="1"/>
  <c r="I1621" i="2" s="1"/>
  <c r="F1622" i="2"/>
  <c r="G1622" i="2" s="1"/>
  <c r="I1622" i="2" s="1"/>
  <c r="F1623" i="2"/>
  <c r="G1623" i="2" s="1"/>
  <c r="I1623" i="2" s="1"/>
  <c r="F1624" i="2"/>
  <c r="G1624" i="2" s="1"/>
  <c r="I1624" i="2" s="1"/>
  <c r="F1625" i="2"/>
  <c r="G1625" i="2" s="1"/>
  <c r="I1625" i="2" s="1"/>
  <c r="F1626" i="2"/>
  <c r="G1626" i="2" s="1"/>
  <c r="I1626" i="2" s="1"/>
  <c r="F1627" i="2"/>
  <c r="G1627" i="2" s="1"/>
  <c r="I1627" i="2" s="1"/>
  <c r="F1628" i="2"/>
  <c r="G1628" i="2" s="1"/>
  <c r="I1628" i="2" s="1"/>
  <c r="F1629" i="2"/>
  <c r="G1629" i="2" s="1"/>
  <c r="I1629" i="2" s="1"/>
  <c r="F1630" i="2"/>
  <c r="G1630" i="2" s="1"/>
  <c r="I1630" i="2" s="1"/>
  <c r="F1631" i="2"/>
  <c r="G1631" i="2" s="1"/>
  <c r="I1631" i="2" s="1"/>
  <c r="F1632" i="2"/>
  <c r="G1632" i="2" s="1"/>
  <c r="I1632" i="2" s="1"/>
  <c r="F1633" i="2"/>
  <c r="G1633" i="2" s="1"/>
  <c r="I1633" i="2" s="1"/>
  <c r="F1634" i="2"/>
  <c r="G1634" i="2" s="1"/>
  <c r="I1634" i="2" s="1"/>
  <c r="F1635" i="2"/>
  <c r="G1635" i="2" s="1"/>
  <c r="I1635" i="2" s="1"/>
  <c r="F1636" i="2"/>
  <c r="G1636" i="2" s="1"/>
  <c r="I1636" i="2" s="1"/>
  <c r="F1637" i="2"/>
  <c r="G1637" i="2" s="1"/>
  <c r="I1637" i="2" s="1"/>
  <c r="F1638" i="2"/>
  <c r="G1638" i="2" s="1"/>
  <c r="I1638" i="2" s="1"/>
  <c r="F1639" i="2"/>
  <c r="G1639" i="2" s="1"/>
  <c r="I1639" i="2" s="1"/>
  <c r="F1640" i="2"/>
  <c r="G1640" i="2" s="1"/>
  <c r="I1640" i="2" s="1"/>
  <c r="F1641" i="2"/>
  <c r="G1641" i="2" s="1"/>
  <c r="I1641" i="2" s="1"/>
  <c r="F1642" i="2"/>
  <c r="G1642" i="2" s="1"/>
  <c r="I1642" i="2" s="1"/>
  <c r="F1643" i="2"/>
  <c r="G1643" i="2" s="1"/>
  <c r="I1643" i="2" s="1"/>
  <c r="F1644" i="2"/>
  <c r="G1644" i="2" s="1"/>
  <c r="I1644" i="2" s="1"/>
  <c r="F1645" i="2"/>
  <c r="G1645" i="2" s="1"/>
  <c r="I1645" i="2" s="1"/>
  <c r="F1646" i="2"/>
  <c r="G1646" i="2" s="1"/>
  <c r="I1646" i="2" s="1"/>
  <c r="F1647" i="2"/>
  <c r="G1647" i="2" s="1"/>
  <c r="I1647" i="2" s="1"/>
  <c r="F1648" i="2"/>
  <c r="G1648" i="2" s="1"/>
  <c r="I1648" i="2" s="1"/>
  <c r="F1649" i="2"/>
  <c r="G1649" i="2" s="1"/>
  <c r="I1649" i="2" s="1"/>
  <c r="F1650" i="2"/>
  <c r="G1650" i="2" s="1"/>
  <c r="I1650" i="2" s="1"/>
  <c r="F1651" i="2"/>
  <c r="G1651" i="2" s="1"/>
  <c r="I1651" i="2" s="1"/>
  <c r="F1652" i="2"/>
  <c r="G1652" i="2" s="1"/>
  <c r="I1652" i="2" s="1"/>
  <c r="F1653" i="2"/>
  <c r="G1653" i="2" s="1"/>
  <c r="I1653" i="2" s="1"/>
  <c r="F1654" i="2"/>
  <c r="G1654" i="2" s="1"/>
  <c r="I1654" i="2" s="1"/>
  <c r="F1655" i="2"/>
  <c r="G1655" i="2" s="1"/>
  <c r="I1655" i="2" s="1"/>
  <c r="F1656" i="2"/>
  <c r="G1656" i="2" s="1"/>
  <c r="I1656" i="2" s="1"/>
  <c r="F1657" i="2"/>
  <c r="G1657" i="2" s="1"/>
  <c r="I1657" i="2" s="1"/>
  <c r="F1658" i="2"/>
  <c r="G1658" i="2" s="1"/>
  <c r="I1658" i="2" s="1"/>
  <c r="F1659" i="2"/>
  <c r="G1659" i="2" s="1"/>
  <c r="I1659" i="2" s="1"/>
  <c r="F1660" i="2"/>
  <c r="G1660" i="2" s="1"/>
  <c r="I1660" i="2" s="1"/>
  <c r="F1661" i="2"/>
  <c r="G1661" i="2" s="1"/>
  <c r="I1661" i="2" s="1"/>
  <c r="F1662" i="2"/>
  <c r="G1662" i="2" s="1"/>
  <c r="I1662" i="2" s="1"/>
  <c r="F1663" i="2"/>
  <c r="G1663" i="2" s="1"/>
  <c r="I1663" i="2" s="1"/>
  <c r="F1664" i="2"/>
  <c r="G1664" i="2" s="1"/>
  <c r="I1664" i="2" s="1"/>
  <c r="F1665" i="2"/>
  <c r="G1665" i="2" s="1"/>
  <c r="I1665" i="2" s="1"/>
  <c r="F1666" i="2"/>
  <c r="G1666" i="2" s="1"/>
  <c r="I1666" i="2" s="1"/>
  <c r="F1667" i="2"/>
  <c r="G1667" i="2" s="1"/>
  <c r="I1667" i="2" s="1"/>
  <c r="F1668" i="2"/>
  <c r="G1668" i="2" s="1"/>
  <c r="I1668" i="2" s="1"/>
  <c r="F1669" i="2"/>
  <c r="G1669" i="2" s="1"/>
  <c r="I1669" i="2" s="1"/>
  <c r="F1670" i="2"/>
  <c r="G1670" i="2" s="1"/>
  <c r="I1670" i="2" s="1"/>
  <c r="F1671" i="2"/>
  <c r="G1671" i="2" s="1"/>
  <c r="I1671" i="2" s="1"/>
  <c r="F1672" i="2"/>
  <c r="G1672" i="2" s="1"/>
  <c r="I1672" i="2" s="1"/>
  <c r="F1673" i="2"/>
  <c r="G1673" i="2" s="1"/>
  <c r="I1673" i="2" s="1"/>
  <c r="F1674" i="2"/>
  <c r="G1674" i="2" s="1"/>
  <c r="I1674" i="2" s="1"/>
  <c r="F1675" i="2"/>
  <c r="G1675" i="2" s="1"/>
  <c r="I1675" i="2" s="1"/>
  <c r="F1676" i="2"/>
  <c r="G1676" i="2" s="1"/>
  <c r="I1676" i="2" s="1"/>
  <c r="F1677" i="2"/>
  <c r="G1677" i="2" s="1"/>
  <c r="I1677" i="2" s="1"/>
  <c r="F1678" i="2"/>
  <c r="G1678" i="2" s="1"/>
  <c r="I1678" i="2" s="1"/>
  <c r="F1679" i="2"/>
  <c r="G1679" i="2" s="1"/>
  <c r="I1679" i="2" s="1"/>
  <c r="F1680" i="2"/>
  <c r="G1680" i="2" s="1"/>
  <c r="I1680" i="2" s="1"/>
  <c r="F1681" i="2"/>
  <c r="G1681" i="2" s="1"/>
  <c r="I1681" i="2" s="1"/>
  <c r="F1682" i="2"/>
  <c r="G1682" i="2" s="1"/>
  <c r="I1682" i="2" s="1"/>
  <c r="F1683" i="2"/>
  <c r="G1683" i="2" s="1"/>
  <c r="I1683" i="2" s="1"/>
  <c r="I1684" i="2"/>
  <c r="F1685" i="2"/>
  <c r="G1685" i="2" s="1"/>
  <c r="I1685" i="2" s="1"/>
  <c r="F1686" i="2"/>
  <c r="G1686" i="2" s="1"/>
  <c r="I1686" i="2" s="1"/>
  <c r="F1687" i="2"/>
  <c r="G1687" i="2" s="1"/>
  <c r="I1687" i="2" s="1"/>
  <c r="F1688" i="2"/>
  <c r="G1688" i="2" s="1"/>
  <c r="I1688" i="2" s="1"/>
  <c r="F1689" i="2"/>
  <c r="G1689" i="2" s="1"/>
  <c r="I1689" i="2" s="1"/>
  <c r="F1690" i="2"/>
  <c r="G1690" i="2" s="1"/>
  <c r="I1690" i="2" s="1"/>
  <c r="F1691" i="2"/>
  <c r="G1691" i="2" s="1"/>
  <c r="I1691" i="2" s="1"/>
  <c r="F1692" i="2"/>
  <c r="G1692" i="2" s="1"/>
  <c r="I1692" i="2" s="1"/>
  <c r="F1693" i="2"/>
  <c r="G1693" i="2" s="1"/>
  <c r="I1693" i="2" s="1"/>
  <c r="F1694" i="2"/>
  <c r="G1694" i="2" s="1"/>
  <c r="I1694" i="2" s="1"/>
  <c r="F1695" i="2"/>
  <c r="G1695" i="2" s="1"/>
  <c r="I1695" i="2" s="1"/>
  <c r="F1696" i="2"/>
  <c r="I1696" i="2" s="1"/>
  <c r="F1697" i="2"/>
  <c r="G1697" i="2" s="1"/>
  <c r="I1697" i="2" s="1"/>
  <c r="F1698" i="2"/>
  <c r="G1698" i="2" s="1"/>
  <c r="I1698" i="2" s="1"/>
  <c r="F1699" i="2"/>
  <c r="G1699" i="2" s="1"/>
  <c r="I1699" i="2" s="1"/>
  <c r="F1700" i="2"/>
  <c r="G1700" i="2" s="1"/>
  <c r="I1700" i="2" s="1"/>
  <c r="F1701" i="2"/>
  <c r="G1701" i="2" s="1"/>
  <c r="I1701" i="2" s="1"/>
  <c r="F1702" i="2"/>
  <c r="G1702" i="2" s="1"/>
  <c r="I1702" i="2" s="1"/>
  <c r="F1703" i="2"/>
  <c r="G1703" i="2" s="1"/>
  <c r="I1703" i="2" s="1"/>
  <c r="F1704" i="2"/>
  <c r="G1704" i="2" s="1"/>
  <c r="I1704" i="2" s="1"/>
  <c r="F1705" i="2"/>
  <c r="G1705" i="2" s="1"/>
  <c r="I1705" i="2" s="1"/>
  <c r="F1706" i="2"/>
  <c r="G1706" i="2" s="1"/>
  <c r="I1706" i="2" s="1"/>
  <c r="F1707" i="2"/>
  <c r="G1707" i="2" s="1"/>
  <c r="I1707" i="2" s="1"/>
  <c r="F1708" i="2"/>
  <c r="G1708" i="2" s="1"/>
  <c r="I1708" i="2" s="1"/>
  <c r="F1709" i="2"/>
  <c r="G1709" i="2" s="1"/>
  <c r="I1709" i="2" s="1"/>
  <c r="F1710" i="2"/>
  <c r="G1710" i="2" s="1"/>
  <c r="I1710" i="2" s="1"/>
  <c r="F1711" i="2"/>
  <c r="G1711" i="2" s="1"/>
  <c r="I1711" i="2" s="1"/>
  <c r="F1712" i="2"/>
  <c r="G1712" i="2" s="1"/>
  <c r="I1712" i="2" s="1"/>
  <c r="F1713" i="2"/>
  <c r="G1713" i="2" s="1"/>
  <c r="I1713" i="2" s="1"/>
  <c r="F1714" i="2"/>
  <c r="G1714" i="2" s="1"/>
  <c r="I1714" i="2" s="1"/>
  <c r="F1715" i="2"/>
  <c r="G1715" i="2" s="1"/>
  <c r="I1715" i="2" s="1"/>
  <c r="F1716" i="2"/>
  <c r="G1716" i="2" s="1"/>
  <c r="I1716" i="2" s="1"/>
  <c r="F1717" i="2"/>
  <c r="G1717" i="2" s="1"/>
  <c r="I1717" i="2" s="1"/>
  <c r="F1718" i="2"/>
  <c r="G1718" i="2" s="1"/>
  <c r="I1718" i="2" s="1"/>
  <c r="F1719" i="2"/>
  <c r="G1719" i="2" s="1"/>
  <c r="I1719" i="2" s="1"/>
  <c r="F1720" i="2"/>
  <c r="G1720" i="2" s="1"/>
  <c r="I1720" i="2" s="1"/>
  <c r="F1721" i="2"/>
  <c r="G1721" i="2" s="1"/>
  <c r="I1721" i="2" s="1"/>
  <c r="F1722" i="2"/>
  <c r="G1722" i="2" s="1"/>
  <c r="I1722" i="2" s="1"/>
  <c r="F1723" i="2"/>
  <c r="G1723" i="2" s="1"/>
  <c r="I1723" i="2" s="1"/>
  <c r="F1724" i="2"/>
  <c r="G1724" i="2" s="1"/>
  <c r="I1724" i="2" s="1"/>
  <c r="F1725" i="2"/>
  <c r="G1725" i="2" s="1"/>
  <c r="I1725" i="2" s="1"/>
  <c r="F1726" i="2"/>
  <c r="G1726" i="2" s="1"/>
  <c r="I1726" i="2" s="1"/>
  <c r="F1727" i="2"/>
  <c r="G1727" i="2" s="1"/>
  <c r="I1727" i="2" s="1"/>
  <c r="F1728" i="2"/>
  <c r="G1728" i="2" s="1"/>
  <c r="I1728" i="2" s="1"/>
  <c r="F1729" i="2"/>
  <c r="G1729" i="2" s="1"/>
  <c r="I1729" i="2" s="1"/>
  <c r="F1730" i="2"/>
  <c r="G1730" i="2" s="1"/>
  <c r="I1730" i="2" s="1"/>
  <c r="F1731" i="2"/>
  <c r="G1731" i="2" s="1"/>
  <c r="I1731" i="2" s="1"/>
  <c r="F1732" i="2"/>
  <c r="G1732" i="2" s="1"/>
  <c r="I1732" i="2" s="1"/>
  <c r="F1733" i="2"/>
  <c r="G1733" i="2" s="1"/>
  <c r="I1733" i="2" s="1"/>
  <c r="F1734" i="2"/>
  <c r="G1734" i="2" s="1"/>
  <c r="I1734" i="2" s="1"/>
  <c r="F1735" i="2"/>
  <c r="G1735" i="2" s="1"/>
  <c r="I1735" i="2" s="1"/>
  <c r="F1736" i="2"/>
  <c r="G1736" i="2" s="1"/>
  <c r="I1736" i="2" s="1"/>
  <c r="F1737" i="2"/>
  <c r="G1737" i="2" s="1"/>
  <c r="I1737" i="2" s="1"/>
  <c r="F1738" i="2"/>
  <c r="G1738" i="2" s="1"/>
  <c r="I1738" i="2" s="1"/>
  <c r="F1739" i="2"/>
  <c r="G1739" i="2" s="1"/>
  <c r="I1739" i="2" s="1"/>
  <c r="F1740" i="2"/>
  <c r="G1740" i="2" s="1"/>
  <c r="I1740" i="2" s="1"/>
  <c r="F1741" i="2"/>
  <c r="G1741" i="2" s="1"/>
  <c r="I1741" i="2" s="1"/>
  <c r="F1742" i="2"/>
  <c r="G1742" i="2" s="1"/>
  <c r="I1742" i="2" s="1"/>
  <c r="F1743" i="2"/>
  <c r="G1743" i="2" s="1"/>
  <c r="I1743" i="2" s="1"/>
  <c r="F1744" i="2"/>
  <c r="G1744" i="2" s="1"/>
  <c r="I1744" i="2" s="1"/>
  <c r="F1745" i="2"/>
  <c r="G1745" i="2" s="1"/>
  <c r="I1745" i="2" s="1"/>
  <c r="F1746" i="2"/>
  <c r="G1746" i="2" s="1"/>
  <c r="I1746" i="2" s="1"/>
  <c r="F1747" i="2"/>
  <c r="G1747" i="2" s="1"/>
  <c r="I1747" i="2" s="1"/>
  <c r="F1748" i="2"/>
  <c r="G1748" i="2" s="1"/>
  <c r="I1748" i="2" s="1"/>
  <c r="F1749" i="2"/>
  <c r="G1749" i="2" s="1"/>
  <c r="I1749" i="2" s="1"/>
  <c r="F1750" i="2"/>
  <c r="G1750" i="2" s="1"/>
  <c r="I1750" i="2" s="1"/>
  <c r="F1751" i="2"/>
  <c r="G1751" i="2" s="1"/>
  <c r="I1751" i="2" s="1"/>
  <c r="F1752" i="2"/>
  <c r="G1752" i="2" s="1"/>
  <c r="I1752" i="2" s="1"/>
  <c r="F1753" i="2"/>
  <c r="G1753" i="2" s="1"/>
  <c r="I1753" i="2" s="1"/>
  <c r="F1754" i="2"/>
  <c r="G1754" i="2" s="1"/>
  <c r="I1754" i="2" s="1"/>
  <c r="F1755" i="2"/>
  <c r="G1755" i="2" s="1"/>
  <c r="I1755" i="2" s="1"/>
  <c r="F1756" i="2"/>
  <c r="G1756" i="2" s="1"/>
  <c r="I1756" i="2" s="1"/>
  <c r="F1757" i="2"/>
  <c r="F1758" i="2"/>
  <c r="F1759" i="2"/>
  <c r="G1759" i="2" s="1"/>
  <c r="I1759" i="2" s="1"/>
  <c r="F1760" i="2"/>
  <c r="G1760" i="2" s="1"/>
  <c r="I1760" i="2" s="1"/>
  <c r="F1761" i="2"/>
  <c r="G1761" i="2" s="1"/>
  <c r="I1761" i="2" s="1"/>
  <c r="F1762" i="2"/>
  <c r="G1762" i="2" s="1"/>
  <c r="I1762" i="2" s="1"/>
  <c r="F1763" i="2"/>
  <c r="G1763" i="2" s="1"/>
  <c r="I1763" i="2" s="1"/>
  <c r="F1764" i="2"/>
  <c r="G1764" i="2" s="1"/>
  <c r="I1764" i="2" s="1"/>
  <c r="G1758" i="2" l="1"/>
  <c r="I1758" i="2" s="1"/>
  <c r="G1757" i="2"/>
  <c r="I1757" i="2" s="1"/>
  <c r="G1322" i="2"/>
  <c r="I1322" i="2" s="1"/>
  <c r="F1151" i="2"/>
  <c r="G1151" i="2" s="1"/>
  <c r="I1151" i="2" s="1"/>
  <c r="F1150" i="2"/>
  <c r="G1150" i="2" s="1"/>
  <c r="I1150" i="2" s="1"/>
  <c r="F1149" i="2"/>
  <c r="G1149" i="2" s="1"/>
  <c r="I1149" i="2" s="1"/>
  <c r="F1148" i="2"/>
  <c r="G1148" i="2" s="1"/>
  <c r="I1148" i="2" s="1"/>
  <c r="F1147" i="2"/>
  <c r="G1147" i="2" s="1"/>
  <c r="I1147" i="2" s="1"/>
  <c r="F1146" i="2"/>
  <c r="G1146" i="2" s="1"/>
  <c r="I1146" i="2" s="1"/>
  <c r="F1145" i="2"/>
  <c r="G1145" i="2" s="1"/>
  <c r="I1145" i="2" s="1"/>
  <c r="F1144" i="2"/>
  <c r="G1144" i="2" s="1"/>
  <c r="I1144" i="2" s="1"/>
  <c r="F1143" i="2"/>
  <c r="G1143" i="2" s="1"/>
  <c r="I1143" i="2" s="1"/>
  <c r="F1142" i="2"/>
  <c r="G1142" i="2" s="1"/>
  <c r="I1142" i="2" s="1"/>
  <c r="F1141" i="2"/>
  <c r="G1141" i="2" s="1"/>
  <c r="I1141" i="2" s="1"/>
  <c r="F1140" i="2"/>
  <c r="G1140" i="2" s="1"/>
  <c r="I1140" i="2" s="1"/>
  <c r="F1139" i="2"/>
  <c r="G1139" i="2" s="1"/>
  <c r="I1139" i="2" s="1"/>
  <c r="F1138" i="2"/>
  <c r="G1138" i="2" s="1"/>
  <c r="I1138" i="2" s="1"/>
  <c r="F1137" i="2"/>
  <c r="G1137" i="2" s="1"/>
  <c r="I1137" i="2" s="1"/>
  <c r="F1136" i="2"/>
  <c r="G1136" i="2" s="1"/>
  <c r="I1136" i="2" s="1"/>
  <c r="F1135" i="2"/>
  <c r="G1135" i="2" s="1"/>
  <c r="I1135" i="2" s="1"/>
  <c r="F1134" i="2"/>
  <c r="G1134" i="2" s="1"/>
  <c r="I1134" i="2" s="1"/>
  <c r="F1133" i="2"/>
  <c r="G1133" i="2" s="1"/>
  <c r="I1133" i="2" s="1"/>
  <c r="F1132" i="2"/>
  <c r="G1132" i="2" s="1"/>
  <c r="I1132" i="2" s="1"/>
  <c r="F1131" i="2"/>
  <c r="G1131" i="2" s="1"/>
  <c r="I1131" i="2" s="1"/>
  <c r="F1130" i="2"/>
  <c r="G1130" i="2" s="1"/>
  <c r="I1130" i="2" s="1"/>
  <c r="F1129" i="2"/>
  <c r="G1129" i="2" s="1"/>
  <c r="I1129" i="2" s="1"/>
  <c r="F1128" i="2"/>
  <c r="G1128" i="2" s="1"/>
  <c r="I1128" i="2" s="1"/>
  <c r="F1127" i="2"/>
  <c r="G1127" i="2" s="1"/>
  <c r="I1127" i="2" s="1"/>
  <c r="F1126" i="2"/>
  <c r="G1126" i="2" s="1"/>
  <c r="I1126" i="2" s="1"/>
  <c r="F1125" i="2"/>
  <c r="G1125" i="2" s="1"/>
  <c r="I1125" i="2" s="1"/>
  <c r="F1124" i="2"/>
  <c r="G1124" i="2" s="1"/>
  <c r="I1124" i="2" s="1"/>
  <c r="F1123" i="2"/>
  <c r="G1123" i="2" s="1"/>
  <c r="I1123" i="2" s="1"/>
  <c r="F1122" i="2"/>
  <c r="G1122" i="2" s="1"/>
  <c r="I1122" i="2" s="1"/>
  <c r="F1121" i="2"/>
  <c r="G1121" i="2" s="1"/>
  <c r="I1121" i="2" s="1"/>
  <c r="F1120" i="2"/>
  <c r="G1120" i="2" s="1"/>
  <c r="I1120" i="2" s="1"/>
  <c r="F1119" i="2"/>
  <c r="G1119" i="2" s="1"/>
  <c r="I1119" i="2" s="1"/>
  <c r="F1118" i="2"/>
  <c r="G1118" i="2" s="1"/>
  <c r="I1118" i="2" s="1"/>
  <c r="F1117" i="2"/>
  <c r="G1117" i="2" s="1"/>
  <c r="I1117" i="2" s="1"/>
  <c r="F1116" i="2"/>
  <c r="G1116" i="2" s="1"/>
  <c r="I1116" i="2" s="1"/>
  <c r="F1115" i="2"/>
  <c r="G1115" i="2" s="1"/>
  <c r="I1115" i="2" s="1"/>
  <c r="F1114" i="2"/>
  <c r="G1114" i="2" s="1"/>
  <c r="I1114" i="2" s="1"/>
  <c r="F1113" i="2"/>
  <c r="G1113" i="2" s="1"/>
  <c r="I1113" i="2" s="1"/>
  <c r="F1112" i="2"/>
  <c r="G1112" i="2" s="1"/>
  <c r="I1112" i="2" s="1"/>
  <c r="F1111" i="2"/>
  <c r="G1111" i="2" s="1"/>
  <c r="I1111" i="2" s="1"/>
  <c r="F1110" i="2"/>
  <c r="G1110" i="2" s="1"/>
  <c r="I1110" i="2" s="1"/>
  <c r="F1109" i="2"/>
  <c r="G1109" i="2" s="1"/>
  <c r="I1109" i="2" s="1"/>
  <c r="F1108" i="2"/>
  <c r="G1108" i="2" s="1"/>
  <c r="I1108" i="2" s="1"/>
  <c r="F1107" i="2"/>
  <c r="G1107" i="2" s="1"/>
  <c r="I1107" i="2" s="1"/>
  <c r="F1106" i="2"/>
  <c r="G1106" i="2" s="1"/>
  <c r="I1106" i="2" s="1"/>
  <c r="F1105" i="2"/>
  <c r="G1105" i="2" s="1"/>
  <c r="I1105" i="2" s="1"/>
  <c r="F1104" i="2"/>
  <c r="G1104" i="2" s="1"/>
  <c r="I1104" i="2" s="1"/>
  <c r="F1103" i="2"/>
  <c r="G1103" i="2" s="1"/>
  <c r="I1103" i="2" s="1"/>
  <c r="F1102" i="2"/>
  <c r="G1102" i="2" s="1"/>
  <c r="I1102" i="2" s="1"/>
  <c r="F1101" i="2"/>
  <c r="G1101" i="2" s="1"/>
  <c r="I1101" i="2" s="1"/>
  <c r="F1100" i="2"/>
  <c r="G1100" i="2" s="1"/>
  <c r="I1100" i="2" s="1"/>
  <c r="F1099" i="2"/>
  <c r="G1099" i="2" s="1"/>
  <c r="I1099" i="2" s="1"/>
  <c r="F1098" i="2"/>
  <c r="G1098" i="2" s="1"/>
  <c r="I1098" i="2" s="1"/>
  <c r="F1097" i="2"/>
  <c r="G1097" i="2" s="1"/>
  <c r="I1097" i="2" s="1"/>
  <c r="F1096" i="2"/>
  <c r="G1096" i="2" s="1"/>
  <c r="I1096" i="2" s="1"/>
  <c r="F1095" i="2"/>
  <c r="G1095" i="2" s="1"/>
  <c r="I1095" i="2" s="1"/>
  <c r="F1094" i="2"/>
  <c r="G1094" i="2" s="1"/>
  <c r="I1094" i="2" s="1"/>
  <c r="F1093" i="2"/>
  <c r="G1093" i="2" s="1"/>
  <c r="I1093" i="2" s="1"/>
  <c r="F1092" i="2"/>
  <c r="G1092" i="2" s="1"/>
  <c r="I1092" i="2" s="1"/>
  <c r="F1091" i="2"/>
  <c r="G1091" i="2" s="1"/>
  <c r="I1091" i="2" s="1"/>
  <c r="F1090" i="2"/>
  <c r="G1090" i="2" s="1"/>
  <c r="I1090" i="2" s="1"/>
  <c r="F1089" i="2"/>
  <c r="G1089" i="2" s="1"/>
  <c r="I1089" i="2" s="1"/>
  <c r="F1088" i="2"/>
  <c r="G1088" i="2" s="1"/>
  <c r="I1088" i="2" s="1"/>
  <c r="F1087" i="2"/>
  <c r="G1087" i="2" s="1"/>
  <c r="I1087" i="2" s="1"/>
  <c r="F1086" i="2"/>
  <c r="G1086" i="2" s="1"/>
  <c r="I1086" i="2" s="1"/>
  <c r="F1085" i="2"/>
  <c r="G1085" i="2" s="1"/>
  <c r="I1085" i="2" s="1"/>
  <c r="F1084" i="2"/>
  <c r="G1084" i="2" s="1"/>
  <c r="I1084" i="2" s="1"/>
  <c r="F1083" i="2"/>
  <c r="G1083" i="2" s="1"/>
  <c r="I1083" i="2" s="1"/>
  <c r="F1082" i="2"/>
  <c r="G1082" i="2" s="1"/>
  <c r="I1082" i="2" s="1"/>
  <c r="F1081" i="2"/>
  <c r="G1081" i="2" s="1"/>
  <c r="I1081" i="2" s="1"/>
  <c r="F1080" i="2"/>
  <c r="G1080" i="2" s="1"/>
  <c r="I1080" i="2" s="1"/>
  <c r="F1079" i="2"/>
  <c r="G1079" i="2" s="1"/>
  <c r="I1079" i="2" s="1"/>
  <c r="F1078" i="2"/>
  <c r="G1078" i="2" s="1"/>
  <c r="I1078" i="2" s="1"/>
  <c r="F1077" i="2"/>
  <c r="G1077" i="2" s="1"/>
  <c r="I1077" i="2" s="1"/>
  <c r="F1076" i="2"/>
  <c r="G1076" i="2" s="1"/>
  <c r="I1076" i="2" s="1"/>
  <c r="F1075" i="2"/>
  <c r="G1075" i="2" s="1"/>
  <c r="I1075" i="2" s="1"/>
  <c r="F1074" i="2"/>
  <c r="G1074" i="2" s="1"/>
  <c r="I1074" i="2" s="1"/>
  <c r="F1073" i="2"/>
  <c r="G1073" i="2" s="1"/>
  <c r="I1073" i="2" s="1"/>
  <c r="F1072" i="2"/>
  <c r="G1072" i="2" s="1"/>
  <c r="I1072" i="2" s="1"/>
  <c r="F1071" i="2"/>
  <c r="G1071" i="2" s="1"/>
  <c r="I1071" i="2" s="1"/>
  <c r="F1070" i="2"/>
  <c r="G1070" i="2" s="1"/>
  <c r="I1070" i="2" s="1"/>
  <c r="F1069" i="2"/>
  <c r="G1069" i="2" s="1"/>
  <c r="I1069" i="2" s="1"/>
  <c r="F1068" i="2"/>
  <c r="G1068" i="2" s="1"/>
  <c r="I1068" i="2" s="1"/>
  <c r="F1067" i="2"/>
  <c r="G1067" i="2" s="1"/>
  <c r="I1067" i="2" s="1"/>
  <c r="F1066" i="2"/>
  <c r="G1066" i="2" s="1"/>
  <c r="I1066" i="2" s="1"/>
  <c r="F1065" i="2"/>
  <c r="G1065" i="2" s="1"/>
  <c r="I1065" i="2" s="1"/>
  <c r="F1064" i="2"/>
  <c r="G1064" i="2" s="1"/>
  <c r="I1064" i="2" s="1"/>
  <c r="F1063" i="2"/>
  <c r="G1063" i="2" s="1"/>
  <c r="I1063" i="2" s="1"/>
  <c r="F1062" i="2"/>
  <c r="G1062" i="2" s="1"/>
  <c r="I1062" i="2" s="1"/>
  <c r="F1061" i="2"/>
  <c r="G1061" i="2" s="1"/>
  <c r="I1061" i="2" s="1"/>
  <c r="F1060" i="2"/>
  <c r="G1060" i="2" s="1"/>
  <c r="I1060" i="2" s="1"/>
  <c r="F1059" i="2"/>
  <c r="G1059" i="2" s="1"/>
  <c r="I1059" i="2" s="1"/>
  <c r="F1058" i="2"/>
  <c r="G1058" i="2" s="1"/>
  <c r="I1058" i="2" s="1"/>
  <c r="F1057" i="2"/>
  <c r="G1057" i="2" s="1"/>
  <c r="I1057" i="2" s="1"/>
  <c r="F1056" i="2"/>
  <c r="G1056" i="2" s="1"/>
  <c r="I1056" i="2" s="1"/>
  <c r="F1055" i="2"/>
  <c r="G1055" i="2" s="1"/>
  <c r="I1055" i="2" s="1"/>
  <c r="F1054" i="2"/>
  <c r="G1054" i="2" s="1"/>
  <c r="I1054" i="2" s="1"/>
  <c r="F1053" i="2"/>
  <c r="G1053" i="2" s="1"/>
  <c r="I1053" i="2" s="1"/>
  <c r="F1052" i="2"/>
  <c r="G1052" i="2" s="1"/>
  <c r="I1052" i="2" s="1"/>
  <c r="F1051" i="2"/>
  <c r="G1051" i="2" s="1"/>
  <c r="I1051" i="2" s="1"/>
  <c r="F1050" i="2"/>
  <c r="G1050" i="2" s="1"/>
  <c r="I1050" i="2" s="1"/>
  <c r="F1049" i="2"/>
  <c r="G1049" i="2" s="1"/>
  <c r="I1049" i="2" s="1"/>
  <c r="F1048" i="2"/>
  <c r="G1048" i="2" s="1"/>
  <c r="I1048" i="2" s="1"/>
  <c r="F1047" i="2"/>
  <c r="G1047" i="2" s="1"/>
  <c r="I1047" i="2" s="1"/>
  <c r="F1046" i="2"/>
  <c r="G1046" i="2" s="1"/>
  <c r="I1046" i="2" s="1"/>
  <c r="F1045" i="2"/>
  <c r="G1045" i="2" s="1"/>
  <c r="I1045" i="2" s="1"/>
  <c r="F1044" i="2"/>
  <c r="G1044" i="2" s="1"/>
  <c r="I1044" i="2" s="1"/>
  <c r="F1043" i="2"/>
  <c r="G1043" i="2" s="1"/>
  <c r="I1043" i="2" s="1"/>
  <c r="F1042" i="2"/>
  <c r="G1042" i="2" s="1"/>
  <c r="I1042" i="2" s="1"/>
  <c r="F1041" i="2"/>
  <c r="G1041" i="2" s="1"/>
  <c r="I1041" i="2" s="1"/>
  <c r="F1040" i="2"/>
  <c r="G1040" i="2" s="1"/>
  <c r="I1040" i="2" s="1"/>
  <c r="F1039" i="2"/>
  <c r="G1039" i="2" s="1"/>
  <c r="I1039" i="2" s="1"/>
  <c r="F1038" i="2"/>
  <c r="G1038" i="2" s="1"/>
  <c r="I1038" i="2" s="1"/>
  <c r="F1037" i="2"/>
  <c r="G1037" i="2" s="1"/>
  <c r="I1037" i="2" s="1"/>
  <c r="F1036" i="2"/>
  <c r="G1036" i="2" s="1"/>
  <c r="I1036" i="2" s="1"/>
  <c r="F1035" i="2"/>
  <c r="G1035" i="2" s="1"/>
  <c r="I1035" i="2" s="1"/>
  <c r="F1034" i="2"/>
  <c r="G1034" i="2" s="1"/>
  <c r="I1034" i="2" s="1"/>
  <c r="F1033" i="2"/>
  <c r="G1033" i="2" s="1"/>
  <c r="I1033" i="2" s="1"/>
  <c r="F1032" i="2"/>
  <c r="G1032" i="2" s="1"/>
  <c r="I1032" i="2" s="1"/>
  <c r="F1031" i="2"/>
  <c r="G1031" i="2" s="1"/>
  <c r="I1031" i="2" s="1"/>
  <c r="F1030" i="2"/>
  <c r="G1030" i="2" s="1"/>
  <c r="I1030" i="2" s="1"/>
  <c r="F1029" i="2"/>
  <c r="G1029" i="2" s="1"/>
  <c r="I1029" i="2" s="1"/>
  <c r="F1028" i="2"/>
  <c r="G1028" i="2" s="1"/>
  <c r="I1028" i="2" s="1"/>
  <c r="F1027" i="2"/>
  <c r="G1027" i="2" s="1"/>
  <c r="I1027" i="2" s="1"/>
  <c r="F1026" i="2"/>
  <c r="G1026" i="2" s="1"/>
  <c r="I1026" i="2" s="1"/>
  <c r="F1025" i="2"/>
  <c r="G1025" i="2" s="1"/>
  <c r="I1025" i="2" s="1"/>
  <c r="F1024" i="2"/>
  <c r="G1024" i="2" s="1"/>
  <c r="I1024" i="2" s="1"/>
  <c r="F1023" i="2"/>
  <c r="G1023" i="2" s="1"/>
  <c r="I1023" i="2" s="1"/>
  <c r="F1022" i="2"/>
  <c r="G1022" i="2" s="1"/>
  <c r="I1022" i="2" s="1"/>
  <c r="F1016" i="2"/>
  <c r="G1016" i="2" s="1"/>
  <c r="I1016" i="2" s="1"/>
  <c r="F1017" i="2"/>
  <c r="G1017" i="2" s="1"/>
  <c r="I1017" i="2" s="1"/>
  <c r="F1018" i="2"/>
  <c r="G1018" i="2" s="1"/>
  <c r="I1018" i="2" s="1"/>
  <c r="F1019" i="2"/>
  <c r="G1019" i="2" s="1"/>
  <c r="I1019" i="2" s="1"/>
  <c r="I1020" i="2"/>
  <c r="F1021" i="2"/>
  <c r="G1021" i="2" s="1"/>
  <c r="I1021" i="2" s="1"/>
  <c r="F1009" i="2"/>
  <c r="G1009" i="2" s="1"/>
  <c r="I1009" i="2" s="1"/>
  <c r="F1008" i="2"/>
  <c r="G1008" i="2" s="1"/>
  <c r="I1008" i="2" s="1"/>
  <c r="F1007" i="2"/>
  <c r="G1007" i="2" s="1"/>
  <c r="I1007" i="2" s="1"/>
  <c r="F1006" i="2"/>
  <c r="G1006" i="2" s="1"/>
  <c r="I1006" i="2" s="1"/>
  <c r="F1005" i="2"/>
  <c r="G1005" i="2" s="1"/>
  <c r="I1005" i="2" s="1"/>
  <c r="F1004" i="2"/>
  <c r="G1004" i="2" s="1"/>
  <c r="I1004" i="2" s="1"/>
  <c r="F1003" i="2"/>
  <c r="G1003" i="2" s="1"/>
  <c r="I1003" i="2" s="1"/>
  <c r="F1002" i="2"/>
  <c r="G1002" i="2" s="1"/>
  <c r="I1002" i="2" s="1"/>
  <c r="F1001" i="2"/>
  <c r="G1001" i="2" s="1"/>
  <c r="I1001" i="2" s="1"/>
  <c r="F1000" i="2"/>
  <c r="G1000" i="2" s="1"/>
  <c r="I1000" i="2" s="1"/>
  <c r="F999" i="2"/>
  <c r="G999" i="2" s="1"/>
  <c r="I999" i="2" s="1"/>
  <c r="F998" i="2"/>
  <c r="G998" i="2" s="1"/>
  <c r="I998" i="2" s="1"/>
  <c r="F997" i="2"/>
  <c r="G997" i="2" s="1"/>
  <c r="I997" i="2" s="1"/>
  <c r="F996" i="2"/>
  <c r="G996" i="2" s="1"/>
  <c r="I996" i="2" s="1"/>
  <c r="F995" i="2"/>
  <c r="G995" i="2" s="1"/>
  <c r="I995" i="2" s="1"/>
  <c r="F994" i="2"/>
  <c r="G994" i="2" s="1"/>
  <c r="I994" i="2" s="1"/>
  <c r="F993" i="2"/>
  <c r="G993" i="2" s="1"/>
  <c r="I993" i="2" s="1"/>
  <c r="F992" i="2"/>
  <c r="G992" i="2" s="1"/>
  <c r="I992" i="2" s="1"/>
  <c r="F991" i="2"/>
  <c r="G991" i="2" s="1"/>
  <c r="I991" i="2" s="1"/>
  <c r="F990" i="2"/>
  <c r="G990" i="2" s="1"/>
  <c r="I990" i="2" s="1"/>
  <c r="F989" i="2"/>
  <c r="G989" i="2" s="1"/>
  <c r="I989" i="2" s="1"/>
  <c r="F988" i="2"/>
  <c r="G988" i="2" s="1"/>
  <c r="I988" i="2" s="1"/>
  <c r="F987" i="2"/>
  <c r="G987" i="2" s="1"/>
  <c r="I987" i="2" s="1"/>
  <c r="F986" i="2"/>
  <c r="G986" i="2" s="1"/>
  <c r="I986" i="2" s="1"/>
  <c r="F985" i="2"/>
  <c r="G985" i="2" s="1"/>
  <c r="I985" i="2" s="1"/>
  <c r="F984" i="2"/>
  <c r="G984" i="2" s="1"/>
  <c r="I984" i="2" s="1"/>
  <c r="F983" i="2"/>
  <c r="G983" i="2" s="1"/>
  <c r="I983" i="2" s="1"/>
  <c r="F982" i="2"/>
  <c r="G982" i="2" s="1"/>
  <c r="I982" i="2" s="1"/>
  <c r="F981" i="2"/>
  <c r="G981" i="2" s="1"/>
  <c r="I981" i="2" s="1"/>
  <c r="F980" i="2"/>
  <c r="G980" i="2" s="1"/>
  <c r="I980" i="2" s="1"/>
  <c r="F979" i="2"/>
  <c r="G979" i="2" s="1"/>
  <c r="I979" i="2" s="1"/>
  <c r="F978" i="2"/>
  <c r="G978" i="2" s="1"/>
  <c r="I978" i="2" s="1"/>
  <c r="F977" i="2"/>
  <c r="G977" i="2" s="1"/>
  <c r="I977" i="2" s="1"/>
  <c r="F976" i="2"/>
  <c r="G976" i="2" s="1"/>
  <c r="I976" i="2" s="1"/>
  <c r="F975" i="2"/>
  <c r="G975" i="2" s="1"/>
  <c r="I975" i="2" s="1"/>
  <c r="F974" i="2"/>
  <c r="G974" i="2" s="1"/>
  <c r="I974" i="2" s="1"/>
  <c r="F950" i="2" l="1"/>
  <c r="G950" i="2" s="1"/>
  <c r="I950" i="2" s="1"/>
  <c r="F951" i="2"/>
  <c r="G951" i="2" s="1"/>
  <c r="I951" i="2" s="1"/>
  <c r="F952" i="2"/>
  <c r="G952" i="2" s="1"/>
  <c r="I952" i="2" s="1"/>
  <c r="F953" i="2"/>
  <c r="G953" i="2" s="1"/>
  <c r="I953" i="2" s="1"/>
  <c r="F954" i="2"/>
  <c r="G954" i="2" s="1"/>
  <c r="I954" i="2" s="1"/>
  <c r="F955" i="2"/>
  <c r="G955" i="2" s="1"/>
  <c r="I955" i="2" s="1"/>
  <c r="F956" i="2"/>
  <c r="G956" i="2" s="1"/>
  <c r="I956" i="2" s="1"/>
  <c r="F957" i="2"/>
  <c r="G957" i="2" s="1"/>
  <c r="I957" i="2" s="1"/>
  <c r="F958" i="2"/>
  <c r="G958" i="2" s="1"/>
  <c r="I958" i="2" s="1"/>
  <c r="F959" i="2"/>
  <c r="G959" i="2" s="1"/>
  <c r="I959" i="2" s="1"/>
  <c r="F960" i="2"/>
  <c r="G960" i="2" s="1"/>
  <c r="I960" i="2" s="1"/>
  <c r="F961" i="2"/>
  <c r="G961" i="2" s="1"/>
  <c r="I961" i="2" s="1"/>
  <c r="F962" i="2"/>
  <c r="G962" i="2" s="1"/>
  <c r="I962" i="2" s="1"/>
  <c r="F963" i="2"/>
  <c r="G963" i="2" s="1"/>
  <c r="I963" i="2" s="1"/>
  <c r="F964" i="2"/>
  <c r="G964" i="2" s="1"/>
  <c r="I964" i="2" s="1"/>
  <c r="F965" i="2"/>
  <c r="G965" i="2" s="1"/>
  <c r="I965" i="2" s="1"/>
  <c r="F966" i="2"/>
  <c r="G966" i="2" s="1"/>
  <c r="I966" i="2" s="1"/>
  <c r="F967" i="2"/>
  <c r="G967" i="2" s="1"/>
  <c r="I967" i="2" s="1"/>
  <c r="F968" i="2"/>
  <c r="G968" i="2" s="1"/>
  <c r="I968" i="2" s="1"/>
  <c r="F969" i="2"/>
  <c r="G969" i="2" s="1"/>
  <c r="I969" i="2" s="1"/>
  <c r="F970" i="2"/>
  <c r="G970" i="2" s="1"/>
  <c r="I970" i="2" s="1"/>
  <c r="F971" i="2"/>
  <c r="G971" i="2" s="1"/>
  <c r="I971" i="2" s="1"/>
  <c r="F972" i="2"/>
  <c r="G972" i="2" s="1"/>
  <c r="I972" i="2" s="1"/>
  <c r="F973" i="2"/>
  <c r="G973" i="2" s="1"/>
  <c r="I973" i="2" s="1"/>
  <c r="F1010" i="2"/>
  <c r="G1010" i="2" s="1"/>
  <c r="I1010" i="2" s="1"/>
  <c r="F1011" i="2"/>
  <c r="G1011" i="2" s="1"/>
  <c r="I1011" i="2" s="1"/>
  <c r="F1012" i="2"/>
  <c r="G1012" i="2" s="1"/>
  <c r="I1012" i="2" s="1"/>
  <c r="F1013" i="2"/>
  <c r="G1013" i="2" s="1"/>
  <c r="I1013" i="2" s="1"/>
  <c r="F1014" i="2"/>
  <c r="G1014" i="2" s="1"/>
  <c r="I1014" i="2" s="1"/>
  <c r="F1015" i="2"/>
  <c r="G1015" i="2" s="1"/>
  <c r="I1015" i="2" s="1"/>
  <c r="E535" i="3" l="1"/>
  <c r="F535" i="3" s="1"/>
  <c r="H535" i="3" s="1"/>
  <c r="E536" i="3"/>
  <c r="F536" i="3" s="1"/>
  <c r="H536" i="3" s="1"/>
  <c r="E537" i="3"/>
  <c r="F537" i="3" s="1"/>
  <c r="H537" i="3" s="1"/>
  <c r="E538" i="3"/>
  <c r="F538" i="3" s="1"/>
  <c r="H538" i="3" s="1"/>
  <c r="E539" i="3"/>
  <c r="F539" i="3" s="1"/>
  <c r="H539" i="3" s="1"/>
  <c r="E540" i="3"/>
  <c r="F540" i="3" s="1"/>
  <c r="H540" i="3" s="1"/>
  <c r="E541" i="3"/>
  <c r="F541" i="3" s="1"/>
  <c r="H541" i="3" s="1"/>
  <c r="E542" i="3"/>
  <c r="F542" i="3" s="1"/>
  <c r="H542" i="3" s="1"/>
  <c r="E543" i="3"/>
  <c r="F543" i="3" s="1"/>
  <c r="H543" i="3" s="1"/>
  <c r="E544" i="3"/>
  <c r="F544" i="3" s="1"/>
  <c r="H544" i="3" s="1"/>
  <c r="E545" i="3"/>
  <c r="F545" i="3" s="1"/>
  <c r="H545" i="3" s="1"/>
  <c r="E546" i="3"/>
  <c r="F546" i="3" s="1"/>
  <c r="H546" i="3" s="1"/>
  <c r="E547" i="3"/>
  <c r="F547" i="3" s="1"/>
  <c r="H547" i="3" s="1"/>
  <c r="E548" i="3"/>
  <c r="F548" i="3" s="1"/>
  <c r="H548" i="3" s="1"/>
  <c r="E549" i="3"/>
  <c r="F549" i="3" s="1"/>
  <c r="H549" i="3" s="1"/>
  <c r="E550" i="3"/>
  <c r="F550" i="3" s="1"/>
  <c r="H550" i="3" s="1"/>
  <c r="E551" i="3"/>
  <c r="F551" i="3" s="1"/>
  <c r="H551" i="3" s="1"/>
  <c r="E552" i="3"/>
  <c r="F552" i="3" s="1"/>
  <c r="H552" i="3" s="1"/>
  <c r="E553" i="3"/>
  <c r="F553" i="3" s="1"/>
  <c r="H553" i="3" s="1"/>
  <c r="E554" i="3"/>
  <c r="F554" i="3" s="1"/>
  <c r="H554" i="3" s="1"/>
  <c r="E555" i="3"/>
  <c r="F555" i="3" s="1"/>
  <c r="H555" i="3" s="1"/>
  <c r="E556" i="3"/>
  <c r="F556" i="3" s="1"/>
  <c r="H556" i="3" s="1"/>
  <c r="E557" i="3"/>
  <c r="F557" i="3" s="1"/>
  <c r="E558" i="3"/>
  <c r="F558" i="3" s="1"/>
  <c r="H558" i="3" s="1"/>
  <c r="E559" i="3"/>
  <c r="F559" i="3" s="1"/>
  <c r="H559" i="3" s="1"/>
  <c r="E560" i="3"/>
  <c r="F560" i="3" s="1"/>
  <c r="H560" i="3" s="1"/>
  <c r="E561" i="3"/>
  <c r="F561" i="3" s="1"/>
  <c r="H561" i="3" s="1"/>
  <c r="E562" i="3"/>
  <c r="F562" i="3" s="1"/>
  <c r="H562" i="3" s="1"/>
  <c r="E563" i="3"/>
  <c r="F563" i="3" s="1"/>
  <c r="H563" i="3" s="1"/>
  <c r="E564" i="3"/>
  <c r="F564" i="3" s="1"/>
  <c r="H564" i="3" s="1"/>
  <c r="E565" i="3"/>
  <c r="F565" i="3" s="1"/>
  <c r="H565" i="3" s="1"/>
  <c r="E566" i="3"/>
  <c r="F566" i="3" s="1"/>
  <c r="H566" i="3" s="1"/>
  <c r="E567" i="3"/>
  <c r="F567" i="3" s="1"/>
  <c r="H567" i="3" s="1"/>
  <c r="E568" i="3"/>
  <c r="F568" i="3" s="1"/>
  <c r="H568" i="3" s="1"/>
  <c r="E569" i="3"/>
  <c r="F569" i="3" s="1"/>
  <c r="H569" i="3" s="1"/>
  <c r="E570" i="3"/>
  <c r="F570" i="3" s="1"/>
  <c r="H570" i="3" s="1"/>
  <c r="E571" i="3"/>
  <c r="F571" i="3" s="1"/>
  <c r="H571" i="3" s="1"/>
  <c r="E572" i="3"/>
  <c r="F572" i="3" s="1"/>
  <c r="H572" i="3" s="1"/>
  <c r="E573" i="3"/>
  <c r="F573" i="3" s="1"/>
  <c r="H573" i="3" s="1"/>
  <c r="E574" i="3"/>
  <c r="F574" i="3" s="1"/>
  <c r="H574" i="3" s="1"/>
  <c r="E575" i="3"/>
  <c r="F575" i="3" s="1"/>
  <c r="H575" i="3" s="1"/>
  <c r="E576" i="3"/>
  <c r="F576" i="3" s="1"/>
  <c r="H576" i="3" s="1"/>
  <c r="E577" i="3"/>
  <c r="F577" i="3" s="1"/>
  <c r="H577" i="3" s="1"/>
  <c r="E578" i="3"/>
  <c r="F578" i="3" s="1"/>
  <c r="H578" i="3" s="1"/>
  <c r="E579" i="3"/>
  <c r="F579" i="3" s="1"/>
  <c r="H579" i="3" s="1"/>
  <c r="E580" i="3"/>
  <c r="F580" i="3" s="1"/>
  <c r="H580" i="3" s="1"/>
  <c r="E581" i="3"/>
  <c r="F581" i="3" s="1"/>
  <c r="H581" i="3" s="1"/>
  <c r="E582" i="3"/>
  <c r="F582" i="3" s="1"/>
  <c r="H582" i="3" s="1"/>
  <c r="H557" i="3" l="1"/>
  <c r="E534" i="3"/>
  <c r="F534" i="3" s="1"/>
  <c r="H534" i="3" s="1"/>
  <c r="E533" i="3"/>
  <c r="F533" i="3" s="1"/>
  <c r="H533" i="3" s="1"/>
  <c r="E532" i="3"/>
  <c r="F532" i="3" s="1"/>
  <c r="H532" i="3" s="1"/>
  <c r="E531" i="3"/>
  <c r="F531" i="3" s="1"/>
  <c r="H531" i="3" s="1"/>
  <c r="E530" i="3"/>
  <c r="F530" i="3" s="1"/>
  <c r="H530" i="3" s="1"/>
  <c r="E529" i="3"/>
  <c r="F529" i="3" s="1"/>
  <c r="H529" i="3" s="1"/>
  <c r="E528" i="3"/>
  <c r="F528" i="3" s="1"/>
  <c r="H528" i="3" s="1"/>
  <c r="E527" i="3"/>
  <c r="F527" i="3" s="1"/>
  <c r="H527" i="3" s="1"/>
  <c r="E526" i="3"/>
  <c r="F526" i="3" s="1"/>
  <c r="H526" i="3" s="1"/>
  <c r="E525" i="3"/>
  <c r="F525" i="3" s="1"/>
  <c r="H525" i="3" s="1"/>
  <c r="E524" i="3"/>
  <c r="F524" i="3" s="1"/>
  <c r="H524" i="3" s="1"/>
  <c r="E523" i="3"/>
  <c r="F523" i="3" s="1"/>
  <c r="H523" i="3" s="1"/>
  <c r="E522" i="3"/>
  <c r="F522" i="3" s="1"/>
  <c r="H522" i="3" s="1"/>
  <c r="E521" i="3"/>
  <c r="F521" i="3" s="1"/>
  <c r="H521" i="3" s="1"/>
  <c r="E520" i="3"/>
  <c r="F520" i="3" s="1"/>
  <c r="H520" i="3" s="1"/>
  <c r="E519" i="3"/>
  <c r="F519" i="3" s="1"/>
  <c r="H519" i="3" s="1"/>
  <c r="E518" i="3"/>
  <c r="F518" i="3" s="1"/>
  <c r="H518" i="3" s="1"/>
  <c r="E517" i="3"/>
  <c r="F517" i="3" s="1"/>
  <c r="H517" i="3" s="1"/>
  <c r="E516" i="3"/>
  <c r="F516" i="3" s="1"/>
  <c r="H516" i="3" s="1"/>
  <c r="E515" i="3"/>
  <c r="F515" i="3" s="1"/>
  <c r="H515" i="3" s="1"/>
  <c r="E514" i="3"/>
  <c r="F514" i="3" s="1"/>
  <c r="H514" i="3" s="1"/>
  <c r="E513" i="3"/>
  <c r="F513" i="3" s="1"/>
  <c r="H513" i="3" s="1"/>
  <c r="E512" i="3"/>
  <c r="F512" i="3" s="1"/>
  <c r="H512" i="3" s="1"/>
  <c r="E511" i="3"/>
  <c r="F511" i="3" s="1"/>
  <c r="H511" i="3" s="1"/>
  <c r="E510" i="3"/>
  <c r="F510" i="3" s="1"/>
  <c r="H510" i="3" s="1"/>
  <c r="E509" i="3"/>
  <c r="F509" i="3" s="1"/>
  <c r="H509" i="3" s="1"/>
  <c r="E508" i="3"/>
  <c r="F508" i="3" s="1"/>
  <c r="H508" i="3" s="1"/>
  <c r="E507" i="3"/>
  <c r="F507" i="3" s="1"/>
  <c r="H507" i="3" s="1"/>
  <c r="E506" i="3"/>
  <c r="F506" i="3" s="1"/>
  <c r="H506" i="3" s="1"/>
  <c r="E505" i="3"/>
  <c r="F505" i="3" s="1"/>
  <c r="H505" i="3" s="1"/>
  <c r="E504" i="3"/>
  <c r="F504" i="3" s="1"/>
  <c r="H504" i="3" s="1"/>
  <c r="E503" i="3"/>
  <c r="F503" i="3" s="1"/>
  <c r="H503" i="3" s="1"/>
  <c r="E502" i="3"/>
  <c r="F502" i="3" s="1"/>
  <c r="H502" i="3" s="1"/>
  <c r="E501" i="3"/>
  <c r="F501" i="3" s="1"/>
  <c r="H501" i="3" s="1"/>
  <c r="E500" i="3"/>
  <c r="F500" i="3" s="1"/>
  <c r="H500" i="3" s="1"/>
  <c r="E499" i="3"/>
  <c r="F499" i="3" s="1"/>
  <c r="H499" i="3" s="1"/>
  <c r="E498" i="3"/>
  <c r="F498" i="3" s="1"/>
  <c r="H498" i="3" s="1"/>
  <c r="E497" i="3"/>
  <c r="F497" i="3" s="1"/>
  <c r="H497" i="3" s="1"/>
  <c r="E496" i="3"/>
  <c r="F496" i="3" s="1"/>
  <c r="H496" i="3" s="1"/>
  <c r="E495" i="3"/>
  <c r="F495" i="3" s="1"/>
  <c r="H495" i="3" s="1"/>
  <c r="E494" i="3"/>
  <c r="F494" i="3" s="1"/>
  <c r="H494" i="3" s="1"/>
  <c r="E493" i="3"/>
  <c r="F493" i="3" s="1"/>
  <c r="H493" i="3" s="1"/>
  <c r="E492" i="3"/>
  <c r="F492" i="3" s="1"/>
  <c r="H492" i="3" s="1"/>
  <c r="E491" i="3"/>
  <c r="F491" i="3" s="1"/>
  <c r="H491" i="3" s="1"/>
  <c r="E490" i="3"/>
  <c r="F490" i="3" s="1"/>
  <c r="H490" i="3" s="1"/>
  <c r="E489" i="3"/>
  <c r="F489" i="3" s="1"/>
  <c r="H489" i="3" s="1"/>
  <c r="E488" i="3"/>
  <c r="F488" i="3" s="1"/>
  <c r="H488" i="3" s="1"/>
  <c r="E487" i="3"/>
  <c r="F487" i="3" s="1"/>
  <c r="H487" i="3" s="1"/>
  <c r="E486" i="3"/>
  <c r="F486" i="3" s="1"/>
  <c r="H486" i="3" s="1"/>
  <c r="E485" i="3"/>
  <c r="F485" i="3" s="1"/>
  <c r="H485" i="3" s="1"/>
  <c r="E484" i="3"/>
  <c r="F484" i="3" s="1"/>
  <c r="H484" i="3" s="1"/>
  <c r="E483" i="3"/>
  <c r="F483" i="3" s="1"/>
  <c r="H483" i="3" s="1"/>
  <c r="E482" i="3"/>
  <c r="F482" i="3" s="1"/>
  <c r="H482" i="3" s="1"/>
  <c r="E481" i="3"/>
  <c r="F481" i="3" s="1"/>
  <c r="H481" i="3" s="1"/>
  <c r="E480" i="3"/>
  <c r="F480" i="3" s="1"/>
  <c r="H480" i="3" s="1"/>
  <c r="E479" i="3"/>
  <c r="F479" i="3" s="1"/>
  <c r="H479" i="3" s="1"/>
  <c r="E478" i="3"/>
  <c r="F478" i="3" s="1"/>
  <c r="H478" i="3" s="1"/>
  <c r="E477" i="3"/>
  <c r="F477" i="3" s="1"/>
  <c r="H477" i="3" s="1"/>
  <c r="E476" i="3"/>
  <c r="F476" i="3" s="1"/>
  <c r="H476" i="3" s="1"/>
  <c r="E475" i="3"/>
  <c r="F475" i="3" s="1"/>
  <c r="H475" i="3" s="1"/>
  <c r="E474" i="3"/>
  <c r="F474" i="3" s="1"/>
  <c r="H474" i="3" s="1"/>
  <c r="E473" i="3"/>
  <c r="F473" i="3" s="1"/>
  <c r="H473" i="3" s="1"/>
  <c r="E472" i="3"/>
  <c r="F472" i="3" s="1"/>
  <c r="H472" i="3" s="1"/>
  <c r="E471" i="3"/>
  <c r="F471" i="3" s="1"/>
  <c r="H471" i="3" s="1"/>
  <c r="E470" i="3"/>
  <c r="F470" i="3" s="1"/>
  <c r="H470" i="3" s="1"/>
  <c r="E469" i="3"/>
  <c r="E468" i="3"/>
  <c r="F468" i="3" s="1"/>
  <c r="H468" i="3" s="1"/>
  <c r="E467" i="3"/>
  <c r="F467" i="3" s="1"/>
  <c r="H467" i="3" s="1"/>
  <c r="E466" i="3"/>
  <c r="F466" i="3" s="1"/>
  <c r="H466" i="3" s="1"/>
  <c r="E465" i="3"/>
  <c r="F465" i="3" s="1"/>
  <c r="H465" i="3" s="1"/>
  <c r="E464" i="3"/>
  <c r="F464" i="3" s="1"/>
  <c r="H464" i="3" s="1"/>
  <c r="E463" i="3"/>
  <c r="F463" i="3" s="1"/>
  <c r="H463" i="3" s="1"/>
  <c r="E462" i="3"/>
  <c r="F462" i="3" s="1"/>
  <c r="H462" i="3" s="1"/>
  <c r="E461" i="3"/>
  <c r="F461" i="3" s="1"/>
  <c r="H461" i="3" s="1"/>
  <c r="E460" i="3"/>
  <c r="F460" i="3" s="1"/>
  <c r="H460" i="3" s="1"/>
  <c r="E459" i="3"/>
  <c r="F459" i="3" s="1"/>
  <c r="H459" i="3" s="1"/>
  <c r="E458" i="3"/>
  <c r="F458" i="3" s="1"/>
  <c r="H458" i="3" s="1"/>
  <c r="E457" i="3"/>
  <c r="F457" i="3" s="1"/>
  <c r="H457" i="3" s="1"/>
  <c r="E456" i="3"/>
  <c r="F456" i="3" s="1"/>
  <c r="H456" i="3" s="1"/>
  <c r="E455" i="3"/>
  <c r="F455" i="3" s="1"/>
  <c r="H455" i="3" s="1"/>
  <c r="E454" i="3"/>
  <c r="F454" i="3" s="1"/>
  <c r="H454" i="3" s="1"/>
  <c r="E453" i="3"/>
  <c r="F453" i="3" s="1"/>
  <c r="H453" i="3" s="1"/>
  <c r="E452" i="3"/>
  <c r="F452" i="3" s="1"/>
  <c r="H452" i="3" s="1"/>
  <c r="E451" i="3"/>
  <c r="F451" i="3" s="1"/>
  <c r="H451" i="3" s="1"/>
  <c r="E450" i="3"/>
  <c r="F450" i="3" s="1"/>
  <c r="H450" i="3" s="1"/>
  <c r="E449" i="3"/>
  <c r="F449" i="3" s="1"/>
  <c r="H449" i="3" s="1"/>
  <c r="E448" i="3"/>
  <c r="F448" i="3" s="1"/>
  <c r="H448" i="3" s="1"/>
  <c r="E447" i="3"/>
  <c r="F447" i="3" s="1"/>
  <c r="H447" i="3" s="1"/>
  <c r="E446" i="3"/>
  <c r="F446" i="3" s="1"/>
  <c r="H446" i="3" s="1"/>
  <c r="E445" i="3"/>
  <c r="F445" i="3" s="1"/>
  <c r="H445" i="3" s="1"/>
  <c r="E444" i="3"/>
  <c r="F444" i="3" s="1"/>
  <c r="H444" i="3" s="1"/>
  <c r="E443" i="3"/>
  <c r="F443" i="3" s="1"/>
  <c r="H443" i="3" s="1"/>
  <c r="E442" i="3"/>
  <c r="F442" i="3" s="1"/>
  <c r="H442" i="3" s="1"/>
  <c r="E441" i="3"/>
  <c r="F441" i="3" s="1"/>
  <c r="H441" i="3" s="1"/>
  <c r="E430" i="3"/>
  <c r="F430" i="3" s="1"/>
  <c r="H430" i="3" s="1"/>
  <c r="E431" i="3"/>
  <c r="F431" i="3" s="1"/>
  <c r="H431" i="3" s="1"/>
  <c r="E432" i="3"/>
  <c r="F432" i="3" s="1"/>
  <c r="H432" i="3" s="1"/>
  <c r="E433" i="3"/>
  <c r="F433" i="3" s="1"/>
  <c r="H433" i="3" s="1"/>
  <c r="E434" i="3"/>
  <c r="F434" i="3" s="1"/>
  <c r="H434" i="3" s="1"/>
  <c r="E435" i="3"/>
  <c r="F435" i="3" s="1"/>
  <c r="H435" i="3" s="1"/>
  <c r="E436" i="3"/>
  <c r="F436" i="3" s="1"/>
  <c r="H436" i="3" s="1"/>
  <c r="E437" i="3"/>
  <c r="F437" i="3" s="1"/>
  <c r="H437" i="3" s="1"/>
  <c r="E438" i="3"/>
  <c r="F438" i="3" s="1"/>
  <c r="H438" i="3" s="1"/>
  <c r="E439" i="3"/>
  <c r="F439" i="3" s="1"/>
  <c r="H439" i="3" s="1"/>
  <c r="E440" i="3"/>
  <c r="F440" i="3" s="1"/>
  <c r="H440" i="3" s="1"/>
  <c r="F469" i="3" l="1"/>
  <c r="H469" i="3" s="1"/>
  <c r="F839" i="2"/>
  <c r="G839" i="2" s="1"/>
  <c r="I839" i="2" s="1"/>
  <c r="F840" i="2"/>
  <c r="G840" i="2" s="1"/>
  <c r="I840" i="2" s="1"/>
  <c r="F841" i="2"/>
  <c r="G841" i="2" s="1"/>
  <c r="I841" i="2" s="1"/>
  <c r="F842" i="2"/>
  <c r="G842" i="2" s="1"/>
  <c r="I842" i="2" s="1"/>
  <c r="F843" i="2"/>
  <c r="G843" i="2" s="1"/>
  <c r="I843" i="2" s="1"/>
  <c r="F844" i="2"/>
  <c r="G844" i="2" s="1"/>
  <c r="I844" i="2" s="1"/>
  <c r="F845" i="2"/>
  <c r="G845" i="2" s="1"/>
  <c r="I845" i="2" s="1"/>
  <c r="F846" i="2"/>
  <c r="G846" i="2" s="1"/>
  <c r="I846" i="2" s="1"/>
  <c r="F847" i="2"/>
  <c r="G847" i="2" s="1"/>
  <c r="I847" i="2" s="1"/>
  <c r="F848" i="2"/>
  <c r="G848" i="2" s="1"/>
  <c r="I848" i="2" s="1"/>
  <c r="F849" i="2"/>
  <c r="G849" i="2" s="1"/>
  <c r="I849" i="2" s="1"/>
  <c r="F850" i="2"/>
  <c r="G850" i="2" s="1"/>
  <c r="I850" i="2" s="1"/>
  <c r="F851" i="2"/>
  <c r="G851" i="2" s="1"/>
  <c r="I851" i="2" s="1"/>
  <c r="F852" i="2"/>
  <c r="G852" i="2" s="1"/>
  <c r="I852" i="2" s="1"/>
  <c r="F853" i="2"/>
  <c r="G853" i="2" s="1"/>
  <c r="I853" i="2" s="1"/>
  <c r="F854" i="2"/>
  <c r="G854" i="2" s="1"/>
  <c r="I854" i="2" s="1"/>
  <c r="F855" i="2"/>
  <c r="G855" i="2" s="1"/>
  <c r="I855" i="2" s="1"/>
  <c r="F856" i="2"/>
  <c r="G856" i="2" s="1"/>
  <c r="I856" i="2" s="1"/>
  <c r="F857" i="2"/>
  <c r="G857" i="2" s="1"/>
  <c r="I857" i="2" s="1"/>
  <c r="F858" i="2"/>
  <c r="G858" i="2" s="1"/>
  <c r="I858" i="2" s="1"/>
  <c r="F859" i="2"/>
  <c r="G859" i="2" s="1"/>
  <c r="I859" i="2" s="1"/>
  <c r="I860" i="2"/>
  <c r="F861" i="2"/>
  <c r="G861" i="2" s="1"/>
  <c r="I861" i="2" s="1"/>
  <c r="F862" i="2"/>
  <c r="G862" i="2" s="1"/>
  <c r="I862" i="2" s="1"/>
  <c r="F863" i="2"/>
  <c r="G863" i="2" s="1"/>
  <c r="I863" i="2" s="1"/>
  <c r="F864" i="2"/>
  <c r="G864" i="2" s="1"/>
  <c r="I864" i="2" s="1"/>
  <c r="F865" i="2"/>
  <c r="G865" i="2" s="1"/>
  <c r="I865" i="2" s="1"/>
  <c r="I866" i="2"/>
  <c r="F867" i="2"/>
  <c r="G867" i="2" s="1"/>
  <c r="I867" i="2" s="1"/>
  <c r="F868" i="2"/>
  <c r="G868" i="2" s="1"/>
  <c r="I868" i="2" s="1"/>
  <c r="F869" i="2"/>
  <c r="G869" i="2" s="1"/>
  <c r="I869" i="2" s="1"/>
  <c r="F870" i="2"/>
  <c r="G870" i="2" s="1"/>
  <c r="I870" i="2" s="1"/>
  <c r="F871" i="2"/>
  <c r="G871" i="2" s="1"/>
  <c r="I871" i="2" s="1"/>
  <c r="I872" i="2"/>
  <c r="F873" i="2"/>
  <c r="G873" i="2" s="1"/>
  <c r="I873" i="2" s="1"/>
  <c r="F874" i="2"/>
  <c r="G874" i="2" s="1"/>
  <c r="I874" i="2" s="1"/>
  <c r="F875" i="2"/>
  <c r="G875" i="2" s="1"/>
  <c r="I875" i="2" s="1"/>
  <c r="F876" i="2"/>
  <c r="G876" i="2" s="1"/>
  <c r="I876" i="2" s="1"/>
  <c r="F877" i="2"/>
  <c r="G877" i="2" s="1"/>
  <c r="I877" i="2" s="1"/>
  <c r="F878" i="2"/>
  <c r="G878" i="2" s="1"/>
  <c r="I878" i="2" s="1"/>
  <c r="F879" i="2"/>
  <c r="G879" i="2" s="1"/>
  <c r="I879" i="2" s="1"/>
  <c r="F880" i="2"/>
  <c r="G880" i="2" s="1"/>
  <c r="I880" i="2" s="1"/>
  <c r="F881" i="2"/>
  <c r="G881" i="2" s="1"/>
  <c r="I881" i="2" s="1"/>
  <c r="F882" i="2"/>
  <c r="G882" i="2" s="1"/>
  <c r="I882" i="2" s="1"/>
  <c r="F883" i="2"/>
  <c r="G883" i="2" s="1"/>
  <c r="I883" i="2" s="1"/>
  <c r="F884" i="2"/>
  <c r="G884" i="2" s="1"/>
  <c r="I884" i="2" s="1"/>
  <c r="F885" i="2"/>
  <c r="G885" i="2" s="1"/>
  <c r="I885" i="2" s="1"/>
  <c r="F886" i="2"/>
  <c r="G886" i="2" s="1"/>
  <c r="I886" i="2" s="1"/>
  <c r="F887" i="2"/>
  <c r="G887" i="2" s="1"/>
  <c r="I887" i="2" s="1"/>
  <c r="F888" i="2"/>
  <c r="G888" i="2" s="1"/>
  <c r="I888" i="2" s="1"/>
  <c r="F889" i="2"/>
  <c r="G889" i="2" s="1"/>
  <c r="I889" i="2" s="1"/>
  <c r="F890" i="2"/>
  <c r="G890" i="2" s="1"/>
  <c r="I890" i="2" s="1"/>
  <c r="F891" i="2"/>
  <c r="G891" i="2" s="1"/>
  <c r="I891" i="2" s="1"/>
  <c r="F892" i="2"/>
  <c r="G892" i="2" s="1"/>
  <c r="I892" i="2" s="1"/>
  <c r="F893" i="2"/>
  <c r="G893" i="2" s="1"/>
  <c r="I893" i="2" s="1"/>
  <c r="F894" i="2"/>
  <c r="G894" i="2" s="1"/>
  <c r="I894" i="2" s="1"/>
  <c r="F895" i="2"/>
  <c r="G895" i="2" s="1"/>
  <c r="I895" i="2" s="1"/>
  <c r="F896" i="2"/>
  <c r="G896" i="2" s="1"/>
  <c r="I896" i="2" s="1"/>
  <c r="F897" i="2"/>
  <c r="G897" i="2" s="1"/>
  <c r="I897" i="2" s="1"/>
  <c r="F898" i="2"/>
  <c r="G898" i="2" s="1"/>
  <c r="I898" i="2" s="1"/>
  <c r="F899" i="2"/>
  <c r="G899" i="2" s="1"/>
  <c r="I899" i="2" s="1"/>
  <c r="F900" i="2"/>
  <c r="G900" i="2" s="1"/>
  <c r="I900" i="2" s="1"/>
  <c r="F901" i="2"/>
  <c r="G901" i="2" s="1"/>
  <c r="I901" i="2" s="1"/>
  <c r="F902" i="2"/>
  <c r="G902" i="2" s="1"/>
  <c r="I902" i="2" s="1"/>
  <c r="F903" i="2"/>
  <c r="G903" i="2" s="1"/>
  <c r="I903" i="2" s="1"/>
  <c r="F904" i="2"/>
  <c r="G904" i="2" s="1"/>
  <c r="I904" i="2" s="1"/>
  <c r="F905" i="2"/>
  <c r="G905" i="2" s="1"/>
  <c r="I905" i="2" s="1"/>
  <c r="F906" i="2"/>
  <c r="G906" i="2" s="1"/>
  <c r="I906" i="2" s="1"/>
  <c r="F907" i="2"/>
  <c r="G907" i="2" s="1"/>
  <c r="I907" i="2" s="1"/>
  <c r="F908" i="2"/>
  <c r="G908" i="2" s="1"/>
  <c r="I908" i="2" s="1"/>
  <c r="F909" i="2"/>
  <c r="G909" i="2" s="1"/>
  <c r="I909" i="2" s="1"/>
  <c r="F910" i="2"/>
  <c r="G910" i="2" s="1"/>
  <c r="I910" i="2" s="1"/>
  <c r="F911" i="2"/>
  <c r="G911" i="2" s="1"/>
  <c r="I911" i="2" s="1"/>
  <c r="F912" i="2"/>
  <c r="G912" i="2" s="1"/>
  <c r="I912" i="2" s="1"/>
  <c r="F913" i="2"/>
  <c r="G913" i="2" s="1"/>
  <c r="I913" i="2" s="1"/>
  <c r="F914" i="2"/>
  <c r="G914" i="2" s="1"/>
  <c r="I914" i="2" s="1"/>
  <c r="F915" i="2"/>
  <c r="G915" i="2" s="1"/>
  <c r="I915" i="2" s="1"/>
  <c r="F916" i="2"/>
  <c r="G916" i="2" s="1"/>
  <c r="I916" i="2" s="1"/>
  <c r="F917" i="2"/>
  <c r="G917" i="2" s="1"/>
  <c r="I917" i="2" s="1"/>
  <c r="F918" i="2"/>
  <c r="G918" i="2" s="1"/>
  <c r="I918" i="2" s="1"/>
  <c r="F919" i="2"/>
  <c r="G919" i="2" s="1"/>
  <c r="I919" i="2" s="1"/>
  <c r="F920" i="2"/>
  <c r="G920" i="2" s="1"/>
  <c r="I920" i="2" s="1"/>
  <c r="F921" i="2"/>
  <c r="G921" i="2" s="1"/>
  <c r="I921" i="2" s="1"/>
  <c r="I922" i="2"/>
  <c r="F923" i="2"/>
  <c r="G923" i="2" s="1"/>
  <c r="I923" i="2" s="1"/>
  <c r="F924" i="2"/>
  <c r="G924" i="2" s="1"/>
  <c r="I924" i="2" s="1"/>
  <c r="F925" i="2"/>
  <c r="G925" i="2" s="1"/>
  <c r="I925" i="2" s="1"/>
  <c r="F926" i="2"/>
  <c r="G926" i="2" s="1"/>
  <c r="I926" i="2" s="1"/>
  <c r="F927" i="2"/>
  <c r="G927" i="2" s="1"/>
  <c r="I927" i="2" s="1"/>
  <c r="F928" i="2"/>
  <c r="G928" i="2" s="1"/>
  <c r="I928" i="2" s="1"/>
  <c r="F929" i="2"/>
  <c r="G929" i="2" s="1"/>
  <c r="I929" i="2" s="1"/>
  <c r="F930" i="2"/>
  <c r="G930" i="2" s="1"/>
  <c r="I930" i="2" s="1"/>
  <c r="I931" i="2"/>
  <c r="F932" i="2"/>
  <c r="G932" i="2" s="1"/>
  <c r="I932" i="2" s="1"/>
  <c r="F933" i="2"/>
  <c r="G933" i="2" s="1"/>
  <c r="I933" i="2" s="1"/>
  <c r="F934" i="2"/>
  <c r="G934" i="2" s="1"/>
  <c r="I934" i="2" s="1"/>
  <c r="I935" i="2"/>
  <c r="F936" i="2"/>
  <c r="G936" i="2" s="1"/>
  <c r="I936" i="2" s="1"/>
  <c r="F937" i="2"/>
  <c r="G937" i="2" s="1"/>
  <c r="I937" i="2" s="1"/>
  <c r="F938" i="2"/>
  <c r="G938" i="2" s="1"/>
  <c r="I938" i="2" s="1"/>
  <c r="F939" i="2"/>
  <c r="G939" i="2" s="1"/>
  <c r="I939" i="2" s="1"/>
  <c r="F940" i="2"/>
  <c r="G940" i="2" s="1"/>
  <c r="I940" i="2" s="1"/>
  <c r="F941" i="2"/>
  <c r="G941" i="2" s="1"/>
  <c r="I941" i="2" s="1"/>
  <c r="F942" i="2"/>
  <c r="G942" i="2" s="1"/>
  <c r="I942" i="2" s="1"/>
  <c r="F943" i="2"/>
  <c r="G943" i="2" s="1"/>
  <c r="I943" i="2" s="1"/>
  <c r="F944" i="2"/>
  <c r="G944" i="2" s="1"/>
  <c r="I944" i="2" s="1"/>
  <c r="F945" i="2"/>
  <c r="G945" i="2" s="1"/>
  <c r="I945" i="2" s="1"/>
  <c r="F946" i="2"/>
  <c r="G946" i="2" s="1"/>
  <c r="I946" i="2" s="1"/>
  <c r="F947" i="2"/>
  <c r="G947" i="2" s="1"/>
  <c r="I947" i="2" s="1"/>
  <c r="F948" i="2"/>
  <c r="G948" i="2" s="1"/>
  <c r="I948" i="2" s="1"/>
  <c r="F949" i="2"/>
  <c r="G949" i="2" s="1"/>
  <c r="I949" i="2" s="1"/>
  <c r="F730" i="2" l="1"/>
  <c r="G730" i="2" s="1"/>
  <c r="I730" i="2" s="1"/>
  <c r="F752" i="2" l="1"/>
  <c r="G752" i="2" s="1"/>
  <c r="I752" i="2" s="1"/>
  <c r="F753" i="2"/>
  <c r="G753" i="2" s="1"/>
  <c r="I753" i="2" s="1"/>
  <c r="F754" i="2"/>
  <c r="G754" i="2" s="1"/>
  <c r="I754" i="2" s="1"/>
  <c r="F755" i="2"/>
  <c r="G755" i="2" s="1"/>
  <c r="I755" i="2" s="1"/>
  <c r="F756" i="2"/>
  <c r="G756" i="2" s="1"/>
  <c r="I756" i="2" s="1"/>
  <c r="F757" i="2"/>
  <c r="G757" i="2" s="1"/>
  <c r="I757" i="2" s="1"/>
  <c r="F758" i="2"/>
  <c r="G758" i="2" s="1"/>
  <c r="I758" i="2" s="1"/>
  <c r="F759" i="2"/>
  <c r="G759" i="2" s="1"/>
  <c r="I759" i="2" s="1"/>
  <c r="F760" i="2"/>
  <c r="G760" i="2" s="1"/>
  <c r="I760" i="2" s="1"/>
  <c r="F761" i="2"/>
  <c r="G761" i="2" s="1"/>
  <c r="I761" i="2" s="1"/>
  <c r="F762" i="2"/>
  <c r="G762" i="2" s="1"/>
  <c r="I762" i="2" s="1"/>
  <c r="F763" i="2"/>
  <c r="G763" i="2" s="1"/>
  <c r="I763" i="2" s="1"/>
  <c r="F764" i="2"/>
  <c r="G764" i="2" s="1"/>
  <c r="I764" i="2" s="1"/>
  <c r="F765" i="2"/>
  <c r="G765" i="2" s="1"/>
  <c r="I765" i="2" s="1"/>
  <c r="F766" i="2"/>
  <c r="G766" i="2" s="1"/>
  <c r="I766" i="2" s="1"/>
  <c r="F767" i="2"/>
  <c r="G767" i="2" s="1"/>
  <c r="I767" i="2" s="1"/>
  <c r="F768" i="2"/>
  <c r="G768" i="2" s="1"/>
  <c r="I768" i="2" s="1"/>
  <c r="F769" i="2"/>
  <c r="G769" i="2" s="1"/>
  <c r="I769" i="2" s="1"/>
  <c r="F770" i="2"/>
  <c r="G770" i="2" s="1"/>
  <c r="I770" i="2" s="1"/>
  <c r="F771" i="2"/>
  <c r="G771" i="2" s="1"/>
  <c r="I771" i="2" s="1"/>
  <c r="F772" i="2"/>
  <c r="G772" i="2" s="1"/>
  <c r="I772" i="2" s="1"/>
  <c r="F773" i="2"/>
  <c r="G773" i="2" s="1"/>
  <c r="I773" i="2" s="1"/>
  <c r="F774" i="2"/>
  <c r="G774" i="2" s="1"/>
  <c r="I774" i="2" s="1"/>
  <c r="F775" i="2"/>
  <c r="G775" i="2" s="1"/>
  <c r="I775" i="2" s="1"/>
  <c r="F776" i="2"/>
  <c r="G776" i="2" s="1"/>
  <c r="I776" i="2" s="1"/>
  <c r="F777" i="2"/>
  <c r="G777" i="2" s="1"/>
  <c r="I777" i="2" s="1"/>
  <c r="F778" i="2"/>
  <c r="G778" i="2" s="1"/>
  <c r="I778" i="2" s="1"/>
  <c r="F779" i="2"/>
  <c r="G779" i="2" s="1"/>
  <c r="I779" i="2" s="1"/>
  <c r="F780" i="2"/>
  <c r="G780" i="2" s="1"/>
  <c r="I780" i="2" s="1"/>
  <c r="F781" i="2"/>
  <c r="G781" i="2" s="1"/>
  <c r="I781" i="2" s="1"/>
  <c r="F782" i="2"/>
  <c r="G782" i="2" s="1"/>
  <c r="I782" i="2" s="1"/>
  <c r="F783" i="2"/>
  <c r="G783" i="2" s="1"/>
  <c r="I783" i="2" s="1"/>
  <c r="F784" i="2"/>
  <c r="G784" i="2" s="1"/>
  <c r="I784" i="2" s="1"/>
  <c r="F785" i="2"/>
  <c r="G785" i="2" s="1"/>
  <c r="I785" i="2" s="1"/>
  <c r="F786" i="2"/>
  <c r="G786" i="2" s="1"/>
  <c r="I786" i="2" s="1"/>
  <c r="F787" i="2"/>
  <c r="G787" i="2" s="1"/>
  <c r="I787" i="2" s="1"/>
  <c r="F788" i="2"/>
  <c r="G788" i="2" s="1"/>
  <c r="I788" i="2" s="1"/>
  <c r="F789" i="2"/>
  <c r="G789" i="2" s="1"/>
  <c r="I789" i="2" s="1"/>
  <c r="I790" i="2"/>
  <c r="F791" i="2"/>
  <c r="G791" i="2" s="1"/>
  <c r="I791" i="2" s="1"/>
  <c r="F792" i="2"/>
  <c r="G792" i="2" s="1"/>
  <c r="I792" i="2" s="1"/>
  <c r="F793" i="2"/>
  <c r="G793" i="2" s="1"/>
  <c r="I793" i="2" s="1"/>
  <c r="F794" i="2"/>
  <c r="G794" i="2" s="1"/>
  <c r="I794" i="2" s="1"/>
  <c r="F795" i="2"/>
  <c r="G795" i="2" s="1"/>
  <c r="I795" i="2" s="1"/>
  <c r="F796" i="2"/>
  <c r="G796" i="2" s="1"/>
  <c r="I796" i="2" s="1"/>
  <c r="I797" i="2"/>
  <c r="F798" i="2"/>
  <c r="G798" i="2" s="1"/>
  <c r="I798" i="2" s="1"/>
  <c r="F799" i="2"/>
  <c r="G799" i="2" s="1"/>
  <c r="I799" i="2" s="1"/>
  <c r="F800" i="2"/>
  <c r="G800" i="2" s="1"/>
  <c r="I800" i="2" s="1"/>
  <c r="F801" i="2"/>
  <c r="G801" i="2" s="1"/>
  <c r="I801" i="2" s="1"/>
  <c r="F802" i="2"/>
  <c r="G802" i="2" s="1"/>
  <c r="I802" i="2" s="1"/>
  <c r="F803" i="2"/>
  <c r="G803" i="2" s="1"/>
  <c r="I803" i="2" s="1"/>
  <c r="F804" i="2"/>
  <c r="G804" i="2" s="1"/>
  <c r="I804" i="2" s="1"/>
  <c r="F805" i="2"/>
  <c r="G805" i="2" s="1"/>
  <c r="I805" i="2" s="1"/>
  <c r="F806" i="2"/>
  <c r="G806" i="2" s="1"/>
  <c r="I806" i="2" s="1"/>
  <c r="F807" i="2"/>
  <c r="G807" i="2" s="1"/>
  <c r="I807" i="2" s="1"/>
  <c r="F808" i="2"/>
  <c r="G808" i="2" s="1"/>
  <c r="I808" i="2" s="1"/>
  <c r="F809" i="2"/>
  <c r="G809" i="2" s="1"/>
  <c r="I809" i="2" s="1"/>
  <c r="F810" i="2"/>
  <c r="G810" i="2" s="1"/>
  <c r="I810" i="2" s="1"/>
  <c r="F811" i="2"/>
  <c r="G811" i="2" s="1"/>
  <c r="I811" i="2" s="1"/>
  <c r="F812" i="2"/>
  <c r="G812" i="2" s="1"/>
  <c r="I812" i="2" s="1"/>
  <c r="F813" i="2"/>
  <c r="G813" i="2" s="1"/>
  <c r="I813" i="2" s="1"/>
  <c r="F814" i="2"/>
  <c r="G814" i="2" s="1"/>
  <c r="I814" i="2" s="1"/>
  <c r="F815" i="2"/>
  <c r="G815" i="2" s="1"/>
  <c r="I815" i="2" s="1"/>
  <c r="F816" i="2"/>
  <c r="G816" i="2" s="1"/>
  <c r="I816" i="2" s="1"/>
  <c r="F817" i="2"/>
  <c r="G817" i="2" s="1"/>
  <c r="I817" i="2" s="1"/>
  <c r="F818" i="2"/>
  <c r="G818" i="2" s="1"/>
  <c r="I818" i="2" s="1"/>
  <c r="I819" i="2"/>
  <c r="F820" i="2"/>
  <c r="G820" i="2" s="1"/>
  <c r="I820" i="2" s="1"/>
  <c r="F821" i="2"/>
  <c r="G821" i="2" s="1"/>
  <c r="I821" i="2" s="1"/>
  <c r="I822" i="2"/>
  <c r="F823" i="2"/>
  <c r="G823" i="2" s="1"/>
  <c r="I823" i="2" s="1"/>
  <c r="F824" i="2"/>
  <c r="G824" i="2" s="1"/>
  <c r="I824" i="2" s="1"/>
  <c r="F825" i="2"/>
  <c r="G825" i="2" s="1"/>
  <c r="I825" i="2" s="1"/>
  <c r="F826" i="2"/>
  <c r="G826" i="2" s="1"/>
  <c r="I826" i="2" s="1"/>
  <c r="F827" i="2"/>
  <c r="G827" i="2" s="1"/>
  <c r="I827" i="2" s="1"/>
  <c r="I828" i="2"/>
  <c r="F829" i="2"/>
  <c r="G829" i="2" s="1"/>
  <c r="I829" i="2" s="1"/>
  <c r="I830" i="2"/>
  <c r="F831" i="2"/>
  <c r="G831" i="2" s="1"/>
  <c r="I831" i="2" s="1"/>
  <c r="F832" i="2"/>
  <c r="G832" i="2" s="1"/>
  <c r="I832" i="2" s="1"/>
  <c r="F833" i="2"/>
  <c r="G833" i="2" s="1"/>
  <c r="I833" i="2" s="1"/>
  <c r="F834" i="2"/>
  <c r="G834" i="2" s="1"/>
  <c r="I834" i="2" s="1"/>
  <c r="F835" i="2"/>
  <c r="G835" i="2" s="1"/>
  <c r="I835" i="2" s="1"/>
  <c r="F836" i="2"/>
  <c r="G836" i="2" s="1"/>
  <c r="I836" i="2" s="1"/>
  <c r="F837" i="2"/>
  <c r="G837" i="2" s="1"/>
  <c r="I837" i="2" s="1"/>
  <c r="F838" i="2"/>
  <c r="G838" i="2" s="1"/>
  <c r="I838" i="2" s="1"/>
  <c r="E423" i="3" l="1"/>
  <c r="F423" i="3" s="1"/>
  <c r="H423" i="3" s="1"/>
  <c r="E424" i="3"/>
  <c r="F424" i="3" s="1"/>
  <c r="H424" i="3" s="1"/>
  <c r="E425" i="3"/>
  <c r="F425" i="3" s="1"/>
  <c r="H425" i="3" s="1"/>
  <c r="E426" i="3"/>
  <c r="F426" i="3" s="1"/>
  <c r="H426" i="3" s="1"/>
  <c r="E427" i="3"/>
  <c r="F427" i="3" s="1"/>
  <c r="H427" i="3" s="1"/>
  <c r="E428" i="3"/>
  <c r="F428" i="3" s="1"/>
  <c r="H428" i="3" s="1"/>
  <c r="E429" i="3"/>
  <c r="F429" i="3" s="1"/>
  <c r="H429" i="3" s="1"/>
  <c r="F621" i="2" l="1"/>
  <c r="G621" i="2" s="1"/>
  <c r="I621" i="2" s="1"/>
  <c r="I622" i="2"/>
  <c r="F623" i="2"/>
  <c r="G623" i="2" s="1"/>
  <c r="I623" i="2" s="1"/>
  <c r="F624" i="2"/>
  <c r="G624" i="2" s="1"/>
  <c r="I624" i="2" s="1"/>
  <c r="F625" i="2"/>
  <c r="G625" i="2" s="1"/>
  <c r="I625" i="2" s="1"/>
  <c r="F626" i="2"/>
  <c r="G626" i="2" s="1"/>
  <c r="I626" i="2" s="1"/>
  <c r="F627" i="2"/>
  <c r="G627" i="2" s="1"/>
  <c r="I627" i="2" s="1"/>
  <c r="F628" i="2"/>
  <c r="G628" i="2" s="1"/>
  <c r="I628" i="2" s="1"/>
  <c r="F629" i="2"/>
  <c r="G629" i="2" s="1"/>
  <c r="I629" i="2" s="1"/>
  <c r="F630" i="2"/>
  <c r="G630" i="2" s="1"/>
  <c r="I630" i="2" s="1"/>
  <c r="F631" i="2"/>
  <c r="G631" i="2" s="1"/>
  <c r="I631" i="2" s="1"/>
  <c r="F632" i="2"/>
  <c r="G632" i="2" s="1"/>
  <c r="I632" i="2" s="1"/>
  <c r="F633" i="2"/>
  <c r="G633" i="2" s="1"/>
  <c r="I633" i="2" s="1"/>
  <c r="F634" i="2"/>
  <c r="G634" i="2" s="1"/>
  <c r="I634" i="2" s="1"/>
  <c r="F635" i="2"/>
  <c r="G635" i="2" s="1"/>
  <c r="I635" i="2" s="1"/>
  <c r="F636" i="2"/>
  <c r="G636" i="2" s="1"/>
  <c r="I636" i="2" s="1"/>
  <c r="F637" i="2"/>
  <c r="G637" i="2" s="1"/>
  <c r="I637" i="2" s="1"/>
  <c r="F638" i="2"/>
  <c r="G638" i="2" s="1"/>
  <c r="I638" i="2" s="1"/>
  <c r="F639" i="2"/>
  <c r="G639" i="2" s="1"/>
  <c r="I639" i="2" s="1"/>
  <c r="F640" i="2"/>
  <c r="G640" i="2" s="1"/>
  <c r="I640" i="2" s="1"/>
  <c r="F641" i="2"/>
  <c r="G641" i="2" s="1"/>
  <c r="I641" i="2" s="1"/>
  <c r="F642" i="2"/>
  <c r="G642" i="2" s="1"/>
  <c r="I642" i="2" s="1"/>
  <c r="F643" i="2"/>
  <c r="G643" i="2" s="1"/>
  <c r="I643" i="2" s="1"/>
  <c r="F644" i="2"/>
  <c r="G644" i="2" s="1"/>
  <c r="I644" i="2" s="1"/>
  <c r="F645" i="2"/>
  <c r="G645" i="2" s="1"/>
  <c r="I645" i="2" s="1"/>
  <c r="F646" i="2"/>
  <c r="G646" i="2" s="1"/>
  <c r="I646" i="2" s="1"/>
  <c r="F647" i="2"/>
  <c r="G647" i="2" s="1"/>
  <c r="I647" i="2" s="1"/>
  <c r="F648" i="2"/>
  <c r="G648" i="2" s="1"/>
  <c r="I648" i="2" s="1"/>
  <c r="F649" i="2"/>
  <c r="G649" i="2" s="1"/>
  <c r="I649" i="2" s="1"/>
  <c r="F650" i="2"/>
  <c r="G650" i="2" s="1"/>
  <c r="I650" i="2" s="1"/>
  <c r="F651" i="2"/>
  <c r="G651" i="2" s="1"/>
  <c r="I651" i="2" s="1"/>
  <c r="F652" i="2"/>
  <c r="G652" i="2" s="1"/>
  <c r="I652" i="2" s="1"/>
  <c r="F653" i="2"/>
  <c r="G653" i="2" s="1"/>
  <c r="I653" i="2" s="1"/>
  <c r="F654" i="2"/>
  <c r="G654" i="2" s="1"/>
  <c r="I654" i="2" s="1"/>
  <c r="F655" i="2"/>
  <c r="G655" i="2" s="1"/>
  <c r="I655" i="2" s="1"/>
  <c r="F656" i="2"/>
  <c r="G656" i="2" s="1"/>
  <c r="I656" i="2" s="1"/>
  <c r="F657" i="2"/>
  <c r="G657" i="2" s="1"/>
  <c r="I657" i="2" s="1"/>
  <c r="F658" i="2"/>
  <c r="G658" i="2" s="1"/>
  <c r="I658" i="2" s="1"/>
  <c r="F659" i="2"/>
  <c r="G659" i="2" s="1"/>
  <c r="I659" i="2" s="1"/>
  <c r="F660" i="2"/>
  <c r="G660" i="2" s="1"/>
  <c r="I660" i="2" s="1"/>
  <c r="F661" i="2"/>
  <c r="G661" i="2" s="1"/>
  <c r="I661" i="2" s="1"/>
  <c r="F662" i="2"/>
  <c r="G662" i="2" s="1"/>
  <c r="I662" i="2" s="1"/>
  <c r="F663" i="2"/>
  <c r="G663" i="2" s="1"/>
  <c r="I663" i="2" s="1"/>
  <c r="F664" i="2"/>
  <c r="G664" i="2" s="1"/>
  <c r="I664" i="2" s="1"/>
  <c r="F665" i="2"/>
  <c r="G665" i="2" s="1"/>
  <c r="I665" i="2" s="1"/>
  <c r="F666" i="2"/>
  <c r="G666" i="2" s="1"/>
  <c r="I666" i="2" s="1"/>
  <c r="F667" i="2"/>
  <c r="G667" i="2" s="1"/>
  <c r="I667" i="2" s="1"/>
  <c r="F668" i="2"/>
  <c r="G668" i="2" s="1"/>
  <c r="I668" i="2" s="1"/>
  <c r="F669" i="2"/>
  <c r="G669" i="2" s="1"/>
  <c r="I669" i="2" s="1"/>
  <c r="F670" i="2"/>
  <c r="G670" i="2" s="1"/>
  <c r="I670" i="2" s="1"/>
  <c r="F671" i="2"/>
  <c r="G671" i="2" s="1"/>
  <c r="I671" i="2" s="1"/>
  <c r="F672" i="2"/>
  <c r="G672" i="2" s="1"/>
  <c r="I672" i="2" s="1"/>
  <c r="F673" i="2"/>
  <c r="G673" i="2" s="1"/>
  <c r="I673" i="2" s="1"/>
  <c r="F674" i="2"/>
  <c r="G674" i="2" s="1"/>
  <c r="I674" i="2" s="1"/>
  <c r="F675" i="2"/>
  <c r="G675" i="2" s="1"/>
  <c r="I675" i="2" s="1"/>
  <c r="F676" i="2"/>
  <c r="G676" i="2" s="1"/>
  <c r="I676" i="2" s="1"/>
  <c r="F677" i="2"/>
  <c r="G677" i="2" s="1"/>
  <c r="I677" i="2" s="1"/>
  <c r="F678" i="2"/>
  <c r="G678" i="2" s="1"/>
  <c r="I678" i="2" s="1"/>
  <c r="F679" i="2"/>
  <c r="G679" i="2" s="1"/>
  <c r="I679" i="2" s="1"/>
  <c r="F680" i="2"/>
  <c r="G680" i="2" s="1"/>
  <c r="I680" i="2" s="1"/>
  <c r="F681" i="2"/>
  <c r="G681" i="2" s="1"/>
  <c r="I681" i="2" s="1"/>
  <c r="F682" i="2"/>
  <c r="G682" i="2" s="1"/>
  <c r="I682" i="2" s="1"/>
  <c r="F683" i="2"/>
  <c r="G683" i="2" s="1"/>
  <c r="I683" i="2" s="1"/>
  <c r="F684" i="2"/>
  <c r="G684" i="2" s="1"/>
  <c r="I684" i="2" s="1"/>
  <c r="F685" i="2"/>
  <c r="G685" i="2" s="1"/>
  <c r="I685" i="2" s="1"/>
  <c r="F686" i="2"/>
  <c r="G686" i="2" s="1"/>
  <c r="I686" i="2" s="1"/>
  <c r="F687" i="2"/>
  <c r="G687" i="2" s="1"/>
  <c r="I687" i="2" s="1"/>
  <c r="F688" i="2"/>
  <c r="G688" i="2" s="1"/>
  <c r="I688" i="2" s="1"/>
  <c r="F689" i="2"/>
  <c r="G689" i="2" s="1"/>
  <c r="I689" i="2" s="1"/>
  <c r="F690" i="2"/>
  <c r="G690" i="2" s="1"/>
  <c r="I690" i="2" s="1"/>
  <c r="F691" i="2"/>
  <c r="G691" i="2" s="1"/>
  <c r="I691" i="2" s="1"/>
  <c r="F692" i="2"/>
  <c r="G692" i="2" s="1"/>
  <c r="I692" i="2" s="1"/>
  <c r="F693" i="2"/>
  <c r="G693" i="2" s="1"/>
  <c r="I693" i="2" s="1"/>
  <c r="F694" i="2"/>
  <c r="G694" i="2" s="1"/>
  <c r="I694" i="2" s="1"/>
  <c r="F695" i="2"/>
  <c r="G695" i="2" s="1"/>
  <c r="I695" i="2" s="1"/>
  <c r="F696" i="2"/>
  <c r="G696" i="2" s="1"/>
  <c r="I696" i="2" s="1"/>
  <c r="F697" i="2"/>
  <c r="G697" i="2" s="1"/>
  <c r="I697" i="2" s="1"/>
  <c r="F698" i="2"/>
  <c r="G698" i="2" s="1"/>
  <c r="I698" i="2" s="1"/>
  <c r="F699" i="2"/>
  <c r="G699" i="2" s="1"/>
  <c r="I699" i="2" s="1"/>
  <c r="F700" i="2"/>
  <c r="G700" i="2" s="1"/>
  <c r="I700" i="2" s="1"/>
  <c r="F701" i="2"/>
  <c r="G701" i="2" s="1"/>
  <c r="I701" i="2" s="1"/>
  <c r="F702" i="2"/>
  <c r="G702" i="2" s="1"/>
  <c r="I702" i="2" s="1"/>
  <c r="F703" i="2"/>
  <c r="G703" i="2" s="1"/>
  <c r="I703" i="2" s="1"/>
  <c r="F704" i="2"/>
  <c r="G704" i="2" s="1"/>
  <c r="I704" i="2" s="1"/>
  <c r="F705" i="2"/>
  <c r="G705" i="2" s="1"/>
  <c r="I705" i="2" s="1"/>
  <c r="F706" i="2"/>
  <c r="G706" i="2" s="1"/>
  <c r="I706" i="2" s="1"/>
  <c r="F707" i="2"/>
  <c r="G707" i="2" s="1"/>
  <c r="I707" i="2" s="1"/>
  <c r="F708" i="2"/>
  <c r="G708" i="2" s="1"/>
  <c r="I708" i="2" s="1"/>
  <c r="F709" i="2"/>
  <c r="G709" i="2" s="1"/>
  <c r="I709" i="2" s="1"/>
  <c r="F710" i="2"/>
  <c r="G710" i="2" s="1"/>
  <c r="I710" i="2" s="1"/>
  <c r="F711" i="2"/>
  <c r="G711" i="2" s="1"/>
  <c r="I711" i="2" s="1"/>
  <c r="F712" i="2"/>
  <c r="G712" i="2" s="1"/>
  <c r="I712" i="2" s="1"/>
  <c r="F713" i="2"/>
  <c r="G713" i="2" s="1"/>
  <c r="I713" i="2" s="1"/>
  <c r="F714" i="2"/>
  <c r="G714" i="2" s="1"/>
  <c r="I714" i="2" s="1"/>
  <c r="F715" i="2"/>
  <c r="G715" i="2" s="1"/>
  <c r="I715" i="2" s="1"/>
  <c r="F716" i="2"/>
  <c r="G716" i="2" s="1"/>
  <c r="I716" i="2" s="1"/>
  <c r="F717" i="2"/>
  <c r="G717" i="2" s="1"/>
  <c r="I717" i="2" s="1"/>
  <c r="F718" i="2"/>
  <c r="G718" i="2" s="1"/>
  <c r="I718" i="2" s="1"/>
  <c r="F719" i="2"/>
  <c r="G719" i="2" s="1"/>
  <c r="I719" i="2" s="1"/>
  <c r="F720" i="2"/>
  <c r="G720" i="2" s="1"/>
  <c r="I720" i="2" s="1"/>
  <c r="F721" i="2"/>
  <c r="G721" i="2" s="1"/>
  <c r="I721" i="2" s="1"/>
  <c r="F722" i="2"/>
  <c r="G722" i="2" s="1"/>
  <c r="I722" i="2" s="1"/>
  <c r="F723" i="2"/>
  <c r="G723" i="2" s="1"/>
  <c r="I723" i="2" s="1"/>
  <c r="F724" i="2"/>
  <c r="G724" i="2" s="1"/>
  <c r="I724" i="2" s="1"/>
  <c r="F725" i="2"/>
  <c r="G725" i="2" s="1"/>
  <c r="I725" i="2" s="1"/>
  <c r="F726" i="2"/>
  <c r="G726" i="2" s="1"/>
  <c r="I726" i="2" s="1"/>
  <c r="F727" i="2"/>
  <c r="G727" i="2" s="1"/>
  <c r="I727" i="2" s="1"/>
  <c r="F728" i="2"/>
  <c r="G728" i="2" s="1"/>
  <c r="I728" i="2" s="1"/>
  <c r="F729" i="2"/>
  <c r="G729" i="2" s="1"/>
  <c r="I729" i="2" s="1"/>
  <c r="F731" i="2"/>
  <c r="G731" i="2" s="1"/>
  <c r="I731" i="2" s="1"/>
  <c r="F732" i="2"/>
  <c r="G732" i="2" s="1"/>
  <c r="I732" i="2" s="1"/>
  <c r="F733" i="2"/>
  <c r="G733" i="2" s="1"/>
  <c r="I733" i="2" s="1"/>
  <c r="F734" i="2"/>
  <c r="G734" i="2" s="1"/>
  <c r="I734" i="2" s="1"/>
  <c r="F735" i="2"/>
  <c r="G735" i="2" s="1"/>
  <c r="I735" i="2" s="1"/>
  <c r="F736" i="2"/>
  <c r="G736" i="2" s="1"/>
  <c r="I736" i="2" s="1"/>
  <c r="F737" i="2"/>
  <c r="G737" i="2" s="1"/>
  <c r="I737" i="2" s="1"/>
  <c r="F738" i="2"/>
  <c r="G738" i="2" s="1"/>
  <c r="I738" i="2" s="1"/>
  <c r="F739" i="2"/>
  <c r="G739" i="2" s="1"/>
  <c r="I739" i="2" s="1"/>
  <c r="F740" i="2"/>
  <c r="G740" i="2" s="1"/>
  <c r="I740" i="2" s="1"/>
  <c r="F741" i="2"/>
  <c r="G741" i="2" s="1"/>
  <c r="I741" i="2" s="1"/>
  <c r="F742" i="2"/>
  <c r="G742" i="2" s="1"/>
  <c r="I742" i="2" s="1"/>
  <c r="F743" i="2"/>
  <c r="G743" i="2" s="1"/>
  <c r="I743" i="2" s="1"/>
  <c r="F744" i="2"/>
  <c r="G744" i="2" s="1"/>
  <c r="I744" i="2" s="1"/>
  <c r="F745" i="2"/>
  <c r="G745" i="2" s="1"/>
  <c r="I745" i="2" s="1"/>
  <c r="F746" i="2"/>
  <c r="G746" i="2" s="1"/>
  <c r="I746" i="2" s="1"/>
  <c r="F747" i="2"/>
  <c r="G747" i="2" s="1"/>
  <c r="I747" i="2" s="1"/>
  <c r="F748" i="2"/>
  <c r="G748" i="2" s="1"/>
  <c r="I748" i="2" s="1"/>
  <c r="F749" i="2"/>
  <c r="G749" i="2" s="1"/>
  <c r="I749" i="2" s="1"/>
  <c r="F750" i="2"/>
  <c r="G750" i="2" s="1"/>
  <c r="I750" i="2" s="1"/>
  <c r="F751" i="2"/>
  <c r="G751" i="2" s="1"/>
  <c r="I751" i="2" s="1"/>
  <c r="E422" i="3" l="1"/>
  <c r="F422" i="3" s="1"/>
  <c r="H422" i="3" s="1"/>
  <c r="E421" i="3"/>
  <c r="F421" i="3" s="1"/>
  <c r="H421" i="3" s="1"/>
  <c r="E420" i="3"/>
  <c r="F420" i="3" s="1"/>
  <c r="H420" i="3" s="1"/>
  <c r="E419" i="3"/>
  <c r="F419" i="3" s="1"/>
  <c r="H419" i="3" s="1"/>
  <c r="E418" i="3"/>
  <c r="F418" i="3" s="1"/>
  <c r="H418" i="3" s="1"/>
  <c r="E417" i="3"/>
  <c r="F417" i="3" s="1"/>
  <c r="H417" i="3" s="1"/>
  <c r="E416" i="3"/>
  <c r="F416" i="3" s="1"/>
  <c r="H416" i="3" s="1"/>
  <c r="E415" i="3"/>
  <c r="F415" i="3" s="1"/>
  <c r="H415" i="3" s="1"/>
  <c r="E414" i="3"/>
  <c r="F414" i="3" s="1"/>
  <c r="H414" i="3" s="1"/>
  <c r="E413" i="3"/>
  <c r="F413" i="3" s="1"/>
  <c r="H413" i="3" s="1"/>
  <c r="E412" i="3"/>
  <c r="F412" i="3" s="1"/>
  <c r="H412" i="3" s="1"/>
  <c r="E411" i="3"/>
  <c r="F411" i="3" s="1"/>
  <c r="H411" i="3" s="1"/>
  <c r="E410" i="3"/>
  <c r="F410" i="3" s="1"/>
  <c r="H410" i="3" s="1"/>
  <c r="E409" i="3"/>
  <c r="F409" i="3" s="1"/>
  <c r="H409" i="3" s="1"/>
  <c r="E408" i="3"/>
  <c r="F408" i="3" s="1"/>
  <c r="H408" i="3" s="1"/>
  <c r="E407" i="3"/>
  <c r="F407" i="3" s="1"/>
  <c r="H407" i="3" s="1"/>
  <c r="E406" i="3"/>
  <c r="F406" i="3" s="1"/>
  <c r="H406" i="3" s="1"/>
  <c r="E405" i="3"/>
  <c r="F405" i="3" s="1"/>
  <c r="H405" i="3" s="1"/>
  <c r="E404" i="3"/>
  <c r="F404" i="3" s="1"/>
  <c r="H404" i="3" s="1"/>
  <c r="E403" i="3"/>
  <c r="F403" i="3" s="1"/>
  <c r="H403" i="3" s="1"/>
  <c r="E402" i="3"/>
  <c r="F402" i="3" s="1"/>
  <c r="H402" i="3" s="1"/>
  <c r="E401" i="3"/>
  <c r="F401" i="3" s="1"/>
  <c r="H401" i="3" s="1"/>
  <c r="E400" i="3"/>
  <c r="F400" i="3" s="1"/>
  <c r="H400" i="3" s="1"/>
  <c r="E399" i="3"/>
  <c r="F399" i="3" s="1"/>
  <c r="H399" i="3" s="1"/>
  <c r="E398" i="3"/>
  <c r="F398" i="3" s="1"/>
  <c r="H398" i="3" s="1"/>
  <c r="E397" i="3"/>
  <c r="F397" i="3" s="1"/>
  <c r="H397" i="3" s="1"/>
  <c r="E396" i="3"/>
  <c r="F396" i="3" s="1"/>
  <c r="H396" i="3" s="1"/>
  <c r="E395" i="3"/>
  <c r="F395" i="3" s="1"/>
  <c r="H395" i="3" s="1"/>
  <c r="E394" i="3"/>
  <c r="F394" i="3" s="1"/>
  <c r="H394" i="3" s="1"/>
  <c r="E393" i="3"/>
  <c r="F393" i="3" s="1"/>
  <c r="H393" i="3" s="1"/>
  <c r="E392" i="3"/>
  <c r="F392" i="3" s="1"/>
  <c r="H392" i="3" s="1"/>
  <c r="E391" i="3"/>
  <c r="F391" i="3" s="1"/>
  <c r="H391" i="3" s="1"/>
  <c r="E390" i="3"/>
  <c r="F390" i="3" s="1"/>
  <c r="H390" i="3" s="1"/>
  <c r="E389" i="3"/>
  <c r="F389" i="3" s="1"/>
  <c r="H389" i="3" s="1"/>
  <c r="E388" i="3"/>
  <c r="F388" i="3" s="1"/>
  <c r="H388" i="3" s="1"/>
  <c r="E387" i="3"/>
  <c r="F387" i="3" s="1"/>
  <c r="H387" i="3" s="1"/>
  <c r="E386" i="3"/>
  <c r="F386" i="3" s="1"/>
  <c r="H386" i="3" s="1"/>
  <c r="E385" i="3"/>
  <c r="F385" i="3" s="1"/>
  <c r="H385" i="3" s="1"/>
  <c r="E384" i="3"/>
  <c r="F384" i="3" s="1"/>
  <c r="H384" i="3" s="1"/>
  <c r="E383" i="3"/>
  <c r="F383" i="3" s="1"/>
  <c r="H383" i="3" s="1"/>
  <c r="E382" i="3"/>
  <c r="F382" i="3" s="1"/>
  <c r="H382" i="3" s="1"/>
  <c r="E381" i="3"/>
  <c r="F381" i="3" s="1"/>
  <c r="H381" i="3" s="1"/>
  <c r="E380" i="3"/>
  <c r="F380" i="3" s="1"/>
  <c r="H380" i="3" s="1"/>
  <c r="E379" i="3"/>
  <c r="F379" i="3" s="1"/>
  <c r="H379" i="3" s="1"/>
  <c r="E378" i="3"/>
  <c r="F378" i="3" s="1"/>
  <c r="H378" i="3" s="1"/>
  <c r="E377" i="3"/>
  <c r="F377" i="3" s="1"/>
  <c r="H377" i="3" s="1"/>
  <c r="E376" i="3"/>
  <c r="F376" i="3" s="1"/>
  <c r="H376" i="3" s="1"/>
  <c r="E375" i="3"/>
  <c r="F375" i="3" s="1"/>
  <c r="H375" i="3" s="1"/>
  <c r="E374" i="3"/>
  <c r="F374" i="3" s="1"/>
  <c r="H374" i="3" s="1"/>
  <c r="E373" i="3"/>
  <c r="F373" i="3" s="1"/>
  <c r="H373" i="3" s="1"/>
  <c r="E372" i="3"/>
  <c r="F372" i="3" s="1"/>
  <c r="H372" i="3" s="1"/>
  <c r="E371" i="3"/>
  <c r="F371" i="3" s="1"/>
  <c r="H371" i="3" s="1"/>
  <c r="E370" i="3"/>
  <c r="F370" i="3" s="1"/>
  <c r="H370" i="3" s="1"/>
  <c r="E369" i="3"/>
  <c r="F369" i="3" s="1"/>
  <c r="H369" i="3" s="1"/>
  <c r="E368" i="3"/>
  <c r="F368" i="3" s="1"/>
  <c r="H368" i="3" s="1"/>
  <c r="E367" i="3"/>
  <c r="F367" i="3" s="1"/>
  <c r="H367" i="3" s="1"/>
  <c r="E366" i="3"/>
  <c r="F366" i="3" s="1"/>
  <c r="H366" i="3" s="1"/>
  <c r="E365" i="3"/>
  <c r="F365" i="3" s="1"/>
  <c r="H365" i="3" s="1"/>
  <c r="E364" i="3"/>
  <c r="F364" i="3" s="1"/>
  <c r="H364" i="3" s="1"/>
  <c r="E363" i="3"/>
  <c r="F363" i="3" s="1"/>
  <c r="H363" i="3" s="1"/>
  <c r="E362" i="3"/>
  <c r="F362" i="3" s="1"/>
  <c r="H362" i="3" s="1"/>
  <c r="E361" i="3"/>
  <c r="F361" i="3" s="1"/>
  <c r="H361" i="3" s="1"/>
  <c r="E360" i="3"/>
  <c r="F360" i="3" s="1"/>
  <c r="H360" i="3" s="1"/>
  <c r="E359" i="3"/>
  <c r="F359" i="3" s="1"/>
  <c r="H359" i="3" s="1"/>
  <c r="E358" i="3"/>
  <c r="F358" i="3" s="1"/>
  <c r="H358" i="3" s="1"/>
  <c r="E357" i="3"/>
  <c r="F357" i="3" s="1"/>
  <c r="H357" i="3" s="1"/>
  <c r="E356" i="3"/>
  <c r="F356" i="3" s="1"/>
  <c r="H356" i="3" s="1"/>
  <c r="E355" i="3"/>
  <c r="F355" i="3" s="1"/>
  <c r="H355" i="3" s="1"/>
  <c r="E354" i="3"/>
  <c r="F354" i="3" s="1"/>
  <c r="H354" i="3" s="1"/>
  <c r="E353" i="3"/>
  <c r="F353" i="3" s="1"/>
  <c r="H353" i="3" s="1"/>
  <c r="E352" i="3"/>
  <c r="F352" i="3" s="1"/>
  <c r="H352" i="3" s="1"/>
  <c r="E351" i="3"/>
  <c r="F351" i="3" s="1"/>
  <c r="H351" i="3" s="1"/>
  <c r="E350" i="3"/>
  <c r="F350" i="3" s="1"/>
  <c r="H350" i="3" s="1"/>
  <c r="E349" i="3"/>
  <c r="F349" i="3" s="1"/>
  <c r="H349" i="3" s="1"/>
  <c r="E348" i="3"/>
  <c r="F348" i="3" s="1"/>
  <c r="H348" i="3" s="1"/>
  <c r="E347" i="3"/>
  <c r="F347" i="3" s="1"/>
  <c r="H347" i="3" s="1"/>
  <c r="E346" i="3"/>
  <c r="F346" i="3" s="1"/>
  <c r="H346" i="3" s="1"/>
  <c r="E345" i="3"/>
  <c r="F345" i="3" s="1"/>
  <c r="H345" i="3" s="1"/>
  <c r="E344" i="3"/>
  <c r="F344" i="3" s="1"/>
  <c r="H344" i="3" s="1"/>
  <c r="E343" i="3"/>
  <c r="F343" i="3" s="1"/>
  <c r="H343" i="3" s="1"/>
  <c r="E342" i="3"/>
  <c r="F342" i="3" s="1"/>
  <c r="H342" i="3" s="1"/>
  <c r="E341" i="3"/>
  <c r="F341" i="3" s="1"/>
  <c r="H341" i="3" s="1"/>
  <c r="E340" i="3"/>
  <c r="F340" i="3" s="1"/>
  <c r="H340" i="3" s="1"/>
  <c r="E339" i="3"/>
  <c r="F339" i="3" s="1"/>
  <c r="H339" i="3" s="1"/>
  <c r="E338" i="3"/>
  <c r="F338" i="3" s="1"/>
  <c r="H338" i="3" s="1"/>
  <c r="E337" i="3"/>
  <c r="F337" i="3" s="1"/>
  <c r="H337" i="3" s="1"/>
  <c r="E336" i="3"/>
  <c r="F336" i="3" s="1"/>
  <c r="H336" i="3" s="1"/>
  <c r="E335" i="3"/>
  <c r="F335" i="3" s="1"/>
  <c r="H335" i="3" s="1"/>
  <c r="E334" i="3"/>
  <c r="F334" i="3" s="1"/>
  <c r="H334" i="3" s="1"/>
  <c r="E333" i="3"/>
  <c r="F333" i="3" s="1"/>
  <c r="H333" i="3" s="1"/>
  <c r="E332" i="3"/>
  <c r="F332" i="3" s="1"/>
  <c r="H332" i="3" s="1"/>
  <c r="E331" i="3"/>
  <c r="F331" i="3" s="1"/>
  <c r="H331" i="3" s="1"/>
  <c r="E330" i="3"/>
  <c r="F330" i="3" s="1"/>
  <c r="H330" i="3" s="1"/>
  <c r="E329" i="3"/>
  <c r="F329" i="3" s="1"/>
  <c r="H329" i="3" s="1"/>
  <c r="E328" i="3"/>
  <c r="F328" i="3" s="1"/>
  <c r="H328" i="3" s="1"/>
  <c r="E327" i="3"/>
  <c r="F327" i="3" s="1"/>
  <c r="H327" i="3" s="1"/>
  <c r="E326" i="3"/>
  <c r="F326" i="3" s="1"/>
  <c r="H326" i="3" s="1"/>
  <c r="E325" i="3"/>
  <c r="F325" i="3" s="1"/>
  <c r="H325" i="3" s="1"/>
  <c r="E324" i="3"/>
  <c r="F324" i="3" s="1"/>
  <c r="H324" i="3" s="1"/>
  <c r="E323" i="3"/>
  <c r="F323" i="3" s="1"/>
  <c r="H323" i="3" s="1"/>
  <c r="E322" i="3"/>
  <c r="F322" i="3" s="1"/>
  <c r="H322" i="3" s="1"/>
  <c r="E321" i="3"/>
  <c r="F321" i="3" s="1"/>
  <c r="H321" i="3" s="1"/>
  <c r="E320" i="3"/>
  <c r="F320" i="3" s="1"/>
  <c r="H320" i="3" s="1"/>
  <c r="E319" i="3"/>
  <c r="F319" i="3" s="1"/>
  <c r="H319" i="3" s="1"/>
  <c r="E318" i="3"/>
  <c r="F318" i="3" s="1"/>
  <c r="H318" i="3" s="1"/>
  <c r="E317" i="3"/>
  <c r="F317" i="3" s="1"/>
  <c r="H317" i="3" s="1"/>
  <c r="E316" i="3"/>
  <c r="F316" i="3" s="1"/>
  <c r="H316" i="3" s="1"/>
  <c r="E315" i="3"/>
  <c r="F315" i="3" s="1"/>
  <c r="H315" i="3" s="1"/>
  <c r="E314" i="3"/>
  <c r="F314" i="3" s="1"/>
  <c r="H314" i="3" s="1"/>
  <c r="E313" i="3"/>
  <c r="F313" i="3" s="1"/>
  <c r="H313" i="3" s="1"/>
  <c r="E312" i="3"/>
  <c r="F312" i="3" s="1"/>
  <c r="H312" i="3" s="1"/>
  <c r="E311" i="3"/>
  <c r="F311" i="3" s="1"/>
  <c r="H311" i="3" s="1"/>
  <c r="E310" i="3"/>
  <c r="F310" i="3" s="1"/>
  <c r="H310" i="3" s="1"/>
  <c r="E309" i="3"/>
  <c r="F309" i="3" s="1"/>
  <c r="H309" i="3" s="1"/>
  <c r="E308" i="3"/>
  <c r="F308" i="3" s="1"/>
  <c r="H308" i="3" s="1"/>
  <c r="E307" i="3"/>
  <c r="F307" i="3" s="1"/>
  <c r="H307" i="3" s="1"/>
  <c r="E306" i="3"/>
  <c r="F306" i="3" s="1"/>
  <c r="H306" i="3" s="1"/>
  <c r="E305" i="3"/>
  <c r="F305" i="3" s="1"/>
  <c r="H305" i="3" s="1"/>
  <c r="E304" i="3"/>
  <c r="F304" i="3" s="1"/>
  <c r="H304" i="3" s="1"/>
  <c r="E303" i="3"/>
  <c r="F303" i="3" s="1"/>
  <c r="H303" i="3" s="1"/>
  <c r="E302" i="3"/>
  <c r="F302" i="3" s="1"/>
  <c r="H302" i="3" s="1"/>
  <c r="E301" i="3"/>
  <c r="F301" i="3" s="1"/>
  <c r="H301" i="3" s="1"/>
  <c r="E300" i="3"/>
  <c r="F300" i="3" s="1"/>
  <c r="H300" i="3" s="1"/>
  <c r="E299" i="3"/>
  <c r="F299" i="3" s="1"/>
  <c r="H299" i="3" s="1"/>
  <c r="E298" i="3"/>
  <c r="F298" i="3" s="1"/>
  <c r="H298" i="3" s="1"/>
  <c r="E297" i="3"/>
  <c r="F297" i="3" s="1"/>
  <c r="H297" i="3" s="1"/>
  <c r="E296" i="3"/>
  <c r="F296" i="3" s="1"/>
  <c r="H296" i="3" s="1"/>
  <c r="E295" i="3"/>
  <c r="F295" i="3" s="1"/>
  <c r="H295" i="3" s="1"/>
  <c r="E294" i="3"/>
  <c r="F294" i="3" s="1"/>
  <c r="H294" i="3" s="1"/>
  <c r="E293" i="3"/>
  <c r="F293" i="3" s="1"/>
  <c r="H293" i="3" s="1"/>
  <c r="E292" i="3"/>
  <c r="F292" i="3" s="1"/>
  <c r="H292" i="3" s="1"/>
  <c r="E291" i="3"/>
  <c r="F291" i="3" s="1"/>
  <c r="H291" i="3" s="1"/>
  <c r="E290" i="3"/>
  <c r="F290" i="3" s="1"/>
  <c r="H290" i="3" s="1"/>
  <c r="E289" i="3"/>
  <c r="F289" i="3" s="1"/>
  <c r="H289" i="3" s="1"/>
  <c r="E288" i="3"/>
  <c r="F288" i="3" s="1"/>
  <c r="H288" i="3" s="1"/>
  <c r="E287" i="3"/>
  <c r="F287" i="3" s="1"/>
  <c r="H287" i="3" s="1"/>
  <c r="E286" i="3"/>
  <c r="F286" i="3" s="1"/>
  <c r="H286" i="3" s="1"/>
  <c r="E285" i="3"/>
  <c r="F285" i="3" s="1"/>
  <c r="H285" i="3" s="1"/>
  <c r="E284" i="3"/>
  <c r="F284" i="3" s="1"/>
  <c r="H284" i="3" s="1"/>
  <c r="E283" i="3"/>
  <c r="F283" i="3" s="1"/>
  <c r="H283" i="3" s="1"/>
  <c r="E282" i="3"/>
  <c r="F282" i="3" s="1"/>
  <c r="H282" i="3" s="1"/>
  <c r="E281" i="3"/>
  <c r="F281" i="3" s="1"/>
  <c r="H281" i="3" s="1"/>
  <c r="E280" i="3"/>
  <c r="F280" i="3" s="1"/>
  <c r="H280" i="3" s="1"/>
  <c r="E279" i="3"/>
  <c r="F279" i="3" s="1"/>
  <c r="H279" i="3" s="1"/>
  <c r="E278" i="3"/>
  <c r="F278" i="3" s="1"/>
  <c r="H278" i="3" s="1"/>
  <c r="E277" i="3"/>
  <c r="F277" i="3" s="1"/>
  <c r="H277" i="3" s="1"/>
  <c r="E276" i="3"/>
  <c r="F276" i="3" s="1"/>
  <c r="H276" i="3" s="1"/>
  <c r="E275" i="3"/>
  <c r="F275" i="3" s="1"/>
  <c r="H275" i="3" s="1"/>
  <c r="E274" i="3"/>
  <c r="F274" i="3" s="1"/>
  <c r="H274" i="3" s="1"/>
  <c r="E273" i="3"/>
  <c r="F273" i="3" s="1"/>
  <c r="H273" i="3" s="1"/>
  <c r="E272" i="3"/>
  <c r="F272" i="3" s="1"/>
  <c r="H272" i="3" s="1"/>
  <c r="E271" i="3"/>
  <c r="F271" i="3" s="1"/>
  <c r="H271" i="3" s="1"/>
  <c r="E270" i="3"/>
  <c r="F270" i="3" s="1"/>
  <c r="H270" i="3" s="1"/>
  <c r="E269" i="3"/>
  <c r="F269" i="3" s="1"/>
  <c r="H269" i="3" s="1"/>
  <c r="E268" i="3"/>
  <c r="F268" i="3" s="1"/>
  <c r="H268" i="3" s="1"/>
  <c r="E267" i="3"/>
  <c r="F267" i="3" s="1"/>
  <c r="H267" i="3" s="1"/>
  <c r="E266" i="3"/>
  <c r="F266" i="3" s="1"/>
  <c r="H266" i="3" s="1"/>
  <c r="E265" i="3"/>
  <c r="F265" i="3" s="1"/>
  <c r="H265" i="3" s="1"/>
  <c r="E264" i="3"/>
  <c r="F264" i="3" s="1"/>
  <c r="H264" i="3" s="1"/>
  <c r="E263" i="3"/>
  <c r="F263" i="3" s="1"/>
  <c r="H263" i="3" s="1"/>
  <c r="E262" i="3"/>
  <c r="F262" i="3" s="1"/>
  <c r="H262" i="3" s="1"/>
  <c r="E261" i="3"/>
  <c r="F261" i="3" s="1"/>
  <c r="H261" i="3" s="1"/>
  <c r="E260" i="3"/>
  <c r="F260" i="3" s="1"/>
  <c r="H260" i="3" s="1"/>
  <c r="E259" i="3"/>
  <c r="F259" i="3" s="1"/>
  <c r="H259" i="3" s="1"/>
  <c r="E258" i="3"/>
  <c r="F258" i="3" s="1"/>
  <c r="H258" i="3" s="1"/>
  <c r="E257" i="3"/>
  <c r="F257" i="3" s="1"/>
  <c r="H257" i="3" s="1"/>
  <c r="E256" i="3"/>
  <c r="F256" i="3" s="1"/>
  <c r="H256" i="3" s="1"/>
  <c r="E255" i="3"/>
  <c r="F255" i="3" s="1"/>
  <c r="H255" i="3" s="1"/>
  <c r="E254" i="3"/>
  <c r="F254" i="3" s="1"/>
  <c r="H254" i="3" s="1"/>
  <c r="E253" i="3"/>
  <c r="F253" i="3" s="1"/>
  <c r="H253" i="3" s="1"/>
  <c r="E252" i="3"/>
  <c r="F252" i="3" s="1"/>
  <c r="H252" i="3" s="1"/>
  <c r="E251" i="3"/>
  <c r="F251" i="3" s="1"/>
  <c r="H251" i="3" s="1"/>
  <c r="E250" i="3"/>
  <c r="F250" i="3" s="1"/>
  <c r="H250" i="3" s="1"/>
  <c r="E249" i="3"/>
  <c r="F249" i="3" s="1"/>
  <c r="H249" i="3" s="1"/>
  <c r="E248" i="3"/>
  <c r="F248" i="3" s="1"/>
  <c r="H248" i="3" s="1"/>
  <c r="E247" i="3"/>
  <c r="F247" i="3" s="1"/>
  <c r="H247" i="3" s="1"/>
  <c r="E246" i="3"/>
  <c r="F246" i="3" s="1"/>
  <c r="H246" i="3" s="1"/>
  <c r="E245" i="3"/>
  <c r="F245" i="3" s="1"/>
  <c r="H245" i="3" s="1"/>
  <c r="E244" i="3"/>
  <c r="F244" i="3" s="1"/>
  <c r="H244" i="3" s="1"/>
  <c r="E243" i="3"/>
  <c r="F243" i="3" s="1"/>
  <c r="H243" i="3" s="1"/>
  <c r="E242" i="3"/>
  <c r="F242" i="3" s="1"/>
  <c r="H242" i="3" s="1"/>
  <c r="E241" i="3"/>
  <c r="F241" i="3" s="1"/>
  <c r="H241" i="3" s="1"/>
  <c r="E240" i="3"/>
  <c r="F240" i="3" s="1"/>
  <c r="H240" i="3" s="1"/>
  <c r="E239" i="3"/>
  <c r="F239" i="3" s="1"/>
  <c r="H239" i="3" s="1"/>
  <c r="E238" i="3"/>
  <c r="F238" i="3" s="1"/>
  <c r="H238" i="3" s="1"/>
  <c r="E237" i="3"/>
  <c r="F237" i="3" s="1"/>
  <c r="H237" i="3" s="1"/>
  <c r="E236" i="3"/>
  <c r="F236" i="3" s="1"/>
  <c r="H236" i="3" s="1"/>
  <c r="E235" i="3"/>
  <c r="F235" i="3" s="1"/>
  <c r="H235" i="3" s="1"/>
  <c r="E234" i="3"/>
  <c r="F234" i="3" s="1"/>
  <c r="H234" i="3" s="1"/>
  <c r="E233" i="3"/>
  <c r="F233" i="3" s="1"/>
  <c r="H233" i="3" s="1"/>
  <c r="E232" i="3"/>
  <c r="F232" i="3" s="1"/>
  <c r="H232" i="3" s="1"/>
  <c r="E231" i="3"/>
  <c r="F231" i="3" s="1"/>
  <c r="H231" i="3" s="1"/>
  <c r="E230" i="3"/>
  <c r="F230" i="3" s="1"/>
  <c r="H230" i="3" s="1"/>
  <c r="E229" i="3"/>
  <c r="F229" i="3" s="1"/>
  <c r="H229" i="3" s="1"/>
  <c r="E228" i="3"/>
  <c r="F228" i="3" s="1"/>
  <c r="H228" i="3" s="1"/>
  <c r="E227" i="3"/>
  <c r="F227" i="3" s="1"/>
  <c r="H227" i="3" s="1"/>
  <c r="E226" i="3"/>
  <c r="F226" i="3" s="1"/>
  <c r="H226" i="3" s="1"/>
  <c r="E225" i="3"/>
  <c r="F225" i="3" s="1"/>
  <c r="H225" i="3" s="1"/>
  <c r="E224" i="3"/>
  <c r="F224" i="3" s="1"/>
  <c r="H224" i="3" s="1"/>
  <c r="E223" i="3"/>
  <c r="F223" i="3" s="1"/>
  <c r="H223" i="3" s="1"/>
  <c r="E222" i="3"/>
  <c r="F222" i="3" s="1"/>
  <c r="H222" i="3" s="1"/>
  <c r="E221" i="3"/>
  <c r="F221" i="3" s="1"/>
  <c r="H221" i="3" s="1"/>
  <c r="E220" i="3"/>
  <c r="F220" i="3" s="1"/>
  <c r="H220" i="3" s="1"/>
  <c r="E219" i="3"/>
  <c r="F219" i="3" s="1"/>
  <c r="H219" i="3" s="1"/>
  <c r="E218" i="3"/>
  <c r="F218" i="3" s="1"/>
  <c r="H218" i="3" s="1"/>
  <c r="E217" i="3"/>
  <c r="F217" i="3" s="1"/>
  <c r="H217" i="3" s="1"/>
  <c r="E216" i="3"/>
  <c r="F216" i="3" s="1"/>
  <c r="H216" i="3" s="1"/>
  <c r="E215" i="3"/>
  <c r="F215" i="3" s="1"/>
  <c r="H215" i="3" s="1"/>
  <c r="E214" i="3"/>
  <c r="F214" i="3" s="1"/>
  <c r="H214" i="3" s="1"/>
  <c r="E213" i="3"/>
  <c r="F213" i="3" s="1"/>
  <c r="H213" i="3" s="1"/>
  <c r="E212" i="3"/>
  <c r="F212" i="3" s="1"/>
  <c r="H212" i="3" s="1"/>
  <c r="E211" i="3"/>
  <c r="F211" i="3" s="1"/>
  <c r="H211" i="3" s="1"/>
  <c r="E210" i="3"/>
  <c r="F210" i="3" s="1"/>
  <c r="H210" i="3" s="1"/>
  <c r="E209" i="3"/>
  <c r="F209" i="3" s="1"/>
  <c r="H209" i="3" s="1"/>
  <c r="E208" i="3"/>
  <c r="F208" i="3" s="1"/>
  <c r="H208" i="3" s="1"/>
  <c r="E207" i="3"/>
  <c r="F207" i="3" s="1"/>
  <c r="H207" i="3" s="1"/>
  <c r="E206" i="3"/>
  <c r="F206" i="3" s="1"/>
  <c r="H206" i="3" s="1"/>
  <c r="E205" i="3"/>
  <c r="F205" i="3" s="1"/>
  <c r="H205" i="3" s="1"/>
  <c r="E204" i="3"/>
  <c r="F204" i="3" s="1"/>
  <c r="H204" i="3" s="1"/>
  <c r="E203" i="3"/>
  <c r="F203" i="3" s="1"/>
  <c r="H203" i="3" s="1"/>
  <c r="E202" i="3"/>
  <c r="F202" i="3" s="1"/>
  <c r="H202" i="3" s="1"/>
  <c r="E201" i="3"/>
  <c r="F201" i="3" s="1"/>
  <c r="H201" i="3" s="1"/>
  <c r="E200" i="3"/>
  <c r="F200" i="3" s="1"/>
  <c r="H200" i="3" s="1"/>
  <c r="E199" i="3"/>
  <c r="F199" i="3" s="1"/>
  <c r="H199" i="3" s="1"/>
  <c r="E198" i="3"/>
  <c r="F198" i="3" s="1"/>
  <c r="H198" i="3" s="1"/>
  <c r="E197" i="3"/>
  <c r="F197" i="3" s="1"/>
  <c r="H197" i="3" s="1"/>
  <c r="E196" i="3"/>
  <c r="F196" i="3" s="1"/>
  <c r="H196" i="3" s="1"/>
  <c r="E195" i="3"/>
  <c r="F195" i="3" s="1"/>
  <c r="H195" i="3" s="1"/>
  <c r="E194" i="3"/>
  <c r="F194" i="3" s="1"/>
  <c r="H194" i="3" s="1"/>
  <c r="E193" i="3"/>
  <c r="F193" i="3" s="1"/>
  <c r="H193" i="3" s="1"/>
  <c r="E192" i="3"/>
  <c r="F192" i="3" s="1"/>
  <c r="H192" i="3" s="1"/>
  <c r="E191" i="3"/>
  <c r="F191" i="3" s="1"/>
  <c r="H191" i="3" s="1"/>
  <c r="E190" i="3"/>
  <c r="F190" i="3" s="1"/>
  <c r="H190" i="3" s="1"/>
  <c r="E189" i="3"/>
  <c r="F189" i="3" s="1"/>
  <c r="H189" i="3" s="1"/>
  <c r="E188" i="3"/>
  <c r="F188" i="3" s="1"/>
  <c r="H188" i="3" s="1"/>
  <c r="E187" i="3"/>
  <c r="F187" i="3" s="1"/>
  <c r="H187" i="3" s="1"/>
  <c r="E186" i="3"/>
  <c r="F186" i="3" s="1"/>
  <c r="H186" i="3" s="1"/>
  <c r="E185" i="3"/>
  <c r="F185" i="3" s="1"/>
  <c r="H185" i="3" s="1"/>
  <c r="E184" i="3"/>
  <c r="F184" i="3" s="1"/>
  <c r="H184" i="3" s="1"/>
  <c r="E183" i="3"/>
  <c r="F183" i="3" s="1"/>
  <c r="H183" i="3" s="1"/>
  <c r="E182" i="3"/>
  <c r="F182" i="3" s="1"/>
  <c r="H182" i="3" s="1"/>
  <c r="E181" i="3"/>
  <c r="F181" i="3" s="1"/>
  <c r="H181" i="3" s="1"/>
  <c r="E180" i="3"/>
  <c r="F180" i="3" s="1"/>
  <c r="H180" i="3" s="1"/>
  <c r="E179" i="3"/>
  <c r="F179" i="3" s="1"/>
  <c r="H179" i="3" s="1"/>
  <c r="H178" i="3"/>
  <c r="E178" i="3"/>
  <c r="E177" i="3"/>
  <c r="F177" i="3" s="1"/>
  <c r="H177" i="3" s="1"/>
  <c r="E176" i="3"/>
  <c r="F176" i="3" s="1"/>
  <c r="H176" i="3" s="1"/>
  <c r="E175" i="3"/>
  <c r="F175" i="3" s="1"/>
  <c r="H175" i="3" s="1"/>
  <c r="E174" i="3"/>
  <c r="F174" i="3" s="1"/>
  <c r="H174" i="3" s="1"/>
  <c r="E173" i="3"/>
  <c r="F173" i="3" s="1"/>
  <c r="H173" i="3" s="1"/>
  <c r="E172" i="3"/>
  <c r="F172" i="3" s="1"/>
  <c r="H172" i="3" s="1"/>
  <c r="E171" i="3"/>
  <c r="F171" i="3" s="1"/>
  <c r="H171" i="3" s="1"/>
  <c r="E170" i="3"/>
  <c r="F170" i="3" s="1"/>
  <c r="H170" i="3" s="1"/>
  <c r="E169" i="3"/>
  <c r="F169" i="3" s="1"/>
  <c r="H169" i="3" s="1"/>
  <c r="E168" i="3"/>
  <c r="F168" i="3" s="1"/>
  <c r="H168" i="3" s="1"/>
  <c r="E167" i="3"/>
  <c r="F167" i="3" s="1"/>
  <c r="H167" i="3" s="1"/>
  <c r="E166" i="3"/>
  <c r="F166" i="3" s="1"/>
  <c r="H166" i="3" s="1"/>
  <c r="E165" i="3"/>
  <c r="F165" i="3" s="1"/>
  <c r="H165" i="3" s="1"/>
  <c r="E164" i="3"/>
  <c r="F164" i="3" s="1"/>
  <c r="H164" i="3" s="1"/>
  <c r="E163" i="3"/>
  <c r="F163" i="3" s="1"/>
  <c r="H163" i="3" s="1"/>
  <c r="E162" i="3"/>
  <c r="F162" i="3" s="1"/>
  <c r="H162" i="3" s="1"/>
  <c r="E161" i="3"/>
  <c r="F161" i="3" s="1"/>
  <c r="H161" i="3" s="1"/>
  <c r="E160" i="3"/>
  <c r="F160" i="3" s="1"/>
  <c r="H160" i="3" s="1"/>
  <c r="E159" i="3"/>
  <c r="F159" i="3" s="1"/>
  <c r="H159" i="3" s="1"/>
  <c r="E158" i="3"/>
  <c r="F158" i="3" s="1"/>
  <c r="H158" i="3" s="1"/>
  <c r="E157" i="3"/>
  <c r="F157" i="3" s="1"/>
  <c r="H157" i="3" s="1"/>
  <c r="E156" i="3"/>
  <c r="F156" i="3" s="1"/>
  <c r="H156" i="3" s="1"/>
  <c r="E155" i="3"/>
  <c r="F155" i="3" s="1"/>
  <c r="H155" i="3" s="1"/>
  <c r="E154" i="3"/>
  <c r="F154" i="3" s="1"/>
  <c r="H154" i="3" s="1"/>
  <c r="E153" i="3"/>
  <c r="F153" i="3" s="1"/>
  <c r="H153" i="3" s="1"/>
  <c r="E152" i="3"/>
  <c r="F152" i="3" s="1"/>
  <c r="H152" i="3" s="1"/>
  <c r="E151" i="3"/>
  <c r="F151" i="3" s="1"/>
  <c r="H151" i="3" s="1"/>
  <c r="E150" i="3"/>
  <c r="F150" i="3" s="1"/>
  <c r="H150" i="3" s="1"/>
  <c r="E149" i="3"/>
  <c r="F149" i="3" s="1"/>
  <c r="H149" i="3" s="1"/>
  <c r="E148" i="3"/>
  <c r="F148" i="3" s="1"/>
  <c r="H148" i="3" s="1"/>
  <c r="E147" i="3"/>
  <c r="F147" i="3" s="1"/>
  <c r="H147" i="3" s="1"/>
  <c r="E146" i="3"/>
  <c r="F146" i="3" s="1"/>
  <c r="H146" i="3" s="1"/>
  <c r="E145" i="3"/>
  <c r="F145" i="3" s="1"/>
  <c r="H145" i="3" s="1"/>
  <c r="E144" i="3"/>
  <c r="F144" i="3" s="1"/>
  <c r="H144" i="3" s="1"/>
  <c r="E143" i="3"/>
  <c r="F143" i="3" s="1"/>
  <c r="H143" i="3" s="1"/>
  <c r="E142" i="3"/>
  <c r="F142" i="3" s="1"/>
  <c r="H142" i="3" s="1"/>
  <c r="E141" i="3"/>
  <c r="F141" i="3" s="1"/>
  <c r="H141" i="3" s="1"/>
  <c r="E140" i="3"/>
  <c r="F140" i="3" s="1"/>
  <c r="H140" i="3" s="1"/>
  <c r="E139" i="3"/>
  <c r="F139" i="3" s="1"/>
  <c r="H139" i="3" s="1"/>
  <c r="E138" i="3"/>
  <c r="F138" i="3" s="1"/>
  <c r="H138" i="3" s="1"/>
  <c r="E137" i="3"/>
  <c r="F137" i="3" s="1"/>
  <c r="H137" i="3" s="1"/>
  <c r="E136" i="3"/>
  <c r="F136" i="3" s="1"/>
  <c r="H136" i="3" s="1"/>
  <c r="E135" i="3"/>
  <c r="F135" i="3" s="1"/>
  <c r="H135" i="3" s="1"/>
  <c r="E134" i="3"/>
  <c r="F134" i="3" s="1"/>
  <c r="H134" i="3" s="1"/>
  <c r="E133" i="3"/>
  <c r="F133" i="3" s="1"/>
  <c r="H133" i="3" s="1"/>
  <c r="E132" i="3"/>
  <c r="F132" i="3" s="1"/>
  <c r="H132" i="3" s="1"/>
  <c r="E131" i="3"/>
  <c r="F131" i="3" s="1"/>
  <c r="H131" i="3" s="1"/>
  <c r="E130" i="3"/>
  <c r="F130" i="3" s="1"/>
  <c r="H130" i="3" s="1"/>
  <c r="E129" i="3"/>
  <c r="F129" i="3" s="1"/>
  <c r="H129" i="3" s="1"/>
  <c r="E128" i="3"/>
  <c r="F128" i="3" s="1"/>
  <c r="H128" i="3" s="1"/>
  <c r="E127" i="3"/>
  <c r="F127" i="3" s="1"/>
  <c r="H127" i="3" s="1"/>
  <c r="E126" i="3"/>
  <c r="F126" i="3" s="1"/>
  <c r="H126" i="3" s="1"/>
  <c r="E125" i="3"/>
  <c r="F125" i="3" s="1"/>
  <c r="H125" i="3" s="1"/>
  <c r="E124" i="3"/>
  <c r="F124" i="3" s="1"/>
  <c r="H124" i="3" s="1"/>
  <c r="E123" i="3"/>
  <c r="F123" i="3" s="1"/>
  <c r="H123" i="3" s="1"/>
  <c r="E122" i="3"/>
  <c r="F122" i="3" s="1"/>
  <c r="H122" i="3" s="1"/>
  <c r="E121" i="3"/>
  <c r="F121" i="3" s="1"/>
  <c r="H121" i="3" s="1"/>
  <c r="E120" i="3"/>
  <c r="F120" i="3" s="1"/>
  <c r="H120" i="3" s="1"/>
  <c r="E119" i="3"/>
  <c r="F119" i="3" s="1"/>
  <c r="H119" i="3" s="1"/>
  <c r="E118" i="3"/>
  <c r="F118" i="3" s="1"/>
  <c r="H118" i="3" s="1"/>
  <c r="E117" i="3"/>
  <c r="F117" i="3" s="1"/>
  <c r="H117" i="3" s="1"/>
  <c r="E116" i="3"/>
  <c r="F116" i="3" s="1"/>
  <c r="H116" i="3" s="1"/>
  <c r="E115" i="3"/>
  <c r="F115" i="3" s="1"/>
  <c r="H115" i="3" s="1"/>
  <c r="E114" i="3"/>
  <c r="F114" i="3" s="1"/>
  <c r="H114" i="3" s="1"/>
  <c r="E113" i="3"/>
  <c r="F113" i="3" s="1"/>
  <c r="H113" i="3" s="1"/>
  <c r="E112" i="3"/>
  <c r="F112" i="3" s="1"/>
  <c r="H112" i="3" s="1"/>
  <c r="E111" i="3"/>
  <c r="F111" i="3" s="1"/>
  <c r="H111" i="3" s="1"/>
  <c r="E110" i="3"/>
  <c r="F110" i="3" s="1"/>
  <c r="H110" i="3" s="1"/>
  <c r="E109" i="3"/>
  <c r="F109" i="3" s="1"/>
  <c r="H109" i="3" s="1"/>
  <c r="E108" i="3"/>
  <c r="F108" i="3" s="1"/>
  <c r="H108" i="3" s="1"/>
  <c r="E107" i="3"/>
  <c r="F107" i="3" s="1"/>
  <c r="H107" i="3" s="1"/>
  <c r="E106" i="3"/>
  <c r="F106" i="3" s="1"/>
  <c r="H106" i="3" s="1"/>
  <c r="E105" i="3"/>
  <c r="F105" i="3" s="1"/>
  <c r="H105" i="3" s="1"/>
  <c r="E104" i="3"/>
  <c r="F104" i="3" s="1"/>
  <c r="H104" i="3" s="1"/>
  <c r="E103" i="3"/>
  <c r="F103" i="3" s="1"/>
  <c r="H103" i="3" s="1"/>
  <c r="E102" i="3"/>
  <c r="F102" i="3" s="1"/>
  <c r="H102" i="3" s="1"/>
  <c r="E101" i="3"/>
  <c r="F101" i="3" s="1"/>
  <c r="H101" i="3" s="1"/>
  <c r="E100" i="3"/>
  <c r="F100" i="3" s="1"/>
  <c r="H100" i="3" s="1"/>
  <c r="E99" i="3"/>
  <c r="F99" i="3" s="1"/>
  <c r="H99" i="3" s="1"/>
  <c r="E98" i="3"/>
  <c r="F98" i="3" s="1"/>
  <c r="H98" i="3" s="1"/>
  <c r="E97" i="3"/>
  <c r="F97" i="3" s="1"/>
  <c r="H97" i="3" s="1"/>
  <c r="E96" i="3"/>
  <c r="F96" i="3" s="1"/>
  <c r="H96" i="3" s="1"/>
  <c r="E95" i="3"/>
  <c r="F95" i="3" s="1"/>
  <c r="H95" i="3" s="1"/>
  <c r="E94" i="3"/>
  <c r="F94" i="3" s="1"/>
  <c r="H94" i="3" s="1"/>
  <c r="E93" i="3"/>
  <c r="F93" i="3" s="1"/>
  <c r="H93" i="3" s="1"/>
  <c r="E92" i="3"/>
  <c r="F92" i="3" s="1"/>
  <c r="H92" i="3" s="1"/>
  <c r="E91" i="3"/>
  <c r="F91" i="3" s="1"/>
  <c r="H91" i="3" s="1"/>
  <c r="E90" i="3"/>
  <c r="F90" i="3" s="1"/>
  <c r="H90" i="3" s="1"/>
  <c r="E89" i="3"/>
  <c r="F89" i="3" s="1"/>
  <c r="H89" i="3" s="1"/>
  <c r="E88" i="3"/>
  <c r="F88" i="3" s="1"/>
  <c r="H88" i="3" s="1"/>
  <c r="E87" i="3"/>
  <c r="F87" i="3" s="1"/>
  <c r="H87" i="3" s="1"/>
  <c r="E86" i="3"/>
  <c r="F86" i="3" s="1"/>
  <c r="H86" i="3" s="1"/>
  <c r="E85" i="3"/>
  <c r="F85" i="3" s="1"/>
  <c r="H85" i="3" s="1"/>
  <c r="E84" i="3"/>
  <c r="F84" i="3" s="1"/>
  <c r="H84" i="3" s="1"/>
  <c r="E83" i="3"/>
  <c r="F83" i="3" s="1"/>
  <c r="H83" i="3" s="1"/>
  <c r="E82" i="3"/>
  <c r="F82" i="3" s="1"/>
  <c r="H82" i="3" s="1"/>
  <c r="E81" i="3"/>
  <c r="F81" i="3" s="1"/>
  <c r="H81" i="3" s="1"/>
  <c r="E80" i="3"/>
  <c r="F80" i="3" s="1"/>
  <c r="H80" i="3" s="1"/>
  <c r="E79" i="3"/>
  <c r="F79" i="3" s="1"/>
  <c r="H79" i="3" s="1"/>
  <c r="E78" i="3"/>
  <c r="F78" i="3" s="1"/>
  <c r="H78" i="3" s="1"/>
  <c r="E77" i="3"/>
  <c r="F77" i="3" s="1"/>
  <c r="H77" i="3" s="1"/>
  <c r="E76" i="3"/>
  <c r="F76" i="3" s="1"/>
  <c r="H76" i="3" s="1"/>
  <c r="E75" i="3"/>
  <c r="F75" i="3" s="1"/>
  <c r="H75" i="3" s="1"/>
  <c r="E74" i="3"/>
  <c r="F74" i="3" s="1"/>
  <c r="H74" i="3" s="1"/>
  <c r="E73" i="3"/>
  <c r="F73" i="3" s="1"/>
  <c r="H73" i="3" s="1"/>
  <c r="E72" i="3"/>
  <c r="F72" i="3" s="1"/>
  <c r="H72" i="3" s="1"/>
  <c r="E71" i="3"/>
  <c r="F71" i="3" s="1"/>
  <c r="H71" i="3" s="1"/>
  <c r="E70" i="3"/>
  <c r="F70" i="3" s="1"/>
  <c r="H70" i="3" s="1"/>
  <c r="E69" i="3"/>
  <c r="F69" i="3" s="1"/>
  <c r="H69" i="3" s="1"/>
  <c r="E68" i="3"/>
  <c r="F68" i="3" s="1"/>
  <c r="H68" i="3" s="1"/>
  <c r="E67" i="3"/>
  <c r="F67" i="3" s="1"/>
  <c r="H67" i="3" s="1"/>
  <c r="E66" i="3"/>
  <c r="F66" i="3" s="1"/>
  <c r="H66" i="3" s="1"/>
  <c r="E65" i="3"/>
  <c r="F65" i="3" s="1"/>
  <c r="H65" i="3" s="1"/>
  <c r="E64" i="3"/>
  <c r="F64" i="3" s="1"/>
  <c r="H64" i="3" s="1"/>
  <c r="E63" i="3"/>
  <c r="F63" i="3" s="1"/>
  <c r="H63" i="3" s="1"/>
  <c r="E62" i="3"/>
  <c r="F62" i="3" s="1"/>
  <c r="H62" i="3" s="1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E44" i="3"/>
  <c r="F44" i="3" s="1"/>
  <c r="H43" i="3"/>
  <c r="H42" i="3"/>
  <c r="H41" i="3"/>
  <c r="E40" i="3"/>
  <c r="F40" i="3" s="1"/>
  <c r="H40" i="3" s="1"/>
  <c r="H39" i="3"/>
  <c r="H38" i="3"/>
  <c r="H37" i="3"/>
  <c r="H36" i="3"/>
  <c r="H35" i="3"/>
  <c r="H34" i="3"/>
  <c r="H33" i="3"/>
  <c r="H32" i="3"/>
  <c r="H31" i="3"/>
  <c r="H30" i="3"/>
  <c r="E29" i="3"/>
  <c r="F29" i="3" s="1"/>
  <c r="H29" i="3" s="1"/>
  <c r="H28" i="3"/>
  <c r="H27" i="3"/>
  <c r="H26" i="3"/>
  <c r="H25" i="3"/>
  <c r="H24" i="3"/>
  <c r="H23" i="3"/>
  <c r="H22" i="3"/>
  <c r="H21" i="3"/>
  <c r="H20" i="3"/>
  <c r="E19" i="3"/>
  <c r="F19" i="3" s="1"/>
  <c r="H19" i="3" s="1"/>
  <c r="H18" i="3"/>
  <c r="E17" i="3"/>
  <c r="H16" i="3"/>
  <c r="E15" i="3"/>
  <c r="F15" i="3" s="1"/>
  <c r="H15" i="3" s="1"/>
  <c r="H14" i="3"/>
  <c r="H13" i="3"/>
  <c r="H12" i="3"/>
  <c r="E11" i="3"/>
  <c r="F11" i="3" s="1"/>
  <c r="H11" i="3" s="1"/>
  <c r="E10" i="3"/>
  <c r="F10" i="3" s="1"/>
  <c r="H9" i="3"/>
  <c r="D7" i="3"/>
  <c r="F620" i="2"/>
  <c r="G620" i="2" s="1"/>
  <c r="I620" i="2" s="1"/>
  <c r="F619" i="2"/>
  <c r="G619" i="2" s="1"/>
  <c r="I619" i="2" s="1"/>
  <c r="F618" i="2"/>
  <c r="G618" i="2" s="1"/>
  <c r="I618" i="2" s="1"/>
  <c r="F617" i="2"/>
  <c r="G617" i="2" s="1"/>
  <c r="I617" i="2" s="1"/>
  <c r="F616" i="2"/>
  <c r="G616" i="2" s="1"/>
  <c r="I616" i="2" s="1"/>
  <c r="F615" i="2"/>
  <c r="G615" i="2" s="1"/>
  <c r="I615" i="2" s="1"/>
  <c r="F614" i="2"/>
  <c r="G614" i="2" s="1"/>
  <c r="I614" i="2" s="1"/>
  <c r="F613" i="2"/>
  <c r="G613" i="2" s="1"/>
  <c r="I613" i="2" s="1"/>
  <c r="F612" i="2"/>
  <c r="G612" i="2" s="1"/>
  <c r="I612" i="2" s="1"/>
  <c r="F611" i="2"/>
  <c r="G611" i="2" s="1"/>
  <c r="I611" i="2" s="1"/>
  <c r="F610" i="2"/>
  <c r="G610" i="2" s="1"/>
  <c r="I610" i="2" s="1"/>
  <c r="F609" i="2"/>
  <c r="G609" i="2" s="1"/>
  <c r="I609" i="2" s="1"/>
  <c r="F608" i="2"/>
  <c r="G608" i="2" s="1"/>
  <c r="I608" i="2" s="1"/>
  <c r="F607" i="2"/>
  <c r="G607" i="2" s="1"/>
  <c r="I607" i="2" s="1"/>
  <c r="F606" i="2"/>
  <c r="G606" i="2" s="1"/>
  <c r="I606" i="2" s="1"/>
  <c r="F605" i="2"/>
  <c r="G605" i="2" s="1"/>
  <c r="I605" i="2" s="1"/>
  <c r="F604" i="2"/>
  <c r="G604" i="2" s="1"/>
  <c r="I604" i="2" s="1"/>
  <c r="F603" i="2"/>
  <c r="G603" i="2" s="1"/>
  <c r="I603" i="2" s="1"/>
  <c r="F602" i="2"/>
  <c r="G602" i="2" s="1"/>
  <c r="I602" i="2" s="1"/>
  <c r="F601" i="2"/>
  <c r="G601" i="2" s="1"/>
  <c r="I601" i="2" s="1"/>
  <c r="F600" i="2"/>
  <c r="G600" i="2" s="1"/>
  <c r="I600" i="2" s="1"/>
  <c r="F599" i="2"/>
  <c r="G599" i="2" s="1"/>
  <c r="I599" i="2" s="1"/>
  <c r="F598" i="2"/>
  <c r="G598" i="2" s="1"/>
  <c r="I598" i="2" s="1"/>
  <c r="F597" i="2"/>
  <c r="G597" i="2" s="1"/>
  <c r="I597" i="2" s="1"/>
  <c r="F596" i="2"/>
  <c r="G596" i="2" s="1"/>
  <c r="I596" i="2" s="1"/>
  <c r="F595" i="2"/>
  <c r="G595" i="2" s="1"/>
  <c r="I595" i="2" s="1"/>
  <c r="F594" i="2"/>
  <c r="G594" i="2" s="1"/>
  <c r="I594" i="2" s="1"/>
  <c r="F593" i="2"/>
  <c r="G593" i="2" s="1"/>
  <c r="I593" i="2" s="1"/>
  <c r="F592" i="2"/>
  <c r="G592" i="2" s="1"/>
  <c r="I592" i="2" s="1"/>
  <c r="F591" i="2"/>
  <c r="G591" i="2" s="1"/>
  <c r="I591" i="2" s="1"/>
  <c r="F590" i="2"/>
  <c r="G590" i="2" s="1"/>
  <c r="I590" i="2" s="1"/>
  <c r="F589" i="2"/>
  <c r="G589" i="2" s="1"/>
  <c r="I589" i="2" s="1"/>
  <c r="F588" i="2"/>
  <c r="G588" i="2" s="1"/>
  <c r="I588" i="2" s="1"/>
  <c r="F587" i="2"/>
  <c r="G587" i="2" s="1"/>
  <c r="I587" i="2" s="1"/>
  <c r="F586" i="2"/>
  <c r="F585" i="2"/>
  <c r="G585" i="2" s="1"/>
  <c r="I585" i="2" s="1"/>
  <c r="F584" i="2"/>
  <c r="G584" i="2" s="1"/>
  <c r="I584" i="2" s="1"/>
  <c r="F583" i="2"/>
  <c r="G583" i="2" s="1"/>
  <c r="I583" i="2" s="1"/>
  <c r="F582" i="2"/>
  <c r="G582" i="2" s="1"/>
  <c r="I582" i="2" s="1"/>
  <c r="F581" i="2"/>
  <c r="G581" i="2" s="1"/>
  <c r="I581" i="2" s="1"/>
  <c r="F580" i="2"/>
  <c r="G580" i="2" s="1"/>
  <c r="I580" i="2" s="1"/>
  <c r="F579" i="2"/>
  <c r="G579" i="2" s="1"/>
  <c r="I579" i="2" s="1"/>
  <c r="F578" i="2"/>
  <c r="G578" i="2" s="1"/>
  <c r="I578" i="2" s="1"/>
  <c r="F577" i="2"/>
  <c r="G577" i="2" s="1"/>
  <c r="I577" i="2" s="1"/>
  <c r="F576" i="2"/>
  <c r="G576" i="2" s="1"/>
  <c r="I576" i="2" s="1"/>
  <c r="F575" i="2"/>
  <c r="G575" i="2" s="1"/>
  <c r="I575" i="2" s="1"/>
  <c r="F574" i="2"/>
  <c r="G574" i="2" s="1"/>
  <c r="I574" i="2" s="1"/>
  <c r="F573" i="2"/>
  <c r="G573" i="2" s="1"/>
  <c r="I573" i="2" s="1"/>
  <c r="F572" i="2"/>
  <c r="G572" i="2" s="1"/>
  <c r="I572" i="2" s="1"/>
  <c r="F571" i="2"/>
  <c r="G571" i="2" s="1"/>
  <c r="I571" i="2" s="1"/>
  <c r="F570" i="2"/>
  <c r="G570" i="2" s="1"/>
  <c r="I570" i="2" s="1"/>
  <c r="F569" i="2"/>
  <c r="G569" i="2" s="1"/>
  <c r="I569" i="2" s="1"/>
  <c r="F568" i="2"/>
  <c r="G568" i="2" s="1"/>
  <c r="I568" i="2" s="1"/>
  <c r="F567" i="2"/>
  <c r="G567" i="2" s="1"/>
  <c r="I567" i="2" s="1"/>
  <c r="F566" i="2"/>
  <c r="G566" i="2" s="1"/>
  <c r="I566" i="2" s="1"/>
  <c r="F565" i="2"/>
  <c r="G565" i="2" s="1"/>
  <c r="I565" i="2" s="1"/>
  <c r="F564" i="2"/>
  <c r="G564" i="2" s="1"/>
  <c r="I564" i="2" s="1"/>
  <c r="F563" i="2"/>
  <c r="G563" i="2" s="1"/>
  <c r="I563" i="2" s="1"/>
  <c r="I562" i="2"/>
  <c r="F561" i="2"/>
  <c r="G561" i="2" s="1"/>
  <c r="I561" i="2" s="1"/>
  <c r="F560" i="2"/>
  <c r="G560" i="2" s="1"/>
  <c r="I560" i="2" s="1"/>
  <c r="F559" i="2"/>
  <c r="G559" i="2" s="1"/>
  <c r="I559" i="2" s="1"/>
  <c r="F558" i="2"/>
  <c r="G558" i="2" s="1"/>
  <c r="I558" i="2" s="1"/>
  <c r="F557" i="2"/>
  <c r="G557" i="2" s="1"/>
  <c r="I557" i="2" s="1"/>
  <c r="F556" i="2"/>
  <c r="G556" i="2" s="1"/>
  <c r="I556" i="2" s="1"/>
  <c r="F555" i="2"/>
  <c r="G555" i="2" s="1"/>
  <c r="I555" i="2" s="1"/>
  <c r="F554" i="2"/>
  <c r="G554" i="2" s="1"/>
  <c r="I554" i="2" s="1"/>
  <c r="F553" i="2"/>
  <c r="G553" i="2" s="1"/>
  <c r="I553" i="2" s="1"/>
  <c r="F552" i="2"/>
  <c r="G552" i="2" s="1"/>
  <c r="I552" i="2" s="1"/>
  <c r="F551" i="2"/>
  <c r="G551" i="2" s="1"/>
  <c r="I551" i="2" s="1"/>
  <c r="F550" i="2"/>
  <c r="G550" i="2" s="1"/>
  <c r="I550" i="2" s="1"/>
  <c r="F549" i="2"/>
  <c r="G549" i="2" s="1"/>
  <c r="I549" i="2" s="1"/>
  <c r="F548" i="2"/>
  <c r="G548" i="2" s="1"/>
  <c r="I548" i="2" s="1"/>
  <c r="F547" i="2"/>
  <c r="G547" i="2" s="1"/>
  <c r="I547" i="2" s="1"/>
  <c r="F546" i="2"/>
  <c r="G546" i="2" s="1"/>
  <c r="I546" i="2" s="1"/>
  <c r="F545" i="2"/>
  <c r="G545" i="2" s="1"/>
  <c r="I545" i="2" s="1"/>
  <c r="F544" i="2"/>
  <c r="G544" i="2" s="1"/>
  <c r="I544" i="2" s="1"/>
  <c r="F543" i="2"/>
  <c r="G543" i="2" s="1"/>
  <c r="I543" i="2" s="1"/>
  <c r="F542" i="2"/>
  <c r="G542" i="2" s="1"/>
  <c r="I542" i="2" s="1"/>
  <c r="F541" i="2"/>
  <c r="G541" i="2" s="1"/>
  <c r="I541" i="2" s="1"/>
  <c r="F540" i="2"/>
  <c r="G540" i="2" s="1"/>
  <c r="I540" i="2" s="1"/>
  <c r="F539" i="2"/>
  <c r="G539" i="2" s="1"/>
  <c r="I539" i="2" s="1"/>
  <c r="F538" i="2"/>
  <c r="G538" i="2" s="1"/>
  <c r="I538" i="2" s="1"/>
  <c r="F537" i="2"/>
  <c r="G537" i="2" s="1"/>
  <c r="I537" i="2" s="1"/>
  <c r="F536" i="2"/>
  <c r="G536" i="2" s="1"/>
  <c r="I536" i="2" s="1"/>
  <c r="F535" i="2"/>
  <c r="G535" i="2" s="1"/>
  <c r="I535" i="2" s="1"/>
  <c r="F534" i="2"/>
  <c r="G534" i="2" s="1"/>
  <c r="I534" i="2" s="1"/>
  <c r="F533" i="2"/>
  <c r="G533" i="2" s="1"/>
  <c r="I533" i="2" s="1"/>
  <c r="F532" i="2"/>
  <c r="G532" i="2" s="1"/>
  <c r="I532" i="2" s="1"/>
  <c r="F531" i="2"/>
  <c r="G531" i="2" s="1"/>
  <c r="I531" i="2" s="1"/>
  <c r="F530" i="2"/>
  <c r="G530" i="2" s="1"/>
  <c r="I530" i="2" s="1"/>
  <c r="F529" i="2"/>
  <c r="G529" i="2" s="1"/>
  <c r="I529" i="2" s="1"/>
  <c r="F528" i="2"/>
  <c r="G528" i="2" s="1"/>
  <c r="I528" i="2" s="1"/>
  <c r="I527" i="2"/>
  <c r="F526" i="2"/>
  <c r="G526" i="2" s="1"/>
  <c r="I526" i="2" s="1"/>
  <c r="F525" i="2"/>
  <c r="G525" i="2" s="1"/>
  <c r="I525" i="2" s="1"/>
  <c r="F524" i="2"/>
  <c r="G524" i="2" s="1"/>
  <c r="I524" i="2" s="1"/>
  <c r="F523" i="2"/>
  <c r="G523" i="2" s="1"/>
  <c r="I523" i="2" s="1"/>
  <c r="F522" i="2"/>
  <c r="G522" i="2" s="1"/>
  <c r="I522" i="2" s="1"/>
  <c r="F521" i="2"/>
  <c r="G521" i="2" s="1"/>
  <c r="I521" i="2" s="1"/>
  <c r="F520" i="2"/>
  <c r="G520" i="2" s="1"/>
  <c r="I520" i="2" s="1"/>
  <c r="I519" i="2"/>
  <c r="F518" i="2"/>
  <c r="G518" i="2" s="1"/>
  <c r="I518" i="2" s="1"/>
  <c r="F517" i="2"/>
  <c r="G517" i="2" s="1"/>
  <c r="I517" i="2" s="1"/>
  <c r="F516" i="2"/>
  <c r="G516" i="2" s="1"/>
  <c r="I516" i="2" s="1"/>
  <c r="F515" i="2"/>
  <c r="G515" i="2" s="1"/>
  <c r="I515" i="2" s="1"/>
  <c r="F514" i="2"/>
  <c r="G514" i="2" s="1"/>
  <c r="I514" i="2" s="1"/>
  <c r="F513" i="2"/>
  <c r="G513" i="2" s="1"/>
  <c r="I513" i="2" s="1"/>
  <c r="F512" i="2"/>
  <c r="G512" i="2" s="1"/>
  <c r="I512" i="2" s="1"/>
  <c r="F511" i="2"/>
  <c r="G511" i="2" s="1"/>
  <c r="I511" i="2" s="1"/>
  <c r="F510" i="2"/>
  <c r="G510" i="2" s="1"/>
  <c r="I510" i="2" s="1"/>
  <c r="F509" i="2"/>
  <c r="G509" i="2" s="1"/>
  <c r="I509" i="2" s="1"/>
  <c r="F508" i="2"/>
  <c r="G508" i="2" s="1"/>
  <c r="I508" i="2" s="1"/>
  <c r="F507" i="2"/>
  <c r="G507" i="2" s="1"/>
  <c r="I507" i="2" s="1"/>
  <c r="F506" i="2"/>
  <c r="G506" i="2" s="1"/>
  <c r="I506" i="2" s="1"/>
  <c r="F505" i="2"/>
  <c r="G505" i="2" s="1"/>
  <c r="I505" i="2" s="1"/>
  <c r="F504" i="2"/>
  <c r="G504" i="2" s="1"/>
  <c r="I504" i="2" s="1"/>
  <c r="F503" i="2"/>
  <c r="G503" i="2" s="1"/>
  <c r="I503" i="2" s="1"/>
  <c r="F502" i="2"/>
  <c r="G502" i="2" s="1"/>
  <c r="I502" i="2" s="1"/>
  <c r="I501" i="2"/>
  <c r="F500" i="2"/>
  <c r="G500" i="2" s="1"/>
  <c r="I500" i="2" s="1"/>
  <c r="F499" i="2"/>
  <c r="G499" i="2" s="1"/>
  <c r="I499" i="2" s="1"/>
  <c r="F498" i="2"/>
  <c r="G498" i="2" s="1"/>
  <c r="I498" i="2" s="1"/>
  <c r="F497" i="2"/>
  <c r="G497" i="2" s="1"/>
  <c r="I497" i="2" s="1"/>
  <c r="F496" i="2"/>
  <c r="G496" i="2" s="1"/>
  <c r="I496" i="2" s="1"/>
  <c r="F495" i="2"/>
  <c r="G495" i="2" s="1"/>
  <c r="I495" i="2" s="1"/>
  <c r="F494" i="2"/>
  <c r="G494" i="2" s="1"/>
  <c r="I494" i="2" s="1"/>
  <c r="F493" i="2"/>
  <c r="G493" i="2" s="1"/>
  <c r="I493" i="2" s="1"/>
  <c r="F492" i="2"/>
  <c r="G492" i="2" s="1"/>
  <c r="I492" i="2" s="1"/>
  <c r="F491" i="2"/>
  <c r="G491" i="2" s="1"/>
  <c r="I491" i="2" s="1"/>
  <c r="F490" i="2"/>
  <c r="G490" i="2" s="1"/>
  <c r="I490" i="2" s="1"/>
  <c r="F489" i="2"/>
  <c r="G489" i="2" s="1"/>
  <c r="I489" i="2" s="1"/>
  <c r="F488" i="2"/>
  <c r="G488" i="2" s="1"/>
  <c r="I488" i="2" s="1"/>
  <c r="F487" i="2"/>
  <c r="G487" i="2" s="1"/>
  <c r="I487" i="2" s="1"/>
  <c r="F486" i="2"/>
  <c r="G486" i="2" s="1"/>
  <c r="I486" i="2" s="1"/>
  <c r="F485" i="2"/>
  <c r="G485" i="2" s="1"/>
  <c r="I485" i="2" s="1"/>
  <c r="F484" i="2"/>
  <c r="G484" i="2" s="1"/>
  <c r="I484" i="2" s="1"/>
  <c r="I483" i="2"/>
  <c r="F482" i="2"/>
  <c r="G482" i="2" s="1"/>
  <c r="I482" i="2" s="1"/>
  <c r="F481" i="2"/>
  <c r="G481" i="2" s="1"/>
  <c r="I481" i="2" s="1"/>
  <c r="F480" i="2"/>
  <c r="G480" i="2" s="1"/>
  <c r="I480" i="2" s="1"/>
  <c r="F479" i="2"/>
  <c r="G479" i="2" s="1"/>
  <c r="I479" i="2" s="1"/>
  <c r="F478" i="2"/>
  <c r="G478" i="2" s="1"/>
  <c r="I478" i="2" s="1"/>
  <c r="F477" i="2"/>
  <c r="G477" i="2" s="1"/>
  <c r="I477" i="2" s="1"/>
  <c r="F476" i="2"/>
  <c r="G476" i="2" s="1"/>
  <c r="I476" i="2" s="1"/>
  <c r="F475" i="2"/>
  <c r="G475" i="2" s="1"/>
  <c r="I475" i="2" s="1"/>
  <c r="F474" i="2"/>
  <c r="G474" i="2" s="1"/>
  <c r="I474" i="2" s="1"/>
  <c r="F473" i="2"/>
  <c r="G473" i="2" s="1"/>
  <c r="I473" i="2" s="1"/>
  <c r="F472" i="2"/>
  <c r="G472" i="2" s="1"/>
  <c r="I472" i="2" s="1"/>
  <c r="F471" i="2"/>
  <c r="G471" i="2" s="1"/>
  <c r="I471" i="2" s="1"/>
  <c r="F470" i="2"/>
  <c r="G470" i="2" s="1"/>
  <c r="I470" i="2" s="1"/>
  <c r="F469" i="2"/>
  <c r="G469" i="2" s="1"/>
  <c r="I469" i="2" s="1"/>
  <c r="F468" i="2"/>
  <c r="G468" i="2" s="1"/>
  <c r="I468" i="2" s="1"/>
  <c r="F467" i="2"/>
  <c r="G467" i="2" s="1"/>
  <c r="I467" i="2" s="1"/>
  <c r="F466" i="2"/>
  <c r="G466" i="2" s="1"/>
  <c r="I466" i="2" s="1"/>
  <c r="F465" i="2"/>
  <c r="G465" i="2" s="1"/>
  <c r="I465" i="2" s="1"/>
  <c r="F464" i="2"/>
  <c r="G464" i="2" s="1"/>
  <c r="I464" i="2" s="1"/>
  <c r="F463" i="2"/>
  <c r="G463" i="2" s="1"/>
  <c r="I463" i="2" s="1"/>
  <c r="F462" i="2"/>
  <c r="G462" i="2" s="1"/>
  <c r="I462" i="2" s="1"/>
  <c r="F461" i="2"/>
  <c r="G461" i="2" s="1"/>
  <c r="I461" i="2" s="1"/>
  <c r="F460" i="2"/>
  <c r="G460" i="2" s="1"/>
  <c r="I460" i="2" s="1"/>
  <c r="F459" i="2"/>
  <c r="G459" i="2" s="1"/>
  <c r="I459" i="2" s="1"/>
  <c r="F458" i="2"/>
  <c r="G458" i="2" s="1"/>
  <c r="I458" i="2" s="1"/>
  <c r="F457" i="2"/>
  <c r="G457" i="2" s="1"/>
  <c r="I457" i="2" s="1"/>
  <c r="F456" i="2"/>
  <c r="G456" i="2" s="1"/>
  <c r="I456" i="2" s="1"/>
  <c r="F455" i="2"/>
  <c r="G455" i="2" s="1"/>
  <c r="I455" i="2" s="1"/>
  <c r="F454" i="2"/>
  <c r="G454" i="2" s="1"/>
  <c r="I454" i="2" s="1"/>
  <c r="F453" i="2"/>
  <c r="G453" i="2" s="1"/>
  <c r="I453" i="2" s="1"/>
  <c r="F452" i="2"/>
  <c r="G452" i="2" s="1"/>
  <c r="I452" i="2" s="1"/>
  <c r="F451" i="2"/>
  <c r="G451" i="2" s="1"/>
  <c r="I451" i="2" s="1"/>
  <c r="I450" i="2"/>
  <c r="F449" i="2"/>
  <c r="G449" i="2" s="1"/>
  <c r="I449" i="2" s="1"/>
  <c r="F448" i="2"/>
  <c r="G448" i="2" s="1"/>
  <c r="I448" i="2" s="1"/>
  <c r="F447" i="2"/>
  <c r="G447" i="2" s="1"/>
  <c r="I447" i="2" s="1"/>
  <c r="F446" i="2"/>
  <c r="G446" i="2" s="1"/>
  <c r="I446" i="2" s="1"/>
  <c r="F445" i="2"/>
  <c r="G445" i="2" s="1"/>
  <c r="I445" i="2" s="1"/>
  <c r="F444" i="2"/>
  <c r="G444" i="2" s="1"/>
  <c r="I444" i="2" s="1"/>
  <c r="F443" i="2"/>
  <c r="G443" i="2" s="1"/>
  <c r="I443" i="2" s="1"/>
  <c r="F442" i="2"/>
  <c r="G442" i="2" s="1"/>
  <c r="I442" i="2" s="1"/>
  <c r="F441" i="2"/>
  <c r="G441" i="2" s="1"/>
  <c r="I441" i="2" s="1"/>
  <c r="F440" i="2"/>
  <c r="G440" i="2" s="1"/>
  <c r="I440" i="2" s="1"/>
  <c r="F439" i="2"/>
  <c r="G439" i="2" s="1"/>
  <c r="I439" i="2" s="1"/>
  <c r="F438" i="2"/>
  <c r="G438" i="2" s="1"/>
  <c r="I438" i="2" s="1"/>
  <c r="F437" i="2"/>
  <c r="G437" i="2" s="1"/>
  <c r="I437" i="2" s="1"/>
  <c r="F436" i="2"/>
  <c r="G436" i="2" s="1"/>
  <c r="I436" i="2" s="1"/>
  <c r="F435" i="2"/>
  <c r="G435" i="2" s="1"/>
  <c r="I435" i="2" s="1"/>
  <c r="F434" i="2"/>
  <c r="G434" i="2" s="1"/>
  <c r="I434" i="2" s="1"/>
  <c r="F433" i="2"/>
  <c r="G433" i="2" s="1"/>
  <c r="I433" i="2" s="1"/>
  <c r="F432" i="2"/>
  <c r="G432" i="2" s="1"/>
  <c r="I432" i="2" s="1"/>
  <c r="F431" i="2"/>
  <c r="G431" i="2" s="1"/>
  <c r="I431" i="2" s="1"/>
  <c r="F430" i="2"/>
  <c r="G430" i="2" s="1"/>
  <c r="I430" i="2" s="1"/>
  <c r="F429" i="2"/>
  <c r="G429" i="2" s="1"/>
  <c r="I429" i="2" s="1"/>
  <c r="F428" i="2"/>
  <c r="G428" i="2" s="1"/>
  <c r="I428" i="2" s="1"/>
  <c r="F427" i="2"/>
  <c r="G427" i="2" s="1"/>
  <c r="I427" i="2" s="1"/>
  <c r="F426" i="2"/>
  <c r="G426" i="2" s="1"/>
  <c r="I426" i="2" s="1"/>
  <c r="F425" i="2"/>
  <c r="G425" i="2" s="1"/>
  <c r="I425" i="2" s="1"/>
  <c r="F424" i="2"/>
  <c r="G424" i="2" s="1"/>
  <c r="I424" i="2" s="1"/>
  <c r="F423" i="2"/>
  <c r="G423" i="2" s="1"/>
  <c r="I423" i="2" s="1"/>
  <c r="F422" i="2"/>
  <c r="G422" i="2" s="1"/>
  <c r="I422" i="2" s="1"/>
  <c r="F421" i="2"/>
  <c r="G421" i="2" s="1"/>
  <c r="I421" i="2" s="1"/>
  <c r="F420" i="2"/>
  <c r="G420" i="2" s="1"/>
  <c r="I420" i="2" s="1"/>
  <c r="F419" i="2"/>
  <c r="G419" i="2" s="1"/>
  <c r="I419" i="2" s="1"/>
  <c r="F418" i="2"/>
  <c r="G418" i="2" s="1"/>
  <c r="I418" i="2" s="1"/>
  <c r="F417" i="2"/>
  <c r="G417" i="2" s="1"/>
  <c r="I417" i="2" s="1"/>
  <c r="F416" i="2"/>
  <c r="G416" i="2" s="1"/>
  <c r="I416" i="2" s="1"/>
  <c r="F415" i="2"/>
  <c r="G415" i="2" s="1"/>
  <c r="I415" i="2" s="1"/>
  <c r="F414" i="2"/>
  <c r="G414" i="2" s="1"/>
  <c r="I414" i="2" s="1"/>
  <c r="F413" i="2"/>
  <c r="G413" i="2" s="1"/>
  <c r="I413" i="2" s="1"/>
  <c r="F412" i="2"/>
  <c r="G412" i="2" s="1"/>
  <c r="I412" i="2" s="1"/>
  <c r="F411" i="2"/>
  <c r="G411" i="2" s="1"/>
  <c r="I411" i="2" s="1"/>
  <c r="F410" i="2"/>
  <c r="G410" i="2" s="1"/>
  <c r="I410" i="2" s="1"/>
  <c r="F409" i="2"/>
  <c r="G409" i="2" s="1"/>
  <c r="I409" i="2" s="1"/>
  <c r="F408" i="2"/>
  <c r="G408" i="2" s="1"/>
  <c r="I408" i="2" s="1"/>
  <c r="F407" i="2"/>
  <c r="G407" i="2" s="1"/>
  <c r="I407" i="2" s="1"/>
  <c r="F406" i="2"/>
  <c r="G406" i="2" s="1"/>
  <c r="I406" i="2" s="1"/>
  <c r="F405" i="2"/>
  <c r="G405" i="2" s="1"/>
  <c r="I405" i="2" s="1"/>
  <c r="F404" i="2"/>
  <c r="G404" i="2" s="1"/>
  <c r="I404" i="2" s="1"/>
  <c r="F403" i="2"/>
  <c r="G403" i="2" s="1"/>
  <c r="I403" i="2" s="1"/>
  <c r="F402" i="2"/>
  <c r="G402" i="2" s="1"/>
  <c r="I402" i="2" s="1"/>
  <c r="F401" i="2"/>
  <c r="G401" i="2" s="1"/>
  <c r="I401" i="2" s="1"/>
  <c r="F400" i="2"/>
  <c r="G400" i="2" s="1"/>
  <c r="I400" i="2" s="1"/>
  <c r="F399" i="2"/>
  <c r="G399" i="2" s="1"/>
  <c r="I399" i="2" s="1"/>
  <c r="F398" i="2"/>
  <c r="G398" i="2" s="1"/>
  <c r="I398" i="2" s="1"/>
  <c r="F397" i="2"/>
  <c r="G397" i="2" s="1"/>
  <c r="I397" i="2" s="1"/>
  <c r="F396" i="2"/>
  <c r="G396" i="2" s="1"/>
  <c r="I396" i="2" s="1"/>
  <c r="F395" i="2"/>
  <c r="G395" i="2" s="1"/>
  <c r="I395" i="2" s="1"/>
  <c r="F394" i="2"/>
  <c r="G394" i="2" s="1"/>
  <c r="I394" i="2" s="1"/>
  <c r="F393" i="2"/>
  <c r="G393" i="2" s="1"/>
  <c r="I393" i="2" s="1"/>
  <c r="F392" i="2"/>
  <c r="G392" i="2" s="1"/>
  <c r="I392" i="2" s="1"/>
  <c r="F391" i="2"/>
  <c r="G391" i="2" s="1"/>
  <c r="I391" i="2" s="1"/>
  <c r="F390" i="2"/>
  <c r="G390" i="2" s="1"/>
  <c r="I390" i="2" s="1"/>
  <c r="F389" i="2"/>
  <c r="G389" i="2" s="1"/>
  <c r="I389" i="2" s="1"/>
  <c r="F388" i="2"/>
  <c r="G388" i="2" s="1"/>
  <c r="I388" i="2" s="1"/>
  <c r="F387" i="2"/>
  <c r="G387" i="2" s="1"/>
  <c r="I387" i="2" s="1"/>
  <c r="F386" i="2"/>
  <c r="G386" i="2" s="1"/>
  <c r="I386" i="2" s="1"/>
  <c r="F385" i="2"/>
  <c r="G385" i="2" s="1"/>
  <c r="I385" i="2" s="1"/>
  <c r="F384" i="2"/>
  <c r="G384" i="2" s="1"/>
  <c r="I384" i="2" s="1"/>
  <c r="F383" i="2"/>
  <c r="G383" i="2" s="1"/>
  <c r="I383" i="2" s="1"/>
  <c r="F382" i="2"/>
  <c r="G382" i="2" s="1"/>
  <c r="I382" i="2" s="1"/>
  <c r="F381" i="2"/>
  <c r="G381" i="2" s="1"/>
  <c r="I381" i="2" s="1"/>
  <c r="F380" i="2"/>
  <c r="G380" i="2" s="1"/>
  <c r="I380" i="2" s="1"/>
  <c r="F379" i="2"/>
  <c r="G379" i="2" s="1"/>
  <c r="I379" i="2" s="1"/>
  <c r="F378" i="2"/>
  <c r="G378" i="2" s="1"/>
  <c r="I378" i="2" s="1"/>
  <c r="F377" i="2"/>
  <c r="G377" i="2" s="1"/>
  <c r="I377" i="2" s="1"/>
  <c r="F376" i="2"/>
  <c r="G376" i="2" s="1"/>
  <c r="I376" i="2" s="1"/>
  <c r="F375" i="2"/>
  <c r="G375" i="2" s="1"/>
  <c r="I375" i="2" s="1"/>
  <c r="F374" i="2"/>
  <c r="G374" i="2" s="1"/>
  <c r="I374" i="2" s="1"/>
  <c r="F373" i="2"/>
  <c r="G373" i="2" s="1"/>
  <c r="I373" i="2" s="1"/>
  <c r="F372" i="2"/>
  <c r="G372" i="2" s="1"/>
  <c r="I372" i="2" s="1"/>
  <c r="F371" i="2"/>
  <c r="G371" i="2" s="1"/>
  <c r="I371" i="2" s="1"/>
  <c r="F370" i="2"/>
  <c r="G370" i="2" s="1"/>
  <c r="I370" i="2" s="1"/>
  <c r="F369" i="2"/>
  <c r="G369" i="2" s="1"/>
  <c r="I369" i="2" s="1"/>
  <c r="F368" i="2"/>
  <c r="G368" i="2" s="1"/>
  <c r="I368" i="2" s="1"/>
  <c r="F367" i="2"/>
  <c r="G367" i="2" s="1"/>
  <c r="I367" i="2" s="1"/>
  <c r="F366" i="2"/>
  <c r="G366" i="2" s="1"/>
  <c r="I366" i="2" s="1"/>
  <c r="F365" i="2"/>
  <c r="G365" i="2" s="1"/>
  <c r="I365" i="2" s="1"/>
  <c r="F364" i="2"/>
  <c r="G364" i="2" s="1"/>
  <c r="I364" i="2" s="1"/>
  <c r="F363" i="2"/>
  <c r="G363" i="2" s="1"/>
  <c r="I363" i="2" s="1"/>
  <c r="F362" i="2"/>
  <c r="G362" i="2" s="1"/>
  <c r="I362" i="2" s="1"/>
  <c r="F361" i="2"/>
  <c r="G361" i="2" s="1"/>
  <c r="I361" i="2" s="1"/>
  <c r="F360" i="2"/>
  <c r="G360" i="2" s="1"/>
  <c r="I360" i="2" s="1"/>
  <c r="F359" i="2"/>
  <c r="G359" i="2" s="1"/>
  <c r="I359" i="2" s="1"/>
  <c r="F358" i="2"/>
  <c r="G358" i="2" s="1"/>
  <c r="I358" i="2" s="1"/>
  <c r="F357" i="2"/>
  <c r="G357" i="2" s="1"/>
  <c r="I357" i="2" s="1"/>
  <c r="F356" i="2"/>
  <c r="G356" i="2" s="1"/>
  <c r="I356" i="2" s="1"/>
  <c r="F355" i="2"/>
  <c r="G355" i="2" s="1"/>
  <c r="I355" i="2" s="1"/>
  <c r="F354" i="2"/>
  <c r="G354" i="2" s="1"/>
  <c r="I354" i="2" s="1"/>
  <c r="F353" i="2"/>
  <c r="G353" i="2" s="1"/>
  <c r="I353" i="2" s="1"/>
  <c r="F352" i="2"/>
  <c r="G352" i="2" s="1"/>
  <c r="I352" i="2" s="1"/>
  <c r="F351" i="2"/>
  <c r="G351" i="2" s="1"/>
  <c r="I351" i="2" s="1"/>
  <c r="F350" i="2"/>
  <c r="G350" i="2" s="1"/>
  <c r="I350" i="2" s="1"/>
  <c r="F349" i="2"/>
  <c r="G349" i="2" s="1"/>
  <c r="I349" i="2" s="1"/>
  <c r="F348" i="2"/>
  <c r="G348" i="2" s="1"/>
  <c r="I348" i="2" s="1"/>
  <c r="F347" i="2"/>
  <c r="G347" i="2" s="1"/>
  <c r="I347" i="2" s="1"/>
  <c r="F346" i="2"/>
  <c r="G346" i="2" s="1"/>
  <c r="I346" i="2" s="1"/>
  <c r="F345" i="2"/>
  <c r="G345" i="2" s="1"/>
  <c r="I345" i="2" s="1"/>
  <c r="F344" i="2"/>
  <c r="G344" i="2" s="1"/>
  <c r="I344" i="2" s="1"/>
  <c r="F343" i="2"/>
  <c r="G343" i="2" s="1"/>
  <c r="I343" i="2" s="1"/>
  <c r="F342" i="2"/>
  <c r="G342" i="2" s="1"/>
  <c r="I342" i="2" s="1"/>
  <c r="F341" i="2"/>
  <c r="G341" i="2" s="1"/>
  <c r="I341" i="2" s="1"/>
  <c r="F340" i="2"/>
  <c r="G340" i="2" s="1"/>
  <c r="I340" i="2" s="1"/>
  <c r="F339" i="2"/>
  <c r="G339" i="2" s="1"/>
  <c r="I339" i="2" s="1"/>
  <c r="F338" i="2"/>
  <c r="G338" i="2" s="1"/>
  <c r="I338" i="2" s="1"/>
  <c r="F337" i="2"/>
  <c r="G337" i="2" s="1"/>
  <c r="I337" i="2" s="1"/>
  <c r="F336" i="2"/>
  <c r="G336" i="2" s="1"/>
  <c r="I336" i="2" s="1"/>
  <c r="F335" i="2"/>
  <c r="G335" i="2" s="1"/>
  <c r="I335" i="2" s="1"/>
  <c r="F334" i="2"/>
  <c r="G334" i="2" s="1"/>
  <c r="I334" i="2" s="1"/>
  <c r="F333" i="2"/>
  <c r="G333" i="2" s="1"/>
  <c r="I333" i="2" s="1"/>
  <c r="F332" i="2"/>
  <c r="G332" i="2" s="1"/>
  <c r="I332" i="2" s="1"/>
  <c r="F331" i="2"/>
  <c r="G331" i="2" s="1"/>
  <c r="I331" i="2" s="1"/>
  <c r="F330" i="2"/>
  <c r="G330" i="2" s="1"/>
  <c r="I330" i="2" s="1"/>
  <c r="F329" i="2"/>
  <c r="G329" i="2" s="1"/>
  <c r="I329" i="2" s="1"/>
  <c r="F328" i="2"/>
  <c r="G328" i="2" s="1"/>
  <c r="I328" i="2" s="1"/>
  <c r="F327" i="2"/>
  <c r="G327" i="2" s="1"/>
  <c r="I327" i="2" s="1"/>
  <c r="F326" i="2"/>
  <c r="G326" i="2" s="1"/>
  <c r="I326" i="2" s="1"/>
  <c r="F325" i="2"/>
  <c r="G325" i="2" s="1"/>
  <c r="I325" i="2" s="1"/>
  <c r="F324" i="2"/>
  <c r="G324" i="2" s="1"/>
  <c r="I324" i="2" s="1"/>
  <c r="F323" i="2"/>
  <c r="G323" i="2" s="1"/>
  <c r="I323" i="2" s="1"/>
  <c r="F322" i="2"/>
  <c r="G322" i="2" s="1"/>
  <c r="I322" i="2" s="1"/>
  <c r="F321" i="2"/>
  <c r="G321" i="2" s="1"/>
  <c r="I321" i="2" s="1"/>
  <c r="F320" i="2"/>
  <c r="G320" i="2" s="1"/>
  <c r="I320" i="2" s="1"/>
  <c r="F319" i="2"/>
  <c r="G319" i="2" s="1"/>
  <c r="I319" i="2" s="1"/>
  <c r="F318" i="2"/>
  <c r="G318" i="2" s="1"/>
  <c r="I318" i="2" s="1"/>
  <c r="F317" i="2"/>
  <c r="G317" i="2" s="1"/>
  <c r="I317" i="2" s="1"/>
  <c r="F316" i="2"/>
  <c r="G316" i="2" s="1"/>
  <c r="I316" i="2" s="1"/>
  <c r="F315" i="2"/>
  <c r="G315" i="2" s="1"/>
  <c r="I315" i="2" s="1"/>
  <c r="F314" i="2"/>
  <c r="G314" i="2" s="1"/>
  <c r="I314" i="2" s="1"/>
  <c r="F313" i="2"/>
  <c r="G313" i="2" s="1"/>
  <c r="I313" i="2" s="1"/>
  <c r="F312" i="2"/>
  <c r="G312" i="2" s="1"/>
  <c r="I312" i="2" s="1"/>
  <c r="F311" i="2"/>
  <c r="G311" i="2" s="1"/>
  <c r="I311" i="2" s="1"/>
  <c r="F310" i="2"/>
  <c r="G310" i="2" s="1"/>
  <c r="I310" i="2" s="1"/>
  <c r="F309" i="2"/>
  <c r="G309" i="2" s="1"/>
  <c r="I309" i="2" s="1"/>
  <c r="F308" i="2"/>
  <c r="G308" i="2" s="1"/>
  <c r="I308" i="2" s="1"/>
  <c r="F307" i="2"/>
  <c r="G307" i="2" s="1"/>
  <c r="I307" i="2" s="1"/>
  <c r="F306" i="2"/>
  <c r="G306" i="2" s="1"/>
  <c r="I306" i="2" s="1"/>
  <c r="F305" i="2"/>
  <c r="G305" i="2" s="1"/>
  <c r="I305" i="2" s="1"/>
  <c r="F304" i="2"/>
  <c r="G304" i="2" s="1"/>
  <c r="I304" i="2" s="1"/>
  <c r="F303" i="2"/>
  <c r="G303" i="2" s="1"/>
  <c r="I303" i="2" s="1"/>
  <c r="F302" i="2"/>
  <c r="G302" i="2" s="1"/>
  <c r="I302" i="2" s="1"/>
  <c r="F301" i="2"/>
  <c r="G301" i="2" s="1"/>
  <c r="I301" i="2" s="1"/>
  <c r="F300" i="2"/>
  <c r="G300" i="2" s="1"/>
  <c r="I300" i="2" s="1"/>
  <c r="F299" i="2"/>
  <c r="G299" i="2" s="1"/>
  <c r="I299" i="2" s="1"/>
  <c r="F298" i="2"/>
  <c r="G298" i="2" s="1"/>
  <c r="I298" i="2" s="1"/>
  <c r="F297" i="2"/>
  <c r="G297" i="2" s="1"/>
  <c r="I297" i="2" s="1"/>
  <c r="F296" i="2"/>
  <c r="G296" i="2" s="1"/>
  <c r="I296" i="2" s="1"/>
  <c r="F295" i="2"/>
  <c r="G295" i="2" s="1"/>
  <c r="I295" i="2" s="1"/>
  <c r="F294" i="2"/>
  <c r="G294" i="2" s="1"/>
  <c r="I294" i="2" s="1"/>
  <c r="F293" i="2"/>
  <c r="G293" i="2" s="1"/>
  <c r="I293" i="2" s="1"/>
  <c r="F292" i="2"/>
  <c r="G292" i="2" s="1"/>
  <c r="I292" i="2" s="1"/>
  <c r="F291" i="2"/>
  <c r="G291" i="2" s="1"/>
  <c r="I291" i="2" s="1"/>
  <c r="F290" i="2"/>
  <c r="G290" i="2" s="1"/>
  <c r="I290" i="2" s="1"/>
  <c r="F289" i="2"/>
  <c r="G289" i="2" s="1"/>
  <c r="I289" i="2" s="1"/>
  <c r="I288" i="2"/>
  <c r="F287" i="2"/>
  <c r="G287" i="2" s="1"/>
  <c r="I287" i="2" s="1"/>
  <c r="F286" i="2"/>
  <c r="G286" i="2" s="1"/>
  <c r="I286" i="2" s="1"/>
  <c r="F285" i="2"/>
  <c r="G285" i="2" s="1"/>
  <c r="I285" i="2" s="1"/>
  <c r="F284" i="2"/>
  <c r="G284" i="2" s="1"/>
  <c r="I284" i="2" s="1"/>
  <c r="F283" i="2"/>
  <c r="G283" i="2" s="1"/>
  <c r="I283" i="2" s="1"/>
  <c r="F282" i="2"/>
  <c r="G282" i="2" s="1"/>
  <c r="I282" i="2" s="1"/>
  <c r="F281" i="2"/>
  <c r="G281" i="2" s="1"/>
  <c r="I281" i="2" s="1"/>
  <c r="F280" i="2"/>
  <c r="G280" i="2" s="1"/>
  <c r="I280" i="2" s="1"/>
  <c r="F279" i="2"/>
  <c r="G279" i="2" s="1"/>
  <c r="I279" i="2" s="1"/>
  <c r="F278" i="2"/>
  <c r="G278" i="2" s="1"/>
  <c r="I278" i="2" s="1"/>
  <c r="F277" i="2"/>
  <c r="G277" i="2" s="1"/>
  <c r="I277" i="2" s="1"/>
  <c r="I276" i="2"/>
  <c r="F275" i="2"/>
  <c r="G275" i="2" s="1"/>
  <c r="I275" i="2" s="1"/>
  <c r="F274" i="2"/>
  <c r="G274" i="2" s="1"/>
  <c r="I274" i="2" s="1"/>
  <c r="F273" i="2"/>
  <c r="G273" i="2" s="1"/>
  <c r="I273" i="2" s="1"/>
  <c r="I272" i="2"/>
  <c r="F271" i="2"/>
  <c r="G271" i="2" s="1"/>
  <c r="I271" i="2" s="1"/>
  <c r="F270" i="2"/>
  <c r="G270" i="2" s="1"/>
  <c r="I270" i="2" s="1"/>
  <c r="F269" i="2"/>
  <c r="G269" i="2" s="1"/>
  <c r="I269" i="2" s="1"/>
  <c r="F268" i="2"/>
  <c r="G268" i="2" s="1"/>
  <c r="I268" i="2" s="1"/>
  <c r="F267" i="2"/>
  <c r="G267" i="2" s="1"/>
  <c r="I267" i="2" s="1"/>
  <c r="F266" i="2"/>
  <c r="G266" i="2" s="1"/>
  <c r="I266" i="2" s="1"/>
  <c r="F265" i="2"/>
  <c r="G265" i="2" s="1"/>
  <c r="I265" i="2" s="1"/>
  <c r="F264" i="2"/>
  <c r="G264" i="2" s="1"/>
  <c r="I264" i="2" s="1"/>
  <c r="F263" i="2"/>
  <c r="G263" i="2" s="1"/>
  <c r="I263" i="2" s="1"/>
  <c r="F262" i="2"/>
  <c r="G262" i="2" s="1"/>
  <c r="I262" i="2" s="1"/>
  <c r="F261" i="2"/>
  <c r="G261" i="2" s="1"/>
  <c r="I261" i="2" s="1"/>
  <c r="F260" i="2"/>
  <c r="G260" i="2" s="1"/>
  <c r="I260" i="2" s="1"/>
  <c r="F259" i="2"/>
  <c r="G259" i="2" s="1"/>
  <c r="I259" i="2" s="1"/>
  <c r="F258" i="2"/>
  <c r="G258" i="2" s="1"/>
  <c r="I258" i="2" s="1"/>
  <c r="F257" i="2"/>
  <c r="G257" i="2" s="1"/>
  <c r="I257" i="2" s="1"/>
  <c r="F256" i="2"/>
  <c r="G256" i="2" s="1"/>
  <c r="I256" i="2" s="1"/>
  <c r="F255" i="2"/>
  <c r="G255" i="2" s="1"/>
  <c r="I255" i="2" s="1"/>
  <c r="I254" i="2"/>
  <c r="F253" i="2"/>
  <c r="G253" i="2" s="1"/>
  <c r="I253" i="2" s="1"/>
  <c r="F252" i="2"/>
  <c r="G252" i="2" s="1"/>
  <c r="I252" i="2" s="1"/>
  <c r="F251" i="2"/>
  <c r="G251" i="2" s="1"/>
  <c r="I251" i="2" s="1"/>
  <c r="F250" i="2"/>
  <c r="G250" i="2" s="1"/>
  <c r="I250" i="2" s="1"/>
  <c r="F249" i="2"/>
  <c r="G249" i="2" s="1"/>
  <c r="I249" i="2" s="1"/>
  <c r="F248" i="2"/>
  <c r="G248" i="2" s="1"/>
  <c r="I248" i="2" s="1"/>
  <c r="F247" i="2"/>
  <c r="G247" i="2" s="1"/>
  <c r="I247" i="2" s="1"/>
  <c r="F246" i="2"/>
  <c r="G246" i="2" s="1"/>
  <c r="I246" i="2" s="1"/>
  <c r="F245" i="2"/>
  <c r="G245" i="2" s="1"/>
  <c r="I245" i="2" s="1"/>
  <c r="F244" i="2"/>
  <c r="G244" i="2" s="1"/>
  <c r="I244" i="2" s="1"/>
  <c r="F243" i="2"/>
  <c r="G243" i="2" s="1"/>
  <c r="I243" i="2" s="1"/>
  <c r="F242" i="2"/>
  <c r="G242" i="2" s="1"/>
  <c r="I242" i="2" s="1"/>
  <c r="F241" i="2"/>
  <c r="G241" i="2" s="1"/>
  <c r="I241" i="2" s="1"/>
  <c r="F240" i="2"/>
  <c r="G240" i="2" s="1"/>
  <c r="I240" i="2" s="1"/>
  <c r="F239" i="2"/>
  <c r="G239" i="2" s="1"/>
  <c r="I239" i="2" s="1"/>
  <c r="F238" i="2"/>
  <c r="G238" i="2" s="1"/>
  <c r="I238" i="2" s="1"/>
  <c r="F237" i="2"/>
  <c r="G237" i="2" s="1"/>
  <c r="I237" i="2" s="1"/>
  <c r="F236" i="2"/>
  <c r="G236" i="2" s="1"/>
  <c r="I236" i="2" s="1"/>
  <c r="F235" i="2"/>
  <c r="G235" i="2" s="1"/>
  <c r="I235" i="2" s="1"/>
  <c r="F234" i="2"/>
  <c r="G234" i="2" s="1"/>
  <c r="I234" i="2" s="1"/>
  <c r="F233" i="2"/>
  <c r="G233" i="2" s="1"/>
  <c r="I233" i="2" s="1"/>
  <c r="F232" i="2"/>
  <c r="G232" i="2" s="1"/>
  <c r="I232" i="2" s="1"/>
  <c r="F231" i="2"/>
  <c r="G231" i="2" s="1"/>
  <c r="I231" i="2" s="1"/>
  <c r="F230" i="2"/>
  <c r="G230" i="2" s="1"/>
  <c r="I230" i="2" s="1"/>
  <c r="F229" i="2"/>
  <c r="G229" i="2" s="1"/>
  <c r="I229" i="2" s="1"/>
  <c r="F228" i="2"/>
  <c r="G228" i="2" s="1"/>
  <c r="I228" i="2" s="1"/>
  <c r="F227" i="2"/>
  <c r="G227" i="2" s="1"/>
  <c r="I227" i="2" s="1"/>
  <c r="F226" i="2"/>
  <c r="G226" i="2" s="1"/>
  <c r="I226" i="2" s="1"/>
  <c r="F225" i="2"/>
  <c r="G225" i="2" s="1"/>
  <c r="I225" i="2" s="1"/>
  <c r="F224" i="2"/>
  <c r="G224" i="2" s="1"/>
  <c r="I224" i="2" s="1"/>
  <c r="F223" i="2"/>
  <c r="G223" i="2" s="1"/>
  <c r="I223" i="2" s="1"/>
  <c r="F222" i="2"/>
  <c r="G222" i="2" s="1"/>
  <c r="I222" i="2" s="1"/>
  <c r="F221" i="2"/>
  <c r="G221" i="2" s="1"/>
  <c r="I221" i="2" s="1"/>
  <c r="F220" i="2"/>
  <c r="G220" i="2" s="1"/>
  <c r="I220" i="2" s="1"/>
  <c r="F219" i="2"/>
  <c r="G219" i="2" s="1"/>
  <c r="I219" i="2" s="1"/>
  <c r="F218" i="2"/>
  <c r="G218" i="2" s="1"/>
  <c r="I218" i="2" s="1"/>
  <c r="F217" i="2"/>
  <c r="G217" i="2" s="1"/>
  <c r="I217" i="2" s="1"/>
  <c r="F216" i="2"/>
  <c r="G216" i="2" s="1"/>
  <c r="I216" i="2" s="1"/>
  <c r="F215" i="2"/>
  <c r="G215" i="2" s="1"/>
  <c r="I215" i="2" s="1"/>
  <c r="F214" i="2"/>
  <c r="G214" i="2" s="1"/>
  <c r="I214" i="2" s="1"/>
  <c r="F213" i="2"/>
  <c r="G213" i="2" s="1"/>
  <c r="I213" i="2" s="1"/>
  <c r="F212" i="2"/>
  <c r="G212" i="2" s="1"/>
  <c r="I212" i="2" s="1"/>
  <c r="F211" i="2"/>
  <c r="G211" i="2" s="1"/>
  <c r="I211" i="2" s="1"/>
  <c r="F210" i="2"/>
  <c r="G210" i="2" s="1"/>
  <c r="I210" i="2" s="1"/>
  <c r="F209" i="2"/>
  <c r="G209" i="2" s="1"/>
  <c r="I209" i="2" s="1"/>
  <c r="F208" i="2"/>
  <c r="G208" i="2" s="1"/>
  <c r="I208" i="2" s="1"/>
  <c r="F207" i="2"/>
  <c r="G207" i="2" s="1"/>
  <c r="I207" i="2" s="1"/>
  <c r="F206" i="2"/>
  <c r="G206" i="2" s="1"/>
  <c r="I206" i="2" s="1"/>
  <c r="F205" i="2"/>
  <c r="G205" i="2" s="1"/>
  <c r="I205" i="2" s="1"/>
  <c r="F204" i="2"/>
  <c r="G204" i="2" s="1"/>
  <c r="I204" i="2" s="1"/>
  <c r="F203" i="2"/>
  <c r="G203" i="2" s="1"/>
  <c r="I203" i="2" s="1"/>
  <c r="F202" i="2"/>
  <c r="G202" i="2" s="1"/>
  <c r="I202" i="2" s="1"/>
  <c r="F201" i="2"/>
  <c r="G201" i="2" s="1"/>
  <c r="I201" i="2" s="1"/>
  <c r="F200" i="2"/>
  <c r="G200" i="2" s="1"/>
  <c r="I200" i="2" s="1"/>
  <c r="F199" i="2"/>
  <c r="G199" i="2" s="1"/>
  <c r="I199" i="2" s="1"/>
  <c r="F198" i="2"/>
  <c r="G198" i="2" s="1"/>
  <c r="I198" i="2" s="1"/>
  <c r="F197" i="2"/>
  <c r="G197" i="2" s="1"/>
  <c r="I197" i="2" s="1"/>
  <c r="F196" i="2"/>
  <c r="G196" i="2" s="1"/>
  <c r="I196" i="2" s="1"/>
  <c r="F195" i="2"/>
  <c r="G195" i="2" s="1"/>
  <c r="I195" i="2" s="1"/>
  <c r="F194" i="2"/>
  <c r="G194" i="2" s="1"/>
  <c r="I194" i="2" s="1"/>
  <c r="F193" i="2"/>
  <c r="G193" i="2" s="1"/>
  <c r="I193" i="2" s="1"/>
  <c r="F192" i="2"/>
  <c r="G192" i="2" s="1"/>
  <c r="I192" i="2" s="1"/>
  <c r="F191" i="2"/>
  <c r="G191" i="2" s="1"/>
  <c r="I191" i="2" s="1"/>
  <c r="F190" i="2"/>
  <c r="G190" i="2" s="1"/>
  <c r="I190" i="2" s="1"/>
  <c r="F189" i="2"/>
  <c r="G189" i="2" s="1"/>
  <c r="I189" i="2" s="1"/>
  <c r="F188" i="2"/>
  <c r="G188" i="2" s="1"/>
  <c r="I188" i="2" s="1"/>
  <c r="F187" i="2"/>
  <c r="G187" i="2" s="1"/>
  <c r="I187" i="2" s="1"/>
  <c r="F186" i="2"/>
  <c r="G186" i="2" s="1"/>
  <c r="I186" i="2" s="1"/>
  <c r="F185" i="2"/>
  <c r="G185" i="2" s="1"/>
  <c r="I185" i="2" s="1"/>
  <c r="F184" i="2"/>
  <c r="G184" i="2" s="1"/>
  <c r="I184" i="2" s="1"/>
  <c r="F183" i="2"/>
  <c r="G183" i="2" s="1"/>
  <c r="I183" i="2" s="1"/>
  <c r="F182" i="2"/>
  <c r="G182" i="2" s="1"/>
  <c r="I182" i="2" s="1"/>
  <c r="F181" i="2"/>
  <c r="G181" i="2" s="1"/>
  <c r="I181" i="2" s="1"/>
  <c r="F180" i="2"/>
  <c r="G180" i="2" s="1"/>
  <c r="I180" i="2" s="1"/>
  <c r="F179" i="2"/>
  <c r="G179" i="2" s="1"/>
  <c r="I179" i="2" s="1"/>
  <c r="F178" i="2"/>
  <c r="G178" i="2" s="1"/>
  <c r="I178" i="2" s="1"/>
  <c r="F177" i="2"/>
  <c r="G177" i="2" s="1"/>
  <c r="I177" i="2" s="1"/>
  <c r="F176" i="2"/>
  <c r="G176" i="2" s="1"/>
  <c r="I176" i="2" s="1"/>
  <c r="F175" i="2"/>
  <c r="G175" i="2" s="1"/>
  <c r="I175" i="2" s="1"/>
  <c r="F174" i="2"/>
  <c r="G174" i="2" s="1"/>
  <c r="I174" i="2" s="1"/>
  <c r="F173" i="2"/>
  <c r="G173" i="2" s="1"/>
  <c r="I173" i="2" s="1"/>
  <c r="F172" i="2"/>
  <c r="G172" i="2" s="1"/>
  <c r="I172" i="2" s="1"/>
  <c r="F171" i="2"/>
  <c r="G171" i="2" s="1"/>
  <c r="I171" i="2" s="1"/>
  <c r="F170" i="2"/>
  <c r="G170" i="2" s="1"/>
  <c r="I170" i="2" s="1"/>
  <c r="F169" i="2"/>
  <c r="G169" i="2" s="1"/>
  <c r="I169" i="2" s="1"/>
  <c r="F168" i="2"/>
  <c r="G168" i="2" s="1"/>
  <c r="I168" i="2" s="1"/>
  <c r="F167" i="2"/>
  <c r="G167" i="2" s="1"/>
  <c r="I167" i="2" s="1"/>
  <c r="F166" i="2"/>
  <c r="G166" i="2" s="1"/>
  <c r="I166" i="2" s="1"/>
  <c r="F165" i="2"/>
  <c r="G165" i="2" s="1"/>
  <c r="I165" i="2" s="1"/>
  <c r="F164" i="2"/>
  <c r="G164" i="2" s="1"/>
  <c r="I164" i="2" s="1"/>
  <c r="F163" i="2"/>
  <c r="G163" i="2" s="1"/>
  <c r="I163" i="2" s="1"/>
  <c r="F162" i="2"/>
  <c r="G162" i="2" s="1"/>
  <c r="I162" i="2" s="1"/>
  <c r="F161" i="2"/>
  <c r="G161" i="2" s="1"/>
  <c r="I161" i="2" s="1"/>
  <c r="F160" i="2"/>
  <c r="G160" i="2" s="1"/>
  <c r="I160" i="2" s="1"/>
  <c r="F159" i="2"/>
  <c r="G159" i="2" s="1"/>
  <c r="I159" i="2" s="1"/>
  <c r="F158" i="2"/>
  <c r="G158" i="2" s="1"/>
  <c r="I158" i="2" s="1"/>
  <c r="F157" i="2"/>
  <c r="G157" i="2" s="1"/>
  <c r="I157" i="2" s="1"/>
  <c r="F156" i="2"/>
  <c r="G156" i="2" s="1"/>
  <c r="I156" i="2" s="1"/>
  <c r="F155" i="2"/>
  <c r="G155" i="2" s="1"/>
  <c r="I155" i="2" s="1"/>
  <c r="F154" i="2"/>
  <c r="G154" i="2" s="1"/>
  <c r="I154" i="2" s="1"/>
  <c r="F153" i="2"/>
  <c r="G153" i="2" s="1"/>
  <c r="I153" i="2" s="1"/>
  <c r="F152" i="2"/>
  <c r="G152" i="2" s="1"/>
  <c r="I152" i="2" s="1"/>
  <c r="F151" i="2"/>
  <c r="G151" i="2" s="1"/>
  <c r="I151" i="2" s="1"/>
  <c r="F150" i="2"/>
  <c r="G150" i="2" s="1"/>
  <c r="I150" i="2" s="1"/>
  <c r="F149" i="2"/>
  <c r="G149" i="2" s="1"/>
  <c r="I149" i="2" s="1"/>
  <c r="F148" i="2"/>
  <c r="G148" i="2" s="1"/>
  <c r="I148" i="2" s="1"/>
  <c r="F147" i="2"/>
  <c r="G147" i="2" s="1"/>
  <c r="I147" i="2" s="1"/>
  <c r="F146" i="2"/>
  <c r="G146" i="2" s="1"/>
  <c r="I146" i="2" s="1"/>
  <c r="F145" i="2"/>
  <c r="G145" i="2" s="1"/>
  <c r="I145" i="2" s="1"/>
  <c r="F144" i="2"/>
  <c r="G144" i="2" s="1"/>
  <c r="I144" i="2" s="1"/>
  <c r="F143" i="2"/>
  <c r="G143" i="2" s="1"/>
  <c r="I143" i="2" s="1"/>
  <c r="F142" i="2"/>
  <c r="G142" i="2" s="1"/>
  <c r="I142" i="2" s="1"/>
  <c r="F141" i="2"/>
  <c r="G141" i="2" s="1"/>
  <c r="I141" i="2" s="1"/>
  <c r="F140" i="2"/>
  <c r="G140" i="2" s="1"/>
  <c r="I140" i="2" s="1"/>
  <c r="F139" i="2"/>
  <c r="G139" i="2" s="1"/>
  <c r="I139" i="2" s="1"/>
  <c r="F138" i="2"/>
  <c r="G138" i="2" s="1"/>
  <c r="I138" i="2" s="1"/>
  <c r="F137" i="2"/>
  <c r="G137" i="2" s="1"/>
  <c r="I137" i="2" s="1"/>
  <c r="F136" i="2"/>
  <c r="G136" i="2" s="1"/>
  <c r="I136" i="2" s="1"/>
  <c r="F135" i="2"/>
  <c r="G135" i="2" s="1"/>
  <c r="I135" i="2" s="1"/>
  <c r="F134" i="2"/>
  <c r="G134" i="2" s="1"/>
  <c r="I134" i="2" s="1"/>
  <c r="F133" i="2"/>
  <c r="G133" i="2" s="1"/>
  <c r="I133" i="2" s="1"/>
  <c r="F132" i="2"/>
  <c r="G132" i="2" s="1"/>
  <c r="I132" i="2" s="1"/>
  <c r="F131" i="2"/>
  <c r="G131" i="2" s="1"/>
  <c r="I131" i="2" s="1"/>
  <c r="F130" i="2"/>
  <c r="G130" i="2" s="1"/>
  <c r="I130" i="2" s="1"/>
  <c r="F129" i="2"/>
  <c r="G129" i="2" s="1"/>
  <c r="I129" i="2" s="1"/>
  <c r="F128" i="2"/>
  <c r="G128" i="2" s="1"/>
  <c r="I128" i="2" s="1"/>
  <c r="F127" i="2"/>
  <c r="G127" i="2" s="1"/>
  <c r="I127" i="2" s="1"/>
  <c r="F126" i="2"/>
  <c r="G126" i="2" s="1"/>
  <c r="I126" i="2" s="1"/>
  <c r="F125" i="2"/>
  <c r="G125" i="2" s="1"/>
  <c r="I125" i="2" s="1"/>
  <c r="F124" i="2"/>
  <c r="G124" i="2" s="1"/>
  <c r="I124" i="2" s="1"/>
  <c r="F123" i="2"/>
  <c r="G123" i="2" s="1"/>
  <c r="I123" i="2" s="1"/>
  <c r="F122" i="2"/>
  <c r="G122" i="2" s="1"/>
  <c r="I122" i="2" s="1"/>
  <c r="F121" i="2"/>
  <c r="G121" i="2" s="1"/>
  <c r="I121" i="2" s="1"/>
  <c r="F120" i="2"/>
  <c r="G120" i="2" s="1"/>
  <c r="I120" i="2" s="1"/>
  <c r="F119" i="2"/>
  <c r="G119" i="2" s="1"/>
  <c r="I119" i="2" s="1"/>
  <c r="F118" i="2"/>
  <c r="G118" i="2" s="1"/>
  <c r="I118" i="2" s="1"/>
  <c r="F117" i="2"/>
  <c r="G117" i="2" s="1"/>
  <c r="I117" i="2" s="1"/>
  <c r="F116" i="2"/>
  <c r="G116" i="2" s="1"/>
  <c r="I116" i="2" s="1"/>
  <c r="F115" i="2"/>
  <c r="G115" i="2" s="1"/>
  <c r="I115" i="2" s="1"/>
  <c r="F114" i="2"/>
  <c r="G114" i="2" s="1"/>
  <c r="I114" i="2" s="1"/>
  <c r="F113" i="2"/>
  <c r="G113" i="2" s="1"/>
  <c r="I113" i="2" s="1"/>
  <c r="F112" i="2"/>
  <c r="G112" i="2" s="1"/>
  <c r="I112" i="2" s="1"/>
  <c r="F111" i="2"/>
  <c r="G111" i="2" s="1"/>
  <c r="I111" i="2" s="1"/>
  <c r="F110" i="2"/>
  <c r="G110" i="2" s="1"/>
  <c r="I110" i="2" s="1"/>
  <c r="F109" i="2"/>
  <c r="G109" i="2" s="1"/>
  <c r="I109" i="2" s="1"/>
  <c r="F108" i="2"/>
  <c r="G108" i="2" s="1"/>
  <c r="I108" i="2" s="1"/>
  <c r="F107" i="2"/>
  <c r="G107" i="2" s="1"/>
  <c r="I107" i="2" s="1"/>
  <c r="F106" i="2"/>
  <c r="G106" i="2" s="1"/>
  <c r="I106" i="2" s="1"/>
  <c r="F105" i="2"/>
  <c r="G105" i="2" s="1"/>
  <c r="I105" i="2" s="1"/>
  <c r="F104" i="2"/>
  <c r="G104" i="2" s="1"/>
  <c r="I104" i="2" s="1"/>
  <c r="F103" i="2"/>
  <c r="G103" i="2" s="1"/>
  <c r="I103" i="2" s="1"/>
  <c r="F102" i="2"/>
  <c r="G102" i="2" s="1"/>
  <c r="I102" i="2" s="1"/>
  <c r="F101" i="2"/>
  <c r="G101" i="2" s="1"/>
  <c r="I101" i="2" s="1"/>
  <c r="F100" i="2"/>
  <c r="G100" i="2" s="1"/>
  <c r="I100" i="2" s="1"/>
  <c r="F99" i="2"/>
  <c r="G99" i="2" s="1"/>
  <c r="I99" i="2" s="1"/>
  <c r="F98" i="2"/>
  <c r="G98" i="2" s="1"/>
  <c r="I98" i="2" s="1"/>
  <c r="F97" i="2"/>
  <c r="G97" i="2" s="1"/>
  <c r="I97" i="2" s="1"/>
  <c r="F96" i="2"/>
  <c r="G96" i="2" s="1"/>
  <c r="I96" i="2" s="1"/>
  <c r="F95" i="2"/>
  <c r="G95" i="2" s="1"/>
  <c r="I95" i="2" s="1"/>
  <c r="F94" i="2"/>
  <c r="G94" i="2" s="1"/>
  <c r="I94" i="2" s="1"/>
  <c r="F93" i="2"/>
  <c r="G93" i="2" s="1"/>
  <c r="I93" i="2" s="1"/>
  <c r="F92" i="2"/>
  <c r="G92" i="2" s="1"/>
  <c r="I92" i="2" s="1"/>
  <c r="F91" i="2"/>
  <c r="G91" i="2" s="1"/>
  <c r="I91" i="2" s="1"/>
  <c r="F90" i="2"/>
  <c r="G90" i="2" s="1"/>
  <c r="I90" i="2" s="1"/>
  <c r="F89" i="2"/>
  <c r="G89" i="2" s="1"/>
  <c r="I89" i="2" s="1"/>
  <c r="F88" i="2"/>
  <c r="G88" i="2" s="1"/>
  <c r="I88" i="2" s="1"/>
  <c r="F87" i="2"/>
  <c r="G87" i="2" s="1"/>
  <c r="I87" i="2" s="1"/>
  <c r="F86" i="2"/>
  <c r="G86" i="2" s="1"/>
  <c r="I86" i="2" s="1"/>
  <c r="F85" i="2"/>
  <c r="G85" i="2" s="1"/>
  <c r="I85" i="2" s="1"/>
  <c r="F84" i="2"/>
  <c r="G84" i="2" s="1"/>
  <c r="I84" i="2" s="1"/>
  <c r="F83" i="2"/>
  <c r="G83" i="2" s="1"/>
  <c r="I83" i="2" s="1"/>
  <c r="F82" i="2"/>
  <c r="G82" i="2" s="1"/>
  <c r="I82" i="2" s="1"/>
  <c r="F81" i="2"/>
  <c r="G81" i="2" s="1"/>
  <c r="I81" i="2" s="1"/>
  <c r="F80" i="2"/>
  <c r="G80" i="2" s="1"/>
  <c r="I80" i="2" s="1"/>
  <c r="F79" i="2"/>
  <c r="G79" i="2" s="1"/>
  <c r="I79" i="2" s="1"/>
  <c r="F78" i="2"/>
  <c r="G78" i="2" s="1"/>
  <c r="I78" i="2" s="1"/>
  <c r="F77" i="2"/>
  <c r="G77" i="2" s="1"/>
  <c r="I77" i="2" s="1"/>
  <c r="F76" i="2"/>
  <c r="G76" i="2" s="1"/>
  <c r="I76" i="2" s="1"/>
  <c r="F75" i="2"/>
  <c r="G75" i="2" s="1"/>
  <c r="I75" i="2" s="1"/>
  <c r="F74" i="2"/>
  <c r="G74" i="2" s="1"/>
  <c r="I74" i="2" s="1"/>
  <c r="F73" i="2"/>
  <c r="G73" i="2" s="1"/>
  <c r="I73" i="2" s="1"/>
  <c r="F72" i="2"/>
  <c r="G72" i="2" s="1"/>
  <c r="I72" i="2" s="1"/>
  <c r="F71" i="2"/>
  <c r="G71" i="2" s="1"/>
  <c r="I71" i="2" s="1"/>
  <c r="F70" i="2"/>
  <c r="G70" i="2" s="1"/>
  <c r="I70" i="2" s="1"/>
  <c r="F69" i="2"/>
  <c r="G69" i="2" s="1"/>
  <c r="I69" i="2" s="1"/>
  <c r="F68" i="2"/>
  <c r="G68" i="2" s="1"/>
  <c r="I68" i="2" s="1"/>
  <c r="F67" i="2"/>
  <c r="G67" i="2" s="1"/>
  <c r="I67" i="2" s="1"/>
  <c r="F66" i="2"/>
  <c r="G66" i="2" s="1"/>
  <c r="I66" i="2" s="1"/>
  <c r="F65" i="2"/>
  <c r="G65" i="2" s="1"/>
  <c r="I65" i="2" s="1"/>
  <c r="F64" i="2"/>
  <c r="G64" i="2" s="1"/>
  <c r="I64" i="2" s="1"/>
  <c r="F63" i="2"/>
  <c r="G63" i="2" s="1"/>
  <c r="I63" i="2" s="1"/>
  <c r="F62" i="2"/>
  <c r="G62" i="2" s="1"/>
  <c r="I62" i="2" s="1"/>
  <c r="F61" i="2"/>
  <c r="G61" i="2" s="1"/>
  <c r="I61" i="2" s="1"/>
  <c r="F60" i="2"/>
  <c r="G60" i="2" s="1"/>
  <c r="I60" i="2" s="1"/>
  <c r="F59" i="2"/>
  <c r="G59" i="2" s="1"/>
  <c r="I59" i="2" s="1"/>
  <c r="F58" i="2"/>
  <c r="G58" i="2" s="1"/>
  <c r="I58" i="2" s="1"/>
  <c r="F57" i="2"/>
  <c r="G57" i="2" s="1"/>
  <c r="I57" i="2" s="1"/>
  <c r="F56" i="2"/>
  <c r="G56" i="2" s="1"/>
  <c r="I56" i="2" s="1"/>
  <c r="F55" i="2"/>
  <c r="G55" i="2" s="1"/>
  <c r="I55" i="2" s="1"/>
  <c r="F54" i="2"/>
  <c r="G54" i="2" s="1"/>
  <c r="I54" i="2" s="1"/>
  <c r="F53" i="2"/>
  <c r="G53" i="2" s="1"/>
  <c r="I53" i="2" s="1"/>
  <c r="F52" i="2"/>
  <c r="G52" i="2" s="1"/>
  <c r="I52" i="2" s="1"/>
  <c r="F51" i="2"/>
  <c r="G51" i="2" s="1"/>
  <c r="I51" i="2" s="1"/>
  <c r="F50" i="2"/>
  <c r="G50" i="2" s="1"/>
  <c r="I50" i="2" s="1"/>
  <c r="F49" i="2"/>
  <c r="G49" i="2" s="1"/>
  <c r="I49" i="2" s="1"/>
  <c r="F48" i="2"/>
  <c r="G48" i="2" s="1"/>
  <c r="I48" i="2" s="1"/>
  <c r="F47" i="2"/>
  <c r="G47" i="2" s="1"/>
  <c r="I47" i="2" s="1"/>
  <c r="F46" i="2"/>
  <c r="G46" i="2" s="1"/>
  <c r="I46" i="2" s="1"/>
  <c r="F45" i="2"/>
  <c r="G45" i="2" s="1"/>
  <c r="I45" i="2" s="1"/>
  <c r="F44" i="2"/>
  <c r="G44" i="2" s="1"/>
  <c r="I44" i="2" s="1"/>
  <c r="F43" i="2"/>
  <c r="G43" i="2" s="1"/>
  <c r="I43" i="2" s="1"/>
  <c r="F42" i="2"/>
  <c r="G42" i="2" s="1"/>
  <c r="I42" i="2" s="1"/>
  <c r="F41" i="2"/>
  <c r="G41" i="2" s="1"/>
  <c r="I41" i="2" s="1"/>
  <c r="F40" i="2"/>
  <c r="G40" i="2" s="1"/>
  <c r="I40" i="2" s="1"/>
  <c r="F39" i="2"/>
  <c r="G39" i="2" s="1"/>
  <c r="I39" i="2" s="1"/>
  <c r="F38" i="2"/>
  <c r="G38" i="2" s="1"/>
  <c r="I38" i="2" s="1"/>
  <c r="F37" i="2"/>
  <c r="G37" i="2" s="1"/>
  <c r="I37" i="2" s="1"/>
  <c r="F36" i="2"/>
  <c r="G36" i="2" s="1"/>
  <c r="I36" i="2" s="1"/>
  <c r="F35" i="2"/>
  <c r="G35" i="2" s="1"/>
  <c r="I35" i="2" s="1"/>
  <c r="F34" i="2"/>
  <c r="G34" i="2" s="1"/>
  <c r="I34" i="2" s="1"/>
  <c r="F33" i="2"/>
  <c r="G33" i="2" s="1"/>
  <c r="I33" i="2" s="1"/>
  <c r="F32" i="2"/>
  <c r="G32" i="2" s="1"/>
  <c r="I32" i="2" s="1"/>
  <c r="F31" i="2"/>
  <c r="G31" i="2" s="1"/>
  <c r="I31" i="2" s="1"/>
  <c r="F30" i="2"/>
  <c r="G30" i="2" s="1"/>
  <c r="I30" i="2" s="1"/>
  <c r="F29" i="2"/>
  <c r="G29" i="2" s="1"/>
  <c r="I29" i="2" s="1"/>
  <c r="F28" i="2"/>
  <c r="G28" i="2" s="1"/>
  <c r="I28" i="2" s="1"/>
  <c r="F27" i="2"/>
  <c r="G27" i="2" s="1"/>
  <c r="I27" i="2" s="1"/>
  <c r="F26" i="2"/>
  <c r="G26" i="2" s="1"/>
  <c r="I26" i="2" s="1"/>
  <c r="I25" i="2"/>
  <c r="I24" i="2"/>
  <c r="I23" i="2"/>
  <c r="I22" i="2"/>
  <c r="F22" i="2"/>
  <c r="F21" i="2"/>
  <c r="G21" i="2" s="1"/>
  <c r="I21" i="2" s="1"/>
  <c r="F20" i="2"/>
  <c r="G20" i="2" s="1"/>
  <c r="I20" i="2" s="1"/>
  <c r="I19" i="2"/>
  <c r="I18" i="2"/>
  <c r="I17" i="2"/>
  <c r="F16" i="2"/>
  <c r="G16" i="2" s="1"/>
  <c r="I15" i="2"/>
  <c r="I14" i="2"/>
  <c r="I13" i="2"/>
  <c r="I12" i="2"/>
  <c r="I11" i="2"/>
  <c r="I10" i="2"/>
  <c r="G7" i="2" l="1"/>
  <c r="G586" i="2"/>
  <c r="I586" i="2" s="1"/>
  <c r="E7" i="3"/>
  <c r="I16" i="2"/>
  <c r="I7" i="2" s="1"/>
  <c r="I6" i="3" s="1"/>
  <c r="H10" i="3"/>
  <c r="G44" i="3"/>
  <c r="G7" i="3" s="1"/>
  <c r="F17" i="3"/>
  <c r="H17" i="3" s="1"/>
  <c r="F7" i="2"/>
  <c r="F7" i="3" l="1"/>
  <c r="H44" i="3"/>
  <c r="H7" i="3" s="1"/>
  <c r="I5" i="3" s="1"/>
  <c r="I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8" authorId="0" shapeId="0" xr:uid="{3B960041-0B0E-4701-9101-00EB1B6DB8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30" authorId="0" shapeId="0" xr:uid="{37B3CB38-43DE-4768-88D7-0EB0B9B99A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35" authorId="0" shapeId="0" xr:uid="{8242F1B2-4D48-4F38-A52B-18D6FDF2E7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37" authorId="0" shapeId="0" xr:uid="{5BC32C8C-182F-489D-BA71-1028C8F8B8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40" authorId="0" shapeId="0" xr:uid="{415F226A-A2AE-4DE2-B9EB-9332EF9C4E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44" authorId="0" shapeId="0" xr:uid="{86D41B68-F23C-4CC6-A96D-8A94421089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45" authorId="0" shapeId="0" xr:uid="{2B3CD91E-05A9-4A05-B695-E2657984F81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49" authorId="0" shapeId="0" xr:uid="{F8E1C8A4-3FA7-4A7E-AB61-A04F6D052A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50" authorId="0" shapeId="0" xr:uid="{A048F11B-ECE9-45F1-8683-929E1A537D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54" authorId="0" shapeId="0" xr:uid="{1E8403D3-9BC5-445F-9B48-E2CDF2C946F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58" authorId="0" shapeId="0" xr:uid="{6A3EAB02-944A-456A-9A72-9E210A46E26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63" authorId="0" shapeId="0" xr:uid="{0715EC6A-23D1-4B97-846E-D04758BDAA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64" authorId="0" shapeId="0" xr:uid="{80780C43-9E96-40DC-9F0F-C26B9C43C81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65" authorId="0" shapeId="0" xr:uid="{40F62016-0FE8-43EC-82C9-722678AA510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28/11</t>
        </r>
      </text>
    </comment>
    <comment ref="C66" authorId="0" shapeId="0" xr:uid="{62A67B2F-60F2-4745-A99C-51FF776CFE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67" authorId="0" shapeId="0" xr:uid="{B4940921-D95F-477C-A61F-C01DB490D4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69" authorId="0" shapeId="0" xr:uid="{17E154C5-C948-4D93-AB63-3DDC261064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70" authorId="0" shapeId="0" xr:uid="{9187D698-461E-495A-8FD4-E31DDF70B7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72" authorId="0" shapeId="0" xr:uid="{C6A532A2-BF0A-47A8-9038-4405B48150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75" authorId="0" shapeId="0" xr:uid="{0F02B00C-5315-4956-A619-E18792B58B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80" authorId="0" shapeId="0" xr:uid="{0B06CCE8-FE11-4055-B11F-9BEC2481A2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85" authorId="0" shapeId="0" xr:uid="{F3A04FAF-9E82-4F5D-9705-1FAE5752AB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86" authorId="0" shapeId="0" xr:uid="{804B458B-E41A-4183-896E-A79757C5E1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88" authorId="0" shapeId="0" xr:uid="{0921517D-AFE4-4F29-BFDB-5F092425B5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89" authorId="0" shapeId="0" xr:uid="{0E9E2836-3FDF-4C64-A294-B670CF7F3D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93" authorId="0" shapeId="0" xr:uid="{18678A32-E952-49C9-A52C-694CCFFDF6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97" authorId="0" shapeId="0" xr:uid="{16096430-8C6F-485E-94BD-AF576E6CA8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4/12</t>
        </r>
      </text>
    </comment>
    <comment ref="C98" authorId="0" shapeId="0" xr:uid="{5ED08F7A-27B2-492F-90BD-90E76B05147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4/12</t>
        </r>
      </text>
    </comment>
    <comment ref="C119" authorId="0" shapeId="0" xr:uid="{79B0773D-1915-4CFD-961E-12CB554E853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13/12</t>
        </r>
      </text>
    </comment>
    <comment ref="C128" authorId="0" shapeId="0" xr:uid="{D65B23E7-A14C-420C-87A1-BCDFCB2BAEF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20/12</t>
        </r>
      </text>
    </comment>
    <comment ref="C146" authorId="0" shapeId="0" xr:uid="{24316A67-ADA8-4E2C-802B-703762BA35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28/12</t>
        </r>
      </text>
    </comment>
    <comment ref="C168" authorId="0" shapeId="0" xr:uid="{BEB07193-7643-45C2-B7F2-8B9334DED52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</t>
        </r>
      </text>
    </comment>
    <comment ref="C170" authorId="0" shapeId="0" xr:uid="{BC107AAC-C4F0-4077-963F-F5FC50E0E2C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12/1</t>
        </r>
      </text>
    </comment>
    <comment ref="C188" authorId="0" shapeId="0" xr:uid="{A7C02386-888D-4DCC-9DA4-ABB411FA40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18/1</t>
        </r>
      </text>
    </comment>
    <comment ref="C194" authorId="0" shapeId="0" xr:uid="{16E36284-C425-4DE4-AFDB-DFB8AD958F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20/1</t>
        </r>
      </text>
    </comment>
    <comment ref="C201" authorId="0" shapeId="0" xr:uid="{7B81DE68-2F3A-43AC-9551-79A4A48E3C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</t>
        </r>
      </text>
    </comment>
    <comment ref="C205" authorId="0" shapeId="0" xr:uid="{A8A822D1-A710-4E74-82C2-81123231548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C272" authorId="0" shapeId="0" xr:uid="{AF14EC11-DEC6-44F4-8BC7-485692120C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Hoàn</t>
        </r>
      </text>
    </comment>
    <comment ref="C326" authorId="0" shapeId="0" xr:uid="{81B3DD23-1F1C-4DCD-A412-D6B3150BCC5D}">
      <text>
        <r>
          <rPr>
            <b/>
            <sz val="9"/>
            <color indexed="81"/>
            <rFont val="Tahoma"/>
            <family val="2"/>
          </rPr>
          <t>Author:
PGH HD-46198</t>
        </r>
      </text>
    </comment>
    <comment ref="C358" authorId="0" shapeId="0" xr:uid="{149622DA-183A-4A9E-B318-3CB0761A0C0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19/06</t>
        </r>
      </text>
    </comment>
    <comment ref="C592" authorId="0" shapeId="0" xr:uid="{8D137A1C-AD7F-4040-ACB2-CD47D03058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12/11- HĐ 4409</t>
        </r>
      </text>
    </comment>
    <comment ref="C598" authorId="0" shapeId="0" xr:uid="{F6B25D1B-6065-4291-852C-229DC6B5A5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12/11</t>
        </r>
      </text>
    </comment>
    <comment ref="C599" authorId="0" shapeId="0" xr:uid="{F4E61BA2-DD43-4CC3-8B14-CB315FCCF8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12/11</t>
        </r>
      </text>
    </comment>
    <comment ref="C600" authorId="0" shapeId="0" xr:uid="{A08AFB76-0A34-4EF3-B1F0-CDFB9CB48B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12/11</t>
        </r>
      </text>
    </comment>
    <comment ref="C607" authorId="0" shapeId="0" xr:uid="{D1624D0C-48F0-49B6-BBEB-C759CBD430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12/11</t>
        </r>
      </text>
    </comment>
    <comment ref="C627" authorId="0" shapeId="0" xr:uid="{AA162D7D-A446-41B2-A5F2-C2A1BA79D1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13/11</t>
        </r>
      </text>
    </comment>
    <comment ref="C638" authorId="0" shapeId="0" xr:uid="{AFF56513-D933-4B15-AD25-B875101752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13/11</t>
        </r>
      </text>
    </comment>
    <comment ref="C640" authorId="0" shapeId="0" xr:uid="{9658E627-6E89-4569-AAAC-C0E2D36D97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13/11</t>
        </r>
      </text>
    </comment>
    <comment ref="C651" authorId="0" shapeId="0" xr:uid="{D7803648-E1B7-478F-8AA7-887FC912299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13/11</t>
        </r>
      </text>
    </comment>
    <comment ref="C658" authorId="0" shapeId="0" xr:uid="{F1B2C37C-655A-4E0D-8C7B-8B4392C54A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13/11</t>
        </r>
      </text>
    </comment>
    <comment ref="C673" authorId="0" shapeId="0" xr:uid="{F4B823B4-F94D-4C48-9023-B058EC28834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13/11</t>
        </r>
      </text>
    </comment>
    <comment ref="C675" authorId="0" shapeId="0" xr:uid="{DE9595C1-039C-423E-8B6B-7275069705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13/11</t>
        </r>
      </text>
    </comment>
    <comment ref="C691" authorId="0" shapeId="0" xr:uid="{9E86A684-1A8A-4EE0-8E2C-ED4BAFCC0E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13/11</t>
        </r>
      </text>
    </comment>
    <comment ref="C693" authorId="0" shapeId="0" xr:uid="{9CDDEB3E-0744-415F-A5D5-D61C2F8936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13/11</t>
        </r>
      </text>
    </comment>
    <comment ref="C696" authorId="0" shapeId="0" xr:uid="{57703DC2-7E46-4BC8-B33E-401F9D951F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13/11- HĐ 4508 ngày 19/11</t>
        </r>
      </text>
    </comment>
    <comment ref="C697" authorId="0" shapeId="0" xr:uid="{98E9BD43-0B38-45D2-8E1F-DB9CC50F2E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13/11</t>
        </r>
      </text>
    </comment>
    <comment ref="C698" authorId="0" shapeId="0" xr:uid="{6CC9CFDF-2FA7-480C-9C11-3250BFBF3F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13/11</t>
        </r>
      </text>
    </comment>
    <comment ref="C724" authorId="0" shapeId="0" xr:uid="{3D01A58C-BAD6-4A3B-8521-153D429BFB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27/11</t>
        </r>
      </text>
    </comment>
    <comment ref="C731" authorId="0" shapeId="0" xr:uid="{37BD7591-3CCD-4D5B-B4C3-AFDC7DEA862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744" authorId="0" shapeId="0" xr:uid="{33D626F0-E47E-40E8-A99B-0D3ED15684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5/12</t>
        </r>
      </text>
    </comment>
    <comment ref="C760" authorId="0" shapeId="0" xr:uid="{A4DD0C34-D577-4EC1-AB3A-F32BEF39E1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13/12</t>
        </r>
      </text>
    </comment>
    <comment ref="C846" authorId="0" shapeId="0" xr:uid="{3A9331BF-1A83-4D1F-9E46-6C74B050212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8/1</t>
        </r>
      </text>
    </comment>
    <comment ref="C847" authorId="0" shapeId="0" xr:uid="{D68829C6-C578-41A0-94EE-FD0367A1147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8/1</t>
        </r>
      </text>
    </comment>
    <comment ref="C912" authorId="0" shapeId="0" xr:uid="{601D7C8B-1C69-4F03-9690-EA78456E30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25/2</t>
        </r>
      </text>
    </comment>
    <comment ref="C913" authorId="0" shapeId="0" xr:uid="{2E9831C0-A305-4329-AABD-9BD136F643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25/2</t>
        </r>
      </text>
    </comment>
    <comment ref="C955" authorId="0" shapeId="0" xr:uid="{5C0E2E07-01A9-4FDF-9403-8EF845BFE1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27/3</t>
        </r>
      </text>
    </comment>
    <comment ref="C956" authorId="0" shapeId="0" xr:uid="{9E9A481A-5C30-4EC4-8830-0A3C0F3303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28/3</t>
        </r>
      </text>
    </comment>
    <comment ref="C958" authorId="0" shapeId="0" xr:uid="{5D03BB1F-9C61-46FA-977F-FB5FBAF0FF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29/3</t>
        </r>
      </text>
    </comment>
    <comment ref="C1021" authorId="0" shapeId="0" xr:uid="{174F4309-F925-43CE-B41F-DC8647417E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2/4</t>
        </r>
      </text>
    </comment>
    <comment ref="C1092" authorId="0" shapeId="0" xr:uid="{07A3F486-3D0E-4E9C-BCEA-134060F870F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18/4</t>
        </r>
      </text>
    </comment>
    <comment ref="C1147" authorId="0" shapeId="0" xr:uid="{415D81CB-7D25-4EE7-88D6-325C94ACC8F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14/5</t>
        </r>
      </text>
    </comment>
    <comment ref="C1159" authorId="0" shapeId="0" xr:uid="{80D64514-E042-4EC3-917C-FE9C9F8B1E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19/5</t>
        </r>
      </text>
    </comment>
    <comment ref="C1174" authorId="0" shapeId="0" xr:uid="{5F9A0766-2704-4037-9D50-08EFB4F77C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27/5</t>
        </r>
      </text>
    </comment>
    <comment ref="C1177" authorId="0" shapeId="0" xr:uid="{98EA66A2-DAAF-4170-8061-70E2309F48E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27/5</t>
        </r>
      </text>
    </comment>
    <comment ref="C1178" authorId="0" shapeId="0" xr:uid="{A4E46D74-1118-40FF-B4A2-08C94AB426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27/5</t>
        </r>
      </text>
    </comment>
    <comment ref="C1194" authorId="0" shapeId="0" xr:uid="{283C0175-B9EA-4408-96C7-C8D43C196F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6/6</t>
        </r>
      </text>
    </comment>
    <comment ref="C1254" authorId="0" shapeId="0" xr:uid="{ACC0F180-65C9-43B6-8228-BEA3E9A8A4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24/6</t>
        </r>
      </text>
    </comment>
    <comment ref="C1523" authorId="0" shapeId="0" xr:uid="{F975B88D-4F18-4F62-A966-D89B718673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11/10</t>
        </r>
      </text>
    </comment>
    <comment ref="C1567" authorId="0" shapeId="0" xr:uid="{46226D3F-0108-4C49-BD75-1D9910E40C9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31/10</t>
        </r>
      </text>
    </comment>
    <comment ref="C1632" authorId="0" shapeId="0" xr:uid="{339D1BD3-75AD-461E-8F16-EFECFCB6A2B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24/11</t>
        </r>
      </text>
    </comment>
    <comment ref="C1684" authorId="0" shapeId="0" xr:uid="{96C41290-5F91-48C2-8020-E85ADA61BB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7/12</t>
        </r>
      </text>
    </comment>
    <comment ref="C1696" authorId="0" shapeId="0" xr:uid="{CFB144CC-0639-4859-ABB1-058DE09687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8/12</t>
        </r>
      </text>
    </comment>
    <comment ref="C1698" authorId="0" shapeId="0" xr:uid="{C22736C0-E5B3-4987-B4E8-6CF9D8255B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</rPr>
          <t xml:space="preserve">
8/12- hđ7719 ngày 27/12</t>
        </r>
      </text>
    </comment>
    <comment ref="C1735" authorId="0" shapeId="0" xr:uid="{8E004144-3320-4A04-81E1-626C47CD6B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9/12</t>
        </r>
      </text>
    </comment>
    <comment ref="C1755" authorId="0" shapeId="0" xr:uid="{662D54E3-91D3-47FB-8799-15568A2C5D9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9/12</t>
        </r>
      </text>
    </comment>
    <comment ref="C1796" authorId="0" shapeId="0" xr:uid="{D8BACBF6-E582-4DA2-9C81-ACA3186685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11/12</t>
        </r>
      </text>
    </comment>
    <comment ref="C1802" authorId="0" shapeId="0" xr:uid="{D5C5843D-5F86-4E50-A6DE-EBB11CF669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14/12</t>
        </r>
      </text>
    </comment>
    <comment ref="C1833" authorId="0" shapeId="0" xr:uid="{5783AB67-AD78-4A50-8C17-B1E2728153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23/12</t>
        </r>
      </text>
    </comment>
    <comment ref="C1834" authorId="0" shapeId="0" xr:uid="{0356D203-B292-43F3-BF5D-9F936A50A2FF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23/12</t>
        </r>
      </text>
    </comment>
    <comment ref="C1838" authorId="0" shapeId="0" xr:uid="{8972F5EA-4B76-41E9-85EF-E8451B8F9B9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25/12</t>
        </r>
      </text>
    </comment>
    <comment ref="C1839" authorId="0" shapeId="0" xr:uid="{123D9161-49BD-4F33-9072-BE9988C903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25/12</t>
        </r>
      </text>
    </comment>
    <comment ref="C1841" authorId="0" shapeId="0" xr:uid="{F534FACC-2353-480C-BC1D-B49631481AFD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25/12</t>
        </r>
      </text>
    </comment>
    <comment ref="C1844" authorId="0" shapeId="0" xr:uid="{6277ED77-A8A6-4BC9-9206-7843695DB9E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25/12</t>
        </r>
      </text>
    </comment>
    <comment ref="C1850" authorId="0" shapeId="0" xr:uid="{2956732C-7527-4D14-B3E4-4702E83137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26/12</t>
        </r>
      </text>
    </comment>
    <comment ref="C1902" authorId="0" shapeId="0" xr:uid="{29BC7E8F-1F89-43AE-9B99-351FD25C295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7/1</t>
        </r>
      </text>
    </comment>
    <comment ref="C1932" authorId="0" shapeId="0" xr:uid="{8EC34286-4769-442E-9E13-73E85F0577E3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13/1</t>
        </r>
      </text>
    </comment>
    <comment ref="C1992" authorId="0" shapeId="0" xr:uid="{C176D7DC-B896-426C-9B79-B0BDC139B998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27/1</t>
        </r>
      </text>
    </comment>
    <comment ref="C1995" authorId="0" shapeId="0" xr:uid="{5C47555A-31C9-494B-A4C8-A55B4F331BD3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27/1</t>
        </r>
      </text>
    </comment>
    <comment ref="C2002" authorId="0" shapeId="0" xr:uid="{AD3B4F9F-BBB1-409C-AA92-51448B528B24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28/1</t>
        </r>
      </text>
    </comment>
    <comment ref="C2006" authorId="0" shapeId="0" xr:uid="{8284E11C-0014-468D-906A-812C04F00BD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29/1</t>
        </r>
      </text>
    </comment>
    <comment ref="C2007" authorId="0" shapeId="0" xr:uid="{C44212A8-3F2F-4C49-98A6-231699C55AD0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29/1</t>
        </r>
      </text>
    </comment>
    <comment ref="C2012" authorId="0" shapeId="0" xr:uid="{C110FEE5-1752-49A1-9AC1-35BD4E7B4EDB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2/2</t>
        </r>
      </text>
    </comment>
    <comment ref="C2024" authorId="0" shapeId="0" xr:uid="{929A21F9-8084-4186-909E-B3A231BAA4A5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9/2</t>
        </r>
      </text>
    </comment>
    <comment ref="C2027" authorId="0" shapeId="0" xr:uid="{8B2A18F3-EA9E-483A-886A-2DEAA384DDF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24/2</t>
        </r>
      </text>
    </comment>
    <comment ref="C2029" authorId="0" shapeId="0" xr:uid="{0A2537F1-9863-4421-84CD-645C938C6D3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24/2</t>
        </r>
      </text>
    </comment>
    <comment ref="C2033" authorId="0" shapeId="0" xr:uid="{2C028AD5-DE38-4149-9065-7A7F7F9F080D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25/2</t>
        </r>
      </text>
    </comment>
    <comment ref="C2034" authorId="0" shapeId="0" xr:uid="{ED7DF7D9-1519-472C-8D31-CC584AE83DE8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25/2</t>
        </r>
      </text>
    </comment>
    <comment ref="C2037" authorId="0" shapeId="0" xr:uid="{BD566F54-E35D-4F0E-AEF9-60B0A803C11E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25/2</t>
        </r>
      </text>
    </comment>
    <comment ref="C2038" authorId="0" shapeId="0" xr:uid="{DB3867F9-19A3-476E-8DE6-D4F5BF128AC9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26/2</t>
        </r>
      </text>
    </comment>
    <comment ref="C2094" authorId="0" shapeId="0" xr:uid="{C23A4EAD-A4B6-4C64-86BD-FECFEEC9189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24/3</t>
        </r>
      </text>
    </comment>
    <comment ref="C2160" authorId="0" shapeId="0" xr:uid="{49CCE7C9-0156-4773-9692-E5488AF44B0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23/4</t>
        </r>
      </text>
    </comment>
    <comment ref="C2295" authorId="0" shapeId="0" xr:uid="{1D1FBDB4-6527-415C-B29E-D2963B04914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26/6</t>
        </r>
      </text>
    </comment>
    <comment ref="C2319" authorId="0" shapeId="0" xr:uid="{097C4CA6-418D-4CDE-AFC3-54E95921D74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1/7</t>
        </r>
      </text>
    </comment>
    <comment ref="C2393" authorId="0" shapeId="0" xr:uid="{7909F6CC-749B-4ABD-9342-E2BB677735F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17/7</t>
        </r>
      </text>
    </comment>
    <comment ref="C2398" authorId="0" shapeId="0" xr:uid="{2DFE5BDD-8AD3-4DC2-87F0-FCECB8559F2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21/7</t>
        </r>
      </text>
    </comment>
    <comment ref="C2420" authorId="0" shapeId="0" xr:uid="{B4D4341D-99B0-40B2-9180-5D38AE8DCC9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28/7
</t>
        </r>
      </text>
    </comment>
    <comment ref="C2425" authorId="0" shapeId="0" xr:uid="{65397AD0-DF41-4CED-BEF2-887E9DC2134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28/7</t>
        </r>
      </text>
    </comment>
  </commentList>
</comments>
</file>

<file path=xl/sharedStrings.xml><?xml version="1.0" encoding="utf-8"?>
<sst xmlns="http://schemas.openxmlformats.org/spreadsheetml/2006/main" count="9470" uniqueCount="3884">
  <si>
    <t>CÔNG NỢ CO.OP MART</t>
  </si>
  <si>
    <t>Đơn vị tính: VNĐ</t>
  </si>
  <si>
    <t>Tên khách hàng</t>
  </si>
  <si>
    <t>Date HĐ</t>
  </si>
  <si>
    <t>SỐ HĐ</t>
  </si>
  <si>
    <t>Số tiền</t>
  </si>
  <si>
    <t>Ngày TT</t>
  </si>
  <si>
    <t>Ghi Chú</t>
  </si>
  <si>
    <t>Dịch vụ</t>
  </si>
  <si>
    <t>VAT 8%</t>
  </si>
  <si>
    <t>TỔNG</t>
  </si>
  <si>
    <t>Số đã trả</t>
  </si>
  <si>
    <t>Số còn nợ</t>
  </si>
  <si>
    <t>TỔNG CỘNG</t>
  </si>
  <si>
    <t>Dư nợ Tháng 10/2021</t>
  </si>
  <si>
    <t>CÔNG TY TNHH MTV CO.OPMART CÀ MAU</t>
  </si>
  <si>
    <t>CÔNG TY TNHH THƯƠNG MẠI SÀI GÒN- AN GIANG</t>
  </si>
  <si>
    <t>CÔNG TY TNHH TM SÀI GÒN- KIÊN GIANG</t>
  </si>
  <si>
    <t>CÔNG TY TRÁCH NHIỆM HỮU HẠN MỘT THÀNH VIÊN THƯƠNG MẠI SÀI GÒN - SÓC TRĂNG</t>
  </si>
  <si>
    <t>CÔNG TY TNHH MỘT THÀNH VIÊN SÀI GÒN CO.OP CỐNG QUỲNH</t>
  </si>
  <si>
    <t>CÔNG TY TNHH MỘT THÀNH VIÊN SÀI GÒN CO.OP XA LỘ HÀ NỘI</t>
  </si>
  <si>
    <t>CÔNG TY TNHH MỘT THÀNH VIÊN SÀI GÒN CO.OP GÒ VẤP</t>
  </si>
  <si>
    <t>CÔNG TY TNHH MTV CO.OPMART NHA TRANG</t>
  </si>
  <si>
    <t>CÔNG TY TNHH MTV CO.OPMART TRẢNG BÀNG</t>
  </si>
  <si>
    <t>Công ty TNHH Saigon Co-op Fairprice / Co-opXtra Sư Vạn Hạnh</t>
  </si>
  <si>
    <t>CÔNG TY TNHH MTV CO.OPMART BÌNH TRIỆU</t>
  </si>
  <si>
    <t>CÔNG TY TNHH MỘT THÀNH VIÊN SÀI GÒN CO.OP NAM SÀI GÒN</t>
  </si>
  <si>
    <t>CÔNG TY TNHH MỘT THÀNH VIÊN SÀI GÒN CO.OP HÓC MÔN</t>
  </si>
  <si>
    <t>CÔNG TY TNHH MỘT THÀNH VIÊN SÀI GÒN-CHƯ SÊ</t>
  </si>
  <si>
    <t>CÔNG TY TNHH MTV CO.OPMART CẦN GIỜ</t>
  </si>
  <si>
    <t>CÔNG TY TNHH MTV CO.OPMART CẦN THƠ</t>
  </si>
  <si>
    <t>CÔNG TY TNHH MTV CO.OPMART VĨNH PHÚC</t>
  </si>
  <si>
    <t>CÔNG TY TNHH MỘT THÀNH VIÊN CO.OPMART HUẾ</t>
  </si>
  <si>
    <t>CÔNG TY TNHH MTV CO.OPMART THANH HÓA</t>
  </si>
  <si>
    <t>Co-opMart Thắng Lợi</t>
  </si>
  <si>
    <t>CÔNG TY TNHH THƯƠNG MẠI SÀI GÒN - GIA LAI</t>
  </si>
  <si>
    <t>CÔNG TY TNHH TMDV SIÊU THỊ CO.OPMART BIÊN HÒA</t>
  </si>
  <si>
    <t>CÔNG TY TNHH SÀI GÒN - BUÔN HỒ</t>
  </si>
  <si>
    <t>CÔNG TY TNHH MỘT THÀNH VIÊN THƯƠNG MẠI DỊCH VỤ SÀI GÒN - PHAN THIẾT</t>
  </si>
  <si>
    <t>CÔNG TY TNHH MỘT THÀNH VIÊN THƯƠNG MẠI VÀ DỊCH VỤ SÀI GÒN - CAM RANH</t>
  </si>
  <si>
    <t>Chi Nhánh Liên Hiệp Hợp Tác Xã Thương Mại TP.Hồ Chí Minh - Co.opMart Cư Mgar</t>
  </si>
  <si>
    <t>CÔNG TY TNHH MỘT THÀNH VIÊN THƯƠNG MẠI VÀ DỊCH VỤ SÀI GÒN - PHAN RANG</t>
  </si>
  <si>
    <t>FINELIFE FOODSTORE HÀ ĐÔ</t>
  </si>
  <si>
    <t>FINELIFE FOODSTORE RIVIERA POINT</t>
  </si>
  <si>
    <t>CÔNG TY TNHH MỘT THÀNH VIÊN SÀI GÒN CO.OP CỦ CHI</t>
  </si>
  <si>
    <t>Co.opMart SCA – VICTORIA</t>
  </si>
  <si>
    <t>CÔNG TY TNHH MỘT THÀNH VIÊN SÀI GÒN CO.OP RẠCH MIỄU</t>
  </si>
  <si>
    <t>CÔNG TY TNHH MỘT THÀNH VIÊN SÀI GÒN CO.OP ĐÌNH CHIỂU</t>
  </si>
  <si>
    <t>CÔNG TY TNHH MỘT THÀNH VIÊN THƯƠNG MẠI SÀI GÒN - HẬU GIANG</t>
  </si>
  <si>
    <t>CÔNG TY TNHH MTV CO.OPMART HẢI PHÒNG</t>
  </si>
  <si>
    <t>CÔNG TY TNHH TM SÀI GÒN CO.OP RẠCH GIÁ</t>
  </si>
  <si>
    <t>ok</t>
  </si>
  <si>
    <t>CÔNG TY TRÁCH NHIỆM HỮU HẠN MỘT THÀNH VIÊN THƯƠNG MẠI SÀI GÒN - VĨNH LONG</t>
  </si>
  <si>
    <t>CÔNG TY TNHH MỘT THÀNH VIÊN THƯƠNG MẠI DỊCH VỤ SÀI GÒN - BÌNH PHƯỚC</t>
  </si>
  <si>
    <t>CÔNG TY TNHH MỘT THÀNH VIÊN SÀI GÒN CO.OP PHÚ LÂM</t>
  </si>
  <si>
    <t>Công ty TNHH Saigon Co-op Fairprice/Co-opXtra Phạm Văn Đồng</t>
  </si>
  <si>
    <t>CÔNG TY TNHH TMDV SÀI GÒN- TÂY NINH</t>
  </si>
  <si>
    <t>20/01/2022</t>
  </si>
  <si>
    <t>8546</t>
  </si>
  <si>
    <t xml:space="preserve"> </t>
  </si>
  <si>
    <t>HOÀN</t>
  </si>
  <si>
    <t>CÔNG TY TNHH MỘT THÀNH VIÊN THƯƠNG MẠI SÀI GÒN QUẢNG NGÃI</t>
  </si>
  <si>
    <t>8551</t>
  </si>
  <si>
    <t>15/02/2022</t>
  </si>
  <si>
    <t>8688</t>
  </si>
  <si>
    <t>8699</t>
  </si>
  <si>
    <t>23/02/2022</t>
  </si>
  <si>
    <t>8807</t>
  </si>
  <si>
    <t>ko đi hàng</t>
  </si>
  <si>
    <t>CÔNG TY TNHH MỘT THÀNH VIÊN SÀI GÒN CO.OP TAM KỲ</t>
  </si>
  <si>
    <t>Co.opMart SCA - LONG BIÊN</t>
  </si>
  <si>
    <t>CÔNG TY TNHH MỘT THÀNH VIÊN THƯƠNG MẠI DỊCH VỤ SÀI GÒN - PHÚ YÊN</t>
  </si>
  <si>
    <t>CÔNG TY TNHH MỘT THÀNH VIÊN THƯƠNG MẠI DỊCH VỤ SÀI GÒN- BUÔN MA THUỘT</t>
  </si>
  <si>
    <t>18/03/2022</t>
  </si>
  <si>
    <t>9062</t>
  </si>
  <si>
    <t>hoàn</t>
  </si>
  <si>
    <t>25/03/2022</t>
  </si>
  <si>
    <t>9103</t>
  </si>
  <si>
    <t>CÔNG TY TNHH TMDV SÀI GÒN VŨNG TÀU</t>
  </si>
  <si>
    <t>25/04/2022</t>
  </si>
  <si>
    <t>9382</t>
  </si>
  <si>
    <t>ảnh</t>
  </si>
  <si>
    <t>CHI NHÁNH LIÊN HIỆP HỢP TÁC XÃ THƯƠNG MẠI TP. HỒ CHÍ MINH - CO.OPMART SƠN TRÀ</t>
  </si>
  <si>
    <t>CÔNG TY TNHH TMDV SÀI GÒN-TRÀ VINH</t>
  </si>
  <si>
    <t>CN LIÊN HIỆP HTX TM TP.HCM–CO.OPMART SA ĐÉC</t>
  </si>
  <si>
    <t>Chi Nhánh Liên Hiệp Hợp Tác Xã Thương Mại TP.Hồ Chí Minh - Co.opMart Thoại Sơn</t>
  </si>
  <si>
    <t>CHI NHÁNH LIÊN HIỆP HỢP TÁC XÃ THƯƠNG MẠI TP. HỒ CHÍ MINH - CO.OPMART CAI LẬY</t>
  </si>
  <si>
    <t>CHI NHÁNH LIÊN HIỆP HỢP TÁC XÃ THƯƠNG MẠI TP. HỒ CHÍ MINH - CO.OPMART BÌNH THỦY</t>
  </si>
  <si>
    <t>CHI NHÁNH LIÊN HIỆP HỢP TÁC XÃ THƯƠNG MẠI TP. HỒ CHÍ MINH - CO.OPMART PHAN RÍ CỬA</t>
  </si>
  <si>
    <t>00000322</t>
  </si>
  <si>
    <t>CHI NHÁNH LIÊN HIỆP HỢP TÁC XÃ THƯƠNG MẠI TP. HỒ CHÍ MINH - CO.OPMART HÀ TIÊN</t>
  </si>
  <si>
    <t>00000337</t>
  </si>
  <si>
    <t>Co.opMart SCA – GOLDSILK</t>
  </si>
  <si>
    <t>CÔNG TY TNHH TMDV TIỀN GIANG - SÀI GÒN</t>
  </si>
  <si>
    <t>CN LIÊN HIỆP HTX TM TP.HCM–CO.OPMART GÒ CÔNG</t>
  </si>
  <si>
    <t>07/07/2022</t>
  </si>
  <si>
    <t>00000462</t>
  </si>
  <si>
    <t>00000463</t>
  </si>
  <si>
    <t>Chi Nhánh Liên Hiệp Hợp Tác Xã Thương Mại TP.Hồ Chí Minh - Co.opMart Dương Minh Châu</t>
  </si>
  <si>
    <t>00000465</t>
  </si>
  <si>
    <t>CN LIÊN HIỆP HTX TM TP.HCM - CO.OPMART BẮC GIANG</t>
  </si>
  <si>
    <t>00000480</t>
  </si>
  <si>
    <t>18/07/2022</t>
  </si>
  <si>
    <t>00000593</t>
  </si>
  <si>
    <t>CÔNG TY TNHH MỘT THÀNH VIÊN SÀI GÒN CO.OP HÀ NỘI</t>
  </si>
  <si>
    <t>CN LIÊN HIỆP HTX THƯƠNG MẠI TP.HCM-CO.OPMART QUẢNG BÌNH</t>
  </si>
  <si>
    <t>CÔNG TY TNHH MỘT THÀNH VIÊN SÀI GÒN CO.OP BÌNH ĐỊNH</t>
  </si>
  <si>
    <t>09/09/2022</t>
  </si>
  <si>
    <t>00001136</t>
  </si>
  <si>
    <t>00001138</t>
  </si>
  <si>
    <t>CÔNG TY TNHH MỘT THÀNH VIÊN SÀI GÒN CO.OP NHIÊU LỘC</t>
  </si>
  <si>
    <t>00001146</t>
  </si>
  <si>
    <t>CÔNG TY TNHH MỘT THÀNH VIÊN SÀI GÒN CO.OP BÌNH TÂN</t>
  </si>
  <si>
    <t>CÔNG TY TNHH TMDV TRUNG MỸ TÂY</t>
  </si>
  <si>
    <t>CÔNG TY TNHH MỘT THÀNH VIÊN THƯƠNG MẠI &amp; DỊCH VỤ SÀI GÒN- HÀ TĨNH</t>
  </si>
  <si>
    <t>00001159</t>
  </si>
  <si>
    <t>00001177</t>
  </si>
  <si>
    <t>CÔNG TY TNHH THƯƠNG MẠI DỊCH VỤ SAIGON CO.OP TOÀN TÂM</t>
  </si>
  <si>
    <t>CN LIÊN HIỆP HTX THƯƠNG MẠI TP.HCM-CO.OPMART BẾN LỨC</t>
  </si>
  <si>
    <t>CN LIÊN HIỆP HTX TM TP.HCM-CO.OPMART TÂN AN</t>
  </si>
  <si>
    <t>CN LIÊN HIỆP HTX TM TP.HCM-CO.OPMART BÌNH DƯƠNG</t>
  </si>
  <si>
    <t>CHI NHÁNH LIÊN HIỆP HỢP TÁC XÃ THƯƠNG MẠI TP. HỒ CHÍ MINH - CO.OPMART CHU VĂN AN</t>
  </si>
  <si>
    <t>CÔNG TY TNHH MTV COOPMART NGÃ BẢY HẬU GIANG</t>
  </si>
  <si>
    <t>00001458</t>
  </si>
  <si>
    <t>00001470</t>
  </si>
  <si>
    <t>CÔNG TY TRÁCH NHIỆM HỮU HẠN MỘT THÀNH VIÊN THƯƠNG MẠI DỊCH VỤ SÀI GÒN - ĐÔNG HÀ</t>
  </si>
  <si>
    <t>CHI NHÁNH LIÊN HIỆP HỢP TÁC XÃ THƯƠNG MẠI TP. HỒ CHÍ MINH - CO.OPMART KON TUM</t>
  </si>
  <si>
    <t>CN LIÊN HIỆP HTX TM TP.HCM–CO.OPMART CAO LÃNH</t>
  </si>
  <si>
    <t>CÔNG TY TNHH MỘT THÀNH VIÊN THƯƠNG MẠI SÀI GÒN - QUẢNG NGÃI</t>
  </si>
  <si>
    <t>00001938</t>
  </si>
  <si>
    <t>00001939</t>
  </si>
  <si>
    <t>00001941</t>
  </si>
  <si>
    <t>00001942</t>
  </si>
  <si>
    <t>00001945</t>
  </si>
  <si>
    <t>CHI NHÁNH LIÊN HIỆP HỢP TÁC XÃ THƯƠNG MẠI TP. HỒ CHÍ MINH - CO.OPMART VIỆT TRÌ</t>
  </si>
  <si>
    <t>00001994</t>
  </si>
  <si>
    <t>00001997</t>
  </si>
  <si>
    <t>Chi Nhánh Liên Hiệp Hợp Tác Xã Thương Mại TP.Hồ Chí Minh - Co.opMart Tháp Mười</t>
  </si>
  <si>
    <t>00002005</t>
  </si>
  <si>
    <t>00002007</t>
  </si>
  <si>
    <t>00002016</t>
  </si>
  <si>
    <t>CO.OPMART SCA TÂY NINH</t>
  </si>
  <si>
    <t>CO.OPMART HÀ ĐÔNG</t>
  </si>
  <si>
    <t>CHI NHÁNH LIÊN HIỆP HỢP TÁC XÃ THƯƠNG MẠI TP. HỒ CHÍ MINH - CO.OPMART TÂN CHÂU</t>
  </si>
  <si>
    <t>CO.OPMART SCA – CAO THẮNG</t>
  </si>
  <si>
    <t>CHI NHÁNH LIÊN HIỆP HỢP TÁC XÃ THƯƠNG MẠI TP. HỒ CHÍ MINH - CO.OPMART TAM BÌNH</t>
  </si>
  <si>
    <t>CHI NHÁNH LIÊN HIỆP HỢP TÁC XÃ THƯƠNG MẠI TP. HỒ CHÍ MINH - CO.OPMART ĐỒNG PHÚ</t>
  </si>
  <si>
    <t>CN LIÊN HIỆP HTX TM TP.HCM–CO.OPMART BÌNH DƯƠNG 2</t>
  </si>
  <si>
    <t>CHI NHÁNH LIÊN HIỆP HỢP TÁC XÃ THƯƠNG MẠI TP. HỒ CHÍ MINH-CO.OPMART ĐỒNG VĂN CỐNG</t>
  </si>
  <si>
    <t>CHI NHÁNH LIÊN HIỆP HỢP TÁC XÃ THƯƠNG MẠI TP. HỒ CHÍ MINH - CO.OPMART ĐỖ VĂN DẬY</t>
  </si>
  <si>
    <t>CHI NHÁNH LIÊN HIỆP HỢP TÁC XÃ THƯƠNG MẠI TP. HỒ CHÍ MINH - CO.OPMART NGUYỄN BÌNH</t>
  </si>
  <si>
    <t>Chi Nhánh Liên Hiệp Hợp Tác Xã Thương Mại TP.Hồ Chí Minh - Co.opMart Vĩnh Lộc B</t>
  </si>
  <si>
    <t>00002079</t>
  </si>
  <si>
    <t>CN LIÊN HIỆP HTX TM TP.HỒ CHÍ MINH - CO.OPMART THỐT NỐT</t>
  </si>
  <si>
    <t>00002091</t>
  </si>
  <si>
    <t>CHI NHÁNH LIÊN HIỆP HỢP TÁC XÃ THƯƠNG MẠI TP. HỒ CHÍ MINH - CO.OPMART PHƯỚC ĐÔNG</t>
  </si>
  <si>
    <t>CHI NHÁNH LIÊN HIỆP HỢP TÁC XÃ THƯƠNG MẠI TP. HỒ CHÍ MINH - CO.OPMART CHÂU THÀNH TÂY NINH</t>
  </si>
  <si>
    <t>00002094</t>
  </si>
  <si>
    <t>00002095</t>
  </si>
  <si>
    <t>00002096</t>
  </si>
  <si>
    <t>00002097</t>
  </si>
  <si>
    <t>00002098</t>
  </si>
  <si>
    <t>CHI NHÁNH LIÊN HIỆP HỢP TÁC XÃ THƯƠNG MẠI TP. HỒ CHÍ MINH - CO.OPMART GÒ DẦU</t>
  </si>
  <si>
    <t>CHI NHÁNH LIÊN HIỆP HỢP TÁC XÃ THƯƠNG MẠI TP. HỒ CHÍ MINH - CO.OPMART HỒNG NGỰ</t>
  </si>
  <si>
    <t>CHI NHÁNH LIÊN HIỆP HỢP TÁC XÃ THƯƠNG MẠI TP. HỒ CHÍ MINH - CO.OPMART CẦN GIUỘC</t>
  </si>
  <si>
    <t>00002102</t>
  </si>
  <si>
    <t>00002104</t>
  </si>
  <si>
    <t>CHI NHÁNH LIÊN HIỆP HỢP TÁC XÃ THƯƠNG MẠI TP. HỒ CHÍ MINH - CO.OPMART TÂN THÀNH</t>
  </si>
  <si>
    <t>FINELIFE SUPERMARKET URBAN HILL</t>
  </si>
  <si>
    <t>00002133</t>
  </si>
  <si>
    <t>CHI NHÁNH LIÊN HIỆP HỢP TÁC XÃ THƯƠNG MẠI TP. HỒ CHÍ MINH - CO.OP MART TÂN CHÂU AN GIANG</t>
  </si>
  <si>
    <t>00002147</t>
  </si>
  <si>
    <t>CHI NHÁNH LIÊN HIỆP HỢP TÁC XÃ THƯƠNG MẠI TP. HỒ CHÍ MINH - CO.OPMART TIỂU CẦN</t>
  </si>
  <si>
    <t>00002153</t>
  </si>
  <si>
    <t>00002154</t>
  </si>
  <si>
    <t>00002169</t>
  </si>
  <si>
    <t>Co.opMart An Nhơn</t>
  </si>
  <si>
    <t>CÔNG TY TNHH MỘT THÀNH VIÊN SÀI GÒN CO.OP BẢO LỘC</t>
  </si>
  <si>
    <t>26/11/2022</t>
  </si>
  <si>
    <t>00002199</t>
  </si>
  <si>
    <t>COOPFOOD HT- HẢI THƯỢNG LÃN ÔNG</t>
  </si>
  <si>
    <t>00002257</t>
  </si>
  <si>
    <t>00002261</t>
  </si>
  <si>
    <t>CH Co.opFood HT Hồng Lĩnh</t>
  </si>
  <si>
    <t>00002482</t>
  </si>
  <si>
    <t>00002715</t>
  </si>
  <si>
    <t>00002823</t>
  </si>
  <si>
    <t>00002836</t>
  </si>
  <si>
    <t>CO.OPMART SCA HOANG VAN THU</t>
  </si>
  <si>
    <t>00002942</t>
  </si>
  <si>
    <t>00000026</t>
  </si>
  <si>
    <t>00000168</t>
  </si>
  <si>
    <t>00000171</t>
  </si>
  <si>
    <t>00000507</t>
  </si>
  <si>
    <t>20/03/2023</t>
  </si>
  <si>
    <t>00000746</t>
  </si>
  <si>
    <t>00000791</t>
  </si>
  <si>
    <t>00000816</t>
  </si>
  <si>
    <t>NỘP TIỀN HGC VÀO CO.OP</t>
  </si>
  <si>
    <t>17/04/2023</t>
  </si>
  <si>
    <t>00001027</t>
  </si>
  <si>
    <t>00001245</t>
  </si>
  <si>
    <t>00001352</t>
  </si>
  <si>
    <t>00001401</t>
  </si>
  <si>
    <t>00001478</t>
  </si>
  <si>
    <t>00001479</t>
  </si>
  <si>
    <t>00001492</t>
  </si>
  <si>
    <t>00001551</t>
  </si>
  <si>
    <t>00001552</t>
  </si>
  <si>
    <t>00001553</t>
  </si>
  <si>
    <t>00001557</t>
  </si>
  <si>
    <t>00001558</t>
  </si>
  <si>
    <t>Công ty TNHH Saigon Co-op Fairprice/Thủ Đức Co-op Xtra</t>
  </si>
  <si>
    <t>00001667</t>
  </si>
  <si>
    <t>00001856</t>
  </si>
  <si>
    <t>00002107</t>
  </si>
  <si>
    <t>00002319</t>
  </si>
  <si>
    <t>00002329</t>
  </si>
  <si>
    <t>00002344</t>
  </si>
  <si>
    <t>00002447</t>
  </si>
  <si>
    <t>12/09/2023</t>
  </si>
  <si>
    <t>00002532</t>
  </si>
  <si>
    <t>00002610</t>
  </si>
  <si>
    <t>00002714</t>
  </si>
  <si>
    <t>00002876</t>
  </si>
  <si>
    <t>26/10/2023</t>
  </si>
  <si>
    <t>00002937</t>
  </si>
  <si>
    <t>ko giao dc hàng</t>
  </si>
  <si>
    <t>00002993</t>
  </si>
  <si>
    <t>10/11/2023</t>
  </si>
  <si>
    <t>00003069</t>
  </si>
  <si>
    <t>CN T12</t>
  </si>
  <si>
    <t>00003247</t>
  </si>
  <si>
    <t>28/11/2023</t>
  </si>
  <si>
    <t>00003256</t>
  </si>
  <si>
    <t>00003259</t>
  </si>
  <si>
    <t>3486</t>
  </si>
  <si>
    <t>00003260</t>
  </si>
  <si>
    <t>00003261</t>
  </si>
  <si>
    <t>3484</t>
  </si>
  <si>
    <t>00003264</t>
  </si>
  <si>
    <t>00003267</t>
  </si>
  <si>
    <t>00003269</t>
  </si>
  <si>
    <t>00003270</t>
  </si>
  <si>
    <t>00003271</t>
  </si>
  <si>
    <t>3485</t>
  </si>
  <si>
    <t>00003272</t>
  </si>
  <si>
    <t>00003273</t>
  </si>
  <si>
    <t>3483</t>
  </si>
  <si>
    <t>00003275</t>
  </si>
  <si>
    <t>00003276</t>
  </si>
  <si>
    <t>00003277</t>
  </si>
  <si>
    <t>3494</t>
  </si>
  <si>
    <t>00003278</t>
  </si>
  <si>
    <t>00003282</t>
  </si>
  <si>
    <t>00003288</t>
  </si>
  <si>
    <t>00003293</t>
  </si>
  <si>
    <t>3481</t>
  </si>
  <si>
    <t>00003305</t>
  </si>
  <si>
    <t>3638</t>
  </si>
  <si>
    <t>00003307</t>
  </si>
  <si>
    <t>00003312</t>
  </si>
  <si>
    <t>00003313</t>
  </si>
  <si>
    <t>00003317</t>
  </si>
  <si>
    <t>3529</t>
  </si>
  <si>
    <t>00003318</t>
  </si>
  <si>
    <t>3520</t>
  </si>
  <si>
    <t>00003320</t>
  </si>
  <si>
    <t>00003323</t>
  </si>
  <si>
    <t>CHI NHÁNH LIÊN HIỆP HTX THƯƠNG MẠI TP. HCM - CO.OPMART BÌNH TÂN 2</t>
  </si>
  <si>
    <t>00003326</t>
  </si>
  <si>
    <t>00003327</t>
  </si>
  <si>
    <t>00003328</t>
  </si>
  <si>
    <t>3718</t>
  </si>
  <si>
    <t>00003329</t>
  </si>
  <si>
    <t>00003331</t>
  </si>
  <si>
    <t>00003332</t>
  </si>
  <si>
    <t>00003333</t>
  </si>
  <si>
    <t>3490</t>
  </si>
  <si>
    <t>00003336</t>
  </si>
  <si>
    <t>00003338</t>
  </si>
  <si>
    <t>00003339</t>
  </si>
  <si>
    <t>00003340</t>
  </si>
  <si>
    <t>00003341</t>
  </si>
  <si>
    <t>3530</t>
  </si>
  <si>
    <t>00003342</t>
  </si>
  <si>
    <t>3546</t>
  </si>
  <si>
    <t>00003343</t>
  </si>
  <si>
    <t>3532</t>
  </si>
  <si>
    <t>00003346</t>
  </si>
  <si>
    <t>3487</t>
  </si>
  <si>
    <t>29/11/2023</t>
  </si>
  <si>
    <t>00003348</t>
  </si>
  <si>
    <t>3504</t>
  </si>
  <si>
    <t>00003350</t>
  </si>
  <si>
    <t>00003351</t>
  </si>
  <si>
    <t>3533</t>
  </si>
  <si>
    <t>00003353</t>
  </si>
  <si>
    <t>3491</t>
  </si>
  <si>
    <t>00003354</t>
  </si>
  <si>
    <t>00003355</t>
  </si>
  <si>
    <t>3635</t>
  </si>
  <si>
    <t>00003357</t>
  </si>
  <si>
    <t>00003358</t>
  </si>
  <si>
    <t>00003359</t>
  </si>
  <si>
    <t>3489</t>
  </si>
  <si>
    <t>00003360</t>
  </si>
  <si>
    <t>00003361</t>
  </si>
  <si>
    <t>CO.OPMART ĐỨC PHỔ</t>
  </si>
  <si>
    <t>CN LIÊN HIỆP HTX TM TP.HCM–CO.OPMART ĐĂK NÔNG</t>
  </si>
  <si>
    <t>00003363</t>
  </si>
  <si>
    <t>00003364</t>
  </si>
  <si>
    <t>00003365</t>
  </si>
  <si>
    <t>3488</t>
  </si>
  <si>
    <t>00003371</t>
  </si>
  <si>
    <t>00003372</t>
  </si>
  <si>
    <t>00003373</t>
  </si>
  <si>
    <t>00003374</t>
  </si>
  <si>
    <t>00003375</t>
  </si>
  <si>
    <t>3493</t>
  </si>
  <si>
    <t>00003377</t>
  </si>
  <si>
    <t>00003378</t>
  </si>
  <si>
    <t>00003379</t>
  </si>
  <si>
    <t>3521</t>
  </si>
  <si>
    <t>00003380</t>
  </si>
  <si>
    <t>00003382</t>
  </si>
  <si>
    <t>00003383</t>
  </si>
  <si>
    <t>3480</t>
  </si>
  <si>
    <t>00003385</t>
  </si>
  <si>
    <t>3443</t>
  </si>
  <si>
    <t>00003388</t>
  </si>
  <si>
    <t>00003389</t>
  </si>
  <si>
    <t>00003390</t>
  </si>
  <si>
    <t>00003391</t>
  </si>
  <si>
    <t>3444</t>
  </si>
  <si>
    <t>30/11/2023</t>
  </si>
  <si>
    <t>00003402</t>
  </si>
  <si>
    <t>04/12/2023</t>
  </si>
  <si>
    <t>00003495</t>
  </si>
  <si>
    <t>Coopfood Nguyễn Biên</t>
  </si>
  <si>
    <t>00003496</t>
  </si>
  <si>
    <t>Coopfood Can Lộc</t>
  </si>
  <si>
    <t>00003500</t>
  </si>
  <si>
    <t>3930</t>
  </si>
  <si>
    <t>00003501</t>
  </si>
  <si>
    <t>3557</t>
  </si>
  <si>
    <t>05/12/2023</t>
  </si>
  <si>
    <t>00003507</t>
  </si>
  <si>
    <t>00003508</t>
  </si>
  <si>
    <t>00003510</t>
  </si>
  <si>
    <t>Chi Nhánh Liên Hiệp Hợp Tác Xã Thương Mại TP.Hồ Chí Minh - Co.opMart Chợ Mới</t>
  </si>
  <si>
    <t>06/12/2023</t>
  </si>
  <si>
    <t>00003535</t>
  </si>
  <si>
    <t>Chi Nhánh Liên Hiệp Hợp Tác Xã Thương Mại TP.Hồ Chí Minh - Co.opMart Cái Bè</t>
  </si>
  <si>
    <t>00003536</t>
  </si>
  <si>
    <t>00003537</t>
  </si>
  <si>
    <t>07/12/2023</t>
  </si>
  <si>
    <t>00003551</t>
  </si>
  <si>
    <t>08/12/2023</t>
  </si>
  <si>
    <t>00003573</t>
  </si>
  <si>
    <t>00003574</t>
  </si>
  <si>
    <t>00003578</t>
  </si>
  <si>
    <t>09/12/2023</t>
  </si>
  <si>
    <t>00003619</t>
  </si>
  <si>
    <t>10/12/2023</t>
  </si>
  <si>
    <t>00003627</t>
  </si>
  <si>
    <t>Coopfood HT Vũ Quang</t>
  </si>
  <si>
    <t>00003630</t>
  </si>
  <si>
    <t>11/12/2023</t>
  </si>
  <si>
    <t>00003642</t>
  </si>
  <si>
    <t>00003643</t>
  </si>
  <si>
    <t>00003644</t>
  </si>
  <si>
    <t>00003650</t>
  </si>
  <si>
    <t>12/12/2023</t>
  </si>
  <si>
    <t>00003663</t>
  </si>
  <si>
    <t>00003666</t>
  </si>
  <si>
    <t>13/12/2023</t>
  </si>
  <si>
    <t>00003683</t>
  </si>
  <si>
    <t>00003696</t>
  </si>
  <si>
    <t>3972</t>
  </si>
  <si>
    <t>Cửa hàng Co.op Food ĐN Đinh Châu</t>
  </si>
  <si>
    <t>14/12/2023</t>
  </si>
  <si>
    <t>00003710</t>
  </si>
  <si>
    <t>15/12/2023</t>
  </si>
  <si>
    <t>00003720</t>
  </si>
  <si>
    <t>00003723</t>
  </si>
  <si>
    <t>00003729</t>
  </si>
  <si>
    <t>00003730</t>
  </si>
  <si>
    <t>00003731</t>
  </si>
  <si>
    <t>18/12/2023</t>
  </si>
  <si>
    <t>00003786</t>
  </si>
  <si>
    <t>00003797</t>
  </si>
  <si>
    <t>00003826</t>
  </si>
  <si>
    <t>4044</t>
  </si>
  <si>
    <t>20/12/2023</t>
  </si>
  <si>
    <t>00003828</t>
  </si>
  <si>
    <t>21/12/2023</t>
  </si>
  <si>
    <t>00003851</t>
  </si>
  <si>
    <t>00003855</t>
  </si>
  <si>
    <t>22/12/2023</t>
  </si>
  <si>
    <t>00003874</t>
  </si>
  <si>
    <t>00003875</t>
  </si>
  <si>
    <t>23/12/2023</t>
  </si>
  <si>
    <t>00003897</t>
  </si>
  <si>
    <t>00003898</t>
  </si>
  <si>
    <t>00003899</t>
  </si>
  <si>
    <t>00003900</t>
  </si>
  <si>
    <t>26/12/2023</t>
  </si>
  <si>
    <t>00003935</t>
  </si>
  <si>
    <t>00003946</t>
  </si>
  <si>
    <t>27/12/2023</t>
  </si>
  <si>
    <t>00003955</t>
  </si>
  <si>
    <t>00003956</t>
  </si>
  <si>
    <t>00003957</t>
  </si>
  <si>
    <t>00003960</t>
  </si>
  <si>
    <t>00003961</t>
  </si>
  <si>
    <t>00003962</t>
  </si>
  <si>
    <t>00003977</t>
  </si>
  <si>
    <t>181</t>
  </si>
  <si>
    <t>29/12/2023</t>
  </si>
  <si>
    <t>00003985</t>
  </si>
  <si>
    <t>00003987</t>
  </si>
  <si>
    <t>00003992</t>
  </si>
  <si>
    <t>30/12/2023</t>
  </si>
  <si>
    <t>00004016</t>
  </si>
  <si>
    <t>00004064</t>
  </si>
  <si>
    <t>01/01/2024</t>
  </si>
  <si>
    <t>00000001</t>
  </si>
  <si>
    <t>02/01/2024</t>
  </si>
  <si>
    <t>00000039</t>
  </si>
  <si>
    <t>00000040</t>
  </si>
  <si>
    <t>03/01/2024</t>
  </si>
  <si>
    <t>00000053</t>
  </si>
  <si>
    <t>06/01/2024</t>
  </si>
  <si>
    <t>00000097</t>
  </si>
  <si>
    <t>00000138</t>
  </si>
  <si>
    <t>07/01/2024</t>
  </si>
  <si>
    <t>00000142</t>
  </si>
  <si>
    <t>00000143</t>
  </si>
  <si>
    <t>09/01/2024</t>
  </si>
  <si>
    <t>00000166</t>
  </si>
  <si>
    <t>00000167</t>
  </si>
  <si>
    <t>00000170</t>
  </si>
  <si>
    <t>11/01/2024</t>
  </si>
  <si>
    <t>00000191</t>
  </si>
  <si>
    <t>00000194</t>
  </si>
  <si>
    <t>00000199</t>
  </si>
  <si>
    <t>334</t>
  </si>
  <si>
    <t>00000202</t>
  </si>
  <si>
    <t>00000208</t>
  </si>
  <si>
    <t>320</t>
  </si>
  <si>
    <t>12/01/2024</t>
  </si>
  <si>
    <t>00000209</t>
  </si>
  <si>
    <t>13/01/2024</t>
  </si>
  <si>
    <t>00000244</t>
  </si>
  <si>
    <t>00000248</t>
  </si>
  <si>
    <t>00000250</t>
  </si>
  <si>
    <t>15/01/2024</t>
  </si>
  <si>
    <t>00000259</t>
  </si>
  <si>
    <t>00000260</t>
  </si>
  <si>
    <t>00000262</t>
  </si>
  <si>
    <t>00000264</t>
  </si>
  <si>
    <t>00000265</t>
  </si>
  <si>
    <t>00000276</t>
  </si>
  <si>
    <t>00000277</t>
  </si>
  <si>
    <t>16/01/2024</t>
  </si>
  <si>
    <t>00000315</t>
  </si>
  <si>
    <t>00000316</t>
  </si>
  <si>
    <t>17/01/2024</t>
  </si>
  <si>
    <t>00000325</t>
  </si>
  <si>
    <t>18/01/2024</t>
  </si>
  <si>
    <t>00000336</t>
  </si>
  <si>
    <t>00000338</t>
  </si>
  <si>
    <t>396</t>
  </si>
  <si>
    <t>00000341</t>
  </si>
  <si>
    <t>00000346</t>
  </si>
  <si>
    <t>20/01/2024</t>
  </si>
  <si>
    <t>00000352</t>
  </si>
  <si>
    <t>00000385</t>
  </si>
  <si>
    <t>00000393</t>
  </si>
  <si>
    <t>00000395</t>
  </si>
  <si>
    <t>524</t>
  </si>
  <si>
    <t>21/01/2024</t>
  </si>
  <si>
    <t>00000397</t>
  </si>
  <si>
    <t>00000399</t>
  </si>
  <si>
    <t>22/01/2024</t>
  </si>
  <si>
    <t>00000459</t>
  </si>
  <si>
    <t>00000460</t>
  </si>
  <si>
    <t>00000461</t>
  </si>
  <si>
    <t>783</t>
  </si>
  <si>
    <t>00000466</t>
  </si>
  <si>
    <t>23/01/2024</t>
  </si>
  <si>
    <t>00000499</t>
  </si>
  <si>
    <t>00000501</t>
  </si>
  <si>
    <t>513</t>
  </si>
  <si>
    <t>24/01/2024</t>
  </si>
  <si>
    <t>00000509</t>
  </si>
  <si>
    <t>25/01/2024</t>
  </si>
  <si>
    <t>00000526</t>
  </si>
  <si>
    <t>27/01/2024</t>
  </si>
  <si>
    <t>00000564</t>
  </si>
  <si>
    <t>29/01/2024</t>
  </si>
  <si>
    <t>00000582</t>
  </si>
  <si>
    <t>20/02/2024</t>
  </si>
  <si>
    <t>00000734</t>
  </si>
  <si>
    <t>00000742</t>
  </si>
  <si>
    <t>00000758</t>
  </si>
  <si>
    <t>00000760</t>
  </si>
  <si>
    <t>00000761</t>
  </si>
  <si>
    <t>00000762</t>
  </si>
  <si>
    <t>00000763</t>
  </si>
  <si>
    <t>00000764</t>
  </si>
  <si>
    <t>00000765</t>
  </si>
  <si>
    <t>00000773</t>
  </si>
  <si>
    <t>23/02/2024</t>
  </si>
  <si>
    <t>00000792</t>
  </si>
  <si>
    <t>00000794</t>
  </si>
  <si>
    <t>00000795</t>
  </si>
  <si>
    <t>00000808</t>
  </si>
  <si>
    <t>24/02/2024</t>
  </si>
  <si>
    <t>00000815</t>
  </si>
  <si>
    <t>28/02/2024</t>
  </si>
  <si>
    <t>00000861</t>
  </si>
  <si>
    <t>29/02/2024</t>
  </si>
  <si>
    <t>00000870</t>
  </si>
  <si>
    <t>00000874</t>
  </si>
  <si>
    <t>02/03/2024</t>
  </si>
  <si>
    <t>00000883</t>
  </si>
  <si>
    <t>05/03/2024</t>
  </si>
  <si>
    <t>00000935</t>
  </si>
  <si>
    <t>00000940</t>
  </si>
  <si>
    <t>07/03/2024</t>
  </si>
  <si>
    <t>00000974</t>
  </si>
  <si>
    <t>00000975</t>
  </si>
  <si>
    <t>00000976</t>
  </si>
  <si>
    <t>09/03/2024</t>
  </si>
  <si>
    <t>00000992</t>
  </si>
  <si>
    <t>12/03/2024</t>
  </si>
  <si>
    <t>00001020</t>
  </si>
  <si>
    <t>00001021</t>
  </si>
  <si>
    <t>13/03/2024</t>
  </si>
  <si>
    <t>00001031</t>
  </si>
  <si>
    <t>14/03/2024</t>
  </si>
  <si>
    <t>00001042</t>
  </si>
  <si>
    <t>18/03/2024</t>
  </si>
  <si>
    <t>19/03/2024</t>
  </si>
  <si>
    <t>20/03/2024</t>
  </si>
  <si>
    <t>22/03/2024</t>
  </si>
  <si>
    <t>25/03/2024</t>
  </si>
  <si>
    <t>00001211</t>
  </si>
  <si>
    <t>00001213</t>
  </si>
  <si>
    <t>00001214</t>
  </si>
  <si>
    <t>00001215</t>
  </si>
  <si>
    <t>26/03/2024</t>
  </si>
  <si>
    <t>00001222</t>
  </si>
  <si>
    <t>27/03/2024</t>
  </si>
  <si>
    <t>00001238</t>
  </si>
  <si>
    <t>28/03/2024</t>
  </si>
  <si>
    <t>00001244</t>
  </si>
  <si>
    <t>01/04/2024</t>
  </si>
  <si>
    <t>00001326</t>
  </si>
  <si>
    <t>00001329</t>
  </si>
  <si>
    <t>00001330</t>
  </si>
  <si>
    <t>03/04/2024</t>
  </si>
  <si>
    <t>04/04/2024</t>
  </si>
  <si>
    <t>00001361</t>
  </si>
  <si>
    <t>05/04/2024</t>
  </si>
  <si>
    <t>00001399</t>
  </si>
  <si>
    <t>08/04/2024</t>
  </si>
  <si>
    <t>00001425</t>
  </si>
  <si>
    <t>00001426</t>
  </si>
  <si>
    <t>00001427</t>
  </si>
  <si>
    <t>00001428</t>
  </si>
  <si>
    <t>00001429</t>
  </si>
  <si>
    <t>00001430</t>
  </si>
  <si>
    <t>00001431</t>
  </si>
  <si>
    <t>00001432</t>
  </si>
  <si>
    <t>00001433</t>
  </si>
  <si>
    <t>09/04/2024</t>
  </si>
  <si>
    <t>00001442</t>
  </si>
  <si>
    <t>10/04/2024</t>
  </si>
  <si>
    <t>00001469</t>
  </si>
  <si>
    <t>hàng hoàn</t>
  </si>
  <si>
    <t>00001471</t>
  </si>
  <si>
    <t>11/04/2024</t>
  </si>
  <si>
    <t>00001486</t>
  </si>
  <si>
    <t>00001489</t>
  </si>
  <si>
    <t>12/04/2024</t>
  </si>
  <si>
    <t>00001497</t>
  </si>
  <si>
    <t>00001498</t>
  </si>
  <si>
    <t>00001500</t>
  </si>
  <si>
    <t>15/04/2024</t>
  </si>
  <si>
    <t>16/04/2024</t>
  </si>
  <si>
    <t>19/04/2024</t>
  </si>
  <si>
    <t>00001590</t>
  </si>
  <si>
    <t>00001598</t>
  </si>
  <si>
    <t>20/04/2024</t>
  </si>
  <si>
    <t>00001602</t>
  </si>
  <si>
    <t>00001604</t>
  </si>
  <si>
    <t>22/04/2024</t>
  </si>
  <si>
    <t>00001633</t>
  </si>
  <si>
    <t>23/04/2024</t>
  </si>
  <si>
    <t>00001656</t>
  </si>
  <si>
    <t>00001658</t>
  </si>
  <si>
    <t>24/04/2024</t>
  </si>
  <si>
    <t>25/04/2024</t>
  </si>
  <si>
    <t>00001677</t>
  </si>
  <si>
    <t>00001678</t>
  </si>
  <si>
    <t>00001682</t>
  </si>
  <si>
    <t>1694</t>
  </si>
  <si>
    <t>1703</t>
  </si>
  <si>
    <t>1742</t>
  </si>
  <si>
    <t>1745</t>
  </si>
  <si>
    <t>: CHI NHÁNH LIÊN HIỆP HỢP TÁC XÃ THƯƠNG MẠI TP.HỒ CHÍ MINH-CO.OPMART QUẢNG BÌNH</t>
  </si>
  <si>
    <t>1746</t>
  </si>
  <si>
    <t>1747</t>
  </si>
  <si>
    <t>1748</t>
  </si>
  <si>
    <t>: CÔNG TY TNHH MỘT THÀNH VIÊN THƯƠNG MẠI VÀ DỊCH VỤ SÀI GÒN - CAM RANH</t>
  </si>
  <si>
    <t>1755</t>
  </si>
  <si>
    <t>1756</t>
  </si>
  <si>
    <t>1795</t>
  </si>
  <si>
    <t>1799</t>
  </si>
  <si>
    <t>1811</t>
  </si>
  <si>
    <t>1819</t>
  </si>
  <si>
    <t>1820</t>
  </si>
  <si>
    <t>10/05/2024</t>
  </si>
  <si>
    <t>00001828</t>
  </si>
  <si>
    <t>13/05/2024</t>
  </si>
  <si>
    <t>00001850</t>
  </si>
  <si>
    <t>00001851</t>
  </si>
  <si>
    <t>00001852</t>
  </si>
  <si>
    <t>14/05/2024</t>
  </si>
  <si>
    <t>00001866</t>
  </si>
  <si>
    <t>15/05/2024</t>
  </si>
  <si>
    <t>00001876</t>
  </si>
  <si>
    <t>16/05/2024</t>
  </si>
  <si>
    <t>00001884</t>
  </si>
  <si>
    <t>17/05/2024</t>
  </si>
  <si>
    <t>00001894</t>
  </si>
  <si>
    <t>20/05/2024</t>
  </si>
  <si>
    <t>00001934</t>
  </si>
  <si>
    <t>00001935</t>
  </si>
  <si>
    <t>21/05/2024</t>
  </si>
  <si>
    <t>22/05/2024</t>
  </si>
  <si>
    <t>23/05/2024</t>
  </si>
  <si>
    <t>00001963</t>
  </si>
  <si>
    <t>27/05/2024</t>
  </si>
  <si>
    <t>00001996</t>
  </si>
  <si>
    <t>28/05/2024</t>
  </si>
  <si>
    <t>29/05/2024</t>
  </si>
  <si>
    <t>03/06/2024</t>
  </si>
  <si>
    <t>06/06/2024</t>
  </si>
  <si>
    <t>07/06/2024</t>
  </si>
  <si>
    <t>08/06/2024</t>
  </si>
  <si>
    <t>00002112</t>
  </si>
  <si>
    <t>10/06/2024</t>
  </si>
  <si>
    <t>13/06/2024</t>
  </si>
  <si>
    <t>00002148</t>
  </si>
  <si>
    <t>00002157</t>
  </si>
  <si>
    <t>14/06/2024</t>
  </si>
  <si>
    <t>17/06/2024</t>
  </si>
  <si>
    <t>00002207</t>
  </si>
  <si>
    <t>00002208</t>
  </si>
  <si>
    <t>00002211</t>
  </si>
  <si>
    <t>00002241</t>
  </si>
  <si>
    <t>2313</t>
  </si>
  <si>
    <t>19/06/2024</t>
  </si>
  <si>
    <t>00002243</t>
  </si>
  <si>
    <t>21/06/2024</t>
  </si>
  <si>
    <t>00002255</t>
  </si>
  <si>
    <t>00002256</t>
  </si>
  <si>
    <t>00002260</t>
  </si>
  <si>
    <t>22/06/2024</t>
  </si>
  <si>
    <t>00002272</t>
  </si>
  <si>
    <t>00002295</t>
  </si>
  <si>
    <t>00002299</t>
  </si>
  <si>
    <t>24/06/2024</t>
  </si>
  <si>
    <t>00002305</t>
  </si>
  <si>
    <t>00002306</t>
  </si>
  <si>
    <t>26/06/2024</t>
  </si>
  <si>
    <t>00002318</t>
  </si>
  <si>
    <t>00002331</t>
  </si>
  <si>
    <t>27/06/2024</t>
  </si>
  <si>
    <t>00002343</t>
  </si>
  <si>
    <t>28/06/2024</t>
  </si>
  <si>
    <t>00002350</t>
  </si>
  <si>
    <t>01/07/2024</t>
  </si>
  <si>
    <t>00002409</t>
  </si>
  <si>
    <t>00002410</t>
  </si>
  <si>
    <t>02/07/2024</t>
  </si>
  <si>
    <t>00002431</t>
  </si>
  <si>
    <t>03/07/2024</t>
  </si>
  <si>
    <t>00002437</t>
  </si>
  <si>
    <t>00002438</t>
  </si>
  <si>
    <t>00002440</t>
  </si>
  <si>
    <t>04/07/2024</t>
  </si>
  <si>
    <t>05/07/2024</t>
  </si>
  <si>
    <t>00002456</t>
  </si>
  <si>
    <t>00002457</t>
  </si>
  <si>
    <t>00002460</t>
  </si>
  <si>
    <t>06/07/2024</t>
  </si>
  <si>
    <t>00002480</t>
  </si>
  <si>
    <t>00002481</t>
  </si>
  <si>
    <t>00002483</t>
  </si>
  <si>
    <t>08/07/2024</t>
  </si>
  <si>
    <t>00002496</t>
  </si>
  <si>
    <t>00002497</t>
  </si>
  <si>
    <t>00002503</t>
  </si>
  <si>
    <t>09/07/2024</t>
  </si>
  <si>
    <t>00002507</t>
  </si>
  <si>
    <t>00002509</t>
  </si>
  <si>
    <t>00002510</t>
  </si>
  <si>
    <t>00002511</t>
  </si>
  <si>
    <t>00002512</t>
  </si>
  <si>
    <t>00002516</t>
  </si>
  <si>
    <t>00002517</t>
  </si>
  <si>
    <t>10/07/2024</t>
  </si>
  <si>
    <t>00002523</t>
  </si>
  <si>
    <t>11/07/2024</t>
  </si>
  <si>
    <t>00002533</t>
  </si>
  <si>
    <t>00002534</t>
  </si>
  <si>
    <t>15/07/2024</t>
  </si>
  <si>
    <t>00002592</t>
  </si>
  <si>
    <t>00002593</t>
  </si>
  <si>
    <t>00002595</t>
  </si>
  <si>
    <t>00002596</t>
  </si>
  <si>
    <t>16/07/2024</t>
  </si>
  <si>
    <t>00002607</t>
  </si>
  <si>
    <t>00002611</t>
  </si>
  <si>
    <t>PDF</t>
  </si>
  <si>
    <t>17/07/2024</t>
  </si>
  <si>
    <t>00002624</t>
  </si>
  <si>
    <t>00002629</t>
  </si>
  <si>
    <t>00002630</t>
  </si>
  <si>
    <t>18/07/2024</t>
  </si>
  <si>
    <t>00002637</t>
  </si>
  <si>
    <t>00002640</t>
  </si>
  <si>
    <t>19/07/2024</t>
  </si>
  <si>
    <t>00002649</t>
  </si>
  <si>
    <t>00002650</t>
  </si>
  <si>
    <t>22/07/2024</t>
  </si>
  <si>
    <t>00002682</t>
  </si>
  <si>
    <t>00002683</t>
  </si>
  <si>
    <t>00002684</t>
  </si>
  <si>
    <t>00002687</t>
  </si>
  <si>
    <t>23/07/2024</t>
  </si>
  <si>
    <t>00002695</t>
  </si>
  <si>
    <t>00002697</t>
  </si>
  <si>
    <t>24/07/2024</t>
  </si>
  <si>
    <t>00002718</t>
  </si>
  <si>
    <t>25/07/2024</t>
  </si>
  <si>
    <t>00002722</t>
  </si>
  <si>
    <t>26/07/2024</t>
  </si>
  <si>
    <t>00002730</t>
  </si>
  <si>
    <t>00002736</t>
  </si>
  <si>
    <t>00002737</t>
  </si>
  <si>
    <t>29/07/2024</t>
  </si>
  <si>
    <t>00002798</t>
  </si>
  <si>
    <t>00002806</t>
  </si>
  <si>
    <t>00002807</t>
  </si>
  <si>
    <t>30/07/2024</t>
  </si>
  <si>
    <t>31/07/2024</t>
  </si>
  <si>
    <t>00002833</t>
  </si>
  <si>
    <t>00002835</t>
  </si>
  <si>
    <t>00002837</t>
  </si>
  <si>
    <t>02/08/2024</t>
  </si>
  <si>
    <t>00002847</t>
  </si>
  <si>
    <t>03/08/2024</t>
  </si>
  <si>
    <t>00002880</t>
  </si>
  <si>
    <t>00002882</t>
  </si>
  <si>
    <t>Công ty TNHH Saigon Co-op Fairprice/Co-opXtra Long Bình</t>
  </si>
  <si>
    <t>05/08/2024</t>
  </si>
  <si>
    <t>00002892</t>
  </si>
  <si>
    <t>07/08/2024</t>
  </si>
  <si>
    <t>00002898</t>
  </si>
  <si>
    <t>HỦY</t>
  </si>
  <si>
    <t>00002903</t>
  </si>
  <si>
    <t>08/08/2024</t>
  </si>
  <si>
    <t>00002910</t>
  </si>
  <si>
    <t>09/08/2024</t>
  </si>
  <si>
    <t>00002943</t>
  </si>
  <si>
    <t>10/08/2024</t>
  </si>
  <si>
    <t>00002949</t>
  </si>
  <si>
    <t>12/08/2024</t>
  </si>
  <si>
    <t>00002994</t>
  </si>
  <si>
    <t>00002995</t>
  </si>
  <si>
    <t>00002996</t>
  </si>
  <si>
    <t>13/08/2024</t>
  </si>
  <si>
    <t>00003012</t>
  </si>
  <si>
    <t>15/08/2024</t>
  </si>
  <si>
    <t>00003028</t>
  </si>
  <si>
    <t>00003030</t>
  </si>
  <si>
    <t>00003034</t>
  </si>
  <si>
    <t>16/08/2024</t>
  </si>
  <si>
    <t>00003044</t>
  </si>
  <si>
    <t>19/08/2024</t>
  </si>
  <si>
    <t>00003081</t>
  </si>
  <si>
    <t>00003083</t>
  </si>
  <si>
    <t>00003084</t>
  </si>
  <si>
    <t>00003088</t>
  </si>
  <si>
    <t>21/08/2024</t>
  </si>
  <si>
    <t>00003128</t>
  </si>
  <si>
    <t>00003129</t>
  </si>
  <si>
    <t>23/08/2024</t>
  </si>
  <si>
    <t>00003145</t>
  </si>
  <si>
    <t>00003146</t>
  </si>
  <si>
    <t>00003147</t>
  </si>
  <si>
    <t>24/08/2024</t>
  </si>
  <si>
    <t>00003201</t>
  </si>
  <si>
    <t>00003202</t>
  </si>
  <si>
    <t>00003203</t>
  </si>
  <si>
    <t>00003205</t>
  </si>
  <si>
    <t>26/08/2024</t>
  </si>
  <si>
    <t>00003213</t>
  </si>
  <si>
    <t>00003214</t>
  </si>
  <si>
    <t>00003216</t>
  </si>
  <si>
    <t>00003217</t>
  </si>
  <si>
    <t>27/08/2024</t>
  </si>
  <si>
    <t>00003233</t>
  </si>
  <si>
    <t>00003234</t>
  </si>
  <si>
    <t>HỦY, hoàn hàng</t>
  </si>
  <si>
    <t>00003237</t>
  </si>
  <si>
    <t>28/08/2024</t>
  </si>
  <si>
    <t>00003251</t>
  </si>
  <si>
    <t>29/08/2024</t>
  </si>
  <si>
    <t>30/08/2024</t>
  </si>
  <si>
    <t>04/09/2024</t>
  </si>
  <si>
    <t>09/09/2024</t>
  </si>
  <si>
    <t>10/09/2024</t>
  </si>
  <si>
    <t>00003392</t>
  </si>
  <si>
    <t>13/09/2024</t>
  </si>
  <si>
    <t>00003405</t>
  </si>
  <si>
    <t>00003406</t>
  </si>
  <si>
    <t>00003407</t>
  </si>
  <si>
    <t>16/09/2024</t>
  </si>
  <si>
    <t>00003444</t>
  </si>
  <si>
    <t>00003445</t>
  </si>
  <si>
    <t>00003446</t>
  </si>
  <si>
    <t>00003447</t>
  </si>
  <si>
    <t>00003448</t>
  </si>
  <si>
    <t>17/09/2024</t>
  </si>
  <si>
    <t>00003457</t>
  </si>
  <si>
    <t>00003458</t>
  </si>
  <si>
    <t>00003466</t>
  </si>
  <si>
    <t>18/09/2024</t>
  </si>
  <si>
    <t>00003478</t>
  </si>
  <si>
    <t>21/09/2024</t>
  </si>
  <si>
    <t>00003515</t>
  </si>
  <si>
    <t>23/09/2024</t>
  </si>
  <si>
    <t>00003559</t>
  </si>
  <si>
    <t>00003562</t>
  </si>
  <si>
    <t>24/09/2024</t>
  </si>
  <si>
    <t>00003575</t>
  </si>
  <si>
    <t>25/09/2024</t>
  </si>
  <si>
    <t>26/09/2024</t>
  </si>
  <si>
    <t>00003590</t>
  </si>
  <si>
    <t>27/09/2024</t>
  </si>
  <si>
    <t>00003600</t>
  </si>
  <si>
    <t>28/09/2024</t>
  </si>
  <si>
    <t>00003606</t>
  </si>
  <si>
    <t>00003632</t>
  </si>
  <si>
    <t>08.</t>
  </si>
  <si>
    <t>Tên khác hàng: SIÊU THỊ  CO.OP MART</t>
  </si>
  <si>
    <t>Khớp 28/9/2022</t>
  </si>
  <si>
    <t>VAT 10%</t>
  </si>
  <si>
    <t>Dư nợ Tháng 02/2019</t>
  </si>
  <si>
    <t>CM Việt Trì</t>
  </si>
  <si>
    <t>16/2/2022</t>
  </si>
  <si>
    <t>514</t>
  </si>
  <si>
    <t>CM Victoria</t>
  </si>
  <si>
    <t>5425</t>
  </si>
  <si>
    <t>CM Tân Thành</t>
  </si>
  <si>
    <t>19/2/2022</t>
  </si>
  <si>
    <t>113</t>
  </si>
  <si>
    <t>CM Hà Tĩnh</t>
  </si>
  <si>
    <t>729</t>
  </si>
  <si>
    <t>18/2/2022</t>
  </si>
  <si>
    <t>726</t>
  </si>
  <si>
    <t>CM Hồng Ngự</t>
  </si>
  <si>
    <t>14/2/2022</t>
  </si>
  <si>
    <t>122</t>
  </si>
  <si>
    <t>CM Goldensilk</t>
  </si>
  <si>
    <t>22/2/2022</t>
  </si>
  <si>
    <t>5553</t>
  </si>
  <si>
    <t>CM Riviera Point</t>
  </si>
  <si>
    <t>21/2/2022</t>
  </si>
  <si>
    <t>4532</t>
  </si>
  <si>
    <t>5527</t>
  </si>
  <si>
    <t>CM Hậu Giang</t>
  </si>
  <si>
    <t>20/2/2022</t>
  </si>
  <si>
    <t>226</t>
  </si>
  <si>
    <t>CM Thốt Nốt</t>
  </si>
  <si>
    <t>605</t>
  </si>
  <si>
    <t>CM Tây Ninh</t>
  </si>
  <si>
    <t>1428</t>
  </si>
  <si>
    <t>CM Vĩnh Phúc</t>
  </si>
  <si>
    <t>23/2/2022</t>
  </si>
  <si>
    <t>81</t>
  </si>
  <si>
    <t>CM Tô Ký</t>
  </si>
  <si>
    <t>29643</t>
  </si>
  <si>
    <t>4916</t>
  </si>
  <si>
    <t>CM Trà Vinh</t>
  </si>
  <si>
    <t>382</t>
  </si>
  <si>
    <t>CM Rạch Gía</t>
  </si>
  <si>
    <t>937</t>
  </si>
  <si>
    <t>CM Trảng Bàng</t>
  </si>
  <si>
    <t>1060</t>
  </si>
  <si>
    <t>CM Tiếu Cần</t>
  </si>
  <si>
    <t>82</t>
  </si>
  <si>
    <t>CM Mỹ Tho</t>
  </si>
  <si>
    <t>544</t>
  </si>
  <si>
    <t>CM SCA Long Biên</t>
  </si>
  <si>
    <t>28/2/2022</t>
  </si>
  <si>
    <t>5618</t>
  </si>
  <si>
    <t>CM Nha Trang</t>
  </si>
  <si>
    <t>765</t>
  </si>
  <si>
    <t>CM Nam Định</t>
  </si>
  <si>
    <t>632</t>
  </si>
  <si>
    <t>CM Buôn Hồ</t>
  </si>
  <si>
    <t>866</t>
  </si>
  <si>
    <t>CM Quảng Bình</t>
  </si>
  <si>
    <t>1100</t>
  </si>
  <si>
    <t>CM Tân Châu</t>
  </si>
  <si>
    <t>481</t>
  </si>
  <si>
    <t>CM Sa Đéc</t>
  </si>
  <si>
    <t>611</t>
  </si>
  <si>
    <t>CM Hùng Vương</t>
  </si>
  <si>
    <t>13283</t>
  </si>
  <si>
    <t>CM Châu Đốc</t>
  </si>
  <si>
    <t>1341</t>
  </si>
  <si>
    <t>CM Phạm Văn Đồng</t>
  </si>
  <si>
    <t>7901</t>
  </si>
  <si>
    <t>CM Tháp Mười</t>
  </si>
  <si>
    <t>546</t>
  </si>
  <si>
    <t>CM Huế</t>
  </si>
  <si>
    <t>1064</t>
  </si>
  <si>
    <t>CM Vĩnh Lộc B</t>
  </si>
  <si>
    <t>34376</t>
  </si>
  <si>
    <t>CM Phan Rí Cửa</t>
  </si>
  <si>
    <t>2044</t>
  </si>
  <si>
    <t>2081</t>
  </si>
  <si>
    <t>CM Châu Thành Tây Ninh</t>
  </si>
  <si>
    <t>479</t>
  </si>
  <si>
    <t>CM Đồng Xoài</t>
  </si>
  <si>
    <t>1377</t>
  </si>
  <si>
    <t>4878</t>
  </si>
  <si>
    <t>CM Hoàng Văn Thụ</t>
  </si>
  <si>
    <t>2989</t>
  </si>
  <si>
    <t>CM Cam Ranh</t>
  </si>
  <si>
    <t>73</t>
  </si>
  <si>
    <t>cm an nhơn</t>
  </si>
  <si>
    <t>2377</t>
  </si>
  <si>
    <t>CM Hải Phòng</t>
  </si>
  <si>
    <t>1901</t>
  </si>
  <si>
    <t>1852</t>
  </si>
  <si>
    <t>CM Bến Lức</t>
  </si>
  <si>
    <t>446</t>
  </si>
  <si>
    <t>CM Hà Tiên</t>
  </si>
  <si>
    <t>249</t>
  </si>
  <si>
    <t>CM Duyên Hải</t>
  </si>
  <si>
    <t>490</t>
  </si>
  <si>
    <t>CM Bình Thủy</t>
  </si>
  <si>
    <t>432</t>
  </si>
  <si>
    <t>CM Phan Thiết</t>
  </si>
  <si>
    <t>615</t>
  </si>
  <si>
    <t>CM Cần Giờ</t>
  </si>
  <si>
    <t>681</t>
  </si>
  <si>
    <t>CM Xa lộ Hà Nội</t>
  </si>
  <si>
    <t>39216</t>
  </si>
  <si>
    <t>44986</t>
  </si>
  <si>
    <t>CM Hà Đông</t>
  </si>
  <si>
    <t>476</t>
  </si>
  <si>
    <t>CM Long Xuyên</t>
  </si>
  <si>
    <t>27796</t>
  </si>
  <si>
    <t>CM Rạch Miễu</t>
  </si>
  <si>
    <t>16928</t>
  </si>
  <si>
    <t>cm đồng phú</t>
  </si>
  <si>
    <t>477</t>
  </si>
  <si>
    <t>CM Vĩnh Long</t>
  </si>
  <si>
    <t>2150</t>
  </si>
  <si>
    <t>cm Rạch Gía</t>
  </si>
  <si>
    <t>14523</t>
  </si>
  <si>
    <t>CM Phước Đông</t>
  </si>
  <si>
    <t>408</t>
  </si>
  <si>
    <t>CM SCA Âu Cơ</t>
  </si>
  <si>
    <t>204</t>
  </si>
  <si>
    <t>242</t>
  </si>
  <si>
    <t>1484</t>
  </si>
  <si>
    <t>349</t>
  </si>
  <si>
    <t>3181</t>
  </si>
  <si>
    <t>4151</t>
  </si>
  <si>
    <t>917</t>
  </si>
  <si>
    <t>588</t>
  </si>
  <si>
    <t>CM Tuy Lý Vương</t>
  </si>
  <si>
    <t>927</t>
  </si>
  <si>
    <t>CM Huỳnh Tấn Phát</t>
  </si>
  <si>
    <t>1540</t>
  </si>
  <si>
    <t>521</t>
  </si>
  <si>
    <t>CM Hòa Bình</t>
  </si>
  <si>
    <t>880</t>
  </si>
  <si>
    <t>CM Sóc Trăng</t>
  </si>
  <si>
    <t>1082</t>
  </si>
  <si>
    <t>CM Phan Rang</t>
  </si>
  <si>
    <t>716</t>
  </si>
  <si>
    <t>CM Bảo Lộc</t>
  </si>
  <si>
    <t>706</t>
  </si>
  <si>
    <t>CM Gò Công</t>
  </si>
  <si>
    <t>633</t>
  </si>
  <si>
    <t>CM Cai Lậy</t>
  </si>
  <si>
    <t>1139</t>
  </si>
  <si>
    <t>659</t>
  </si>
  <si>
    <t>CM Bình Tân</t>
  </si>
  <si>
    <t>781</t>
  </si>
  <si>
    <t>369</t>
  </si>
  <si>
    <t>404</t>
  </si>
  <si>
    <t>881</t>
  </si>
  <si>
    <t>CM Pleiku</t>
  </si>
  <si>
    <t>756</t>
  </si>
  <si>
    <t>427</t>
  </si>
  <si>
    <t>CM Chu Văn An</t>
  </si>
  <si>
    <t>994</t>
  </si>
  <si>
    <t>276</t>
  </si>
  <si>
    <t>CM Phạm Văn Chiêu</t>
  </si>
  <si>
    <t>1399</t>
  </si>
  <si>
    <t>500</t>
  </si>
  <si>
    <t>CM Thanh Hóa</t>
  </si>
  <si>
    <t>723</t>
  </si>
  <si>
    <t>CM Kontum</t>
  </si>
  <si>
    <t>27</t>
  </si>
  <si>
    <t>1043</t>
  </si>
  <si>
    <t>CM Finelife</t>
  </si>
  <si>
    <t>233</t>
  </si>
  <si>
    <t>105</t>
  </si>
  <si>
    <t>123</t>
  </si>
  <si>
    <t>90</t>
  </si>
  <si>
    <t>CM Văn Thánh</t>
  </si>
  <si>
    <t>75</t>
  </si>
  <si>
    <t>CM Vị Thanh</t>
  </si>
  <si>
    <t>77</t>
  </si>
  <si>
    <t>124</t>
  </si>
  <si>
    <t>CM Cần Giuộc</t>
  </si>
  <si>
    <t>47</t>
  </si>
  <si>
    <t>CM Đồng Phú</t>
  </si>
  <si>
    <t>65</t>
  </si>
  <si>
    <t>48</t>
  </si>
  <si>
    <t>42</t>
  </si>
  <si>
    <t>61</t>
  </si>
  <si>
    <t>120</t>
  </si>
  <si>
    <t>83</t>
  </si>
  <si>
    <t>8</t>
  </si>
  <si>
    <t>413</t>
  </si>
  <si>
    <t>CM Tuy Hòa</t>
  </si>
  <si>
    <t>84</t>
  </si>
  <si>
    <t>56</t>
  </si>
  <si>
    <t>74</t>
  </si>
  <si>
    <t>CM Dương Minh Châu</t>
  </si>
  <si>
    <t>40</t>
  </si>
  <si>
    <t>58</t>
  </si>
  <si>
    <t>CM Bà Rịa</t>
  </si>
  <si>
    <t>69</t>
  </si>
  <si>
    <t>37</t>
  </si>
  <si>
    <t>156</t>
  </si>
  <si>
    <t>111</t>
  </si>
  <si>
    <t>CM Lagi</t>
  </si>
  <si>
    <t>71</t>
  </si>
  <si>
    <t>CM SCA Victoria</t>
  </si>
  <si>
    <t>200</t>
  </si>
  <si>
    <t>78</t>
  </si>
  <si>
    <t>79</t>
  </si>
  <si>
    <t>CM Tân Biên</t>
  </si>
  <si>
    <t>CM Lý Thường Kiệt</t>
  </si>
  <si>
    <t>232</t>
  </si>
  <si>
    <t>136</t>
  </si>
  <si>
    <t>231</t>
  </si>
  <si>
    <t>46</t>
  </si>
  <si>
    <t>104</t>
  </si>
  <si>
    <t>CM Cống Quỳnh</t>
  </si>
  <si>
    <t>125</t>
  </si>
  <si>
    <t>CM Ngã bảy Hậu Giang</t>
  </si>
  <si>
    <t>114</t>
  </si>
  <si>
    <t>CM Quy Nhơn</t>
  </si>
  <si>
    <t>147</t>
  </si>
  <si>
    <t>CM Đà Nẵng</t>
  </si>
  <si>
    <t>197</t>
  </si>
  <si>
    <t>99</t>
  </si>
  <si>
    <t>CM Bình Dương</t>
  </si>
  <si>
    <t>198</t>
  </si>
  <si>
    <t>119</t>
  </si>
  <si>
    <t>142</t>
  </si>
  <si>
    <t>CM Thoại Sơn</t>
  </si>
  <si>
    <t>63</t>
  </si>
  <si>
    <t>118</t>
  </si>
  <si>
    <t>62</t>
  </si>
  <si>
    <t>57</t>
  </si>
  <si>
    <t>CM Thắng Lợi</t>
  </si>
  <si>
    <t>139</t>
  </si>
  <si>
    <t>CM Thanh Hà</t>
  </si>
  <si>
    <t>102</t>
  </si>
  <si>
    <t>CM Goldsilk</t>
  </si>
  <si>
    <t>256</t>
  </si>
  <si>
    <t>CM Bình Dương 2</t>
  </si>
  <si>
    <t>97</t>
  </si>
  <si>
    <t>CM Bạc Liêu 2</t>
  </si>
  <si>
    <t>108</t>
  </si>
  <si>
    <t>CM Phú Thọ</t>
  </si>
  <si>
    <t>292</t>
  </si>
  <si>
    <t>87</t>
  </si>
  <si>
    <t>CM Marfour</t>
  </si>
  <si>
    <t>290</t>
  </si>
  <si>
    <t>CM Cần Thơ</t>
  </si>
  <si>
    <t>86</t>
  </si>
  <si>
    <t>254</t>
  </si>
  <si>
    <t>72</t>
  </si>
  <si>
    <t>CM Bắc Giang</t>
  </si>
  <si>
    <t>50</t>
  </si>
  <si>
    <t>134</t>
  </si>
  <si>
    <t>CM Vũng Tàu</t>
  </si>
  <si>
    <t>194</t>
  </si>
  <si>
    <t>CM Đăk Nông</t>
  </si>
  <si>
    <t>CM Sư Vạn Hạnh</t>
  </si>
  <si>
    <t>1014</t>
  </si>
  <si>
    <t>174</t>
  </si>
  <si>
    <t>294</t>
  </si>
  <si>
    <t>173</t>
  </si>
  <si>
    <t>CM Sơn Trà</t>
  </si>
  <si>
    <t>CM Cư Mgar</t>
  </si>
  <si>
    <t>76</t>
  </si>
  <si>
    <t>Điều chỉnh tăng thuế suất 8 lên 10% HĐ 1280</t>
  </si>
  <si>
    <t>3631</t>
  </si>
  <si>
    <t>180</t>
  </si>
  <si>
    <t>CM Chư Sê</t>
  </si>
  <si>
    <t>217</t>
  </si>
  <si>
    <t>CM Củ Chi</t>
  </si>
  <si>
    <t>251</t>
  </si>
  <si>
    <t>59</t>
  </si>
  <si>
    <t>130</t>
  </si>
  <si>
    <t>212</t>
  </si>
  <si>
    <t>CM Hiệp Thành</t>
  </si>
  <si>
    <t>132</t>
  </si>
  <si>
    <t>161</t>
  </si>
  <si>
    <t>222</t>
  </si>
  <si>
    <t>CM Đỗ Văn Dậy</t>
  </si>
  <si>
    <t>CM Tân An</t>
  </si>
  <si>
    <t>133</t>
  </si>
  <si>
    <t>177</t>
  </si>
  <si>
    <t>295</t>
  </si>
  <si>
    <t>CM Urban Hill</t>
  </si>
  <si>
    <t>221</t>
  </si>
  <si>
    <t>CM Hà Nội</t>
  </si>
  <si>
    <t>304</t>
  </si>
  <si>
    <t>155</t>
  </si>
  <si>
    <t>158</t>
  </si>
  <si>
    <t>144</t>
  </si>
  <si>
    <t>CM Cà Mau</t>
  </si>
  <si>
    <t>154</t>
  </si>
  <si>
    <t>CM Quảng Ngãi</t>
  </si>
  <si>
    <t>214</t>
  </si>
  <si>
    <t>350</t>
  </si>
  <si>
    <t>CM Nhiêu Lộc</t>
  </si>
  <si>
    <t>211</t>
  </si>
  <si>
    <t>CM Gò Dầu</t>
  </si>
  <si>
    <t>199</t>
  </si>
  <si>
    <t>315</t>
  </si>
  <si>
    <t>CM Nguyễn Bình</t>
  </si>
  <si>
    <t>CM Finelife Hà Đô</t>
  </si>
  <si>
    <t>639</t>
  </si>
  <si>
    <t>CM Sài Gòn Mia</t>
  </si>
  <si>
    <t>648</t>
  </si>
  <si>
    <t>272</t>
  </si>
  <si>
    <t>CM Đồng Văn Cống</t>
  </si>
  <si>
    <t>731</t>
  </si>
  <si>
    <t>???</t>
  </si>
  <si>
    <t>314</t>
  </si>
  <si>
    <t>2174</t>
  </si>
  <si>
    <t>CM Tiểu Cần</t>
  </si>
  <si>
    <t>34</t>
  </si>
  <si>
    <t>CM Tân Châu An Giang</t>
  </si>
  <si>
    <t>68</t>
  </si>
  <si>
    <t>CM Tam Bình</t>
  </si>
  <si>
    <t>273</t>
  </si>
  <si>
    <t>CM Hóc Môn</t>
  </si>
  <si>
    <t>CM Âu Cơ</t>
  </si>
  <si>
    <t>1394</t>
  </si>
  <si>
    <t>645</t>
  </si>
  <si>
    <t>CM Phan Văn Trị</t>
  </si>
  <si>
    <t>627</t>
  </si>
  <si>
    <t>628</t>
  </si>
  <si>
    <t>412</t>
  </si>
  <si>
    <t>CM Linh Trung</t>
  </si>
  <si>
    <t>3259</t>
  </si>
  <si>
    <t>3260</t>
  </si>
  <si>
    <t>464</t>
  </si>
  <si>
    <t>390</t>
  </si>
  <si>
    <t>457</t>
  </si>
  <si>
    <t>CM Extra Tân Phong</t>
  </si>
  <si>
    <t>6769</t>
  </si>
  <si>
    <t>CM KDC Thanh Niên</t>
  </si>
  <si>
    <t>25453</t>
  </si>
  <si>
    <t>790</t>
  </si>
  <si>
    <t>CM Nguyễn Kiệm</t>
  </si>
  <si>
    <t>431</t>
  </si>
  <si>
    <t>1159</t>
  </si>
  <si>
    <t>1160</t>
  </si>
  <si>
    <t>cm Câù Bưu</t>
  </si>
  <si>
    <t>1413</t>
  </si>
  <si>
    <t>352</t>
  </si>
  <si>
    <t>2527</t>
  </si>
  <si>
    <t>CM Kiên Giang</t>
  </si>
  <si>
    <t>1652</t>
  </si>
  <si>
    <t>1628</t>
  </si>
  <si>
    <t>14616</t>
  </si>
  <si>
    <t>CM Cao Lãnh</t>
  </si>
  <si>
    <t>1774</t>
  </si>
  <si>
    <t>1252</t>
  </si>
  <si>
    <t>1046</t>
  </si>
  <si>
    <t>196</t>
  </si>
  <si>
    <t>CM Phú Hoàng Anh</t>
  </si>
  <si>
    <t>3301</t>
  </si>
  <si>
    <t>CM SCA-Victoria</t>
  </si>
  <si>
    <t>207</t>
  </si>
  <si>
    <t>Cm Cu Mgar</t>
  </si>
  <si>
    <t>67</t>
  </si>
  <si>
    <t>CF Thanh Loc 17</t>
  </si>
  <si>
    <t>3933</t>
  </si>
  <si>
    <t>227</t>
  </si>
  <si>
    <t>CM pleiku</t>
  </si>
  <si>
    <t>345</t>
  </si>
  <si>
    <t>CM Auchan Tây Ninh</t>
  </si>
  <si>
    <t>202</t>
  </si>
  <si>
    <t>CF Hải Thượng Lãn Ông</t>
  </si>
  <si>
    <t>CF Hồ Văn Long 70</t>
  </si>
  <si>
    <t>4583</t>
  </si>
  <si>
    <t>138</t>
  </si>
  <si>
    <t>66</t>
  </si>
  <si>
    <t>129</t>
  </si>
  <si>
    <t>45</t>
  </si>
  <si>
    <t>CM Chợ Mới</t>
  </si>
  <si>
    <t>70</t>
  </si>
  <si>
    <t>93</t>
  </si>
  <si>
    <t>85</t>
  </si>
  <si>
    <t>CM Cái Bè</t>
  </si>
  <si>
    <t>31</t>
  </si>
  <si>
    <t>CF Krista</t>
  </si>
  <si>
    <t>50496</t>
  </si>
  <si>
    <t>150</t>
  </si>
  <si>
    <t>CM Buôn Ma Thuột</t>
  </si>
  <si>
    <t>258</t>
  </si>
  <si>
    <t>CM La Gi</t>
  </si>
  <si>
    <t>100</t>
  </si>
  <si>
    <t>1518</t>
  </si>
  <si>
    <t>CF Can Lộc</t>
  </si>
  <si>
    <t>145</t>
  </si>
  <si>
    <t>157</t>
  </si>
  <si>
    <t>92</t>
  </si>
  <si>
    <t>94</t>
  </si>
  <si>
    <t>CM Foodcosa</t>
  </si>
  <si>
    <t>244</t>
  </si>
  <si>
    <t>131</t>
  </si>
  <si>
    <t>CM Phú Lâm</t>
  </si>
  <si>
    <t>307</t>
  </si>
  <si>
    <t>128</t>
  </si>
  <si>
    <t>192</t>
  </si>
  <si>
    <t>151</t>
  </si>
  <si>
    <t>CF Hà Đô</t>
  </si>
  <si>
    <t>499</t>
  </si>
  <si>
    <t>CF Hồng Lĩnh</t>
  </si>
  <si>
    <t>98</t>
  </si>
  <si>
    <t>205</t>
  </si>
  <si>
    <t>CM An Nhơn</t>
  </si>
  <si>
    <t>498</t>
  </si>
  <si>
    <t>121</t>
  </si>
  <si>
    <t>CM Nguyễn Ảnh Thủ</t>
  </si>
  <si>
    <t>218</t>
  </si>
  <si>
    <t>539</t>
  </si>
  <si>
    <t>247</t>
  </si>
  <si>
    <t>CM Bông Sao</t>
  </si>
  <si>
    <t>5806</t>
  </si>
  <si>
    <t>193</t>
  </si>
  <si>
    <t>CM Tràng Bảng</t>
  </si>
  <si>
    <t>178</t>
  </si>
  <si>
    <t>CM Bình Tân 2</t>
  </si>
  <si>
    <t>152</t>
  </si>
  <si>
    <t>CM Đức Phổ</t>
  </si>
  <si>
    <t>CM Biên Hòa</t>
  </si>
  <si>
    <t>179</t>
  </si>
  <si>
    <t>209</t>
  </si>
  <si>
    <t>CF Vision</t>
  </si>
  <si>
    <t>6387</t>
  </si>
  <si>
    <t>CF Đường số 1 Tên lửa</t>
  </si>
  <si>
    <t>6478</t>
  </si>
  <si>
    <t>CF Lê Lợi 60</t>
  </si>
  <si>
    <t>6494</t>
  </si>
  <si>
    <t>230</t>
  </si>
  <si>
    <t>CM Bình Triệu</t>
  </si>
  <si>
    <t>252</t>
  </si>
  <si>
    <t>319</t>
  </si>
  <si>
    <t>CM Nguyễn Biên</t>
  </si>
  <si>
    <t>116</t>
  </si>
  <si>
    <t>109</t>
  </si>
  <si>
    <t>CM SCA CA</t>
  </si>
  <si>
    <t>317</t>
  </si>
  <si>
    <t>332</t>
  </si>
  <si>
    <t>163</t>
  </si>
  <si>
    <t>262</t>
  </si>
  <si>
    <t>184</t>
  </si>
  <si>
    <t>216</t>
  </si>
  <si>
    <t>CM Nguyễn Đình Chiểu</t>
  </si>
  <si>
    <t>421</t>
  </si>
  <si>
    <t>CM SCA Goldsilk</t>
  </si>
  <si>
    <t>448</t>
  </si>
  <si>
    <t>CM Đầm Sen</t>
  </si>
  <si>
    <t>308</t>
  </si>
  <si>
    <t>471</t>
  </si>
  <si>
    <t>246</t>
  </si>
  <si>
    <t>CF Lê Văn Qưới</t>
  </si>
  <si>
    <t>7993</t>
  </si>
  <si>
    <t>CF Him Lam Chợ Lớn</t>
  </si>
  <si>
    <t>8072</t>
  </si>
  <si>
    <t>329</t>
  </si>
  <si>
    <t>462</t>
  </si>
  <si>
    <t>CM SCA GoldenSilk</t>
  </si>
  <si>
    <t>517</t>
  </si>
  <si>
    <t>CF An Lạc</t>
  </si>
  <si>
    <t>8916</t>
  </si>
  <si>
    <t>148</t>
  </si>
  <si>
    <t>CF Phú Mỹ Hưng</t>
  </si>
  <si>
    <t>796</t>
  </si>
  <si>
    <t>CM Phú Mỹ Hưng</t>
  </si>
  <si>
    <t>620</t>
  </si>
  <si>
    <t>CM Rạch Giá</t>
  </si>
  <si>
    <t>1340</t>
  </si>
  <si>
    <t>266</t>
  </si>
  <si>
    <t>2635</t>
  </si>
  <si>
    <t>255</t>
  </si>
  <si>
    <t>6</t>
  </si>
  <si>
    <t>CF HN Madarin</t>
  </si>
  <si>
    <t>162</t>
  </si>
  <si>
    <t>393</t>
  </si>
  <si>
    <t>CF Lạc Long Quân</t>
  </si>
  <si>
    <t>10170</t>
  </si>
  <si>
    <t>ghi nhận DS</t>
  </si>
  <si>
    <t>55</t>
  </si>
  <si>
    <t>CF Hoàng Anh Thanh Bình</t>
  </si>
  <si>
    <t>10344</t>
  </si>
  <si>
    <t>CF Trịnh Đình Thảo</t>
  </si>
  <si>
    <t>10245</t>
  </si>
  <si>
    <t>348</t>
  </si>
  <si>
    <t>CF Đồng Nai</t>
  </si>
  <si>
    <t>60</t>
  </si>
  <si>
    <t>chưa có CT</t>
  </si>
  <si>
    <t>CM Bến Tre</t>
  </si>
  <si>
    <t>1629</t>
  </si>
  <si>
    <t>HĐ ncc xuất</t>
  </si>
  <si>
    <t>679</t>
  </si>
  <si>
    <t>CF Trần Trọng Cung</t>
  </si>
  <si>
    <t>11291</t>
  </si>
  <si>
    <t>CM Thủ Đức</t>
  </si>
  <si>
    <t>3822</t>
  </si>
  <si>
    <t>1604</t>
  </si>
  <si>
    <t>502</t>
  </si>
  <si>
    <t>143</t>
  </si>
  <si>
    <t>CF Nguyễn Duy Trinh</t>
  </si>
  <si>
    <t>13244</t>
  </si>
  <si>
    <t>13245</t>
  </si>
  <si>
    <t>391</t>
  </si>
  <si>
    <t>CF Vanh Dai</t>
  </si>
  <si>
    <t>14026</t>
  </si>
  <si>
    <t>CF Le Van Khuong</t>
  </si>
  <si>
    <t>14409</t>
  </si>
  <si>
    <t>CF Nguyen Thi Dinh</t>
  </si>
  <si>
    <t>14510</t>
  </si>
  <si>
    <t>1530</t>
  </si>
  <si>
    <t>00003654</t>
  </si>
  <si>
    <t>00003655</t>
  </si>
  <si>
    <t>00003656</t>
  </si>
  <si>
    <t>00003661</t>
  </si>
  <si>
    <t>00003662</t>
  </si>
  <si>
    <t>00003680</t>
  </si>
  <si>
    <t>00003682</t>
  </si>
  <si>
    <t>00003690</t>
  </si>
  <si>
    <t>00003694</t>
  </si>
  <si>
    <t>00003699</t>
  </si>
  <si>
    <t>00003761</t>
  </si>
  <si>
    <t>00003766</t>
  </si>
  <si>
    <t>00003776</t>
  </si>
  <si>
    <t>00003777</t>
  </si>
  <si>
    <t>00003795</t>
  </si>
  <si>
    <t>00003796</t>
  </si>
  <si>
    <t>00003835</t>
  </si>
  <si>
    <t>00003836</t>
  </si>
  <si>
    <t>00003837</t>
  </si>
  <si>
    <t>00003852</t>
  </si>
  <si>
    <t>00003857</t>
  </si>
  <si>
    <t>00003858</t>
  </si>
  <si>
    <t>01/10/2024</t>
  </si>
  <si>
    <t>03/10/2024</t>
  </si>
  <si>
    <t>04/10/2024</t>
  </si>
  <si>
    <t>07/10/2024</t>
  </si>
  <si>
    <t>09/10/2024</t>
  </si>
  <si>
    <t>11/10/2024</t>
  </si>
  <si>
    <t>14/10/2024</t>
  </si>
  <si>
    <t>15/10/2024</t>
  </si>
  <si>
    <t>00003867</t>
  </si>
  <si>
    <t>00003872</t>
  </si>
  <si>
    <t>00003881</t>
  </si>
  <si>
    <t>00003883</t>
  </si>
  <si>
    <t>00003885</t>
  </si>
  <si>
    <t>00003942</t>
  </si>
  <si>
    <t>00003943</t>
  </si>
  <si>
    <t>00003953</t>
  </si>
  <si>
    <t>00003954</t>
  </si>
  <si>
    <t>00003959</t>
  </si>
  <si>
    <t>00003979</t>
  </si>
  <si>
    <t>CÔNG TY TNHH MTV TMDV SAIGON CO.OP TOÀN TÂM</t>
  </si>
  <si>
    <t>Công ty TNHH Saigon Co-op Fairprice/Co-opXtra Tạ Quang Bửu</t>
  </si>
  <si>
    <t>16/10/2024</t>
  </si>
  <si>
    <t>18/10/2024</t>
  </si>
  <si>
    <t>21/10/2024</t>
  </si>
  <si>
    <t>22/10/2024</t>
  </si>
  <si>
    <t>23/10/2024</t>
  </si>
  <si>
    <t>25/10/2024</t>
  </si>
  <si>
    <t>HĐ HỦY</t>
  </si>
  <si>
    <t>00004023</t>
  </si>
  <si>
    <t>00004024</t>
  </si>
  <si>
    <t>00004025</t>
  </si>
  <si>
    <t>00004027</t>
  </si>
  <si>
    <t>00004028</t>
  </si>
  <si>
    <t>00004065</t>
  </si>
  <si>
    <t>00004085</t>
  </si>
  <si>
    <t>00004086</t>
  </si>
  <si>
    <t>00004117</t>
  </si>
  <si>
    <t>00004118</t>
  </si>
  <si>
    <t>00004124</t>
  </si>
  <si>
    <t>00004130</t>
  </si>
  <si>
    <t>00004131</t>
  </si>
  <si>
    <t>00004132</t>
  </si>
  <si>
    <t>00004133</t>
  </si>
  <si>
    <t>00004134</t>
  </si>
  <si>
    <t>00004161</t>
  </si>
  <si>
    <t>00004162</t>
  </si>
  <si>
    <t>00004163</t>
  </si>
  <si>
    <t>00004209</t>
  </si>
  <si>
    <t>00004217</t>
  </si>
  <si>
    <t>00004221</t>
  </si>
  <si>
    <t>00004222</t>
  </si>
  <si>
    <t>00004224</t>
  </si>
  <si>
    <t>00004225</t>
  </si>
  <si>
    <t>00004226</t>
  </si>
  <si>
    <t>00004227</t>
  </si>
  <si>
    <t>00004228</t>
  </si>
  <si>
    <t>00004229</t>
  </si>
  <si>
    <t>00004230</t>
  </si>
  <si>
    <t>00004231</t>
  </si>
  <si>
    <t>00004232</t>
  </si>
  <si>
    <t>00004233</t>
  </si>
  <si>
    <t>00004234</t>
  </si>
  <si>
    <t>00004235</t>
  </si>
  <si>
    <t>00004236</t>
  </si>
  <si>
    <t>00004237</t>
  </si>
  <si>
    <t>00004238</t>
  </si>
  <si>
    <t>00004239</t>
  </si>
  <si>
    <t>00004240</t>
  </si>
  <si>
    <t>00004241</t>
  </si>
  <si>
    <t>00004242</t>
  </si>
  <si>
    <t>00004243</t>
  </si>
  <si>
    <t>00004244</t>
  </si>
  <si>
    <t>00004245</t>
  </si>
  <si>
    <t>00004246</t>
  </si>
  <si>
    <t>00004247</t>
  </si>
  <si>
    <t>00004248</t>
  </si>
  <si>
    <t>00004249</t>
  </si>
  <si>
    <t>00004250</t>
  </si>
  <si>
    <t>00004251</t>
  </si>
  <si>
    <t>00004252</t>
  </si>
  <si>
    <t>00004253</t>
  </si>
  <si>
    <t>00004254</t>
  </si>
  <si>
    <t>00004255</t>
  </si>
  <si>
    <t>00004256</t>
  </si>
  <si>
    <t>00004257</t>
  </si>
  <si>
    <t>00004258</t>
  </si>
  <si>
    <t>00004259</t>
  </si>
  <si>
    <t>00004262</t>
  </si>
  <si>
    <t>00004264</t>
  </si>
  <si>
    <t>00004279</t>
  </si>
  <si>
    <t>00004281</t>
  </si>
  <si>
    <t>00004282</t>
  </si>
  <si>
    <t>00004283</t>
  </si>
  <si>
    <t>00004284</t>
  </si>
  <si>
    <t>00004285</t>
  </si>
  <si>
    <t>00004286</t>
  </si>
  <si>
    <t>00004287</t>
  </si>
  <si>
    <t>00004288</t>
  </si>
  <si>
    <t>00004289</t>
  </si>
  <si>
    <t>00004290</t>
  </si>
  <si>
    <t>00004291</t>
  </si>
  <si>
    <t>00004292</t>
  </si>
  <si>
    <t>00004293</t>
  </si>
  <si>
    <t>00004294</t>
  </si>
  <si>
    <t>00004295</t>
  </si>
  <si>
    <t>00004296</t>
  </si>
  <si>
    <t>00004297</t>
  </si>
  <si>
    <t>00004298</t>
  </si>
  <si>
    <t>00004299</t>
  </si>
  <si>
    <t>00004300</t>
  </si>
  <si>
    <t>00004301</t>
  </si>
  <si>
    <t>00004302</t>
  </si>
  <si>
    <t>00004303</t>
  </si>
  <si>
    <t>00004304</t>
  </si>
  <si>
    <t>00004305</t>
  </si>
  <si>
    <t>00004306</t>
  </si>
  <si>
    <t>00004307</t>
  </si>
  <si>
    <t>00004308</t>
  </si>
  <si>
    <t>00004309</t>
  </si>
  <si>
    <t>00004310</t>
  </si>
  <si>
    <t>00004311</t>
  </si>
  <si>
    <t>00004312</t>
  </si>
  <si>
    <t>00004313</t>
  </si>
  <si>
    <t>00004314</t>
  </si>
  <si>
    <t>00004315</t>
  </si>
  <si>
    <t>00004316</t>
  </si>
  <si>
    <t>00004317</t>
  </si>
  <si>
    <t>00004318</t>
  </si>
  <si>
    <t>00004319</t>
  </si>
  <si>
    <t>00004320</t>
  </si>
  <si>
    <t>00004321</t>
  </si>
  <si>
    <t>00004323</t>
  </si>
  <si>
    <t>00004331</t>
  </si>
  <si>
    <t>00004332</t>
  </si>
  <si>
    <t>00004333</t>
  </si>
  <si>
    <t>00004334</t>
  </si>
  <si>
    <t>00004335</t>
  </si>
  <si>
    <t>00004336</t>
  </si>
  <si>
    <t>00004337</t>
  </si>
  <si>
    <t>00004338</t>
  </si>
  <si>
    <t>00004339</t>
  </si>
  <si>
    <t>00004340</t>
  </si>
  <si>
    <t>00004341</t>
  </si>
  <si>
    <t>00004342</t>
  </si>
  <si>
    <t>00004343</t>
  </si>
  <si>
    <t>00004344</t>
  </si>
  <si>
    <t>00004345</t>
  </si>
  <si>
    <t>00004346</t>
  </si>
  <si>
    <t>00004347</t>
  </si>
  <si>
    <t>00004348</t>
  </si>
  <si>
    <t>00004349</t>
  </si>
  <si>
    <t>00004350</t>
  </si>
  <si>
    <t>00004351</t>
  </si>
  <si>
    <t>00004352</t>
  </si>
  <si>
    <t>00004353</t>
  </si>
  <si>
    <t>00004354</t>
  </si>
  <si>
    <t>00004355</t>
  </si>
  <si>
    <t>00004356</t>
  </si>
  <si>
    <t>00004357</t>
  </si>
  <si>
    <t>00004358</t>
  </si>
  <si>
    <t>00004359</t>
  </si>
  <si>
    <t>00004360</t>
  </si>
  <si>
    <t>00004361</t>
  </si>
  <si>
    <t>00004362</t>
  </si>
  <si>
    <t>00004363</t>
  </si>
  <si>
    <t>00004364</t>
  </si>
  <si>
    <t>00004365</t>
  </si>
  <si>
    <t>00004366</t>
  </si>
  <si>
    <t>00004367</t>
  </si>
  <si>
    <t>00004368</t>
  </si>
  <si>
    <t>00004369</t>
  </si>
  <si>
    <t>00004370</t>
  </si>
  <si>
    <t>00004371</t>
  </si>
  <si>
    <t>00004372</t>
  </si>
  <si>
    <t>00004373</t>
  </si>
  <si>
    <t>00004374</t>
  </si>
  <si>
    <t>00004376</t>
  </si>
  <si>
    <t>29/10/2024</t>
  </si>
  <si>
    <t>31/10/2024</t>
  </si>
  <si>
    <t>02/11/2024</t>
  </si>
  <si>
    <t>04/11/2024</t>
  </si>
  <si>
    <t>05/11/2024</t>
  </si>
  <si>
    <t>08/11/2024</t>
  </si>
  <si>
    <t>09/11/2024</t>
  </si>
  <si>
    <t>11/11/2024</t>
  </si>
  <si>
    <t>12/11/2024</t>
  </si>
  <si>
    <t>13/11/2024</t>
  </si>
  <si>
    <t>14/11/2024</t>
  </si>
  <si>
    <t>Chi Nhánh Liên Hiệp Hợp Tác Xã Thương Mại TP.Hồ Chí Minh - Co.opMart Tô Ký</t>
  </si>
  <si>
    <t>CÔNG TY TNHH MỘT THÀNH VIÊN TMDV-SIÊU THỊ CO.OPMART ĐÀ NẴNG</t>
  </si>
  <si>
    <t>CÔNG TY TNHH MỘT THÀNH VIÊN THƯƠNG MẠI DỊCH VỤ SÀI GÒN - BẠC LIÊU 2</t>
  </si>
  <si>
    <t>CÔNG TY TNHH MỘT THÀNH VIÊN SÀI GÒN CO.OP PHÚ NHUẬN</t>
  </si>
  <si>
    <t>CÔNG TY TNHH MỘT THÀNH VIÊN SÀI GÒN CO.OP THẮNG LỢI</t>
  </si>
  <si>
    <t>CÔNG TY TNHH MỘT THÀNH VIÊN THƯƠNG MẠI DỊCH VỤ BÌNH ĐÔNG</t>
  </si>
  <si>
    <t>CÔNG TY TNHH MỘT THÀNH VIÊN SÀI GÒN CO.OP HẬU GIANG</t>
  </si>
  <si>
    <t>CHI NHÁNH LIÊN HIỆP HỢP TÁC XÃ THƯƠNG MẠI TP.HỒ CHÍ MINH- CO.OPMART BẾN TRE</t>
  </si>
  <si>
    <t>CHI NHÁNH LIÊN HIỆP HỢP TÁC XÃ THƯƠNG MẠI TP.HỒ CHÍ MINH-CO.OPMART BÀ RỊA</t>
  </si>
  <si>
    <t>CHI NHÁNH LIÊN HIỆP HỢP TÁC XÃ THƯƠNG MẠI TP.HỒ CHÍ MINH–CO.OPMART GÒ CÔNG</t>
  </si>
  <si>
    <t>CÔNG TY TNHH MTV CO.OPMART HOÀ BÌNH</t>
  </si>
  <si>
    <t>CÔNG TY TNHH THƯƠNG MẠI DỊCH VỤ ĐỒNG THỊNH</t>
  </si>
  <si>
    <t>Công ty TNHH Saigon Co-op Fairprice/Co-opXtra Tân Phong</t>
  </si>
  <si>
    <t>CHI NHÁNH LIÊN HIỆP HỢP TÁC XÃ THƯƠNG MẠI TP. HỒ CHÍ MINH - CO.OPMART VĂN THÁNH</t>
  </si>
  <si>
    <t>CÔNG TY TNHH MỘT THÀNH VIÊN SÀI GÒN CO.OP ĐẦM SEN</t>
  </si>
  <si>
    <t>CO.OPMART THẮNG LỢI -TRƯỜNG CHINH</t>
  </si>
  <si>
    <t>CHI NHÁNH LIÊN HIỆP HỢP TÁC XÃ THƯƠNG MẠI TP.HỒ CHÍ MINH- CO.OPMART LA GI</t>
  </si>
  <si>
    <t>Chi Nhánh Liên Hiệp Hợp Tác Xã Thương Mại TP.Hồ Chí Minh - Co.opMart Hiệp Thành</t>
  </si>
  <si>
    <t>CN LIÊN HIỆP HTX TM TP.HỒ CHÍ MINH - CO.OPMART CHÂU ĐỐC</t>
  </si>
  <si>
    <t>CHI NHÁNH LIÊN HIỆP HỢP TÁC XÃ THƯƠNG MẠI TP. HỒ CHÍ MINH - CO.OPMART DUYÊN HẢI</t>
  </si>
  <si>
    <t>Chi Nhánh Liên Hiệp Hợp Tác Xã Thương Mại TP.Hồ Chí Minh - Co.opMart Tân Biên</t>
  </si>
  <si>
    <t>Co.opMart SCA – GOLDENSILK</t>
  </si>
  <si>
    <t>00575-ĐĐKD Cty TNHH MTV Sài Gòn Co.op Phú Lâm - Co.opMart Phạm Thế Hiển</t>
  </si>
  <si>
    <t>4410</t>
  </si>
  <si>
    <t>4488</t>
  </si>
  <si>
    <t>4489</t>
  </si>
  <si>
    <t>4490</t>
  </si>
  <si>
    <t>4491</t>
  </si>
  <si>
    <t>4524</t>
  </si>
  <si>
    <t>4526</t>
  </si>
  <si>
    <t>4528</t>
  </si>
  <si>
    <t>4541</t>
  </si>
  <si>
    <t>4527</t>
  </si>
  <si>
    <t>4542</t>
  </si>
  <si>
    <t>4556</t>
  </si>
  <si>
    <t>4560</t>
  </si>
  <si>
    <t>4575</t>
  </si>
  <si>
    <t>4574</t>
  </si>
  <si>
    <t>1257</t>
  </si>
  <si>
    <t>CÔNG TY TNHH MỘT THÀNH VIÊN THƯƠNG MẠI DỊCH VỤ AN ĐÔNG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</si>
  <si>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</si>
  <si>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</si>
  <si>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</si>
  <si>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</si>
  <si>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</si>
  <si>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</si>
  <si>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</si>
  <si>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27/11/2024</t>
  </si>
  <si>
    <t>28/11/2024</t>
  </si>
  <si>
    <t>00004382</t>
  </si>
  <si>
    <t>00004383</t>
  </si>
  <si>
    <t>00004412</t>
  </si>
  <si>
    <t>00004488</t>
  </si>
  <si>
    <t>00004494</t>
  </si>
  <si>
    <t>00004495</t>
  </si>
  <si>
    <t>00004496</t>
  </si>
  <si>
    <t>00004523</t>
  </si>
  <si>
    <t>00004544</t>
  </si>
  <si>
    <t>00004561</t>
  </si>
  <si>
    <t>00004562</t>
  </si>
  <si>
    <t>00004583</t>
  </si>
  <si>
    <t>00004641</t>
  </si>
  <si>
    <t>00004642</t>
  </si>
  <si>
    <t>00004644</t>
  </si>
  <si>
    <t>00004691</t>
  </si>
  <si>
    <t>00004692</t>
  </si>
  <si>
    <t>00004693</t>
  </si>
  <si>
    <t>00004694</t>
  </si>
  <si>
    <t>00004695</t>
  </si>
  <si>
    <t>00004727</t>
  </si>
  <si>
    <t>4834</t>
  </si>
  <si>
    <t>678</t>
  </si>
  <si>
    <t>5242</t>
  </si>
  <si>
    <t>1749</t>
  </si>
  <si>
    <t>584</t>
  </si>
  <si>
    <t>770</t>
  </si>
  <si>
    <t>1708</t>
  </si>
  <si>
    <t>618</t>
  </si>
  <si>
    <t>00004773</t>
  </si>
  <si>
    <t>00004810</t>
  </si>
  <si>
    <t>00004811</t>
  </si>
  <si>
    <t>00004814</t>
  </si>
  <si>
    <t>00004820</t>
  </si>
  <si>
    <t>00004836</t>
  </si>
  <si>
    <t>00004847</t>
  </si>
  <si>
    <t>00004848</t>
  </si>
  <si>
    <t>00004863</t>
  </si>
  <si>
    <t>00004877</t>
  </si>
  <si>
    <t>00004887</t>
  </si>
  <si>
    <t>00004888</t>
  </si>
  <si>
    <t>00004906</t>
  </si>
  <si>
    <t>00004907</t>
  </si>
  <si>
    <t>00004910</t>
  </si>
  <si>
    <t>00004923</t>
  </si>
  <si>
    <t>00004927</t>
  </si>
  <si>
    <t>00004929</t>
  </si>
  <si>
    <t>00004935</t>
  </si>
  <si>
    <t>00005006</t>
  </si>
  <si>
    <t>00005007</t>
  </si>
  <si>
    <t>00005008</t>
  </si>
  <si>
    <t>00005009</t>
  </si>
  <si>
    <t>00005010</t>
  </si>
  <si>
    <t>00005019</t>
  </si>
  <si>
    <t>00005024</t>
  </si>
  <si>
    <t>00005055</t>
  </si>
  <si>
    <t>00005082</t>
  </si>
  <si>
    <t>00005090</t>
  </si>
  <si>
    <t>00005091</t>
  </si>
  <si>
    <t>00005096</t>
  </si>
  <si>
    <t>00005179</t>
  </si>
  <si>
    <t>00005180</t>
  </si>
  <si>
    <t>00005190</t>
  </si>
  <si>
    <t>00005191</t>
  </si>
  <si>
    <t>00005192</t>
  </si>
  <si>
    <t>00005217</t>
  </si>
  <si>
    <t>00005225</t>
  </si>
  <si>
    <t>00005230</t>
  </si>
  <si>
    <t>00005240</t>
  </si>
  <si>
    <t>00005250</t>
  </si>
  <si>
    <t>00005254</t>
  </si>
  <si>
    <t>00005255</t>
  </si>
  <si>
    <t>00005256</t>
  </si>
  <si>
    <t>00005259</t>
  </si>
  <si>
    <t>00005264</t>
  </si>
  <si>
    <t>00005291</t>
  </si>
  <si>
    <t>00005292</t>
  </si>
  <si>
    <t>00005294</t>
  </si>
  <si>
    <t>00005309</t>
  </si>
  <si>
    <t>00005310</t>
  </si>
  <si>
    <t>00005320</t>
  </si>
  <si>
    <t>00005353</t>
  </si>
  <si>
    <t>00005354</t>
  </si>
  <si>
    <t>01/12/2024</t>
  </si>
  <si>
    <t>02/12/2024</t>
  </si>
  <si>
    <t>03/12/2024</t>
  </si>
  <si>
    <t>04/12/2024</t>
  </si>
  <si>
    <t>05/12/2024</t>
  </si>
  <si>
    <t>06/12/2024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</si>
  <si>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</si>
  <si>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</si>
  <si>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</si>
  <si>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</si>
  <si>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</si>
  <si>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</si>
  <si>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</si>
  <si>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20/12/2024</t>
  </si>
  <si>
    <t>21/12/2024</t>
  </si>
  <si>
    <t>Coopfood Hà Huy Tập</t>
  </si>
  <si>
    <t>4917</t>
  </si>
  <si>
    <t>5079</t>
  </si>
  <si>
    <t>5352</t>
  </si>
  <si>
    <t>4805</t>
  </si>
  <si>
    <t>4602</t>
  </si>
  <si>
    <t>CM Phạm Thế Hiển</t>
  </si>
  <si>
    <t>1685</t>
  </si>
  <si>
    <t>00005366</t>
  </si>
  <si>
    <t>00005370</t>
  </si>
  <si>
    <t>00005379</t>
  </si>
  <si>
    <t>00005382</t>
  </si>
  <si>
    <t>00005383</t>
  </si>
  <si>
    <t>00005384</t>
  </si>
  <si>
    <t>00005385</t>
  </si>
  <si>
    <t>00005396</t>
  </si>
  <si>
    <t>00005399</t>
  </si>
  <si>
    <t>00005415</t>
  </si>
  <si>
    <t>00005449</t>
  </si>
  <si>
    <t>00005459</t>
  </si>
  <si>
    <t>00005460</t>
  </si>
  <si>
    <t>00005464</t>
  </si>
  <si>
    <t>00005466</t>
  </si>
  <si>
    <t>00005478</t>
  </si>
  <si>
    <t>00005491</t>
  </si>
  <si>
    <t>00005494</t>
  </si>
  <si>
    <t>00005495</t>
  </si>
  <si>
    <t>00005496</t>
  </si>
  <si>
    <t>00005499</t>
  </si>
  <si>
    <t>00005540</t>
  </si>
  <si>
    <t>00005546</t>
  </si>
  <si>
    <t>00005547</t>
  </si>
  <si>
    <t>00005549</t>
  </si>
  <si>
    <t>00005550</t>
  </si>
  <si>
    <t>00005552</t>
  </si>
  <si>
    <t>00005559</t>
  </si>
  <si>
    <t>00005562</t>
  </si>
  <si>
    <t>00005565</t>
  </si>
  <si>
    <t>00005566</t>
  </si>
  <si>
    <t>00005595</t>
  </si>
  <si>
    <t>00005596</t>
  </si>
  <si>
    <t>00005605</t>
  </si>
  <si>
    <t>00005606</t>
  </si>
  <si>
    <t>00005607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</si>
  <si>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</si>
  <si>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</si>
  <si>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</si>
  <si>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</si>
  <si>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</si>
  <si>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</si>
  <si>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</si>
  <si>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</si>
  <si>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</si>
  <si>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Co-opFood HỒ VĂN LONG 70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</si>
  <si>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</si>
  <si>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</si>
  <si>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</si>
  <si>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</si>
  <si>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</si>
  <si>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</si>
  <si>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</si>
  <si>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</si>
  <si>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11/01/2025</t>
  </si>
  <si>
    <t>13/01/2025</t>
  </si>
  <si>
    <t>14/01/2025</t>
  </si>
  <si>
    <t>00000011</t>
  </si>
  <si>
    <t>00000016</t>
  </si>
  <si>
    <t>00000020</t>
  </si>
  <si>
    <t>00000021</t>
  </si>
  <si>
    <t>00000022</t>
  </si>
  <si>
    <t>00000032</t>
  </si>
  <si>
    <t>00000043</t>
  </si>
  <si>
    <t>00000048</t>
  </si>
  <si>
    <t>00000049</t>
  </si>
  <si>
    <t>00000081</t>
  </si>
  <si>
    <t>00000084</t>
  </si>
  <si>
    <t>00000085</t>
  </si>
  <si>
    <t>00000086</t>
  </si>
  <si>
    <t>00000088</t>
  </si>
  <si>
    <t>00000089</t>
  </si>
  <si>
    <t>00000096</t>
  </si>
  <si>
    <t>00000106</t>
  </si>
  <si>
    <t>00000116</t>
  </si>
  <si>
    <t>00000134</t>
  </si>
  <si>
    <t>00000154</t>
  </si>
  <si>
    <t>00000160</t>
  </si>
  <si>
    <t>00000164</t>
  </si>
  <si>
    <t>00000165</t>
  </si>
  <si>
    <t>00000174</t>
  </si>
  <si>
    <t>00000178</t>
  </si>
  <si>
    <t>00000185</t>
  </si>
  <si>
    <t>00000201</t>
  </si>
  <si>
    <t>00000229</t>
  </si>
  <si>
    <t>00000230</t>
  </si>
  <si>
    <t>00000231</t>
  </si>
  <si>
    <t>00000235</t>
  </si>
  <si>
    <t>00000236</t>
  </si>
  <si>
    <t>00000237</t>
  </si>
  <si>
    <t>00000238</t>
  </si>
  <si>
    <t>00000240</t>
  </si>
  <si>
    <t>00000245</t>
  </si>
  <si>
    <t>00000247</t>
  </si>
  <si>
    <t>00000278</t>
  </si>
  <si>
    <t>00000279</t>
  </si>
  <si>
    <t>00000280</t>
  </si>
  <si>
    <t>00000281</t>
  </si>
  <si>
    <t>00000293</t>
  </si>
  <si>
    <t>00000294</t>
  </si>
  <si>
    <t>00000295</t>
  </si>
  <si>
    <t>00000298</t>
  </si>
  <si>
    <t>00000317</t>
  </si>
  <si>
    <t>00000334</t>
  </si>
  <si>
    <t>00000335</t>
  </si>
  <si>
    <t>5118</t>
  </si>
  <si>
    <t>????</t>
  </si>
  <si>
    <t>00000344</t>
  </si>
  <si>
    <t>00000347</t>
  </si>
  <si>
    <t>00000351</t>
  </si>
  <si>
    <t>00000361</t>
  </si>
  <si>
    <t>00000394</t>
  </si>
  <si>
    <t>00000396</t>
  </si>
  <si>
    <t>00000423</t>
  </si>
  <si>
    <t>00000425</t>
  </si>
  <si>
    <t>00000426</t>
  </si>
  <si>
    <t>00000434</t>
  </si>
  <si>
    <t>00000549</t>
  </si>
  <si>
    <t>00000550</t>
  </si>
  <si>
    <t>00000552</t>
  </si>
  <si>
    <t>00000553</t>
  </si>
  <si>
    <t>00000565</t>
  </si>
  <si>
    <t>00000581</t>
  </si>
  <si>
    <t>00000624</t>
  </si>
  <si>
    <t>00000625</t>
  </si>
  <si>
    <t>00000626</t>
  </si>
  <si>
    <t>00000627</t>
  </si>
  <si>
    <t>00000654</t>
  </si>
  <si>
    <t>00000662</t>
  </si>
  <si>
    <t>00000665</t>
  </si>
  <si>
    <t>00000675</t>
  </si>
  <si>
    <t>00000676</t>
  </si>
  <si>
    <t>00000683</t>
  </si>
  <si>
    <t>00000684</t>
  </si>
  <si>
    <t>00000745</t>
  </si>
  <si>
    <t>15/01/2025</t>
  </si>
  <si>
    <t>16/01/2025</t>
  </si>
  <si>
    <t>17/01/2025</t>
  </si>
  <si>
    <t>07/02/2025</t>
  </si>
  <si>
    <t>08/02/2025</t>
  </si>
  <si>
    <t>10/02/2025</t>
  </si>
  <si>
    <t>11/02/2025</t>
  </si>
  <si>
    <t>13/02/2025</t>
  </si>
  <si>
    <t>15/02/2025</t>
  </si>
  <si>
    <t>355</t>
  </si>
  <si>
    <t>392</t>
  </si>
  <si>
    <t>753</t>
  </si>
  <si>
    <t>766</t>
  </si>
  <si>
    <t>767</t>
  </si>
  <si>
    <t>768</t>
  </si>
  <si>
    <t>797</t>
  </si>
  <si>
    <t>798</t>
  </si>
  <si>
    <t>799</t>
  </si>
  <si>
    <t>806</t>
  </si>
  <si>
    <t>00000868</t>
  </si>
  <si>
    <t>00000872</t>
  </si>
  <si>
    <t>00000873</t>
  </si>
  <si>
    <t>00000905</t>
  </si>
  <si>
    <t>00000907</t>
  </si>
  <si>
    <t>00000908</t>
  </si>
  <si>
    <t>00000924</t>
  </si>
  <si>
    <t>00000928</t>
  </si>
  <si>
    <t>00000948</t>
  </si>
  <si>
    <t>00000980</t>
  </si>
  <si>
    <t>00000981</t>
  </si>
  <si>
    <t>25/02/2025</t>
  </si>
  <si>
    <t>27/02/2025</t>
  </si>
  <si>
    <t>01/03/2025</t>
  </si>
  <si>
    <t>04/03/2025</t>
  </si>
  <si>
    <t>922</t>
  </si>
  <si>
    <t>962</t>
  </si>
  <si>
    <t>183</t>
  </si>
  <si>
    <t>CM Tạ Quang Bửu</t>
  </si>
  <si>
    <t>1194</t>
  </si>
  <si>
    <t>103</t>
  </si>
  <si>
    <t>CM 96 Hùng Vương</t>
  </si>
  <si>
    <t>44</t>
  </si>
  <si>
    <t>49</t>
  </si>
  <si>
    <t>250</t>
  </si>
  <si>
    <t>CM Cần Thơ 2</t>
  </si>
  <si>
    <t>117</t>
  </si>
  <si>
    <t>36</t>
  </si>
  <si>
    <t>CM Hậu Giang 2</t>
  </si>
  <si>
    <t>53</t>
  </si>
  <si>
    <t>CM Long Biên</t>
  </si>
  <si>
    <t>195</t>
  </si>
  <si>
    <t>171</t>
  </si>
  <si>
    <t>101</t>
  </si>
  <si>
    <t>224</t>
  </si>
  <si>
    <t>248</t>
  </si>
  <si>
    <t>135</t>
  </si>
  <si>
    <t>CM Can Lộc</t>
  </si>
  <si>
    <t>51</t>
  </si>
  <si>
    <t>1599</t>
  </si>
  <si>
    <t>CM Thắng Lợi Trường Chinh</t>
  </si>
  <si>
    <t>190</t>
  </si>
  <si>
    <t>Phí HT Khuyến Mại</t>
  </si>
  <si>
    <t>187</t>
  </si>
  <si>
    <t>191</t>
  </si>
  <si>
    <t>206</t>
  </si>
  <si>
    <t>166</t>
  </si>
  <si>
    <t>175</t>
  </si>
  <si>
    <t>2151</t>
  </si>
  <si>
    <t>2214</t>
  </si>
  <si>
    <t>164</t>
  </si>
  <si>
    <t>311</t>
  </si>
  <si>
    <t>215</t>
  </si>
  <si>
    <t>243</t>
  </si>
  <si>
    <t>271</t>
  </si>
  <si>
    <t>168</t>
  </si>
  <si>
    <t>463</t>
  </si>
  <si>
    <t>CM Hà Đô</t>
  </si>
  <si>
    <t>528</t>
  </si>
  <si>
    <t>267</t>
  </si>
  <si>
    <t>550</t>
  </si>
  <si>
    <t>CM SCA- GoldSilk</t>
  </si>
  <si>
    <t>384</t>
  </si>
  <si>
    <t>416</t>
  </si>
  <si>
    <t>261</t>
  </si>
  <si>
    <t>115</t>
  </si>
  <si>
    <t>403</t>
  </si>
  <si>
    <t>593</t>
  </si>
  <si>
    <t>333</t>
  </si>
  <si>
    <t>đã hủy</t>
  </si>
  <si>
    <t>00000999</t>
  </si>
  <si>
    <t>00001000</t>
  </si>
  <si>
    <t>00001005</t>
  </si>
  <si>
    <t>00001063</t>
  </si>
  <si>
    <t>00001068</t>
  </si>
  <si>
    <t>00001070</t>
  </si>
  <si>
    <t>00001071</t>
  </si>
  <si>
    <t>00001072</t>
  </si>
  <si>
    <t>00001084</t>
  </si>
  <si>
    <t>00001087</t>
  </si>
  <si>
    <t>00001093</t>
  </si>
  <si>
    <t>00001094</t>
  </si>
  <si>
    <t>00001097</t>
  </si>
  <si>
    <t>00001131</t>
  </si>
  <si>
    <t>00001135</t>
  </si>
  <si>
    <t>00001144</t>
  </si>
  <si>
    <t>00001174</t>
  </si>
  <si>
    <t>00001175</t>
  </si>
  <si>
    <t>00001176</t>
  </si>
  <si>
    <t>00001192</t>
  </si>
  <si>
    <t>00001220</t>
  </si>
  <si>
    <t>00001224</t>
  </si>
  <si>
    <t>00001226</t>
  </si>
  <si>
    <t>00001227</t>
  </si>
  <si>
    <t>00001237</t>
  </si>
  <si>
    <t>00001240</t>
  </si>
  <si>
    <t>00001246</t>
  </si>
  <si>
    <t>00001247</t>
  </si>
  <si>
    <t>00001314</t>
  </si>
  <si>
    <t>00001331</t>
  </si>
  <si>
    <t>00001358</t>
  </si>
  <si>
    <t>00001370</t>
  </si>
  <si>
    <t>00001380</t>
  </si>
  <si>
    <t>00001381</t>
  </si>
  <si>
    <t>07/03/2025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</si>
  <si>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</si>
  <si>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</si>
  <si>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</si>
  <si>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</si>
  <si>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</si>
  <si>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</si>
  <si>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</si>
  <si>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</si>
  <si>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20/03/2025</t>
  </si>
  <si>
    <t>21/03/2025</t>
  </si>
  <si>
    <t>25/03/2025</t>
  </si>
  <si>
    <t>26/03/2025</t>
  </si>
  <si>
    <t>29/03/2025</t>
  </si>
  <si>
    <t>274</t>
  </si>
  <si>
    <t>CM Cao Thắng</t>
  </si>
  <si>
    <t>275</t>
  </si>
  <si>
    <t>00001424</t>
  </si>
  <si>
    <t>00001449</t>
  </si>
  <si>
    <t>00001450</t>
  </si>
  <si>
    <t>00001451</t>
  </si>
  <si>
    <t>00001452</t>
  </si>
  <si>
    <t>00001453</t>
  </si>
  <si>
    <t>00001454</t>
  </si>
  <si>
    <t>00001455</t>
  </si>
  <si>
    <t>00001456</t>
  </si>
  <si>
    <t>00001457</t>
  </si>
  <si>
    <t>00001459</t>
  </si>
  <si>
    <t>00001460</t>
  </si>
  <si>
    <t>00001461</t>
  </si>
  <si>
    <t>00001462</t>
  </si>
  <si>
    <t>00001463</t>
  </si>
  <si>
    <t>00001464</t>
  </si>
  <si>
    <t>00001465</t>
  </si>
  <si>
    <t>00001466</t>
  </si>
  <si>
    <t>00001467</t>
  </si>
  <si>
    <t>00001468</t>
  </si>
  <si>
    <t>00001472</t>
  </si>
  <si>
    <t>00001473</t>
  </si>
  <si>
    <t>00001474</t>
  </si>
  <si>
    <t>00001475</t>
  </si>
  <si>
    <t>00001476</t>
  </si>
  <si>
    <t>00001477</t>
  </si>
  <si>
    <t>00001480</t>
  </si>
  <si>
    <t>00001481</t>
  </si>
  <si>
    <t>00001482</t>
  </si>
  <si>
    <t>00001483</t>
  </si>
  <si>
    <t>00001484</t>
  </si>
  <si>
    <t>00001485</t>
  </si>
  <si>
    <t>00001487</t>
  </si>
  <si>
    <t>00001490</t>
  </si>
  <si>
    <t>00001491</t>
  </si>
  <si>
    <t>00001493</t>
  </si>
  <si>
    <t>00001494</t>
  </si>
  <si>
    <t>00001495</t>
  </si>
  <si>
    <t>00001496</t>
  </si>
  <si>
    <t>00001499</t>
  </si>
  <si>
    <t>00001501</t>
  </si>
  <si>
    <t>00001502</t>
  </si>
  <si>
    <t>00001503</t>
  </si>
  <si>
    <t>00001504</t>
  </si>
  <si>
    <t>00001505</t>
  </si>
  <si>
    <t>00001506</t>
  </si>
  <si>
    <t>00001507</t>
  </si>
  <si>
    <t>00001508</t>
  </si>
  <si>
    <t>00001509</t>
  </si>
  <si>
    <t>00001510</t>
  </si>
  <si>
    <t>00001511</t>
  </si>
  <si>
    <t>00001512</t>
  </si>
  <si>
    <t>00001513</t>
  </si>
  <si>
    <t>00001514</t>
  </si>
  <si>
    <t>00001515</t>
  </si>
  <si>
    <t>00001516</t>
  </si>
  <si>
    <t>00001517</t>
  </si>
  <si>
    <t>00001518</t>
  </si>
  <si>
    <t>00001519</t>
  </si>
  <si>
    <t>00001520</t>
  </si>
  <si>
    <t>00001521</t>
  </si>
  <si>
    <t>00001522</t>
  </si>
  <si>
    <t>00001524</t>
  </si>
  <si>
    <t>00001525</t>
  </si>
  <si>
    <t>00001526</t>
  </si>
  <si>
    <t>00001527</t>
  </si>
  <si>
    <t>00001528</t>
  </si>
  <si>
    <t>00001529</t>
  </si>
  <si>
    <t>00001530</t>
  </si>
  <si>
    <t>00001531</t>
  </si>
  <si>
    <t>00001532</t>
  </si>
  <si>
    <t>00001533</t>
  </si>
  <si>
    <t>00001534</t>
  </si>
  <si>
    <t>00001535</t>
  </si>
  <si>
    <t>00001536</t>
  </si>
  <si>
    <t>00001537</t>
  </si>
  <si>
    <t>00001538</t>
  </si>
  <si>
    <t>00001539</t>
  </si>
  <si>
    <t>00001540</t>
  </si>
  <si>
    <t>00001541</t>
  </si>
  <si>
    <t>00001542</t>
  </si>
  <si>
    <t>00001543</t>
  </si>
  <si>
    <t>00001544</t>
  </si>
  <si>
    <t>00001545</t>
  </si>
  <si>
    <t>00001546</t>
  </si>
  <si>
    <t>00001547</t>
  </si>
  <si>
    <t>00001548</t>
  </si>
  <si>
    <t>00001549</t>
  </si>
  <si>
    <t>00001550</t>
  </si>
  <si>
    <t>00001554</t>
  </si>
  <si>
    <t>00001556</t>
  </si>
  <si>
    <t>00001559</t>
  </si>
  <si>
    <t>00001562</t>
  </si>
  <si>
    <t>00001565</t>
  </si>
  <si>
    <t>00001567</t>
  </si>
  <si>
    <t>00001568</t>
  </si>
  <si>
    <t>00001569</t>
  </si>
  <si>
    <t>00001576</t>
  </si>
  <si>
    <t>00001580</t>
  </si>
  <si>
    <t>00001581</t>
  </si>
  <si>
    <t>00001589</t>
  </si>
  <si>
    <t>00001645</t>
  </si>
  <si>
    <t>00001660</t>
  </si>
  <si>
    <t>01/04/2025</t>
  </si>
  <si>
    <t>02/04/2025</t>
  </si>
  <si>
    <t>03/04/2025</t>
  </si>
  <si>
    <t>05/04/2025</t>
  </si>
  <si>
    <t>08/04/2025</t>
  </si>
  <si>
    <t>1432</t>
  </si>
  <si>
    <t>1433</t>
  </si>
  <si>
    <t>1445</t>
  </si>
  <si>
    <t>sai địa chỉ, thay bằng 1087</t>
  </si>
  <si>
    <t>đã ghi nhận</t>
  </si>
  <si>
    <t>286</t>
  </si>
  <si>
    <t>HỦY, THAY BẰNG 3761</t>
  </si>
  <si>
    <t>thay bằng 20</t>
  </si>
  <si>
    <t>thay bằng 4118</t>
  </si>
  <si>
    <t>thay bằng 4412</t>
  </si>
  <si>
    <t>thay bằng 39</t>
  </si>
  <si>
    <t>thay bằng 86</t>
  </si>
  <si>
    <t>thay bằng 116</t>
  </si>
  <si>
    <t>10/04/2025</t>
  </si>
  <si>
    <t>00001679</t>
  </si>
  <si>
    <t>00001680</t>
  </si>
  <si>
    <t>00001681</t>
  </si>
  <si>
    <t>CM Tân Phong</t>
  </si>
  <si>
    <t>3984</t>
  </si>
  <si>
    <t>1705</t>
  </si>
  <si>
    <t>1695</t>
  </si>
  <si>
    <t>1696</t>
  </si>
  <si>
    <t>1707</t>
  </si>
  <si>
    <t>00001742</t>
  </si>
  <si>
    <t>00001757</t>
  </si>
  <si>
    <t>00001759</t>
  </si>
  <si>
    <t>00001793</t>
  </si>
  <si>
    <t>00001794</t>
  </si>
  <si>
    <t>00001890</t>
  </si>
  <si>
    <t>00001891</t>
  </si>
  <si>
    <t>00001892</t>
  </si>
  <si>
    <t>00001893</t>
  </si>
  <si>
    <t>00001913</t>
  </si>
  <si>
    <t>00001914</t>
  </si>
  <si>
    <t>00001915</t>
  </si>
  <si>
    <t>00001916</t>
  </si>
  <si>
    <t>00001921</t>
  </si>
  <si>
    <t>14/04/2025</t>
  </si>
  <si>
    <t>15/04/2025</t>
  </si>
  <si>
    <t>18/04/2025</t>
  </si>
  <si>
    <t>22/04/2025</t>
  </si>
  <si>
    <t>23/04/2025</t>
  </si>
  <si>
    <t>1911</t>
  </si>
  <si>
    <t>407</t>
  </si>
  <si>
    <t>00001933</t>
  </si>
  <si>
    <t>00001947</t>
  </si>
  <si>
    <t>00001948</t>
  </si>
  <si>
    <t>00002008</t>
  </si>
  <si>
    <t>00002009</t>
  </si>
  <si>
    <t>00002010</t>
  </si>
  <si>
    <t>00002011</t>
  </si>
  <si>
    <t>00002012</t>
  </si>
  <si>
    <t>00002023</t>
  </si>
  <si>
    <t>00002052</t>
  </si>
  <si>
    <t>00002053</t>
  </si>
  <si>
    <t>00002054</t>
  </si>
  <si>
    <t>00002056</t>
  </si>
  <si>
    <t>00002084</t>
  </si>
  <si>
    <t>00002086</t>
  </si>
  <si>
    <t>25/04/2025</t>
  </si>
  <si>
    <t>29/04/2025</t>
  </si>
  <si>
    <t>03/05/2025</t>
  </si>
  <si>
    <t>00002090</t>
  </si>
  <si>
    <t>00002092</t>
  </si>
  <si>
    <t>00002114</t>
  </si>
  <si>
    <t>00002115</t>
  </si>
  <si>
    <t>00002145</t>
  </si>
  <si>
    <t>00002146</t>
  </si>
  <si>
    <t>00002164</t>
  </si>
  <si>
    <t>00002165</t>
  </si>
  <si>
    <t>00002166</t>
  </si>
  <si>
    <t>00002187</t>
  </si>
  <si>
    <t>00002188</t>
  </si>
  <si>
    <t>00002224</t>
  </si>
  <si>
    <t>00002225</t>
  </si>
  <si>
    <t>00002226</t>
  </si>
  <si>
    <t>00002227</t>
  </si>
  <si>
    <t>00002228</t>
  </si>
  <si>
    <t>00002240</t>
  </si>
  <si>
    <t>00002247</t>
  </si>
  <si>
    <t>00002248</t>
  </si>
  <si>
    <t>00002249</t>
  </si>
  <si>
    <t>00002258</t>
  </si>
  <si>
    <t>00002263</t>
  </si>
  <si>
    <t>00002283</t>
  </si>
  <si>
    <t>00002285</t>
  </si>
  <si>
    <t>00002303</t>
  </si>
  <si>
    <t>00002304</t>
  </si>
  <si>
    <t>00002307</t>
  </si>
  <si>
    <t>00002379</t>
  </si>
  <si>
    <t>00002380</t>
  </si>
  <si>
    <t>00002381</t>
  </si>
  <si>
    <t>00002382</t>
  </si>
  <si>
    <t>00002383</t>
  </si>
  <si>
    <t>00002384</t>
  </si>
  <si>
    <t>00002385</t>
  </si>
  <si>
    <t>00002386</t>
  </si>
  <si>
    <t>00002390</t>
  </si>
  <si>
    <t>00002411</t>
  </si>
  <si>
    <t>00002412</t>
  </si>
  <si>
    <t>00002413</t>
  </si>
  <si>
    <t>00002414</t>
  </si>
  <si>
    <t>00002448</t>
  </si>
  <si>
    <t>00002449</t>
  </si>
  <si>
    <t>00002450</t>
  </si>
  <si>
    <t>00002452</t>
  </si>
  <si>
    <t>00002518</t>
  </si>
  <si>
    <t>00002552</t>
  </si>
  <si>
    <t>00002553</t>
  </si>
  <si>
    <t>00002554</t>
  </si>
  <si>
    <t>00002555</t>
  </si>
  <si>
    <t>00002556</t>
  </si>
  <si>
    <t>00002557</t>
  </si>
  <si>
    <t>00002685</t>
  </si>
  <si>
    <t>00002686</t>
  </si>
  <si>
    <t>00002688</t>
  </si>
  <si>
    <t>00002689</t>
  </si>
  <si>
    <t>00002690</t>
  </si>
  <si>
    <t>00002691</t>
  </si>
  <si>
    <t>00002700</t>
  </si>
  <si>
    <t>00002701</t>
  </si>
  <si>
    <t>00002702</t>
  </si>
  <si>
    <t>00002717</t>
  </si>
  <si>
    <t>00002741</t>
  </si>
  <si>
    <t>00002742</t>
  </si>
  <si>
    <t>00002743</t>
  </si>
  <si>
    <t>00002746</t>
  </si>
  <si>
    <t>00002755</t>
  </si>
  <si>
    <t>00002758</t>
  </si>
  <si>
    <t>00002769</t>
  </si>
  <si>
    <t>00002773</t>
  </si>
  <si>
    <t>00002774</t>
  </si>
  <si>
    <t>00002820</t>
  </si>
  <si>
    <t>00002821</t>
  </si>
  <si>
    <t>00002822</t>
  </si>
  <si>
    <t>00002825</t>
  </si>
  <si>
    <t>00002832</t>
  </si>
  <si>
    <t>00002834</t>
  </si>
  <si>
    <t>00002853</t>
  </si>
  <si>
    <t>00002881</t>
  </si>
  <si>
    <t>00002885</t>
  </si>
  <si>
    <t>00002886</t>
  </si>
  <si>
    <t>00002887</t>
  </si>
  <si>
    <t>00002905</t>
  </si>
  <si>
    <t>00002986</t>
  </si>
  <si>
    <t>00002987</t>
  </si>
  <si>
    <t>00002988</t>
  </si>
  <si>
    <t>00002989</t>
  </si>
  <si>
    <t>00002990</t>
  </si>
  <si>
    <t>00002991</t>
  </si>
  <si>
    <t>00002992</t>
  </si>
  <si>
    <t>00003002</t>
  </si>
  <si>
    <t>00003027</t>
  </si>
  <si>
    <t>00003029</t>
  </si>
  <si>
    <t>00003035</t>
  </si>
  <si>
    <t>00003067</t>
  </si>
  <si>
    <t>00003097</t>
  </si>
  <si>
    <t>00003110</t>
  </si>
  <si>
    <t>00003111</t>
  </si>
  <si>
    <t>00003112</t>
  </si>
  <si>
    <t>00003113</t>
  </si>
  <si>
    <t>00003114</t>
  </si>
  <si>
    <t>00003115</t>
  </si>
  <si>
    <t>00003116</t>
  </si>
  <si>
    <t>00003118</t>
  </si>
  <si>
    <t>00003130</t>
  </si>
  <si>
    <t>00003131</t>
  </si>
  <si>
    <t>00003133</t>
  </si>
  <si>
    <t>00003135</t>
  </si>
  <si>
    <t>00003136</t>
  </si>
  <si>
    <t>00003137</t>
  </si>
  <si>
    <t>00003141</t>
  </si>
  <si>
    <t>00003142</t>
  </si>
  <si>
    <t>00003143</t>
  </si>
  <si>
    <t>00003144</t>
  </si>
  <si>
    <t>00003155</t>
  </si>
  <si>
    <t>00003178</t>
  </si>
  <si>
    <t>00003179</t>
  </si>
  <si>
    <t>00003193</t>
  </si>
  <si>
    <t>00003274</t>
  </si>
  <si>
    <t>00003287</t>
  </si>
  <si>
    <t>00003289</t>
  </si>
  <si>
    <t>00003290</t>
  </si>
  <si>
    <t>00003291</t>
  </si>
  <si>
    <t>00003292</t>
  </si>
  <si>
    <t>00003294</t>
  </si>
  <si>
    <t>00003295</t>
  </si>
  <si>
    <t>00003296</t>
  </si>
  <si>
    <t>00003297</t>
  </si>
  <si>
    <t>00003298</t>
  </si>
  <si>
    <t>00003299</t>
  </si>
  <si>
    <t>00003300</t>
  </si>
  <si>
    <t>00003306</t>
  </si>
  <si>
    <t>00003314</t>
  </si>
  <si>
    <t>00003322</t>
  </si>
  <si>
    <t>00003324</t>
  </si>
  <si>
    <t>00003325</t>
  </si>
  <si>
    <t>00003347</t>
  </si>
  <si>
    <t>00003352</t>
  </si>
  <si>
    <t>00003393</t>
  </si>
  <si>
    <t>00003400</t>
  </si>
  <si>
    <t>00003401</t>
  </si>
  <si>
    <t>00003403</t>
  </si>
  <si>
    <t>00003404</t>
  </si>
  <si>
    <t>00003408</t>
  </si>
  <si>
    <t>00003409</t>
  </si>
  <si>
    <t>00003410</t>
  </si>
  <si>
    <t>00003411</t>
  </si>
  <si>
    <t>00003412</t>
  </si>
  <si>
    <t>00003413</t>
  </si>
  <si>
    <t>00003461</t>
  </si>
  <si>
    <t>00003462</t>
  </si>
  <si>
    <t>00003463</t>
  </si>
  <si>
    <t>00003464</t>
  </si>
  <si>
    <t>00003467</t>
  </si>
  <si>
    <t>00003468</t>
  </si>
  <si>
    <t>00003480</t>
  </si>
  <si>
    <t>00003481</t>
  </si>
  <si>
    <t>00003485</t>
  </si>
  <si>
    <t>00003486</t>
  </si>
  <si>
    <t>00003487</t>
  </si>
  <si>
    <t>00003488</t>
  </si>
  <si>
    <t>00003489</t>
  </si>
  <si>
    <t>00003490</t>
  </si>
  <si>
    <t>00003491</t>
  </si>
  <si>
    <t>00003552</t>
  </si>
  <si>
    <t>00003563</t>
  </si>
  <si>
    <t>00003566</t>
  </si>
  <si>
    <t>00003567</t>
  </si>
  <si>
    <t>00003568</t>
  </si>
  <si>
    <t>00003569</t>
  </si>
  <si>
    <t>00003576</t>
  </si>
  <si>
    <t>00003588</t>
  </si>
  <si>
    <t>00003591</t>
  </si>
  <si>
    <t>00003608</t>
  </si>
  <si>
    <t>00003609</t>
  </si>
  <si>
    <t>00003610</t>
  </si>
  <si>
    <t>00003618</t>
  </si>
  <si>
    <t>00003623</t>
  </si>
  <si>
    <t>00003672</t>
  </si>
  <si>
    <t>00003674</t>
  </si>
  <si>
    <t>00003676</t>
  </si>
  <si>
    <t>00003677</t>
  </si>
  <si>
    <t>00003681</t>
  </si>
  <si>
    <t>00003703</t>
  </si>
  <si>
    <t>00003704</t>
  </si>
  <si>
    <t>00003705</t>
  </si>
  <si>
    <t>00003706</t>
  </si>
  <si>
    <t>00003707</t>
  </si>
  <si>
    <t>00003708</t>
  </si>
  <si>
    <t>00003711</t>
  </si>
  <si>
    <t>00003722</t>
  </si>
  <si>
    <t>00003741</t>
  </si>
  <si>
    <t>00003752</t>
  </si>
  <si>
    <t>00003794</t>
  </si>
  <si>
    <t>00003856</t>
  </si>
  <si>
    <t>00003923</t>
  </si>
  <si>
    <t>00003924</t>
  </si>
  <si>
    <t>00003925</t>
  </si>
  <si>
    <t>00003926</t>
  </si>
  <si>
    <t>00003927</t>
  </si>
  <si>
    <t>00003928</t>
  </si>
  <si>
    <t>00003929</t>
  </si>
  <si>
    <t>00003930</t>
  </si>
  <si>
    <t>00003937</t>
  </si>
  <si>
    <t>00003938</t>
  </si>
  <si>
    <t>00003939</t>
  </si>
  <si>
    <t>00003940</t>
  </si>
  <si>
    <t>00003970</t>
  </si>
  <si>
    <t>00003980</t>
  </si>
  <si>
    <t>00003981</t>
  </si>
  <si>
    <t>00003982</t>
  </si>
  <si>
    <t>00003984</t>
  </si>
  <si>
    <t>00003989</t>
  </si>
  <si>
    <t>00003997</t>
  </si>
  <si>
    <t>00003998</t>
  </si>
  <si>
    <t>00003999</t>
  </si>
  <si>
    <t>00004001</t>
  </si>
  <si>
    <t>00004009</t>
  </si>
  <si>
    <t>00004011</t>
  </si>
  <si>
    <t>00004014</t>
  </si>
  <si>
    <t>00004017</t>
  </si>
  <si>
    <t>00004018</t>
  </si>
  <si>
    <t>00004030</t>
  </si>
  <si>
    <t>00004032</t>
  </si>
  <si>
    <t>00004050</t>
  </si>
  <si>
    <t>00004115</t>
  </si>
  <si>
    <t>00004116</t>
  </si>
  <si>
    <t>00004119</t>
  </si>
  <si>
    <t>00004139</t>
  </si>
  <si>
    <t>00004151</t>
  </si>
  <si>
    <t>00004156</t>
  </si>
  <si>
    <t>00004157</t>
  </si>
  <si>
    <t>00004165</t>
  </si>
  <si>
    <t>00004260</t>
  </si>
  <si>
    <t>00004280</t>
  </si>
  <si>
    <t>00004326</t>
  </si>
  <si>
    <t>00004395</t>
  </si>
  <si>
    <t>00004396</t>
  </si>
  <si>
    <t>00004397</t>
  </si>
  <si>
    <t>00004398</t>
  </si>
  <si>
    <t>00004399</t>
  </si>
  <si>
    <t>00004400</t>
  </si>
  <si>
    <t>00004407</t>
  </si>
  <si>
    <t>00004423</t>
  </si>
  <si>
    <t>00004445</t>
  </si>
  <si>
    <t>00004446</t>
  </si>
  <si>
    <t>00004487</t>
  </si>
  <si>
    <t>00004594</t>
  </si>
  <si>
    <t>00004608</t>
  </si>
  <si>
    <t>00004609</t>
  </si>
  <si>
    <t>00004610</t>
  </si>
  <si>
    <t>00004611</t>
  </si>
  <si>
    <t>00004612</t>
  </si>
  <si>
    <t>00004613</t>
  </si>
  <si>
    <t>00004614</t>
  </si>
  <si>
    <t>00004615</t>
  </si>
  <si>
    <t>00004616</t>
  </si>
  <si>
    <t>00004617</t>
  </si>
  <si>
    <t>00004618</t>
  </si>
  <si>
    <t>00004619</t>
  </si>
  <si>
    <t>00004620</t>
  </si>
  <si>
    <t>00004621</t>
  </si>
  <si>
    <t>00004622</t>
  </si>
  <si>
    <t>00004630</t>
  </si>
  <si>
    <t>00004631</t>
  </si>
  <si>
    <t>00004632</t>
  </si>
  <si>
    <t>00004633</t>
  </si>
  <si>
    <t>00004635</t>
  </si>
  <si>
    <t>00004715</t>
  </si>
  <si>
    <t>00004716</t>
  </si>
  <si>
    <t>00004717</t>
  </si>
  <si>
    <t>00004718</t>
  </si>
  <si>
    <t>00004720</t>
  </si>
  <si>
    <t>00004724</t>
  </si>
  <si>
    <t>00004725</t>
  </si>
  <si>
    <t>00004726</t>
  </si>
  <si>
    <t>00004731</t>
  </si>
  <si>
    <t>00004733</t>
  </si>
  <si>
    <t>00004735</t>
  </si>
  <si>
    <t>00004747</t>
  </si>
  <si>
    <t>00004749</t>
  </si>
  <si>
    <t>00004751</t>
  </si>
  <si>
    <t>00004752</t>
  </si>
  <si>
    <t>00004779</t>
  </si>
  <si>
    <t>00004780</t>
  </si>
  <si>
    <t>00004781</t>
  </si>
  <si>
    <t>00004782</t>
  </si>
  <si>
    <t>00004803</t>
  </si>
  <si>
    <t>00004804</t>
  </si>
  <si>
    <t>00004807</t>
  </si>
  <si>
    <t>00004837</t>
  </si>
  <si>
    <t>00004838</t>
  </si>
  <si>
    <t>00004890</t>
  </si>
  <si>
    <t>00004891</t>
  </si>
  <si>
    <t>00004892</t>
  </si>
  <si>
    <t>00004893</t>
  </si>
  <si>
    <t>00004894</t>
  </si>
  <si>
    <t>00004930</t>
  </si>
  <si>
    <t>00004931</t>
  </si>
  <si>
    <t>00004932</t>
  </si>
  <si>
    <t>00005026</t>
  </si>
  <si>
    <t>00005027</t>
  </si>
  <si>
    <t>00005028</t>
  </si>
  <si>
    <t>00005029</t>
  </si>
  <si>
    <t>00005031</t>
  </si>
  <si>
    <t>00005040</t>
  </si>
  <si>
    <t>00005041</t>
  </si>
  <si>
    <t>00005053</t>
  </si>
  <si>
    <t>00005064</t>
  </si>
  <si>
    <t>00005066</t>
  </si>
  <si>
    <t>00005067</t>
  </si>
  <si>
    <t>00005068</t>
  </si>
  <si>
    <t>00005076</t>
  </si>
  <si>
    <t>00005077</t>
  </si>
  <si>
    <t>00005092</t>
  </si>
  <si>
    <t>00005093</t>
  </si>
  <si>
    <t>00005098</t>
  </si>
  <si>
    <t>00005104</t>
  </si>
  <si>
    <t>00005144</t>
  </si>
  <si>
    <t>00005187</t>
  </si>
  <si>
    <t>00005188</t>
  </si>
  <si>
    <t>00005189</t>
  </si>
  <si>
    <t>00005195</t>
  </si>
  <si>
    <t>00005222</t>
  </si>
  <si>
    <t>00005226</t>
  </si>
  <si>
    <t>00005227</t>
  </si>
  <si>
    <t>00005228</t>
  </si>
  <si>
    <t>00005305</t>
  </si>
  <si>
    <t>00005306</t>
  </si>
  <si>
    <t>00005307</t>
  </si>
  <si>
    <t>00005336</t>
  </si>
  <si>
    <t>00005337</t>
  </si>
  <si>
    <t>00005338</t>
  </si>
  <si>
    <t>00005352</t>
  </si>
  <si>
    <t>00005356</t>
  </si>
  <si>
    <t>00005398</t>
  </si>
  <si>
    <t>00005402</t>
  </si>
  <si>
    <t>00005403</t>
  </si>
  <si>
    <t>00005404</t>
  </si>
  <si>
    <t>00005405</t>
  </si>
  <si>
    <t>00005417</t>
  </si>
  <si>
    <t>00005436</t>
  </si>
  <si>
    <t>00005441</t>
  </si>
  <si>
    <t>00005442</t>
  </si>
  <si>
    <t>00005481</t>
  </si>
  <si>
    <t>00005482</t>
  </si>
  <si>
    <t>00005484</t>
  </si>
  <si>
    <t>00005485</t>
  </si>
  <si>
    <t>00005509</t>
  </si>
  <si>
    <t>00005510</t>
  </si>
  <si>
    <t>00005568</t>
  </si>
  <si>
    <t>00005569</t>
  </si>
  <si>
    <t>00005582</t>
  </si>
  <si>
    <t>00005583</t>
  </si>
  <si>
    <t>00005584</t>
  </si>
  <si>
    <t>00005588</t>
  </si>
  <si>
    <t>00005589</t>
  </si>
  <si>
    <t>00005622</t>
  </si>
  <si>
    <t>00005623</t>
  </si>
  <si>
    <t>00005624</t>
  </si>
  <si>
    <t>00005625</t>
  </si>
  <si>
    <t>00005629</t>
  </si>
  <si>
    <t>00005653</t>
  </si>
  <si>
    <t>00005655</t>
  </si>
  <si>
    <t>00005664</t>
  </si>
  <si>
    <t>00005665</t>
  </si>
  <si>
    <t>00005679</t>
  </si>
  <si>
    <t>00005714</t>
  </si>
  <si>
    <t>00005715</t>
  </si>
  <si>
    <t>00005716</t>
  </si>
  <si>
    <t>00005720</t>
  </si>
  <si>
    <t>00005743</t>
  </si>
  <si>
    <t>00005746</t>
  </si>
  <si>
    <t>00005766</t>
  </si>
  <si>
    <t>00005805</t>
  </si>
  <si>
    <t>00005859</t>
  </si>
  <si>
    <t>00005860</t>
  </si>
  <si>
    <t>00005861</t>
  </si>
  <si>
    <t>00005881</t>
  </si>
  <si>
    <t>00005882</t>
  </si>
  <si>
    <t>00005883</t>
  </si>
  <si>
    <t>00005884</t>
  </si>
  <si>
    <t>00005889</t>
  </si>
  <si>
    <t>00005890</t>
  </si>
  <si>
    <t>00005891</t>
  </si>
  <si>
    <t>00005892</t>
  </si>
  <si>
    <t>00005893</t>
  </si>
  <si>
    <t>00005896</t>
  </si>
  <si>
    <t>00005897</t>
  </si>
  <si>
    <t>00005898</t>
  </si>
  <si>
    <t>05/05/2025</t>
  </si>
  <si>
    <t>06/05/2025</t>
  </si>
  <si>
    <t>07/05/2025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</si>
  <si>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</si>
  <si>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</si>
  <si>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</si>
  <si>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</si>
  <si>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</si>
  <si>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</si>
  <si>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</si>
  <si>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</si>
  <si>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22/05/2025</t>
  </si>
  <si>
    <t>23/05/2025</t>
  </si>
  <si>
    <t>24/05/2025</t>
  </si>
  <si>
    <t>27/05/2025</t>
  </si>
  <si>
    <t>02/06/2025</t>
  </si>
  <si>
    <t>03/06/2025</t>
  </si>
  <si>
    <t>06/06/2025</t>
  </si>
  <si>
    <t>07/06/2025</t>
  </si>
  <si>
    <t>09/06/2025</t>
  </si>
  <si>
    <t>10/06/2025</t>
  </si>
  <si>
    <t>11/06/2025</t>
  </si>
  <si>
    <t>12/06/2025</t>
  </si>
  <si>
    <t>13/06/2025</t>
  </si>
  <si>
    <t>17/06/2025</t>
  </si>
  <si>
    <t>19/06/2025</t>
  </si>
  <si>
    <t>21/06/2025</t>
  </si>
  <si>
    <t>23/06/2025</t>
  </si>
  <si>
    <t>24/06/2025</t>
  </si>
  <si>
    <t>25/06/2025</t>
  </si>
  <si>
    <t>26/06/2025</t>
  </si>
  <si>
    <t>01/07/2025</t>
  </si>
  <si>
    <t>02/07/2025</t>
  </si>
  <si>
    <t>03/07/2025</t>
  </si>
  <si>
    <t>05/07/2025</t>
  </si>
  <si>
    <t>07/07/2025</t>
  </si>
  <si>
    <t>10/07/2025</t>
  </si>
  <si>
    <t>11/07/2025</t>
  </si>
  <si>
    <t>12/07/2025</t>
  </si>
  <si>
    <t>14/07/2025</t>
  </si>
  <si>
    <t>15/07/2025</t>
  </si>
  <si>
    <t>17/07/2025</t>
  </si>
  <si>
    <t>18/07/2025</t>
  </si>
  <si>
    <t>21/07/2025</t>
  </si>
  <si>
    <t>23/07/2025</t>
  </si>
  <si>
    <t>24/07/2025</t>
  </si>
  <si>
    <t>25/07/2025</t>
  </si>
  <si>
    <t>26/07/2025</t>
  </si>
  <si>
    <t>29/07/2025</t>
  </si>
  <si>
    <t>01/08/2025</t>
  </si>
  <si>
    <t>02/08/2025</t>
  </si>
  <si>
    <t>04/08/2025</t>
  </si>
  <si>
    <t>05/08/2025</t>
  </si>
  <si>
    <t>06/08/2025</t>
  </si>
  <si>
    <t>07/08/2025</t>
  </si>
  <si>
    <t>09/08/2025</t>
  </si>
  <si>
    <t>11/08/2025</t>
  </si>
  <si>
    <t>12/08/2025</t>
  </si>
  <si>
    <t>13/08/2025</t>
  </si>
  <si>
    <t>14/08/2025</t>
  </si>
  <si>
    <t>18/08/2025</t>
  </si>
  <si>
    <t>19/08/2025</t>
  </si>
  <si>
    <t>21/08/2025</t>
  </si>
  <si>
    <t>22/08/2025</t>
  </si>
  <si>
    <t>25/08/2025</t>
  </si>
  <si>
    <t>26/08/2025</t>
  </si>
  <si>
    <t>29/08/2025</t>
  </si>
  <si>
    <t>03/09/2025</t>
  </si>
  <si>
    <t>04/09/2025</t>
  </si>
  <si>
    <t>06/09/2025</t>
  </si>
  <si>
    <t>08/09/2025</t>
  </si>
  <si>
    <t>09/09/2025</t>
  </si>
  <si>
    <t>11/09/2025</t>
  </si>
  <si>
    <t>13/09/2025</t>
  </si>
  <si>
    <t>15/09/2025</t>
  </si>
  <si>
    <t>16/09/2025</t>
  </si>
  <si>
    <t>18/09/2025</t>
  </si>
  <si>
    <t>22/09/2025</t>
  </si>
  <si>
    <t>23/09/2025</t>
  </si>
  <si>
    <t>24/09/2025</t>
  </si>
  <si>
    <t>25/09/2025</t>
  </si>
  <si>
    <t>26/09/2025</t>
  </si>
  <si>
    <t>29/09/2025</t>
  </si>
  <si>
    <t>01/10/2025</t>
  </si>
  <si>
    <t>03/10/2025</t>
  </si>
  <si>
    <t>04/10/2025</t>
  </si>
  <si>
    <t>06/10/2025</t>
  </si>
  <si>
    <t>07/10/2025</t>
  </si>
  <si>
    <t>08/10/2025</t>
  </si>
  <si>
    <t>09/10/2025</t>
  </si>
  <si>
    <t>11/10/2025</t>
  </si>
  <si>
    <t>14/10/2025</t>
  </si>
  <si>
    <t>16/10/2025</t>
  </si>
  <si>
    <t>18/10/2025</t>
  </si>
  <si>
    <t>20/10/2025</t>
  </si>
  <si>
    <t>21/10/2025</t>
  </si>
  <si>
    <t>22/10/2025</t>
  </si>
  <si>
    <t>23/10/2025</t>
  </si>
  <si>
    <t>25/10/2025</t>
  </si>
  <si>
    <t>27/10/2025</t>
  </si>
  <si>
    <t>28/10/2025</t>
  </si>
  <si>
    <t>29/10/2025</t>
  </si>
  <si>
    <t>30/10/2025</t>
  </si>
  <si>
    <t>31/10/2025</t>
  </si>
  <si>
    <t>01/11/2025</t>
  </si>
  <si>
    <t>03/11/2025</t>
  </si>
  <si>
    <t>00576- Công ty TNHH MTV TM DV Sài Gòn - Hậu Giang 2 - Co.opmart Ngã Bảy Hậu Giang</t>
  </si>
  <si>
    <t>00565-CM TAM BÌNH</t>
  </si>
  <si>
    <t>00541- CM BÌNH TÂN 2</t>
  </si>
  <si>
    <t>CÔNG TY TNHH THƯƠNG MẠI- DỊCH VỤ SÀI GÒN- VŨNG TÀU</t>
  </si>
  <si>
    <t>00524-CM ĐỒNG VĂN CỐNG</t>
  </si>
  <si>
    <t>0051-CM HIỆP THÀNH</t>
  </si>
  <si>
    <t>00132-CO.OPMART TAM KY</t>
  </si>
  <si>
    <t>00174-CO.OPMART CAM RANH</t>
  </si>
  <si>
    <t>00179-CO.OPMART VINH PHUC</t>
  </si>
  <si>
    <t>00134-CO.OPMART TUY LY VUONG</t>
  </si>
  <si>
    <t>00570-CM THANG LOI-TRUONG CHINH</t>
  </si>
  <si>
    <t>00155-CO.OPMART NGUYEN DINH CHIEU</t>
  </si>
  <si>
    <t>00127-CO.OPMART DONG XOAI</t>
  </si>
  <si>
    <t>00527-CO.OPMART CHU SE</t>
  </si>
  <si>
    <t>00189-COOPMART TRANG BANG</t>
  </si>
  <si>
    <t>00167-CO.OPMART DONG HA</t>
  </si>
  <si>
    <t>00536-CO.OPMART DUYEN HAI</t>
  </si>
  <si>
    <t>00529-CO.OPMART TAN THANH</t>
  </si>
  <si>
    <t>00151-CO.OPMART CONG QUYNH</t>
  </si>
  <si>
    <t>00540-CO.OPMART CAN GIUOC</t>
  </si>
  <si>
    <t>00164-CO.OPMART HA NOI</t>
  </si>
  <si>
    <t>00505-CO.OPMART LY THUONG KIET</t>
  </si>
  <si>
    <t>00119-CO.OPMART LONG XUYEN</t>
  </si>
  <si>
    <t>00526-CO.OPMART TAN CHAU</t>
  </si>
  <si>
    <t>00575-CO.OPMART PHAM THE HIEN</t>
  </si>
  <si>
    <t>00138-CO.OPMART BUON MA THUOT</t>
  </si>
  <si>
    <t>00528-CO.OPMART KON TUM</t>
  </si>
  <si>
    <t>00112-CO.OPMART QUI NHON</t>
  </si>
  <si>
    <t>00159-CO.OPMART PHÚ MỸ HƯNG</t>
  </si>
  <si>
    <t>00197-CO.OPMART CAO LANH</t>
  </si>
  <si>
    <t>00517-CO.OPMART SA DEC</t>
  </si>
  <si>
    <t>00555-CO.OPMART SCA-LONG BIEN</t>
  </si>
  <si>
    <t>00576-CO.OPMART HAU GIANG 2</t>
  </si>
  <si>
    <t>00180-CO.OPMART CAN GIO</t>
  </si>
  <si>
    <t>00162-CO.OPMART PHAN VAN TRI</t>
  </si>
  <si>
    <t>00170-CO.OPMART TRA VINH</t>
  </si>
  <si>
    <t>00522-CO.OPMART CA MAU</t>
  </si>
  <si>
    <t>00159-CO.OPMART PHÚ MY HUNG</t>
  </si>
  <si>
    <t>00518-CO.OPMART GO CONG</t>
  </si>
  <si>
    <t>00523-CO.OPMART BUON HO</t>
  </si>
  <si>
    <t>CÔNG TY TNHH SAIGON CO-OP FAIRPRICE / CO-OPXTRA TAN PHONG</t>
  </si>
  <si>
    <t>00184-CO.OPMART RACH GIA</t>
  </si>
  <si>
    <t>00503-CO.OPMART BINH DUONG 2</t>
  </si>
  <si>
    <t>00147-CO.OPMART SOC TRANG</t>
  </si>
  <si>
    <t>00175-CO.OPMART CU CHI</t>
  </si>
  <si>
    <t>00148-CO.OPMART THANH HA</t>
  </si>
  <si>
    <t>00532-CO.OPMART CAI LAY</t>
  </si>
  <si>
    <t>00519-CO.OPMART THOT NOT</t>
  </si>
  <si>
    <t>00502-CO.OPMART BAC GIANG</t>
  </si>
  <si>
    <t>00533-CO.OPMART HONG NGU</t>
  </si>
  <si>
    <t>00512-CO.OPMART QUANG BINH</t>
  </si>
  <si>
    <t>00157-CO.OPMART PHU LAM</t>
  </si>
  <si>
    <t>00161-CO.OPMART XA LỘ HÀ NỘI</t>
  </si>
  <si>
    <t>00164-CO.OPMART HÀ NỘI</t>
  </si>
  <si>
    <t>00301- THỦ ĐỨC CO-OPXTRA</t>
  </si>
  <si>
    <t>00537-CO-OPMART VIET TRI</t>
  </si>
  <si>
    <t>00123-CO.OPMART PLEIKU</t>
  </si>
  <si>
    <t>00122-CO.OPMART TUY HOA</t>
  </si>
  <si>
    <t>00539-CO.OPMART PHAN RI</t>
  </si>
  <si>
    <t>00160-CO.OPMART NGUYEN KIEM</t>
  </si>
  <si>
    <t>00569-CO.OPMART THAP MUOI</t>
  </si>
  <si>
    <t>00145-CO.OPMART QUANG NGAI</t>
  </si>
  <si>
    <t>00574-CO.OPMART CHO MOI</t>
  </si>
  <si>
    <t>00120-CO.OPMART VINH LONG</t>
  </si>
  <si>
    <t>00196-CO.OPMART FOODCOSA</t>
  </si>
  <si>
    <t>00130-CO.OPMART RACH MIEU</t>
  </si>
  <si>
    <t>00140-CO.OPMART NHA TRANG</t>
  </si>
  <si>
    <t>00547-CO.OPMART SON TRA</t>
  </si>
  <si>
    <t>00531-CO.OPMART HA TIEN</t>
  </si>
  <si>
    <t>00577-CO.OPMART VU YEN</t>
  </si>
  <si>
    <t>Công ty TNHH Saigon Coop Fairprice/Thủ Đức Co-op Xtra</t>
  </si>
  <si>
    <t>00553-CO.OPMART SCA-GOLDSILK</t>
  </si>
  <si>
    <t>00520-CO.OPMART CHAU DOC</t>
  </si>
  <si>
    <t>00005917</t>
  </si>
  <si>
    <t>00005919</t>
  </si>
  <si>
    <t>00005925</t>
  </si>
  <si>
    <t>00005926</t>
  </si>
  <si>
    <t>00005934</t>
  </si>
  <si>
    <t>00005936</t>
  </si>
  <si>
    <t>00005937</t>
  </si>
  <si>
    <t>00005938</t>
  </si>
  <si>
    <t>00005957</t>
  </si>
  <si>
    <t>00005958</t>
  </si>
  <si>
    <t>00005959</t>
  </si>
  <si>
    <t>00005960</t>
  </si>
  <si>
    <t>00005981</t>
  </si>
  <si>
    <t>00005993</t>
  </si>
  <si>
    <t>00005995</t>
  </si>
  <si>
    <t>00005997</t>
  </si>
  <si>
    <t>00006008</t>
  </si>
  <si>
    <t>00006009</t>
  </si>
  <si>
    <t>00006053</t>
  </si>
  <si>
    <t>00006056</t>
  </si>
  <si>
    <t>00006057</t>
  </si>
  <si>
    <t>00006061</t>
  </si>
  <si>
    <t>00006062</t>
  </si>
  <si>
    <t>00006063</t>
  </si>
  <si>
    <t>00006084</t>
  </si>
  <si>
    <t>00006085</t>
  </si>
  <si>
    <t>00006086</t>
  </si>
  <si>
    <t>00006089</t>
  </si>
  <si>
    <t>00006090</t>
  </si>
  <si>
    <t>04/11/2025</t>
  </si>
  <si>
    <t>05/11/2025</t>
  </si>
  <si>
    <t>06/11/2025</t>
  </si>
  <si>
    <t>07/11/2025</t>
  </si>
  <si>
    <t>08/11/2025</t>
  </si>
  <si>
    <t>10/11/2025</t>
  </si>
  <si>
    <t>11/11/2025</t>
  </si>
  <si>
    <t>00178-CO.OPMART HOA BINH</t>
  </si>
  <si>
    <t>5878</t>
  </si>
  <si>
    <t>2497</t>
  </si>
  <si>
    <t>2429</t>
  </si>
  <si>
    <t>2574</t>
  </si>
  <si>
    <t>2708</t>
  </si>
  <si>
    <t>2681</t>
  </si>
  <si>
    <t>3156</t>
  </si>
  <si>
    <t>3157</t>
  </si>
  <si>
    <t>6409</t>
  </si>
  <si>
    <t>00006144</t>
  </si>
  <si>
    <t>00006175</t>
  </si>
  <si>
    <t>00006233</t>
  </si>
  <si>
    <t>00006240</t>
  </si>
  <si>
    <t>00006247</t>
  </si>
  <si>
    <t>00006248</t>
  </si>
  <si>
    <t>00006249</t>
  </si>
  <si>
    <t>00006259</t>
  </si>
  <si>
    <t>00006273</t>
  </si>
  <si>
    <t>00006275</t>
  </si>
  <si>
    <t>00006276</t>
  </si>
  <si>
    <t>00006277</t>
  </si>
  <si>
    <t>00006282</t>
  </si>
  <si>
    <t>00006293</t>
  </si>
  <si>
    <t>00006294</t>
  </si>
  <si>
    <t>00006300</t>
  </si>
  <si>
    <t>00006303</t>
  </si>
  <si>
    <t>00006314</t>
  </si>
  <si>
    <t>00006326</t>
  </si>
  <si>
    <t>00006327</t>
  </si>
  <si>
    <t>00006368</t>
  </si>
  <si>
    <t>00006369</t>
  </si>
  <si>
    <t>00006397</t>
  </si>
  <si>
    <t>00006398</t>
  </si>
  <si>
    <t>00006403</t>
  </si>
  <si>
    <t>00006405</t>
  </si>
  <si>
    <t>00006407</t>
  </si>
  <si>
    <t>00006410</t>
  </si>
  <si>
    <t>00006440</t>
  </si>
  <si>
    <t>13/11/2025</t>
  </si>
  <si>
    <t>15/11/2025</t>
  </si>
  <si>
    <t>17/11/2025</t>
  </si>
  <si>
    <t>18/11/2025</t>
  </si>
  <si>
    <t>19/11/2025</t>
  </si>
  <si>
    <t>20/11/2025</t>
  </si>
  <si>
    <t>21/11/2025</t>
  </si>
  <si>
    <t>22/11/2025</t>
  </si>
  <si>
    <t>24/11/2025</t>
  </si>
  <si>
    <t>25/11/2025</t>
  </si>
  <si>
    <t>26/11/2025</t>
  </si>
  <si>
    <t>00159-CO.OPMART HUỲNH TẤN PHÁT</t>
  </si>
  <si>
    <t>00545-CO.OPMART TIEU CAN</t>
  </si>
  <si>
    <t>00566-CO.OPMART CU MGAR</t>
  </si>
  <si>
    <t>00006594</t>
  </si>
  <si>
    <t>00006595</t>
  </si>
  <si>
    <t>00006601</t>
  </si>
  <si>
    <t>00006604</t>
  </si>
  <si>
    <t>00006605</t>
  </si>
  <si>
    <t>00006606</t>
  </si>
  <si>
    <t>00006607</t>
  </si>
  <si>
    <t>00006608</t>
  </si>
  <si>
    <t>00006624</t>
  </si>
  <si>
    <t>00006632</t>
  </si>
  <si>
    <t>00006658</t>
  </si>
  <si>
    <t>00006662</t>
  </si>
  <si>
    <t>00006702</t>
  </si>
  <si>
    <t>00006703</t>
  </si>
  <si>
    <t>00006704</t>
  </si>
  <si>
    <t>00006715</t>
  </si>
  <si>
    <t>00006758</t>
  </si>
  <si>
    <t>00006759</t>
  </si>
  <si>
    <t>00006760</t>
  </si>
  <si>
    <t>00006761</t>
  </si>
  <si>
    <t>00006762</t>
  </si>
  <si>
    <t>00006763</t>
  </si>
  <si>
    <t>00006764</t>
  </si>
  <si>
    <t>00006765</t>
  </si>
  <si>
    <t>00006766</t>
  </si>
  <si>
    <t>00006767</t>
  </si>
  <si>
    <t>00006768</t>
  </si>
  <si>
    <t>00006769</t>
  </si>
  <si>
    <t>00006770</t>
  </si>
  <si>
    <t>00006771</t>
  </si>
  <si>
    <t>00006772</t>
  </si>
  <si>
    <t>00006773</t>
  </si>
  <si>
    <t>00006774</t>
  </si>
  <si>
    <t>00006775</t>
  </si>
  <si>
    <t>00006776</t>
  </si>
  <si>
    <t>00006777</t>
  </si>
  <si>
    <t>00006778</t>
  </si>
  <si>
    <t>00006779</t>
  </si>
  <si>
    <t>00006780</t>
  </si>
  <si>
    <t>00006781</t>
  </si>
  <si>
    <t>00006782</t>
  </si>
  <si>
    <t>00006783</t>
  </si>
  <si>
    <t>00006784</t>
  </si>
  <si>
    <t>00006785</t>
  </si>
  <si>
    <t>00006786</t>
  </si>
  <si>
    <t>00006787</t>
  </si>
  <si>
    <t>00006788</t>
  </si>
  <si>
    <t>00006789</t>
  </si>
  <si>
    <t>00006797</t>
  </si>
  <si>
    <t>00006798</t>
  </si>
  <si>
    <t>00006799</t>
  </si>
  <si>
    <t>00006800</t>
  </si>
  <si>
    <t>00006801</t>
  </si>
  <si>
    <t>00006802</t>
  </si>
  <si>
    <t>00006803</t>
  </si>
  <si>
    <t>00006804</t>
  </si>
  <si>
    <t>00006805</t>
  </si>
  <si>
    <t>00006806</t>
  </si>
  <si>
    <t>00006807</t>
  </si>
  <si>
    <t>00006813</t>
  </si>
  <si>
    <t>00006814</t>
  </si>
  <si>
    <t>00006816</t>
  </si>
  <si>
    <t>00006817</t>
  </si>
  <si>
    <t>00006818</t>
  </si>
  <si>
    <t>00006819</t>
  </si>
  <si>
    <t>00006820</t>
  </si>
  <si>
    <t>00006821</t>
  </si>
  <si>
    <t>00006825</t>
  </si>
  <si>
    <t>00006826</t>
  </si>
  <si>
    <t>00006827</t>
  </si>
  <si>
    <t>00006828</t>
  </si>
  <si>
    <t>00006829</t>
  </si>
  <si>
    <t>00006830</t>
  </si>
  <si>
    <t>00006831</t>
  </si>
  <si>
    <t>00006832</t>
  </si>
  <si>
    <t>00006833</t>
  </si>
  <si>
    <t>00006834</t>
  </si>
  <si>
    <t>00006835</t>
  </si>
  <si>
    <t>00006836</t>
  </si>
  <si>
    <t>00006837</t>
  </si>
  <si>
    <t>00006838</t>
  </si>
  <si>
    <t>00006839</t>
  </si>
  <si>
    <t>00006840</t>
  </si>
  <si>
    <t>00006841</t>
  </si>
  <si>
    <t>00006842</t>
  </si>
  <si>
    <t>00006843</t>
  </si>
  <si>
    <t>00006844</t>
  </si>
  <si>
    <t>00006845</t>
  </si>
  <si>
    <t>00006846</t>
  </si>
  <si>
    <t>00006847</t>
  </si>
  <si>
    <t>00006848</t>
  </si>
  <si>
    <t>00006849</t>
  </si>
  <si>
    <t>00006850</t>
  </si>
  <si>
    <t>00006851</t>
  </si>
  <si>
    <t>00006876</t>
  </si>
  <si>
    <t>00006877</t>
  </si>
  <si>
    <t>00006878</t>
  </si>
  <si>
    <t>00006879</t>
  </si>
  <si>
    <t>00006880</t>
  </si>
  <si>
    <t>00006881</t>
  </si>
  <si>
    <t>00006882</t>
  </si>
  <si>
    <t>00006883</t>
  </si>
  <si>
    <t>00006884</t>
  </si>
  <si>
    <t>00006894</t>
  </si>
  <si>
    <t>00006895</t>
  </si>
  <si>
    <t>00006896</t>
  </si>
  <si>
    <t>00006897</t>
  </si>
  <si>
    <t>00006898</t>
  </si>
  <si>
    <t>00006899</t>
  </si>
  <si>
    <t>00006900</t>
  </si>
  <si>
    <t>00006901</t>
  </si>
  <si>
    <t>00006902</t>
  </si>
  <si>
    <t>00006903</t>
  </si>
  <si>
    <t>00006904</t>
  </si>
  <si>
    <t>00006905</t>
  </si>
  <si>
    <t>00006906</t>
  </si>
  <si>
    <t>00006907</t>
  </si>
  <si>
    <t>00006908</t>
  </si>
  <si>
    <t>00006909</t>
  </si>
  <si>
    <t>00006910</t>
  </si>
  <si>
    <t>00006911</t>
  </si>
  <si>
    <t>00006913</t>
  </si>
  <si>
    <t>00006914</t>
  </si>
  <si>
    <t>00006915</t>
  </si>
  <si>
    <t>00006916</t>
  </si>
  <si>
    <t>00006920</t>
  </si>
  <si>
    <t>00006921</t>
  </si>
  <si>
    <t>00006922</t>
  </si>
  <si>
    <t>00006923</t>
  </si>
  <si>
    <t>00006924</t>
  </si>
  <si>
    <t>00006925</t>
  </si>
  <si>
    <t>00006926</t>
  </si>
  <si>
    <t>00006930</t>
  </si>
  <si>
    <t>00006931</t>
  </si>
  <si>
    <t>00006932</t>
  </si>
  <si>
    <t>00006933</t>
  </si>
  <si>
    <t>00006934</t>
  </si>
  <si>
    <t>00006935</t>
  </si>
  <si>
    <t>00006936</t>
  </si>
  <si>
    <t>00006937</t>
  </si>
  <si>
    <t>00006938</t>
  </si>
  <si>
    <t>00006939</t>
  </si>
  <si>
    <t>00006941</t>
  </si>
  <si>
    <t>00006942</t>
  </si>
  <si>
    <t>00006943</t>
  </si>
  <si>
    <t>00006944</t>
  </si>
  <si>
    <t>00006945</t>
  </si>
  <si>
    <t>00006946</t>
  </si>
  <si>
    <t>00006947</t>
  </si>
  <si>
    <t>00006948</t>
  </si>
  <si>
    <t>00006949</t>
  </si>
  <si>
    <t>00006950</t>
  </si>
  <si>
    <t>00006953</t>
  </si>
  <si>
    <t>00006963</t>
  </si>
  <si>
    <t>00006986</t>
  </si>
  <si>
    <t>00006996</t>
  </si>
  <si>
    <t>00007002</t>
  </si>
  <si>
    <t>00007004</t>
  </si>
  <si>
    <t>00007028</t>
  </si>
  <si>
    <t>00007029</t>
  </si>
  <si>
    <t>00007033</t>
  </si>
  <si>
    <t>00007035</t>
  </si>
  <si>
    <t>00007166</t>
  </si>
  <si>
    <t>00007167</t>
  </si>
  <si>
    <t>00007175</t>
  </si>
  <si>
    <t>01/12/2025</t>
  </si>
  <si>
    <t>02/12/2025</t>
  </si>
  <si>
    <t>03/12/2025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</si>
  <si>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</si>
  <si>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</si>
  <si>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</si>
  <si>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</si>
  <si>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</si>
  <si>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</si>
  <si>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</si>
  <si>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</si>
  <si>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14/12/2025</t>
  </si>
  <si>
    <t>00183-CO.OPMART HAI PHONG</t>
  </si>
  <si>
    <t>00513-CO.OPMART BEN LUC</t>
  </si>
  <si>
    <t>00515-CO.OPMART BA RIA</t>
  </si>
  <si>
    <t>00530-CM CHU VĂN AN</t>
  </si>
  <si>
    <t>00534-CO.OPMART GO DAU</t>
  </si>
  <si>
    <t>00542-CO.OPMART BINH THUY</t>
  </si>
  <si>
    <t>00546-CO.OPMART DONG PHU</t>
  </si>
  <si>
    <t>00573-CO.OPMART CAI BE</t>
  </si>
  <si>
    <t>00153-CO.OPMART HAU GIANG</t>
  </si>
  <si>
    <t>00152-CO.OPMART HOC MON</t>
  </si>
  <si>
    <t>00514-CO.OPMART TAN AN</t>
  </si>
  <si>
    <t>00538-CO.OPMART PHUOC DONG</t>
  </si>
  <si>
    <t>00133-CO.OPMART NHIEU LOC</t>
  </si>
  <si>
    <t>00128-CO.OPMART DA NANG</t>
  </si>
  <si>
    <t>00137-CO.OPMART HUE</t>
  </si>
  <si>
    <t>00563-CO.OPMART TAN BIEN</t>
  </si>
  <si>
    <t>00564-CO.OPMART DUONG MINH CHAU</t>
  </si>
  <si>
    <t>00173-CO.OPMART BAO LOC</t>
  </si>
  <si>
    <t>00114-CO.OPMART MY THO</t>
  </si>
  <si>
    <t>00124-CO.OPMART BIEN HOA</t>
  </si>
  <si>
    <t>00144-CO.OPMART KIEN GIANG</t>
  </si>
  <si>
    <t>00185-CO.OPMART THANH HOA</t>
  </si>
  <si>
    <t>00135-CO.OPMART 96 HUNG VUONG</t>
  </si>
  <si>
    <t>00578-CO.OPMART THONG NHAT</t>
  </si>
  <si>
    <t>00543-CO.OPMART CHAU THANH TAY NINH</t>
  </si>
  <si>
    <t>00187-CM CAN THO</t>
  </si>
  <si>
    <t>00199-CO.OPMART BEN TRE</t>
  </si>
  <si>
    <t>00507-CO.OPMART LA GI</t>
  </si>
  <si>
    <t>00504-CO.OPMART DAK NONG</t>
  </si>
  <si>
    <t>00552-CO.OPMART SCA-VICTORIA</t>
  </si>
  <si>
    <t>00554-CO.OPMART SCA-GOLDENSILK</t>
  </si>
  <si>
    <t>00136-CO.OPMART BINH TAN</t>
  </si>
  <si>
    <t>00154-CO.OPMART PHU THO</t>
  </si>
  <si>
    <t>00141-CO.OPMART NGUYEN ANH THU</t>
  </si>
  <si>
    <t>00506-CM VĂN THÁNH</t>
  </si>
  <si>
    <t>00508-CM NGUYỄN BÌNH</t>
  </si>
  <si>
    <t>00510-CM ĐỖ VĂN DẬY</t>
  </si>
  <si>
    <t>00509-CM VĨNH LỘC B</t>
  </si>
  <si>
    <t>00810-KHO VE TINH BD</t>
  </si>
  <si>
    <t>00150-CO.OPMART HA TINH</t>
  </si>
  <si>
    <t>6614</t>
  </si>
  <si>
    <t>6912</t>
  </si>
  <si>
    <t>00643-CH CO.OP FOOD D20 VO VAN VAN</t>
  </si>
  <si>
    <t>04201-FINELIFE HA DO</t>
  </si>
  <si>
    <t>54701-CH CO.OPFOOD DN DINH CHAU</t>
  </si>
  <si>
    <t>15/12/2025</t>
  </si>
  <si>
    <t>16/12/2025</t>
  </si>
  <si>
    <t>17/12/2025</t>
  </si>
  <si>
    <t>18/12/2025</t>
  </si>
  <si>
    <t>19/12/2025</t>
  </si>
  <si>
    <t>00007193</t>
  </si>
  <si>
    <t>00007194</t>
  </si>
  <si>
    <t>00007196</t>
  </si>
  <si>
    <t>00007199</t>
  </si>
  <si>
    <t>00007200</t>
  </si>
  <si>
    <t>00007208</t>
  </si>
  <si>
    <t>00007212</t>
  </si>
  <si>
    <t>00007215</t>
  </si>
  <si>
    <t>00007229</t>
  </si>
  <si>
    <t>00007252</t>
  </si>
  <si>
    <t>00007253</t>
  </si>
  <si>
    <t>00007272</t>
  </si>
  <si>
    <t>00007273</t>
  </si>
  <si>
    <t>00007275</t>
  </si>
  <si>
    <t>00007286</t>
  </si>
  <si>
    <t>00007325</t>
  </si>
  <si>
    <t>00007333</t>
  </si>
  <si>
    <t>00007343</t>
  </si>
  <si>
    <t>00007344</t>
  </si>
  <si>
    <t>00007358</t>
  </si>
  <si>
    <t>00007359</t>
  </si>
  <si>
    <t>7192</t>
  </si>
  <si>
    <t>7282</t>
  </si>
  <si>
    <t>7283</t>
  </si>
  <si>
    <t>00007433</t>
  </si>
  <si>
    <t>00007448</t>
  </si>
  <si>
    <t>00007449</t>
  </si>
  <si>
    <t>00007450</t>
  </si>
  <si>
    <t>00007459</t>
  </si>
  <si>
    <t>00007480</t>
  </si>
  <si>
    <t>00007481</t>
  </si>
  <si>
    <t>00007482</t>
  </si>
  <si>
    <t>00007485</t>
  </si>
  <si>
    <t>00007486</t>
  </si>
  <si>
    <t>00007490</t>
  </si>
  <si>
    <t>00007507</t>
  </si>
  <si>
    <t>00007508</t>
  </si>
  <si>
    <t>00007519</t>
  </si>
  <si>
    <t>00007545</t>
  </si>
  <si>
    <t>00007546</t>
  </si>
  <si>
    <t>00007547</t>
  </si>
  <si>
    <t>00007548</t>
  </si>
  <si>
    <t>00007551</t>
  </si>
  <si>
    <t>00007556</t>
  </si>
  <si>
    <t>00007557</t>
  </si>
  <si>
    <t>00007564</t>
  </si>
  <si>
    <t>00007658</t>
  </si>
  <si>
    <t>00007659</t>
  </si>
  <si>
    <t>00007660</t>
  </si>
  <si>
    <t>00007661</t>
  </si>
  <si>
    <t>00007709</t>
  </si>
  <si>
    <t>00007718</t>
  </si>
  <si>
    <t>00007824</t>
  </si>
  <si>
    <t>00007844</t>
  </si>
  <si>
    <t>20/12/2025</t>
  </si>
  <si>
    <t>22/12/2025</t>
  </si>
  <si>
    <t>23/12/2025</t>
  </si>
  <si>
    <t>24/12/2025</t>
  </si>
  <si>
    <t>25/12/2025</t>
  </si>
  <si>
    <t>26/12/2025</t>
  </si>
  <si>
    <t>27/12/2025</t>
  </si>
  <si>
    <t>31/12/2025</t>
  </si>
  <si>
    <t>04202-FINELIFE FOODSTORE RIVIERA POINT</t>
  </si>
  <si>
    <t>Co.opMart Hoc Mon</t>
  </si>
  <si>
    <t>Co.opMart Nguyen Binh</t>
  </si>
  <si>
    <t>Co.opMart Ben Luc</t>
  </si>
  <si>
    <t>Co.opMart Vinh Phuc</t>
  </si>
  <si>
    <t>CM Báo Lộc</t>
  </si>
  <si>
    <t>CM Long Bình</t>
  </si>
  <si>
    <t>4746</t>
  </si>
  <si>
    <t>504</t>
  </si>
  <si>
    <t>532</t>
  </si>
  <si>
    <t>380</t>
  </si>
  <si>
    <t>1258</t>
  </si>
  <si>
    <t>361</t>
  </si>
  <si>
    <t>11495</t>
  </si>
  <si>
    <t>694</t>
  </si>
  <si>
    <t>172</t>
  </si>
  <si>
    <t>347</t>
  </si>
  <si>
    <t>606</t>
  </si>
  <si>
    <t>598</t>
  </si>
  <si>
    <t>603</t>
  </si>
  <si>
    <t>557</t>
  </si>
  <si>
    <t>CM Dak Nông</t>
  </si>
  <si>
    <t>826</t>
  </si>
  <si>
    <t>860</t>
  </si>
  <si>
    <t>982</t>
  </si>
  <si>
    <t>717</t>
  </si>
  <si>
    <t>Kho Vệ tinh Bình Dương</t>
  </si>
  <si>
    <t>438546</t>
  </si>
  <si>
    <t>141</t>
  </si>
  <si>
    <t>00000002</t>
  </si>
  <si>
    <t>00000003</t>
  </si>
  <si>
    <t>00000004</t>
  </si>
  <si>
    <t>00000005</t>
  </si>
  <si>
    <t>00000006</t>
  </si>
  <si>
    <t>00000007</t>
  </si>
  <si>
    <t>00000008</t>
  </si>
  <si>
    <t>00000013</t>
  </si>
  <si>
    <t>00000015</t>
  </si>
  <si>
    <t>00000017</t>
  </si>
  <si>
    <t>00000018</t>
  </si>
  <si>
    <t>00000019</t>
  </si>
  <si>
    <t>00000050</t>
  </si>
  <si>
    <t>00000064</t>
  </si>
  <si>
    <t>00000066</t>
  </si>
  <si>
    <t>00000067</t>
  </si>
  <si>
    <t>00000068</t>
  </si>
  <si>
    <t>00000109</t>
  </si>
  <si>
    <t>00000110</t>
  </si>
  <si>
    <t>00000111</t>
  </si>
  <si>
    <t>00000126</t>
  </si>
  <si>
    <t>00000127</t>
  </si>
  <si>
    <t>00000144</t>
  </si>
  <si>
    <t>00000145</t>
  </si>
  <si>
    <t>00000146</t>
  </si>
  <si>
    <t>00000147</t>
  </si>
  <si>
    <t>00000150</t>
  </si>
  <si>
    <t>00000151</t>
  </si>
  <si>
    <t>00000153</t>
  </si>
  <si>
    <t>00000158</t>
  </si>
  <si>
    <t>00000159</t>
  </si>
  <si>
    <t>00000183</t>
  </si>
  <si>
    <t>00000184</t>
  </si>
  <si>
    <t>00000186</t>
  </si>
  <si>
    <t>00000187</t>
  </si>
  <si>
    <t>00000198</t>
  </si>
  <si>
    <t>00000200</t>
  </si>
  <si>
    <t>00000204</t>
  </si>
  <si>
    <t>00000216</t>
  </si>
  <si>
    <t>00000217</t>
  </si>
  <si>
    <t>00000218</t>
  </si>
  <si>
    <t>00000224</t>
  </si>
  <si>
    <t>00000253</t>
  </si>
  <si>
    <t>00000254</t>
  </si>
  <si>
    <t>00000300</t>
  </si>
  <si>
    <t>00000302</t>
  </si>
  <si>
    <t>00000379</t>
  </si>
  <si>
    <t>00000380</t>
  </si>
  <si>
    <t>00000437</t>
  </si>
  <si>
    <t>00000438</t>
  </si>
  <si>
    <t>00000439</t>
  </si>
  <si>
    <t>00000449</t>
  </si>
  <si>
    <t>00000450</t>
  </si>
  <si>
    <t>00000451</t>
  </si>
  <si>
    <t>00000452</t>
  </si>
  <si>
    <t>00000455</t>
  </si>
  <si>
    <t>00000479</t>
  </si>
  <si>
    <t>00000481</t>
  </si>
  <si>
    <t>00000483</t>
  </si>
  <si>
    <t>00000485</t>
  </si>
  <si>
    <t>00000487</t>
  </si>
  <si>
    <t>00000500</t>
  </si>
  <si>
    <t>00000519</t>
  </si>
  <si>
    <t>00000520</t>
  </si>
  <si>
    <t>00000521</t>
  </si>
  <si>
    <t>00000525</t>
  </si>
  <si>
    <t>00000532</t>
  </si>
  <si>
    <t>00000533</t>
  </si>
  <si>
    <t>00000534</t>
  </si>
  <si>
    <t>00000542</t>
  </si>
  <si>
    <t>00000543</t>
  </si>
  <si>
    <t>01/01/2026</t>
  </si>
  <si>
    <t>02/01/2026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</si>
  <si>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</si>
  <si>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</si>
  <si>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</si>
  <si>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</si>
  <si>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</si>
  <si>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</si>
  <si>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</si>
  <si>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</si>
  <si>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</si>
  <si>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</si>
  <si>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00399-FINELIFE SUPERMARKET URBAN HILL</t>
  </si>
  <si>
    <t>00187-CO.OPMART CAN THO</t>
  </si>
  <si>
    <t>32</t>
  </si>
  <si>
    <t>38</t>
  </si>
  <si>
    <t>00000588</t>
  </si>
  <si>
    <t>00000590</t>
  </si>
  <si>
    <t>00000595</t>
  </si>
  <si>
    <t>00000596</t>
  </si>
  <si>
    <t>00000612</t>
  </si>
  <si>
    <t>00000613</t>
  </si>
  <si>
    <t>00000614</t>
  </si>
  <si>
    <t>00000615</t>
  </si>
  <si>
    <t>00000631</t>
  </si>
  <si>
    <t>00000635</t>
  </si>
  <si>
    <t>00000641</t>
  </si>
  <si>
    <t>00000672</t>
  </si>
  <si>
    <t>00000677</t>
  </si>
  <si>
    <t>00000690</t>
  </si>
  <si>
    <t>00000691</t>
  </si>
  <si>
    <t>00000692</t>
  </si>
  <si>
    <t>00000693</t>
  </si>
  <si>
    <t>00000694</t>
  </si>
  <si>
    <t>00000695</t>
  </si>
  <si>
    <t>00000696</t>
  </si>
  <si>
    <t>00000702</t>
  </si>
  <si>
    <t>00000703</t>
  </si>
  <si>
    <t>00000705</t>
  </si>
  <si>
    <t>00000717</t>
  </si>
  <si>
    <t>00000719</t>
  </si>
  <si>
    <t>00000724</t>
  </si>
  <si>
    <t>00000725</t>
  </si>
  <si>
    <t>00000726</t>
  </si>
  <si>
    <t>00000744</t>
  </si>
  <si>
    <t>00000748</t>
  </si>
  <si>
    <t>00000770</t>
  </si>
  <si>
    <t>00000771</t>
  </si>
  <si>
    <t>00000800</t>
  </si>
  <si>
    <t>00000812</t>
  </si>
  <si>
    <t>00000829</t>
  </si>
  <si>
    <t>00000844</t>
  </si>
  <si>
    <t>00000906</t>
  </si>
  <si>
    <t>00000961</t>
  </si>
  <si>
    <t>00000962</t>
  </si>
  <si>
    <t>00000963</t>
  </si>
  <si>
    <t>00000964</t>
  </si>
  <si>
    <t>00000965</t>
  </si>
  <si>
    <t>00000973</t>
  </si>
  <si>
    <t>00000990</t>
  </si>
  <si>
    <t>00000995</t>
  </si>
  <si>
    <t>00001012</t>
  </si>
  <si>
    <t>00001035</t>
  </si>
  <si>
    <t>00001036</t>
  </si>
  <si>
    <t>00001037</t>
  </si>
  <si>
    <t>00001046</t>
  </si>
  <si>
    <t>00001047</t>
  </si>
  <si>
    <t>00001048</t>
  </si>
  <si>
    <t>00001078</t>
  </si>
  <si>
    <t>00001079</t>
  </si>
  <si>
    <t>00001080</t>
  </si>
  <si>
    <t>00001081</t>
  </si>
  <si>
    <t>00001099</t>
  </si>
  <si>
    <t>00001125</t>
  </si>
  <si>
    <t>00001162</t>
  </si>
  <si>
    <t>00001163</t>
  </si>
  <si>
    <t>00001251</t>
  </si>
  <si>
    <t>00001252</t>
  </si>
  <si>
    <t>00001253</t>
  </si>
  <si>
    <t>00001254</t>
  </si>
  <si>
    <t>00001256</t>
  </si>
  <si>
    <t>00001268</t>
  </si>
  <si>
    <t>00001286</t>
  </si>
  <si>
    <t>00001301</t>
  </si>
  <si>
    <t>00001325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</si>
  <si>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</si>
  <si>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</si>
  <si>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</si>
  <si>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</si>
  <si>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</si>
  <si>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</si>
  <si>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</si>
  <si>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</si>
  <si>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</si>
  <si>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</si>
  <si>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26/01/2026</t>
  </si>
  <si>
    <t>27/01/2026</t>
  </si>
  <si>
    <t>28/01/2026</t>
  </si>
  <si>
    <t>29/01/2026</t>
  </si>
  <si>
    <t>30/01/2026</t>
  </si>
  <si>
    <t>31/01/2026</t>
  </si>
  <si>
    <t>02/02/2026</t>
  </si>
  <si>
    <t>03/02/2026</t>
  </si>
  <si>
    <t>04/02/2026</t>
  </si>
  <si>
    <t>08/02/2026</t>
  </si>
  <si>
    <t>09/02/2026</t>
  </si>
  <si>
    <t>00000994</t>
  </si>
  <si>
    <t>00001014</t>
  </si>
  <si>
    <t>00001055</t>
  </si>
  <si>
    <t>00001095</t>
  </si>
  <si>
    <t>00001250</t>
  </si>
  <si>
    <t>00001563</t>
  </si>
  <si>
    <t>00001564</t>
  </si>
  <si>
    <t>00001566</t>
  </si>
  <si>
    <t>00001626</t>
  </si>
  <si>
    <t>00001627</t>
  </si>
  <si>
    <t>00001628</t>
  </si>
  <si>
    <t>00001629</t>
  </si>
  <si>
    <t>00001630</t>
  </si>
  <si>
    <t>00001631</t>
  </si>
  <si>
    <t>00001632</t>
  </si>
  <si>
    <t>00001635</t>
  </si>
  <si>
    <t>00001636</t>
  </si>
  <si>
    <t>00001783</t>
  </si>
  <si>
    <t>00001784</t>
  </si>
  <si>
    <t>00001786</t>
  </si>
  <si>
    <t>00001787</t>
  </si>
  <si>
    <t>00001788</t>
  </si>
  <si>
    <t>00001789</t>
  </si>
  <si>
    <t>00001790</t>
  </si>
  <si>
    <t>00001792</t>
  </si>
  <si>
    <t>00001857</t>
  </si>
  <si>
    <t>00001858</t>
  </si>
  <si>
    <t>00001859</t>
  </si>
  <si>
    <t>00001878</t>
  </si>
  <si>
    <t>00001879</t>
  </si>
  <si>
    <t>00001880</t>
  </si>
  <si>
    <t>00001881</t>
  </si>
  <si>
    <t>00001883</t>
  </si>
  <si>
    <t>00001885</t>
  </si>
  <si>
    <t>24/02/2026</t>
  </si>
  <si>
    <t>25/02/2026</t>
  </si>
  <si>
    <t>26/02/2026</t>
  </si>
  <si>
    <t>01/03/2026</t>
  </si>
  <si>
    <t>02/03/2026</t>
  </si>
  <si>
    <t>03/03/2026</t>
  </si>
  <si>
    <t>33</t>
  </si>
  <si>
    <t>35</t>
  </si>
  <si>
    <t>1313</t>
  </si>
  <si>
    <t>1320</t>
  </si>
  <si>
    <t>1431</t>
  </si>
  <si>
    <t>1475</t>
  </si>
  <si>
    <t>1479</t>
  </si>
  <si>
    <t>1492</t>
  </si>
  <si>
    <t>1864</t>
  </si>
  <si>
    <t>1866</t>
  </si>
  <si>
    <t>1886</t>
  </si>
  <si>
    <t>1892</t>
  </si>
  <si>
    <t>1893</t>
  </si>
  <si>
    <t>ghi nhận</t>
  </si>
  <si>
    <t>ghi nhận 35</t>
  </si>
  <si>
    <t>ghi nhận 34</t>
  </si>
  <si>
    <t>ghi nhận 33</t>
  </si>
  <si>
    <t>ghi nhận 36</t>
  </si>
  <si>
    <t>ghi nhận 37</t>
  </si>
  <si>
    <t>CHECK</t>
  </si>
  <si>
    <t>Ghi nhận</t>
  </si>
  <si>
    <t>4673</t>
  </si>
  <si>
    <t>34883</t>
  </si>
  <si>
    <t>Chiết khấu theo hợp đồng</t>
  </si>
  <si>
    <t>1398</t>
  </si>
  <si>
    <t>3410</t>
  </si>
  <si>
    <t>64</t>
  </si>
  <si>
    <t>95</t>
  </si>
  <si>
    <t>327</t>
  </si>
  <si>
    <t>CM Kon tum</t>
  </si>
  <si>
    <t>167</t>
  </si>
  <si>
    <t>279</t>
  </si>
  <si>
    <t>305</t>
  </si>
  <si>
    <t>223</t>
  </si>
  <si>
    <t>263</t>
  </si>
  <si>
    <t>288</t>
  </si>
  <si>
    <t>159</t>
  </si>
  <si>
    <t>106</t>
  </si>
  <si>
    <t>CM CÁI BÈ</t>
  </si>
  <si>
    <t>229</t>
  </si>
  <si>
    <t>137</t>
  </si>
  <si>
    <t>2544</t>
  </si>
  <si>
    <t>2546</t>
  </si>
  <si>
    <t>CM Vũ Yên</t>
  </si>
  <si>
    <t>529</t>
  </si>
  <si>
    <t>2584</t>
  </si>
  <si>
    <t>80</t>
  </si>
  <si>
    <t>554</t>
  </si>
  <si>
    <t>228</t>
  </si>
  <si>
    <t>188</t>
  </si>
  <si>
    <t>149</t>
  </si>
  <si>
    <t>110</t>
  </si>
  <si>
    <t>CM Thống Nhất</t>
  </si>
  <si>
    <t>182</t>
  </si>
  <si>
    <t>340</t>
  </si>
  <si>
    <t>491</t>
  </si>
  <si>
    <t>208</t>
  </si>
  <si>
    <t>298</t>
  </si>
  <si>
    <t>234</t>
  </si>
  <si>
    <t>323</t>
  </si>
  <si>
    <t>5823</t>
  </si>
  <si>
    <t>210</t>
  </si>
  <si>
    <t>712</t>
  </si>
  <si>
    <t>3965</t>
  </si>
  <si>
    <t>3966</t>
  </si>
  <si>
    <t>00001910</t>
  </si>
  <si>
    <t>00001911</t>
  </si>
  <si>
    <t>00001912</t>
  </si>
  <si>
    <t>00001932</t>
  </si>
  <si>
    <t>00001951</t>
  </si>
  <si>
    <t>00001952</t>
  </si>
  <si>
    <t>00001953</t>
  </si>
  <si>
    <t>00001968</t>
  </si>
  <si>
    <t>00002006</t>
  </si>
  <si>
    <t>00002017</t>
  </si>
  <si>
    <t>00002026</t>
  </si>
  <si>
    <t>00002027</t>
  </si>
  <si>
    <t>00002039</t>
  </si>
  <si>
    <t>00002076</t>
  </si>
  <si>
    <t>00002077</t>
  </si>
  <si>
    <t>00002179</t>
  </si>
  <si>
    <t>00002193</t>
  </si>
  <si>
    <t>00002194</t>
  </si>
  <si>
    <t>00002195</t>
  </si>
  <si>
    <t>00002196</t>
  </si>
  <si>
    <t>00002197</t>
  </si>
  <si>
    <t>00002198</t>
  </si>
  <si>
    <t>00002220</t>
  </si>
  <si>
    <t>00002221</t>
  </si>
  <si>
    <t>00002222</t>
  </si>
  <si>
    <t>00002311</t>
  </si>
  <si>
    <t>00002312</t>
  </si>
  <si>
    <t>00002313</t>
  </si>
  <si>
    <t>00002314</t>
  </si>
  <si>
    <t>00002373</t>
  </si>
  <si>
    <t>00002374</t>
  </si>
  <si>
    <t>00002377</t>
  </si>
  <si>
    <t>00002378</t>
  </si>
  <si>
    <t>00002399</t>
  </si>
  <si>
    <t>00002474</t>
  </si>
  <si>
    <t>00002478</t>
  </si>
  <si>
    <t>00002479</t>
  </si>
  <si>
    <t>00002559</t>
  </si>
  <si>
    <t>00002570</t>
  </si>
  <si>
    <t>00002571</t>
  </si>
  <si>
    <t>00002572</t>
  </si>
  <si>
    <t>00002573</t>
  </si>
  <si>
    <t>00002574</t>
  </si>
  <si>
    <t>00002575</t>
  </si>
  <si>
    <t>00002576</t>
  </si>
  <si>
    <t>00002577</t>
  </si>
  <si>
    <t>00002578</t>
  </si>
  <si>
    <t>00002582</t>
  </si>
  <si>
    <t>00002584</t>
  </si>
  <si>
    <t>00002585</t>
  </si>
  <si>
    <t>05/03/2026</t>
  </si>
  <si>
    <t>06/03/2026</t>
  </si>
  <si>
    <t>07/03/2026</t>
  </si>
  <si>
    <t>09/03/2026</t>
  </si>
  <si>
    <t>10/03/2026</t>
  </si>
  <si>
    <t>12/03/2026</t>
  </si>
  <si>
    <t>17/03/2026</t>
  </si>
  <si>
    <t>19/03/2026</t>
  </si>
  <si>
    <t>20/03/2026</t>
  </si>
  <si>
    <t>24/03/2026</t>
  </si>
  <si>
    <t>27/03/2026</t>
  </si>
  <si>
    <t>01/04/2026</t>
  </si>
  <si>
    <t>1902</t>
  </si>
  <si>
    <t>1965</t>
  </si>
  <si>
    <t>2011</t>
  </si>
  <si>
    <t>2583</t>
  </si>
  <si>
    <t>365</t>
  </si>
  <si>
    <t>310</t>
  </si>
  <si>
    <t>575</t>
  </si>
  <si>
    <t>552</t>
  </si>
  <si>
    <t>3231</t>
  </si>
  <si>
    <t>312</t>
  </si>
  <si>
    <t>00002601</t>
  </si>
  <si>
    <t>00002619</t>
  </si>
  <si>
    <t>00002620</t>
  </si>
  <si>
    <t>00002623</t>
  </si>
  <si>
    <t>00002672</t>
  </si>
  <si>
    <t>00002678</t>
  </si>
  <si>
    <t>00002679</t>
  </si>
  <si>
    <t>00002680</t>
  </si>
  <si>
    <t>00002681</t>
  </si>
  <si>
    <t>00002768</t>
  </si>
  <si>
    <t>00002770</t>
  </si>
  <si>
    <t>00002813</t>
  </si>
  <si>
    <t>00002883</t>
  </si>
  <si>
    <t>00002884</t>
  </si>
  <si>
    <t>00002888</t>
  </si>
  <si>
    <t>00002933</t>
  </si>
  <si>
    <t>00002935</t>
  </si>
  <si>
    <t>00002936</t>
  </si>
  <si>
    <t>00002958</t>
  </si>
  <si>
    <t>00002980</t>
  </si>
  <si>
    <t>00002981</t>
  </si>
  <si>
    <t>00002983</t>
  </si>
  <si>
    <t>00003046</t>
  </si>
  <si>
    <t>00003048</t>
  </si>
  <si>
    <t>00003049</t>
  </si>
  <si>
    <t>00003050</t>
  </si>
  <si>
    <t>00003052</t>
  </si>
  <si>
    <t>00003087</t>
  </si>
  <si>
    <t>00003092</t>
  </si>
  <si>
    <t>00003094</t>
  </si>
  <si>
    <t>00003134</t>
  </si>
  <si>
    <t>00003176</t>
  </si>
  <si>
    <t>00003442</t>
  </si>
  <si>
    <t>00003465</t>
  </si>
  <si>
    <t>00003474</t>
  </si>
  <si>
    <t>00003475</t>
  </si>
  <si>
    <t>00003476</t>
  </si>
  <si>
    <t>00003477</t>
  </si>
  <si>
    <t>00003479</t>
  </si>
  <si>
    <t>00003482</t>
  </si>
  <si>
    <t>00003499</t>
  </si>
  <si>
    <t>00003543</t>
  </si>
  <si>
    <t>00003544</t>
  </si>
  <si>
    <t>00003546</t>
  </si>
  <si>
    <t>00003547</t>
  </si>
  <si>
    <t>00003548</t>
  </si>
  <si>
    <t>00003549</t>
  </si>
  <si>
    <t>00003550</t>
  </si>
  <si>
    <t>00003553</t>
  </si>
  <si>
    <t>00003554</t>
  </si>
  <si>
    <t>00003555</t>
  </si>
  <si>
    <t>02/04/2026</t>
  </si>
  <si>
    <t>04/04/2026</t>
  </si>
  <si>
    <t>06/04/2026</t>
  </si>
  <si>
    <t>07/04/2026</t>
  </si>
  <si>
    <t>09/04/2026</t>
  </si>
  <si>
    <t>11/04/2026</t>
  </si>
  <si>
    <t>13/04/2026</t>
  </si>
  <si>
    <t>15/04/2026</t>
  </si>
  <si>
    <t>16/04/2026</t>
  </si>
  <si>
    <t>17/04/2026</t>
  </si>
  <si>
    <t>18/04/2026</t>
  </si>
  <si>
    <t>20/04/2026</t>
  </si>
  <si>
    <t>21/04/2026</t>
  </si>
  <si>
    <t>22/04/2026</t>
  </si>
  <si>
    <t>28/04/2026</t>
  </si>
  <si>
    <t>04/05/2026</t>
  </si>
  <si>
    <t>05/05/2026</t>
  </si>
  <si>
    <t>3542</t>
  </si>
  <si>
    <t>687</t>
  </si>
  <si>
    <t>00003579</t>
  </si>
  <si>
    <t>00003585</t>
  </si>
  <si>
    <t>00003586</t>
  </si>
  <si>
    <t>00003587</t>
  </si>
  <si>
    <t>00003589</t>
  </si>
  <si>
    <t>00003629</t>
  </si>
  <si>
    <t>00003634</t>
  </si>
  <si>
    <t>00003635</t>
  </si>
  <si>
    <t>00003770</t>
  </si>
  <si>
    <t>00003771</t>
  </si>
  <si>
    <t>00003772</t>
  </si>
  <si>
    <t>00003844</t>
  </si>
  <si>
    <t>00003988</t>
  </si>
  <si>
    <t>00004003</t>
  </si>
  <si>
    <t>00004004</t>
  </si>
  <si>
    <t>00004005</t>
  </si>
  <si>
    <t>00004006</t>
  </si>
  <si>
    <t>00004007</t>
  </si>
  <si>
    <t>00004008</t>
  </si>
  <si>
    <t>06/05/2026</t>
  </si>
  <si>
    <t>08/05/2026</t>
  </si>
  <si>
    <t>12/05/2026</t>
  </si>
  <si>
    <t>14/05/2026</t>
  </si>
  <si>
    <t>19/05/2026</t>
  </si>
  <si>
    <t>00004095</t>
  </si>
  <si>
    <t>00004096</t>
  </si>
  <si>
    <t>00004097</t>
  </si>
  <si>
    <t>00004098</t>
  </si>
  <si>
    <t>00004099</t>
  </si>
  <si>
    <t>00004100</t>
  </si>
  <si>
    <t>00004101</t>
  </si>
  <si>
    <t>00004126</t>
  </si>
  <si>
    <t>00004127</t>
  </si>
  <si>
    <t>00004128</t>
  </si>
  <si>
    <t>21/05/2026</t>
  </si>
  <si>
    <t>23/05/2026</t>
  </si>
  <si>
    <t>FLIFE FOODSTORE RIVIERA POINT</t>
  </si>
  <si>
    <t>672</t>
  </si>
  <si>
    <t>4203</t>
  </si>
  <si>
    <t>4204</t>
  </si>
  <si>
    <t>4205</t>
  </si>
  <si>
    <t>CM QUANG BINH</t>
  </si>
  <si>
    <t>CM THANG LOI</t>
  </si>
  <si>
    <t>4235</t>
  </si>
  <si>
    <t>4247</t>
  </si>
  <si>
    <t>CM XA LO HA NOI</t>
  </si>
  <si>
    <t>3639</t>
  </si>
  <si>
    <t>00004410</t>
  </si>
  <si>
    <t>00004413</t>
  </si>
  <si>
    <t>00004414</t>
  </si>
  <si>
    <t>00004415</t>
  </si>
  <si>
    <t>00004416</t>
  </si>
  <si>
    <t>00004417</t>
  </si>
  <si>
    <t>00004438</t>
  </si>
  <si>
    <t>00004439</t>
  </si>
  <si>
    <t>00004485</t>
  </si>
  <si>
    <t>00004489</t>
  </si>
  <si>
    <t>00004490</t>
  </si>
  <si>
    <t>00004491</t>
  </si>
  <si>
    <t>00004492</t>
  </si>
  <si>
    <t>00004493</t>
  </si>
  <si>
    <t>00004545</t>
  </si>
  <si>
    <t>00004546</t>
  </si>
  <si>
    <t>00004576</t>
  </si>
  <si>
    <t>00004577</t>
  </si>
  <si>
    <t>00004578</t>
  </si>
  <si>
    <t>00004579</t>
  </si>
  <si>
    <t>00004580</t>
  </si>
  <si>
    <t>00004581</t>
  </si>
  <si>
    <t>00004582</t>
  </si>
  <si>
    <t>00004654</t>
  </si>
  <si>
    <t>00004655</t>
  </si>
  <si>
    <t>00004701</t>
  </si>
  <si>
    <t>00004778</t>
  </si>
  <si>
    <t>00004872</t>
  </si>
  <si>
    <t>00004876</t>
  </si>
  <si>
    <t>00004878</t>
  </si>
  <si>
    <t>00004885</t>
  </si>
  <si>
    <t>00004918</t>
  </si>
  <si>
    <t>00004919</t>
  </si>
  <si>
    <t>00004937</t>
  </si>
  <si>
    <t>00004938</t>
  </si>
  <si>
    <t>00004971</t>
  </si>
  <si>
    <t>00004972</t>
  </si>
  <si>
    <t>00005074</t>
  </si>
  <si>
    <t>00005085</t>
  </si>
  <si>
    <t>00005086</t>
  </si>
  <si>
    <t>00005105</t>
  </si>
  <si>
    <t>00005106</t>
  </si>
  <si>
    <t>00005107</t>
  </si>
  <si>
    <t>00005108</t>
  </si>
  <si>
    <t>00005109</t>
  </si>
  <si>
    <t>00005126</t>
  </si>
  <si>
    <t>00005127</t>
  </si>
  <si>
    <t>00005129</t>
  </si>
  <si>
    <t>00005130</t>
  </si>
  <si>
    <t>00005135</t>
  </si>
  <si>
    <t>00005136</t>
  </si>
  <si>
    <t>00005137</t>
  </si>
  <si>
    <t>00005155</t>
  </si>
  <si>
    <t>00005156</t>
  </si>
  <si>
    <t>00005157</t>
  </si>
  <si>
    <t>00005158</t>
  </si>
  <si>
    <t>00005159</t>
  </si>
  <si>
    <t>00005175</t>
  </si>
  <si>
    <t>00005177</t>
  </si>
  <si>
    <t>00005186</t>
  </si>
  <si>
    <t>00005220</t>
  </si>
  <si>
    <t>00005231</t>
  </si>
  <si>
    <t>01/06/2026</t>
  </si>
  <si>
    <t>02/06/2026</t>
  </si>
  <si>
    <t>05/06/2026</t>
  </si>
  <si>
    <t>06/06/2026</t>
  </si>
  <si>
    <t>08/06/2026</t>
  </si>
  <si>
    <t>09/06/2026</t>
  </si>
  <si>
    <t>11/06/2026</t>
  </si>
  <si>
    <t>13/06/2026</t>
  </si>
  <si>
    <t>15/06/2026</t>
  </si>
  <si>
    <t>16/06/2026</t>
  </si>
  <si>
    <t>17/06/2026</t>
  </si>
  <si>
    <t>19/06/2026</t>
  </si>
  <si>
    <t>22/06/2026</t>
  </si>
  <si>
    <t>23/06/2026</t>
  </si>
  <si>
    <t>24/06/2026</t>
  </si>
  <si>
    <t>25/06/2026</t>
  </si>
  <si>
    <t>26/06/2026</t>
  </si>
  <si>
    <t>27/06/2026</t>
  </si>
  <si>
    <t>00005489</t>
  </si>
  <si>
    <t>00005490</t>
  </si>
  <si>
    <t>00005492</t>
  </si>
  <si>
    <t>00005493</t>
  </si>
  <si>
    <t>00005497</t>
  </si>
  <si>
    <t>00005498</t>
  </si>
  <si>
    <t>00005500</t>
  </si>
  <si>
    <t>00005501</t>
  </si>
  <si>
    <t>00005502</t>
  </si>
  <si>
    <t>00005503</t>
  </si>
  <si>
    <t>00005504</t>
  </si>
  <si>
    <t>00005505</t>
  </si>
  <si>
    <t>00005506</t>
  </si>
  <si>
    <t>00005507</t>
  </si>
  <si>
    <t>00005508</t>
  </si>
  <si>
    <t>00005536</t>
  </si>
  <si>
    <t>00005537</t>
  </si>
  <si>
    <t>00005538</t>
  </si>
  <si>
    <t>00005539</t>
  </si>
  <si>
    <t>00005541</t>
  </si>
  <si>
    <t>00005542</t>
  </si>
  <si>
    <t>00005543</t>
  </si>
  <si>
    <t>00005553</t>
  </si>
  <si>
    <t>00005554</t>
  </si>
  <si>
    <t>00005555</t>
  </si>
  <si>
    <t>00005558</t>
  </si>
  <si>
    <t>00005561</t>
  </si>
  <si>
    <t>00005642</t>
  </si>
  <si>
    <t>00005647</t>
  </si>
  <si>
    <t>00005650</t>
  </si>
  <si>
    <t>00005651</t>
  </si>
  <si>
    <t>00005661</t>
  </si>
  <si>
    <t>00005662</t>
  </si>
  <si>
    <t>00005663</t>
  </si>
  <si>
    <t>00005709</t>
  </si>
  <si>
    <t>00005710</t>
  </si>
  <si>
    <t>00005711</t>
  </si>
  <si>
    <t>00005712</t>
  </si>
  <si>
    <t>00005713</t>
  </si>
  <si>
    <t>00005726</t>
  </si>
  <si>
    <t>00005728</t>
  </si>
  <si>
    <t>00005739</t>
  </si>
  <si>
    <t>00005760</t>
  </si>
  <si>
    <t>00005764</t>
  </si>
  <si>
    <t>00005767</t>
  </si>
  <si>
    <t>00005769</t>
  </si>
  <si>
    <t>00005784</t>
  </si>
  <si>
    <t>00005785</t>
  </si>
  <si>
    <t>00005786</t>
  </si>
  <si>
    <t>00005787</t>
  </si>
  <si>
    <t>00005788</t>
  </si>
  <si>
    <t>00005823</t>
  </si>
  <si>
    <t>00005824</t>
  </si>
  <si>
    <t>00005825</t>
  </si>
  <si>
    <t>00005826</t>
  </si>
  <si>
    <t>00005831</t>
  </si>
  <si>
    <t>00005878</t>
  </si>
  <si>
    <t>00005879</t>
  </si>
  <si>
    <t>00005880</t>
  </si>
  <si>
    <t>00005969</t>
  </si>
  <si>
    <t>00005970</t>
  </si>
  <si>
    <t>00005971</t>
  </si>
  <si>
    <t>00005972</t>
  </si>
  <si>
    <t>00005973</t>
  </si>
  <si>
    <t>00005974</t>
  </si>
  <si>
    <t>00005976</t>
  </si>
  <si>
    <t>00005977</t>
  </si>
  <si>
    <t>00006028</t>
  </si>
  <si>
    <t>00006029</t>
  </si>
  <si>
    <t>00006030</t>
  </si>
  <si>
    <t>00006031</t>
  </si>
  <si>
    <t>00006032</t>
  </si>
  <si>
    <t>00006033</t>
  </si>
  <si>
    <t>00006045</t>
  </si>
  <si>
    <t>00006065</t>
  </si>
  <si>
    <t>00006074</t>
  </si>
  <si>
    <t>00006076</t>
  </si>
  <si>
    <t>00006100</t>
  </si>
  <si>
    <t>00006104</t>
  </si>
  <si>
    <t>00006148</t>
  </si>
  <si>
    <t>00006157</t>
  </si>
  <si>
    <t>00006200</t>
  </si>
  <si>
    <t>00006201</t>
  </si>
  <si>
    <t>00006202</t>
  </si>
  <si>
    <t>00006203</t>
  </si>
  <si>
    <t>00006215</t>
  </si>
  <si>
    <t>00006217</t>
  </si>
  <si>
    <t>00006218</t>
  </si>
  <si>
    <t>00006221</t>
  </si>
  <si>
    <t>00006222</t>
  </si>
  <si>
    <t>00006223</t>
  </si>
  <si>
    <t>00006224</t>
  </si>
  <si>
    <t>00006225</t>
  </si>
  <si>
    <t>00006226</t>
  </si>
  <si>
    <t>00006227</t>
  </si>
  <si>
    <t>00006228</t>
  </si>
  <si>
    <t>01/07/2026</t>
  </si>
  <si>
    <t>02/07/2026</t>
  </si>
  <si>
    <t>03/07/2026</t>
  </si>
  <si>
    <t>04/07/2026</t>
  </si>
  <si>
    <t>06/07/2026</t>
  </si>
  <si>
    <t>07/07/2026</t>
  </si>
  <si>
    <t>08/07/2026</t>
  </si>
  <si>
    <t>09/07/2026</t>
  </si>
  <si>
    <t>11/07/2026</t>
  </si>
  <si>
    <t>13/07/2026</t>
  </si>
  <si>
    <t>14/07/2026</t>
  </si>
  <si>
    <t>15/07/2026</t>
  </si>
  <si>
    <t>16/07/2026</t>
  </si>
  <si>
    <t>17/07/2026</t>
  </si>
  <si>
    <t>18/07/2026</t>
  </si>
  <si>
    <t>21/07/2026</t>
  </si>
  <si>
    <t>Nguyễn Thị Khánh Linh</t>
  </si>
  <si>
    <t>Đỗ Văn Diên</t>
  </si>
  <si>
    <t>5725</t>
  </si>
  <si>
    <t>5782</t>
  </si>
  <si>
    <t>397</t>
  </si>
  <si>
    <t>00006262</t>
  </si>
  <si>
    <t>00006263</t>
  </si>
  <si>
    <t>00006264</t>
  </si>
  <si>
    <t>00006334</t>
  </si>
  <si>
    <t>00006346</t>
  </si>
  <si>
    <t>00006389</t>
  </si>
  <si>
    <t>00006391</t>
  </si>
  <si>
    <t>00006392</t>
  </si>
  <si>
    <t>00006396</t>
  </si>
  <si>
    <t>00006399</t>
  </si>
  <si>
    <t>00006400</t>
  </si>
  <si>
    <t>00006411</t>
  </si>
  <si>
    <t>00006412</t>
  </si>
  <si>
    <t>00006490</t>
  </si>
  <si>
    <t>00006515</t>
  </si>
  <si>
    <t>00006621</t>
  </si>
  <si>
    <t>00006623</t>
  </si>
  <si>
    <t>00006625</t>
  </si>
  <si>
    <t>00006656</t>
  </si>
  <si>
    <t>00006661</t>
  </si>
  <si>
    <t>00006681</t>
  </si>
  <si>
    <t>00006682</t>
  </si>
  <si>
    <t>00006683</t>
  </si>
  <si>
    <t>00006684</t>
  </si>
  <si>
    <t>00006691</t>
  </si>
  <si>
    <t>00006701</t>
  </si>
  <si>
    <t>00006717</t>
  </si>
  <si>
    <t>00006746</t>
  </si>
  <si>
    <t>00006754</t>
  </si>
  <si>
    <t>00006810</t>
  </si>
  <si>
    <t>00006857</t>
  </si>
  <si>
    <t>00006858</t>
  </si>
  <si>
    <t>00006859</t>
  </si>
  <si>
    <t>00006860</t>
  </si>
  <si>
    <t>00006861</t>
  </si>
  <si>
    <t>00006868</t>
  </si>
  <si>
    <t>23/07/2026</t>
  </si>
  <si>
    <t>25/07/2026</t>
  </si>
  <si>
    <t>27/07/2026</t>
  </si>
  <si>
    <t>28/07/2026</t>
  </si>
  <si>
    <t>30/07/2026</t>
  </si>
  <si>
    <t>01/08/2026</t>
  </si>
  <si>
    <t>03/08/2026</t>
  </si>
  <si>
    <t>04/08/2026</t>
  </si>
  <si>
    <t>05/08/2026</t>
  </si>
  <si>
    <t>06/08/2026</t>
  </si>
  <si>
    <t>07/08/2026</t>
  </si>
  <si>
    <t>08/08/2026</t>
  </si>
  <si>
    <t>11/08/2026</t>
  </si>
  <si>
    <t>12/08/2026</t>
  </si>
  <si>
    <t>6632</t>
  </si>
  <si>
    <t>6654</t>
  </si>
  <si>
    <t>9894</t>
  </si>
  <si>
    <t>00007133</t>
  </si>
  <si>
    <t>00007137</t>
  </si>
  <si>
    <t>13/08/2026</t>
  </si>
  <si>
    <t>17/08/2026</t>
  </si>
  <si>
    <t>7193</t>
  </si>
  <si>
    <t>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</si>
</sst>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"/>
    <numFmt numFmtId="165" formatCode="_-* #,##0.00_-;\-* #,##0.00_-;_-* &quot;-&quot;??_-;_-@_-"/>
    <numFmt numFmtId="166" formatCode="_-* #,##0_-;\-* #,##0_-;_-* &quot;-&quot;??_-;_-@_-"/>
    <numFmt numFmtId="167" formatCode="_(* #,##0_);_(* \(#,##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rgb="FF000000"/>
      <name val="Cambria"/>
      <family val="1"/>
    </font>
    <font>
      <b/>
      <i/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name val="Calibri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Cambria"/>
      <family val="1"/>
    </font>
    <font>
      <b/>
      <i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name val="Cambria"/>
      <family val="1"/>
    </font>
    <font>
      <b/>
      <i/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Calibri"/>
      <family val="2"/>
    </font>
    <font>
      <b/>
      <sz val="11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b/>
      <sz val="14"/>
      <color rgb="FFFF0000"/>
      <name val="Calibri"/>
      <family val="2"/>
    </font>
    <font>
      <b/>
      <sz val="11"/>
      <name val="Calibri"/>
      <family val="2"/>
    </font>
    <font>
      <b/>
      <i/>
      <sz val="12"/>
      <color theme="6" tint="-0.249977111117893"/>
      <name val="Times New Roman"/>
      <family val="1"/>
    </font>
    <font>
      <sz val="11"/>
      <color rgb="FFFF0000"/>
      <name val="Cambria"/>
      <family val="1"/>
    </font>
    <font>
      <sz val="11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b/>
      <sz val="11"/>
      <color rgb="FFFF0000"/>
      <name val="Cambria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D6E3BC"/>
      </patternFill>
    </fill>
  </fills>
  <borders count="3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165" fontId="26" fillId="0" borderId="0" applyFont="0" applyFill="0" applyBorder="0" applyAlignment="0" applyProtection="0"/>
    <xf numFmtId="43" fontId="3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1" applyFont="1" applyAlignment="1">
      <alignment horizontal="left"/>
    </xf>
    <xf numFmtId="0" fontId="1" fillId="0" borderId="0" xfId="1"/>
    <xf numFmtId="0" fontId="1" fillId="2" borderId="0" xfId="1" applyFill="1"/>
    <xf numFmtId="14" fontId="1" fillId="0" borderId="0" xfId="1" applyNumberFormat="1"/>
    <xf numFmtId="3" fontId="1" fillId="0" borderId="0" xfId="1" applyNumberFormat="1"/>
    <xf numFmtId="0" fontId="3" fillId="0" borderId="0" xfId="1" applyFont="1" applyAlignment="1">
      <alignment vertical="center"/>
    </xf>
    <xf numFmtId="164" fontId="4" fillId="0" borderId="0" xfId="1" applyNumberFormat="1" applyFont="1" applyAlignment="1">
      <alignment vertical="center"/>
    </xf>
    <xf numFmtId="0" fontId="5" fillId="0" borderId="1" xfId="1" applyFont="1" applyBorder="1"/>
    <xf numFmtId="0" fontId="6" fillId="0" borderId="1" xfId="1" applyFont="1" applyBorder="1"/>
    <xf numFmtId="0" fontId="7" fillId="3" borderId="2" xfId="1" applyFont="1" applyFill="1" applyBorder="1" applyAlignment="1">
      <alignment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49" fontId="8" fillId="3" borderId="3" xfId="1" applyNumberFormat="1" applyFont="1" applyFill="1" applyBorder="1" applyAlignment="1">
      <alignment horizontal="center" vertical="center" wrapText="1"/>
    </xf>
    <xf numFmtId="49" fontId="8" fillId="3" borderId="4" xfId="1" applyNumberFormat="1" applyFont="1" applyFill="1" applyBorder="1" applyAlignment="1">
      <alignment horizontal="center" vertical="center" wrapText="1"/>
    </xf>
    <xf numFmtId="3" fontId="7" fillId="3" borderId="5" xfId="1" applyNumberFormat="1" applyFont="1" applyFill="1" applyBorder="1" applyAlignment="1">
      <alignment vertical="center"/>
    </xf>
    <xf numFmtId="0" fontId="6" fillId="0" borderId="6" xfId="1" applyFont="1" applyBorder="1"/>
    <xf numFmtId="0" fontId="6" fillId="0" borderId="7" xfId="1" applyFont="1" applyBorder="1"/>
    <xf numFmtId="14" fontId="7" fillId="3" borderId="3" xfId="1" applyNumberFormat="1" applyFont="1" applyFill="1" applyBorder="1" applyAlignment="1">
      <alignment horizontal="center" vertical="center"/>
    </xf>
    <xf numFmtId="0" fontId="9" fillId="3" borderId="8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 wrapText="1"/>
    </xf>
    <xf numFmtId="14" fontId="8" fillId="3" borderId="9" xfId="1" applyNumberFormat="1" applyFont="1" applyFill="1" applyBorder="1" applyAlignment="1">
      <alignment horizontal="center" vertical="center" wrapText="1"/>
    </xf>
    <xf numFmtId="49" fontId="8" fillId="3" borderId="9" xfId="1" applyNumberFormat="1" applyFont="1" applyFill="1" applyBorder="1" applyAlignment="1">
      <alignment horizontal="center" vertical="center" wrapText="1"/>
    </xf>
    <xf numFmtId="49" fontId="8" fillId="3" borderId="10" xfId="1" applyNumberFormat="1" applyFont="1" applyFill="1" applyBorder="1" applyAlignment="1">
      <alignment horizontal="center" vertical="center" wrapText="1"/>
    </xf>
    <xf numFmtId="3" fontId="7" fillId="3" borderId="11" xfId="1" applyNumberFormat="1" applyFont="1" applyFill="1" applyBorder="1" applyAlignment="1">
      <alignment horizontal="center" vertical="center"/>
    </xf>
    <xf numFmtId="3" fontId="7" fillId="2" borderId="11" xfId="1" applyNumberFormat="1" applyFont="1" applyFill="1" applyBorder="1" applyAlignment="1">
      <alignment horizontal="center" vertical="center"/>
    </xf>
    <xf numFmtId="164" fontId="7" fillId="2" borderId="12" xfId="1" applyNumberFormat="1" applyFont="1" applyFill="1" applyBorder="1" applyAlignment="1">
      <alignment vertical="center"/>
    </xf>
    <xf numFmtId="14" fontId="7" fillId="3" borderId="11" xfId="1" applyNumberFormat="1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/>
    </xf>
    <xf numFmtId="0" fontId="7" fillId="3" borderId="14" xfId="1" applyFont="1" applyFill="1" applyBorder="1" applyAlignment="1">
      <alignment horizontal="center" vertical="center" wrapText="1"/>
    </xf>
    <xf numFmtId="0" fontId="6" fillId="0" borderId="15" xfId="1" applyFont="1" applyBorder="1"/>
    <xf numFmtId="0" fontId="6" fillId="0" borderId="10" xfId="1" applyFont="1" applyBorder="1"/>
    <xf numFmtId="0" fontId="6" fillId="0" borderId="16" xfId="1" applyFont="1" applyBorder="1"/>
    <xf numFmtId="3" fontId="7" fillId="3" borderId="17" xfId="1" applyNumberFormat="1" applyFont="1" applyFill="1" applyBorder="1" applyAlignment="1">
      <alignment horizontal="center" vertical="center"/>
    </xf>
    <xf numFmtId="3" fontId="7" fillId="2" borderId="17" xfId="1" applyNumberFormat="1" applyFont="1" applyFill="1" applyBorder="1" applyAlignment="1">
      <alignment horizontal="center" vertical="center"/>
    </xf>
    <xf numFmtId="14" fontId="7" fillId="3" borderId="17" xfId="1" applyNumberFormat="1" applyFont="1" applyFill="1" applyBorder="1" applyAlignment="1">
      <alignment horizontal="center" vertical="center"/>
    </xf>
    <xf numFmtId="3" fontId="9" fillId="3" borderId="18" xfId="1" applyNumberFormat="1" applyFont="1" applyFill="1" applyBorder="1" applyAlignment="1">
      <alignment horizontal="center" vertical="center"/>
    </xf>
    <xf numFmtId="0" fontId="10" fillId="4" borderId="19" xfId="1" applyFont="1" applyFill="1" applyBorder="1"/>
    <xf numFmtId="0" fontId="6" fillId="0" borderId="20" xfId="1" applyFont="1" applyBorder="1"/>
    <xf numFmtId="49" fontId="11" fillId="5" borderId="21" xfId="1" applyNumberFormat="1" applyFont="1" applyFill="1" applyBorder="1" applyAlignment="1">
      <alignment horizontal="center" wrapText="1"/>
    </xf>
    <xf numFmtId="49" fontId="11" fillId="0" borderId="21" xfId="1" applyNumberFormat="1" applyFont="1" applyBorder="1" applyAlignment="1">
      <alignment horizontal="center" wrapText="1"/>
    </xf>
    <xf numFmtId="3" fontId="12" fillId="4" borderId="21" xfId="1" applyNumberFormat="1" applyFont="1" applyFill="1" applyBorder="1" applyAlignment="1">
      <alignment horizontal="right"/>
    </xf>
    <xf numFmtId="3" fontId="13" fillId="4" borderId="21" xfId="1" applyNumberFormat="1" applyFont="1" applyFill="1" applyBorder="1" applyAlignment="1">
      <alignment horizontal="right"/>
    </xf>
    <xf numFmtId="3" fontId="14" fillId="2" borderId="21" xfId="1" applyNumberFormat="1" applyFont="1" applyFill="1" applyBorder="1" applyAlignment="1">
      <alignment horizontal="right"/>
    </xf>
    <xf numFmtId="3" fontId="13" fillId="2" borderId="21" xfId="1" applyNumberFormat="1" applyFont="1" applyFill="1" applyBorder="1"/>
    <xf numFmtId="164" fontId="14" fillId="2" borderId="21" xfId="1" applyNumberFormat="1" applyFont="1" applyFill="1" applyBorder="1" applyAlignment="1">
      <alignment horizontal="center"/>
    </xf>
    <xf numFmtId="14" fontId="13" fillId="4" borderId="21" xfId="1" applyNumberFormat="1" applyFont="1" applyFill="1" applyBorder="1" applyAlignment="1">
      <alignment horizontal="center"/>
    </xf>
    <xf numFmtId="0" fontId="5" fillId="0" borderId="22" xfId="1" applyFont="1" applyBorder="1"/>
    <xf numFmtId="0" fontId="15" fillId="0" borderId="23" xfId="1" applyFont="1" applyBorder="1" applyAlignment="1">
      <alignment horizontal="left"/>
    </xf>
    <xf numFmtId="14" fontId="16" fillId="0" borderId="24" xfId="1" applyNumberFormat="1" applyFont="1" applyBorder="1" applyAlignment="1">
      <alignment horizontal="center" wrapText="1"/>
    </xf>
    <xf numFmtId="49" fontId="16" fillId="6" borderId="24" xfId="1" applyNumberFormat="1" applyFont="1" applyFill="1" applyBorder="1" applyAlignment="1">
      <alignment horizontal="center" wrapText="1"/>
    </xf>
    <xf numFmtId="49" fontId="16" fillId="0" borderId="24" xfId="1" applyNumberFormat="1" applyFont="1" applyBorder="1" applyAlignment="1">
      <alignment horizontal="center" wrapText="1"/>
    </xf>
    <xf numFmtId="3" fontId="17" fillId="0" borderId="24" xfId="1" applyNumberFormat="1" applyFont="1" applyBorder="1"/>
    <xf numFmtId="3" fontId="13" fillId="4" borderId="24" xfId="1" applyNumberFormat="1" applyFont="1" applyFill="1" applyBorder="1"/>
    <xf numFmtId="3" fontId="17" fillId="2" borderId="25" xfId="1" applyNumberFormat="1" applyFont="1" applyFill="1" applyBorder="1" applyAlignment="1">
      <alignment horizontal="right"/>
    </xf>
    <xf numFmtId="3" fontId="13" fillId="2" borderId="24" xfId="1" applyNumberFormat="1" applyFont="1" applyFill="1" applyBorder="1"/>
    <xf numFmtId="164" fontId="13" fillId="2" borderId="24" xfId="1" applyNumberFormat="1" applyFont="1" applyFill="1" applyBorder="1"/>
    <xf numFmtId="14" fontId="18" fillId="0" borderId="26" xfId="1" applyNumberFormat="1" applyFont="1" applyBorder="1"/>
    <xf numFmtId="0" fontId="18" fillId="0" borderId="26" xfId="1" applyFont="1" applyBorder="1"/>
    <xf numFmtId="3" fontId="21" fillId="4" borderId="24" xfId="1" applyNumberFormat="1" applyFont="1" applyFill="1" applyBorder="1"/>
    <xf numFmtId="3" fontId="21" fillId="2" borderId="25" xfId="1" applyNumberFormat="1" applyFont="1" applyFill="1" applyBorder="1" applyAlignment="1">
      <alignment horizontal="right"/>
    </xf>
    <xf numFmtId="3" fontId="21" fillId="2" borderId="24" xfId="1" applyNumberFormat="1" applyFont="1" applyFill="1" applyBorder="1"/>
    <xf numFmtId="164" fontId="21" fillId="2" borderId="24" xfId="1" applyNumberFormat="1" applyFont="1" applyFill="1" applyBorder="1"/>
    <xf numFmtId="0" fontId="22" fillId="0" borderId="0" xfId="1" applyFont="1"/>
    <xf numFmtId="16" fontId="18" fillId="0" borderId="26" xfId="1" applyNumberFormat="1" applyFont="1" applyBorder="1"/>
    <xf numFmtId="14" fontId="23" fillId="0" borderId="26" xfId="1" applyNumberFormat="1" applyFont="1" applyBorder="1"/>
    <xf numFmtId="14" fontId="1" fillId="0" borderId="0" xfId="1" applyNumberFormat="1" applyAlignment="1">
      <alignment horizontal="center"/>
    </xf>
    <xf numFmtId="166" fontId="27" fillId="6" borderId="0" xfId="2" applyNumberFormat="1" applyFont="1" applyFill="1" applyAlignment="1">
      <alignment horizontal="center"/>
    </xf>
    <xf numFmtId="0" fontId="7" fillId="3" borderId="2" xfId="1" applyFont="1" applyFill="1" applyBorder="1" applyAlignment="1">
      <alignment horizontal="left" vertical="center" wrapText="1"/>
    </xf>
    <xf numFmtId="0" fontId="26" fillId="0" borderId="0" xfId="1" applyFont="1"/>
    <xf numFmtId="0" fontId="7" fillId="3" borderId="27" xfId="1" applyFont="1" applyFill="1" applyBorder="1" applyAlignment="1">
      <alignment horizontal="left" vertical="center" wrapText="1"/>
    </xf>
    <xf numFmtId="14" fontId="8" fillId="3" borderId="11" xfId="1" applyNumberFormat="1" applyFont="1" applyFill="1" applyBorder="1" applyAlignment="1">
      <alignment horizontal="center" vertical="center" wrapText="1"/>
    </xf>
    <xf numFmtId="49" fontId="8" fillId="3" borderId="11" xfId="1" applyNumberFormat="1" applyFont="1" applyFill="1" applyBorder="1" applyAlignment="1">
      <alignment horizontal="center" vertical="center" wrapText="1"/>
    </xf>
    <xf numFmtId="14" fontId="22" fillId="6" borderId="0" xfId="1" applyNumberFormat="1" applyFont="1" applyFill="1" applyAlignment="1">
      <alignment horizontal="center"/>
    </xf>
    <xf numFmtId="2" fontId="27" fillId="6" borderId="0" xfId="2" applyNumberFormat="1" applyFont="1" applyFill="1" applyAlignment="1">
      <alignment horizontal="center"/>
    </xf>
    <xf numFmtId="166" fontId="22" fillId="6" borderId="0" xfId="2" applyNumberFormat="1" applyFont="1" applyFill="1" applyAlignment="1"/>
    <xf numFmtId="49" fontId="11" fillId="4" borderId="21" xfId="1" applyNumberFormat="1" applyFont="1" applyFill="1" applyBorder="1" applyAlignment="1">
      <alignment horizontal="center" wrapText="1"/>
    </xf>
    <xf numFmtId="0" fontId="19" fillId="4" borderId="23" xfId="1" applyFont="1" applyFill="1" applyBorder="1" applyAlignment="1">
      <alignment horizontal="left"/>
    </xf>
    <xf numFmtId="14" fontId="20" fillId="4" borderId="24" xfId="1" applyNumberFormat="1" applyFont="1" applyFill="1" applyBorder="1" applyAlignment="1">
      <alignment horizontal="center" wrapText="1"/>
    </xf>
    <xf numFmtId="49" fontId="20" fillId="4" borderId="24" xfId="1" applyNumberFormat="1" applyFont="1" applyFill="1" applyBorder="1" applyAlignment="1">
      <alignment horizontal="center" wrapText="1"/>
    </xf>
    <xf numFmtId="3" fontId="13" fillId="2" borderId="25" xfId="1" applyNumberFormat="1" applyFont="1" applyFill="1" applyBorder="1" applyAlignment="1">
      <alignment horizontal="right"/>
    </xf>
    <xf numFmtId="14" fontId="22" fillId="0" borderId="0" xfId="1" applyNumberFormat="1" applyFont="1" applyAlignment="1">
      <alignment horizontal="center"/>
    </xf>
    <xf numFmtId="14" fontId="6" fillId="0" borderId="0" xfId="1" applyNumberFormat="1" applyFont="1" applyAlignment="1">
      <alignment horizontal="center"/>
    </xf>
    <xf numFmtId="0" fontId="6" fillId="0" borderId="0" xfId="1" applyFont="1"/>
    <xf numFmtId="166" fontId="0" fillId="0" borderId="0" xfId="2" applyNumberFormat="1" applyFont="1" applyAlignment="1"/>
    <xf numFmtId="14" fontId="26" fillId="0" borderId="0" xfId="1" applyNumberFormat="1" applyFont="1" applyAlignment="1">
      <alignment horizontal="center"/>
    </xf>
    <xf numFmtId="14" fontId="2" fillId="0" borderId="0" xfId="1" applyNumberFormat="1" applyFont="1" applyAlignment="1">
      <alignment horizontal="center"/>
    </xf>
    <xf numFmtId="14" fontId="28" fillId="0" borderId="0" xfId="1" applyNumberFormat="1" applyFont="1" applyAlignment="1">
      <alignment horizontal="center"/>
    </xf>
    <xf numFmtId="0" fontId="29" fillId="4" borderId="23" xfId="1" applyFont="1" applyFill="1" applyBorder="1" applyAlignment="1">
      <alignment horizontal="left"/>
    </xf>
    <xf numFmtId="0" fontId="19" fillId="0" borderId="23" xfId="1" applyFont="1" applyBorder="1" applyAlignment="1">
      <alignment horizontal="left"/>
    </xf>
    <xf numFmtId="14" fontId="20" fillId="0" borderId="24" xfId="1" applyNumberFormat="1" applyFont="1" applyBorder="1" applyAlignment="1">
      <alignment horizontal="center" wrapText="1"/>
    </xf>
    <xf numFmtId="49" fontId="20" fillId="6" borderId="24" xfId="1" applyNumberFormat="1" applyFont="1" applyFill="1" applyBorder="1" applyAlignment="1">
      <alignment horizontal="center" wrapText="1"/>
    </xf>
    <xf numFmtId="49" fontId="20" fillId="0" borderId="24" xfId="1" applyNumberFormat="1" applyFont="1" applyBorder="1" applyAlignment="1">
      <alignment horizontal="center" wrapText="1"/>
    </xf>
    <xf numFmtId="3" fontId="21" fillId="0" borderId="24" xfId="1" applyNumberFormat="1" applyFont="1" applyBorder="1"/>
    <xf numFmtId="14" fontId="30" fillId="0" borderId="26" xfId="1" applyNumberFormat="1" applyFont="1" applyBorder="1"/>
    <xf numFmtId="0" fontId="30" fillId="0" borderId="26" xfId="1" applyFont="1" applyBorder="1"/>
    <xf numFmtId="0" fontId="19" fillId="7" borderId="23" xfId="1" applyFont="1" applyFill="1" applyBorder="1" applyAlignment="1">
      <alignment horizontal="left"/>
    </xf>
    <xf numFmtId="14" fontId="20" fillId="7" borderId="24" xfId="1" applyNumberFormat="1" applyFont="1" applyFill="1" applyBorder="1" applyAlignment="1">
      <alignment horizontal="center" wrapText="1"/>
    </xf>
    <xf numFmtId="49" fontId="20" fillId="7" borderId="24" xfId="1" applyNumberFormat="1" applyFont="1" applyFill="1" applyBorder="1" applyAlignment="1">
      <alignment horizontal="center" wrapText="1"/>
    </xf>
    <xf numFmtId="3" fontId="21" fillId="7" borderId="24" xfId="1" applyNumberFormat="1" applyFont="1" applyFill="1" applyBorder="1"/>
    <xf numFmtId="3" fontId="21" fillId="8" borderId="25" xfId="1" applyNumberFormat="1" applyFont="1" applyFill="1" applyBorder="1" applyAlignment="1">
      <alignment horizontal="right"/>
    </xf>
    <xf numFmtId="3" fontId="21" fillId="8" borderId="24" xfId="1" applyNumberFormat="1" applyFont="1" applyFill="1" applyBorder="1"/>
    <xf numFmtId="164" fontId="21" fillId="8" borderId="24" xfId="1" applyNumberFormat="1" applyFont="1" applyFill="1" applyBorder="1"/>
    <xf numFmtId="0" fontId="22" fillId="6" borderId="0" xfId="1" applyFont="1" applyFill="1"/>
    <xf numFmtId="167" fontId="21" fillId="4" borderId="24" xfId="3" applyNumberFormat="1" applyFont="1" applyFill="1" applyBorder="1"/>
    <xf numFmtId="167" fontId="22" fillId="6" borderId="0" xfId="3" applyNumberFormat="1" applyFont="1" applyFill="1" applyAlignment="1">
      <alignment horizontal="center"/>
    </xf>
    <xf numFmtId="167" fontId="1" fillId="0" borderId="0" xfId="3" applyNumberFormat="1" applyFont="1" applyAlignment="1">
      <alignment horizontal="center"/>
    </xf>
    <xf numFmtId="0" fontId="34" fillId="6" borderId="26" xfId="1" applyFont="1" applyFill="1" applyBorder="1"/>
    <xf numFmtId="0" fontId="34" fillId="0" borderId="26" xfId="1" applyFont="1" applyBorder="1"/>
    <xf numFmtId="0" fontId="3" fillId="0" borderId="0" xfId="1" applyFont="1" applyAlignment="1">
      <alignment horizontal="center" vertical="center"/>
    </xf>
    <xf numFmtId="0" fontId="1" fillId="0" borderId="0" xfId="1"/>
    <xf numFmtId="0" fontId="4" fillId="0" borderId="0" xfId="1" applyFont="1" applyAlignment="1">
      <alignment horizontal="center" vertical="center"/>
    </xf>
    <xf numFmtId="3" fontId="7" fillId="3" borderId="5" xfId="1" applyNumberFormat="1" applyFont="1" applyFill="1" applyBorder="1" applyAlignment="1">
      <alignment horizontal="center" vertical="center"/>
    </xf>
    <xf numFmtId="0" fontId="6" fillId="0" borderId="6" xfId="1" applyFont="1" applyBorder="1"/>
    <xf numFmtId="0" fontId="6" fillId="0" borderId="7" xfId="1" applyFont="1" applyBorder="1"/>
    <xf numFmtId="0" fontId="7" fillId="3" borderId="28" xfId="1" applyFont="1" applyFill="1" applyBorder="1" applyAlignment="1">
      <alignment horizontal="center" vertical="center" wrapText="1"/>
    </xf>
    <xf numFmtId="0" fontId="6" fillId="0" borderId="29" xfId="1" applyFont="1" applyBorder="1"/>
    <xf numFmtId="0" fontId="6" fillId="0" borderId="30" xfId="1" applyFont="1" applyBorder="1"/>
    <xf numFmtId="0" fontId="10" fillId="4" borderId="19" xfId="1" applyFont="1" applyFill="1" applyBorder="1" applyAlignment="1">
      <alignment horizontal="center"/>
    </xf>
    <xf numFmtId="0" fontId="6" fillId="0" borderId="20" xfId="1" applyFont="1" applyBorder="1"/>
  </cellXfs>
  <cellStyles count="4">
    <cellStyle name="Comma" xfId="3" builtinId="3"/>
    <cellStyle name="Comma 2" xfId="2" xr:uid="{62ADDEFB-3BC5-4357-9BD7-FEFFC65C6DA8}"/>
    <cellStyle name="Normal" xfId="0" builtinId="0"/>
    <cellStyle name="Normal 2" xfId="1" xr:uid="{5A5E19EE-9428-469D-8609-F1406442950A}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47625</xdr:rowOff>
    </xdr:from>
    <xdr:ext cx="3971925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AC6D19B2-FF9B-4B92-8DF3-277C69A4EA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47625"/>
          <a:ext cx="3971925" cy="9144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219575" cy="981075"/>
    <xdr:pic>
      <xdr:nvPicPr>
        <xdr:cNvPr id="2" name="image1.png">
          <a:extLst>
            <a:ext uri="{FF2B5EF4-FFF2-40B4-BE49-F238E27FC236}">
              <a16:creationId xmlns:a16="http://schemas.microsoft.com/office/drawing/2014/main" id="{4B93CB28-74A3-4689-8919-DBA3F1355B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219575" cy="981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D43B-5B72-4FEF-B03D-D9EEAFD2D0E4}">
  <sheetPr filterMode="1">
    <outlinePr summaryBelow="0" summaryRight="0"/>
  </sheetPr>
  <dimension ref="A1:L2486"/>
  <sheetViews>
    <sheetView topLeftCell="A1900" zoomScale="110" zoomScaleNormal="110" workbookViewId="0">
      <selection activeCell="H1027" sqref="H1027:H2023"/>
    </sheetView>
  </sheetViews>
  <sheetFormatPr defaultColWidth="14.44140625" defaultRowHeight="15" customHeight="1" x14ac:dyDescent="0.3"/>
  <cols>
    <col min="1" max="1" width="47" style="2" customWidth="1"/>
    <col min="2" max="2" width="14.109375" style="2" customWidth="1"/>
    <col min="3" max="3" width="9.44140625" style="2" customWidth="1"/>
    <col min="4" max="4" width="8.77734375" style="2" customWidth="1"/>
    <col min="5" max="5" width="16.109375" style="2" customWidth="1"/>
    <col min="6" max="6" width="15.6640625" style="2" customWidth="1"/>
    <col min="7" max="7" width="16.33203125" style="2" customWidth="1"/>
    <col min="8" max="8" width="16.44140625" style="2" customWidth="1"/>
    <col min="9" max="9" width="16" style="2" customWidth="1"/>
    <col min="10" max="10" width="16.109375" style="4" customWidth="1"/>
    <col min="11" max="11" width="14.6640625" style="2" customWidth="1"/>
    <col min="12" max="14" width="8" style="2" customWidth="1"/>
    <col min="15" max="16384" width="14.44140625" style="2"/>
  </cols>
  <sheetData>
    <row r="1" spans="1:11" ht="86.25" customHeight="1" x14ac:dyDescent="0.3">
      <c r="A1" s="1"/>
      <c r="G1" s="3"/>
      <c r="H1" s="3"/>
      <c r="I1" s="3"/>
      <c r="K1" s="5"/>
    </row>
    <row r="2" spans="1:11" ht="29.25" customHeight="1" x14ac:dyDescent="0.3">
      <c r="A2" s="6" t="s">
        <v>0</v>
      </c>
      <c r="J2" s="2"/>
      <c r="K2" s="5"/>
    </row>
    <row r="3" spans="1:11" ht="18.75" customHeight="1" x14ac:dyDescent="0.3">
      <c r="A3" s="7"/>
      <c r="H3" s="5"/>
      <c r="J3" s="2"/>
    </row>
    <row r="4" spans="1:11" ht="15.75" customHeight="1" thickBot="1" x14ac:dyDescent="0.35">
      <c r="A4" s="1"/>
      <c r="G4" s="3"/>
      <c r="H4" s="3"/>
      <c r="I4" s="3"/>
      <c r="J4" s="8" t="s">
        <v>1</v>
      </c>
      <c r="K4" s="9"/>
    </row>
    <row r="5" spans="1:11" ht="22.5" customHeight="1" x14ac:dyDescent="0.3">
      <c r="A5" s="10" t="s">
        <v>2</v>
      </c>
      <c r="B5" s="11" t="s">
        <v>3</v>
      </c>
      <c r="C5" s="12" t="s">
        <v>4</v>
      </c>
      <c r="D5" s="13"/>
      <c r="E5" s="14" t="s">
        <v>5</v>
      </c>
      <c r="F5" s="15"/>
      <c r="G5" s="15"/>
      <c r="H5" s="15"/>
      <c r="I5" s="16"/>
      <c r="J5" s="17" t="s">
        <v>6</v>
      </c>
      <c r="K5" s="18" t="s">
        <v>7</v>
      </c>
    </row>
    <row r="6" spans="1:11" ht="51" customHeight="1" x14ac:dyDescent="0.3">
      <c r="A6" s="19" t="s">
        <v>2</v>
      </c>
      <c r="B6" s="20" t="s">
        <v>3</v>
      </c>
      <c r="C6" s="21" t="s">
        <v>4</v>
      </c>
      <c r="D6" s="22"/>
      <c r="E6" s="23" t="s">
        <v>8</v>
      </c>
      <c r="F6" s="23" t="s">
        <v>9</v>
      </c>
      <c r="G6" s="24" t="s">
        <v>10</v>
      </c>
      <c r="H6" s="24" t="s">
        <v>11</v>
      </c>
      <c r="I6" s="25" t="s">
        <v>12</v>
      </c>
      <c r="J6" s="26"/>
      <c r="K6" s="27"/>
    </row>
    <row r="7" spans="1:11" ht="28.5" customHeight="1" x14ac:dyDescent="0.3">
      <c r="A7" s="28" t="s">
        <v>13</v>
      </c>
      <c r="B7" s="29"/>
      <c r="C7" s="30"/>
      <c r="D7" s="31"/>
      <c r="E7" s="32">
        <f>SUM(E9:E3339)</f>
        <v>23363502025</v>
      </c>
      <c r="F7" s="32">
        <f>SUM(F9:F340)</f>
        <v>418973420</v>
      </c>
      <c r="G7" s="33">
        <f>SUM(G9:G3755)+G8</f>
        <v>25075990887</v>
      </c>
      <c r="H7" s="32">
        <f>SUM(H9:H3755)</f>
        <v>23963893827</v>
      </c>
      <c r="I7" s="33">
        <f>SUM(I9:I3755)+I8</f>
        <v>1112097060</v>
      </c>
      <c r="J7" s="34"/>
      <c r="K7" s="35"/>
    </row>
    <row r="8" spans="1:11" ht="16.2" customHeight="1" x14ac:dyDescent="0.35">
      <c r="A8" s="36" t="s">
        <v>14</v>
      </c>
      <c r="B8" s="37"/>
      <c r="C8" s="38"/>
      <c r="D8" s="39"/>
      <c r="E8" s="40"/>
      <c r="F8" s="41"/>
      <c r="G8" s="42"/>
      <c r="H8" s="43"/>
      <c r="I8" s="44">
        <v>0</v>
      </c>
      <c r="J8" s="45"/>
      <c r="K8" s="46"/>
    </row>
    <row r="9" spans="1:11" ht="15.75" hidden="1" customHeight="1" x14ac:dyDescent="0.35">
      <c r="A9" s="47" t="s">
        <v>49</v>
      </c>
      <c r="B9" s="48" t="s">
        <v>57</v>
      </c>
      <c r="C9" s="50" t="s">
        <v>58</v>
      </c>
      <c r="D9" s="50"/>
      <c r="E9" s="51">
        <v>14264800</v>
      </c>
      <c r="F9" s="52"/>
      <c r="G9" s="53" t="s">
        <v>59</v>
      </c>
      <c r="H9" s="54"/>
      <c r="I9" s="55"/>
      <c r="J9" s="56" t="s">
        <v>60</v>
      </c>
      <c r="K9" s="57"/>
    </row>
    <row r="10" spans="1:11" ht="15.75" hidden="1" customHeight="1" x14ac:dyDescent="0.35">
      <c r="A10" s="47" t="s">
        <v>61</v>
      </c>
      <c r="B10" s="48" t="s">
        <v>57</v>
      </c>
      <c r="C10" s="50" t="s">
        <v>62</v>
      </c>
      <c r="D10" s="50"/>
      <c r="E10" s="51">
        <v>6580000</v>
      </c>
      <c r="F10" s="52"/>
      <c r="G10" s="53"/>
      <c r="H10" s="54"/>
      <c r="I10" s="55">
        <f t="shared" ref="I10:I16" si="0">G10-H10</f>
        <v>0</v>
      </c>
      <c r="J10" s="56" t="s">
        <v>60</v>
      </c>
      <c r="K10" s="57"/>
    </row>
    <row r="11" spans="1:11" ht="15.75" hidden="1" customHeight="1" x14ac:dyDescent="0.35">
      <c r="A11" s="47" t="s">
        <v>34</v>
      </c>
      <c r="B11" s="48" t="s">
        <v>63</v>
      </c>
      <c r="C11" s="50" t="s">
        <v>64</v>
      </c>
      <c r="D11" s="50"/>
      <c r="E11" s="51">
        <v>1150000</v>
      </c>
      <c r="F11" s="52"/>
      <c r="G11" s="53"/>
      <c r="H11" s="54"/>
      <c r="I11" s="55">
        <f t="shared" si="0"/>
        <v>0</v>
      </c>
      <c r="J11" s="56"/>
      <c r="K11" s="57"/>
    </row>
    <row r="12" spans="1:11" ht="15.75" hidden="1" customHeight="1" x14ac:dyDescent="0.35">
      <c r="A12" s="47" t="s">
        <v>54</v>
      </c>
      <c r="B12" s="48" t="s">
        <v>63</v>
      </c>
      <c r="C12" s="50" t="s">
        <v>65</v>
      </c>
      <c r="D12" s="50"/>
      <c r="E12" s="51">
        <v>840000</v>
      </c>
      <c r="F12" s="52"/>
      <c r="G12" s="53"/>
      <c r="H12" s="54"/>
      <c r="I12" s="55">
        <f t="shared" si="0"/>
        <v>0</v>
      </c>
      <c r="J12" s="56" t="s">
        <v>60</v>
      </c>
      <c r="K12" s="57"/>
    </row>
    <row r="13" spans="1:11" ht="15.75" hidden="1" customHeight="1" x14ac:dyDescent="0.35">
      <c r="A13" s="47" t="s">
        <v>53</v>
      </c>
      <c r="B13" s="48" t="s">
        <v>66</v>
      </c>
      <c r="C13" s="50" t="s">
        <v>67</v>
      </c>
      <c r="D13" s="50"/>
      <c r="E13" s="51">
        <v>840000</v>
      </c>
      <c r="F13" s="52"/>
      <c r="G13" s="53"/>
      <c r="H13" s="54"/>
      <c r="I13" s="55">
        <f t="shared" si="0"/>
        <v>0</v>
      </c>
      <c r="J13" s="56" t="s">
        <v>68</v>
      </c>
      <c r="K13" s="57">
        <v>72163703</v>
      </c>
    </row>
    <row r="14" spans="1:11" ht="15.75" hidden="1" customHeight="1" x14ac:dyDescent="0.35">
      <c r="A14" s="47" t="s">
        <v>54</v>
      </c>
      <c r="B14" s="48" t="s">
        <v>73</v>
      </c>
      <c r="C14" s="50" t="s">
        <v>74</v>
      </c>
      <c r="D14" s="50"/>
      <c r="E14" s="51">
        <v>840000</v>
      </c>
      <c r="F14" s="52"/>
      <c r="G14" s="53"/>
      <c r="H14" s="54"/>
      <c r="I14" s="55">
        <f t="shared" si="0"/>
        <v>0</v>
      </c>
      <c r="J14" s="56" t="s">
        <v>75</v>
      </c>
      <c r="K14" s="57"/>
    </row>
    <row r="15" spans="1:11" ht="15.75" hidden="1" customHeight="1" x14ac:dyDescent="0.35">
      <c r="A15" s="47" t="s">
        <v>54</v>
      </c>
      <c r="B15" s="48" t="s">
        <v>76</v>
      </c>
      <c r="C15" s="50" t="s">
        <v>77</v>
      </c>
      <c r="D15" s="50"/>
      <c r="E15" s="51">
        <v>840000</v>
      </c>
      <c r="F15" s="52"/>
      <c r="G15" s="53"/>
      <c r="H15" s="54"/>
      <c r="I15" s="55">
        <f t="shared" si="0"/>
        <v>0</v>
      </c>
      <c r="J15" s="56" t="s">
        <v>60</v>
      </c>
      <c r="K15" s="57">
        <v>72572914</v>
      </c>
    </row>
    <row r="16" spans="1:11" ht="15.75" hidden="1" customHeight="1" x14ac:dyDescent="0.35">
      <c r="A16" s="47" t="s">
        <v>15</v>
      </c>
      <c r="B16" s="48" t="s">
        <v>79</v>
      </c>
      <c r="C16" s="49" t="s">
        <v>80</v>
      </c>
      <c r="D16" s="50"/>
      <c r="E16" s="51">
        <v>840000</v>
      </c>
      <c r="F16" s="52">
        <f t="shared" ref="F16" si="1">+E16*0.08</f>
        <v>67200</v>
      </c>
      <c r="G16" s="53">
        <f t="shared" ref="G16" si="2">E16+F16</f>
        <v>907200</v>
      </c>
      <c r="H16" s="54">
        <v>907200</v>
      </c>
      <c r="I16" s="55">
        <f t="shared" si="0"/>
        <v>0</v>
      </c>
      <c r="J16" s="56" t="s">
        <v>81</v>
      </c>
      <c r="K16" s="57"/>
    </row>
    <row r="17" spans="1:12" ht="15.75" hidden="1" customHeight="1" x14ac:dyDescent="0.35">
      <c r="A17" s="47" t="s">
        <v>49</v>
      </c>
      <c r="B17" s="48" t="s">
        <v>95</v>
      </c>
      <c r="C17" s="50" t="s">
        <v>99</v>
      </c>
      <c r="D17" s="50"/>
      <c r="E17" s="51">
        <v>520000</v>
      </c>
      <c r="F17" s="52"/>
      <c r="G17" s="53"/>
      <c r="H17" s="54"/>
      <c r="I17" s="55">
        <f t="shared" ref="I17:I19" si="3">G17-H17</f>
        <v>0</v>
      </c>
      <c r="J17" s="56" t="s">
        <v>60</v>
      </c>
      <c r="K17" s="57"/>
    </row>
    <row r="18" spans="1:12" ht="15.75" hidden="1" customHeight="1" x14ac:dyDescent="0.35">
      <c r="A18" s="47" t="s">
        <v>78</v>
      </c>
      <c r="B18" s="48" t="s">
        <v>102</v>
      </c>
      <c r="C18" s="50" t="s">
        <v>103</v>
      </c>
      <c r="D18" s="50"/>
      <c r="E18" s="51">
        <v>1040000</v>
      </c>
      <c r="F18" s="52"/>
      <c r="G18" s="53"/>
      <c r="H18" s="54"/>
      <c r="I18" s="55">
        <f t="shared" si="3"/>
        <v>0</v>
      </c>
      <c r="J18" s="56"/>
      <c r="K18" s="57"/>
    </row>
    <row r="19" spans="1:12" ht="15.75" hidden="1" customHeight="1" x14ac:dyDescent="0.35">
      <c r="A19" s="47" t="s">
        <v>38</v>
      </c>
      <c r="B19" s="48" t="s">
        <v>107</v>
      </c>
      <c r="C19" s="49" t="s">
        <v>109</v>
      </c>
      <c r="D19" s="50"/>
      <c r="E19" s="51">
        <v>452250</v>
      </c>
      <c r="F19" s="52"/>
      <c r="G19" s="53"/>
      <c r="H19" s="54"/>
      <c r="I19" s="55">
        <f t="shared" si="3"/>
        <v>0</v>
      </c>
      <c r="J19" s="56" t="s">
        <v>60</v>
      </c>
      <c r="K19" s="57">
        <v>75157071</v>
      </c>
    </row>
    <row r="20" spans="1:12" ht="15.75" hidden="1" customHeight="1" x14ac:dyDescent="0.35">
      <c r="A20" s="47" t="s">
        <v>177</v>
      </c>
      <c r="B20" s="48" t="s">
        <v>178</v>
      </c>
      <c r="C20" s="50" t="s">
        <v>179</v>
      </c>
      <c r="D20" s="50"/>
      <c r="E20" s="51">
        <v>100185200</v>
      </c>
      <c r="F20" s="52">
        <f t="shared" ref="F20" si="4">+E20*0.08</f>
        <v>8014816</v>
      </c>
      <c r="G20" s="53">
        <f t="shared" ref="G20" si="5">E20+F20</f>
        <v>108200016</v>
      </c>
      <c r="H20" s="54">
        <v>108200016</v>
      </c>
      <c r="I20" s="55">
        <f t="shared" ref="I20" si="6">G20-H20</f>
        <v>0</v>
      </c>
      <c r="J20" s="56"/>
      <c r="K20" s="57">
        <v>75975268</v>
      </c>
    </row>
    <row r="21" spans="1:12" ht="15.75" hidden="1" customHeight="1" x14ac:dyDescent="0.35">
      <c r="A21" s="47" t="s">
        <v>83</v>
      </c>
      <c r="B21" s="48" t="s">
        <v>194</v>
      </c>
      <c r="C21" s="49" t="s">
        <v>195</v>
      </c>
      <c r="D21" s="50"/>
      <c r="E21" s="51">
        <v>1040000</v>
      </c>
      <c r="F21" s="52">
        <f t="shared" ref="F21" si="7">+E21*0.1</f>
        <v>104000</v>
      </c>
      <c r="G21" s="53">
        <f t="shared" ref="G21" si="8">E21+F21</f>
        <v>1144000</v>
      </c>
      <c r="H21" s="54">
        <v>1144000</v>
      </c>
      <c r="I21" s="55">
        <f t="shared" ref="I21" si="9">G21-H21</f>
        <v>0</v>
      </c>
      <c r="J21" s="56">
        <v>45389</v>
      </c>
      <c r="K21" s="63"/>
      <c r="L21" s="2" t="s">
        <v>51</v>
      </c>
    </row>
    <row r="22" spans="1:12" ht="15.75" hidden="1" customHeight="1" x14ac:dyDescent="0.35">
      <c r="A22" s="47" t="s">
        <v>198</v>
      </c>
      <c r="B22" s="48">
        <v>45023</v>
      </c>
      <c r="C22" s="50"/>
      <c r="D22" s="50"/>
      <c r="E22" s="51"/>
      <c r="F22" s="52">
        <f t="shared" ref="F22" si="10">+E22*0.1</f>
        <v>0</v>
      </c>
      <c r="G22" s="53">
        <v>126100040</v>
      </c>
      <c r="H22" s="54">
        <v>126100040</v>
      </c>
      <c r="I22" s="55">
        <f t="shared" ref="I22:I23" si="11">G22-H22</f>
        <v>0</v>
      </c>
      <c r="J22" s="56"/>
      <c r="K22" s="57"/>
    </row>
    <row r="23" spans="1:12" ht="15.75" hidden="1" customHeight="1" x14ac:dyDescent="0.35">
      <c r="A23" s="47" t="s">
        <v>34</v>
      </c>
      <c r="B23" s="48" t="s">
        <v>199</v>
      </c>
      <c r="C23" s="50" t="s">
        <v>200</v>
      </c>
      <c r="D23" s="50"/>
      <c r="E23" s="51">
        <v>1040000</v>
      </c>
      <c r="F23" s="52"/>
      <c r="G23" s="53"/>
      <c r="H23" s="54"/>
      <c r="I23" s="55">
        <f t="shared" si="11"/>
        <v>0</v>
      </c>
      <c r="J23" s="56" t="s">
        <v>75</v>
      </c>
      <c r="K23" s="57"/>
    </row>
    <row r="24" spans="1:12" ht="15.75" hidden="1" customHeight="1" x14ac:dyDescent="0.35">
      <c r="A24" s="47" t="s">
        <v>16</v>
      </c>
      <c r="B24" s="48" t="s">
        <v>220</v>
      </c>
      <c r="C24" s="50" t="s">
        <v>221</v>
      </c>
      <c r="D24" s="50"/>
      <c r="E24" s="51">
        <v>520000</v>
      </c>
      <c r="F24" s="52"/>
      <c r="G24" s="53"/>
      <c r="H24" s="54"/>
      <c r="I24" s="55">
        <f t="shared" ref="I24" si="12">G24-H24</f>
        <v>0</v>
      </c>
      <c r="J24" s="56" t="s">
        <v>60</v>
      </c>
      <c r="K24" s="57"/>
    </row>
    <row r="25" spans="1:12" ht="15.75" hidden="1" customHeight="1" x14ac:dyDescent="0.35">
      <c r="A25" s="47" t="s">
        <v>16</v>
      </c>
      <c r="B25" s="48" t="s">
        <v>225</v>
      </c>
      <c r="C25" s="50" t="s">
        <v>226</v>
      </c>
      <c r="D25" s="50"/>
      <c r="E25" s="51">
        <v>402000</v>
      </c>
      <c r="F25" s="52"/>
      <c r="G25" s="53"/>
      <c r="H25" s="54"/>
      <c r="I25" s="55">
        <f t="shared" ref="I25:I31" si="13">G25-H25</f>
        <v>0</v>
      </c>
      <c r="J25" s="56" t="s">
        <v>227</v>
      </c>
      <c r="K25" s="57"/>
    </row>
    <row r="26" spans="1:12" ht="15.75" hidden="1" customHeight="1" x14ac:dyDescent="0.35">
      <c r="A26" s="47" t="s">
        <v>16</v>
      </c>
      <c r="B26" s="48" t="s">
        <v>229</v>
      </c>
      <c r="C26" s="50" t="s">
        <v>230</v>
      </c>
      <c r="D26" s="50"/>
      <c r="E26" s="51">
        <v>416000</v>
      </c>
      <c r="F26" s="52">
        <f t="shared" ref="F26" si="14">+E26*0.08</f>
        <v>33280</v>
      </c>
      <c r="G26" s="53">
        <f t="shared" ref="G26:G31" si="15">E26+F26</f>
        <v>449280</v>
      </c>
      <c r="H26" s="54">
        <v>449280</v>
      </c>
      <c r="I26" s="55">
        <f t="shared" si="13"/>
        <v>0</v>
      </c>
      <c r="J26" s="56">
        <v>45309</v>
      </c>
      <c r="K26" s="57" t="s">
        <v>231</v>
      </c>
    </row>
    <row r="27" spans="1:12" ht="15.75" hidden="1" customHeight="1" x14ac:dyDescent="0.35">
      <c r="A27" s="47" t="s">
        <v>16</v>
      </c>
      <c r="B27" s="48" t="s">
        <v>233</v>
      </c>
      <c r="C27" s="49" t="s">
        <v>234</v>
      </c>
      <c r="D27" s="50"/>
      <c r="E27" s="51">
        <v>35866400</v>
      </c>
      <c r="F27" s="52">
        <f t="shared" ref="F27:F51" si="16">+E27*0.08</f>
        <v>2869312</v>
      </c>
      <c r="G27" s="53">
        <f t="shared" si="15"/>
        <v>38735712</v>
      </c>
      <c r="H27" s="54">
        <v>38735712</v>
      </c>
      <c r="I27" s="55">
        <f t="shared" si="13"/>
        <v>0</v>
      </c>
      <c r="J27" s="56">
        <v>45309</v>
      </c>
      <c r="K27" s="57" t="s">
        <v>231</v>
      </c>
    </row>
    <row r="28" spans="1:12" ht="15.75" hidden="1" customHeight="1" x14ac:dyDescent="0.35">
      <c r="A28" s="47" t="s">
        <v>36</v>
      </c>
      <c r="B28" s="48">
        <v>45264</v>
      </c>
      <c r="C28" s="49" t="s">
        <v>235</v>
      </c>
      <c r="D28" s="50" t="s">
        <v>236</v>
      </c>
      <c r="E28" s="51">
        <v>29914000</v>
      </c>
      <c r="F28" s="52">
        <f t="shared" si="16"/>
        <v>2393120</v>
      </c>
      <c r="G28" s="53">
        <f t="shared" si="15"/>
        <v>32307120</v>
      </c>
      <c r="H28" s="54">
        <v>32307120</v>
      </c>
      <c r="I28" s="55">
        <f t="shared" si="13"/>
        <v>0</v>
      </c>
      <c r="J28" s="56">
        <v>45309</v>
      </c>
      <c r="K28" s="57" t="s">
        <v>231</v>
      </c>
    </row>
    <row r="29" spans="1:12" ht="15.75" hidden="1" customHeight="1" x14ac:dyDescent="0.35">
      <c r="A29" s="47" t="s">
        <v>53</v>
      </c>
      <c r="B29" s="48" t="s">
        <v>233</v>
      </c>
      <c r="C29" s="50" t="s">
        <v>237</v>
      </c>
      <c r="D29" s="50"/>
      <c r="E29" s="51">
        <v>35866400</v>
      </c>
      <c r="F29" s="52">
        <f t="shared" si="16"/>
        <v>2869312</v>
      </c>
      <c r="G29" s="53">
        <f t="shared" si="15"/>
        <v>38735712</v>
      </c>
      <c r="H29" s="54">
        <v>38735712</v>
      </c>
      <c r="I29" s="55">
        <f t="shared" si="13"/>
        <v>0</v>
      </c>
      <c r="J29" s="56">
        <v>45309</v>
      </c>
      <c r="K29" s="57" t="s">
        <v>231</v>
      </c>
    </row>
    <row r="30" spans="1:12" ht="15.75" hidden="1" customHeight="1" x14ac:dyDescent="0.35">
      <c r="A30" s="47" t="s">
        <v>71</v>
      </c>
      <c r="B30" s="48">
        <v>45262</v>
      </c>
      <c r="C30" s="49" t="s">
        <v>238</v>
      </c>
      <c r="D30" s="50" t="s">
        <v>239</v>
      </c>
      <c r="E30" s="51">
        <v>35461400</v>
      </c>
      <c r="F30" s="52">
        <f t="shared" si="16"/>
        <v>2836912</v>
      </c>
      <c r="G30" s="53">
        <f t="shared" si="15"/>
        <v>38298312</v>
      </c>
      <c r="H30" s="54">
        <v>38298312</v>
      </c>
      <c r="I30" s="55">
        <f t="shared" si="13"/>
        <v>0</v>
      </c>
      <c r="J30" s="56">
        <v>45309</v>
      </c>
      <c r="K30" s="57" t="s">
        <v>231</v>
      </c>
    </row>
    <row r="31" spans="1:12" ht="15.75" hidden="1" customHeight="1" x14ac:dyDescent="0.35">
      <c r="A31" s="47" t="s">
        <v>110</v>
      </c>
      <c r="B31" s="48" t="s">
        <v>233</v>
      </c>
      <c r="C31" s="49" t="s">
        <v>240</v>
      </c>
      <c r="D31" s="50"/>
      <c r="E31" s="51">
        <v>35866400</v>
      </c>
      <c r="F31" s="52">
        <f t="shared" si="16"/>
        <v>2869312</v>
      </c>
      <c r="G31" s="53">
        <f t="shared" si="15"/>
        <v>38735712</v>
      </c>
      <c r="H31" s="54">
        <v>38735712</v>
      </c>
      <c r="I31" s="55">
        <f t="shared" si="13"/>
        <v>0</v>
      </c>
      <c r="J31" s="56">
        <v>45309</v>
      </c>
      <c r="K31" s="57" t="s">
        <v>231</v>
      </c>
    </row>
    <row r="32" spans="1:12" ht="15.75" hidden="1" customHeight="1" x14ac:dyDescent="0.35">
      <c r="A32" s="47" t="s">
        <v>113</v>
      </c>
      <c r="B32" s="48" t="s">
        <v>233</v>
      </c>
      <c r="C32" s="49" t="s">
        <v>241</v>
      </c>
      <c r="D32" s="50"/>
      <c r="E32" s="51">
        <v>35866400</v>
      </c>
      <c r="F32" s="52">
        <f t="shared" si="16"/>
        <v>2869312</v>
      </c>
      <c r="G32" s="53">
        <f t="shared" ref="G32:G63" si="17">E32+F32</f>
        <v>38735712</v>
      </c>
      <c r="H32" s="54">
        <v>38735712</v>
      </c>
      <c r="I32" s="55">
        <f t="shared" ref="I32:I62" si="18">G32-H32</f>
        <v>0</v>
      </c>
      <c r="J32" s="56">
        <v>45309</v>
      </c>
      <c r="K32" s="57" t="s">
        <v>231</v>
      </c>
    </row>
    <row r="33" spans="1:11" ht="15.75" hidden="1" customHeight="1" x14ac:dyDescent="0.35">
      <c r="A33" s="47" t="s">
        <v>17</v>
      </c>
      <c r="B33" s="48" t="s">
        <v>233</v>
      </c>
      <c r="C33" s="49" t="s">
        <v>242</v>
      </c>
      <c r="D33" s="50"/>
      <c r="E33" s="51">
        <v>35866400</v>
      </c>
      <c r="F33" s="52">
        <f t="shared" si="16"/>
        <v>2869312</v>
      </c>
      <c r="G33" s="53">
        <f t="shared" si="17"/>
        <v>38735712</v>
      </c>
      <c r="H33" s="54">
        <v>38735712</v>
      </c>
      <c r="I33" s="55">
        <f t="shared" si="18"/>
        <v>0</v>
      </c>
      <c r="J33" s="56">
        <v>45309</v>
      </c>
      <c r="K33" s="57" t="s">
        <v>231</v>
      </c>
    </row>
    <row r="34" spans="1:11" ht="15.75" hidden="1" customHeight="1" x14ac:dyDescent="0.35">
      <c r="A34" s="47" t="s">
        <v>18</v>
      </c>
      <c r="B34" s="48" t="s">
        <v>233</v>
      </c>
      <c r="C34" s="49" t="s">
        <v>243</v>
      </c>
      <c r="D34" s="50"/>
      <c r="E34" s="51">
        <v>35866400</v>
      </c>
      <c r="F34" s="52">
        <f t="shared" si="16"/>
        <v>2869312</v>
      </c>
      <c r="G34" s="53">
        <f t="shared" si="17"/>
        <v>38735712</v>
      </c>
      <c r="H34" s="54">
        <v>38735712</v>
      </c>
      <c r="I34" s="55">
        <f t="shared" si="18"/>
        <v>0</v>
      </c>
      <c r="J34" s="56">
        <v>45309</v>
      </c>
      <c r="K34" s="57" t="s">
        <v>231</v>
      </c>
    </row>
    <row r="35" spans="1:11" ht="15.75" hidden="1" customHeight="1" x14ac:dyDescent="0.35">
      <c r="A35" s="47" t="s">
        <v>41</v>
      </c>
      <c r="B35" s="48">
        <v>45264</v>
      </c>
      <c r="C35" s="49" t="s">
        <v>244</v>
      </c>
      <c r="D35" s="50" t="s">
        <v>245</v>
      </c>
      <c r="E35" s="51">
        <v>27810500</v>
      </c>
      <c r="F35" s="52">
        <f t="shared" si="16"/>
        <v>2224840</v>
      </c>
      <c r="G35" s="53">
        <f t="shared" si="17"/>
        <v>30035340</v>
      </c>
      <c r="H35" s="54">
        <v>30035340</v>
      </c>
      <c r="I35" s="55">
        <f t="shared" si="18"/>
        <v>0</v>
      </c>
      <c r="J35" s="56">
        <v>45309</v>
      </c>
      <c r="K35" s="57" t="s">
        <v>231</v>
      </c>
    </row>
    <row r="36" spans="1:11" ht="15.75" hidden="1" customHeight="1" x14ac:dyDescent="0.35">
      <c r="A36" s="47" t="s">
        <v>83</v>
      </c>
      <c r="B36" s="48" t="s">
        <v>233</v>
      </c>
      <c r="C36" s="50" t="s">
        <v>246</v>
      </c>
      <c r="D36" s="50"/>
      <c r="E36" s="51">
        <v>35866400</v>
      </c>
      <c r="F36" s="52">
        <f t="shared" si="16"/>
        <v>2869312</v>
      </c>
      <c r="G36" s="53">
        <f t="shared" si="17"/>
        <v>38735712</v>
      </c>
      <c r="H36" s="54">
        <v>38735712</v>
      </c>
      <c r="I36" s="55">
        <f t="shared" si="18"/>
        <v>0</v>
      </c>
      <c r="J36" s="56">
        <v>45309</v>
      </c>
      <c r="K36" s="57" t="s">
        <v>231</v>
      </c>
    </row>
    <row r="37" spans="1:11" ht="15.75" hidden="1" customHeight="1" x14ac:dyDescent="0.35">
      <c r="A37" s="47" t="s">
        <v>177</v>
      </c>
      <c r="B37" s="48">
        <v>45262</v>
      </c>
      <c r="C37" s="50" t="s">
        <v>247</v>
      </c>
      <c r="D37" s="49" t="s">
        <v>248</v>
      </c>
      <c r="E37" s="51">
        <v>30413600</v>
      </c>
      <c r="F37" s="52">
        <f t="shared" si="16"/>
        <v>2433088</v>
      </c>
      <c r="G37" s="53">
        <f t="shared" si="17"/>
        <v>32846688</v>
      </c>
      <c r="H37" s="54">
        <v>32846688</v>
      </c>
      <c r="I37" s="55">
        <f t="shared" si="18"/>
        <v>0</v>
      </c>
      <c r="J37" s="56">
        <v>45309</v>
      </c>
      <c r="K37" s="57" t="s">
        <v>231</v>
      </c>
    </row>
    <row r="38" spans="1:11" ht="15.75" hidden="1" customHeight="1" x14ac:dyDescent="0.35">
      <c r="A38" s="47" t="s">
        <v>56</v>
      </c>
      <c r="B38" s="48" t="s">
        <v>233</v>
      </c>
      <c r="C38" s="49" t="s">
        <v>249</v>
      </c>
      <c r="D38" s="50"/>
      <c r="E38" s="51">
        <v>35866400</v>
      </c>
      <c r="F38" s="52">
        <f t="shared" si="16"/>
        <v>2869312</v>
      </c>
      <c r="G38" s="53">
        <f t="shared" si="17"/>
        <v>38735712</v>
      </c>
      <c r="H38" s="54">
        <v>38735712</v>
      </c>
      <c r="I38" s="55">
        <f t="shared" si="18"/>
        <v>0</v>
      </c>
      <c r="J38" s="56">
        <v>45309</v>
      </c>
      <c r="K38" s="57" t="s">
        <v>231</v>
      </c>
    </row>
    <row r="39" spans="1:11" ht="15.75" hidden="1" customHeight="1" x14ac:dyDescent="0.35">
      <c r="A39" s="47" t="s">
        <v>50</v>
      </c>
      <c r="B39" s="48" t="s">
        <v>233</v>
      </c>
      <c r="C39" s="49" t="s">
        <v>250</v>
      </c>
      <c r="D39" s="50"/>
      <c r="E39" s="51">
        <v>35866400</v>
      </c>
      <c r="F39" s="52">
        <f t="shared" si="16"/>
        <v>2869312</v>
      </c>
      <c r="G39" s="53">
        <f t="shared" si="17"/>
        <v>38735712</v>
      </c>
      <c r="H39" s="54">
        <v>38735712</v>
      </c>
      <c r="I39" s="55">
        <f t="shared" si="18"/>
        <v>0</v>
      </c>
      <c r="J39" s="56">
        <v>45309</v>
      </c>
      <c r="K39" s="57" t="s">
        <v>231</v>
      </c>
    </row>
    <row r="40" spans="1:11" ht="15.75" hidden="1" customHeight="1" x14ac:dyDescent="0.35">
      <c r="A40" s="47" t="s">
        <v>30</v>
      </c>
      <c r="B40" s="48">
        <v>45264</v>
      </c>
      <c r="C40" s="49" t="s">
        <v>251</v>
      </c>
      <c r="D40" s="50" t="s">
        <v>252</v>
      </c>
      <c r="E40" s="51">
        <v>29290400</v>
      </c>
      <c r="F40" s="52">
        <f t="shared" si="16"/>
        <v>2343232</v>
      </c>
      <c r="G40" s="53">
        <f t="shared" si="17"/>
        <v>31633632</v>
      </c>
      <c r="H40" s="53">
        <v>31633632</v>
      </c>
      <c r="I40" s="55">
        <f t="shared" si="18"/>
        <v>0</v>
      </c>
      <c r="J40" s="56">
        <v>45309</v>
      </c>
      <c r="K40" s="57" t="s">
        <v>231</v>
      </c>
    </row>
    <row r="41" spans="1:11" ht="15.75" hidden="1" customHeight="1" x14ac:dyDescent="0.35">
      <c r="A41" s="47" t="s">
        <v>23</v>
      </c>
      <c r="B41" s="48" t="s">
        <v>233</v>
      </c>
      <c r="C41" s="49" t="s">
        <v>253</v>
      </c>
      <c r="D41" s="50"/>
      <c r="E41" s="51">
        <v>35866400</v>
      </c>
      <c r="F41" s="52">
        <f t="shared" si="16"/>
        <v>2869312</v>
      </c>
      <c r="G41" s="53">
        <f t="shared" si="17"/>
        <v>38735712</v>
      </c>
      <c r="H41" s="54">
        <v>38735712</v>
      </c>
      <c r="I41" s="55">
        <f t="shared" si="18"/>
        <v>0</v>
      </c>
      <c r="J41" s="56">
        <v>45309</v>
      </c>
      <c r="K41" s="57" t="s">
        <v>231</v>
      </c>
    </row>
    <row r="42" spans="1:11" ht="15.75" hidden="1" customHeight="1" x14ac:dyDescent="0.35">
      <c r="A42" s="47" t="s">
        <v>27</v>
      </c>
      <c r="B42" s="48" t="s">
        <v>233</v>
      </c>
      <c r="C42" s="49" t="s">
        <v>254</v>
      </c>
      <c r="D42" s="50"/>
      <c r="E42" s="51">
        <v>35866400</v>
      </c>
      <c r="F42" s="52">
        <f t="shared" si="16"/>
        <v>2869312</v>
      </c>
      <c r="G42" s="53">
        <f t="shared" si="17"/>
        <v>38735712</v>
      </c>
      <c r="H42" s="54">
        <v>38735712</v>
      </c>
      <c r="I42" s="55">
        <f t="shared" si="18"/>
        <v>0</v>
      </c>
      <c r="J42" s="56">
        <v>45309</v>
      </c>
      <c r="K42" s="57" t="s">
        <v>231</v>
      </c>
    </row>
    <row r="43" spans="1:11" ht="15.75" hidden="1" customHeight="1" x14ac:dyDescent="0.35">
      <c r="A43" s="47" t="s">
        <v>26</v>
      </c>
      <c r="B43" s="48" t="s">
        <v>233</v>
      </c>
      <c r="C43" s="49" t="s">
        <v>255</v>
      </c>
      <c r="D43" s="50"/>
      <c r="E43" s="51">
        <v>35866400</v>
      </c>
      <c r="F43" s="52">
        <f t="shared" si="16"/>
        <v>2869312</v>
      </c>
      <c r="G43" s="53">
        <f t="shared" si="17"/>
        <v>38735712</v>
      </c>
      <c r="H43" s="54">
        <v>38735712</v>
      </c>
      <c r="I43" s="55">
        <f t="shared" si="18"/>
        <v>0</v>
      </c>
      <c r="J43" s="56">
        <v>45309</v>
      </c>
      <c r="K43" s="57" t="s">
        <v>231</v>
      </c>
    </row>
    <row r="44" spans="1:11" ht="15.75" hidden="1" customHeight="1" x14ac:dyDescent="0.35">
      <c r="A44" s="47" t="s">
        <v>25</v>
      </c>
      <c r="B44" s="48">
        <v>45262</v>
      </c>
      <c r="C44" s="50" t="s">
        <v>256</v>
      </c>
      <c r="D44" s="49" t="s">
        <v>257</v>
      </c>
      <c r="E44" s="51">
        <v>32346400</v>
      </c>
      <c r="F44" s="52">
        <f t="shared" si="16"/>
        <v>2587712</v>
      </c>
      <c r="G44" s="53">
        <f t="shared" si="17"/>
        <v>34934112</v>
      </c>
      <c r="H44" s="54">
        <v>34934112</v>
      </c>
      <c r="I44" s="55">
        <f t="shared" si="18"/>
        <v>0</v>
      </c>
      <c r="J44" s="56">
        <v>45309</v>
      </c>
      <c r="K44" s="57" t="s">
        <v>231</v>
      </c>
    </row>
    <row r="45" spans="1:11" ht="15.75" hidden="1" customHeight="1" x14ac:dyDescent="0.35">
      <c r="A45" s="47" t="s">
        <v>35</v>
      </c>
      <c r="B45" s="48">
        <v>45271</v>
      </c>
      <c r="C45" s="49" t="s">
        <v>258</v>
      </c>
      <c r="D45" s="50" t="s">
        <v>259</v>
      </c>
      <c r="E45" s="51">
        <v>33266000</v>
      </c>
      <c r="F45" s="52">
        <f t="shared" si="16"/>
        <v>2661280</v>
      </c>
      <c r="G45" s="53">
        <f t="shared" si="17"/>
        <v>35927280</v>
      </c>
      <c r="H45" s="54">
        <v>35927280</v>
      </c>
      <c r="I45" s="55">
        <f t="shared" si="18"/>
        <v>0</v>
      </c>
      <c r="J45" s="56">
        <v>45309</v>
      </c>
      <c r="K45" s="57" t="s">
        <v>231</v>
      </c>
    </row>
    <row r="46" spans="1:11" ht="15.75" hidden="1" customHeight="1" x14ac:dyDescent="0.35">
      <c r="A46" s="47" t="s">
        <v>212</v>
      </c>
      <c r="B46" s="48" t="s">
        <v>233</v>
      </c>
      <c r="C46" s="49" t="s">
        <v>260</v>
      </c>
      <c r="D46" s="50"/>
      <c r="E46" s="51">
        <v>35866400</v>
      </c>
      <c r="F46" s="52">
        <f t="shared" si="16"/>
        <v>2869312</v>
      </c>
      <c r="G46" s="53">
        <f t="shared" si="17"/>
        <v>38735712</v>
      </c>
      <c r="H46" s="54">
        <v>38735712</v>
      </c>
      <c r="I46" s="55">
        <f t="shared" si="18"/>
        <v>0</v>
      </c>
      <c r="J46" s="56">
        <v>45309</v>
      </c>
      <c r="K46" s="57" t="s">
        <v>231</v>
      </c>
    </row>
    <row r="47" spans="1:11" ht="15.75" hidden="1" customHeight="1" x14ac:dyDescent="0.35">
      <c r="A47" s="47" t="s">
        <v>147</v>
      </c>
      <c r="B47" s="48" t="s">
        <v>233</v>
      </c>
      <c r="C47" s="49" t="s">
        <v>261</v>
      </c>
      <c r="D47" s="50"/>
      <c r="E47" s="51">
        <v>35866400</v>
      </c>
      <c r="F47" s="52">
        <f t="shared" si="16"/>
        <v>2869312</v>
      </c>
      <c r="G47" s="53">
        <f t="shared" si="17"/>
        <v>38735712</v>
      </c>
      <c r="H47" s="54">
        <v>38735712</v>
      </c>
      <c r="I47" s="55">
        <f t="shared" si="18"/>
        <v>0</v>
      </c>
      <c r="J47" s="56">
        <v>45309</v>
      </c>
      <c r="K47" s="57" t="s">
        <v>231</v>
      </c>
    </row>
    <row r="48" spans="1:11" ht="15.75" hidden="1" customHeight="1" x14ac:dyDescent="0.35">
      <c r="A48" s="47" t="s">
        <v>117</v>
      </c>
      <c r="B48" s="48" t="s">
        <v>233</v>
      </c>
      <c r="C48" s="49" t="s">
        <v>262</v>
      </c>
      <c r="D48" s="50"/>
      <c r="E48" s="51">
        <v>35866400</v>
      </c>
      <c r="F48" s="52">
        <f t="shared" si="16"/>
        <v>2869312</v>
      </c>
      <c r="G48" s="53">
        <f t="shared" si="17"/>
        <v>38735712</v>
      </c>
      <c r="H48" s="54">
        <v>38735712</v>
      </c>
      <c r="I48" s="55">
        <f t="shared" si="18"/>
        <v>0</v>
      </c>
      <c r="J48" s="56">
        <v>45309</v>
      </c>
      <c r="K48" s="57" t="s">
        <v>231</v>
      </c>
    </row>
    <row r="49" spans="1:11" ht="15.75" hidden="1" customHeight="1" x14ac:dyDescent="0.35">
      <c r="A49" s="47" t="s">
        <v>151</v>
      </c>
      <c r="B49" s="48">
        <v>45265</v>
      </c>
      <c r="C49" s="50" t="s">
        <v>263</v>
      </c>
      <c r="D49" s="49" t="s">
        <v>264</v>
      </c>
      <c r="E49" s="51">
        <v>33866400</v>
      </c>
      <c r="F49" s="52">
        <f t="shared" si="16"/>
        <v>2709312</v>
      </c>
      <c r="G49" s="53">
        <f t="shared" si="17"/>
        <v>36575712</v>
      </c>
      <c r="H49" s="53">
        <v>36575712</v>
      </c>
      <c r="I49" s="55">
        <f t="shared" si="18"/>
        <v>0</v>
      </c>
      <c r="J49" s="56">
        <v>45309</v>
      </c>
      <c r="K49" s="57" t="s">
        <v>231</v>
      </c>
    </row>
    <row r="50" spans="1:11" ht="15.75" hidden="1" customHeight="1" x14ac:dyDescent="0.35">
      <c r="A50" s="47" t="s">
        <v>149</v>
      </c>
      <c r="B50" s="48">
        <v>45265</v>
      </c>
      <c r="C50" s="50" t="s">
        <v>265</v>
      </c>
      <c r="D50" s="50" t="s">
        <v>266</v>
      </c>
      <c r="E50" s="51">
        <v>35866400</v>
      </c>
      <c r="F50" s="52">
        <f t="shared" si="16"/>
        <v>2869312</v>
      </c>
      <c r="G50" s="53">
        <f t="shared" si="17"/>
        <v>38735712</v>
      </c>
      <c r="H50" s="54">
        <v>38735712</v>
      </c>
      <c r="I50" s="55">
        <f t="shared" si="18"/>
        <v>0</v>
      </c>
      <c r="J50" s="56">
        <v>45309</v>
      </c>
      <c r="K50" s="57" t="s">
        <v>231</v>
      </c>
    </row>
    <row r="51" spans="1:11" ht="15.75" hidden="1" customHeight="1" x14ac:dyDescent="0.35">
      <c r="A51" s="47" t="s">
        <v>118</v>
      </c>
      <c r="B51" s="48" t="s">
        <v>233</v>
      </c>
      <c r="C51" s="49" t="s">
        <v>267</v>
      </c>
      <c r="D51" s="50"/>
      <c r="E51" s="51">
        <v>35866400</v>
      </c>
      <c r="F51" s="52">
        <f t="shared" si="16"/>
        <v>2869312</v>
      </c>
      <c r="G51" s="53">
        <f t="shared" si="17"/>
        <v>38735712</v>
      </c>
      <c r="H51" s="54">
        <v>38735712</v>
      </c>
      <c r="I51" s="55">
        <f t="shared" si="18"/>
        <v>0</v>
      </c>
      <c r="J51" s="56">
        <v>45309</v>
      </c>
      <c r="K51" s="57" t="s">
        <v>231</v>
      </c>
    </row>
    <row r="52" spans="1:11" ht="15.75" hidden="1" customHeight="1" x14ac:dyDescent="0.35">
      <c r="A52" s="47" t="s">
        <v>188</v>
      </c>
      <c r="B52" s="48" t="s">
        <v>233</v>
      </c>
      <c r="C52" s="49" t="s">
        <v>268</v>
      </c>
      <c r="D52" s="50"/>
      <c r="E52" s="51">
        <v>35866400</v>
      </c>
      <c r="F52" s="52">
        <f t="shared" ref="F52:F89" si="19">+E52*0.08</f>
        <v>2869312</v>
      </c>
      <c r="G52" s="53">
        <f t="shared" si="17"/>
        <v>38735712</v>
      </c>
      <c r="H52" s="54">
        <v>38735712</v>
      </c>
      <c r="I52" s="55">
        <f t="shared" si="18"/>
        <v>0</v>
      </c>
      <c r="J52" s="56">
        <v>45309</v>
      </c>
      <c r="K52" s="57" t="s">
        <v>231</v>
      </c>
    </row>
    <row r="53" spans="1:11" ht="15.75" hidden="1" customHeight="1" x14ac:dyDescent="0.35">
      <c r="A53" s="47" t="s">
        <v>141</v>
      </c>
      <c r="B53" s="48" t="s">
        <v>233</v>
      </c>
      <c r="C53" s="49" t="s">
        <v>270</v>
      </c>
      <c r="D53" s="50"/>
      <c r="E53" s="51">
        <v>35866400</v>
      </c>
      <c r="F53" s="52">
        <f t="shared" si="19"/>
        <v>2869312</v>
      </c>
      <c r="G53" s="53">
        <f t="shared" si="17"/>
        <v>38735712</v>
      </c>
      <c r="H53" s="54">
        <v>38735712</v>
      </c>
      <c r="I53" s="55">
        <f t="shared" si="18"/>
        <v>0</v>
      </c>
      <c r="J53" s="56">
        <v>45309</v>
      </c>
      <c r="K53" s="57" t="s">
        <v>231</v>
      </c>
    </row>
    <row r="54" spans="1:11" ht="15.75" hidden="1" customHeight="1" x14ac:dyDescent="0.35">
      <c r="A54" s="47" t="s">
        <v>137</v>
      </c>
      <c r="B54" s="48">
        <v>45274</v>
      </c>
      <c r="C54" s="49" t="s">
        <v>272</v>
      </c>
      <c r="D54" s="50" t="s">
        <v>273</v>
      </c>
      <c r="E54" s="51">
        <v>34961400</v>
      </c>
      <c r="F54" s="52">
        <f t="shared" si="19"/>
        <v>2796912</v>
      </c>
      <c r="G54" s="53">
        <f t="shared" si="17"/>
        <v>37758312</v>
      </c>
      <c r="H54" s="54">
        <v>37758312</v>
      </c>
      <c r="I54" s="55">
        <f t="shared" si="18"/>
        <v>0</v>
      </c>
      <c r="J54" s="56">
        <v>45309</v>
      </c>
      <c r="K54" s="57" t="s">
        <v>231</v>
      </c>
    </row>
    <row r="55" spans="1:11" ht="15.75" hidden="1" customHeight="1" x14ac:dyDescent="0.35">
      <c r="A55" s="47" t="s">
        <v>145</v>
      </c>
      <c r="B55" s="48" t="s">
        <v>233</v>
      </c>
      <c r="C55" s="49" t="s">
        <v>274</v>
      </c>
      <c r="D55" s="50"/>
      <c r="E55" s="51">
        <v>35866400</v>
      </c>
      <c r="F55" s="52">
        <f t="shared" si="19"/>
        <v>2869312</v>
      </c>
      <c r="G55" s="53">
        <f t="shared" si="17"/>
        <v>38735712</v>
      </c>
      <c r="H55" s="53">
        <v>38735712</v>
      </c>
      <c r="I55" s="55">
        <f t="shared" si="18"/>
        <v>0</v>
      </c>
      <c r="J55" s="56">
        <v>45309</v>
      </c>
      <c r="K55" s="57" t="s">
        <v>231</v>
      </c>
    </row>
    <row r="56" spans="1:11" ht="15.75" hidden="1" customHeight="1" x14ac:dyDescent="0.35">
      <c r="A56" s="47" t="s">
        <v>144</v>
      </c>
      <c r="B56" s="48" t="s">
        <v>233</v>
      </c>
      <c r="C56" s="49" t="s">
        <v>275</v>
      </c>
      <c r="D56" s="50"/>
      <c r="E56" s="51">
        <v>35866400</v>
      </c>
      <c r="F56" s="52">
        <f t="shared" si="19"/>
        <v>2869312</v>
      </c>
      <c r="G56" s="53">
        <f t="shared" si="17"/>
        <v>38735712</v>
      </c>
      <c r="H56" s="54">
        <v>38735712</v>
      </c>
      <c r="I56" s="55">
        <f t="shared" si="18"/>
        <v>0</v>
      </c>
      <c r="J56" s="56">
        <v>45309</v>
      </c>
      <c r="K56" s="57" t="s">
        <v>231</v>
      </c>
    </row>
    <row r="57" spans="1:11" ht="15.75" hidden="1" customHeight="1" x14ac:dyDescent="0.35">
      <c r="A57" s="47" t="s">
        <v>28</v>
      </c>
      <c r="B57" s="48" t="s">
        <v>233</v>
      </c>
      <c r="C57" s="49" t="s">
        <v>276</v>
      </c>
      <c r="D57" s="50"/>
      <c r="E57" s="51">
        <v>35866400</v>
      </c>
      <c r="F57" s="52">
        <f t="shared" si="19"/>
        <v>2869312</v>
      </c>
      <c r="G57" s="53">
        <f t="shared" si="17"/>
        <v>38735712</v>
      </c>
      <c r="H57" s="54">
        <v>38735712</v>
      </c>
      <c r="I57" s="55">
        <f t="shared" si="18"/>
        <v>0</v>
      </c>
      <c r="J57" s="56">
        <v>45309</v>
      </c>
      <c r="K57" s="57" t="s">
        <v>231</v>
      </c>
    </row>
    <row r="58" spans="1:11" ht="15.75" hidden="1" customHeight="1" x14ac:dyDescent="0.35">
      <c r="A58" s="47" t="s">
        <v>148</v>
      </c>
      <c r="B58" s="48">
        <v>45264</v>
      </c>
      <c r="C58" s="50" t="s">
        <v>277</v>
      </c>
      <c r="D58" s="49" t="s">
        <v>278</v>
      </c>
      <c r="E58" s="51">
        <v>35866400</v>
      </c>
      <c r="F58" s="52">
        <f t="shared" si="19"/>
        <v>2869312</v>
      </c>
      <c r="G58" s="53">
        <f t="shared" si="17"/>
        <v>38735712</v>
      </c>
      <c r="H58" s="54">
        <v>38735712</v>
      </c>
      <c r="I58" s="55">
        <f t="shared" si="18"/>
        <v>0</v>
      </c>
      <c r="J58" s="56">
        <v>45309</v>
      </c>
      <c r="K58" s="56" t="s">
        <v>231</v>
      </c>
    </row>
    <row r="59" spans="1:11" ht="15.75" hidden="1" customHeight="1" x14ac:dyDescent="0.35">
      <c r="A59" s="47" t="s">
        <v>84</v>
      </c>
      <c r="B59" s="48" t="s">
        <v>233</v>
      </c>
      <c r="C59" s="49" t="s">
        <v>279</v>
      </c>
      <c r="D59" s="50"/>
      <c r="E59" s="51">
        <v>35866400</v>
      </c>
      <c r="F59" s="52">
        <f t="shared" si="19"/>
        <v>2869312</v>
      </c>
      <c r="G59" s="53">
        <f t="shared" si="17"/>
        <v>38735712</v>
      </c>
      <c r="H59" s="54">
        <v>38735712</v>
      </c>
      <c r="I59" s="55">
        <f t="shared" si="18"/>
        <v>0</v>
      </c>
      <c r="J59" s="56">
        <v>45309</v>
      </c>
      <c r="K59" s="57" t="s">
        <v>231</v>
      </c>
    </row>
    <row r="60" spans="1:11" ht="15.75" hidden="1" customHeight="1" x14ac:dyDescent="0.35">
      <c r="A60" s="47" t="s">
        <v>15</v>
      </c>
      <c r="B60" s="48" t="s">
        <v>233</v>
      </c>
      <c r="C60" s="49" t="s">
        <v>280</v>
      </c>
      <c r="D60" s="50"/>
      <c r="E60" s="51">
        <v>35866400</v>
      </c>
      <c r="F60" s="52">
        <f t="shared" si="19"/>
        <v>2869312</v>
      </c>
      <c r="G60" s="53">
        <f t="shared" si="17"/>
        <v>38735712</v>
      </c>
      <c r="H60" s="54">
        <v>38735712</v>
      </c>
      <c r="I60" s="55">
        <f t="shared" si="18"/>
        <v>0</v>
      </c>
      <c r="J60" s="56">
        <v>45309</v>
      </c>
      <c r="K60" s="57" t="s">
        <v>231</v>
      </c>
    </row>
    <row r="61" spans="1:11" ht="15.75" hidden="1" customHeight="1" x14ac:dyDescent="0.35">
      <c r="A61" s="47" t="s">
        <v>126</v>
      </c>
      <c r="B61" s="48" t="s">
        <v>233</v>
      </c>
      <c r="C61" s="49" t="s">
        <v>281</v>
      </c>
      <c r="D61" s="50"/>
      <c r="E61" s="51">
        <v>35866400</v>
      </c>
      <c r="F61" s="52">
        <f t="shared" si="19"/>
        <v>2869312</v>
      </c>
      <c r="G61" s="53">
        <f t="shared" si="17"/>
        <v>38735712</v>
      </c>
      <c r="H61" s="54">
        <v>38735712</v>
      </c>
      <c r="I61" s="55">
        <f t="shared" si="18"/>
        <v>0</v>
      </c>
      <c r="J61" s="56">
        <v>45309</v>
      </c>
      <c r="K61" s="57" t="s">
        <v>231</v>
      </c>
    </row>
    <row r="62" spans="1:11" ht="15.75" hidden="1" customHeight="1" x14ac:dyDescent="0.35">
      <c r="A62" s="47" t="s">
        <v>167</v>
      </c>
      <c r="B62" s="48" t="s">
        <v>233</v>
      </c>
      <c r="C62" s="49" t="s">
        <v>282</v>
      </c>
      <c r="D62" s="50"/>
      <c r="E62" s="51">
        <v>35866400</v>
      </c>
      <c r="F62" s="52">
        <f t="shared" si="19"/>
        <v>2869312</v>
      </c>
      <c r="G62" s="53">
        <f t="shared" si="17"/>
        <v>38735712</v>
      </c>
      <c r="H62" s="54">
        <v>38735712</v>
      </c>
      <c r="I62" s="55">
        <f t="shared" si="18"/>
        <v>0</v>
      </c>
      <c r="J62" s="56">
        <v>45309</v>
      </c>
      <c r="K62" s="57" t="s">
        <v>231</v>
      </c>
    </row>
    <row r="63" spans="1:11" ht="15.75" hidden="1" customHeight="1" x14ac:dyDescent="0.35">
      <c r="A63" s="47" t="s">
        <v>121</v>
      </c>
      <c r="B63" s="48">
        <v>45265</v>
      </c>
      <c r="C63" s="50" t="s">
        <v>283</v>
      </c>
      <c r="D63" s="49" t="s">
        <v>284</v>
      </c>
      <c r="E63" s="51">
        <v>35866400</v>
      </c>
      <c r="F63" s="52">
        <f t="shared" si="19"/>
        <v>2869312</v>
      </c>
      <c r="G63" s="53">
        <f t="shared" si="17"/>
        <v>38735712</v>
      </c>
      <c r="H63" s="54">
        <v>38735712</v>
      </c>
      <c r="I63" s="55">
        <f t="shared" ref="I63:I108" si="20">G63-H63</f>
        <v>0</v>
      </c>
      <c r="J63" s="56">
        <v>45309</v>
      </c>
      <c r="K63" s="57" t="s">
        <v>231</v>
      </c>
    </row>
    <row r="64" spans="1:11" ht="15.75" hidden="1" customHeight="1" x14ac:dyDescent="0.35">
      <c r="A64" s="47" t="s">
        <v>163</v>
      </c>
      <c r="B64" s="48">
        <v>45266</v>
      </c>
      <c r="C64" s="49" t="s">
        <v>285</v>
      </c>
      <c r="D64" s="50" t="s">
        <v>286</v>
      </c>
      <c r="E64" s="51">
        <v>32330600</v>
      </c>
      <c r="F64" s="52">
        <f t="shared" si="19"/>
        <v>2586448</v>
      </c>
      <c r="G64" s="53">
        <f t="shared" ref="G64:G109" si="21">E64+F64</f>
        <v>34917048</v>
      </c>
      <c r="H64" s="54">
        <v>34917048</v>
      </c>
      <c r="I64" s="55">
        <f t="shared" si="20"/>
        <v>0</v>
      </c>
      <c r="J64" s="56">
        <v>45309</v>
      </c>
      <c r="K64" s="57" t="s">
        <v>231</v>
      </c>
    </row>
    <row r="65" spans="1:11" ht="15.75" hidden="1" customHeight="1" x14ac:dyDescent="0.35">
      <c r="A65" s="47" t="s">
        <v>87</v>
      </c>
      <c r="B65" s="48">
        <v>45266</v>
      </c>
      <c r="C65" s="50" t="s">
        <v>287</v>
      </c>
      <c r="D65" s="49" t="s">
        <v>288</v>
      </c>
      <c r="E65" s="51">
        <v>35376400</v>
      </c>
      <c r="F65" s="52">
        <f t="shared" si="19"/>
        <v>2830112</v>
      </c>
      <c r="G65" s="53">
        <f t="shared" si="21"/>
        <v>38206512</v>
      </c>
      <c r="H65" s="54">
        <v>38206512</v>
      </c>
      <c r="I65" s="55">
        <f t="shared" si="20"/>
        <v>0</v>
      </c>
      <c r="J65" s="56">
        <v>45309</v>
      </c>
      <c r="K65" s="57" t="s">
        <v>231</v>
      </c>
    </row>
    <row r="66" spans="1:11" ht="15.75" hidden="1" customHeight="1" x14ac:dyDescent="0.35">
      <c r="A66" s="47" t="s">
        <v>94</v>
      </c>
      <c r="B66" s="48">
        <v>45264</v>
      </c>
      <c r="C66" s="50" t="s">
        <v>289</v>
      </c>
      <c r="D66" s="49" t="s">
        <v>290</v>
      </c>
      <c r="E66" s="51">
        <v>35386400</v>
      </c>
      <c r="F66" s="52">
        <f t="shared" si="19"/>
        <v>2830912</v>
      </c>
      <c r="G66" s="53">
        <f t="shared" si="21"/>
        <v>38217312</v>
      </c>
      <c r="H66" s="54">
        <v>38217312</v>
      </c>
      <c r="I66" s="55">
        <f t="shared" si="20"/>
        <v>0</v>
      </c>
      <c r="J66" s="56">
        <v>45341</v>
      </c>
      <c r="K66" s="57" t="s">
        <v>231</v>
      </c>
    </row>
    <row r="67" spans="1:11" ht="15.75" hidden="1" customHeight="1" x14ac:dyDescent="0.35">
      <c r="A67" s="47" t="s">
        <v>143</v>
      </c>
      <c r="B67" s="48">
        <v>45264</v>
      </c>
      <c r="C67" s="49" t="s">
        <v>292</v>
      </c>
      <c r="D67" s="50" t="s">
        <v>293</v>
      </c>
      <c r="E67" s="51">
        <v>35826400</v>
      </c>
      <c r="F67" s="52">
        <f t="shared" si="19"/>
        <v>2866112</v>
      </c>
      <c r="G67" s="53">
        <f t="shared" si="21"/>
        <v>38692512</v>
      </c>
      <c r="H67" s="54">
        <v>38692512</v>
      </c>
      <c r="I67" s="55">
        <f t="shared" si="20"/>
        <v>0</v>
      </c>
      <c r="J67" s="56">
        <v>45309</v>
      </c>
      <c r="K67" s="57" t="s">
        <v>231</v>
      </c>
    </row>
    <row r="68" spans="1:11" ht="15.75" hidden="1" customHeight="1" x14ac:dyDescent="0.35">
      <c r="A68" s="47" t="s">
        <v>162</v>
      </c>
      <c r="B68" s="48" t="s">
        <v>291</v>
      </c>
      <c r="C68" s="49" t="s">
        <v>294</v>
      </c>
      <c r="D68" s="50"/>
      <c r="E68" s="51">
        <v>35866400</v>
      </c>
      <c r="F68" s="52">
        <f t="shared" si="19"/>
        <v>2869312</v>
      </c>
      <c r="G68" s="53">
        <f t="shared" si="21"/>
        <v>38735712</v>
      </c>
      <c r="H68" s="54">
        <v>38735712</v>
      </c>
      <c r="I68" s="55">
        <f t="shared" si="20"/>
        <v>0</v>
      </c>
      <c r="J68" s="56">
        <v>45309</v>
      </c>
      <c r="K68" s="57" t="s">
        <v>231</v>
      </c>
    </row>
    <row r="69" spans="1:11" ht="15.75" hidden="1" customHeight="1" x14ac:dyDescent="0.35">
      <c r="A69" s="47" t="s">
        <v>90</v>
      </c>
      <c r="B69" s="48">
        <v>45266</v>
      </c>
      <c r="C69" s="49" t="s">
        <v>295</v>
      </c>
      <c r="D69" s="50" t="s">
        <v>296</v>
      </c>
      <c r="E69" s="51">
        <v>35446400</v>
      </c>
      <c r="F69" s="52">
        <f t="shared" si="19"/>
        <v>2835712</v>
      </c>
      <c r="G69" s="53">
        <f t="shared" si="21"/>
        <v>38282112</v>
      </c>
      <c r="H69" s="54">
        <v>38282112</v>
      </c>
      <c r="I69" s="55">
        <f t="shared" si="20"/>
        <v>0</v>
      </c>
      <c r="J69" s="56">
        <v>45309</v>
      </c>
      <c r="K69" s="57" t="s">
        <v>231</v>
      </c>
    </row>
    <row r="70" spans="1:11" ht="15.75" hidden="1" customHeight="1" x14ac:dyDescent="0.35">
      <c r="A70" s="47" t="s">
        <v>155</v>
      </c>
      <c r="B70" s="48">
        <v>45264</v>
      </c>
      <c r="C70" s="50" t="s">
        <v>297</v>
      </c>
      <c r="D70" s="49" t="s">
        <v>298</v>
      </c>
      <c r="E70" s="51">
        <v>16274400</v>
      </c>
      <c r="F70" s="52">
        <f t="shared" si="19"/>
        <v>1301952</v>
      </c>
      <c r="G70" s="53">
        <f t="shared" si="21"/>
        <v>17576352</v>
      </c>
      <c r="H70" s="54">
        <v>17576352</v>
      </c>
      <c r="I70" s="55">
        <f t="shared" si="20"/>
        <v>0</v>
      </c>
      <c r="J70" s="56">
        <v>45309</v>
      </c>
      <c r="K70" s="57" t="s">
        <v>231</v>
      </c>
    </row>
    <row r="71" spans="1:11" ht="15.75" hidden="1" customHeight="1" x14ac:dyDescent="0.35">
      <c r="A71" s="47" t="s">
        <v>119</v>
      </c>
      <c r="B71" s="48" t="s">
        <v>291</v>
      </c>
      <c r="C71" s="49" t="s">
        <v>299</v>
      </c>
      <c r="D71" s="50"/>
      <c r="E71" s="51">
        <v>35866400</v>
      </c>
      <c r="F71" s="52">
        <f t="shared" si="19"/>
        <v>2869312</v>
      </c>
      <c r="G71" s="53">
        <f t="shared" si="21"/>
        <v>38735712</v>
      </c>
      <c r="H71" s="54">
        <v>38735712</v>
      </c>
      <c r="I71" s="55">
        <f t="shared" si="20"/>
        <v>0</v>
      </c>
      <c r="J71" s="56">
        <v>45309</v>
      </c>
      <c r="K71" s="57" t="s">
        <v>231</v>
      </c>
    </row>
    <row r="72" spans="1:11" ht="15.75" hidden="1" customHeight="1" x14ac:dyDescent="0.35">
      <c r="A72" s="47" t="s">
        <v>122</v>
      </c>
      <c r="B72" s="48">
        <v>45270</v>
      </c>
      <c r="C72" s="50" t="s">
        <v>300</v>
      </c>
      <c r="D72" s="50" t="s">
        <v>301</v>
      </c>
      <c r="E72" s="51">
        <v>31632000</v>
      </c>
      <c r="F72" s="52">
        <f t="shared" si="19"/>
        <v>2530560</v>
      </c>
      <c r="G72" s="53">
        <f t="shared" si="21"/>
        <v>34162560</v>
      </c>
      <c r="H72" s="54">
        <v>34162560</v>
      </c>
      <c r="I72" s="55">
        <f t="shared" si="20"/>
        <v>0</v>
      </c>
      <c r="J72" s="56">
        <v>45309</v>
      </c>
      <c r="K72" s="57" t="s">
        <v>231</v>
      </c>
    </row>
    <row r="73" spans="1:11" ht="15.75" hidden="1" customHeight="1" x14ac:dyDescent="0.35">
      <c r="A73" s="47" t="s">
        <v>37</v>
      </c>
      <c r="B73" s="48" t="s">
        <v>291</v>
      </c>
      <c r="C73" s="49" t="s">
        <v>302</v>
      </c>
      <c r="D73" s="50"/>
      <c r="E73" s="51">
        <v>35866400</v>
      </c>
      <c r="F73" s="52">
        <f t="shared" si="19"/>
        <v>2869312</v>
      </c>
      <c r="G73" s="53">
        <f t="shared" si="21"/>
        <v>38735712</v>
      </c>
      <c r="H73" s="54">
        <v>38735712</v>
      </c>
      <c r="I73" s="55">
        <f t="shared" si="20"/>
        <v>0</v>
      </c>
      <c r="J73" s="56">
        <v>45309</v>
      </c>
      <c r="K73" s="57" t="s">
        <v>231</v>
      </c>
    </row>
    <row r="74" spans="1:11" ht="15.75" hidden="1" customHeight="1" x14ac:dyDescent="0.35">
      <c r="A74" s="47" t="s">
        <v>82</v>
      </c>
      <c r="B74" s="48" t="s">
        <v>291</v>
      </c>
      <c r="C74" s="49" t="s">
        <v>303</v>
      </c>
      <c r="D74" s="50"/>
      <c r="E74" s="51">
        <v>35866400</v>
      </c>
      <c r="F74" s="52">
        <f t="shared" si="19"/>
        <v>2869312</v>
      </c>
      <c r="G74" s="53">
        <f t="shared" si="21"/>
        <v>38735712</v>
      </c>
      <c r="H74" s="54">
        <v>38735712</v>
      </c>
      <c r="I74" s="55">
        <f t="shared" si="20"/>
        <v>0</v>
      </c>
      <c r="J74" s="56">
        <v>45309</v>
      </c>
      <c r="K74" s="57" t="s">
        <v>231</v>
      </c>
    </row>
    <row r="75" spans="1:11" ht="15.75" hidden="1" customHeight="1" x14ac:dyDescent="0.35">
      <c r="A75" s="47" t="s">
        <v>40</v>
      </c>
      <c r="B75" s="48">
        <v>45264</v>
      </c>
      <c r="C75" s="50" t="s">
        <v>304</v>
      </c>
      <c r="D75" s="49" t="s">
        <v>305</v>
      </c>
      <c r="E75" s="51">
        <v>32820000</v>
      </c>
      <c r="F75" s="52">
        <f t="shared" si="19"/>
        <v>2625600</v>
      </c>
      <c r="G75" s="53">
        <f t="shared" si="21"/>
        <v>35445600</v>
      </c>
      <c r="H75" s="54">
        <v>35445600</v>
      </c>
      <c r="I75" s="55">
        <f t="shared" si="20"/>
        <v>0</v>
      </c>
      <c r="J75" s="56">
        <v>45341</v>
      </c>
      <c r="K75" s="57" t="s">
        <v>231</v>
      </c>
    </row>
    <row r="76" spans="1:11" ht="15.75" hidden="1" customHeight="1" x14ac:dyDescent="0.35">
      <c r="A76" s="47" t="s">
        <v>85</v>
      </c>
      <c r="B76" s="48" t="s">
        <v>291</v>
      </c>
      <c r="C76" s="49" t="s">
        <v>306</v>
      </c>
      <c r="D76" s="50"/>
      <c r="E76" s="51">
        <v>35866400</v>
      </c>
      <c r="F76" s="52">
        <f t="shared" si="19"/>
        <v>2869312</v>
      </c>
      <c r="G76" s="53">
        <f t="shared" si="21"/>
        <v>38735712</v>
      </c>
      <c r="H76" s="54">
        <v>38735712</v>
      </c>
      <c r="I76" s="55">
        <f t="shared" si="20"/>
        <v>0</v>
      </c>
      <c r="J76" s="56">
        <v>45309</v>
      </c>
      <c r="K76" s="57" t="s">
        <v>231</v>
      </c>
    </row>
    <row r="77" spans="1:11" ht="15.75" hidden="1" customHeight="1" x14ac:dyDescent="0.35">
      <c r="A77" s="47" t="s">
        <v>176</v>
      </c>
      <c r="B77" s="48" t="s">
        <v>291</v>
      </c>
      <c r="C77" s="49" t="s">
        <v>307</v>
      </c>
      <c r="D77" s="50"/>
      <c r="E77" s="51">
        <v>35866400</v>
      </c>
      <c r="F77" s="52">
        <f t="shared" si="19"/>
        <v>2869312</v>
      </c>
      <c r="G77" s="53">
        <f t="shared" si="21"/>
        <v>38735712</v>
      </c>
      <c r="H77" s="54">
        <v>38735712</v>
      </c>
      <c r="I77" s="55">
        <f t="shared" si="20"/>
        <v>0</v>
      </c>
      <c r="J77" s="56">
        <v>45309</v>
      </c>
      <c r="K77" s="57" t="s">
        <v>231</v>
      </c>
    </row>
    <row r="78" spans="1:11" ht="15.75" hidden="1" customHeight="1" x14ac:dyDescent="0.35">
      <c r="A78" s="47" t="s">
        <v>309</v>
      </c>
      <c r="B78" s="48" t="s">
        <v>291</v>
      </c>
      <c r="C78" s="49" t="s">
        <v>310</v>
      </c>
      <c r="D78" s="50"/>
      <c r="E78" s="51">
        <v>35866400</v>
      </c>
      <c r="F78" s="52">
        <f t="shared" si="19"/>
        <v>2869312</v>
      </c>
      <c r="G78" s="53">
        <f t="shared" si="21"/>
        <v>38735712</v>
      </c>
      <c r="H78" s="54">
        <v>38735712</v>
      </c>
      <c r="I78" s="55">
        <f t="shared" si="20"/>
        <v>0</v>
      </c>
      <c r="J78" s="56">
        <v>45309</v>
      </c>
      <c r="K78" s="57" t="s">
        <v>231</v>
      </c>
    </row>
    <row r="79" spans="1:11" ht="15.75" hidden="1" customHeight="1" x14ac:dyDescent="0.35">
      <c r="A79" s="47" t="s">
        <v>33</v>
      </c>
      <c r="B79" s="48" t="s">
        <v>291</v>
      </c>
      <c r="C79" s="49" t="s">
        <v>311</v>
      </c>
      <c r="D79" s="50"/>
      <c r="E79" s="51">
        <v>35866400</v>
      </c>
      <c r="F79" s="52">
        <f t="shared" si="19"/>
        <v>2869312</v>
      </c>
      <c r="G79" s="53">
        <f t="shared" si="21"/>
        <v>38735712</v>
      </c>
      <c r="H79" s="54">
        <v>38735712</v>
      </c>
      <c r="I79" s="55">
        <f t="shared" si="20"/>
        <v>0</v>
      </c>
      <c r="J79" s="56">
        <v>45309</v>
      </c>
      <c r="K79" s="57" t="s">
        <v>231</v>
      </c>
    </row>
    <row r="80" spans="1:11" ht="15.75" hidden="1" customHeight="1" x14ac:dyDescent="0.35">
      <c r="A80" s="47" t="s">
        <v>125</v>
      </c>
      <c r="B80" s="48">
        <v>45264</v>
      </c>
      <c r="C80" s="50" t="s">
        <v>312</v>
      </c>
      <c r="D80" s="49" t="s">
        <v>313</v>
      </c>
      <c r="E80" s="51">
        <v>32346400</v>
      </c>
      <c r="F80" s="52">
        <f t="shared" si="19"/>
        <v>2587712</v>
      </c>
      <c r="G80" s="53">
        <f t="shared" si="21"/>
        <v>34934112</v>
      </c>
      <c r="H80" s="54">
        <v>34934112</v>
      </c>
      <c r="I80" s="55">
        <f t="shared" si="20"/>
        <v>0</v>
      </c>
      <c r="J80" s="56">
        <v>45341</v>
      </c>
      <c r="K80" s="57" t="s">
        <v>231</v>
      </c>
    </row>
    <row r="81" spans="1:11" ht="15.75" hidden="1" customHeight="1" x14ac:dyDescent="0.35">
      <c r="A81" s="47" t="s">
        <v>146</v>
      </c>
      <c r="B81" s="48" t="s">
        <v>291</v>
      </c>
      <c r="C81" s="49" t="s">
        <v>314</v>
      </c>
      <c r="D81" s="50"/>
      <c r="E81" s="51">
        <v>35866400</v>
      </c>
      <c r="F81" s="52">
        <f t="shared" si="19"/>
        <v>2869312</v>
      </c>
      <c r="G81" s="53">
        <f t="shared" si="21"/>
        <v>38735712</v>
      </c>
      <c r="H81" s="54">
        <v>38735712</v>
      </c>
      <c r="I81" s="55">
        <f t="shared" si="20"/>
        <v>0</v>
      </c>
      <c r="J81" s="56">
        <v>45309</v>
      </c>
      <c r="K81" s="57" t="s">
        <v>231</v>
      </c>
    </row>
    <row r="82" spans="1:11" ht="15.75" hidden="1" customHeight="1" x14ac:dyDescent="0.35">
      <c r="A82" s="47" t="s">
        <v>172</v>
      </c>
      <c r="B82" s="48" t="s">
        <v>291</v>
      </c>
      <c r="C82" s="49" t="s">
        <v>315</v>
      </c>
      <c r="D82" s="50"/>
      <c r="E82" s="51">
        <v>35866400</v>
      </c>
      <c r="F82" s="52">
        <f t="shared" si="19"/>
        <v>2869312</v>
      </c>
      <c r="G82" s="53">
        <f t="shared" si="21"/>
        <v>38735712</v>
      </c>
      <c r="H82" s="54">
        <v>38735712</v>
      </c>
      <c r="I82" s="55">
        <f t="shared" si="20"/>
        <v>0</v>
      </c>
      <c r="J82" s="56">
        <v>45309</v>
      </c>
      <c r="K82" s="57" t="s">
        <v>231</v>
      </c>
    </row>
    <row r="83" spans="1:11" ht="15.75" hidden="1" customHeight="1" x14ac:dyDescent="0.35">
      <c r="A83" s="47" t="s">
        <v>156</v>
      </c>
      <c r="B83" s="48" t="s">
        <v>291</v>
      </c>
      <c r="C83" s="49" t="s">
        <v>316</v>
      </c>
      <c r="D83" s="50"/>
      <c r="E83" s="51">
        <v>35866400</v>
      </c>
      <c r="F83" s="52">
        <f t="shared" si="19"/>
        <v>2869312</v>
      </c>
      <c r="G83" s="53">
        <f t="shared" si="21"/>
        <v>38735712</v>
      </c>
      <c r="H83" s="54">
        <v>38735712</v>
      </c>
      <c r="I83" s="55">
        <f t="shared" si="20"/>
        <v>0</v>
      </c>
      <c r="J83" s="56">
        <v>45309</v>
      </c>
      <c r="K83" s="57" t="s">
        <v>231</v>
      </c>
    </row>
    <row r="84" spans="1:11" ht="15.75" hidden="1" customHeight="1" x14ac:dyDescent="0.35">
      <c r="A84" s="47" t="s">
        <v>88</v>
      </c>
      <c r="B84" s="48" t="s">
        <v>291</v>
      </c>
      <c r="C84" s="50" t="s">
        <v>317</v>
      </c>
      <c r="D84" s="50"/>
      <c r="E84" s="51">
        <v>35866400</v>
      </c>
      <c r="F84" s="52">
        <f t="shared" si="19"/>
        <v>2869312</v>
      </c>
      <c r="G84" s="53">
        <f t="shared" si="21"/>
        <v>38735712</v>
      </c>
      <c r="H84" s="54">
        <v>38735712</v>
      </c>
      <c r="I84" s="55">
        <f t="shared" si="20"/>
        <v>0</v>
      </c>
      <c r="J84" s="56">
        <v>45309</v>
      </c>
      <c r="K84" s="57" t="s">
        <v>231</v>
      </c>
    </row>
    <row r="85" spans="1:11" ht="15.75" hidden="1" customHeight="1" x14ac:dyDescent="0.35">
      <c r="A85" s="47" t="s">
        <v>164</v>
      </c>
      <c r="B85" s="48">
        <v>45264</v>
      </c>
      <c r="C85" s="49" t="s">
        <v>318</v>
      </c>
      <c r="D85" s="50" t="s">
        <v>319</v>
      </c>
      <c r="E85" s="51">
        <v>30543600</v>
      </c>
      <c r="F85" s="52">
        <f t="shared" si="19"/>
        <v>2443488</v>
      </c>
      <c r="G85" s="53">
        <f t="shared" si="21"/>
        <v>32987088</v>
      </c>
      <c r="H85" s="54">
        <v>32987088</v>
      </c>
      <c r="I85" s="55">
        <f t="shared" si="20"/>
        <v>0</v>
      </c>
      <c r="J85" s="56">
        <v>45309</v>
      </c>
      <c r="K85" s="57" t="s">
        <v>231</v>
      </c>
    </row>
    <row r="86" spans="1:11" ht="15.75" hidden="1" customHeight="1" x14ac:dyDescent="0.35">
      <c r="A86" s="47" t="s">
        <v>32</v>
      </c>
      <c r="B86" s="48">
        <v>45265</v>
      </c>
      <c r="C86" s="50" t="s">
        <v>322</v>
      </c>
      <c r="D86" s="49" t="s">
        <v>323</v>
      </c>
      <c r="E86" s="51">
        <v>32346400</v>
      </c>
      <c r="F86" s="52">
        <f t="shared" si="19"/>
        <v>2587712</v>
      </c>
      <c r="G86" s="53">
        <f t="shared" si="21"/>
        <v>34934112</v>
      </c>
      <c r="H86" s="54">
        <v>34934112</v>
      </c>
      <c r="I86" s="55">
        <f t="shared" si="20"/>
        <v>0</v>
      </c>
      <c r="J86" s="56">
        <v>45341</v>
      </c>
      <c r="K86" s="57" t="s">
        <v>231</v>
      </c>
    </row>
    <row r="87" spans="1:11" ht="15.75" hidden="1" customHeight="1" x14ac:dyDescent="0.35">
      <c r="A87" s="47" t="s">
        <v>49</v>
      </c>
      <c r="B87" s="48" t="s">
        <v>291</v>
      </c>
      <c r="C87" s="49" t="s">
        <v>325</v>
      </c>
      <c r="D87" s="50"/>
      <c r="E87" s="51">
        <v>35866400</v>
      </c>
      <c r="F87" s="52">
        <f t="shared" si="19"/>
        <v>2869312</v>
      </c>
      <c r="G87" s="53">
        <f t="shared" si="21"/>
        <v>38735712</v>
      </c>
      <c r="H87" s="54">
        <v>38735712</v>
      </c>
      <c r="I87" s="55">
        <f t="shared" si="20"/>
        <v>0</v>
      </c>
      <c r="J87" s="56">
        <v>45309</v>
      </c>
      <c r="K87" s="57" t="s">
        <v>231</v>
      </c>
    </row>
    <row r="88" spans="1:11" ht="15.75" hidden="1" customHeight="1" x14ac:dyDescent="0.35">
      <c r="A88" s="47" t="s">
        <v>134</v>
      </c>
      <c r="B88" s="48">
        <v>45262</v>
      </c>
      <c r="C88" s="50" t="s">
        <v>326</v>
      </c>
      <c r="D88" s="49" t="s">
        <v>327</v>
      </c>
      <c r="E88" s="51">
        <v>34858000</v>
      </c>
      <c r="F88" s="52">
        <f t="shared" si="19"/>
        <v>2788640</v>
      </c>
      <c r="G88" s="53">
        <f t="shared" si="21"/>
        <v>37646640</v>
      </c>
      <c r="H88" s="54">
        <v>37646640</v>
      </c>
      <c r="I88" s="55">
        <f t="shared" si="20"/>
        <v>0</v>
      </c>
      <c r="J88" s="56">
        <v>45309</v>
      </c>
      <c r="K88" s="57" t="s">
        <v>231</v>
      </c>
    </row>
    <row r="89" spans="1:11" ht="15.75" hidden="1" customHeight="1" x14ac:dyDescent="0.35">
      <c r="A89" s="47" t="s">
        <v>45</v>
      </c>
      <c r="B89" s="48">
        <v>45261</v>
      </c>
      <c r="C89" s="50" t="s">
        <v>328</v>
      </c>
      <c r="D89" s="49" t="s">
        <v>329</v>
      </c>
      <c r="E89" s="51">
        <v>34150400</v>
      </c>
      <c r="F89" s="52">
        <f t="shared" si="19"/>
        <v>2732032</v>
      </c>
      <c r="G89" s="53">
        <f t="shared" si="21"/>
        <v>36882432</v>
      </c>
      <c r="H89" s="54">
        <v>36882432</v>
      </c>
      <c r="I89" s="55">
        <f t="shared" si="20"/>
        <v>0</v>
      </c>
      <c r="J89" s="56">
        <v>45341</v>
      </c>
      <c r="K89" s="57" t="s">
        <v>231</v>
      </c>
    </row>
    <row r="90" spans="1:11" ht="15.75" hidden="1" customHeight="1" x14ac:dyDescent="0.35">
      <c r="A90" s="47" t="s">
        <v>142</v>
      </c>
      <c r="B90" s="48" t="s">
        <v>291</v>
      </c>
      <c r="C90" s="49" t="s">
        <v>330</v>
      </c>
      <c r="D90" s="50"/>
      <c r="E90" s="51">
        <v>35866400</v>
      </c>
      <c r="F90" s="52">
        <f t="shared" ref="F90:F152" si="22">+E90*0.08</f>
        <v>2869312</v>
      </c>
      <c r="G90" s="53">
        <f t="shared" si="21"/>
        <v>38735712</v>
      </c>
      <c r="H90" s="54">
        <v>38735712</v>
      </c>
      <c r="I90" s="55">
        <f t="shared" si="20"/>
        <v>0</v>
      </c>
      <c r="J90" s="56">
        <v>45309</v>
      </c>
      <c r="K90" s="57" t="s">
        <v>231</v>
      </c>
    </row>
    <row r="91" spans="1:11" ht="15.75" hidden="1" customHeight="1" x14ac:dyDescent="0.35">
      <c r="A91" s="47" t="s">
        <v>104</v>
      </c>
      <c r="B91" s="48" t="s">
        <v>291</v>
      </c>
      <c r="C91" s="49" t="s">
        <v>331</v>
      </c>
      <c r="D91" s="50"/>
      <c r="E91" s="51">
        <v>35866400</v>
      </c>
      <c r="F91" s="52">
        <f t="shared" si="22"/>
        <v>2869312</v>
      </c>
      <c r="G91" s="53">
        <f t="shared" si="21"/>
        <v>38735712</v>
      </c>
      <c r="H91" s="54">
        <v>38735712</v>
      </c>
      <c r="I91" s="55">
        <f t="shared" si="20"/>
        <v>0</v>
      </c>
      <c r="J91" s="56">
        <v>45309</v>
      </c>
      <c r="K91" s="57" t="s">
        <v>231</v>
      </c>
    </row>
    <row r="92" spans="1:11" ht="15.75" hidden="1" customHeight="1" x14ac:dyDescent="0.35">
      <c r="A92" s="47" t="s">
        <v>100</v>
      </c>
      <c r="B92" s="48" t="s">
        <v>291</v>
      </c>
      <c r="C92" s="49" t="s">
        <v>332</v>
      </c>
      <c r="D92" s="50"/>
      <c r="E92" s="51">
        <v>35866400</v>
      </c>
      <c r="F92" s="52">
        <f t="shared" si="22"/>
        <v>2869312</v>
      </c>
      <c r="G92" s="53">
        <f t="shared" si="21"/>
        <v>38735712</v>
      </c>
      <c r="H92" s="54">
        <v>38735712</v>
      </c>
      <c r="I92" s="55">
        <f t="shared" si="20"/>
        <v>0</v>
      </c>
      <c r="J92" s="56">
        <v>45309</v>
      </c>
      <c r="K92" s="57" t="s">
        <v>231</v>
      </c>
    </row>
    <row r="93" spans="1:11" ht="15.75" hidden="1" customHeight="1" x14ac:dyDescent="0.35">
      <c r="A93" s="47" t="s">
        <v>31</v>
      </c>
      <c r="B93" s="48">
        <v>45261</v>
      </c>
      <c r="C93" s="50" t="s">
        <v>333</v>
      </c>
      <c r="D93" s="49" t="s">
        <v>334</v>
      </c>
      <c r="E93" s="51">
        <v>35646400</v>
      </c>
      <c r="F93" s="52">
        <f t="shared" si="22"/>
        <v>2851712</v>
      </c>
      <c r="G93" s="53">
        <f t="shared" si="21"/>
        <v>38498112</v>
      </c>
      <c r="H93" s="54">
        <v>38498112</v>
      </c>
      <c r="I93" s="55">
        <f t="shared" si="20"/>
        <v>0</v>
      </c>
      <c r="J93" s="56">
        <v>45309</v>
      </c>
      <c r="K93" s="57" t="s">
        <v>231</v>
      </c>
    </row>
    <row r="94" spans="1:11" ht="15.75" hidden="1" customHeight="1" x14ac:dyDescent="0.35">
      <c r="A94" s="47" t="s">
        <v>43</v>
      </c>
      <c r="B94" s="48" t="s">
        <v>335</v>
      </c>
      <c r="C94" s="49" t="s">
        <v>336</v>
      </c>
      <c r="D94" s="50"/>
      <c r="E94" s="51">
        <v>18694400</v>
      </c>
      <c r="F94" s="52">
        <f t="shared" si="22"/>
        <v>1495552</v>
      </c>
      <c r="G94" s="53">
        <f t="shared" si="21"/>
        <v>20189952</v>
      </c>
      <c r="H94" s="54">
        <v>20189952</v>
      </c>
      <c r="I94" s="55">
        <f t="shared" si="20"/>
        <v>0</v>
      </c>
      <c r="J94" s="56">
        <v>45309</v>
      </c>
      <c r="K94" s="57" t="s">
        <v>231</v>
      </c>
    </row>
    <row r="95" spans="1:11" ht="15.75" hidden="1" customHeight="1" x14ac:dyDescent="0.35">
      <c r="A95" s="47" t="s">
        <v>53</v>
      </c>
      <c r="B95" s="48" t="s">
        <v>337</v>
      </c>
      <c r="C95" s="49" t="s">
        <v>338</v>
      </c>
      <c r="D95" s="50"/>
      <c r="E95" s="51">
        <v>93596000</v>
      </c>
      <c r="F95" s="52">
        <f t="shared" si="22"/>
        <v>7487680</v>
      </c>
      <c r="G95" s="53">
        <f t="shared" si="21"/>
        <v>101083680</v>
      </c>
      <c r="H95" s="54">
        <v>101083680</v>
      </c>
      <c r="I95" s="55">
        <f t="shared" si="20"/>
        <v>0</v>
      </c>
      <c r="J95" s="56">
        <v>45309</v>
      </c>
      <c r="K95" s="57" t="s">
        <v>231</v>
      </c>
    </row>
    <row r="96" spans="1:11" ht="15.75" hidden="1" customHeight="1" x14ac:dyDescent="0.35">
      <c r="A96" s="47" t="s">
        <v>339</v>
      </c>
      <c r="B96" s="48" t="s">
        <v>337</v>
      </c>
      <c r="C96" s="49" t="s">
        <v>340</v>
      </c>
      <c r="D96" s="50"/>
      <c r="E96" s="51">
        <v>18870400</v>
      </c>
      <c r="F96" s="52">
        <f t="shared" si="22"/>
        <v>1509632</v>
      </c>
      <c r="G96" s="53">
        <f t="shared" si="21"/>
        <v>20380032</v>
      </c>
      <c r="H96" s="54">
        <v>20380032</v>
      </c>
      <c r="I96" s="55">
        <f t="shared" si="20"/>
        <v>0</v>
      </c>
      <c r="J96" s="56">
        <v>45309</v>
      </c>
      <c r="K96" s="57" t="s">
        <v>231</v>
      </c>
    </row>
    <row r="97" spans="1:11" ht="15.75" hidden="1" customHeight="1" x14ac:dyDescent="0.35">
      <c r="A97" s="47" t="s">
        <v>341</v>
      </c>
      <c r="B97" s="48">
        <v>45285</v>
      </c>
      <c r="C97" s="49" t="s">
        <v>342</v>
      </c>
      <c r="D97" s="50" t="s">
        <v>343</v>
      </c>
      <c r="E97" s="51">
        <v>21139400</v>
      </c>
      <c r="F97" s="52">
        <f t="shared" si="22"/>
        <v>1691152</v>
      </c>
      <c r="G97" s="53">
        <f t="shared" si="21"/>
        <v>22830552</v>
      </c>
      <c r="H97" s="54">
        <v>22830552</v>
      </c>
      <c r="I97" s="55">
        <f t="shared" si="20"/>
        <v>0</v>
      </c>
      <c r="J97" s="56">
        <v>45309</v>
      </c>
      <c r="K97" s="57"/>
    </row>
    <row r="98" spans="1:11" ht="15.75" hidden="1" customHeight="1" x14ac:dyDescent="0.35">
      <c r="A98" s="47" t="s">
        <v>183</v>
      </c>
      <c r="B98" s="48">
        <v>45267</v>
      </c>
      <c r="C98" s="49" t="s">
        <v>344</v>
      </c>
      <c r="D98" s="50" t="s">
        <v>345</v>
      </c>
      <c r="E98" s="51">
        <v>18460400</v>
      </c>
      <c r="F98" s="52">
        <f t="shared" si="22"/>
        <v>1476832</v>
      </c>
      <c r="G98" s="53">
        <f t="shared" si="21"/>
        <v>19937232</v>
      </c>
      <c r="H98" s="54">
        <v>19937232</v>
      </c>
      <c r="I98" s="55">
        <f t="shared" si="20"/>
        <v>0</v>
      </c>
      <c r="J98" s="56">
        <v>45309</v>
      </c>
      <c r="K98" s="57" t="s">
        <v>231</v>
      </c>
    </row>
    <row r="99" spans="1:11" ht="15.75" hidden="1" customHeight="1" x14ac:dyDescent="0.35">
      <c r="A99" s="47" t="s">
        <v>44</v>
      </c>
      <c r="B99" s="48" t="s">
        <v>346</v>
      </c>
      <c r="C99" s="50" t="s">
        <v>347</v>
      </c>
      <c r="D99" s="50"/>
      <c r="E99" s="51">
        <v>520000</v>
      </c>
      <c r="F99" s="52">
        <f t="shared" si="22"/>
        <v>41600</v>
      </c>
      <c r="G99" s="53">
        <f t="shared" si="21"/>
        <v>561600</v>
      </c>
      <c r="H99" s="54">
        <v>561600</v>
      </c>
      <c r="I99" s="55">
        <f t="shared" si="20"/>
        <v>0</v>
      </c>
      <c r="J99" s="56">
        <v>45309</v>
      </c>
      <c r="K99" s="57" t="s">
        <v>231</v>
      </c>
    </row>
    <row r="100" spans="1:11" ht="15.75" hidden="1" customHeight="1" x14ac:dyDescent="0.35">
      <c r="A100" s="47" t="s">
        <v>24</v>
      </c>
      <c r="B100" s="48" t="s">
        <v>346</v>
      </c>
      <c r="C100" s="49" t="s">
        <v>348</v>
      </c>
      <c r="D100" s="50"/>
      <c r="E100" s="51">
        <v>2010000</v>
      </c>
      <c r="F100" s="52">
        <f t="shared" si="22"/>
        <v>160800</v>
      </c>
      <c r="G100" s="53">
        <f t="shared" si="21"/>
        <v>2170800</v>
      </c>
      <c r="H100" s="54">
        <v>2170800</v>
      </c>
      <c r="I100" s="55">
        <f t="shared" si="20"/>
        <v>0</v>
      </c>
      <c r="J100" s="56">
        <v>45309</v>
      </c>
      <c r="K100" s="57" t="s">
        <v>231</v>
      </c>
    </row>
    <row r="101" spans="1:11" ht="15.75" hidden="1" customHeight="1" x14ac:dyDescent="0.35">
      <c r="A101" s="47" t="s">
        <v>93</v>
      </c>
      <c r="B101" s="48" t="s">
        <v>346</v>
      </c>
      <c r="C101" s="49" t="s">
        <v>349</v>
      </c>
      <c r="D101" s="50"/>
      <c r="E101" s="51">
        <v>1040000</v>
      </c>
      <c r="F101" s="52">
        <f t="shared" si="22"/>
        <v>83200</v>
      </c>
      <c r="G101" s="53">
        <f t="shared" si="21"/>
        <v>1123200</v>
      </c>
      <c r="H101" s="54">
        <v>1123200</v>
      </c>
      <c r="I101" s="55">
        <f t="shared" si="20"/>
        <v>0</v>
      </c>
      <c r="J101" s="56">
        <v>45309</v>
      </c>
      <c r="K101" s="57" t="s">
        <v>231</v>
      </c>
    </row>
    <row r="102" spans="1:11" ht="15.75" hidden="1" customHeight="1" x14ac:dyDescent="0.35">
      <c r="A102" s="47" t="s">
        <v>350</v>
      </c>
      <c r="B102" s="48" t="s">
        <v>351</v>
      </c>
      <c r="C102" s="49" t="s">
        <v>352</v>
      </c>
      <c r="D102" s="50"/>
      <c r="E102" s="51">
        <v>35866400</v>
      </c>
      <c r="F102" s="52">
        <f t="shared" si="22"/>
        <v>2869312</v>
      </c>
      <c r="G102" s="53">
        <f t="shared" si="21"/>
        <v>38735712</v>
      </c>
      <c r="H102" s="54">
        <v>38735712</v>
      </c>
      <c r="I102" s="55">
        <f t="shared" si="20"/>
        <v>0</v>
      </c>
      <c r="J102" s="56">
        <v>45309</v>
      </c>
      <c r="K102" s="57" t="s">
        <v>231</v>
      </c>
    </row>
    <row r="103" spans="1:11" ht="15.75" hidden="1" customHeight="1" x14ac:dyDescent="0.35">
      <c r="A103" s="47" t="s">
        <v>353</v>
      </c>
      <c r="B103" s="48" t="s">
        <v>351</v>
      </c>
      <c r="C103" s="49" t="s">
        <v>354</v>
      </c>
      <c r="D103" s="50"/>
      <c r="E103" s="51">
        <v>35866400</v>
      </c>
      <c r="F103" s="52">
        <f t="shared" si="22"/>
        <v>2869312</v>
      </c>
      <c r="G103" s="53">
        <f t="shared" si="21"/>
        <v>38735712</v>
      </c>
      <c r="H103" s="54">
        <v>38735712</v>
      </c>
      <c r="I103" s="55">
        <f t="shared" si="20"/>
        <v>0</v>
      </c>
      <c r="J103" s="56">
        <v>45341</v>
      </c>
      <c r="K103" s="57" t="s">
        <v>231</v>
      </c>
    </row>
    <row r="104" spans="1:11" ht="15.75" hidden="1" customHeight="1" x14ac:dyDescent="0.35">
      <c r="A104" s="47" t="s">
        <v>126</v>
      </c>
      <c r="B104" s="48" t="s">
        <v>351</v>
      </c>
      <c r="C104" s="49" t="s">
        <v>355</v>
      </c>
      <c r="D104" s="50"/>
      <c r="E104" s="51">
        <v>46144000</v>
      </c>
      <c r="F104" s="52">
        <f t="shared" si="22"/>
        <v>3691520</v>
      </c>
      <c r="G104" s="53">
        <f t="shared" si="21"/>
        <v>49835520</v>
      </c>
      <c r="H104" s="54">
        <v>49835520</v>
      </c>
      <c r="I104" s="55">
        <f t="shared" si="20"/>
        <v>0</v>
      </c>
      <c r="J104" s="56">
        <v>45341</v>
      </c>
      <c r="K104" s="57" t="s">
        <v>231</v>
      </c>
    </row>
    <row r="105" spans="1:11" ht="15.75" hidden="1" customHeight="1" x14ac:dyDescent="0.35">
      <c r="A105" s="47" t="s">
        <v>52</v>
      </c>
      <c r="B105" s="48" t="s">
        <v>356</v>
      </c>
      <c r="C105" s="49" t="s">
        <v>357</v>
      </c>
      <c r="D105" s="50"/>
      <c r="E105" s="51">
        <v>520000</v>
      </c>
      <c r="F105" s="52">
        <f t="shared" si="22"/>
        <v>41600</v>
      </c>
      <c r="G105" s="53">
        <f t="shared" si="21"/>
        <v>561600</v>
      </c>
      <c r="H105" s="54">
        <v>561600</v>
      </c>
      <c r="I105" s="55">
        <f t="shared" si="20"/>
        <v>0</v>
      </c>
      <c r="J105" s="56">
        <v>45309</v>
      </c>
      <c r="K105" s="57" t="s">
        <v>231</v>
      </c>
    </row>
    <row r="106" spans="1:11" ht="15.75" hidden="1" customHeight="1" x14ac:dyDescent="0.35">
      <c r="A106" s="47" t="s">
        <v>19</v>
      </c>
      <c r="B106" s="48" t="s">
        <v>358</v>
      </c>
      <c r="C106" s="50" t="s">
        <v>359</v>
      </c>
      <c r="D106" s="50"/>
      <c r="E106" s="51">
        <v>2045000</v>
      </c>
      <c r="F106" s="52">
        <f t="shared" si="22"/>
        <v>163600</v>
      </c>
      <c r="G106" s="53">
        <f t="shared" si="21"/>
        <v>2208600</v>
      </c>
      <c r="H106" s="54">
        <v>2208600</v>
      </c>
      <c r="I106" s="55">
        <f t="shared" si="20"/>
        <v>0</v>
      </c>
      <c r="J106" s="56">
        <v>45309</v>
      </c>
      <c r="K106" s="57" t="s">
        <v>231</v>
      </c>
    </row>
    <row r="107" spans="1:11" ht="15.75" hidden="1" customHeight="1" x14ac:dyDescent="0.35">
      <c r="A107" s="47" t="s">
        <v>168</v>
      </c>
      <c r="B107" s="48" t="s">
        <v>358</v>
      </c>
      <c r="C107" s="49" t="s">
        <v>360</v>
      </c>
      <c r="D107" s="50"/>
      <c r="E107" s="51">
        <v>21098000</v>
      </c>
      <c r="F107" s="52">
        <f t="shared" si="22"/>
        <v>1687840</v>
      </c>
      <c r="G107" s="53">
        <f t="shared" si="21"/>
        <v>22785840</v>
      </c>
      <c r="H107" s="54">
        <v>22785840</v>
      </c>
      <c r="I107" s="55">
        <f t="shared" si="20"/>
        <v>0</v>
      </c>
      <c r="J107" s="56">
        <v>45309</v>
      </c>
      <c r="K107" s="57" t="s">
        <v>231</v>
      </c>
    </row>
    <row r="108" spans="1:11" ht="15.75" hidden="1" customHeight="1" x14ac:dyDescent="0.35">
      <c r="A108" s="47" t="s">
        <v>24</v>
      </c>
      <c r="B108" s="48" t="s">
        <v>358</v>
      </c>
      <c r="C108" s="49" t="s">
        <v>361</v>
      </c>
      <c r="D108" s="50"/>
      <c r="E108" s="51">
        <v>75082800</v>
      </c>
      <c r="F108" s="52">
        <f t="shared" si="22"/>
        <v>6006624</v>
      </c>
      <c r="G108" s="53">
        <f t="shared" si="21"/>
        <v>81089424</v>
      </c>
      <c r="H108" s="54">
        <v>81089424</v>
      </c>
      <c r="I108" s="55">
        <f t="shared" si="20"/>
        <v>0</v>
      </c>
      <c r="J108" s="56">
        <v>45309</v>
      </c>
      <c r="K108" s="57" t="s">
        <v>231</v>
      </c>
    </row>
    <row r="109" spans="1:11" ht="15.75" hidden="1" customHeight="1" x14ac:dyDescent="0.35">
      <c r="A109" s="47" t="s">
        <v>47</v>
      </c>
      <c r="B109" s="48" t="s">
        <v>362</v>
      </c>
      <c r="C109" s="49" t="s">
        <v>363</v>
      </c>
      <c r="D109" s="50"/>
      <c r="E109" s="51">
        <v>1040000</v>
      </c>
      <c r="F109" s="52">
        <f t="shared" si="22"/>
        <v>83200</v>
      </c>
      <c r="G109" s="53">
        <f t="shared" si="21"/>
        <v>1123200</v>
      </c>
      <c r="H109" s="54">
        <v>1123200</v>
      </c>
      <c r="I109" s="55">
        <f t="shared" ref="I109:I172" si="23">G109-H109</f>
        <v>0</v>
      </c>
      <c r="J109" s="56">
        <v>45309</v>
      </c>
      <c r="K109" s="57" t="s">
        <v>231</v>
      </c>
    </row>
    <row r="110" spans="1:11" ht="15.75" hidden="1" customHeight="1" x14ac:dyDescent="0.35">
      <c r="A110" s="47" t="s">
        <v>105</v>
      </c>
      <c r="B110" s="48" t="s">
        <v>364</v>
      </c>
      <c r="C110" s="49" t="s">
        <v>365</v>
      </c>
      <c r="D110" s="50"/>
      <c r="E110" s="51">
        <v>175240000</v>
      </c>
      <c r="F110" s="52">
        <f t="shared" si="22"/>
        <v>14019200</v>
      </c>
      <c r="G110" s="53">
        <f t="shared" ref="G110:G173" si="24">E110+F110</f>
        <v>189259200</v>
      </c>
      <c r="H110" s="54">
        <v>189259200</v>
      </c>
      <c r="I110" s="55">
        <f t="shared" si="23"/>
        <v>0</v>
      </c>
      <c r="J110" s="56">
        <v>45341</v>
      </c>
      <c r="K110" s="57" t="s">
        <v>231</v>
      </c>
    </row>
    <row r="111" spans="1:11" ht="15.75" hidden="1" customHeight="1" x14ac:dyDescent="0.35">
      <c r="A111" s="47" t="s">
        <v>366</v>
      </c>
      <c r="B111" s="48" t="s">
        <v>364</v>
      </c>
      <c r="C111" s="49" t="s">
        <v>367</v>
      </c>
      <c r="D111" s="50"/>
      <c r="E111" s="51">
        <v>35587800</v>
      </c>
      <c r="F111" s="52">
        <f t="shared" si="22"/>
        <v>2847024</v>
      </c>
      <c r="G111" s="53">
        <f t="shared" si="24"/>
        <v>38434824</v>
      </c>
      <c r="H111" s="54">
        <v>38434824</v>
      </c>
      <c r="I111" s="55">
        <f t="shared" si="23"/>
        <v>0</v>
      </c>
      <c r="J111" s="56">
        <v>45309</v>
      </c>
      <c r="K111" s="57" t="s">
        <v>231</v>
      </c>
    </row>
    <row r="112" spans="1:11" ht="15.75" hidden="1" customHeight="1" x14ac:dyDescent="0.35">
      <c r="A112" s="47" t="s">
        <v>127</v>
      </c>
      <c r="B112" s="48" t="s">
        <v>368</v>
      </c>
      <c r="C112" s="50" t="s">
        <v>369</v>
      </c>
      <c r="D112" s="50"/>
      <c r="E112" s="51">
        <v>2045000</v>
      </c>
      <c r="F112" s="52">
        <f t="shared" si="22"/>
        <v>163600</v>
      </c>
      <c r="G112" s="53">
        <f t="shared" si="24"/>
        <v>2208600</v>
      </c>
      <c r="H112" s="54">
        <v>2208600</v>
      </c>
      <c r="I112" s="55">
        <f t="shared" si="23"/>
        <v>0</v>
      </c>
      <c r="J112" s="56">
        <v>45309</v>
      </c>
      <c r="K112" s="57" t="s">
        <v>231</v>
      </c>
    </row>
    <row r="113" spans="1:11" ht="15.75" hidden="1" customHeight="1" x14ac:dyDescent="0.35">
      <c r="A113" s="47" t="s">
        <v>21</v>
      </c>
      <c r="B113" s="48" t="s">
        <v>368</v>
      </c>
      <c r="C113" s="50" t="s">
        <v>370</v>
      </c>
      <c r="D113" s="50"/>
      <c r="E113" s="51">
        <v>3765000</v>
      </c>
      <c r="F113" s="52">
        <f t="shared" si="22"/>
        <v>301200</v>
      </c>
      <c r="G113" s="53">
        <f t="shared" si="24"/>
        <v>4066200</v>
      </c>
      <c r="H113" s="54">
        <v>4066200</v>
      </c>
      <c r="I113" s="55">
        <f t="shared" si="23"/>
        <v>0</v>
      </c>
      <c r="J113" s="56">
        <v>45309</v>
      </c>
      <c r="K113" s="57" t="s">
        <v>231</v>
      </c>
    </row>
    <row r="114" spans="1:11" ht="15.75" hidden="1" customHeight="1" x14ac:dyDescent="0.35">
      <c r="A114" s="47" t="s">
        <v>20</v>
      </c>
      <c r="B114" s="48" t="s">
        <v>368</v>
      </c>
      <c r="C114" s="49" t="s">
        <v>371</v>
      </c>
      <c r="D114" s="50"/>
      <c r="E114" s="51">
        <v>1040000</v>
      </c>
      <c r="F114" s="52">
        <f t="shared" si="22"/>
        <v>83200</v>
      </c>
      <c r="G114" s="53">
        <f t="shared" si="24"/>
        <v>1123200</v>
      </c>
      <c r="H114" s="54">
        <v>1123200</v>
      </c>
      <c r="I114" s="55">
        <f t="shared" si="23"/>
        <v>0</v>
      </c>
      <c r="J114" s="56">
        <v>45309</v>
      </c>
      <c r="K114" s="57" t="s">
        <v>231</v>
      </c>
    </row>
    <row r="115" spans="1:11" ht="15.75" hidden="1" customHeight="1" x14ac:dyDescent="0.35">
      <c r="A115" s="47" t="s">
        <v>117</v>
      </c>
      <c r="B115" s="48" t="s">
        <v>368</v>
      </c>
      <c r="C115" s="49" t="s">
        <v>372</v>
      </c>
      <c r="D115" s="50"/>
      <c r="E115" s="51">
        <v>3337200</v>
      </c>
      <c r="F115" s="52">
        <f t="shared" si="22"/>
        <v>266976</v>
      </c>
      <c r="G115" s="53">
        <f t="shared" si="24"/>
        <v>3604176</v>
      </c>
      <c r="H115" s="54">
        <v>3604176</v>
      </c>
      <c r="I115" s="55">
        <f t="shared" si="23"/>
        <v>0</v>
      </c>
      <c r="J115" s="56">
        <v>45309</v>
      </c>
      <c r="K115" s="57" t="s">
        <v>231</v>
      </c>
    </row>
    <row r="116" spans="1:11" ht="15.75" hidden="1" customHeight="1" x14ac:dyDescent="0.35">
      <c r="A116" s="47" t="s">
        <v>78</v>
      </c>
      <c r="B116" s="48" t="s">
        <v>373</v>
      </c>
      <c r="C116" s="49" t="s">
        <v>374</v>
      </c>
      <c r="D116" s="50"/>
      <c r="E116" s="51">
        <v>28330000</v>
      </c>
      <c r="F116" s="52">
        <f t="shared" si="22"/>
        <v>2266400</v>
      </c>
      <c r="G116" s="53">
        <f t="shared" si="24"/>
        <v>30596400</v>
      </c>
      <c r="H116" s="54">
        <v>30596400</v>
      </c>
      <c r="I116" s="55">
        <f t="shared" si="23"/>
        <v>0</v>
      </c>
      <c r="J116" s="56">
        <v>45341</v>
      </c>
      <c r="K116" s="57" t="s">
        <v>231</v>
      </c>
    </row>
    <row r="117" spans="1:11" ht="15.75" hidden="1" customHeight="1" x14ac:dyDescent="0.35">
      <c r="A117" s="47" t="s">
        <v>55</v>
      </c>
      <c r="B117" s="48" t="s">
        <v>373</v>
      </c>
      <c r="C117" s="50" t="s">
        <v>375</v>
      </c>
      <c r="D117" s="50"/>
      <c r="E117" s="51">
        <v>94794800</v>
      </c>
      <c r="F117" s="52">
        <f>+E117*0.08</f>
        <v>7583584</v>
      </c>
      <c r="G117" s="53">
        <f t="shared" si="24"/>
        <v>102378384</v>
      </c>
      <c r="H117" s="54">
        <v>102378384</v>
      </c>
      <c r="I117" s="55">
        <f t="shared" si="23"/>
        <v>0</v>
      </c>
      <c r="J117" s="56">
        <v>45341</v>
      </c>
      <c r="K117" s="57" t="s">
        <v>231</v>
      </c>
    </row>
    <row r="118" spans="1:11" ht="15.75" hidden="1" customHeight="1" x14ac:dyDescent="0.35">
      <c r="A118" s="47" t="s">
        <v>126</v>
      </c>
      <c r="B118" s="48" t="s">
        <v>376</v>
      </c>
      <c r="C118" s="49" t="s">
        <v>377</v>
      </c>
      <c r="D118" s="50"/>
      <c r="E118" s="51">
        <v>1040000</v>
      </c>
      <c r="F118" s="52">
        <f t="shared" si="22"/>
        <v>83200</v>
      </c>
      <c r="G118" s="53">
        <f t="shared" si="24"/>
        <v>1123200</v>
      </c>
      <c r="H118" s="54">
        <v>1123200</v>
      </c>
      <c r="I118" s="55">
        <f t="shared" si="23"/>
        <v>0</v>
      </c>
      <c r="J118" s="56">
        <v>45341</v>
      </c>
      <c r="K118" s="57" t="s">
        <v>231</v>
      </c>
    </row>
    <row r="119" spans="1:11" ht="15.75" hidden="1" customHeight="1" x14ac:dyDescent="0.35">
      <c r="A119" s="47" t="s">
        <v>87</v>
      </c>
      <c r="B119" s="48">
        <v>45288</v>
      </c>
      <c r="C119" s="49" t="s">
        <v>378</v>
      </c>
      <c r="D119" s="50" t="s">
        <v>379</v>
      </c>
      <c r="E119" s="51">
        <v>87695200</v>
      </c>
      <c r="F119" s="52">
        <f t="shared" si="22"/>
        <v>7015616</v>
      </c>
      <c r="G119" s="53">
        <f t="shared" si="24"/>
        <v>94710816</v>
      </c>
      <c r="H119" s="54">
        <v>94710816</v>
      </c>
      <c r="I119" s="55">
        <f t="shared" si="23"/>
        <v>0</v>
      </c>
      <c r="J119" s="56">
        <v>45341</v>
      </c>
      <c r="K119" s="57"/>
    </row>
    <row r="120" spans="1:11" ht="15.75" hidden="1" customHeight="1" x14ac:dyDescent="0.35">
      <c r="A120" s="47" t="s">
        <v>380</v>
      </c>
      <c r="B120" s="48" t="s">
        <v>381</v>
      </c>
      <c r="C120" s="49" t="s">
        <v>382</v>
      </c>
      <c r="D120" s="50"/>
      <c r="E120" s="51">
        <v>9248000</v>
      </c>
      <c r="F120" s="52">
        <f t="shared" si="22"/>
        <v>739840</v>
      </c>
      <c r="G120" s="53">
        <f t="shared" si="24"/>
        <v>9987840</v>
      </c>
      <c r="H120" s="54">
        <v>9987840</v>
      </c>
      <c r="I120" s="55">
        <f t="shared" si="23"/>
        <v>0</v>
      </c>
      <c r="J120" s="56">
        <v>45309</v>
      </c>
      <c r="K120" s="57" t="s">
        <v>231</v>
      </c>
    </row>
    <row r="121" spans="1:11" ht="15.75" hidden="1" customHeight="1" x14ac:dyDescent="0.35">
      <c r="A121" s="47" t="s">
        <v>16</v>
      </c>
      <c r="B121" s="48" t="s">
        <v>383</v>
      </c>
      <c r="C121" s="49" t="s">
        <v>384</v>
      </c>
      <c r="D121" s="50"/>
      <c r="E121" s="51">
        <v>1022500</v>
      </c>
      <c r="F121" s="52">
        <f t="shared" si="22"/>
        <v>81800</v>
      </c>
      <c r="G121" s="53">
        <f t="shared" si="24"/>
        <v>1104300</v>
      </c>
      <c r="H121" s="54">
        <v>1104300</v>
      </c>
      <c r="I121" s="55">
        <f t="shared" si="23"/>
        <v>0</v>
      </c>
      <c r="J121" s="56">
        <v>45309</v>
      </c>
      <c r="K121" s="57" t="s">
        <v>231</v>
      </c>
    </row>
    <row r="122" spans="1:11" ht="15.75" hidden="1" customHeight="1" x14ac:dyDescent="0.35">
      <c r="A122" s="47" t="s">
        <v>54</v>
      </c>
      <c r="B122" s="48" t="s">
        <v>383</v>
      </c>
      <c r="C122" s="49" t="s">
        <v>385</v>
      </c>
      <c r="D122" s="50"/>
      <c r="E122" s="51">
        <v>1005000</v>
      </c>
      <c r="F122" s="52">
        <f t="shared" si="22"/>
        <v>80400</v>
      </c>
      <c r="G122" s="53">
        <f t="shared" si="24"/>
        <v>1085400</v>
      </c>
      <c r="H122" s="54">
        <v>1085400</v>
      </c>
      <c r="I122" s="55">
        <f t="shared" si="23"/>
        <v>0</v>
      </c>
      <c r="J122" s="56">
        <v>45309</v>
      </c>
      <c r="K122" s="57" t="s">
        <v>231</v>
      </c>
    </row>
    <row r="123" spans="1:11" ht="15.75" hidden="1" customHeight="1" x14ac:dyDescent="0.35">
      <c r="A123" s="47" t="s">
        <v>49</v>
      </c>
      <c r="B123" s="48" t="s">
        <v>383</v>
      </c>
      <c r="C123" s="49" t="s">
        <v>386</v>
      </c>
      <c r="D123" s="50"/>
      <c r="E123" s="51">
        <v>99152000</v>
      </c>
      <c r="F123" s="52">
        <f t="shared" si="22"/>
        <v>7932160</v>
      </c>
      <c r="G123" s="53">
        <f t="shared" si="24"/>
        <v>107084160</v>
      </c>
      <c r="H123" s="54">
        <v>107084160</v>
      </c>
      <c r="I123" s="55">
        <f t="shared" si="23"/>
        <v>0</v>
      </c>
      <c r="J123" s="56">
        <v>45341</v>
      </c>
      <c r="K123" s="57" t="s">
        <v>231</v>
      </c>
    </row>
    <row r="124" spans="1:11" ht="15.75" hidden="1" customHeight="1" x14ac:dyDescent="0.35">
      <c r="A124" s="47" t="s">
        <v>83</v>
      </c>
      <c r="B124" s="48" t="s">
        <v>383</v>
      </c>
      <c r="C124" s="49" t="s">
        <v>387</v>
      </c>
      <c r="D124" s="50"/>
      <c r="E124" s="51">
        <v>4980000</v>
      </c>
      <c r="F124" s="52">
        <f t="shared" si="22"/>
        <v>398400</v>
      </c>
      <c r="G124" s="53">
        <f t="shared" si="24"/>
        <v>5378400</v>
      </c>
      <c r="H124" s="54">
        <v>5378400</v>
      </c>
      <c r="I124" s="55">
        <f t="shared" si="23"/>
        <v>0</v>
      </c>
      <c r="J124" s="56">
        <v>45309</v>
      </c>
      <c r="K124" s="57" t="s">
        <v>231</v>
      </c>
    </row>
    <row r="125" spans="1:11" ht="15.75" hidden="1" customHeight="1" x14ac:dyDescent="0.35">
      <c r="A125" s="47" t="s">
        <v>83</v>
      </c>
      <c r="B125" s="48" t="s">
        <v>383</v>
      </c>
      <c r="C125" s="49" t="s">
        <v>388</v>
      </c>
      <c r="D125" s="50"/>
      <c r="E125" s="51">
        <v>1440000</v>
      </c>
      <c r="F125" s="52">
        <f t="shared" si="22"/>
        <v>115200</v>
      </c>
      <c r="G125" s="53">
        <f t="shared" si="24"/>
        <v>1555200</v>
      </c>
      <c r="H125" s="54">
        <v>1555200</v>
      </c>
      <c r="I125" s="55">
        <f t="shared" si="23"/>
        <v>0</v>
      </c>
      <c r="J125" s="56">
        <v>45309</v>
      </c>
      <c r="K125" s="57" t="s">
        <v>231</v>
      </c>
    </row>
    <row r="126" spans="1:11" ht="15.75" hidden="1" customHeight="1" x14ac:dyDescent="0.35">
      <c r="A126" s="47" t="s">
        <v>180</v>
      </c>
      <c r="B126" s="48" t="s">
        <v>389</v>
      </c>
      <c r="C126" s="49" t="s">
        <v>390</v>
      </c>
      <c r="D126" s="50"/>
      <c r="E126" s="51">
        <v>18334000</v>
      </c>
      <c r="F126" s="52">
        <f t="shared" si="22"/>
        <v>1466720</v>
      </c>
      <c r="G126" s="53">
        <f t="shared" si="24"/>
        <v>19800720</v>
      </c>
      <c r="H126" s="54">
        <v>19800720</v>
      </c>
      <c r="I126" s="55">
        <f t="shared" si="23"/>
        <v>0</v>
      </c>
      <c r="J126" s="56">
        <v>45309</v>
      </c>
      <c r="K126" s="57" t="s">
        <v>231</v>
      </c>
    </row>
    <row r="127" spans="1:11" ht="15.75" hidden="1" customHeight="1" x14ac:dyDescent="0.35">
      <c r="A127" s="47" t="s">
        <v>106</v>
      </c>
      <c r="B127" s="48" t="s">
        <v>389</v>
      </c>
      <c r="C127" s="49" t="s">
        <v>391</v>
      </c>
      <c r="D127" s="50"/>
      <c r="E127" s="51">
        <v>23256000</v>
      </c>
      <c r="F127" s="52">
        <f t="shared" si="22"/>
        <v>1860480</v>
      </c>
      <c r="G127" s="53">
        <f t="shared" si="24"/>
        <v>25116480</v>
      </c>
      <c r="H127" s="54">
        <v>25116480</v>
      </c>
      <c r="I127" s="55">
        <f t="shared" si="23"/>
        <v>0</v>
      </c>
      <c r="J127" s="56">
        <v>45309</v>
      </c>
      <c r="K127" s="57" t="s">
        <v>231</v>
      </c>
    </row>
    <row r="128" spans="1:11" ht="15.75" hidden="1" customHeight="1" x14ac:dyDescent="0.35">
      <c r="A128" s="47" t="s">
        <v>22</v>
      </c>
      <c r="B128" s="48">
        <v>45290</v>
      </c>
      <c r="C128" s="50" t="s">
        <v>392</v>
      </c>
      <c r="D128" s="50" t="s">
        <v>393</v>
      </c>
      <c r="E128" s="51">
        <v>17180000</v>
      </c>
      <c r="F128" s="52">
        <f t="shared" si="22"/>
        <v>1374400</v>
      </c>
      <c r="G128" s="53">
        <f t="shared" si="24"/>
        <v>18554400</v>
      </c>
      <c r="H128" s="54">
        <v>18554400</v>
      </c>
      <c r="I128" s="55">
        <f t="shared" si="23"/>
        <v>0</v>
      </c>
      <c r="J128" s="56">
        <v>45309</v>
      </c>
      <c r="K128" s="57"/>
    </row>
    <row r="129" spans="1:11" ht="15.75" hidden="1" customHeight="1" x14ac:dyDescent="0.35">
      <c r="A129" s="47" t="s">
        <v>114</v>
      </c>
      <c r="B129" s="48" t="s">
        <v>394</v>
      </c>
      <c r="C129" s="49" t="s">
        <v>395</v>
      </c>
      <c r="D129" s="50"/>
      <c r="E129" s="51">
        <v>44177600</v>
      </c>
      <c r="F129" s="52">
        <f t="shared" si="22"/>
        <v>3534208</v>
      </c>
      <c r="G129" s="53">
        <f t="shared" si="24"/>
        <v>47711808</v>
      </c>
      <c r="H129" s="54">
        <v>47711808</v>
      </c>
      <c r="I129" s="55">
        <f t="shared" si="23"/>
        <v>0</v>
      </c>
      <c r="J129" s="56">
        <v>45309</v>
      </c>
      <c r="K129" s="57" t="s">
        <v>231</v>
      </c>
    </row>
    <row r="130" spans="1:11" ht="15.75" hidden="1" customHeight="1" x14ac:dyDescent="0.35">
      <c r="A130" s="47" t="s">
        <v>153</v>
      </c>
      <c r="B130" s="48" t="s">
        <v>396</v>
      </c>
      <c r="C130" s="49" t="s">
        <v>397</v>
      </c>
      <c r="D130" s="50"/>
      <c r="E130" s="51">
        <v>25900000</v>
      </c>
      <c r="F130" s="52">
        <f t="shared" si="22"/>
        <v>2072000</v>
      </c>
      <c r="G130" s="53">
        <f t="shared" si="24"/>
        <v>27972000</v>
      </c>
      <c r="H130" s="54">
        <v>27972000</v>
      </c>
      <c r="I130" s="55">
        <f t="shared" si="23"/>
        <v>0</v>
      </c>
      <c r="J130" s="56">
        <v>45309</v>
      </c>
      <c r="K130" s="57" t="s">
        <v>231</v>
      </c>
    </row>
    <row r="131" spans="1:11" ht="15.75" hidden="1" customHeight="1" x14ac:dyDescent="0.35">
      <c r="A131" s="47" t="s">
        <v>54</v>
      </c>
      <c r="B131" s="48" t="s">
        <v>396</v>
      </c>
      <c r="C131" s="49" t="s">
        <v>398</v>
      </c>
      <c r="D131" s="50"/>
      <c r="E131" s="51">
        <v>1005000</v>
      </c>
      <c r="F131" s="52">
        <f t="shared" si="22"/>
        <v>80400</v>
      </c>
      <c r="G131" s="53">
        <f t="shared" si="24"/>
        <v>1085400</v>
      </c>
      <c r="H131" s="54">
        <v>1085400</v>
      </c>
      <c r="I131" s="55">
        <f t="shared" si="23"/>
        <v>0</v>
      </c>
      <c r="J131" s="56">
        <v>45309</v>
      </c>
      <c r="K131" s="57" t="s">
        <v>231</v>
      </c>
    </row>
    <row r="132" spans="1:11" ht="15.75" hidden="1" customHeight="1" x14ac:dyDescent="0.35">
      <c r="A132" s="47" t="s">
        <v>35</v>
      </c>
      <c r="B132" s="48" t="s">
        <v>399</v>
      </c>
      <c r="C132" s="50" t="s">
        <v>400</v>
      </c>
      <c r="D132" s="50"/>
      <c r="E132" s="51">
        <v>221812000</v>
      </c>
      <c r="F132" s="52">
        <f t="shared" si="22"/>
        <v>17744960</v>
      </c>
      <c r="G132" s="53">
        <f t="shared" si="24"/>
        <v>239556960</v>
      </c>
      <c r="H132" s="54">
        <v>239556960</v>
      </c>
      <c r="I132" s="55">
        <f t="shared" si="23"/>
        <v>0</v>
      </c>
      <c r="J132" s="56">
        <v>45309</v>
      </c>
      <c r="K132" s="57" t="s">
        <v>231</v>
      </c>
    </row>
    <row r="133" spans="1:11" ht="15.75" hidden="1" customHeight="1" x14ac:dyDescent="0.35">
      <c r="A133" s="47" t="s">
        <v>19</v>
      </c>
      <c r="B133" s="48" t="s">
        <v>399</v>
      </c>
      <c r="C133" s="49" t="s">
        <v>401</v>
      </c>
      <c r="D133" s="50"/>
      <c r="E133" s="51">
        <v>9360000</v>
      </c>
      <c r="F133" s="52">
        <f t="shared" si="22"/>
        <v>748800</v>
      </c>
      <c r="G133" s="53">
        <f t="shared" si="24"/>
        <v>10108800</v>
      </c>
      <c r="H133" s="54">
        <v>10108800</v>
      </c>
      <c r="I133" s="55">
        <f t="shared" si="23"/>
        <v>0</v>
      </c>
      <c r="J133" s="56">
        <v>45309</v>
      </c>
      <c r="K133" s="57" t="s">
        <v>231</v>
      </c>
    </row>
    <row r="134" spans="1:11" ht="15.75" hidden="1" customHeight="1" x14ac:dyDescent="0.35">
      <c r="A134" s="47" t="s">
        <v>16</v>
      </c>
      <c r="B134" s="48" t="s">
        <v>402</v>
      </c>
      <c r="C134" s="49" t="s">
        <v>403</v>
      </c>
      <c r="D134" s="50"/>
      <c r="E134" s="51">
        <v>1022500</v>
      </c>
      <c r="F134" s="52">
        <f t="shared" si="22"/>
        <v>81800</v>
      </c>
      <c r="G134" s="53">
        <f t="shared" si="24"/>
        <v>1104300</v>
      </c>
      <c r="H134" s="54">
        <v>1104300</v>
      </c>
      <c r="I134" s="55">
        <f t="shared" si="23"/>
        <v>0</v>
      </c>
      <c r="J134" s="56">
        <v>45309</v>
      </c>
      <c r="K134" s="57" t="s">
        <v>231</v>
      </c>
    </row>
    <row r="135" spans="1:11" ht="15.75" hidden="1" customHeight="1" x14ac:dyDescent="0.35">
      <c r="A135" s="47" t="s">
        <v>117</v>
      </c>
      <c r="B135" s="48" t="s">
        <v>402</v>
      </c>
      <c r="C135" s="49" t="s">
        <v>404</v>
      </c>
      <c r="D135" s="50"/>
      <c r="E135" s="51">
        <v>4896000</v>
      </c>
      <c r="F135" s="52">
        <f t="shared" si="22"/>
        <v>391680</v>
      </c>
      <c r="G135" s="53">
        <f t="shared" si="24"/>
        <v>5287680</v>
      </c>
      <c r="H135" s="54">
        <v>5287680</v>
      </c>
      <c r="I135" s="55">
        <f t="shared" si="23"/>
        <v>0</v>
      </c>
      <c r="J135" s="56">
        <v>45309</v>
      </c>
      <c r="K135" s="57" t="s">
        <v>231</v>
      </c>
    </row>
    <row r="136" spans="1:11" ht="15.75" hidden="1" customHeight="1" x14ac:dyDescent="0.35">
      <c r="A136" s="47" t="s">
        <v>70</v>
      </c>
      <c r="B136" s="48" t="s">
        <v>402</v>
      </c>
      <c r="C136" s="49" t="s">
        <v>405</v>
      </c>
      <c r="D136" s="50"/>
      <c r="E136" s="51">
        <v>520000</v>
      </c>
      <c r="F136" s="52">
        <f t="shared" si="22"/>
        <v>41600</v>
      </c>
      <c r="G136" s="53">
        <f t="shared" si="24"/>
        <v>561600</v>
      </c>
      <c r="H136" s="54">
        <v>561600</v>
      </c>
      <c r="I136" s="55">
        <f t="shared" si="23"/>
        <v>0</v>
      </c>
      <c r="J136" s="56">
        <v>45341</v>
      </c>
      <c r="K136" s="57" t="s">
        <v>231</v>
      </c>
    </row>
    <row r="137" spans="1:11" ht="15.75" hidden="1" customHeight="1" x14ac:dyDescent="0.35">
      <c r="A137" s="47" t="s">
        <v>30</v>
      </c>
      <c r="B137" s="48" t="s">
        <v>402</v>
      </c>
      <c r="C137" s="49" t="s">
        <v>406</v>
      </c>
      <c r="D137" s="50"/>
      <c r="E137" s="51">
        <v>7776000</v>
      </c>
      <c r="F137" s="52">
        <f t="shared" si="22"/>
        <v>622080</v>
      </c>
      <c r="G137" s="53">
        <f t="shared" si="24"/>
        <v>8398080</v>
      </c>
      <c r="H137" s="54">
        <v>8398080</v>
      </c>
      <c r="I137" s="55">
        <f t="shared" si="23"/>
        <v>0</v>
      </c>
      <c r="J137" s="56">
        <v>45309</v>
      </c>
      <c r="K137" s="57" t="s">
        <v>231</v>
      </c>
    </row>
    <row r="138" spans="1:11" ht="15.75" hidden="1" customHeight="1" x14ac:dyDescent="0.35">
      <c r="A138" s="47" t="s">
        <v>52</v>
      </c>
      <c r="B138" s="48" t="s">
        <v>407</v>
      </c>
      <c r="C138" s="49" t="s">
        <v>408</v>
      </c>
      <c r="D138" s="50"/>
      <c r="E138" s="51">
        <v>5344000</v>
      </c>
      <c r="F138" s="52">
        <f t="shared" si="22"/>
        <v>427520</v>
      </c>
      <c r="G138" s="53">
        <f t="shared" si="24"/>
        <v>5771520</v>
      </c>
      <c r="H138" s="54">
        <v>5771520</v>
      </c>
      <c r="I138" s="55">
        <f t="shared" si="23"/>
        <v>0</v>
      </c>
      <c r="J138" s="56">
        <v>45309</v>
      </c>
      <c r="K138" s="57" t="s">
        <v>231</v>
      </c>
    </row>
    <row r="139" spans="1:11" ht="15.75" hidden="1" customHeight="1" x14ac:dyDescent="0.35">
      <c r="A139" s="47" t="s">
        <v>61</v>
      </c>
      <c r="B139" s="48" t="s">
        <v>407</v>
      </c>
      <c r="C139" s="49" t="s">
        <v>409</v>
      </c>
      <c r="D139" s="50"/>
      <c r="E139" s="51">
        <v>2045000</v>
      </c>
      <c r="F139" s="52">
        <f t="shared" si="22"/>
        <v>163600</v>
      </c>
      <c r="G139" s="53">
        <f t="shared" si="24"/>
        <v>2208600</v>
      </c>
      <c r="H139" s="54">
        <v>2208600</v>
      </c>
      <c r="I139" s="55">
        <f t="shared" si="23"/>
        <v>0</v>
      </c>
      <c r="J139" s="56">
        <v>45309</v>
      </c>
      <c r="K139" s="57" t="s">
        <v>231</v>
      </c>
    </row>
    <row r="140" spans="1:11" ht="15.75" hidden="1" customHeight="1" x14ac:dyDescent="0.35">
      <c r="A140" s="47" t="s">
        <v>47</v>
      </c>
      <c r="B140" s="48" t="s">
        <v>410</v>
      </c>
      <c r="C140" s="49" t="s">
        <v>411</v>
      </c>
      <c r="D140" s="50"/>
      <c r="E140" s="51">
        <v>1040000</v>
      </c>
      <c r="F140" s="52">
        <f t="shared" si="22"/>
        <v>83200</v>
      </c>
      <c r="G140" s="53">
        <f t="shared" si="24"/>
        <v>1123200</v>
      </c>
      <c r="H140" s="54">
        <v>1123200</v>
      </c>
      <c r="I140" s="55">
        <f t="shared" si="23"/>
        <v>0</v>
      </c>
      <c r="J140" s="56">
        <v>45309</v>
      </c>
      <c r="K140" s="57" t="s">
        <v>231</v>
      </c>
    </row>
    <row r="141" spans="1:11" ht="15.75" hidden="1" customHeight="1" x14ac:dyDescent="0.35">
      <c r="A141" s="47" t="s">
        <v>26</v>
      </c>
      <c r="B141" s="48" t="s">
        <v>410</v>
      </c>
      <c r="C141" s="49" t="s">
        <v>412</v>
      </c>
      <c r="D141" s="50"/>
      <c r="E141" s="51">
        <v>10317000</v>
      </c>
      <c r="F141" s="52">
        <f t="shared" si="22"/>
        <v>825360</v>
      </c>
      <c r="G141" s="53">
        <f t="shared" si="24"/>
        <v>11142360</v>
      </c>
      <c r="H141" s="54">
        <v>11142360</v>
      </c>
      <c r="I141" s="55">
        <f t="shared" si="23"/>
        <v>0</v>
      </c>
      <c r="J141" s="56">
        <v>45392</v>
      </c>
      <c r="K141" s="57" t="s">
        <v>231</v>
      </c>
    </row>
    <row r="142" spans="1:11" ht="15.75" hidden="1" customHeight="1" x14ac:dyDescent="0.35">
      <c r="A142" s="47" t="s">
        <v>29</v>
      </c>
      <c r="B142" s="48" t="s">
        <v>410</v>
      </c>
      <c r="C142" s="49" t="s">
        <v>413</v>
      </c>
      <c r="D142" s="50"/>
      <c r="E142" s="51">
        <v>3100000</v>
      </c>
      <c r="F142" s="52">
        <f t="shared" si="22"/>
        <v>248000</v>
      </c>
      <c r="G142" s="53">
        <f t="shared" si="24"/>
        <v>3348000</v>
      </c>
      <c r="H142" s="54">
        <v>3348000</v>
      </c>
      <c r="I142" s="55">
        <f t="shared" si="23"/>
        <v>0</v>
      </c>
      <c r="J142" s="56">
        <v>45309</v>
      </c>
      <c r="K142" s="57" t="s">
        <v>231</v>
      </c>
    </row>
    <row r="143" spans="1:11" ht="15.75" hidden="1" customHeight="1" x14ac:dyDescent="0.35">
      <c r="A143" s="47" t="s">
        <v>167</v>
      </c>
      <c r="B143" s="48" t="s">
        <v>410</v>
      </c>
      <c r="C143" s="49" t="s">
        <v>414</v>
      </c>
      <c r="D143" s="50"/>
      <c r="E143" s="51">
        <v>4506500</v>
      </c>
      <c r="F143" s="52">
        <f t="shared" si="22"/>
        <v>360520</v>
      </c>
      <c r="G143" s="53">
        <f t="shared" si="24"/>
        <v>4867020</v>
      </c>
      <c r="H143" s="54">
        <v>4867020</v>
      </c>
      <c r="I143" s="55">
        <f t="shared" si="23"/>
        <v>0</v>
      </c>
      <c r="J143" s="56">
        <v>45309</v>
      </c>
      <c r="K143" s="57" t="s">
        <v>231</v>
      </c>
    </row>
    <row r="144" spans="1:11" ht="15.75" hidden="1" customHeight="1" x14ac:dyDescent="0.35">
      <c r="A144" s="47" t="s">
        <v>92</v>
      </c>
      <c r="B144" s="48" t="s">
        <v>410</v>
      </c>
      <c r="C144" s="49" t="s">
        <v>415</v>
      </c>
      <c r="D144" s="50"/>
      <c r="E144" s="51">
        <v>1040000</v>
      </c>
      <c r="F144" s="52">
        <f t="shared" si="22"/>
        <v>83200</v>
      </c>
      <c r="G144" s="53">
        <f t="shared" si="24"/>
        <v>1123200</v>
      </c>
      <c r="H144" s="54">
        <v>1123200</v>
      </c>
      <c r="I144" s="55">
        <f t="shared" si="23"/>
        <v>0</v>
      </c>
      <c r="J144" s="56">
        <v>45341</v>
      </c>
      <c r="K144" s="57" t="s">
        <v>231</v>
      </c>
    </row>
    <row r="145" spans="1:11" ht="15.75" hidden="1" customHeight="1" x14ac:dyDescent="0.35">
      <c r="A145" s="47" t="s">
        <v>32</v>
      </c>
      <c r="B145" s="48" t="s">
        <v>410</v>
      </c>
      <c r="C145" s="49" t="s">
        <v>416</v>
      </c>
      <c r="D145" s="50"/>
      <c r="E145" s="51">
        <v>1040000</v>
      </c>
      <c r="F145" s="52">
        <f t="shared" si="22"/>
        <v>83200</v>
      </c>
      <c r="G145" s="53">
        <f t="shared" si="24"/>
        <v>1123200</v>
      </c>
      <c r="H145" s="54">
        <v>1123200</v>
      </c>
      <c r="I145" s="55">
        <f t="shared" si="23"/>
        <v>0</v>
      </c>
      <c r="J145" s="56">
        <v>45341</v>
      </c>
      <c r="K145" s="57" t="s">
        <v>231</v>
      </c>
    </row>
    <row r="146" spans="1:11" ht="15.75" hidden="1" customHeight="1" x14ac:dyDescent="0.35">
      <c r="A146" s="47" t="s">
        <v>53</v>
      </c>
      <c r="B146" s="48">
        <v>45301</v>
      </c>
      <c r="C146" s="50" t="s">
        <v>417</v>
      </c>
      <c r="D146" s="50" t="s">
        <v>418</v>
      </c>
      <c r="E146" s="51">
        <v>51444000</v>
      </c>
      <c r="F146" s="52">
        <f t="shared" si="22"/>
        <v>4115520</v>
      </c>
      <c r="G146" s="53">
        <f t="shared" si="24"/>
        <v>55559520</v>
      </c>
      <c r="H146" s="54">
        <v>55559520</v>
      </c>
      <c r="I146" s="55">
        <f t="shared" si="23"/>
        <v>0</v>
      </c>
      <c r="J146" s="56">
        <v>45392</v>
      </c>
      <c r="K146" s="57"/>
    </row>
    <row r="147" spans="1:11" ht="15.75" hidden="1" customHeight="1" x14ac:dyDescent="0.35">
      <c r="A147" s="47" t="s">
        <v>126</v>
      </c>
      <c r="B147" s="48" t="s">
        <v>419</v>
      </c>
      <c r="C147" s="49" t="s">
        <v>420</v>
      </c>
      <c r="D147" s="50"/>
      <c r="E147" s="51">
        <v>4000000</v>
      </c>
      <c r="F147" s="52">
        <f t="shared" si="22"/>
        <v>320000</v>
      </c>
      <c r="G147" s="53">
        <f t="shared" si="24"/>
        <v>4320000</v>
      </c>
      <c r="H147" s="54">
        <v>4320000</v>
      </c>
      <c r="I147" s="55">
        <f t="shared" si="23"/>
        <v>0</v>
      </c>
      <c r="J147" s="56">
        <v>45341</v>
      </c>
      <c r="K147" s="57" t="s">
        <v>231</v>
      </c>
    </row>
    <row r="148" spans="1:11" ht="15.75" hidden="1" customHeight="1" x14ac:dyDescent="0.35">
      <c r="A148" s="47" t="s">
        <v>47</v>
      </c>
      <c r="B148" s="48" t="s">
        <v>419</v>
      </c>
      <c r="C148" s="49" t="s">
        <v>421</v>
      </c>
      <c r="D148" s="50"/>
      <c r="E148" s="51">
        <v>2250000</v>
      </c>
      <c r="F148" s="52">
        <f t="shared" si="22"/>
        <v>180000</v>
      </c>
      <c r="G148" s="53">
        <f t="shared" si="24"/>
        <v>2430000</v>
      </c>
      <c r="H148" s="54">
        <v>2430000</v>
      </c>
      <c r="I148" s="55">
        <f t="shared" si="23"/>
        <v>0</v>
      </c>
      <c r="J148" s="56">
        <v>45309</v>
      </c>
      <c r="K148" s="57" t="s">
        <v>231</v>
      </c>
    </row>
    <row r="149" spans="1:11" ht="15.75" hidden="1" customHeight="1" x14ac:dyDescent="0.35">
      <c r="A149" s="47" t="s">
        <v>71</v>
      </c>
      <c r="B149" s="48" t="s">
        <v>419</v>
      </c>
      <c r="C149" s="49" t="s">
        <v>422</v>
      </c>
      <c r="D149" s="50"/>
      <c r="E149" s="51">
        <v>12428000</v>
      </c>
      <c r="F149" s="52">
        <f t="shared" si="22"/>
        <v>994240</v>
      </c>
      <c r="G149" s="53">
        <f t="shared" si="24"/>
        <v>13422240</v>
      </c>
      <c r="H149" s="54">
        <v>13422240</v>
      </c>
      <c r="I149" s="55">
        <f t="shared" si="23"/>
        <v>0</v>
      </c>
      <c r="J149" s="56">
        <v>45309</v>
      </c>
      <c r="K149" s="57" t="s">
        <v>231</v>
      </c>
    </row>
    <row r="150" spans="1:11" ht="15.75" hidden="1" customHeight="1" x14ac:dyDescent="0.35">
      <c r="A150" s="47" t="s">
        <v>117</v>
      </c>
      <c r="B150" s="48" t="s">
        <v>423</v>
      </c>
      <c r="C150" s="49" t="s">
        <v>424</v>
      </c>
      <c r="D150" s="50"/>
      <c r="E150" s="51">
        <v>7000000</v>
      </c>
      <c r="F150" s="52">
        <f t="shared" si="22"/>
        <v>560000</v>
      </c>
      <c r="G150" s="53">
        <f t="shared" si="24"/>
        <v>7560000</v>
      </c>
      <c r="H150" s="54">
        <v>7560000</v>
      </c>
      <c r="I150" s="55">
        <f t="shared" si="23"/>
        <v>0</v>
      </c>
      <c r="J150" s="56">
        <v>45309</v>
      </c>
      <c r="K150" s="57" t="s">
        <v>231</v>
      </c>
    </row>
    <row r="151" spans="1:11" ht="15.75" hidden="1" customHeight="1" x14ac:dyDescent="0.35">
      <c r="A151" s="47" t="s">
        <v>19</v>
      </c>
      <c r="B151" s="48" t="s">
        <v>423</v>
      </c>
      <c r="C151" s="50" t="s">
        <v>425</v>
      </c>
      <c r="D151" s="50"/>
      <c r="E151" s="51">
        <v>22833000</v>
      </c>
      <c r="F151" s="52">
        <f t="shared" si="22"/>
        <v>1826640</v>
      </c>
      <c r="G151" s="53">
        <f t="shared" si="24"/>
        <v>24659640</v>
      </c>
      <c r="H151" s="54">
        <v>24659640</v>
      </c>
      <c r="I151" s="55">
        <f t="shared" si="23"/>
        <v>0</v>
      </c>
      <c r="J151" s="56">
        <v>45309</v>
      </c>
      <c r="K151" s="57" t="s">
        <v>231</v>
      </c>
    </row>
    <row r="152" spans="1:11" ht="15.75" hidden="1" customHeight="1" x14ac:dyDescent="0.35">
      <c r="A152" s="47" t="s">
        <v>105</v>
      </c>
      <c r="B152" s="48" t="s">
        <v>426</v>
      </c>
      <c r="C152" s="49" t="s">
        <v>427</v>
      </c>
      <c r="D152" s="50"/>
      <c r="E152" s="51">
        <v>273526000</v>
      </c>
      <c r="F152" s="52">
        <f t="shared" si="22"/>
        <v>21882080</v>
      </c>
      <c r="G152" s="53">
        <f t="shared" si="24"/>
        <v>295408080</v>
      </c>
      <c r="H152" s="54">
        <v>295408080</v>
      </c>
      <c r="I152" s="55">
        <f t="shared" si="23"/>
        <v>0</v>
      </c>
      <c r="J152" s="56">
        <v>45341</v>
      </c>
      <c r="K152" s="57"/>
    </row>
    <row r="153" spans="1:11" ht="15.75" hidden="1" customHeight="1" x14ac:dyDescent="0.35">
      <c r="A153" s="47" t="s">
        <v>269</v>
      </c>
      <c r="B153" s="48" t="s">
        <v>428</v>
      </c>
      <c r="C153" s="49" t="s">
        <v>190</v>
      </c>
      <c r="D153" s="50"/>
      <c r="E153" s="51">
        <v>8580000</v>
      </c>
      <c r="F153" s="52">
        <f t="shared" ref="F153:F216" si="25">+E153*0.08</f>
        <v>686400</v>
      </c>
      <c r="G153" s="53">
        <f t="shared" si="24"/>
        <v>9266400</v>
      </c>
      <c r="H153" s="54">
        <v>9266400</v>
      </c>
      <c r="I153" s="55">
        <f t="shared" si="23"/>
        <v>0</v>
      </c>
      <c r="J153" s="64">
        <v>45496</v>
      </c>
      <c r="K153" s="57"/>
    </row>
    <row r="154" spans="1:11" ht="15.75" hidden="1" customHeight="1" x14ac:dyDescent="0.35">
      <c r="A154" s="47" t="s">
        <v>33</v>
      </c>
      <c r="B154" s="48" t="s">
        <v>428</v>
      </c>
      <c r="C154" s="49" t="s">
        <v>429</v>
      </c>
      <c r="D154" s="50"/>
      <c r="E154" s="51">
        <v>110034000</v>
      </c>
      <c r="F154" s="52">
        <f t="shared" si="25"/>
        <v>8802720</v>
      </c>
      <c r="G154" s="53">
        <f t="shared" si="24"/>
        <v>118836720</v>
      </c>
      <c r="H154" s="54">
        <v>118836720</v>
      </c>
      <c r="I154" s="55">
        <f t="shared" si="23"/>
        <v>0</v>
      </c>
      <c r="J154" s="56">
        <v>45392</v>
      </c>
      <c r="K154" s="57"/>
    </row>
    <row r="155" spans="1:11" ht="15.75" hidden="1" customHeight="1" x14ac:dyDescent="0.35">
      <c r="A155" s="47" t="s">
        <v>148</v>
      </c>
      <c r="B155" s="48" t="s">
        <v>428</v>
      </c>
      <c r="C155" s="50" t="s">
        <v>430</v>
      </c>
      <c r="D155" s="50"/>
      <c r="E155" s="51">
        <v>3600000</v>
      </c>
      <c r="F155" s="52">
        <f t="shared" si="25"/>
        <v>288000</v>
      </c>
      <c r="G155" s="53">
        <f t="shared" si="24"/>
        <v>3888000</v>
      </c>
      <c r="H155" s="54">
        <v>3888000</v>
      </c>
      <c r="I155" s="55">
        <f t="shared" si="23"/>
        <v>0</v>
      </c>
      <c r="J155" s="56">
        <v>45341</v>
      </c>
      <c r="K155" s="57"/>
    </row>
    <row r="156" spans="1:11" ht="15.75" hidden="1" customHeight="1" x14ac:dyDescent="0.35">
      <c r="A156" s="47" t="s">
        <v>30</v>
      </c>
      <c r="B156" s="48" t="s">
        <v>431</v>
      </c>
      <c r="C156" s="49" t="s">
        <v>432</v>
      </c>
      <c r="D156" s="50"/>
      <c r="E156" s="51">
        <v>14820000</v>
      </c>
      <c r="F156" s="52">
        <f t="shared" si="25"/>
        <v>1185600</v>
      </c>
      <c r="G156" s="53">
        <f t="shared" si="24"/>
        <v>16005600</v>
      </c>
      <c r="H156" s="54">
        <v>16005600</v>
      </c>
      <c r="I156" s="55">
        <f t="shared" si="23"/>
        <v>0</v>
      </c>
      <c r="J156" s="64">
        <v>45496</v>
      </c>
      <c r="K156" s="57"/>
    </row>
    <row r="157" spans="1:11" ht="15.75" hidden="1" customHeight="1" x14ac:dyDescent="0.35">
      <c r="A157" s="47" t="s">
        <v>117</v>
      </c>
      <c r="B157" s="48" t="s">
        <v>433</v>
      </c>
      <c r="C157" s="49" t="s">
        <v>434</v>
      </c>
      <c r="D157" s="50"/>
      <c r="E157" s="51">
        <v>20366000</v>
      </c>
      <c r="F157" s="52">
        <f t="shared" si="25"/>
        <v>1629280</v>
      </c>
      <c r="G157" s="53">
        <f t="shared" si="24"/>
        <v>21995280</v>
      </c>
      <c r="H157" s="54">
        <v>21995280</v>
      </c>
      <c r="I157" s="55">
        <f t="shared" si="23"/>
        <v>0</v>
      </c>
      <c r="J157" s="56">
        <v>45392</v>
      </c>
      <c r="K157" s="57"/>
    </row>
    <row r="158" spans="1:11" ht="15.75" hidden="1" customHeight="1" x14ac:dyDescent="0.35">
      <c r="A158" s="47" t="s">
        <v>118</v>
      </c>
      <c r="B158" s="48" t="s">
        <v>433</v>
      </c>
      <c r="C158" s="49" t="s">
        <v>435</v>
      </c>
      <c r="D158" s="50"/>
      <c r="E158" s="51">
        <v>4980000</v>
      </c>
      <c r="F158" s="52">
        <f t="shared" si="25"/>
        <v>398400</v>
      </c>
      <c r="G158" s="53">
        <f t="shared" si="24"/>
        <v>5378400</v>
      </c>
      <c r="H158" s="54">
        <v>5378400</v>
      </c>
      <c r="I158" s="55">
        <f t="shared" si="23"/>
        <v>0</v>
      </c>
      <c r="J158" s="64">
        <v>45496</v>
      </c>
      <c r="K158" s="57"/>
    </row>
    <row r="159" spans="1:11" ht="15.75" hidden="1" customHeight="1" x14ac:dyDescent="0.35">
      <c r="A159" s="47" t="s">
        <v>15</v>
      </c>
      <c r="B159" s="48" t="s">
        <v>436</v>
      </c>
      <c r="C159" s="49" t="s">
        <v>437</v>
      </c>
      <c r="D159" s="50"/>
      <c r="E159" s="51">
        <v>13850400</v>
      </c>
      <c r="F159" s="52">
        <f t="shared" si="25"/>
        <v>1108032</v>
      </c>
      <c r="G159" s="53">
        <f t="shared" si="24"/>
        <v>14958432</v>
      </c>
      <c r="H159" s="54">
        <v>14958432</v>
      </c>
      <c r="I159" s="55">
        <f t="shared" si="23"/>
        <v>0</v>
      </c>
      <c r="J159" s="64">
        <v>45496</v>
      </c>
      <c r="K159" s="57"/>
    </row>
    <row r="160" spans="1:11" ht="15.75" hidden="1" customHeight="1" x14ac:dyDescent="0.35">
      <c r="A160" s="47" t="s">
        <v>15</v>
      </c>
      <c r="B160" s="48" t="s">
        <v>436</v>
      </c>
      <c r="C160" s="49" t="s">
        <v>438</v>
      </c>
      <c r="D160" s="50"/>
      <c r="E160" s="51">
        <v>2760000</v>
      </c>
      <c r="F160" s="52">
        <f t="shared" si="25"/>
        <v>220800</v>
      </c>
      <c r="G160" s="53">
        <f t="shared" si="24"/>
        <v>2980800</v>
      </c>
      <c r="H160" s="54">
        <v>2980800</v>
      </c>
      <c r="I160" s="55">
        <f t="shared" si="23"/>
        <v>0</v>
      </c>
      <c r="J160" s="64">
        <v>45496</v>
      </c>
      <c r="K160" s="57"/>
    </row>
    <row r="161" spans="1:11" ht="15.75" hidden="1" customHeight="1" x14ac:dyDescent="0.35">
      <c r="A161" s="47" t="s">
        <v>93</v>
      </c>
      <c r="B161" s="48" t="s">
        <v>439</v>
      </c>
      <c r="C161" s="49" t="s">
        <v>440</v>
      </c>
      <c r="D161" s="50"/>
      <c r="E161" s="51">
        <v>3096000</v>
      </c>
      <c r="F161" s="52">
        <f t="shared" si="25"/>
        <v>247680</v>
      </c>
      <c r="G161" s="53">
        <f t="shared" si="24"/>
        <v>3343680</v>
      </c>
      <c r="H161" s="54">
        <v>3343680</v>
      </c>
      <c r="I161" s="55">
        <f t="shared" si="23"/>
        <v>0</v>
      </c>
      <c r="J161" s="56">
        <v>45392</v>
      </c>
      <c r="K161" s="57"/>
    </row>
    <row r="162" spans="1:11" ht="15.75" hidden="1" customHeight="1" x14ac:dyDescent="0.35">
      <c r="A162" s="47" t="s">
        <v>164</v>
      </c>
      <c r="B162" s="48" t="s">
        <v>439</v>
      </c>
      <c r="C162" s="49" t="s">
        <v>441</v>
      </c>
      <c r="D162" s="50"/>
      <c r="E162" s="51">
        <v>1040000</v>
      </c>
      <c r="F162" s="52">
        <f t="shared" si="25"/>
        <v>83200</v>
      </c>
      <c r="G162" s="53">
        <f t="shared" si="24"/>
        <v>1123200</v>
      </c>
      <c r="H162" s="54">
        <v>1123200</v>
      </c>
      <c r="I162" s="55">
        <f t="shared" si="23"/>
        <v>0</v>
      </c>
      <c r="J162" s="56">
        <v>45392</v>
      </c>
      <c r="K162" s="57"/>
    </row>
    <row r="163" spans="1:11" ht="15.75" hidden="1" customHeight="1" x14ac:dyDescent="0.35">
      <c r="A163" s="47" t="s">
        <v>48</v>
      </c>
      <c r="B163" s="48" t="s">
        <v>439</v>
      </c>
      <c r="C163" s="49" t="s">
        <v>191</v>
      </c>
      <c r="D163" s="50"/>
      <c r="E163" s="51">
        <v>13800000</v>
      </c>
      <c r="F163" s="52">
        <f t="shared" si="25"/>
        <v>1104000</v>
      </c>
      <c r="G163" s="53">
        <f t="shared" si="24"/>
        <v>14904000</v>
      </c>
      <c r="H163" s="54">
        <v>14904000</v>
      </c>
      <c r="I163" s="55">
        <f t="shared" si="23"/>
        <v>0</v>
      </c>
      <c r="J163" s="64">
        <v>45496</v>
      </c>
      <c r="K163" s="57"/>
    </row>
    <row r="164" spans="1:11" ht="15.75" hidden="1" customHeight="1" x14ac:dyDescent="0.35">
      <c r="A164" s="47" t="s">
        <v>71</v>
      </c>
      <c r="B164" s="48" t="s">
        <v>439</v>
      </c>
      <c r="C164" s="49" t="s">
        <v>442</v>
      </c>
      <c r="D164" s="50"/>
      <c r="E164" s="51">
        <v>2080000</v>
      </c>
      <c r="F164" s="52">
        <f t="shared" si="25"/>
        <v>166400</v>
      </c>
      <c r="G164" s="53">
        <f t="shared" si="24"/>
        <v>2246400</v>
      </c>
      <c r="H164" s="54">
        <v>2246400</v>
      </c>
      <c r="I164" s="55">
        <f t="shared" si="23"/>
        <v>0</v>
      </c>
      <c r="J164" s="56">
        <v>45341</v>
      </c>
      <c r="K164" s="57"/>
    </row>
    <row r="165" spans="1:11" ht="15.75" hidden="1" customHeight="1" x14ac:dyDescent="0.35">
      <c r="A165" s="47" t="s">
        <v>156</v>
      </c>
      <c r="B165" s="48" t="s">
        <v>439</v>
      </c>
      <c r="C165" s="49" t="s">
        <v>192</v>
      </c>
      <c r="D165" s="50"/>
      <c r="E165" s="51">
        <v>2472000</v>
      </c>
      <c r="F165" s="52">
        <f t="shared" si="25"/>
        <v>197760</v>
      </c>
      <c r="G165" s="53">
        <f t="shared" si="24"/>
        <v>2669760</v>
      </c>
      <c r="H165" s="54">
        <v>2669760</v>
      </c>
      <c r="I165" s="55">
        <f t="shared" si="23"/>
        <v>0</v>
      </c>
      <c r="J165" s="56">
        <v>45341</v>
      </c>
      <c r="K165" s="57"/>
    </row>
    <row r="166" spans="1:11" ht="15.75" hidden="1" customHeight="1" x14ac:dyDescent="0.35">
      <c r="A166" s="47" t="s">
        <v>47</v>
      </c>
      <c r="B166" s="48" t="s">
        <v>443</v>
      </c>
      <c r="C166" s="49" t="s">
        <v>444</v>
      </c>
      <c r="D166" s="50"/>
      <c r="E166" s="51">
        <v>1040000</v>
      </c>
      <c r="F166" s="52">
        <f t="shared" si="25"/>
        <v>83200</v>
      </c>
      <c r="G166" s="53">
        <f t="shared" si="24"/>
        <v>1123200</v>
      </c>
      <c r="H166" s="54">
        <v>1123200</v>
      </c>
      <c r="I166" s="55">
        <f t="shared" si="23"/>
        <v>0</v>
      </c>
      <c r="J166" s="56">
        <v>45341</v>
      </c>
      <c r="K166" s="57"/>
    </row>
    <row r="167" spans="1:11" ht="15.75" hidden="1" customHeight="1" x14ac:dyDescent="0.35">
      <c r="A167" s="47" t="s">
        <v>26</v>
      </c>
      <c r="B167" s="48" t="s">
        <v>443</v>
      </c>
      <c r="C167" s="49" t="s">
        <v>445</v>
      </c>
      <c r="D167" s="50"/>
      <c r="E167" s="51">
        <v>4692000</v>
      </c>
      <c r="F167" s="52">
        <f t="shared" si="25"/>
        <v>375360</v>
      </c>
      <c r="G167" s="53">
        <f t="shared" si="24"/>
        <v>5067360</v>
      </c>
      <c r="H167" s="54">
        <v>5067360</v>
      </c>
      <c r="I167" s="55">
        <f t="shared" si="23"/>
        <v>0</v>
      </c>
      <c r="J167" s="56">
        <v>45392</v>
      </c>
      <c r="K167" s="57"/>
    </row>
    <row r="168" spans="1:11" ht="15.75" hidden="1" customHeight="1" x14ac:dyDescent="0.35">
      <c r="A168" s="47" t="s">
        <v>150</v>
      </c>
      <c r="B168" s="48">
        <v>45309</v>
      </c>
      <c r="C168" s="49" t="s">
        <v>446</v>
      </c>
      <c r="D168" s="49" t="s">
        <v>447</v>
      </c>
      <c r="E168" s="51">
        <v>1231200</v>
      </c>
      <c r="F168" s="52">
        <f t="shared" si="25"/>
        <v>98496</v>
      </c>
      <c r="G168" s="53">
        <f t="shared" si="24"/>
        <v>1329696</v>
      </c>
      <c r="H168" s="54">
        <v>1329696</v>
      </c>
      <c r="I168" s="55">
        <f t="shared" si="23"/>
        <v>0</v>
      </c>
      <c r="J168" s="56">
        <v>45392</v>
      </c>
      <c r="K168" s="57"/>
    </row>
    <row r="169" spans="1:11" ht="15.75" hidden="1" customHeight="1" x14ac:dyDescent="0.35">
      <c r="A169" s="47" t="s">
        <v>38</v>
      </c>
      <c r="B169" s="48" t="s">
        <v>443</v>
      </c>
      <c r="C169" s="49" t="s">
        <v>448</v>
      </c>
      <c r="D169" s="50"/>
      <c r="E169" s="51">
        <v>106574000</v>
      </c>
      <c r="F169" s="52">
        <f t="shared" si="25"/>
        <v>8525920</v>
      </c>
      <c r="G169" s="53">
        <f t="shared" si="24"/>
        <v>115099920</v>
      </c>
      <c r="H169" s="54">
        <v>115099920</v>
      </c>
      <c r="I169" s="55">
        <f t="shared" si="23"/>
        <v>0</v>
      </c>
      <c r="J169" s="56">
        <v>45496</v>
      </c>
      <c r="K169" s="57"/>
    </row>
    <row r="170" spans="1:11" ht="15.75" hidden="1" customHeight="1" x14ac:dyDescent="0.35">
      <c r="A170" s="47" t="s">
        <v>71</v>
      </c>
      <c r="B170" s="48">
        <v>45308</v>
      </c>
      <c r="C170" s="50" t="s">
        <v>449</v>
      </c>
      <c r="D170" s="50" t="s">
        <v>450</v>
      </c>
      <c r="E170" s="51">
        <v>21504000</v>
      </c>
      <c r="F170" s="52">
        <f t="shared" si="25"/>
        <v>1720320</v>
      </c>
      <c r="G170" s="53">
        <f t="shared" si="24"/>
        <v>23224320</v>
      </c>
      <c r="H170" s="54">
        <v>23224320</v>
      </c>
      <c r="I170" s="55">
        <f t="shared" si="23"/>
        <v>0</v>
      </c>
      <c r="J170" s="56">
        <v>45341</v>
      </c>
      <c r="K170" s="57"/>
    </row>
    <row r="171" spans="1:11" ht="15.75" hidden="1" customHeight="1" x14ac:dyDescent="0.35">
      <c r="A171" s="47" t="s">
        <v>50</v>
      </c>
      <c r="B171" s="48" t="s">
        <v>451</v>
      </c>
      <c r="C171" s="49" t="s">
        <v>452</v>
      </c>
      <c r="D171" s="50"/>
      <c r="E171" s="51">
        <v>6900000</v>
      </c>
      <c r="F171" s="52">
        <f t="shared" si="25"/>
        <v>552000</v>
      </c>
      <c r="G171" s="53">
        <f t="shared" si="24"/>
        <v>7452000</v>
      </c>
      <c r="H171" s="54">
        <v>7452000</v>
      </c>
      <c r="I171" s="55">
        <f t="shared" si="23"/>
        <v>0</v>
      </c>
      <c r="J171" s="56">
        <v>45341</v>
      </c>
      <c r="K171" s="57"/>
    </row>
    <row r="172" spans="1:11" ht="15.75" hidden="1" customHeight="1" x14ac:dyDescent="0.35">
      <c r="A172" s="47" t="s">
        <v>28</v>
      </c>
      <c r="B172" s="48" t="s">
        <v>453</v>
      </c>
      <c r="C172" s="49" t="s">
        <v>454</v>
      </c>
      <c r="D172" s="50"/>
      <c r="E172" s="51">
        <v>45663200</v>
      </c>
      <c r="F172" s="52">
        <f t="shared" si="25"/>
        <v>3653056</v>
      </c>
      <c r="G172" s="53">
        <f t="shared" si="24"/>
        <v>49316256</v>
      </c>
      <c r="H172" s="54">
        <v>49316256</v>
      </c>
      <c r="I172" s="55">
        <f t="shared" si="23"/>
        <v>0</v>
      </c>
      <c r="J172" s="56">
        <v>45341</v>
      </c>
      <c r="K172" s="57"/>
    </row>
    <row r="173" spans="1:11" ht="15.75" hidden="1" customHeight="1" x14ac:dyDescent="0.35">
      <c r="A173" s="47" t="s">
        <v>98</v>
      </c>
      <c r="B173" s="48" t="s">
        <v>453</v>
      </c>
      <c r="C173" s="49" t="s">
        <v>455</v>
      </c>
      <c r="D173" s="50"/>
      <c r="E173" s="51">
        <v>1800000</v>
      </c>
      <c r="F173" s="52">
        <f t="shared" si="25"/>
        <v>144000</v>
      </c>
      <c r="G173" s="53">
        <f t="shared" si="24"/>
        <v>1944000</v>
      </c>
      <c r="H173" s="54">
        <v>1944000</v>
      </c>
      <c r="I173" s="55">
        <f t="shared" ref="I173:I236" si="26">G173-H173</f>
        <v>0</v>
      </c>
      <c r="J173" s="56">
        <v>45392</v>
      </c>
      <c r="K173" s="57"/>
    </row>
    <row r="174" spans="1:11" ht="15.75" hidden="1" customHeight="1" x14ac:dyDescent="0.35">
      <c r="A174" s="47" t="s">
        <v>53</v>
      </c>
      <c r="B174" s="48" t="s">
        <v>453</v>
      </c>
      <c r="C174" s="50" t="s">
        <v>456</v>
      </c>
      <c r="D174" s="50"/>
      <c r="E174" s="51">
        <v>41205000</v>
      </c>
      <c r="F174" s="52">
        <f t="shared" si="25"/>
        <v>3296400</v>
      </c>
      <c r="G174" s="53">
        <f t="shared" ref="G174:G237" si="27">E174+F174</f>
        <v>44501400</v>
      </c>
      <c r="H174" s="54">
        <v>44501400</v>
      </c>
      <c r="I174" s="55">
        <f t="shared" si="26"/>
        <v>0</v>
      </c>
      <c r="J174" s="56">
        <v>45392</v>
      </c>
      <c r="K174" s="57"/>
    </row>
    <row r="175" spans="1:11" ht="15.75" hidden="1" customHeight="1" x14ac:dyDescent="0.35">
      <c r="A175" s="47" t="s">
        <v>30</v>
      </c>
      <c r="B175" s="48" t="s">
        <v>457</v>
      </c>
      <c r="C175" s="49" t="s">
        <v>458</v>
      </c>
      <c r="D175" s="50"/>
      <c r="E175" s="51">
        <v>8656800</v>
      </c>
      <c r="F175" s="52">
        <f t="shared" si="25"/>
        <v>692544</v>
      </c>
      <c r="G175" s="53">
        <f t="shared" si="27"/>
        <v>9349344</v>
      </c>
      <c r="H175" s="54">
        <v>9349344</v>
      </c>
      <c r="I175" s="55">
        <f t="shared" si="26"/>
        <v>0</v>
      </c>
      <c r="J175" s="64">
        <v>45496</v>
      </c>
      <c r="K175" s="57"/>
    </row>
    <row r="176" spans="1:11" ht="15.75" hidden="1" customHeight="1" x14ac:dyDescent="0.35">
      <c r="A176" s="47" t="s">
        <v>153</v>
      </c>
      <c r="B176" s="48" t="s">
        <v>457</v>
      </c>
      <c r="C176" s="49" t="s">
        <v>459</v>
      </c>
      <c r="D176" s="50"/>
      <c r="E176" s="51">
        <v>5040000</v>
      </c>
      <c r="F176" s="52">
        <f t="shared" si="25"/>
        <v>403200</v>
      </c>
      <c r="G176" s="53">
        <f t="shared" si="27"/>
        <v>5443200</v>
      </c>
      <c r="H176" s="54">
        <v>5443200</v>
      </c>
      <c r="I176" s="55">
        <f t="shared" si="26"/>
        <v>0</v>
      </c>
      <c r="J176" s="56">
        <v>45392</v>
      </c>
      <c r="K176" s="57"/>
    </row>
    <row r="177" spans="1:11" ht="15.75" hidden="1" customHeight="1" x14ac:dyDescent="0.35">
      <c r="A177" s="47" t="s">
        <v>19</v>
      </c>
      <c r="B177" s="48" t="s">
        <v>457</v>
      </c>
      <c r="C177" s="49" t="s">
        <v>460</v>
      </c>
      <c r="D177" s="50"/>
      <c r="E177" s="51">
        <v>5645000</v>
      </c>
      <c r="F177" s="52">
        <f t="shared" si="25"/>
        <v>451600</v>
      </c>
      <c r="G177" s="53">
        <f t="shared" si="27"/>
        <v>6096600</v>
      </c>
      <c r="H177" s="54">
        <v>6096600</v>
      </c>
      <c r="I177" s="55">
        <f t="shared" si="26"/>
        <v>0</v>
      </c>
      <c r="J177" s="64">
        <v>45496</v>
      </c>
      <c r="K177" s="57"/>
    </row>
    <row r="178" spans="1:11" ht="15.75" hidden="1" customHeight="1" x14ac:dyDescent="0.35">
      <c r="A178" s="47" t="s">
        <v>153</v>
      </c>
      <c r="B178" s="48" t="s">
        <v>457</v>
      </c>
      <c r="C178" s="49" t="s">
        <v>461</v>
      </c>
      <c r="D178" s="50"/>
      <c r="E178" s="51">
        <v>4944000</v>
      </c>
      <c r="F178" s="52">
        <f t="shared" si="25"/>
        <v>395520</v>
      </c>
      <c r="G178" s="53">
        <f t="shared" si="27"/>
        <v>5339520</v>
      </c>
      <c r="H178" s="54">
        <v>5339520</v>
      </c>
      <c r="I178" s="55">
        <f t="shared" si="26"/>
        <v>0</v>
      </c>
      <c r="J178" s="56">
        <v>45392</v>
      </c>
      <c r="K178" s="57"/>
    </row>
    <row r="179" spans="1:11" ht="15.75" hidden="1" customHeight="1" x14ac:dyDescent="0.35">
      <c r="A179" s="47" t="s">
        <v>117</v>
      </c>
      <c r="B179" s="48" t="s">
        <v>457</v>
      </c>
      <c r="C179" s="49" t="s">
        <v>462</v>
      </c>
      <c r="D179" s="50"/>
      <c r="E179" s="51">
        <v>7620000</v>
      </c>
      <c r="F179" s="52">
        <f t="shared" si="25"/>
        <v>609600</v>
      </c>
      <c r="G179" s="53">
        <f t="shared" si="27"/>
        <v>8229600</v>
      </c>
      <c r="H179" s="54">
        <v>8229600</v>
      </c>
      <c r="I179" s="55">
        <f t="shared" si="26"/>
        <v>0</v>
      </c>
      <c r="J179" s="56">
        <v>45392</v>
      </c>
      <c r="K179" s="57"/>
    </row>
    <row r="180" spans="1:11" ht="15.75" hidden="1" customHeight="1" x14ac:dyDescent="0.35">
      <c r="A180" s="47" t="s">
        <v>55</v>
      </c>
      <c r="B180" s="48" t="s">
        <v>457</v>
      </c>
      <c r="C180" s="50" t="s">
        <v>463</v>
      </c>
      <c r="D180" s="50"/>
      <c r="E180" s="51">
        <v>5616000</v>
      </c>
      <c r="F180" s="52">
        <f t="shared" si="25"/>
        <v>449280</v>
      </c>
      <c r="G180" s="53">
        <f t="shared" si="27"/>
        <v>6065280</v>
      </c>
      <c r="H180" s="54">
        <v>6065280</v>
      </c>
      <c r="I180" s="55">
        <f t="shared" si="26"/>
        <v>0</v>
      </c>
      <c r="J180" s="56">
        <v>45341</v>
      </c>
      <c r="K180" s="57"/>
    </row>
    <row r="181" spans="1:11" ht="15.75" hidden="1" customHeight="1" x14ac:dyDescent="0.35">
      <c r="A181" s="47" t="s">
        <v>19</v>
      </c>
      <c r="B181" s="48" t="s">
        <v>457</v>
      </c>
      <c r="C181" s="49" t="s">
        <v>464</v>
      </c>
      <c r="D181" s="50"/>
      <c r="E181" s="51">
        <v>5400000</v>
      </c>
      <c r="F181" s="52">
        <f t="shared" si="25"/>
        <v>432000</v>
      </c>
      <c r="G181" s="53">
        <f t="shared" si="27"/>
        <v>5832000</v>
      </c>
      <c r="H181" s="54">
        <v>5832000</v>
      </c>
      <c r="I181" s="55">
        <f t="shared" si="26"/>
        <v>0</v>
      </c>
      <c r="J181" s="64">
        <v>45496</v>
      </c>
      <c r="K181" s="57"/>
    </row>
    <row r="182" spans="1:11" ht="15.75" hidden="1" customHeight="1" x14ac:dyDescent="0.35">
      <c r="A182" s="47" t="s">
        <v>21</v>
      </c>
      <c r="B182" s="48" t="s">
        <v>465</v>
      </c>
      <c r="C182" s="49" t="s">
        <v>466</v>
      </c>
      <c r="D182" s="50"/>
      <c r="E182" s="51">
        <v>7112000</v>
      </c>
      <c r="F182" s="52">
        <f t="shared" si="25"/>
        <v>568960</v>
      </c>
      <c r="G182" s="53">
        <f t="shared" si="27"/>
        <v>7680960</v>
      </c>
      <c r="H182" s="54">
        <v>7680960</v>
      </c>
      <c r="I182" s="55">
        <f t="shared" si="26"/>
        <v>0</v>
      </c>
      <c r="J182" s="56">
        <v>45392</v>
      </c>
      <c r="K182" s="57"/>
    </row>
    <row r="183" spans="1:11" ht="15.75" hidden="1" customHeight="1" x14ac:dyDescent="0.35">
      <c r="A183" s="47" t="s">
        <v>88</v>
      </c>
      <c r="B183" s="48" t="s">
        <v>465</v>
      </c>
      <c r="C183" s="50" t="s">
        <v>467</v>
      </c>
      <c r="D183" s="50"/>
      <c r="E183" s="51">
        <v>2760000</v>
      </c>
      <c r="F183" s="52">
        <f t="shared" si="25"/>
        <v>220800</v>
      </c>
      <c r="G183" s="53">
        <f t="shared" si="27"/>
        <v>2980800</v>
      </c>
      <c r="H183" s="54">
        <v>2980800</v>
      </c>
      <c r="I183" s="55">
        <f t="shared" si="26"/>
        <v>0</v>
      </c>
      <c r="J183" s="64">
        <v>45496</v>
      </c>
      <c r="K183" s="57"/>
    </row>
    <row r="184" spans="1:11" ht="15.75" hidden="1" customHeight="1" x14ac:dyDescent="0.35">
      <c r="A184" s="47" t="s">
        <v>180</v>
      </c>
      <c r="B184" s="48" t="s">
        <v>468</v>
      </c>
      <c r="C184" s="49" t="s">
        <v>89</v>
      </c>
      <c r="D184" s="50"/>
      <c r="E184" s="51">
        <v>8088000</v>
      </c>
      <c r="F184" s="52">
        <f t="shared" si="25"/>
        <v>647040</v>
      </c>
      <c r="G184" s="53">
        <f t="shared" si="27"/>
        <v>8735040</v>
      </c>
      <c r="H184" s="54">
        <v>8735040</v>
      </c>
      <c r="I184" s="55">
        <f t="shared" si="26"/>
        <v>0</v>
      </c>
      <c r="J184" s="64">
        <v>45496</v>
      </c>
      <c r="K184" s="57"/>
    </row>
    <row r="185" spans="1:11" ht="15.75" hidden="1" customHeight="1" x14ac:dyDescent="0.35">
      <c r="A185" s="47" t="s">
        <v>72</v>
      </c>
      <c r="B185" s="48" t="s">
        <v>468</v>
      </c>
      <c r="C185" s="50" t="s">
        <v>469</v>
      </c>
      <c r="D185" s="50"/>
      <c r="E185" s="51">
        <v>100866200</v>
      </c>
      <c r="F185" s="52">
        <f t="shared" si="25"/>
        <v>8069296</v>
      </c>
      <c r="G185" s="53">
        <f t="shared" si="27"/>
        <v>108935496</v>
      </c>
      <c r="H185" s="54">
        <v>108935496</v>
      </c>
      <c r="I185" s="55">
        <f t="shared" si="26"/>
        <v>0</v>
      </c>
      <c r="J185" s="56">
        <v>45496</v>
      </c>
      <c r="K185" s="57"/>
    </row>
    <row r="186" spans="1:11" ht="15.75" hidden="1" customHeight="1" x14ac:dyDescent="0.35">
      <c r="A186" s="47" t="s">
        <v>83</v>
      </c>
      <c r="B186" s="48" t="s">
        <v>470</v>
      </c>
      <c r="C186" s="49" t="s">
        <v>471</v>
      </c>
      <c r="D186" s="50"/>
      <c r="E186" s="51">
        <v>2760000</v>
      </c>
      <c r="F186" s="52">
        <f>+E186*0.08</f>
        <v>220800</v>
      </c>
      <c r="G186" s="53">
        <f t="shared" si="27"/>
        <v>2980800</v>
      </c>
      <c r="H186" s="54">
        <v>2980800</v>
      </c>
      <c r="I186" s="55">
        <f t="shared" si="26"/>
        <v>0</v>
      </c>
      <c r="J186" s="56">
        <v>45392</v>
      </c>
      <c r="K186" s="57"/>
    </row>
    <row r="187" spans="1:11" ht="15.75" hidden="1" customHeight="1" x14ac:dyDescent="0.35">
      <c r="A187" s="47" t="s">
        <v>90</v>
      </c>
      <c r="B187" s="48" t="s">
        <v>470</v>
      </c>
      <c r="C187" s="49" t="s">
        <v>91</v>
      </c>
      <c r="D187" s="50"/>
      <c r="E187" s="51">
        <v>5380000</v>
      </c>
      <c r="F187" s="52">
        <f t="shared" si="25"/>
        <v>430400</v>
      </c>
      <c r="G187" s="53">
        <f t="shared" si="27"/>
        <v>5810400</v>
      </c>
      <c r="H187" s="54">
        <v>5810400</v>
      </c>
      <c r="I187" s="55">
        <f t="shared" si="26"/>
        <v>0</v>
      </c>
      <c r="J187" s="56">
        <v>45341</v>
      </c>
      <c r="K187" s="57"/>
    </row>
    <row r="188" spans="1:11" ht="15.75" hidden="1" customHeight="1" x14ac:dyDescent="0.35">
      <c r="A188" s="47" t="s">
        <v>61</v>
      </c>
      <c r="B188" s="48">
        <v>45312</v>
      </c>
      <c r="C188" s="50" t="s">
        <v>472</v>
      </c>
      <c r="D188" s="50" t="s">
        <v>473</v>
      </c>
      <c r="E188" s="51">
        <v>1967000</v>
      </c>
      <c r="F188" s="52">
        <f t="shared" si="25"/>
        <v>157360</v>
      </c>
      <c r="G188" s="53">
        <f>E188+F188</f>
        <v>2124360</v>
      </c>
      <c r="H188" s="54">
        <v>2124360</v>
      </c>
      <c r="I188" s="55">
        <f>G188-H188</f>
        <v>0</v>
      </c>
      <c r="J188" s="56">
        <v>45341</v>
      </c>
      <c r="K188" s="57"/>
    </row>
    <row r="189" spans="1:11" ht="15.75" hidden="1" customHeight="1" x14ac:dyDescent="0.35">
      <c r="A189" s="47" t="s">
        <v>47</v>
      </c>
      <c r="B189" s="48" t="s">
        <v>470</v>
      </c>
      <c r="C189" s="49" t="s">
        <v>474</v>
      </c>
      <c r="D189" s="50"/>
      <c r="E189" s="51">
        <v>3252000</v>
      </c>
      <c r="F189" s="52">
        <f t="shared" si="25"/>
        <v>260160</v>
      </c>
      <c r="G189" s="53">
        <f t="shared" si="27"/>
        <v>3512160</v>
      </c>
      <c r="H189" s="54">
        <v>3512160</v>
      </c>
      <c r="I189" s="55">
        <f t="shared" si="26"/>
        <v>0</v>
      </c>
      <c r="J189" s="56">
        <v>45341</v>
      </c>
      <c r="K189" s="57"/>
    </row>
    <row r="190" spans="1:11" ht="15.75" hidden="1" customHeight="1" x14ac:dyDescent="0.35">
      <c r="A190" s="47" t="s">
        <v>16</v>
      </c>
      <c r="B190" s="48" t="s">
        <v>470</v>
      </c>
      <c r="C190" s="49" t="s">
        <v>475</v>
      </c>
      <c r="D190" s="50"/>
      <c r="E190" s="51">
        <v>35100000</v>
      </c>
      <c r="F190" s="52">
        <f t="shared" si="25"/>
        <v>2808000</v>
      </c>
      <c r="G190" s="53">
        <f t="shared" si="27"/>
        <v>37908000</v>
      </c>
      <c r="H190" s="54">
        <v>37908000</v>
      </c>
      <c r="I190" s="55">
        <f t="shared" si="26"/>
        <v>0</v>
      </c>
      <c r="J190" s="56">
        <v>45371</v>
      </c>
      <c r="K190" s="57"/>
    </row>
    <row r="191" spans="1:11" ht="15.75" hidden="1" customHeight="1" x14ac:dyDescent="0.35">
      <c r="A191" s="47" t="s">
        <v>20</v>
      </c>
      <c r="B191" s="48" t="s">
        <v>476</v>
      </c>
      <c r="C191" s="49" t="s">
        <v>477</v>
      </c>
      <c r="D191" s="50"/>
      <c r="E191" s="51">
        <v>1040000</v>
      </c>
      <c r="F191" s="52">
        <f t="shared" si="25"/>
        <v>83200</v>
      </c>
      <c r="G191" s="53">
        <f t="shared" si="27"/>
        <v>1123200</v>
      </c>
      <c r="H191" s="54">
        <v>1123200</v>
      </c>
      <c r="I191" s="55">
        <f t="shared" si="26"/>
        <v>0</v>
      </c>
      <c r="J191" s="56">
        <v>45341</v>
      </c>
      <c r="K191" s="57"/>
    </row>
    <row r="192" spans="1:11" ht="15.75" hidden="1" customHeight="1" x14ac:dyDescent="0.35">
      <c r="A192" s="47" t="s">
        <v>35</v>
      </c>
      <c r="B192" s="48" t="s">
        <v>476</v>
      </c>
      <c r="C192" s="50" t="s">
        <v>478</v>
      </c>
      <c r="D192" s="50"/>
      <c r="E192" s="51">
        <v>37140000</v>
      </c>
      <c r="F192" s="52">
        <f t="shared" si="25"/>
        <v>2971200</v>
      </c>
      <c r="G192" s="53">
        <f t="shared" si="27"/>
        <v>40111200</v>
      </c>
      <c r="H192" s="54">
        <v>40111200</v>
      </c>
      <c r="I192" s="55">
        <f t="shared" si="26"/>
        <v>0</v>
      </c>
      <c r="J192" s="56">
        <v>45371</v>
      </c>
      <c r="K192" s="57"/>
    </row>
    <row r="193" spans="1:11" ht="15.75" hidden="1" customHeight="1" x14ac:dyDescent="0.35">
      <c r="A193" s="47" t="s">
        <v>16</v>
      </c>
      <c r="B193" s="48" t="s">
        <v>476</v>
      </c>
      <c r="C193" s="49" t="s">
        <v>479</v>
      </c>
      <c r="D193" s="50"/>
      <c r="E193" s="51">
        <v>6000000</v>
      </c>
      <c r="F193" s="52">
        <f t="shared" si="25"/>
        <v>480000</v>
      </c>
      <c r="G193" s="53">
        <f t="shared" si="27"/>
        <v>6480000</v>
      </c>
      <c r="H193" s="54">
        <v>6480000</v>
      </c>
      <c r="I193" s="55">
        <f t="shared" si="26"/>
        <v>0</v>
      </c>
      <c r="J193" s="56">
        <v>45371</v>
      </c>
      <c r="K193" s="57"/>
    </row>
    <row r="194" spans="1:11" ht="15.75" hidden="1" customHeight="1" x14ac:dyDescent="0.35">
      <c r="A194" s="47" t="s">
        <v>52</v>
      </c>
      <c r="B194" s="48">
        <v>45316</v>
      </c>
      <c r="C194" s="49" t="s">
        <v>480</v>
      </c>
      <c r="D194" s="50" t="s">
        <v>481</v>
      </c>
      <c r="E194" s="51">
        <v>2770200</v>
      </c>
      <c r="F194" s="52">
        <f t="shared" si="25"/>
        <v>221616</v>
      </c>
      <c r="G194" s="53">
        <f t="shared" si="27"/>
        <v>2991816</v>
      </c>
      <c r="H194" s="54">
        <v>2991816</v>
      </c>
      <c r="I194" s="55">
        <f t="shared" si="26"/>
        <v>0</v>
      </c>
      <c r="J194" s="56">
        <v>45392</v>
      </c>
      <c r="K194" s="57"/>
    </row>
    <row r="195" spans="1:11" ht="15.75" hidden="1" customHeight="1" x14ac:dyDescent="0.35">
      <c r="A195" s="47" t="s">
        <v>71</v>
      </c>
      <c r="B195" s="48" t="s">
        <v>482</v>
      </c>
      <c r="C195" s="49" t="s">
        <v>483</v>
      </c>
      <c r="D195" s="50"/>
      <c r="E195" s="51">
        <v>24282000</v>
      </c>
      <c r="F195" s="52">
        <f t="shared" si="25"/>
        <v>1942560</v>
      </c>
      <c r="G195" s="53">
        <f t="shared" si="27"/>
        <v>26224560</v>
      </c>
      <c r="H195" s="54">
        <v>26224560</v>
      </c>
      <c r="I195" s="55">
        <f t="shared" si="26"/>
        <v>0</v>
      </c>
      <c r="J195" s="56">
        <v>45341</v>
      </c>
      <c r="K195" s="57"/>
    </row>
    <row r="196" spans="1:11" ht="15.75" hidden="1" customHeight="1" x14ac:dyDescent="0.35">
      <c r="A196" s="47" t="s">
        <v>36</v>
      </c>
      <c r="B196" s="48" t="s">
        <v>482</v>
      </c>
      <c r="C196" s="49" t="s">
        <v>484</v>
      </c>
      <c r="D196" s="50"/>
      <c r="E196" s="51">
        <v>11028000</v>
      </c>
      <c r="F196" s="52">
        <f t="shared" si="25"/>
        <v>882240</v>
      </c>
      <c r="G196" s="53">
        <f t="shared" si="27"/>
        <v>11910240</v>
      </c>
      <c r="H196" s="54">
        <v>11910240</v>
      </c>
      <c r="I196" s="55">
        <f t="shared" si="26"/>
        <v>0</v>
      </c>
      <c r="J196" s="56">
        <v>45371</v>
      </c>
      <c r="K196" s="57"/>
    </row>
    <row r="197" spans="1:11" ht="15.75" hidden="1" customHeight="1" x14ac:dyDescent="0.35">
      <c r="A197" s="47" t="s">
        <v>41</v>
      </c>
      <c r="B197" s="48" t="s">
        <v>485</v>
      </c>
      <c r="C197" s="50" t="s">
        <v>486</v>
      </c>
      <c r="D197" s="50"/>
      <c r="E197" s="51">
        <v>2080000</v>
      </c>
      <c r="F197" s="52">
        <f t="shared" si="25"/>
        <v>166400</v>
      </c>
      <c r="G197" s="53">
        <f t="shared" si="27"/>
        <v>2246400</v>
      </c>
      <c r="H197" s="54">
        <v>2246400</v>
      </c>
      <c r="I197" s="55">
        <f t="shared" si="26"/>
        <v>0</v>
      </c>
      <c r="J197" s="56">
        <v>45392</v>
      </c>
      <c r="K197" s="57"/>
    </row>
    <row r="198" spans="1:11" ht="15.75" hidden="1" customHeight="1" x14ac:dyDescent="0.35">
      <c r="A198" s="47" t="s">
        <v>41</v>
      </c>
      <c r="B198" s="48" t="s">
        <v>485</v>
      </c>
      <c r="C198" s="50" t="s">
        <v>487</v>
      </c>
      <c r="D198" s="50"/>
      <c r="E198" s="51">
        <v>32200800</v>
      </c>
      <c r="F198" s="52">
        <f t="shared" si="25"/>
        <v>2576064</v>
      </c>
      <c r="G198" s="53">
        <f t="shared" si="27"/>
        <v>34776864</v>
      </c>
      <c r="H198" s="54">
        <v>34776864</v>
      </c>
      <c r="I198" s="55">
        <f t="shared" si="26"/>
        <v>0</v>
      </c>
      <c r="J198" s="56">
        <v>45392</v>
      </c>
      <c r="K198" s="57"/>
    </row>
    <row r="199" spans="1:11" ht="15.75" hidden="1" customHeight="1" x14ac:dyDescent="0.35">
      <c r="A199" s="47" t="s">
        <v>114</v>
      </c>
      <c r="B199" s="48" t="s">
        <v>485</v>
      </c>
      <c r="C199" s="49" t="s">
        <v>488</v>
      </c>
      <c r="D199" s="50"/>
      <c r="E199" s="51">
        <v>26961800</v>
      </c>
      <c r="F199" s="52">
        <f t="shared" si="25"/>
        <v>2156944</v>
      </c>
      <c r="G199" s="53">
        <f t="shared" si="27"/>
        <v>29118744</v>
      </c>
      <c r="H199" s="54">
        <v>29118744</v>
      </c>
      <c r="I199" s="55">
        <f t="shared" si="26"/>
        <v>0</v>
      </c>
      <c r="J199" s="64">
        <v>45496</v>
      </c>
      <c r="K199" s="57"/>
    </row>
    <row r="200" spans="1:11" ht="15.75" hidden="1" customHeight="1" x14ac:dyDescent="0.35">
      <c r="A200" s="47" t="s">
        <v>88</v>
      </c>
      <c r="B200" s="48" t="s">
        <v>485</v>
      </c>
      <c r="C200" s="49" t="s">
        <v>96</v>
      </c>
      <c r="D200" s="50"/>
      <c r="E200" s="51">
        <v>7740000</v>
      </c>
      <c r="F200" s="52">
        <f t="shared" si="25"/>
        <v>619200</v>
      </c>
      <c r="G200" s="53">
        <f t="shared" si="27"/>
        <v>8359200</v>
      </c>
      <c r="H200" s="54">
        <v>8359200</v>
      </c>
      <c r="I200" s="55">
        <f t="shared" si="26"/>
        <v>0</v>
      </c>
      <c r="J200" s="64">
        <v>45496</v>
      </c>
      <c r="K200" s="57"/>
    </row>
    <row r="201" spans="1:11" ht="15.75" hidden="1" customHeight="1" x14ac:dyDescent="0.35">
      <c r="A201" s="47" t="s">
        <v>212</v>
      </c>
      <c r="B201" s="48" t="s">
        <v>485</v>
      </c>
      <c r="C201" s="50" t="s">
        <v>97</v>
      </c>
      <c r="D201" s="50" t="s">
        <v>489</v>
      </c>
      <c r="E201" s="51">
        <v>10894400</v>
      </c>
      <c r="F201" s="52">
        <f t="shared" si="25"/>
        <v>871552</v>
      </c>
      <c r="G201" s="53">
        <f t="shared" si="27"/>
        <v>11765952</v>
      </c>
      <c r="H201" s="54">
        <v>11765952</v>
      </c>
      <c r="I201" s="55">
        <f t="shared" si="26"/>
        <v>0</v>
      </c>
      <c r="J201" s="56">
        <v>45496</v>
      </c>
      <c r="K201" s="57"/>
    </row>
    <row r="202" spans="1:11" ht="15.75" hidden="1" customHeight="1" x14ac:dyDescent="0.35">
      <c r="A202" s="47" t="s">
        <v>180</v>
      </c>
      <c r="B202" s="48" t="s">
        <v>485</v>
      </c>
      <c r="C202" s="49" t="s">
        <v>490</v>
      </c>
      <c r="D202" s="50"/>
      <c r="E202" s="51">
        <v>5928000</v>
      </c>
      <c r="F202" s="52">
        <f t="shared" si="25"/>
        <v>474240</v>
      </c>
      <c r="G202" s="53">
        <f t="shared" si="27"/>
        <v>6402240</v>
      </c>
      <c r="H202" s="54">
        <v>6402240</v>
      </c>
      <c r="I202" s="55">
        <f t="shared" si="26"/>
        <v>0</v>
      </c>
      <c r="J202" s="64">
        <v>45496</v>
      </c>
      <c r="K202" s="57"/>
    </row>
    <row r="203" spans="1:11" ht="15.75" hidden="1" customHeight="1" x14ac:dyDescent="0.35">
      <c r="A203" s="47" t="s">
        <v>112</v>
      </c>
      <c r="B203" s="48" t="s">
        <v>491</v>
      </c>
      <c r="C203" s="50" t="s">
        <v>101</v>
      </c>
      <c r="D203" s="50"/>
      <c r="E203" s="51">
        <v>5760000</v>
      </c>
      <c r="F203" s="52">
        <f t="shared" si="25"/>
        <v>460800</v>
      </c>
      <c r="G203" s="53">
        <f t="shared" si="27"/>
        <v>6220800</v>
      </c>
      <c r="H203" s="54">
        <v>6220800</v>
      </c>
      <c r="I203" s="55">
        <f t="shared" si="26"/>
        <v>0</v>
      </c>
      <c r="J203" s="56">
        <v>45496</v>
      </c>
      <c r="K203" s="57"/>
    </row>
    <row r="204" spans="1:11" ht="15.75" hidden="1" customHeight="1" x14ac:dyDescent="0.35">
      <c r="A204" s="47" t="s">
        <v>19</v>
      </c>
      <c r="B204" s="48" t="s">
        <v>491</v>
      </c>
      <c r="C204" s="49" t="s">
        <v>492</v>
      </c>
      <c r="D204" s="50"/>
      <c r="E204" s="51">
        <v>4090000</v>
      </c>
      <c r="F204" s="52">
        <f t="shared" si="25"/>
        <v>327200</v>
      </c>
      <c r="G204" s="53">
        <f t="shared" si="27"/>
        <v>4417200</v>
      </c>
      <c r="H204" s="54">
        <v>4417200</v>
      </c>
      <c r="I204" s="55">
        <f t="shared" si="26"/>
        <v>0</v>
      </c>
      <c r="J204" s="64">
        <v>45496</v>
      </c>
      <c r="K204" s="57"/>
    </row>
    <row r="205" spans="1:11" ht="15.75" hidden="1" customHeight="1" x14ac:dyDescent="0.35">
      <c r="A205" s="47" t="s">
        <v>33</v>
      </c>
      <c r="B205" s="48">
        <v>45315</v>
      </c>
      <c r="C205" s="49" t="s">
        <v>493</v>
      </c>
      <c r="D205" s="49" t="s">
        <v>494</v>
      </c>
      <c r="E205" s="51">
        <v>50937800</v>
      </c>
      <c r="F205" s="52">
        <f t="shared" si="25"/>
        <v>4075024</v>
      </c>
      <c r="G205" s="53">
        <f t="shared" si="27"/>
        <v>55012824</v>
      </c>
      <c r="H205" s="54">
        <v>55012824</v>
      </c>
      <c r="I205" s="55">
        <f t="shared" si="26"/>
        <v>0</v>
      </c>
      <c r="J205" s="56">
        <v>45392</v>
      </c>
      <c r="K205" s="57"/>
    </row>
    <row r="206" spans="1:11" ht="15.75" hidden="1" customHeight="1" x14ac:dyDescent="0.35">
      <c r="A206" s="47" t="s">
        <v>70</v>
      </c>
      <c r="B206" s="48" t="s">
        <v>495</v>
      </c>
      <c r="C206" s="49" t="s">
        <v>193</v>
      </c>
      <c r="D206" s="50"/>
      <c r="E206" s="51">
        <v>6008400</v>
      </c>
      <c r="F206" s="52">
        <f t="shared" si="25"/>
        <v>480672</v>
      </c>
      <c r="G206" s="53">
        <f t="shared" si="27"/>
        <v>6489072</v>
      </c>
      <c r="H206" s="54">
        <v>6489072</v>
      </c>
      <c r="I206" s="55">
        <f t="shared" si="26"/>
        <v>0</v>
      </c>
      <c r="J206" s="56">
        <v>45341</v>
      </c>
      <c r="K206" s="57"/>
    </row>
    <row r="207" spans="1:11" ht="15.75" hidden="1" customHeight="1" x14ac:dyDescent="0.35">
      <c r="A207" s="47" t="s">
        <v>16</v>
      </c>
      <c r="B207" s="48" t="s">
        <v>495</v>
      </c>
      <c r="C207" s="49" t="s">
        <v>496</v>
      </c>
      <c r="D207" s="50"/>
      <c r="E207" s="51">
        <v>5400000</v>
      </c>
      <c r="F207" s="52">
        <f t="shared" si="25"/>
        <v>432000</v>
      </c>
      <c r="G207" s="53">
        <f t="shared" si="27"/>
        <v>5832000</v>
      </c>
      <c r="H207" s="54">
        <v>5832000</v>
      </c>
      <c r="I207" s="55">
        <f t="shared" si="26"/>
        <v>0</v>
      </c>
      <c r="J207" s="56">
        <v>45371</v>
      </c>
      <c r="K207" s="57"/>
    </row>
    <row r="208" spans="1:11" ht="15.75" hidden="1" customHeight="1" x14ac:dyDescent="0.35">
      <c r="A208" s="47" t="s">
        <v>47</v>
      </c>
      <c r="B208" s="48" t="s">
        <v>497</v>
      </c>
      <c r="C208" s="49" t="s">
        <v>498</v>
      </c>
      <c r="D208" s="50"/>
      <c r="E208" s="51">
        <v>1040000</v>
      </c>
      <c r="F208" s="52">
        <f t="shared" si="25"/>
        <v>83200</v>
      </c>
      <c r="G208" s="53">
        <f t="shared" si="27"/>
        <v>1123200</v>
      </c>
      <c r="H208" s="54">
        <v>1123200</v>
      </c>
      <c r="I208" s="55">
        <f t="shared" si="26"/>
        <v>0</v>
      </c>
      <c r="J208" s="56">
        <v>45341</v>
      </c>
      <c r="K208" s="57"/>
    </row>
    <row r="209" spans="1:11" ht="15.75" hidden="1" customHeight="1" x14ac:dyDescent="0.35">
      <c r="A209" s="47" t="s">
        <v>24</v>
      </c>
      <c r="B209" s="48" t="s">
        <v>499</v>
      </c>
      <c r="C209" s="49" t="s">
        <v>500</v>
      </c>
      <c r="D209" s="50"/>
      <c r="E209" s="51">
        <v>2045000</v>
      </c>
      <c r="F209" s="52">
        <f t="shared" si="25"/>
        <v>163600</v>
      </c>
      <c r="G209" s="53">
        <f t="shared" si="27"/>
        <v>2208600</v>
      </c>
      <c r="H209" s="54">
        <v>2208600</v>
      </c>
      <c r="I209" s="55">
        <f t="shared" si="26"/>
        <v>0</v>
      </c>
      <c r="J209" s="56">
        <v>45341</v>
      </c>
      <c r="K209" s="57"/>
    </row>
    <row r="210" spans="1:11" ht="15.75" hidden="1" customHeight="1" x14ac:dyDescent="0.35">
      <c r="A210" s="47" t="s">
        <v>105</v>
      </c>
      <c r="B210" s="48" t="s">
        <v>501</v>
      </c>
      <c r="C210" s="49" t="s">
        <v>502</v>
      </c>
      <c r="D210" s="50"/>
      <c r="E210" s="51">
        <v>15980800</v>
      </c>
      <c r="F210" s="52">
        <f t="shared" si="25"/>
        <v>1278464</v>
      </c>
      <c r="G210" s="53">
        <f t="shared" si="27"/>
        <v>17259264</v>
      </c>
      <c r="H210" s="54">
        <v>17259264</v>
      </c>
      <c r="I210" s="55">
        <f t="shared" si="26"/>
        <v>0</v>
      </c>
      <c r="J210" s="64">
        <v>45496</v>
      </c>
      <c r="K210" s="57"/>
    </row>
    <row r="211" spans="1:11" ht="15.75" hidden="1" customHeight="1" x14ac:dyDescent="0.35">
      <c r="A211" s="47" t="s">
        <v>105</v>
      </c>
      <c r="B211" s="48" t="s">
        <v>503</v>
      </c>
      <c r="C211" s="49" t="s">
        <v>504</v>
      </c>
      <c r="D211" s="50"/>
      <c r="E211" s="51">
        <v>2080000</v>
      </c>
      <c r="F211" s="52">
        <f t="shared" si="25"/>
        <v>166400</v>
      </c>
      <c r="G211" s="53">
        <f t="shared" si="27"/>
        <v>2246400</v>
      </c>
      <c r="H211" s="54">
        <v>2246400</v>
      </c>
      <c r="I211" s="55">
        <f t="shared" si="26"/>
        <v>0</v>
      </c>
      <c r="J211" s="56">
        <v>45392</v>
      </c>
      <c r="K211" s="57"/>
    </row>
    <row r="212" spans="1:11" ht="15.75" hidden="1" customHeight="1" x14ac:dyDescent="0.35">
      <c r="A212" s="47" t="s">
        <v>44</v>
      </c>
      <c r="B212" s="48" t="s">
        <v>503</v>
      </c>
      <c r="C212" s="50" t="s">
        <v>505</v>
      </c>
      <c r="D212" s="50"/>
      <c r="E212" s="51">
        <v>1040000</v>
      </c>
      <c r="F212" s="52">
        <f t="shared" si="25"/>
        <v>83200</v>
      </c>
      <c r="G212" s="53">
        <f t="shared" si="27"/>
        <v>1123200</v>
      </c>
      <c r="H212" s="54">
        <v>1123200</v>
      </c>
      <c r="I212" s="55">
        <f t="shared" si="26"/>
        <v>0</v>
      </c>
      <c r="J212" s="56">
        <v>45392</v>
      </c>
      <c r="K212" s="57"/>
    </row>
    <row r="213" spans="1:11" ht="15.75" hidden="1" customHeight="1" x14ac:dyDescent="0.35">
      <c r="A213" s="47" t="s">
        <v>70</v>
      </c>
      <c r="B213" s="48" t="s">
        <v>503</v>
      </c>
      <c r="C213" s="50" t="s">
        <v>506</v>
      </c>
      <c r="D213" s="50"/>
      <c r="E213" s="51">
        <v>520000</v>
      </c>
      <c r="F213" s="52">
        <f>+E213*0.08</f>
        <v>41600</v>
      </c>
      <c r="G213" s="53">
        <f t="shared" si="27"/>
        <v>561600</v>
      </c>
      <c r="H213" s="54">
        <v>561600</v>
      </c>
      <c r="I213" s="55">
        <f t="shared" si="26"/>
        <v>0</v>
      </c>
      <c r="J213" s="64">
        <v>45496</v>
      </c>
      <c r="K213" s="57"/>
    </row>
    <row r="214" spans="1:11" ht="15.75" hidden="1" customHeight="1" x14ac:dyDescent="0.35">
      <c r="A214" s="47" t="s">
        <v>15</v>
      </c>
      <c r="B214" s="48" t="s">
        <v>503</v>
      </c>
      <c r="C214" s="50" t="s">
        <v>507</v>
      </c>
      <c r="D214" s="50"/>
      <c r="E214" s="51">
        <v>2045000</v>
      </c>
      <c r="F214" s="52">
        <f t="shared" si="25"/>
        <v>163600</v>
      </c>
      <c r="G214" s="53">
        <f t="shared" si="27"/>
        <v>2208600</v>
      </c>
      <c r="H214" s="54">
        <v>2208600</v>
      </c>
      <c r="I214" s="55">
        <f t="shared" si="26"/>
        <v>0</v>
      </c>
      <c r="J214" s="56">
        <v>45392</v>
      </c>
      <c r="K214" s="57"/>
    </row>
    <row r="215" spans="1:11" ht="15.75" hidden="1" customHeight="1" x14ac:dyDescent="0.35">
      <c r="A215" s="47" t="s">
        <v>53</v>
      </c>
      <c r="B215" s="48" t="s">
        <v>503</v>
      </c>
      <c r="C215" s="50" t="s">
        <v>508</v>
      </c>
      <c r="D215" s="50"/>
      <c r="E215" s="51">
        <v>2045000</v>
      </c>
      <c r="F215" s="52">
        <f t="shared" si="25"/>
        <v>163600</v>
      </c>
      <c r="G215" s="53">
        <f t="shared" si="27"/>
        <v>2208600</v>
      </c>
      <c r="H215" s="54">
        <v>2208600</v>
      </c>
      <c r="I215" s="55">
        <f t="shared" si="26"/>
        <v>0</v>
      </c>
      <c r="J215" s="56">
        <v>45392</v>
      </c>
      <c r="K215" s="57"/>
    </row>
    <row r="216" spans="1:11" ht="15.75" hidden="1" customHeight="1" x14ac:dyDescent="0.35">
      <c r="A216" s="47" t="s">
        <v>32</v>
      </c>
      <c r="B216" s="48" t="s">
        <v>503</v>
      </c>
      <c r="C216" s="50" t="s">
        <v>509</v>
      </c>
      <c r="D216" s="50"/>
      <c r="E216" s="51">
        <v>1040000</v>
      </c>
      <c r="F216" s="52">
        <f t="shared" si="25"/>
        <v>83200</v>
      </c>
      <c r="G216" s="53">
        <f t="shared" si="27"/>
        <v>1123200</v>
      </c>
      <c r="H216" s="54">
        <v>1123200</v>
      </c>
      <c r="I216" s="55">
        <f t="shared" si="26"/>
        <v>0</v>
      </c>
      <c r="J216" s="56">
        <v>45392</v>
      </c>
      <c r="K216" s="57"/>
    </row>
    <row r="217" spans="1:11" ht="15.75" hidden="1" customHeight="1" x14ac:dyDescent="0.35">
      <c r="A217" s="47" t="s">
        <v>127</v>
      </c>
      <c r="B217" s="48" t="s">
        <v>503</v>
      </c>
      <c r="C217" s="50" t="s">
        <v>510</v>
      </c>
      <c r="D217" s="50"/>
      <c r="E217" s="51">
        <v>1022500</v>
      </c>
      <c r="F217" s="52">
        <f t="shared" ref="F217:F279" si="28">+E217*0.08</f>
        <v>81800</v>
      </c>
      <c r="G217" s="53">
        <f t="shared" si="27"/>
        <v>1104300</v>
      </c>
      <c r="H217" s="54">
        <v>1104300</v>
      </c>
      <c r="I217" s="55">
        <f t="shared" si="26"/>
        <v>0</v>
      </c>
      <c r="J217" s="56">
        <v>45392</v>
      </c>
      <c r="K217" s="57"/>
    </row>
    <row r="218" spans="1:11" ht="15.75" hidden="1" customHeight="1" x14ac:dyDescent="0.35">
      <c r="A218" s="47" t="s">
        <v>78</v>
      </c>
      <c r="B218" s="48" t="s">
        <v>503</v>
      </c>
      <c r="C218" s="50" t="s">
        <v>511</v>
      </c>
      <c r="D218" s="50"/>
      <c r="E218" s="51">
        <v>2045000</v>
      </c>
      <c r="F218" s="52">
        <f t="shared" si="28"/>
        <v>163600</v>
      </c>
      <c r="G218" s="53">
        <f t="shared" si="27"/>
        <v>2208600</v>
      </c>
      <c r="H218" s="54">
        <v>2208600</v>
      </c>
      <c r="I218" s="55">
        <f t="shared" si="26"/>
        <v>0</v>
      </c>
      <c r="J218" s="56">
        <v>45531</v>
      </c>
      <c r="K218" s="57"/>
    </row>
    <row r="219" spans="1:11" ht="15.75" hidden="1" customHeight="1" x14ac:dyDescent="0.35">
      <c r="A219" s="47" t="s">
        <v>47</v>
      </c>
      <c r="B219" s="48" t="s">
        <v>503</v>
      </c>
      <c r="C219" s="50" t="s">
        <v>512</v>
      </c>
      <c r="D219" s="50"/>
      <c r="E219" s="51">
        <v>1040000</v>
      </c>
      <c r="F219" s="52">
        <f t="shared" si="28"/>
        <v>83200</v>
      </c>
      <c r="G219" s="53">
        <f t="shared" si="27"/>
        <v>1123200</v>
      </c>
      <c r="H219" s="54">
        <v>1123200</v>
      </c>
      <c r="I219" s="55">
        <f t="shared" si="26"/>
        <v>0</v>
      </c>
      <c r="J219" s="56">
        <v>45392</v>
      </c>
      <c r="K219" s="57"/>
    </row>
    <row r="220" spans="1:11" ht="15.75" hidden="1" customHeight="1" x14ac:dyDescent="0.35">
      <c r="A220" s="47" t="s">
        <v>61</v>
      </c>
      <c r="B220" s="48" t="s">
        <v>503</v>
      </c>
      <c r="C220" s="50" t="s">
        <v>513</v>
      </c>
      <c r="D220" s="50"/>
      <c r="E220" s="51">
        <v>2045000</v>
      </c>
      <c r="F220" s="52">
        <f t="shared" si="28"/>
        <v>163600</v>
      </c>
      <c r="G220" s="53">
        <f t="shared" si="27"/>
        <v>2208600</v>
      </c>
      <c r="H220" s="54">
        <v>2208600</v>
      </c>
      <c r="I220" s="55">
        <f t="shared" si="26"/>
        <v>0</v>
      </c>
      <c r="J220" s="56">
        <v>45392</v>
      </c>
      <c r="K220" s="57"/>
    </row>
    <row r="221" spans="1:11" ht="15.75" hidden="1" customHeight="1" x14ac:dyDescent="0.35">
      <c r="A221" s="47" t="s">
        <v>35</v>
      </c>
      <c r="B221" s="48" t="s">
        <v>514</v>
      </c>
      <c r="C221" s="50" t="s">
        <v>196</v>
      </c>
      <c r="D221" s="50"/>
      <c r="E221" s="51">
        <v>2045000</v>
      </c>
      <c r="F221" s="52">
        <f t="shared" si="28"/>
        <v>163600</v>
      </c>
      <c r="G221" s="53">
        <f t="shared" si="27"/>
        <v>2208600</v>
      </c>
      <c r="H221" s="54">
        <v>2208600</v>
      </c>
      <c r="I221" s="55">
        <f t="shared" si="26"/>
        <v>0</v>
      </c>
      <c r="J221" s="64">
        <v>45496</v>
      </c>
      <c r="K221" s="57"/>
    </row>
    <row r="222" spans="1:11" ht="15.75" hidden="1" customHeight="1" x14ac:dyDescent="0.35">
      <c r="A222" s="47" t="s">
        <v>71</v>
      </c>
      <c r="B222" s="48" t="s">
        <v>514</v>
      </c>
      <c r="C222" s="50" t="s">
        <v>515</v>
      </c>
      <c r="D222" s="50"/>
      <c r="E222" s="51">
        <v>1040000</v>
      </c>
      <c r="F222" s="52">
        <f t="shared" si="28"/>
        <v>83200</v>
      </c>
      <c r="G222" s="53">
        <f t="shared" si="27"/>
        <v>1123200</v>
      </c>
      <c r="H222" s="54">
        <v>1123200</v>
      </c>
      <c r="I222" s="55">
        <f t="shared" si="26"/>
        <v>0</v>
      </c>
      <c r="J222" s="56">
        <v>45392</v>
      </c>
      <c r="K222" s="57"/>
    </row>
    <row r="223" spans="1:11" ht="15.75" hidden="1" customHeight="1" x14ac:dyDescent="0.35">
      <c r="A223" s="47" t="s">
        <v>16</v>
      </c>
      <c r="B223" s="48" t="s">
        <v>514</v>
      </c>
      <c r="C223" s="50" t="s">
        <v>516</v>
      </c>
      <c r="D223" s="50"/>
      <c r="E223" s="51">
        <v>1022500</v>
      </c>
      <c r="F223" s="52">
        <f t="shared" si="28"/>
        <v>81800</v>
      </c>
      <c r="G223" s="53">
        <f t="shared" si="27"/>
        <v>1104300</v>
      </c>
      <c r="H223" s="54">
        <v>1104300</v>
      </c>
      <c r="I223" s="55">
        <f t="shared" si="26"/>
        <v>0</v>
      </c>
      <c r="J223" s="56">
        <v>45392</v>
      </c>
      <c r="K223" s="57"/>
    </row>
    <row r="224" spans="1:11" ht="15.75" hidden="1" customHeight="1" x14ac:dyDescent="0.35">
      <c r="A224" s="47" t="s">
        <v>39</v>
      </c>
      <c r="B224" s="48" t="s">
        <v>514</v>
      </c>
      <c r="C224" s="50" t="s">
        <v>517</v>
      </c>
      <c r="D224" s="50"/>
      <c r="E224" s="51">
        <v>1040000</v>
      </c>
      <c r="F224" s="52">
        <f t="shared" si="28"/>
        <v>83200</v>
      </c>
      <c r="G224" s="53">
        <f t="shared" si="27"/>
        <v>1123200</v>
      </c>
      <c r="H224" s="54">
        <v>1123200</v>
      </c>
      <c r="I224" s="55">
        <f t="shared" si="26"/>
        <v>0</v>
      </c>
      <c r="J224" s="56">
        <v>45392</v>
      </c>
      <c r="K224" s="57"/>
    </row>
    <row r="225" spans="1:11" ht="15.75" hidden="1" customHeight="1" x14ac:dyDescent="0.35">
      <c r="A225" s="47" t="s">
        <v>24</v>
      </c>
      <c r="B225" s="48" t="s">
        <v>514</v>
      </c>
      <c r="C225" s="50" t="s">
        <v>518</v>
      </c>
      <c r="D225" s="50"/>
      <c r="E225" s="51">
        <v>2045000</v>
      </c>
      <c r="F225" s="52">
        <f t="shared" si="28"/>
        <v>163600</v>
      </c>
      <c r="G225" s="53">
        <f t="shared" si="27"/>
        <v>2208600</v>
      </c>
      <c r="H225" s="54">
        <v>2208600</v>
      </c>
      <c r="I225" s="55">
        <f t="shared" si="26"/>
        <v>0</v>
      </c>
      <c r="J225" s="56">
        <v>45371</v>
      </c>
      <c r="K225" s="57"/>
    </row>
    <row r="226" spans="1:11" ht="15.75" hidden="1" customHeight="1" x14ac:dyDescent="0.35">
      <c r="A226" s="47" t="s">
        <v>19</v>
      </c>
      <c r="B226" s="48" t="s">
        <v>519</v>
      </c>
      <c r="C226" s="50" t="s">
        <v>520</v>
      </c>
      <c r="D226" s="50"/>
      <c r="E226" s="51">
        <v>2045000</v>
      </c>
      <c r="F226" s="52">
        <f t="shared" si="28"/>
        <v>163600</v>
      </c>
      <c r="G226" s="53">
        <f t="shared" si="27"/>
        <v>2208600</v>
      </c>
      <c r="H226" s="54">
        <v>2208600</v>
      </c>
      <c r="I226" s="55">
        <f t="shared" si="26"/>
        <v>0</v>
      </c>
      <c r="J226" s="56">
        <v>45392</v>
      </c>
      <c r="K226" s="57"/>
    </row>
    <row r="227" spans="1:11" ht="15.75" hidden="1" customHeight="1" x14ac:dyDescent="0.35">
      <c r="A227" s="47" t="s">
        <v>54</v>
      </c>
      <c r="B227" s="48" t="s">
        <v>519</v>
      </c>
      <c r="C227" s="50" t="s">
        <v>197</v>
      </c>
      <c r="D227" s="50"/>
      <c r="E227" s="51">
        <v>1022500</v>
      </c>
      <c r="F227" s="52">
        <f t="shared" si="28"/>
        <v>81800</v>
      </c>
      <c r="G227" s="53">
        <f t="shared" si="27"/>
        <v>1104300</v>
      </c>
      <c r="H227" s="54">
        <v>1104300</v>
      </c>
      <c r="I227" s="55">
        <f t="shared" si="26"/>
        <v>0</v>
      </c>
      <c r="J227" s="56">
        <v>45392</v>
      </c>
      <c r="K227" s="57"/>
    </row>
    <row r="228" spans="1:11" ht="15.75" hidden="1" customHeight="1" x14ac:dyDescent="0.35">
      <c r="A228" s="47" t="s">
        <v>164</v>
      </c>
      <c r="B228" s="48" t="s">
        <v>521</v>
      </c>
      <c r="C228" s="50" t="s">
        <v>522</v>
      </c>
      <c r="D228" s="50"/>
      <c r="E228" s="51">
        <v>1040000</v>
      </c>
      <c r="F228" s="52">
        <f t="shared" si="28"/>
        <v>83200</v>
      </c>
      <c r="G228" s="53">
        <f t="shared" si="27"/>
        <v>1123200</v>
      </c>
      <c r="H228" s="54">
        <v>1123200</v>
      </c>
      <c r="I228" s="55">
        <f t="shared" si="26"/>
        <v>0</v>
      </c>
      <c r="J228" s="56">
        <v>45392</v>
      </c>
      <c r="K228" s="57"/>
    </row>
    <row r="229" spans="1:11" ht="15.75" hidden="1" customHeight="1" x14ac:dyDescent="0.35">
      <c r="A229" s="47" t="s">
        <v>106</v>
      </c>
      <c r="B229" s="48" t="s">
        <v>523</v>
      </c>
      <c r="C229" s="50" t="s">
        <v>524</v>
      </c>
      <c r="D229" s="50"/>
      <c r="E229" s="51">
        <v>4090000</v>
      </c>
      <c r="F229" s="52">
        <f t="shared" si="28"/>
        <v>327200</v>
      </c>
      <c r="G229" s="53">
        <f t="shared" si="27"/>
        <v>4417200</v>
      </c>
      <c r="H229" s="54">
        <v>4417200</v>
      </c>
      <c r="I229" s="55">
        <f t="shared" si="26"/>
        <v>0</v>
      </c>
      <c r="J229" s="56">
        <v>45392</v>
      </c>
      <c r="K229" s="57"/>
    </row>
    <row r="230" spans="1:11" ht="15.75" hidden="1" customHeight="1" x14ac:dyDescent="0.35">
      <c r="A230" s="47" t="s">
        <v>52</v>
      </c>
      <c r="B230" s="48" t="s">
        <v>523</v>
      </c>
      <c r="C230" s="50" t="s">
        <v>525</v>
      </c>
      <c r="D230" s="50"/>
      <c r="E230" s="51">
        <v>520000</v>
      </c>
      <c r="F230" s="52">
        <f t="shared" si="28"/>
        <v>41600</v>
      </c>
      <c r="G230" s="53">
        <f t="shared" si="27"/>
        <v>561600</v>
      </c>
      <c r="H230" s="54">
        <v>561600</v>
      </c>
      <c r="I230" s="55">
        <f t="shared" si="26"/>
        <v>0</v>
      </c>
      <c r="J230" s="56">
        <v>45392</v>
      </c>
      <c r="K230" s="57"/>
    </row>
    <row r="231" spans="1:11" ht="15.75" hidden="1" customHeight="1" x14ac:dyDescent="0.35">
      <c r="A231" s="47" t="s">
        <v>20</v>
      </c>
      <c r="B231" s="48" t="s">
        <v>526</v>
      </c>
      <c r="C231" s="49" t="s">
        <v>527</v>
      </c>
      <c r="D231" s="50"/>
      <c r="E231" s="51">
        <v>1040000</v>
      </c>
      <c r="F231" s="52">
        <f t="shared" si="28"/>
        <v>83200</v>
      </c>
      <c r="G231" s="53">
        <f t="shared" si="27"/>
        <v>1123200</v>
      </c>
      <c r="H231" s="54">
        <v>1123200</v>
      </c>
      <c r="I231" s="55">
        <f t="shared" si="26"/>
        <v>0</v>
      </c>
      <c r="J231" s="64">
        <v>45496</v>
      </c>
      <c r="K231" s="57"/>
    </row>
    <row r="232" spans="1:11" ht="15.75" hidden="1" customHeight="1" x14ac:dyDescent="0.35">
      <c r="A232" s="47" t="s">
        <v>15</v>
      </c>
      <c r="B232" s="48" t="s">
        <v>528</v>
      </c>
      <c r="C232" s="50" t="s">
        <v>529</v>
      </c>
      <c r="D232" s="50"/>
      <c r="E232" s="51">
        <v>2045000</v>
      </c>
      <c r="F232" s="52">
        <f t="shared" si="28"/>
        <v>163600</v>
      </c>
      <c r="G232" s="53">
        <f t="shared" si="27"/>
        <v>2208600</v>
      </c>
      <c r="H232" s="54">
        <v>2208600</v>
      </c>
      <c r="I232" s="55">
        <f t="shared" si="26"/>
        <v>0</v>
      </c>
      <c r="J232" s="64">
        <v>45496</v>
      </c>
      <c r="K232" s="57"/>
    </row>
    <row r="233" spans="1:11" ht="15.75" hidden="1" customHeight="1" x14ac:dyDescent="0.35">
      <c r="A233" s="47" t="s">
        <v>21</v>
      </c>
      <c r="B233" s="48" t="s">
        <v>528</v>
      </c>
      <c r="C233" s="50" t="s">
        <v>530</v>
      </c>
      <c r="D233" s="50"/>
      <c r="E233" s="51">
        <v>1005000</v>
      </c>
      <c r="F233" s="52">
        <f t="shared" si="28"/>
        <v>80400</v>
      </c>
      <c r="G233" s="53">
        <f t="shared" si="27"/>
        <v>1085400</v>
      </c>
      <c r="H233" s="54">
        <v>1085400</v>
      </c>
      <c r="I233" s="55">
        <f t="shared" si="26"/>
        <v>0</v>
      </c>
      <c r="J233" s="64">
        <v>45496</v>
      </c>
      <c r="K233" s="57"/>
    </row>
    <row r="234" spans="1:11" ht="15.75" hidden="1" customHeight="1" x14ac:dyDescent="0.35">
      <c r="A234" s="47" t="s">
        <v>69</v>
      </c>
      <c r="B234" s="48" t="s">
        <v>531</v>
      </c>
      <c r="C234" s="50" t="s">
        <v>532</v>
      </c>
      <c r="D234" s="50"/>
      <c r="E234" s="51">
        <v>1040000</v>
      </c>
      <c r="F234" s="52">
        <f t="shared" si="28"/>
        <v>83200</v>
      </c>
      <c r="G234" s="53">
        <f t="shared" si="27"/>
        <v>1123200</v>
      </c>
      <c r="H234" s="54">
        <v>1123200</v>
      </c>
      <c r="I234" s="55">
        <f t="shared" si="26"/>
        <v>0</v>
      </c>
      <c r="J234" s="56">
        <v>45496</v>
      </c>
      <c r="K234" s="57"/>
    </row>
    <row r="235" spans="1:11" ht="15.75" hidden="1" customHeight="1" x14ac:dyDescent="0.35">
      <c r="A235" s="47" t="s">
        <v>105</v>
      </c>
      <c r="B235" s="48" t="s">
        <v>531</v>
      </c>
      <c r="C235" s="49" t="s">
        <v>533</v>
      </c>
      <c r="D235" s="50"/>
      <c r="E235" s="51">
        <v>3050000</v>
      </c>
      <c r="F235" s="52">
        <f t="shared" si="28"/>
        <v>244000</v>
      </c>
      <c r="G235" s="53">
        <f t="shared" si="27"/>
        <v>3294000</v>
      </c>
      <c r="H235" s="54">
        <v>3294000</v>
      </c>
      <c r="I235" s="55">
        <f t="shared" si="26"/>
        <v>0</v>
      </c>
      <c r="J235" s="64">
        <v>45496</v>
      </c>
      <c r="K235" s="57"/>
    </row>
    <row r="236" spans="1:11" ht="15.75" hidden="1" customHeight="1" x14ac:dyDescent="0.35">
      <c r="A236" s="47" t="s">
        <v>72</v>
      </c>
      <c r="B236" s="48" t="s">
        <v>531</v>
      </c>
      <c r="C236" s="50" t="s">
        <v>534</v>
      </c>
      <c r="D236" s="50"/>
      <c r="E236" s="51">
        <v>1040000</v>
      </c>
      <c r="F236" s="52">
        <f t="shared" si="28"/>
        <v>83200</v>
      </c>
      <c r="G236" s="53">
        <f t="shared" si="27"/>
        <v>1123200</v>
      </c>
      <c r="H236" s="54">
        <v>1123200</v>
      </c>
      <c r="I236" s="55">
        <f t="shared" si="26"/>
        <v>0</v>
      </c>
      <c r="J236" s="56">
        <v>45496</v>
      </c>
      <c r="K236" s="57"/>
    </row>
    <row r="237" spans="1:11" ht="15.75" hidden="1" customHeight="1" x14ac:dyDescent="0.35">
      <c r="A237" s="47" t="s">
        <v>47</v>
      </c>
      <c r="B237" s="48" t="s">
        <v>535</v>
      </c>
      <c r="C237" s="50" t="s">
        <v>536</v>
      </c>
      <c r="D237" s="50"/>
      <c r="E237" s="51">
        <v>1040000</v>
      </c>
      <c r="F237" s="52">
        <f t="shared" si="28"/>
        <v>83200</v>
      </c>
      <c r="G237" s="53">
        <f t="shared" si="27"/>
        <v>1123200</v>
      </c>
      <c r="H237" s="54">
        <v>1123200</v>
      </c>
      <c r="I237" s="55">
        <f t="shared" ref="I237:I299" si="29">G237-H237</f>
        <v>0</v>
      </c>
      <c r="J237" s="64">
        <v>45496</v>
      </c>
      <c r="K237" s="57"/>
    </row>
    <row r="238" spans="1:11" ht="15.75" hidden="1" customHeight="1" x14ac:dyDescent="0.35">
      <c r="A238" s="47" t="s">
        <v>19</v>
      </c>
      <c r="B238" s="48" t="s">
        <v>537</v>
      </c>
      <c r="C238" s="50" t="s">
        <v>538</v>
      </c>
      <c r="D238" s="50"/>
      <c r="E238" s="51">
        <v>4090000</v>
      </c>
      <c r="F238" s="52">
        <f t="shared" si="28"/>
        <v>327200</v>
      </c>
      <c r="G238" s="53">
        <f t="shared" ref="G238:G300" si="30">E238+F238</f>
        <v>4417200</v>
      </c>
      <c r="H238" s="54">
        <v>4417200</v>
      </c>
      <c r="I238" s="55">
        <f t="shared" si="29"/>
        <v>0</v>
      </c>
      <c r="J238" s="64">
        <v>45496</v>
      </c>
      <c r="K238" s="57"/>
    </row>
    <row r="239" spans="1:11" ht="15.75" hidden="1" customHeight="1" x14ac:dyDescent="0.35">
      <c r="A239" s="47" t="s">
        <v>127</v>
      </c>
      <c r="B239" s="48" t="s">
        <v>537</v>
      </c>
      <c r="C239" s="50" t="s">
        <v>539</v>
      </c>
      <c r="D239" s="50"/>
      <c r="E239" s="51">
        <v>2045000</v>
      </c>
      <c r="F239" s="52">
        <f t="shared" si="28"/>
        <v>163600</v>
      </c>
      <c r="G239" s="53">
        <f t="shared" si="30"/>
        <v>2208600</v>
      </c>
      <c r="H239" s="54">
        <v>2208600</v>
      </c>
      <c r="I239" s="55">
        <f t="shared" si="29"/>
        <v>0</v>
      </c>
      <c r="J239" s="64">
        <v>45496</v>
      </c>
      <c r="K239" s="57"/>
    </row>
    <row r="240" spans="1:11" ht="15.75" hidden="1" customHeight="1" x14ac:dyDescent="0.35">
      <c r="A240" s="47" t="s">
        <v>39</v>
      </c>
      <c r="B240" s="48" t="s">
        <v>540</v>
      </c>
      <c r="C240" s="50" t="s">
        <v>541</v>
      </c>
      <c r="D240" s="50"/>
      <c r="E240" s="51">
        <v>1005000</v>
      </c>
      <c r="F240" s="52">
        <f t="shared" si="28"/>
        <v>80400</v>
      </c>
      <c r="G240" s="53">
        <f t="shared" si="30"/>
        <v>1085400</v>
      </c>
      <c r="H240" s="54">
        <v>1085400</v>
      </c>
      <c r="I240" s="55">
        <f t="shared" si="29"/>
        <v>0</v>
      </c>
      <c r="J240" s="64">
        <v>45496</v>
      </c>
      <c r="K240" s="57"/>
    </row>
    <row r="241" spans="1:11" ht="15.75" hidden="1" customHeight="1" x14ac:dyDescent="0.35">
      <c r="A241" s="47" t="s">
        <v>125</v>
      </c>
      <c r="B241" s="48" t="s">
        <v>542</v>
      </c>
      <c r="C241" s="50" t="s">
        <v>543</v>
      </c>
      <c r="D241" s="50"/>
      <c r="E241" s="51">
        <v>1040000</v>
      </c>
      <c r="F241" s="52">
        <f t="shared" si="28"/>
        <v>83200</v>
      </c>
      <c r="G241" s="53">
        <f t="shared" si="30"/>
        <v>1123200</v>
      </c>
      <c r="H241" s="54">
        <v>1123200</v>
      </c>
      <c r="I241" s="55">
        <f t="shared" si="29"/>
        <v>0</v>
      </c>
      <c r="J241" s="64">
        <v>45496</v>
      </c>
      <c r="K241" s="57"/>
    </row>
    <row r="242" spans="1:11" ht="15.75" hidden="1" customHeight="1" x14ac:dyDescent="0.35">
      <c r="A242" s="47" t="s">
        <v>22</v>
      </c>
      <c r="B242" s="48" t="s">
        <v>544</v>
      </c>
      <c r="C242" s="50" t="s">
        <v>108</v>
      </c>
      <c r="D242" s="50"/>
      <c r="E242" s="51">
        <v>2080000</v>
      </c>
      <c r="F242" s="52">
        <f t="shared" si="28"/>
        <v>166400</v>
      </c>
      <c r="G242" s="53">
        <f t="shared" si="30"/>
        <v>2246400</v>
      </c>
      <c r="H242" s="54">
        <v>2246400</v>
      </c>
      <c r="I242" s="55">
        <f t="shared" si="29"/>
        <v>0</v>
      </c>
      <c r="J242" s="64">
        <v>45496</v>
      </c>
      <c r="K242" s="57"/>
    </row>
    <row r="243" spans="1:11" ht="15.75" hidden="1" customHeight="1" x14ac:dyDescent="0.35">
      <c r="A243" s="47" t="s">
        <v>24</v>
      </c>
      <c r="B243" s="48" t="s">
        <v>545</v>
      </c>
      <c r="C243" s="50" t="s">
        <v>111</v>
      </c>
      <c r="D243" s="50"/>
      <c r="E243" s="51">
        <v>2045000</v>
      </c>
      <c r="F243" s="52">
        <f t="shared" si="28"/>
        <v>163600</v>
      </c>
      <c r="G243" s="53">
        <f t="shared" si="30"/>
        <v>2208600</v>
      </c>
      <c r="H243" s="54">
        <v>2208600</v>
      </c>
      <c r="I243" s="55">
        <f t="shared" si="29"/>
        <v>0</v>
      </c>
      <c r="J243" s="64">
        <v>45496</v>
      </c>
      <c r="K243" s="57"/>
    </row>
    <row r="244" spans="1:11" ht="15.75" hidden="1" customHeight="1" x14ac:dyDescent="0.35">
      <c r="A244" s="47" t="s">
        <v>52</v>
      </c>
      <c r="B244" s="48" t="s">
        <v>546</v>
      </c>
      <c r="C244" s="50" t="s">
        <v>115</v>
      </c>
      <c r="D244" s="50"/>
      <c r="E244" s="51">
        <v>520000</v>
      </c>
      <c r="F244" s="52">
        <f t="shared" si="28"/>
        <v>41600</v>
      </c>
      <c r="G244" s="53">
        <f t="shared" si="30"/>
        <v>561600</v>
      </c>
      <c r="H244" s="54">
        <v>561600</v>
      </c>
      <c r="I244" s="55">
        <f t="shared" si="29"/>
        <v>0</v>
      </c>
      <c r="J244" s="64">
        <v>45496</v>
      </c>
      <c r="K244" s="57"/>
    </row>
    <row r="245" spans="1:11" ht="15.75" hidden="1" customHeight="1" x14ac:dyDescent="0.35">
      <c r="A245" s="47" t="s">
        <v>100</v>
      </c>
      <c r="B245" s="48" t="s">
        <v>547</v>
      </c>
      <c r="C245" s="50" t="s">
        <v>116</v>
      </c>
      <c r="D245" s="50"/>
      <c r="E245" s="51">
        <v>2045000</v>
      </c>
      <c r="F245" s="52">
        <f t="shared" si="28"/>
        <v>163600</v>
      </c>
      <c r="G245" s="53">
        <f t="shared" si="30"/>
        <v>2208600</v>
      </c>
      <c r="H245" s="54">
        <v>2208600</v>
      </c>
      <c r="I245" s="55">
        <f t="shared" si="29"/>
        <v>0</v>
      </c>
      <c r="J245" s="64">
        <v>45496</v>
      </c>
      <c r="K245" s="57"/>
    </row>
    <row r="246" spans="1:11" ht="15.75" hidden="1" customHeight="1" x14ac:dyDescent="0.35">
      <c r="A246" s="47" t="s">
        <v>32</v>
      </c>
      <c r="B246" s="48" t="s">
        <v>548</v>
      </c>
      <c r="C246" s="50" t="s">
        <v>549</v>
      </c>
      <c r="D246" s="50"/>
      <c r="E246" s="51">
        <v>1040000</v>
      </c>
      <c r="F246" s="52">
        <f t="shared" si="28"/>
        <v>83200</v>
      </c>
      <c r="G246" s="53">
        <f t="shared" si="30"/>
        <v>1123200</v>
      </c>
      <c r="H246" s="54">
        <v>1123200</v>
      </c>
      <c r="I246" s="55">
        <f t="shared" si="29"/>
        <v>0</v>
      </c>
      <c r="J246" s="56">
        <v>45531</v>
      </c>
      <c r="K246" s="57"/>
    </row>
    <row r="247" spans="1:11" ht="15.75" hidden="1" customHeight="1" x14ac:dyDescent="0.35">
      <c r="A247" s="47" t="s">
        <v>127</v>
      </c>
      <c r="B247" s="48" t="s">
        <v>548</v>
      </c>
      <c r="C247" s="50" t="s">
        <v>550</v>
      </c>
      <c r="D247" s="50"/>
      <c r="E247" s="51">
        <v>1005000</v>
      </c>
      <c r="F247" s="52">
        <f t="shared" si="28"/>
        <v>80400</v>
      </c>
      <c r="G247" s="53">
        <f t="shared" si="30"/>
        <v>1085400</v>
      </c>
      <c r="H247" s="54">
        <v>1085400</v>
      </c>
      <c r="I247" s="55">
        <f t="shared" si="29"/>
        <v>0</v>
      </c>
      <c r="J247" s="64">
        <v>45496</v>
      </c>
      <c r="K247" s="57"/>
    </row>
    <row r="248" spans="1:11" ht="15.75" hidden="1" customHeight="1" x14ac:dyDescent="0.35">
      <c r="A248" s="47" t="s">
        <v>70</v>
      </c>
      <c r="B248" s="48" t="s">
        <v>548</v>
      </c>
      <c r="C248" s="50" t="s">
        <v>551</v>
      </c>
      <c r="D248" s="50"/>
      <c r="E248" s="51">
        <v>520000</v>
      </c>
      <c r="F248" s="52">
        <f t="shared" si="28"/>
        <v>41600</v>
      </c>
      <c r="G248" s="53">
        <f t="shared" si="30"/>
        <v>561600</v>
      </c>
      <c r="H248" s="54">
        <v>561600</v>
      </c>
      <c r="I248" s="55">
        <f t="shared" si="29"/>
        <v>0</v>
      </c>
      <c r="J248" s="64">
        <v>45496</v>
      </c>
      <c r="K248" s="57"/>
    </row>
    <row r="249" spans="1:11" ht="15.75" hidden="1" customHeight="1" x14ac:dyDescent="0.35">
      <c r="A249" s="47" t="s">
        <v>47</v>
      </c>
      <c r="B249" s="48" t="s">
        <v>548</v>
      </c>
      <c r="C249" s="50" t="s">
        <v>552</v>
      </c>
      <c r="D249" s="50"/>
      <c r="E249" s="51">
        <v>1040000</v>
      </c>
      <c r="F249" s="52">
        <f t="shared" si="28"/>
        <v>83200</v>
      </c>
      <c r="G249" s="53">
        <f t="shared" si="30"/>
        <v>1123200</v>
      </c>
      <c r="H249" s="54">
        <v>1123200</v>
      </c>
      <c r="I249" s="55">
        <f t="shared" si="29"/>
        <v>0</v>
      </c>
      <c r="J249" s="64">
        <v>45496</v>
      </c>
      <c r="K249" s="57"/>
    </row>
    <row r="250" spans="1:11" ht="15.75" hidden="1" customHeight="1" x14ac:dyDescent="0.35">
      <c r="A250" s="47" t="s">
        <v>19</v>
      </c>
      <c r="B250" s="48" t="s">
        <v>553</v>
      </c>
      <c r="C250" s="49" t="s">
        <v>554</v>
      </c>
      <c r="D250" s="50"/>
      <c r="E250" s="51">
        <v>3085000</v>
      </c>
      <c r="F250" s="52">
        <f t="shared" si="28"/>
        <v>246800</v>
      </c>
      <c r="G250" s="53">
        <f t="shared" si="30"/>
        <v>3331800</v>
      </c>
      <c r="H250" s="54">
        <v>3331800</v>
      </c>
      <c r="I250" s="55">
        <f t="shared" si="29"/>
        <v>0</v>
      </c>
      <c r="J250" s="64">
        <v>45496</v>
      </c>
      <c r="K250" s="57"/>
    </row>
    <row r="251" spans="1:11" ht="15.75" hidden="1" customHeight="1" x14ac:dyDescent="0.35">
      <c r="A251" s="47" t="s">
        <v>308</v>
      </c>
      <c r="B251" s="48" t="s">
        <v>555</v>
      </c>
      <c r="C251" s="50" t="s">
        <v>556</v>
      </c>
      <c r="D251" s="50"/>
      <c r="E251" s="51">
        <v>1022500</v>
      </c>
      <c r="F251" s="52">
        <f t="shared" si="28"/>
        <v>81800</v>
      </c>
      <c r="G251" s="53">
        <f t="shared" si="30"/>
        <v>1104300</v>
      </c>
      <c r="H251" s="54">
        <v>1104300</v>
      </c>
      <c r="I251" s="55">
        <f t="shared" si="29"/>
        <v>0</v>
      </c>
      <c r="J251" s="56">
        <v>45496</v>
      </c>
      <c r="K251" s="57"/>
    </row>
    <row r="252" spans="1:11" ht="15.75" hidden="1" customHeight="1" x14ac:dyDescent="0.35">
      <c r="A252" s="47" t="s">
        <v>69</v>
      </c>
      <c r="B252" s="48" t="s">
        <v>557</v>
      </c>
      <c r="C252" s="50" t="s">
        <v>558</v>
      </c>
      <c r="D252" s="50"/>
      <c r="E252" s="51">
        <v>1040000</v>
      </c>
      <c r="F252" s="52">
        <f t="shared" si="28"/>
        <v>83200</v>
      </c>
      <c r="G252" s="53">
        <f t="shared" si="30"/>
        <v>1123200</v>
      </c>
      <c r="H252" s="54">
        <v>1123200</v>
      </c>
      <c r="I252" s="55">
        <f t="shared" si="29"/>
        <v>0</v>
      </c>
      <c r="J252" s="56">
        <v>45496</v>
      </c>
      <c r="K252" s="57"/>
    </row>
    <row r="253" spans="1:11" ht="15.75" hidden="1" customHeight="1" x14ac:dyDescent="0.35">
      <c r="A253" s="47" t="s">
        <v>47</v>
      </c>
      <c r="B253" s="48" t="s">
        <v>557</v>
      </c>
      <c r="C253" s="50" t="s">
        <v>201</v>
      </c>
      <c r="D253" s="50"/>
      <c r="E253" s="51">
        <v>1040000</v>
      </c>
      <c r="F253" s="52">
        <f t="shared" si="28"/>
        <v>83200</v>
      </c>
      <c r="G253" s="53">
        <f t="shared" si="30"/>
        <v>1123200</v>
      </c>
      <c r="H253" s="54">
        <v>1123200</v>
      </c>
      <c r="I253" s="55">
        <f t="shared" si="29"/>
        <v>0</v>
      </c>
      <c r="J253" s="64">
        <v>45496</v>
      </c>
      <c r="K253" s="57"/>
    </row>
    <row r="254" spans="1:11" ht="15.75" hidden="1" customHeight="1" x14ac:dyDescent="0.35">
      <c r="A254" s="47" t="s">
        <v>21</v>
      </c>
      <c r="B254" s="48" t="s">
        <v>559</v>
      </c>
      <c r="C254" s="50" t="s">
        <v>560</v>
      </c>
      <c r="D254" s="50"/>
      <c r="E254" s="51">
        <v>1005000</v>
      </c>
      <c r="F254" s="52"/>
      <c r="G254" s="53"/>
      <c r="H254" s="54"/>
      <c r="I254" s="55">
        <f t="shared" si="29"/>
        <v>0</v>
      </c>
      <c r="J254" s="56" t="s">
        <v>1421</v>
      </c>
      <c r="K254" s="57"/>
    </row>
    <row r="255" spans="1:11" ht="15.75" hidden="1" customHeight="1" x14ac:dyDescent="0.35">
      <c r="A255" s="47" t="s">
        <v>84</v>
      </c>
      <c r="B255" s="48" t="s">
        <v>559</v>
      </c>
      <c r="C255" s="50" t="s">
        <v>561</v>
      </c>
      <c r="D255" s="50"/>
      <c r="E255" s="51">
        <v>1738250</v>
      </c>
      <c r="F255" s="52">
        <f t="shared" si="28"/>
        <v>139060</v>
      </c>
      <c r="G255" s="53">
        <f t="shared" si="30"/>
        <v>1877310</v>
      </c>
      <c r="H255" s="54">
        <v>1877310</v>
      </c>
      <c r="I255" s="55">
        <f t="shared" si="29"/>
        <v>0</v>
      </c>
      <c r="J255" s="56">
        <v>45531</v>
      </c>
      <c r="K255" s="57"/>
    </row>
    <row r="256" spans="1:11" ht="15.75" hidden="1" customHeight="1" x14ac:dyDescent="0.35">
      <c r="A256" s="47" t="s">
        <v>53</v>
      </c>
      <c r="B256" s="48" t="s">
        <v>559</v>
      </c>
      <c r="C256" s="50" t="s">
        <v>562</v>
      </c>
      <c r="D256" s="50"/>
      <c r="E256" s="51">
        <v>884000</v>
      </c>
      <c r="F256" s="52">
        <f t="shared" si="28"/>
        <v>70720</v>
      </c>
      <c r="G256" s="53">
        <f t="shared" si="30"/>
        <v>954720</v>
      </c>
      <c r="H256" s="54">
        <v>954720</v>
      </c>
      <c r="I256" s="55">
        <f t="shared" si="29"/>
        <v>0</v>
      </c>
      <c r="J256" s="56">
        <v>45531</v>
      </c>
      <c r="K256" s="57"/>
    </row>
    <row r="257" spans="1:11" ht="15.75" hidden="1" customHeight="1" x14ac:dyDescent="0.35">
      <c r="A257" s="47" t="s">
        <v>83</v>
      </c>
      <c r="B257" s="48" t="s">
        <v>563</v>
      </c>
      <c r="C257" s="49" t="s">
        <v>202</v>
      </c>
      <c r="D257" s="50"/>
      <c r="E257" s="51">
        <v>869125</v>
      </c>
      <c r="F257" s="52">
        <f t="shared" si="28"/>
        <v>69530</v>
      </c>
      <c r="G257" s="53">
        <f t="shared" si="30"/>
        <v>938655</v>
      </c>
      <c r="H257" s="54">
        <v>938655</v>
      </c>
      <c r="I257" s="55">
        <f t="shared" si="29"/>
        <v>0</v>
      </c>
      <c r="J257" s="56">
        <v>45531</v>
      </c>
      <c r="K257" s="57"/>
    </row>
    <row r="258" spans="1:11" ht="15.75" hidden="1" customHeight="1" x14ac:dyDescent="0.35">
      <c r="A258" s="47" t="s">
        <v>86</v>
      </c>
      <c r="B258" s="48" t="s">
        <v>564</v>
      </c>
      <c r="C258" s="50" t="s">
        <v>565</v>
      </c>
      <c r="D258" s="50"/>
      <c r="E258" s="51">
        <v>1738250</v>
      </c>
      <c r="F258" s="52">
        <f t="shared" si="28"/>
        <v>139060</v>
      </c>
      <c r="G258" s="53">
        <f t="shared" si="30"/>
        <v>1877310</v>
      </c>
      <c r="H258" s="53">
        <v>1877310</v>
      </c>
      <c r="I258" s="55">
        <f t="shared" si="29"/>
        <v>0</v>
      </c>
      <c r="J258" s="56">
        <v>45559</v>
      </c>
      <c r="K258" s="57"/>
    </row>
    <row r="259" spans="1:11" ht="15.75" hidden="1" customHeight="1" x14ac:dyDescent="0.35">
      <c r="A259" s="47" t="s">
        <v>104</v>
      </c>
      <c r="B259" s="48" t="s">
        <v>566</v>
      </c>
      <c r="C259" s="50" t="s">
        <v>567</v>
      </c>
      <c r="D259" s="50"/>
      <c r="E259" s="51">
        <v>1738250</v>
      </c>
      <c r="F259" s="52">
        <f t="shared" si="28"/>
        <v>139060</v>
      </c>
      <c r="G259" s="53">
        <f t="shared" si="30"/>
        <v>1877310</v>
      </c>
      <c r="H259" s="54">
        <v>1877310</v>
      </c>
      <c r="I259" s="55">
        <f t="shared" si="29"/>
        <v>0</v>
      </c>
      <c r="J259" s="64">
        <v>45496</v>
      </c>
      <c r="K259" s="57"/>
    </row>
    <row r="260" spans="1:11" ht="15.75" hidden="1" customHeight="1" x14ac:dyDescent="0.35">
      <c r="A260" s="47" t="s">
        <v>93</v>
      </c>
      <c r="B260" s="48" t="s">
        <v>566</v>
      </c>
      <c r="C260" s="50" t="s">
        <v>203</v>
      </c>
      <c r="D260" s="50"/>
      <c r="E260" s="51">
        <v>1738250</v>
      </c>
      <c r="F260" s="52">
        <f t="shared" si="28"/>
        <v>139060</v>
      </c>
      <c r="G260" s="53">
        <f t="shared" si="30"/>
        <v>1877310</v>
      </c>
      <c r="H260" s="54">
        <v>1877310</v>
      </c>
      <c r="I260" s="55">
        <f t="shared" si="29"/>
        <v>0</v>
      </c>
      <c r="J260" s="56">
        <v>45531</v>
      </c>
      <c r="K260" s="57"/>
    </row>
    <row r="261" spans="1:11" ht="15.75" hidden="1" customHeight="1" x14ac:dyDescent="0.35">
      <c r="A261" s="47" t="s">
        <v>78</v>
      </c>
      <c r="B261" s="48" t="s">
        <v>568</v>
      </c>
      <c r="C261" s="49" t="s">
        <v>569</v>
      </c>
      <c r="D261" s="50"/>
      <c r="E261" s="51">
        <v>1738250</v>
      </c>
      <c r="F261" s="52">
        <f t="shared" si="28"/>
        <v>139060</v>
      </c>
      <c r="G261" s="53">
        <f t="shared" si="30"/>
        <v>1877310</v>
      </c>
      <c r="H261" s="54">
        <v>1877310</v>
      </c>
      <c r="I261" s="55">
        <f t="shared" si="29"/>
        <v>0</v>
      </c>
      <c r="J261" s="56">
        <v>45531</v>
      </c>
      <c r="K261" s="57"/>
    </row>
    <row r="262" spans="1:11" ht="15.75" hidden="1" customHeight="1" x14ac:dyDescent="0.35">
      <c r="A262" s="47" t="s">
        <v>82</v>
      </c>
      <c r="B262" s="48" t="s">
        <v>568</v>
      </c>
      <c r="C262" s="50" t="s">
        <v>570</v>
      </c>
      <c r="D262" s="50"/>
      <c r="E262" s="51">
        <v>1738250</v>
      </c>
      <c r="F262" s="52">
        <f t="shared" si="28"/>
        <v>139060</v>
      </c>
      <c r="G262" s="53">
        <f t="shared" si="30"/>
        <v>1877310</v>
      </c>
      <c r="H262" s="54">
        <v>1877310</v>
      </c>
      <c r="I262" s="55">
        <f t="shared" si="29"/>
        <v>0</v>
      </c>
      <c r="J262" s="56">
        <v>45531</v>
      </c>
      <c r="K262" s="57"/>
    </row>
    <row r="263" spans="1:11" ht="15.75" hidden="1" customHeight="1" x14ac:dyDescent="0.35">
      <c r="A263" s="47" t="s">
        <v>105</v>
      </c>
      <c r="B263" s="48" t="s">
        <v>568</v>
      </c>
      <c r="C263" s="49" t="s">
        <v>571</v>
      </c>
      <c r="D263" s="50"/>
      <c r="E263" s="51">
        <v>2622250</v>
      </c>
      <c r="F263" s="52">
        <f t="shared" si="28"/>
        <v>209780</v>
      </c>
      <c r="G263" s="53">
        <f t="shared" si="30"/>
        <v>2832030</v>
      </c>
      <c r="H263" s="54">
        <v>2832030</v>
      </c>
      <c r="I263" s="55">
        <f t="shared" si="29"/>
        <v>0</v>
      </c>
      <c r="J263" s="56">
        <v>45531</v>
      </c>
      <c r="K263" s="57"/>
    </row>
    <row r="264" spans="1:11" ht="15.75" hidden="1" customHeight="1" x14ac:dyDescent="0.35">
      <c r="A264" s="47" t="s">
        <v>30</v>
      </c>
      <c r="B264" s="48" t="s">
        <v>568</v>
      </c>
      <c r="C264" s="50" t="s">
        <v>572</v>
      </c>
      <c r="D264" s="50"/>
      <c r="E264" s="51">
        <v>1738250</v>
      </c>
      <c r="F264" s="52">
        <f t="shared" si="28"/>
        <v>139060</v>
      </c>
      <c r="G264" s="53">
        <f t="shared" si="30"/>
        <v>1877310</v>
      </c>
      <c r="H264" s="54">
        <v>1877310</v>
      </c>
      <c r="I264" s="55">
        <f t="shared" si="29"/>
        <v>0</v>
      </c>
      <c r="J264" s="56">
        <v>45531</v>
      </c>
      <c r="K264" s="57"/>
    </row>
    <row r="265" spans="1:11" ht="15.75" hidden="1" customHeight="1" x14ac:dyDescent="0.35">
      <c r="A265" s="47" t="s">
        <v>53</v>
      </c>
      <c r="B265" s="48" t="s">
        <v>568</v>
      </c>
      <c r="C265" s="50" t="s">
        <v>573</v>
      </c>
      <c r="D265" s="50"/>
      <c r="E265" s="51">
        <v>1738250</v>
      </c>
      <c r="F265" s="52">
        <f t="shared" si="28"/>
        <v>139060</v>
      </c>
      <c r="G265" s="53">
        <f t="shared" si="30"/>
        <v>1877310</v>
      </c>
      <c r="H265" s="54">
        <v>1877310</v>
      </c>
      <c r="I265" s="55">
        <f t="shared" si="29"/>
        <v>0</v>
      </c>
      <c r="J265" s="56">
        <v>45531</v>
      </c>
      <c r="K265" s="57"/>
    </row>
    <row r="266" spans="1:11" ht="15.75" hidden="1" customHeight="1" x14ac:dyDescent="0.35">
      <c r="A266" s="47" t="s">
        <v>170</v>
      </c>
      <c r="B266" s="48" t="s">
        <v>568</v>
      </c>
      <c r="C266" s="50" t="s">
        <v>574</v>
      </c>
      <c r="D266" s="50"/>
      <c r="E266" s="51">
        <v>1738250</v>
      </c>
      <c r="F266" s="52">
        <f t="shared" si="28"/>
        <v>139060</v>
      </c>
      <c r="G266" s="53">
        <f t="shared" si="30"/>
        <v>1877310</v>
      </c>
      <c r="H266" s="54">
        <v>1877310</v>
      </c>
      <c r="I266" s="55">
        <f t="shared" si="29"/>
        <v>0</v>
      </c>
      <c r="J266" s="56">
        <v>45531</v>
      </c>
      <c r="K266" s="57"/>
    </row>
    <row r="267" spans="1:11" ht="15.75" hidden="1" customHeight="1" x14ac:dyDescent="0.35">
      <c r="A267" s="47" t="s">
        <v>127</v>
      </c>
      <c r="B267" s="48" t="s">
        <v>568</v>
      </c>
      <c r="C267" s="50" t="s">
        <v>575</v>
      </c>
      <c r="D267" s="50"/>
      <c r="E267" s="51">
        <v>1738250</v>
      </c>
      <c r="F267" s="52">
        <f t="shared" si="28"/>
        <v>139060</v>
      </c>
      <c r="G267" s="53">
        <f t="shared" si="30"/>
        <v>1877310</v>
      </c>
      <c r="H267" s="54">
        <v>1877310</v>
      </c>
      <c r="I267" s="55">
        <f t="shared" si="29"/>
        <v>0</v>
      </c>
      <c r="J267" s="56">
        <v>45531</v>
      </c>
      <c r="K267" s="57"/>
    </row>
    <row r="268" spans="1:11" ht="15.75" hidden="1" customHeight="1" x14ac:dyDescent="0.35">
      <c r="A268" s="47" t="s">
        <v>24</v>
      </c>
      <c r="B268" s="48" t="s">
        <v>568</v>
      </c>
      <c r="C268" s="49" t="s">
        <v>576</v>
      </c>
      <c r="D268" s="50"/>
      <c r="E268" s="51">
        <v>1738250</v>
      </c>
      <c r="F268" s="52">
        <f t="shared" si="28"/>
        <v>139060</v>
      </c>
      <c r="G268" s="53">
        <f t="shared" si="30"/>
        <v>1877310</v>
      </c>
      <c r="H268" s="54">
        <v>1877310</v>
      </c>
      <c r="I268" s="55">
        <f t="shared" si="29"/>
        <v>0</v>
      </c>
      <c r="J268" s="56">
        <v>45531</v>
      </c>
      <c r="K268" s="57"/>
    </row>
    <row r="269" spans="1:11" ht="15.75" hidden="1" customHeight="1" x14ac:dyDescent="0.35">
      <c r="A269" s="47" t="s">
        <v>87</v>
      </c>
      <c r="B269" s="48" t="s">
        <v>568</v>
      </c>
      <c r="C269" s="50" t="s">
        <v>577</v>
      </c>
      <c r="D269" s="50"/>
      <c r="E269" s="51">
        <v>1738250</v>
      </c>
      <c r="F269" s="52">
        <f t="shared" si="28"/>
        <v>139060</v>
      </c>
      <c r="G269" s="53">
        <f t="shared" si="30"/>
        <v>1877310</v>
      </c>
      <c r="H269" s="54">
        <v>1877310</v>
      </c>
      <c r="I269" s="55">
        <f t="shared" si="29"/>
        <v>0</v>
      </c>
      <c r="J269" s="56">
        <v>45531</v>
      </c>
      <c r="K269" s="57"/>
    </row>
    <row r="270" spans="1:11" ht="15.75" hidden="1" customHeight="1" x14ac:dyDescent="0.35">
      <c r="A270" s="47" t="s">
        <v>16</v>
      </c>
      <c r="B270" s="48" t="s">
        <v>578</v>
      </c>
      <c r="C270" s="50" t="s">
        <v>579</v>
      </c>
      <c r="D270" s="50"/>
      <c r="E270" s="51">
        <v>869125</v>
      </c>
      <c r="F270" s="52">
        <f t="shared" si="28"/>
        <v>69530</v>
      </c>
      <c r="G270" s="53">
        <f t="shared" si="30"/>
        <v>938655</v>
      </c>
      <c r="H270" s="54">
        <v>938655</v>
      </c>
      <c r="I270" s="55">
        <f t="shared" si="29"/>
        <v>0</v>
      </c>
      <c r="J270" s="56">
        <v>45531</v>
      </c>
      <c r="K270" s="57"/>
    </row>
    <row r="271" spans="1:11" ht="15.75" hidden="1" customHeight="1" x14ac:dyDescent="0.35">
      <c r="A271" s="47" t="s">
        <v>72</v>
      </c>
      <c r="B271" s="48" t="s">
        <v>578</v>
      </c>
      <c r="C271" s="49" t="s">
        <v>123</v>
      </c>
      <c r="D271" s="50"/>
      <c r="E271" s="51">
        <v>884000</v>
      </c>
      <c r="F271" s="52">
        <f t="shared" si="28"/>
        <v>70720</v>
      </c>
      <c r="G271" s="53">
        <f t="shared" si="30"/>
        <v>954720</v>
      </c>
      <c r="H271" s="54">
        <v>954720</v>
      </c>
      <c r="I271" s="55">
        <f t="shared" si="29"/>
        <v>0</v>
      </c>
      <c r="J271" s="56">
        <v>45531</v>
      </c>
      <c r="K271" s="57"/>
    </row>
    <row r="272" spans="1:11" ht="15.75" hidden="1" customHeight="1" x14ac:dyDescent="0.35">
      <c r="A272" s="47" t="s">
        <v>188</v>
      </c>
      <c r="B272" s="48" t="s">
        <v>580</v>
      </c>
      <c r="C272" s="50" t="s">
        <v>581</v>
      </c>
      <c r="D272" s="50"/>
      <c r="E272" s="51">
        <v>869125</v>
      </c>
      <c r="F272" s="52"/>
      <c r="G272" s="53"/>
      <c r="H272" s="54"/>
      <c r="I272" s="55">
        <f t="shared" si="29"/>
        <v>0</v>
      </c>
      <c r="J272" s="56" t="s">
        <v>582</v>
      </c>
      <c r="K272" s="57"/>
    </row>
    <row r="273" spans="1:11" ht="15.75" hidden="1" customHeight="1" x14ac:dyDescent="0.35">
      <c r="A273" s="47" t="s">
        <v>120</v>
      </c>
      <c r="B273" s="48" t="s">
        <v>580</v>
      </c>
      <c r="C273" s="50" t="s">
        <v>124</v>
      </c>
      <c r="D273" s="50"/>
      <c r="E273" s="51">
        <v>1738250</v>
      </c>
      <c r="F273" s="52">
        <f t="shared" si="28"/>
        <v>139060</v>
      </c>
      <c r="G273" s="53">
        <f t="shared" si="30"/>
        <v>1877310</v>
      </c>
      <c r="H273" s="54">
        <v>1877310</v>
      </c>
      <c r="I273" s="55">
        <f t="shared" si="29"/>
        <v>0</v>
      </c>
      <c r="J273" s="56">
        <v>45531</v>
      </c>
      <c r="K273" s="57"/>
    </row>
    <row r="274" spans="1:11" ht="15.75" hidden="1" customHeight="1" x14ac:dyDescent="0.35">
      <c r="A274" s="47" t="s">
        <v>47</v>
      </c>
      <c r="B274" s="48" t="s">
        <v>580</v>
      </c>
      <c r="C274" s="49" t="s">
        <v>583</v>
      </c>
      <c r="D274" s="50"/>
      <c r="E274" s="51">
        <v>1738250</v>
      </c>
      <c r="F274" s="52">
        <f t="shared" si="28"/>
        <v>139060</v>
      </c>
      <c r="G274" s="53">
        <f t="shared" si="30"/>
        <v>1877310</v>
      </c>
      <c r="H274" s="54">
        <v>1877310</v>
      </c>
      <c r="I274" s="55">
        <f t="shared" si="29"/>
        <v>0</v>
      </c>
      <c r="J274" s="56">
        <v>45531</v>
      </c>
      <c r="K274" s="57"/>
    </row>
    <row r="275" spans="1:11" ht="15.75" hidden="1" customHeight="1" x14ac:dyDescent="0.35">
      <c r="A275" s="47" t="s">
        <v>52</v>
      </c>
      <c r="B275" s="48" t="s">
        <v>584</v>
      </c>
      <c r="C275" s="49" t="s">
        <v>204</v>
      </c>
      <c r="D275" s="50"/>
      <c r="E275" s="51">
        <v>1738250</v>
      </c>
      <c r="F275" s="52">
        <f t="shared" si="28"/>
        <v>139060</v>
      </c>
      <c r="G275" s="53">
        <f t="shared" si="30"/>
        <v>1877310</v>
      </c>
      <c r="H275" s="54">
        <v>1877310</v>
      </c>
      <c r="I275" s="55">
        <f t="shared" si="29"/>
        <v>0</v>
      </c>
      <c r="J275" s="56">
        <v>45531</v>
      </c>
      <c r="K275" s="57"/>
    </row>
    <row r="276" spans="1:11" ht="15.75" hidden="1" customHeight="1" x14ac:dyDescent="0.35">
      <c r="A276" s="47" t="s">
        <v>54</v>
      </c>
      <c r="B276" s="48" t="s">
        <v>584</v>
      </c>
      <c r="C276" s="49" t="s">
        <v>205</v>
      </c>
      <c r="D276" s="50"/>
      <c r="E276" s="51">
        <v>869125</v>
      </c>
      <c r="F276" s="52"/>
      <c r="G276" s="53"/>
      <c r="H276" s="54"/>
      <c r="I276" s="55">
        <f t="shared" si="29"/>
        <v>0</v>
      </c>
      <c r="J276" s="56" t="s">
        <v>582</v>
      </c>
      <c r="K276" s="57"/>
    </row>
    <row r="277" spans="1:11" ht="15.75" hidden="1" customHeight="1" x14ac:dyDescent="0.35">
      <c r="A277" s="47" t="s">
        <v>46</v>
      </c>
      <c r="B277" s="48" t="s">
        <v>584</v>
      </c>
      <c r="C277" s="49" t="s">
        <v>585</v>
      </c>
      <c r="D277" s="50"/>
      <c r="E277" s="51">
        <v>1738250</v>
      </c>
      <c r="F277" s="52">
        <f t="shared" si="28"/>
        <v>139060</v>
      </c>
      <c r="G277" s="53">
        <f t="shared" si="30"/>
        <v>1877310</v>
      </c>
      <c r="H277" s="54">
        <v>1877310</v>
      </c>
      <c r="I277" s="55">
        <f t="shared" si="29"/>
        <v>0</v>
      </c>
      <c r="J277" s="56">
        <v>45531</v>
      </c>
      <c r="K277" s="57"/>
    </row>
    <row r="278" spans="1:11" ht="15.75" hidden="1" customHeight="1" x14ac:dyDescent="0.35">
      <c r="A278" s="47" t="s">
        <v>35</v>
      </c>
      <c r="B278" s="48" t="s">
        <v>584</v>
      </c>
      <c r="C278" s="50" t="s">
        <v>586</v>
      </c>
      <c r="D278" s="50"/>
      <c r="E278" s="51">
        <v>854250</v>
      </c>
      <c r="F278" s="52">
        <f t="shared" si="28"/>
        <v>68340</v>
      </c>
      <c r="G278" s="53">
        <f t="shared" si="30"/>
        <v>922590</v>
      </c>
      <c r="H278" s="54">
        <v>922590</v>
      </c>
      <c r="I278" s="55">
        <f t="shared" si="29"/>
        <v>0</v>
      </c>
      <c r="J278" s="56">
        <v>45531</v>
      </c>
      <c r="K278" s="57"/>
    </row>
    <row r="279" spans="1:11" ht="15.75" hidden="1" customHeight="1" x14ac:dyDescent="0.35">
      <c r="A279" s="47" t="s">
        <v>19</v>
      </c>
      <c r="B279" s="48" t="s">
        <v>587</v>
      </c>
      <c r="C279" s="50" t="s">
        <v>206</v>
      </c>
      <c r="D279" s="50"/>
      <c r="E279" s="51">
        <v>3476500</v>
      </c>
      <c r="F279" s="52">
        <f t="shared" si="28"/>
        <v>278120</v>
      </c>
      <c r="G279" s="53">
        <f t="shared" si="30"/>
        <v>3754620</v>
      </c>
      <c r="H279" s="54">
        <v>3754620</v>
      </c>
      <c r="I279" s="55">
        <f t="shared" si="29"/>
        <v>0</v>
      </c>
      <c r="J279" s="56">
        <v>45531</v>
      </c>
      <c r="K279" s="57"/>
    </row>
    <row r="280" spans="1:11" ht="15.75" hidden="1" customHeight="1" x14ac:dyDescent="0.35">
      <c r="A280" s="47" t="s">
        <v>23</v>
      </c>
      <c r="B280" s="48" t="s">
        <v>587</v>
      </c>
      <c r="C280" s="50" t="s">
        <v>588</v>
      </c>
      <c r="D280" s="50"/>
      <c r="E280" s="51">
        <v>1738250</v>
      </c>
      <c r="F280" s="52">
        <f t="shared" ref="F280:F355" si="31">+E280*0.08</f>
        <v>139060</v>
      </c>
      <c r="G280" s="53">
        <f t="shared" si="30"/>
        <v>1877310</v>
      </c>
      <c r="H280" s="54">
        <v>1877310</v>
      </c>
      <c r="I280" s="55">
        <f t="shared" si="29"/>
        <v>0</v>
      </c>
      <c r="J280" s="56">
        <v>45531</v>
      </c>
      <c r="K280" s="57"/>
    </row>
    <row r="281" spans="1:11" ht="15.75" hidden="1" customHeight="1" x14ac:dyDescent="0.35">
      <c r="A281" s="47" t="s">
        <v>98</v>
      </c>
      <c r="B281" s="48" t="s">
        <v>587</v>
      </c>
      <c r="C281" s="50" t="s">
        <v>589</v>
      </c>
      <c r="D281" s="50"/>
      <c r="E281" s="51">
        <v>869125</v>
      </c>
      <c r="F281" s="52">
        <f t="shared" si="31"/>
        <v>69530</v>
      </c>
      <c r="G281" s="53">
        <f t="shared" si="30"/>
        <v>938655</v>
      </c>
      <c r="H281" s="54">
        <v>938655</v>
      </c>
      <c r="I281" s="55">
        <f t="shared" si="29"/>
        <v>0</v>
      </c>
      <c r="J281" s="56">
        <v>45531</v>
      </c>
      <c r="K281" s="57"/>
    </row>
    <row r="282" spans="1:11" ht="15.75" hidden="1" customHeight="1" x14ac:dyDescent="0.35">
      <c r="A282" s="47" t="s">
        <v>44</v>
      </c>
      <c r="B282" s="48" t="s">
        <v>587</v>
      </c>
      <c r="C282" s="50" t="s">
        <v>590</v>
      </c>
      <c r="D282" s="50"/>
      <c r="E282" s="51">
        <v>854250</v>
      </c>
      <c r="F282" s="52">
        <f t="shared" si="31"/>
        <v>68340</v>
      </c>
      <c r="G282" s="53">
        <f t="shared" si="30"/>
        <v>922590</v>
      </c>
      <c r="H282" s="54">
        <v>922590</v>
      </c>
      <c r="I282" s="55">
        <f t="shared" si="29"/>
        <v>0</v>
      </c>
      <c r="J282" s="56">
        <v>45531</v>
      </c>
      <c r="K282" s="57"/>
    </row>
    <row r="283" spans="1:11" ht="15.75" hidden="1" customHeight="1" x14ac:dyDescent="0.35">
      <c r="A283" s="47" t="s">
        <v>125</v>
      </c>
      <c r="B283" s="48" t="s">
        <v>591</v>
      </c>
      <c r="C283" s="50">
        <v>1549</v>
      </c>
      <c r="D283" s="50"/>
      <c r="E283" s="51">
        <v>1708500</v>
      </c>
      <c r="F283" s="52">
        <f t="shared" si="31"/>
        <v>136680</v>
      </c>
      <c r="G283" s="53">
        <f t="shared" si="30"/>
        <v>1845180</v>
      </c>
      <c r="H283" s="54">
        <v>1845180</v>
      </c>
      <c r="I283" s="55">
        <f t="shared" si="29"/>
        <v>0</v>
      </c>
      <c r="J283" s="56">
        <v>45531</v>
      </c>
      <c r="K283" s="57"/>
    </row>
    <row r="284" spans="1:11" ht="15.75" hidden="1" customHeight="1" x14ac:dyDescent="0.35">
      <c r="A284" s="47" t="s">
        <v>53</v>
      </c>
      <c r="B284" s="48" t="s">
        <v>591</v>
      </c>
      <c r="C284" s="49" t="s">
        <v>207</v>
      </c>
      <c r="D284" s="50"/>
      <c r="E284" s="51">
        <v>854250</v>
      </c>
      <c r="F284" s="52">
        <f t="shared" si="31"/>
        <v>68340</v>
      </c>
      <c r="G284" s="53">
        <f t="shared" si="30"/>
        <v>922590</v>
      </c>
      <c r="H284" s="54">
        <v>922590</v>
      </c>
      <c r="I284" s="55">
        <f t="shared" si="29"/>
        <v>0</v>
      </c>
      <c r="J284" s="56">
        <v>45531</v>
      </c>
      <c r="K284" s="57"/>
    </row>
    <row r="285" spans="1:11" ht="15.75" hidden="1" customHeight="1" x14ac:dyDescent="0.35">
      <c r="A285" s="47" t="s">
        <v>69</v>
      </c>
      <c r="B285" s="48" t="s">
        <v>591</v>
      </c>
      <c r="C285" s="50" t="s">
        <v>208</v>
      </c>
      <c r="D285" s="50"/>
      <c r="E285" s="51">
        <v>884000</v>
      </c>
      <c r="F285" s="52">
        <f t="shared" si="31"/>
        <v>70720</v>
      </c>
      <c r="G285" s="53">
        <f t="shared" si="30"/>
        <v>954720</v>
      </c>
      <c r="H285" s="54">
        <v>954720</v>
      </c>
      <c r="I285" s="55">
        <f t="shared" si="29"/>
        <v>0</v>
      </c>
      <c r="J285" s="56">
        <v>45531</v>
      </c>
      <c r="K285" s="57"/>
    </row>
    <row r="286" spans="1:11" ht="15.75" hidden="1" customHeight="1" x14ac:dyDescent="0.35">
      <c r="A286" s="47" t="s">
        <v>20</v>
      </c>
      <c r="B286" s="48" t="s">
        <v>591</v>
      </c>
      <c r="C286" s="50" t="s">
        <v>209</v>
      </c>
      <c r="D286" s="50"/>
      <c r="E286" s="51">
        <v>1296250</v>
      </c>
      <c r="F286" s="52">
        <f t="shared" si="31"/>
        <v>103700</v>
      </c>
      <c r="G286" s="53">
        <f t="shared" si="30"/>
        <v>1399950</v>
      </c>
      <c r="H286" s="54">
        <v>1399950</v>
      </c>
      <c r="I286" s="55">
        <f t="shared" si="29"/>
        <v>0</v>
      </c>
      <c r="J286" s="56">
        <v>45531</v>
      </c>
      <c r="K286" s="57"/>
    </row>
    <row r="287" spans="1:11" ht="15.75" hidden="1" customHeight="1" x14ac:dyDescent="0.35">
      <c r="A287" s="47" t="s">
        <v>164</v>
      </c>
      <c r="B287" s="48" t="s">
        <v>592</v>
      </c>
      <c r="C287" s="50" t="s">
        <v>210</v>
      </c>
      <c r="D287" s="50"/>
      <c r="E287" s="51">
        <v>427125</v>
      </c>
      <c r="F287" s="52">
        <f t="shared" si="31"/>
        <v>34170</v>
      </c>
      <c r="G287" s="53">
        <f t="shared" si="30"/>
        <v>461295</v>
      </c>
      <c r="H287" s="54">
        <v>461295</v>
      </c>
      <c r="I287" s="55">
        <f t="shared" si="29"/>
        <v>0</v>
      </c>
      <c r="J287" s="56">
        <v>45531</v>
      </c>
      <c r="K287" s="57"/>
    </row>
    <row r="288" spans="1:11" ht="15.75" hidden="1" customHeight="1" x14ac:dyDescent="0.35">
      <c r="A288" s="47" t="s">
        <v>54</v>
      </c>
      <c r="B288" s="48" t="s">
        <v>592</v>
      </c>
      <c r="C288" s="50" t="s">
        <v>211</v>
      </c>
      <c r="D288" s="50"/>
      <c r="E288" s="51">
        <v>1738250</v>
      </c>
      <c r="F288" s="52"/>
      <c r="G288" s="53"/>
      <c r="H288" s="54"/>
      <c r="I288" s="55">
        <f t="shared" si="29"/>
        <v>0</v>
      </c>
      <c r="J288" s="56" t="s">
        <v>582</v>
      </c>
      <c r="K288" s="57"/>
    </row>
    <row r="289" spans="1:11" ht="15.75" hidden="1" customHeight="1" x14ac:dyDescent="0.35">
      <c r="A289" s="47" t="s">
        <v>21</v>
      </c>
      <c r="B289" s="48" t="s">
        <v>593</v>
      </c>
      <c r="C289" s="50" t="s">
        <v>594</v>
      </c>
      <c r="D289" s="50"/>
      <c r="E289" s="51">
        <v>1738250</v>
      </c>
      <c r="F289" s="52">
        <f t="shared" si="31"/>
        <v>139060</v>
      </c>
      <c r="G289" s="53">
        <f t="shared" si="30"/>
        <v>1877310</v>
      </c>
      <c r="H289" s="54">
        <v>1877310</v>
      </c>
      <c r="I289" s="55">
        <f t="shared" si="29"/>
        <v>0</v>
      </c>
      <c r="J289" s="56">
        <v>45531</v>
      </c>
      <c r="K289" s="57"/>
    </row>
    <row r="290" spans="1:11" ht="15.75" hidden="1" customHeight="1" x14ac:dyDescent="0.35">
      <c r="A290" s="47" t="s">
        <v>24</v>
      </c>
      <c r="B290" s="48" t="s">
        <v>593</v>
      </c>
      <c r="C290" s="50" t="s">
        <v>595</v>
      </c>
      <c r="D290" s="50"/>
      <c r="E290" s="51">
        <v>1708500</v>
      </c>
      <c r="F290" s="52">
        <f t="shared" si="31"/>
        <v>136680</v>
      </c>
      <c r="G290" s="53">
        <f t="shared" si="30"/>
        <v>1845180</v>
      </c>
      <c r="H290" s="54">
        <v>1845180</v>
      </c>
      <c r="I290" s="55">
        <f t="shared" si="29"/>
        <v>0</v>
      </c>
      <c r="J290" s="56">
        <v>45531</v>
      </c>
      <c r="K290" s="57"/>
    </row>
    <row r="291" spans="1:11" ht="15.75" hidden="1" customHeight="1" x14ac:dyDescent="0.35">
      <c r="A291" s="47" t="s">
        <v>44</v>
      </c>
      <c r="B291" s="48" t="s">
        <v>596</v>
      </c>
      <c r="C291" s="50" t="s">
        <v>597</v>
      </c>
      <c r="D291" s="50"/>
      <c r="E291" s="51">
        <v>442000</v>
      </c>
      <c r="F291" s="52">
        <f t="shared" si="31"/>
        <v>35360</v>
      </c>
      <c r="G291" s="53">
        <f t="shared" si="30"/>
        <v>477360</v>
      </c>
      <c r="H291" s="54">
        <v>477360</v>
      </c>
      <c r="I291" s="55">
        <f t="shared" si="29"/>
        <v>0</v>
      </c>
      <c r="J291" s="56">
        <v>45531</v>
      </c>
      <c r="K291" s="57"/>
    </row>
    <row r="292" spans="1:11" ht="15.75" hidden="1" customHeight="1" x14ac:dyDescent="0.35">
      <c r="A292" s="47" t="s">
        <v>19</v>
      </c>
      <c r="B292" s="48" t="s">
        <v>596</v>
      </c>
      <c r="C292" s="50" t="s">
        <v>598</v>
      </c>
      <c r="D292" s="50"/>
      <c r="E292" s="51">
        <v>2592500</v>
      </c>
      <c r="F292" s="52">
        <f t="shared" si="31"/>
        <v>207400</v>
      </c>
      <c r="G292" s="53">
        <f t="shared" si="30"/>
        <v>2799900</v>
      </c>
      <c r="H292" s="54">
        <v>2799900</v>
      </c>
      <c r="I292" s="55">
        <f t="shared" si="29"/>
        <v>0</v>
      </c>
      <c r="J292" s="56">
        <v>45531</v>
      </c>
      <c r="K292" s="57"/>
    </row>
    <row r="293" spans="1:11" ht="15.75" hidden="1" customHeight="1" x14ac:dyDescent="0.35">
      <c r="A293" s="47" t="s">
        <v>90</v>
      </c>
      <c r="B293" s="48" t="s">
        <v>599</v>
      </c>
      <c r="C293" s="50" t="s">
        <v>600</v>
      </c>
      <c r="D293" s="50"/>
      <c r="E293" s="51">
        <v>884000</v>
      </c>
      <c r="F293" s="52">
        <f t="shared" si="31"/>
        <v>70720</v>
      </c>
      <c r="G293" s="53">
        <f t="shared" si="30"/>
        <v>954720</v>
      </c>
      <c r="H293" s="54">
        <v>954720</v>
      </c>
      <c r="I293" s="55">
        <f t="shared" si="29"/>
        <v>0</v>
      </c>
      <c r="J293" s="56">
        <v>45559</v>
      </c>
      <c r="K293" s="57"/>
    </row>
    <row r="294" spans="1:11" ht="15.75" hidden="1" customHeight="1" x14ac:dyDescent="0.35">
      <c r="A294" s="47" t="s">
        <v>16</v>
      </c>
      <c r="B294" s="48" t="s">
        <v>601</v>
      </c>
      <c r="C294" s="50" t="s">
        <v>602</v>
      </c>
      <c r="D294" s="50"/>
      <c r="E294" s="51">
        <v>1296250</v>
      </c>
      <c r="F294" s="52">
        <f t="shared" si="31"/>
        <v>103700</v>
      </c>
      <c r="G294" s="53">
        <f t="shared" si="30"/>
        <v>1399950</v>
      </c>
      <c r="H294" s="54">
        <v>1399950</v>
      </c>
      <c r="I294" s="55">
        <f t="shared" si="29"/>
        <v>0</v>
      </c>
      <c r="J294" s="56">
        <v>45531</v>
      </c>
      <c r="K294" s="57"/>
    </row>
    <row r="295" spans="1:11" ht="15.75" hidden="1" customHeight="1" x14ac:dyDescent="0.35">
      <c r="A295" s="47" t="s">
        <v>54</v>
      </c>
      <c r="B295" s="48" t="s">
        <v>601</v>
      </c>
      <c r="C295" s="50" t="s">
        <v>603</v>
      </c>
      <c r="D295" s="50"/>
      <c r="E295" s="51">
        <v>1738250</v>
      </c>
      <c r="F295" s="52">
        <f t="shared" si="31"/>
        <v>139060</v>
      </c>
      <c r="G295" s="53">
        <f t="shared" si="30"/>
        <v>1877310</v>
      </c>
      <c r="H295" s="54">
        <v>1877310</v>
      </c>
      <c r="I295" s="55">
        <f t="shared" si="29"/>
        <v>0</v>
      </c>
      <c r="J295" s="56">
        <v>45531</v>
      </c>
      <c r="K295" s="57"/>
    </row>
    <row r="296" spans="1:11" ht="15.75" hidden="1" customHeight="1" x14ac:dyDescent="0.35">
      <c r="A296" s="47" t="s">
        <v>28</v>
      </c>
      <c r="B296" s="48" t="s">
        <v>604</v>
      </c>
      <c r="C296" s="50" t="s">
        <v>213</v>
      </c>
      <c r="D296" s="50"/>
      <c r="E296" s="51">
        <v>854250</v>
      </c>
      <c r="F296" s="52">
        <f t="shared" si="31"/>
        <v>68340</v>
      </c>
      <c r="G296" s="53">
        <f t="shared" si="30"/>
        <v>922590</v>
      </c>
      <c r="H296" s="54">
        <v>922590</v>
      </c>
      <c r="I296" s="55">
        <f t="shared" si="29"/>
        <v>0</v>
      </c>
      <c r="J296" s="56">
        <v>45531</v>
      </c>
      <c r="K296" s="57"/>
    </row>
    <row r="297" spans="1:11" ht="15.75" hidden="1" customHeight="1" x14ac:dyDescent="0.35">
      <c r="A297" s="47" t="s">
        <v>32</v>
      </c>
      <c r="B297" s="48" t="s">
        <v>605</v>
      </c>
      <c r="C297" s="50" t="s">
        <v>606</v>
      </c>
      <c r="D297" s="50"/>
      <c r="E297" s="51">
        <v>884000</v>
      </c>
      <c r="F297" s="52">
        <f t="shared" si="31"/>
        <v>70720</v>
      </c>
      <c r="G297" s="53">
        <f t="shared" si="30"/>
        <v>954720</v>
      </c>
      <c r="H297" s="54">
        <v>954720</v>
      </c>
      <c r="I297" s="55">
        <f t="shared" si="29"/>
        <v>0</v>
      </c>
      <c r="J297" s="56">
        <v>45531</v>
      </c>
      <c r="K297" s="57"/>
    </row>
    <row r="298" spans="1:11" ht="15.75" hidden="1" customHeight="1" x14ac:dyDescent="0.35">
      <c r="A298" s="47" t="s">
        <v>61</v>
      </c>
      <c r="B298" s="48" t="s">
        <v>605</v>
      </c>
      <c r="C298" s="49" t="s">
        <v>607</v>
      </c>
      <c r="D298" s="50"/>
      <c r="E298" s="51">
        <v>1738250</v>
      </c>
      <c r="F298" s="52">
        <f t="shared" si="31"/>
        <v>139060</v>
      </c>
      <c r="G298" s="53">
        <f t="shared" si="30"/>
        <v>1877310</v>
      </c>
      <c r="H298" s="54">
        <v>1877310</v>
      </c>
      <c r="I298" s="55">
        <f t="shared" si="29"/>
        <v>0</v>
      </c>
      <c r="J298" s="56">
        <v>45531</v>
      </c>
      <c r="K298" s="57"/>
    </row>
    <row r="299" spans="1:11" ht="15.75" hidden="1" customHeight="1" x14ac:dyDescent="0.35">
      <c r="A299" s="47" t="s">
        <v>47</v>
      </c>
      <c r="B299" s="48" t="s">
        <v>605</v>
      </c>
      <c r="C299" s="49" t="s">
        <v>608</v>
      </c>
      <c r="D299" s="50"/>
      <c r="E299" s="51">
        <v>884000</v>
      </c>
      <c r="F299" s="52">
        <f t="shared" si="31"/>
        <v>70720</v>
      </c>
      <c r="G299" s="53">
        <f t="shared" si="30"/>
        <v>954720</v>
      </c>
      <c r="H299" s="54">
        <v>954720</v>
      </c>
      <c r="I299" s="55">
        <f t="shared" si="29"/>
        <v>0</v>
      </c>
      <c r="J299" s="56">
        <v>45531</v>
      </c>
      <c r="K299" s="57"/>
    </row>
    <row r="300" spans="1:11" ht="15.75" hidden="1" customHeight="1" x14ac:dyDescent="0.35">
      <c r="A300" s="47" t="s">
        <v>19</v>
      </c>
      <c r="B300" s="48">
        <v>45408</v>
      </c>
      <c r="C300" s="50" t="s">
        <v>609</v>
      </c>
      <c r="D300" s="50"/>
      <c r="E300" s="51">
        <v>4090000</v>
      </c>
      <c r="F300" s="52">
        <f t="shared" si="31"/>
        <v>327200</v>
      </c>
      <c r="G300" s="53">
        <f t="shared" si="30"/>
        <v>4417200</v>
      </c>
      <c r="H300" s="54">
        <v>4417200</v>
      </c>
      <c r="I300" s="55">
        <f t="shared" ref="I300:I377" si="32">G300-H300</f>
        <v>0</v>
      </c>
      <c r="J300" s="56">
        <v>45531</v>
      </c>
      <c r="K300" s="57"/>
    </row>
    <row r="301" spans="1:11" ht="15.75" hidden="1" customHeight="1" x14ac:dyDescent="0.35">
      <c r="A301" s="47" t="s">
        <v>39</v>
      </c>
      <c r="B301" s="48">
        <v>45409</v>
      </c>
      <c r="C301" s="50" t="s">
        <v>610</v>
      </c>
      <c r="D301" s="50"/>
      <c r="E301" s="51">
        <v>1040000</v>
      </c>
      <c r="F301" s="52">
        <f t="shared" si="31"/>
        <v>83200</v>
      </c>
      <c r="G301" s="53">
        <f t="shared" ref="G301:G378" si="33">E301+F301</f>
        <v>1123200</v>
      </c>
      <c r="H301" s="54">
        <v>1123200</v>
      </c>
      <c r="I301" s="55">
        <f t="shared" si="32"/>
        <v>0</v>
      </c>
      <c r="J301" s="56">
        <v>45531</v>
      </c>
      <c r="K301" s="57"/>
    </row>
    <row r="302" spans="1:11" ht="15.75" hidden="1" customHeight="1" x14ac:dyDescent="0.35">
      <c r="A302" s="47" t="s">
        <v>83</v>
      </c>
      <c r="B302" s="48">
        <v>45411</v>
      </c>
      <c r="C302" s="49" t="s">
        <v>611</v>
      </c>
      <c r="D302" s="50"/>
      <c r="E302" s="51">
        <v>1040000</v>
      </c>
      <c r="F302" s="52">
        <f t="shared" si="31"/>
        <v>83200</v>
      </c>
      <c r="G302" s="53">
        <f t="shared" si="33"/>
        <v>1123200</v>
      </c>
      <c r="H302" s="54">
        <v>1123200</v>
      </c>
      <c r="I302" s="55">
        <f t="shared" si="32"/>
        <v>0</v>
      </c>
      <c r="J302" s="56">
        <v>45531</v>
      </c>
      <c r="K302" s="57"/>
    </row>
    <row r="303" spans="1:11" ht="15.75" hidden="1" customHeight="1" x14ac:dyDescent="0.35">
      <c r="A303" s="47" t="s">
        <v>104</v>
      </c>
      <c r="B303" s="48">
        <v>45414</v>
      </c>
      <c r="C303" s="50" t="s">
        <v>612</v>
      </c>
      <c r="D303" s="50"/>
      <c r="E303" s="51">
        <v>2045000</v>
      </c>
      <c r="F303" s="52">
        <f t="shared" si="31"/>
        <v>163600</v>
      </c>
      <c r="G303" s="53">
        <f t="shared" si="33"/>
        <v>2208600</v>
      </c>
      <c r="H303" s="54">
        <v>2208600</v>
      </c>
      <c r="I303" s="55">
        <f t="shared" si="32"/>
        <v>0</v>
      </c>
      <c r="J303" s="56">
        <v>45531</v>
      </c>
      <c r="K303" s="57"/>
    </row>
    <row r="304" spans="1:11" ht="15.75" hidden="1" customHeight="1" x14ac:dyDescent="0.35">
      <c r="A304" s="47" t="s">
        <v>613</v>
      </c>
      <c r="B304" s="48">
        <v>45414</v>
      </c>
      <c r="C304" s="50" t="s">
        <v>614</v>
      </c>
      <c r="D304" s="50"/>
      <c r="E304" s="51">
        <v>2045000</v>
      </c>
      <c r="F304" s="52">
        <f t="shared" si="31"/>
        <v>163600</v>
      </c>
      <c r="G304" s="53">
        <f t="shared" si="33"/>
        <v>2208600</v>
      </c>
      <c r="H304" s="54">
        <v>2208600</v>
      </c>
      <c r="I304" s="55">
        <f t="shared" si="32"/>
        <v>0</v>
      </c>
      <c r="J304" s="56">
        <v>45531</v>
      </c>
      <c r="K304" s="57"/>
    </row>
    <row r="305" spans="1:11" ht="15.75" hidden="1" customHeight="1" x14ac:dyDescent="0.35">
      <c r="A305" s="47" t="s">
        <v>52</v>
      </c>
      <c r="B305" s="48">
        <v>45414</v>
      </c>
      <c r="C305" s="50" t="s">
        <v>615</v>
      </c>
      <c r="D305" s="50"/>
      <c r="E305" s="51">
        <v>1542500</v>
      </c>
      <c r="F305" s="52">
        <f t="shared" si="31"/>
        <v>123400</v>
      </c>
      <c r="G305" s="53">
        <f t="shared" si="33"/>
        <v>1665900</v>
      </c>
      <c r="H305" s="54">
        <v>1665900</v>
      </c>
      <c r="I305" s="55">
        <f t="shared" si="32"/>
        <v>0</v>
      </c>
      <c r="J305" s="56">
        <v>45531</v>
      </c>
      <c r="K305" s="57"/>
    </row>
    <row r="306" spans="1:11" ht="15.75" hidden="1" customHeight="1" x14ac:dyDescent="0.35">
      <c r="A306" s="47" t="s">
        <v>69</v>
      </c>
      <c r="B306" s="48">
        <v>45414</v>
      </c>
      <c r="C306" s="50" t="s">
        <v>616</v>
      </c>
      <c r="D306" s="50"/>
      <c r="E306" s="51">
        <v>1040000</v>
      </c>
      <c r="F306" s="52">
        <f t="shared" si="31"/>
        <v>83200</v>
      </c>
      <c r="G306" s="53">
        <f t="shared" si="33"/>
        <v>1123200</v>
      </c>
      <c r="H306" s="54">
        <v>1123200</v>
      </c>
      <c r="I306" s="55">
        <f t="shared" si="32"/>
        <v>0</v>
      </c>
      <c r="J306" s="56">
        <v>45531</v>
      </c>
      <c r="K306" s="57"/>
    </row>
    <row r="307" spans="1:11" ht="15.75" hidden="1" customHeight="1" x14ac:dyDescent="0.35">
      <c r="A307" s="47" t="s">
        <v>617</v>
      </c>
      <c r="B307" s="48">
        <v>45415</v>
      </c>
      <c r="C307" s="50" t="s">
        <v>618</v>
      </c>
      <c r="D307" s="50"/>
      <c r="E307" s="51">
        <v>1005000</v>
      </c>
      <c r="F307" s="52">
        <f t="shared" si="31"/>
        <v>80400</v>
      </c>
      <c r="G307" s="53">
        <f t="shared" si="33"/>
        <v>1085400</v>
      </c>
      <c r="H307" s="54">
        <v>1085400</v>
      </c>
      <c r="I307" s="55">
        <f t="shared" si="32"/>
        <v>0</v>
      </c>
      <c r="J307" s="56">
        <v>45531</v>
      </c>
      <c r="K307" s="57"/>
    </row>
    <row r="308" spans="1:11" ht="15.75" hidden="1" customHeight="1" x14ac:dyDescent="0.35">
      <c r="A308" s="47" t="s">
        <v>16</v>
      </c>
      <c r="B308" s="48">
        <v>45415</v>
      </c>
      <c r="C308" s="50" t="s">
        <v>619</v>
      </c>
      <c r="D308" s="50"/>
      <c r="E308" s="51">
        <v>2045000</v>
      </c>
      <c r="F308" s="52">
        <f t="shared" si="31"/>
        <v>163600</v>
      </c>
      <c r="G308" s="53">
        <f t="shared" si="33"/>
        <v>2208600</v>
      </c>
      <c r="H308" s="54">
        <v>2208600</v>
      </c>
      <c r="I308" s="55">
        <f t="shared" si="32"/>
        <v>0</v>
      </c>
      <c r="J308" s="56">
        <v>45531</v>
      </c>
      <c r="K308" s="57"/>
    </row>
    <row r="309" spans="1:11" ht="15.75" hidden="1" customHeight="1" x14ac:dyDescent="0.35">
      <c r="A309" s="47" t="s">
        <v>127</v>
      </c>
      <c r="B309" s="48">
        <v>45416</v>
      </c>
      <c r="C309" s="50" t="s">
        <v>620</v>
      </c>
      <c r="D309" s="50"/>
      <c r="E309" s="51">
        <v>1040000</v>
      </c>
      <c r="F309" s="52">
        <f t="shared" si="31"/>
        <v>83200</v>
      </c>
      <c r="G309" s="53">
        <f t="shared" si="33"/>
        <v>1123200</v>
      </c>
      <c r="H309" s="54">
        <v>1123200</v>
      </c>
      <c r="I309" s="55">
        <f t="shared" si="32"/>
        <v>0</v>
      </c>
      <c r="J309" s="56">
        <v>45531</v>
      </c>
      <c r="K309" s="57"/>
    </row>
    <row r="310" spans="1:11" ht="15.75" hidden="1" customHeight="1" x14ac:dyDescent="0.35">
      <c r="A310" s="47" t="s">
        <v>128</v>
      </c>
      <c r="B310" s="48">
        <v>45419</v>
      </c>
      <c r="C310" s="50" t="s">
        <v>621</v>
      </c>
      <c r="D310" s="50"/>
      <c r="E310" s="51">
        <v>1022500</v>
      </c>
      <c r="F310" s="52">
        <f t="shared" si="31"/>
        <v>81800</v>
      </c>
      <c r="G310" s="53">
        <f t="shared" si="33"/>
        <v>1104300</v>
      </c>
      <c r="H310" s="54">
        <v>1104300</v>
      </c>
      <c r="I310" s="55">
        <f t="shared" si="32"/>
        <v>0</v>
      </c>
      <c r="J310" s="56">
        <v>45531</v>
      </c>
      <c r="K310" s="57"/>
    </row>
    <row r="311" spans="1:11" ht="15.75" hidden="1" customHeight="1" x14ac:dyDescent="0.35">
      <c r="A311" s="47" t="s">
        <v>164</v>
      </c>
      <c r="B311" s="48">
        <v>45420</v>
      </c>
      <c r="C311" s="50" t="s">
        <v>622</v>
      </c>
      <c r="D311" s="50"/>
      <c r="E311" s="51">
        <v>520000</v>
      </c>
      <c r="F311" s="52">
        <f t="shared" si="31"/>
        <v>41600</v>
      </c>
      <c r="G311" s="53">
        <f t="shared" si="33"/>
        <v>561600</v>
      </c>
      <c r="H311" s="54">
        <v>561600</v>
      </c>
      <c r="I311" s="55">
        <f t="shared" si="32"/>
        <v>0</v>
      </c>
      <c r="J311" s="56">
        <v>45531</v>
      </c>
      <c r="K311" s="57"/>
    </row>
    <row r="312" spans="1:11" ht="15.75" hidden="1" customHeight="1" x14ac:dyDescent="0.35">
      <c r="A312" s="47" t="s">
        <v>31</v>
      </c>
      <c r="B312" s="48">
        <v>45421</v>
      </c>
      <c r="C312" s="49" t="s">
        <v>623</v>
      </c>
      <c r="D312" s="50"/>
      <c r="E312" s="51">
        <v>2045000</v>
      </c>
      <c r="F312" s="52">
        <f t="shared" si="31"/>
        <v>163600</v>
      </c>
      <c r="G312" s="53">
        <f t="shared" si="33"/>
        <v>2208600</v>
      </c>
      <c r="H312" s="54">
        <v>2208600</v>
      </c>
      <c r="I312" s="55">
        <f t="shared" si="32"/>
        <v>0</v>
      </c>
      <c r="J312" s="56">
        <v>45531</v>
      </c>
      <c r="K312" s="57"/>
    </row>
    <row r="313" spans="1:11" ht="15.75" hidden="1" customHeight="1" x14ac:dyDescent="0.35">
      <c r="A313" s="47" t="s">
        <v>35</v>
      </c>
      <c r="B313" s="48">
        <v>45421</v>
      </c>
      <c r="C313" s="50" t="s">
        <v>624</v>
      </c>
      <c r="D313" s="50"/>
      <c r="E313" s="51">
        <v>2045000</v>
      </c>
      <c r="F313" s="52">
        <f t="shared" si="31"/>
        <v>163600</v>
      </c>
      <c r="G313" s="53">
        <f t="shared" si="33"/>
        <v>2208600</v>
      </c>
      <c r="H313" s="54">
        <v>2208600</v>
      </c>
      <c r="I313" s="55">
        <f t="shared" si="32"/>
        <v>0</v>
      </c>
      <c r="J313" s="56">
        <v>45531</v>
      </c>
      <c r="K313" s="57"/>
    </row>
    <row r="314" spans="1:11" ht="15.75" hidden="1" customHeight="1" x14ac:dyDescent="0.35">
      <c r="A314" s="47" t="s">
        <v>47</v>
      </c>
      <c r="B314" s="48" t="s">
        <v>625</v>
      </c>
      <c r="C314" s="50" t="s">
        <v>626</v>
      </c>
      <c r="D314" s="50"/>
      <c r="E314" s="51">
        <v>1040000</v>
      </c>
      <c r="F314" s="52">
        <f t="shared" si="31"/>
        <v>83200</v>
      </c>
      <c r="G314" s="53">
        <f t="shared" si="33"/>
        <v>1123200</v>
      </c>
      <c r="H314" s="54">
        <v>1123200</v>
      </c>
      <c r="I314" s="55">
        <f t="shared" si="32"/>
        <v>0</v>
      </c>
      <c r="J314" s="56">
        <v>45531</v>
      </c>
      <c r="K314" s="57"/>
    </row>
    <row r="315" spans="1:11" ht="15.75" hidden="1" customHeight="1" x14ac:dyDescent="0.35">
      <c r="A315" s="47" t="s">
        <v>52</v>
      </c>
      <c r="B315" s="48" t="s">
        <v>627</v>
      </c>
      <c r="C315" s="50" t="s">
        <v>628</v>
      </c>
      <c r="D315" s="50"/>
      <c r="E315" s="51">
        <v>1542500</v>
      </c>
      <c r="F315" s="52">
        <f t="shared" si="31"/>
        <v>123400</v>
      </c>
      <c r="G315" s="53">
        <f t="shared" si="33"/>
        <v>1665900</v>
      </c>
      <c r="H315" s="54">
        <v>1665900</v>
      </c>
      <c r="I315" s="55">
        <f t="shared" si="32"/>
        <v>0</v>
      </c>
      <c r="J315" s="56">
        <v>45531</v>
      </c>
      <c r="K315" s="57"/>
    </row>
    <row r="316" spans="1:11" ht="15.75" hidden="1" customHeight="1" x14ac:dyDescent="0.35">
      <c r="A316" s="47" t="s">
        <v>127</v>
      </c>
      <c r="B316" s="48" t="s">
        <v>627</v>
      </c>
      <c r="C316" s="49" t="s">
        <v>629</v>
      </c>
      <c r="D316" s="50"/>
      <c r="E316" s="51">
        <v>2045000</v>
      </c>
      <c r="F316" s="52">
        <f t="shared" si="31"/>
        <v>163600</v>
      </c>
      <c r="G316" s="53">
        <f t="shared" si="33"/>
        <v>2208600</v>
      </c>
      <c r="H316" s="54">
        <v>2208600</v>
      </c>
      <c r="I316" s="55">
        <f t="shared" si="32"/>
        <v>0</v>
      </c>
      <c r="J316" s="56">
        <v>45531</v>
      </c>
      <c r="K316" s="57"/>
    </row>
    <row r="317" spans="1:11" ht="15.75" hidden="1" customHeight="1" x14ac:dyDescent="0.35">
      <c r="A317" s="47" t="s">
        <v>20</v>
      </c>
      <c r="B317" s="48" t="s">
        <v>627</v>
      </c>
      <c r="C317" s="49" t="s">
        <v>630</v>
      </c>
      <c r="D317" s="50"/>
      <c r="E317" s="51">
        <v>1040000</v>
      </c>
      <c r="F317" s="52">
        <f t="shared" si="31"/>
        <v>83200</v>
      </c>
      <c r="G317" s="53">
        <f t="shared" si="33"/>
        <v>1123200</v>
      </c>
      <c r="H317" s="54">
        <v>1123200</v>
      </c>
      <c r="I317" s="55">
        <f t="shared" si="32"/>
        <v>0</v>
      </c>
      <c r="J317" s="56">
        <v>45531</v>
      </c>
      <c r="K317" s="57"/>
    </row>
    <row r="318" spans="1:11" ht="15.75" hidden="1" customHeight="1" x14ac:dyDescent="0.35">
      <c r="A318" s="47" t="s">
        <v>44</v>
      </c>
      <c r="B318" s="48" t="s">
        <v>627</v>
      </c>
      <c r="C318" s="50" t="s">
        <v>214</v>
      </c>
      <c r="D318" s="50"/>
      <c r="E318" s="51">
        <v>1022500</v>
      </c>
      <c r="F318" s="52">
        <f t="shared" si="31"/>
        <v>81800</v>
      </c>
      <c r="G318" s="53">
        <f t="shared" si="33"/>
        <v>1104300</v>
      </c>
      <c r="H318" s="54">
        <v>1104300</v>
      </c>
      <c r="I318" s="55">
        <f t="shared" si="32"/>
        <v>0</v>
      </c>
      <c r="J318" s="56">
        <v>45531</v>
      </c>
      <c r="K318" s="57"/>
    </row>
    <row r="319" spans="1:11" ht="15.75" hidden="1" customHeight="1" x14ac:dyDescent="0.35">
      <c r="A319" s="47" t="s">
        <v>24</v>
      </c>
      <c r="B319" s="48" t="s">
        <v>631</v>
      </c>
      <c r="C319" s="49" t="s">
        <v>632</v>
      </c>
      <c r="D319" s="50"/>
      <c r="E319" s="51">
        <v>1040000</v>
      </c>
      <c r="F319" s="52">
        <f t="shared" si="31"/>
        <v>83200</v>
      </c>
      <c r="G319" s="53">
        <f t="shared" si="33"/>
        <v>1123200</v>
      </c>
      <c r="H319" s="54">
        <v>1123200</v>
      </c>
      <c r="I319" s="55">
        <f t="shared" si="32"/>
        <v>0</v>
      </c>
      <c r="J319" s="56">
        <v>45531</v>
      </c>
      <c r="K319" s="57"/>
    </row>
    <row r="320" spans="1:11" ht="15.75" hidden="1" customHeight="1" x14ac:dyDescent="0.35">
      <c r="A320" s="47" t="s">
        <v>49</v>
      </c>
      <c r="B320" s="48" t="s">
        <v>633</v>
      </c>
      <c r="C320" s="50" t="s">
        <v>634</v>
      </c>
      <c r="D320" s="50"/>
      <c r="E320" s="51">
        <v>2045000</v>
      </c>
      <c r="F320" s="52">
        <f t="shared" si="31"/>
        <v>163600</v>
      </c>
      <c r="G320" s="53">
        <f t="shared" si="33"/>
        <v>2208600</v>
      </c>
      <c r="H320" s="54">
        <v>2208600</v>
      </c>
      <c r="I320" s="55">
        <f t="shared" si="32"/>
        <v>0</v>
      </c>
      <c r="J320" s="56">
        <v>45531</v>
      </c>
      <c r="K320" s="57"/>
    </row>
    <row r="321" spans="1:11" ht="15.75" hidden="1" customHeight="1" x14ac:dyDescent="0.35">
      <c r="A321" s="47" t="s">
        <v>78</v>
      </c>
      <c r="B321" s="48" t="s">
        <v>635</v>
      </c>
      <c r="C321" s="50" t="s">
        <v>636</v>
      </c>
      <c r="D321" s="50"/>
      <c r="E321" s="51">
        <v>2045000</v>
      </c>
      <c r="F321" s="52">
        <f t="shared" si="31"/>
        <v>163600</v>
      </c>
      <c r="G321" s="53">
        <f t="shared" si="33"/>
        <v>2208600</v>
      </c>
      <c r="H321" s="54">
        <v>2208600</v>
      </c>
      <c r="I321" s="55">
        <f t="shared" si="32"/>
        <v>0</v>
      </c>
      <c r="J321" s="56">
        <v>45496</v>
      </c>
      <c r="K321" s="57"/>
    </row>
    <row r="322" spans="1:11" ht="15.75" hidden="1" customHeight="1" x14ac:dyDescent="0.35">
      <c r="A322" s="47" t="s">
        <v>70</v>
      </c>
      <c r="B322" s="48" t="s">
        <v>637</v>
      </c>
      <c r="C322" s="50" t="s">
        <v>638</v>
      </c>
      <c r="D322" s="50"/>
      <c r="E322" s="51">
        <v>520000</v>
      </c>
      <c r="F322" s="52">
        <f t="shared" si="31"/>
        <v>41600</v>
      </c>
      <c r="G322" s="53">
        <f t="shared" si="33"/>
        <v>561600</v>
      </c>
      <c r="H322" s="54">
        <v>561600</v>
      </c>
      <c r="I322" s="55">
        <f t="shared" si="32"/>
        <v>0</v>
      </c>
      <c r="J322" s="56">
        <v>45531</v>
      </c>
      <c r="K322" s="57"/>
    </row>
    <row r="323" spans="1:11" ht="15.75" hidden="1" customHeight="1" x14ac:dyDescent="0.35">
      <c r="A323" s="47" t="s">
        <v>19</v>
      </c>
      <c r="B323" s="48" t="s">
        <v>639</v>
      </c>
      <c r="C323" s="49" t="s">
        <v>640</v>
      </c>
      <c r="D323" s="50"/>
      <c r="E323" s="51">
        <v>2045000</v>
      </c>
      <c r="F323" s="52">
        <f t="shared" si="31"/>
        <v>163600</v>
      </c>
      <c r="G323" s="53">
        <f t="shared" si="33"/>
        <v>2208600</v>
      </c>
      <c r="H323" s="54">
        <v>2208600</v>
      </c>
      <c r="I323" s="55">
        <f t="shared" si="32"/>
        <v>0</v>
      </c>
      <c r="J323" s="56">
        <v>45531</v>
      </c>
      <c r="K323" s="57"/>
    </row>
    <row r="324" spans="1:11" ht="15.75" hidden="1" customHeight="1" x14ac:dyDescent="0.35">
      <c r="A324" s="47" t="s">
        <v>86</v>
      </c>
      <c r="B324" s="48" t="s">
        <v>639</v>
      </c>
      <c r="C324" s="49" t="s">
        <v>641</v>
      </c>
      <c r="D324" s="50"/>
      <c r="E324" s="51">
        <v>2045000</v>
      </c>
      <c r="F324" s="52">
        <f t="shared" si="31"/>
        <v>163600</v>
      </c>
      <c r="G324" s="53">
        <f t="shared" si="33"/>
        <v>2208600</v>
      </c>
      <c r="H324" s="54">
        <v>2208600</v>
      </c>
      <c r="I324" s="55">
        <f t="shared" si="32"/>
        <v>0</v>
      </c>
      <c r="J324" s="56">
        <v>45531</v>
      </c>
      <c r="K324" s="57"/>
    </row>
    <row r="325" spans="1:11" ht="15.75" hidden="1" customHeight="1" x14ac:dyDescent="0.35">
      <c r="A325" s="47" t="s">
        <v>19</v>
      </c>
      <c r="B325" s="48" t="s">
        <v>642</v>
      </c>
      <c r="C325" s="49" t="s">
        <v>129</v>
      </c>
      <c r="D325" s="50"/>
      <c r="E325" s="51">
        <v>4090000</v>
      </c>
      <c r="F325" s="52">
        <f t="shared" si="31"/>
        <v>327200</v>
      </c>
      <c r="G325" s="53">
        <f t="shared" si="33"/>
        <v>4417200</v>
      </c>
      <c r="H325" s="54">
        <v>4417200</v>
      </c>
      <c r="I325" s="55">
        <f t="shared" si="32"/>
        <v>0</v>
      </c>
      <c r="J325" s="56">
        <v>45531</v>
      </c>
      <c r="K325" s="57"/>
    </row>
    <row r="326" spans="1:11" ht="15.75" hidden="1" customHeight="1" x14ac:dyDescent="0.35">
      <c r="A326" s="47" t="s">
        <v>120</v>
      </c>
      <c r="B326" s="48" t="s">
        <v>642</v>
      </c>
      <c r="C326" s="49" t="s">
        <v>130</v>
      </c>
      <c r="D326" s="50"/>
      <c r="E326" s="51">
        <v>2045000</v>
      </c>
      <c r="F326" s="52">
        <f t="shared" si="31"/>
        <v>163600</v>
      </c>
      <c r="G326" s="53">
        <f t="shared" si="33"/>
        <v>2208600</v>
      </c>
      <c r="H326" s="54">
        <v>2208600</v>
      </c>
      <c r="I326" s="55">
        <f t="shared" si="32"/>
        <v>0</v>
      </c>
      <c r="J326" s="56">
        <v>45531</v>
      </c>
      <c r="K326" s="57"/>
    </row>
    <row r="327" spans="1:11" ht="15.75" hidden="1" customHeight="1" x14ac:dyDescent="0.35">
      <c r="A327" s="47" t="s">
        <v>72</v>
      </c>
      <c r="B327" s="48" t="s">
        <v>642</v>
      </c>
      <c r="C327" s="49" t="s">
        <v>131</v>
      </c>
      <c r="D327" s="50"/>
      <c r="E327" s="51">
        <v>1040000</v>
      </c>
      <c r="F327" s="52">
        <f t="shared" si="31"/>
        <v>83200</v>
      </c>
      <c r="G327" s="53">
        <f t="shared" si="33"/>
        <v>1123200</v>
      </c>
      <c r="H327" s="54">
        <v>1123200</v>
      </c>
      <c r="I327" s="55">
        <f t="shared" si="32"/>
        <v>0</v>
      </c>
      <c r="J327" s="56">
        <v>45531</v>
      </c>
      <c r="K327" s="57"/>
    </row>
    <row r="328" spans="1:11" ht="15.75" hidden="1" customHeight="1" x14ac:dyDescent="0.35">
      <c r="A328" s="47" t="s">
        <v>32</v>
      </c>
      <c r="B328" s="48" t="s">
        <v>643</v>
      </c>
      <c r="C328" s="49" t="s">
        <v>132</v>
      </c>
      <c r="D328" s="50"/>
      <c r="E328" s="51">
        <v>1040000</v>
      </c>
      <c r="F328" s="52">
        <f t="shared" si="31"/>
        <v>83200</v>
      </c>
      <c r="G328" s="53">
        <f t="shared" si="33"/>
        <v>1123200</v>
      </c>
      <c r="H328" s="54">
        <v>1123200</v>
      </c>
      <c r="I328" s="55">
        <f t="shared" si="32"/>
        <v>0</v>
      </c>
      <c r="J328" s="64">
        <v>45496</v>
      </c>
      <c r="K328" s="57"/>
    </row>
    <row r="329" spans="1:11" ht="15.75" hidden="1" customHeight="1" x14ac:dyDescent="0.35">
      <c r="A329" s="47" t="s">
        <v>127</v>
      </c>
      <c r="B329" s="48" t="s">
        <v>643</v>
      </c>
      <c r="C329" s="49" t="s">
        <v>133</v>
      </c>
      <c r="D329" s="50"/>
      <c r="E329" s="51">
        <v>1005000</v>
      </c>
      <c r="F329" s="52">
        <f t="shared" si="31"/>
        <v>80400</v>
      </c>
      <c r="G329" s="53">
        <f t="shared" si="33"/>
        <v>1085400</v>
      </c>
      <c r="H329" s="54">
        <v>1085400</v>
      </c>
      <c r="I329" s="55">
        <f t="shared" si="32"/>
        <v>0</v>
      </c>
      <c r="J329" s="56">
        <v>45531</v>
      </c>
      <c r="K329" s="57"/>
    </row>
    <row r="330" spans="1:11" ht="15.75" hidden="1" customHeight="1" x14ac:dyDescent="0.35">
      <c r="A330" s="47" t="s">
        <v>47</v>
      </c>
      <c r="B330" s="48" t="s">
        <v>644</v>
      </c>
      <c r="C330" s="49" t="s">
        <v>645</v>
      </c>
      <c r="D330" s="50"/>
      <c r="E330" s="51">
        <v>1040000</v>
      </c>
      <c r="F330" s="52">
        <f t="shared" si="31"/>
        <v>83200</v>
      </c>
      <c r="G330" s="53">
        <f t="shared" si="33"/>
        <v>1123200</v>
      </c>
      <c r="H330" s="54">
        <v>1123200</v>
      </c>
      <c r="I330" s="55">
        <f t="shared" si="32"/>
        <v>0</v>
      </c>
      <c r="J330" s="56">
        <v>45531</v>
      </c>
      <c r="K330" s="57"/>
    </row>
    <row r="331" spans="1:11" ht="15.75" hidden="1" customHeight="1" x14ac:dyDescent="0.35">
      <c r="A331" s="47" t="s">
        <v>52</v>
      </c>
      <c r="B331" s="48" t="s">
        <v>646</v>
      </c>
      <c r="C331" s="49" t="s">
        <v>135</v>
      </c>
      <c r="D331" s="50"/>
      <c r="E331" s="51">
        <v>1542500</v>
      </c>
      <c r="F331" s="52">
        <f t="shared" si="31"/>
        <v>123400</v>
      </c>
      <c r="G331" s="53">
        <f t="shared" si="33"/>
        <v>1665900</v>
      </c>
      <c r="H331" s="54">
        <v>1665900</v>
      </c>
      <c r="I331" s="55">
        <f t="shared" si="32"/>
        <v>0</v>
      </c>
      <c r="J331" s="56">
        <v>45531</v>
      </c>
      <c r="K331" s="57"/>
    </row>
    <row r="332" spans="1:11" ht="15.75" hidden="1" customHeight="1" x14ac:dyDescent="0.35">
      <c r="A332" s="47" t="s">
        <v>83</v>
      </c>
      <c r="B332" s="48" t="s">
        <v>646</v>
      </c>
      <c r="C332" s="49" t="s">
        <v>647</v>
      </c>
      <c r="D332" s="50"/>
      <c r="E332" s="51">
        <v>1005000</v>
      </c>
      <c r="F332" s="52">
        <f t="shared" si="31"/>
        <v>80400</v>
      </c>
      <c r="G332" s="53">
        <f t="shared" si="33"/>
        <v>1085400</v>
      </c>
      <c r="H332" s="54">
        <v>1085400</v>
      </c>
      <c r="I332" s="55">
        <f t="shared" si="32"/>
        <v>0</v>
      </c>
      <c r="J332" s="56">
        <v>45531</v>
      </c>
      <c r="K332" s="57"/>
    </row>
    <row r="333" spans="1:11" ht="15.75" hidden="1" customHeight="1" x14ac:dyDescent="0.35">
      <c r="A333" s="47" t="s">
        <v>44</v>
      </c>
      <c r="B333" s="48" t="s">
        <v>646</v>
      </c>
      <c r="C333" s="49" t="s">
        <v>136</v>
      </c>
      <c r="D333" s="50"/>
      <c r="E333" s="51">
        <v>1022500</v>
      </c>
      <c r="F333" s="52">
        <f t="shared" si="31"/>
        <v>81800</v>
      </c>
      <c r="G333" s="53">
        <f t="shared" si="33"/>
        <v>1104300</v>
      </c>
      <c r="H333" s="54">
        <v>1104300</v>
      </c>
      <c r="I333" s="55">
        <f t="shared" si="32"/>
        <v>0</v>
      </c>
      <c r="J333" s="56">
        <v>45531</v>
      </c>
      <c r="K333" s="57"/>
    </row>
    <row r="334" spans="1:11" ht="15.75" hidden="1" customHeight="1" x14ac:dyDescent="0.35">
      <c r="A334" s="47" t="s">
        <v>106</v>
      </c>
      <c r="B334" s="48" t="s">
        <v>648</v>
      </c>
      <c r="C334" s="49" t="s">
        <v>138</v>
      </c>
      <c r="D334" s="50"/>
      <c r="E334" s="51">
        <v>1005000</v>
      </c>
      <c r="F334" s="52">
        <f t="shared" si="31"/>
        <v>80400</v>
      </c>
      <c r="G334" s="53">
        <f t="shared" si="33"/>
        <v>1085400</v>
      </c>
      <c r="H334" s="54">
        <v>1085400</v>
      </c>
      <c r="I334" s="55">
        <f t="shared" si="32"/>
        <v>0</v>
      </c>
      <c r="J334" s="56">
        <v>45531</v>
      </c>
      <c r="K334" s="57"/>
    </row>
    <row r="335" spans="1:11" ht="15.75" hidden="1" customHeight="1" x14ac:dyDescent="0.35">
      <c r="A335" s="47" t="s">
        <v>54</v>
      </c>
      <c r="B335" s="48" t="s">
        <v>648</v>
      </c>
      <c r="C335" s="49" t="s">
        <v>139</v>
      </c>
      <c r="D335" s="50"/>
      <c r="E335" s="51">
        <v>1005000</v>
      </c>
      <c r="F335" s="52">
        <f t="shared" si="31"/>
        <v>80400</v>
      </c>
      <c r="G335" s="53">
        <f t="shared" si="33"/>
        <v>1085400</v>
      </c>
      <c r="H335" s="54">
        <v>1085400</v>
      </c>
      <c r="I335" s="55">
        <f t="shared" si="32"/>
        <v>0</v>
      </c>
      <c r="J335" s="56">
        <v>45531</v>
      </c>
      <c r="K335" s="57"/>
    </row>
    <row r="336" spans="1:11" ht="15.75" hidden="1" customHeight="1" x14ac:dyDescent="0.35">
      <c r="A336" s="47" t="s">
        <v>24</v>
      </c>
      <c r="B336" s="48" t="s">
        <v>649</v>
      </c>
      <c r="C336" s="49" t="s">
        <v>140</v>
      </c>
      <c r="D336" s="50"/>
      <c r="E336" s="51">
        <v>2045000</v>
      </c>
      <c r="F336" s="52">
        <f t="shared" si="31"/>
        <v>163600</v>
      </c>
      <c r="G336" s="53">
        <f t="shared" si="33"/>
        <v>2208600</v>
      </c>
      <c r="H336" s="54">
        <v>2208600</v>
      </c>
      <c r="I336" s="55">
        <f t="shared" si="32"/>
        <v>0</v>
      </c>
      <c r="J336" s="56">
        <v>45531</v>
      </c>
      <c r="K336" s="57"/>
    </row>
    <row r="337" spans="1:11" ht="15.75" hidden="1" customHeight="1" x14ac:dyDescent="0.35">
      <c r="A337" s="47" t="s">
        <v>53</v>
      </c>
      <c r="B337" s="48" t="s">
        <v>650</v>
      </c>
      <c r="C337" s="49" t="s">
        <v>152</v>
      </c>
      <c r="D337" s="50"/>
      <c r="E337" s="51">
        <v>2045000</v>
      </c>
      <c r="F337" s="52">
        <f t="shared" si="31"/>
        <v>163600</v>
      </c>
      <c r="G337" s="53">
        <f t="shared" si="33"/>
        <v>2208600</v>
      </c>
      <c r="H337" s="54">
        <v>2208600</v>
      </c>
      <c r="I337" s="55">
        <f t="shared" si="32"/>
        <v>0</v>
      </c>
      <c r="J337" s="56">
        <v>45559</v>
      </c>
      <c r="K337" s="57"/>
    </row>
    <row r="338" spans="1:11" ht="15.75" hidden="1" customHeight="1" x14ac:dyDescent="0.35">
      <c r="A338" s="47" t="s">
        <v>105</v>
      </c>
      <c r="B338" s="48" t="s">
        <v>651</v>
      </c>
      <c r="C338" s="49" t="s">
        <v>154</v>
      </c>
      <c r="D338" s="50"/>
      <c r="E338" s="51">
        <v>4090000</v>
      </c>
      <c r="F338" s="52">
        <f t="shared" si="31"/>
        <v>327200</v>
      </c>
      <c r="G338" s="53">
        <f t="shared" si="33"/>
        <v>4417200</v>
      </c>
      <c r="H338" s="54">
        <v>4417200</v>
      </c>
      <c r="I338" s="55">
        <f t="shared" si="32"/>
        <v>0</v>
      </c>
      <c r="J338" s="56">
        <v>45531</v>
      </c>
      <c r="K338" s="57"/>
    </row>
    <row r="339" spans="1:11" ht="15.75" hidden="1" customHeight="1" x14ac:dyDescent="0.35">
      <c r="A339" s="47" t="s">
        <v>15</v>
      </c>
      <c r="B339" s="48" t="s">
        <v>651</v>
      </c>
      <c r="C339" s="49" t="s">
        <v>157</v>
      </c>
      <c r="D339" s="50"/>
      <c r="E339" s="51">
        <v>2045000</v>
      </c>
      <c r="F339" s="52">
        <f t="shared" si="31"/>
        <v>163600</v>
      </c>
      <c r="G339" s="53">
        <f t="shared" si="33"/>
        <v>2208600</v>
      </c>
      <c r="H339" s="54">
        <v>2208600</v>
      </c>
      <c r="I339" s="55">
        <f t="shared" si="32"/>
        <v>0</v>
      </c>
      <c r="J339" s="56">
        <v>45589</v>
      </c>
      <c r="K339" s="57"/>
    </row>
    <row r="340" spans="1:11" ht="15.75" hidden="1" customHeight="1" x14ac:dyDescent="0.35">
      <c r="A340" s="47" t="s">
        <v>23</v>
      </c>
      <c r="B340" s="48" t="s">
        <v>651</v>
      </c>
      <c r="C340" s="49" t="s">
        <v>158</v>
      </c>
      <c r="D340" s="50"/>
      <c r="E340" s="51">
        <v>1022500</v>
      </c>
      <c r="F340" s="52">
        <f t="shared" si="31"/>
        <v>81800</v>
      </c>
      <c r="G340" s="53">
        <f t="shared" si="33"/>
        <v>1104300</v>
      </c>
      <c r="H340" s="54">
        <v>1104300</v>
      </c>
      <c r="I340" s="55">
        <f t="shared" si="32"/>
        <v>0</v>
      </c>
      <c r="J340" s="56">
        <v>45559</v>
      </c>
      <c r="K340" s="57"/>
    </row>
    <row r="341" spans="1:11" ht="15.75" hidden="1" customHeight="1" x14ac:dyDescent="0.35">
      <c r="A341" s="47" t="s">
        <v>92</v>
      </c>
      <c r="B341" s="48" t="s">
        <v>651</v>
      </c>
      <c r="C341" s="49" t="s">
        <v>159</v>
      </c>
      <c r="D341" s="50"/>
      <c r="E341" s="51">
        <v>1022500</v>
      </c>
      <c r="F341" s="52">
        <f t="shared" si="31"/>
        <v>81800</v>
      </c>
      <c r="G341" s="53">
        <f t="shared" si="33"/>
        <v>1104300</v>
      </c>
      <c r="H341" s="54">
        <v>1104300</v>
      </c>
      <c r="I341" s="55">
        <f t="shared" si="32"/>
        <v>0</v>
      </c>
      <c r="J341" s="56">
        <v>45531</v>
      </c>
      <c r="K341" s="57"/>
    </row>
    <row r="342" spans="1:11" ht="15.75" hidden="1" customHeight="1" x14ac:dyDescent="0.35">
      <c r="A342" s="47" t="s">
        <v>44</v>
      </c>
      <c r="B342" s="48" t="s">
        <v>651</v>
      </c>
      <c r="C342" s="49" t="s">
        <v>160</v>
      </c>
      <c r="D342" s="50"/>
      <c r="E342" s="51">
        <v>1022500</v>
      </c>
      <c r="F342" s="52">
        <f t="shared" si="31"/>
        <v>81800</v>
      </c>
      <c r="G342" s="53">
        <f t="shared" si="33"/>
        <v>1104300</v>
      </c>
      <c r="H342" s="54">
        <v>1104300</v>
      </c>
      <c r="I342" s="55">
        <f t="shared" si="32"/>
        <v>0</v>
      </c>
      <c r="J342" s="56">
        <v>45531</v>
      </c>
      <c r="K342" s="57"/>
    </row>
    <row r="343" spans="1:11" ht="15.75" hidden="1" customHeight="1" x14ac:dyDescent="0.35">
      <c r="A343" s="47" t="s">
        <v>104</v>
      </c>
      <c r="B343" s="48" t="s">
        <v>651</v>
      </c>
      <c r="C343" s="49" t="s">
        <v>161</v>
      </c>
      <c r="D343" s="50"/>
      <c r="E343" s="51">
        <v>2045000</v>
      </c>
      <c r="F343" s="52">
        <f t="shared" si="31"/>
        <v>163600</v>
      </c>
      <c r="G343" s="53">
        <f t="shared" si="33"/>
        <v>2208600</v>
      </c>
      <c r="H343" s="54">
        <v>2208600</v>
      </c>
      <c r="I343" s="55">
        <f t="shared" si="32"/>
        <v>0</v>
      </c>
      <c r="J343" s="56">
        <v>45559</v>
      </c>
      <c r="K343" s="57"/>
    </row>
    <row r="344" spans="1:11" ht="15.75" hidden="1" customHeight="1" x14ac:dyDescent="0.35">
      <c r="A344" s="47" t="s">
        <v>47</v>
      </c>
      <c r="B344" s="48" t="s">
        <v>652</v>
      </c>
      <c r="C344" s="49" t="s">
        <v>165</v>
      </c>
      <c r="D344" s="50"/>
      <c r="E344" s="51">
        <v>1040000</v>
      </c>
      <c r="F344" s="52">
        <f t="shared" si="31"/>
        <v>83200</v>
      </c>
      <c r="G344" s="53">
        <f t="shared" si="33"/>
        <v>1123200</v>
      </c>
      <c r="H344" s="54">
        <v>1123200</v>
      </c>
      <c r="I344" s="55">
        <f t="shared" si="32"/>
        <v>0</v>
      </c>
      <c r="J344" s="56">
        <v>45559</v>
      </c>
      <c r="K344" s="57"/>
    </row>
    <row r="345" spans="1:11" ht="15.75" hidden="1" customHeight="1" x14ac:dyDescent="0.35">
      <c r="A345" s="47" t="s">
        <v>39</v>
      </c>
      <c r="B345" s="48" t="s">
        <v>652</v>
      </c>
      <c r="C345" s="49" t="s">
        <v>166</v>
      </c>
      <c r="D345" s="50"/>
      <c r="E345" s="51">
        <v>1005000</v>
      </c>
      <c r="F345" s="52">
        <f t="shared" si="31"/>
        <v>80400</v>
      </c>
      <c r="G345" s="53">
        <f t="shared" si="33"/>
        <v>1085400</v>
      </c>
      <c r="H345" s="54">
        <v>1085400</v>
      </c>
      <c r="I345" s="55">
        <f t="shared" si="32"/>
        <v>0</v>
      </c>
      <c r="J345" s="56">
        <v>45559</v>
      </c>
      <c r="K345" s="57"/>
    </row>
    <row r="346" spans="1:11" ht="15.75" hidden="1" customHeight="1" x14ac:dyDescent="0.35">
      <c r="A346" s="47" t="s">
        <v>127</v>
      </c>
      <c r="B346" s="48" t="s">
        <v>652</v>
      </c>
      <c r="C346" s="49" t="s">
        <v>215</v>
      </c>
      <c r="D346" s="50"/>
      <c r="E346" s="51">
        <v>1040000</v>
      </c>
      <c r="F346" s="52">
        <f t="shared" si="31"/>
        <v>83200</v>
      </c>
      <c r="G346" s="53">
        <f t="shared" si="33"/>
        <v>1123200</v>
      </c>
      <c r="H346" s="54">
        <v>1123200</v>
      </c>
      <c r="I346" s="55">
        <f t="shared" si="32"/>
        <v>0</v>
      </c>
      <c r="J346" s="56">
        <v>45559</v>
      </c>
      <c r="K346" s="57"/>
    </row>
    <row r="347" spans="1:11" ht="15.75" hidden="1" customHeight="1" x14ac:dyDescent="0.35">
      <c r="A347" s="47" t="s">
        <v>30</v>
      </c>
      <c r="B347" s="48" t="s">
        <v>653</v>
      </c>
      <c r="C347" s="49" t="s">
        <v>654</v>
      </c>
      <c r="D347" s="50"/>
      <c r="E347" s="51">
        <v>2530000</v>
      </c>
      <c r="F347" s="52">
        <f t="shared" si="31"/>
        <v>202400</v>
      </c>
      <c r="G347" s="53">
        <f t="shared" si="33"/>
        <v>2732400</v>
      </c>
      <c r="H347" s="54">
        <v>2732400</v>
      </c>
      <c r="I347" s="55">
        <f t="shared" si="32"/>
        <v>0</v>
      </c>
      <c r="J347" s="56">
        <v>45559</v>
      </c>
      <c r="K347" s="57"/>
    </row>
    <row r="348" spans="1:11" ht="15.75" hidden="1" customHeight="1" x14ac:dyDescent="0.35">
      <c r="A348" s="47" t="s">
        <v>69</v>
      </c>
      <c r="B348" s="48" t="s">
        <v>655</v>
      </c>
      <c r="C348" s="49" t="s">
        <v>169</v>
      </c>
      <c r="D348" s="50"/>
      <c r="E348" s="51">
        <v>1040000</v>
      </c>
      <c r="F348" s="52">
        <f t="shared" si="31"/>
        <v>83200</v>
      </c>
      <c r="G348" s="53">
        <f t="shared" si="33"/>
        <v>1123200</v>
      </c>
      <c r="H348" s="54">
        <v>1123200</v>
      </c>
      <c r="I348" s="55">
        <f t="shared" si="32"/>
        <v>0</v>
      </c>
      <c r="J348" s="56">
        <v>45559</v>
      </c>
      <c r="K348" s="57"/>
    </row>
    <row r="349" spans="1:11" ht="15.75" hidden="1" customHeight="1" x14ac:dyDescent="0.35">
      <c r="A349" s="47" t="s">
        <v>70</v>
      </c>
      <c r="B349" s="48" t="s">
        <v>656</v>
      </c>
      <c r="C349" s="50" t="s">
        <v>171</v>
      </c>
      <c r="D349" s="50"/>
      <c r="E349" s="51">
        <v>520000</v>
      </c>
      <c r="F349" s="52">
        <f t="shared" si="31"/>
        <v>41600</v>
      </c>
      <c r="G349" s="53">
        <f t="shared" si="33"/>
        <v>561600</v>
      </c>
      <c r="H349" s="54">
        <v>561600</v>
      </c>
      <c r="I349" s="55">
        <f t="shared" si="32"/>
        <v>0</v>
      </c>
      <c r="J349" s="56">
        <v>45531</v>
      </c>
      <c r="K349" s="57"/>
    </row>
    <row r="350" spans="1:11" ht="15.75" hidden="1" customHeight="1" x14ac:dyDescent="0.35">
      <c r="A350" s="47" t="s">
        <v>39</v>
      </c>
      <c r="B350" s="48" t="s">
        <v>656</v>
      </c>
      <c r="C350" s="49" t="s">
        <v>657</v>
      </c>
      <c r="D350" s="50"/>
      <c r="E350" s="51">
        <v>1040000</v>
      </c>
      <c r="F350" s="52">
        <f t="shared" si="31"/>
        <v>83200</v>
      </c>
      <c r="G350" s="53">
        <f t="shared" si="33"/>
        <v>1123200</v>
      </c>
      <c r="H350" s="54">
        <v>1123200</v>
      </c>
      <c r="I350" s="55">
        <f t="shared" si="32"/>
        <v>0</v>
      </c>
      <c r="J350" s="56">
        <v>45559</v>
      </c>
      <c r="K350" s="57"/>
    </row>
    <row r="351" spans="1:11" ht="15.75" hidden="1" customHeight="1" x14ac:dyDescent="0.35">
      <c r="A351" s="47" t="s">
        <v>164</v>
      </c>
      <c r="B351" s="48" t="s">
        <v>656</v>
      </c>
      <c r="C351" s="49" t="s">
        <v>173</v>
      </c>
      <c r="D351" s="50"/>
      <c r="E351" s="51">
        <v>520000</v>
      </c>
      <c r="F351" s="52">
        <f t="shared" si="31"/>
        <v>41600</v>
      </c>
      <c r="G351" s="53">
        <f t="shared" si="33"/>
        <v>561600</v>
      </c>
      <c r="H351" s="54">
        <v>561600</v>
      </c>
      <c r="I351" s="55">
        <f t="shared" si="32"/>
        <v>0</v>
      </c>
      <c r="J351" s="56">
        <v>45559</v>
      </c>
      <c r="K351" s="57"/>
    </row>
    <row r="352" spans="1:11" ht="15.75" hidden="1" customHeight="1" x14ac:dyDescent="0.35">
      <c r="A352" s="47" t="s">
        <v>61</v>
      </c>
      <c r="B352" s="48" t="s">
        <v>656</v>
      </c>
      <c r="C352" s="49" t="s">
        <v>174</v>
      </c>
      <c r="D352" s="50"/>
      <c r="E352" s="51">
        <v>1525000</v>
      </c>
      <c r="F352" s="52">
        <f t="shared" si="31"/>
        <v>122000</v>
      </c>
      <c r="G352" s="53">
        <f t="shared" si="33"/>
        <v>1647000</v>
      </c>
      <c r="H352" s="54">
        <v>1647000</v>
      </c>
      <c r="I352" s="55">
        <f t="shared" si="32"/>
        <v>0</v>
      </c>
      <c r="J352" s="56">
        <v>45559</v>
      </c>
      <c r="K352" s="57"/>
    </row>
    <row r="353" spans="1:11" ht="15.75" hidden="1" customHeight="1" x14ac:dyDescent="0.35">
      <c r="A353" s="47" t="s">
        <v>125</v>
      </c>
      <c r="B353" s="48" t="s">
        <v>656</v>
      </c>
      <c r="C353" s="49" t="s">
        <v>658</v>
      </c>
      <c r="D353" s="50"/>
      <c r="E353" s="51">
        <v>3050000</v>
      </c>
      <c r="F353" s="52">
        <f t="shared" si="31"/>
        <v>244000</v>
      </c>
      <c r="G353" s="53">
        <f t="shared" si="33"/>
        <v>3294000</v>
      </c>
      <c r="H353" s="54">
        <v>3294000</v>
      </c>
      <c r="I353" s="55">
        <f t="shared" si="32"/>
        <v>0</v>
      </c>
      <c r="J353" s="56">
        <v>45559</v>
      </c>
      <c r="K353" s="57"/>
    </row>
    <row r="354" spans="1:11" ht="15.75" hidden="1" customHeight="1" x14ac:dyDescent="0.35">
      <c r="A354" s="47" t="s">
        <v>93</v>
      </c>
      <c r="B354" s="48" t="s">
        <v>659</v>
      </c>
      <c r="C354" s="49" t="s">
        <v>175</v>
      </c>
      <c r="D354" s="50"/>
      <c r="E354" s="51">
        <v>1005000</v>
      </c>
      <c r="F354" s="52">
        <f t="shared" si="31"/>
        <v>80400</v>
      </c>
      <c r="G354" s="53">
        <f t="shared" si="33"/>
        <v>1085400</v>
      </c>
      <c r="H354" s="54">
        <v>1085400</v>
      </c>
      <c r="I354" s="55">
        <f t="shared" si="32"/>
        <v>0</v>
      </c>
      <c r="J354" s="56">
        <v>45559</v>
      </c>
      <c r="K354" s="57"/>
    </row>
    <row r="355" spans="1:11" ht="15.75" hidden="1" customHeight="1" x14ac:dyDescent="0.35">
      <c r="A355" s="47" t="s">
        <v>35</v>
      </c>
      <c r="B355" s="48" t="s">
        <v>660</v>
      </c>
      <c r="C355" s="49" t="s">
        <v>661</v>
      </c>
      <c r="D355" s="50"/>
      <c r="E355" s="51">
        <v>2045000</v>
      </c>
      <c r="F355" s="52">
        <f t="shared" si="31"/>
        <v>163600</v>
      </c>
      <c r="G355" s="53">
        <f t="shared" si="33"/>
        <v>2208600</v>
      </c>
      <c r="H355" s="54">
        <v>2208600</v>
      </c>
      <c r="I355" s="55">
        <f t="shared" si="32"/>
        <v>0</v>
      </c>
      <c r="J355" s="56">
        <v>45531</v>
      </c>
      <c r="K355" s="57"/>
    </row>
    <row r="356" spans="1:11" ht="15.75" hidden="1" customHeight="1" x14ac:dyDescent="0.35">
      <c r="A356" s="47" t="s">
        <v>20</v>
      </c>
      <c r="B356" s="48" t="s">
        <v>660</v>
      </c>
      <c r="C356" s="49" t="s">
        <v>662</v>
      </c>
      <c r="D356" s="50"/>
      <c r="E356" s="51">
        <v>1040000</v>
      </c>
      <c r="F356" s="52">
        <f t="shared" ref="F356:F419" si="34">+E356*0.08</f>
        <v>83200</v>
      </c>
      <c r="G356" s="53">
        <f t="shared" si="33"/>
        <v>1123200</v>
      </c>
      <c r="H356" s="54">
        <v>1123200</v>
      </c>
      <c r="I356" s="55">
        <f t="shared" si="32"/>
        <v>0</v>
      </c>
      <c r="J356" s="56">
        <v>45559</v>
      </c>
      <c r="K356" s="57"/>
    </row>
    <row r="357" spans="1:11" ht="15.75" hidden="1" customHeight="1" x14ac:dyDescent="0.35">
      <c r="A357" s="47" t="s">
        <v>84</v>
      </c>
      <c r="B357" s="48" t="s">
        <v>660</v>
      </c>
      <c r="C357" s="49" t="s">
        <v>663</v>
      </c>
      <c r="D357" s="50"/>
      <c r="E357" s="51">
        <v>2045000</v>
      </c>
      <c r="F357" s="52">
        <f t="shared" si="34"/>
        <v>163600</v>
      </c>
      <c r="G357" s="53">
        <f t="shared" si="33"/>
        <v>2208600</v>
      </c>
      <c r="H357" s="54">
        <v>2208600</v>
      </c>
      <c r="I357" s="55">
        <f t="shared" si="32"/>
        <v>0</v>
      </c>
      <c r="J357" s="56">
        <v>45559</v>
      </c>
      <c r="K357" s="57"/>
    </row>
    <row r="358" spans="1:11" ht="15.75" hidden="1" customHeight="1" x14ac:dyDescent="0.35">
      <c r="A358" s="47" t="s">
        <v>86</v>
      </c>
      <c r="B358" s="48">
        <v>45469</v>
      </c>
      <c r="C358" s="49" t="s">
        <v>664</v>
      </c>
      <c r="D358" s="49" t="s">
        <v>665</v>
      </c>
      <c r="E358" s="51">
        <v>2019000</v>
      </c>
      <c r="F358" s="52">
        <f t="shared" si="34"/>
        <v>161520</v>
      </c>
      <c r="G358" s="53">
        <f t="shared" si="33"/>
        <v>2180520</v>
      </c>
      <c r="H358" s="54">
        <v>2180520</v>
      </c>
      <c r="I358" s="55">
        <f t="shared" si="32"/>
        <v>0</v>
      </c>
      <c r="J358" s="56">
        <v>45559</v>
      </c>
      <c r="K358" s="57"/>
    </row>
    <row r="359" spans="1:11" ht="15.75" hidden="1" customHeight="1" x14ac:dyDescent="0.35">
      <c r="A359" s="47" t="s">
        <v>93</v>
      </c>
      <c r="B359" s="48" t="s">
        <v>666</v>
      </c>
      <c r="C359" s="49" t="s">
        <v>667</v>
      </c>
      <c r="D359" s="50"/>
      <c r="E359" s="51">
        <v>2045000</v>
      </c>
      <c r="F359" s="52">
        <f t="shared" si="34"/>
        <v>163600</v>
      </c>
      <c r="G359" s="53">
        <f t="shared" si="33"/>
        <v>2208600</v>
      </c>
      <c r="H359" s="54">
        <v>2208600</v>
      </c>
      <c r="I359" s="55">
        <f t="shared" si="32"/>
        <v>0</v>
      </c>
      <c r="J359" s="56">
        <v>45559</v>
      </c>
      <c r="K359" s="57"/>
    </row>
    <row r="360" spans="1:11" ht="15.75" hidden="1" customHeight="1" x14ac:dyDescent="0.35">
      <c r="A360" s="47" t="s">
        <v>20</v>
      </c>
      <c r="B360" s="48" t="s">
        <v>668</v>
      </c>
      <c r="C360" s="49" t="s">
        <v>669</v>
      </c>
      <c r="D360" s="50"/>
      <c r="E360" s="51">
        <v>884000</v>
      </c>
      <c r="F360" s="52">
        <f t="shared" si="34"/>
        <v>70720</v>
      </c>
      <c r="G360" s="53">
        <f t="shared" si="33"/>
        <v>954720</v>
      </c>
      <c r="H360" s="54">
        <v>954720</v>
      </c>
      <c r="I360" s="55">
        <f t="shared" si="32"/>
        <v>0</v>
      </c>
      <c r="J360" s="56">
        <v>45559</v>
      </c>
      <c r="K360" s="57"/>
    </row>
    <row r="361" spans="1:11" ht="15.75" hidden="1" customHeight="1" x14ac:dyDescent="0.35">
      <c r="A361" s="47" t="s">
        <v>82</v>
      </c>
      <c r="B361" s="48" t="s">
        <v>668</v>
      </c>
      <c r="C361" s="49" t="s">
        <v>670</v>
      </c>
      <c r="D361" s="50"/>
      <c r="E361" s="51">
        <v>1738250</v>
      </c>
      <c r="F361" s="52">
        <f t="shared" si="34"/>
        <v>139060</v>
      </c>
      <c r="G361" s="53">
        <f t="shared" si="33"/>
        <v>1877310</v>
      </c>
      <c r="H361" s="54">
        <v>1877310</v>
      </c>
      <c r="I361" s="55">
        <f t="shared" si="32"/>
        <v>0</v>
      </c>
      <c r="J361" s="56">
        <v>45559</v>
      </c>
      <c r="K361" s="57"/>
    </row>
    <row r="362" spans="1:11" ht="15.75" hidden="1" customHeight="1" x14ac:dyDescent="0.35">
      <c r="A362" s="47" t="s">
        <v>24</v>
      </c>
      <c r="B362" s="48" t="s">
        <v>668</v>
      </c>
      <c r="C362" s="49" t="s">
        <v>181</v>
      </c>
      <c r="D362" s="50"/>
      <c r="E362" s="51">
        <v>8691250</v>
      </c>
      <c r="F362" s="52">
        <f t="shared" si="34"/>
        <v>695300</v>
      </c>
      <c r="G362" s="53">
        <f t="shared" si="33"/>
        <v>9386550</v>
      </c>
      <c r="H362" s="54">
        <v>9386550</v>
      </c>
      <c r="I362" s="55">
        <f t="shared" si="32"/>
        <v>0</v>
      </c>
      <c r="J362" s="56">
        <v>45559</v>
      </c>
      <c r="K362" s="57"/>
    </row>
    <row r="363" spans="1:11" ht="15.75" hidden="1" customHeight="1" x14ac:dyDescent="0.35">
      <c r="A363" s="47" t="s">
        <v>47</v>
      </c>
      <c r="B363" s="48" t="s">
        <v>668</v>
      </c>
      <c r="C363" s="49" t="s">
        <v>671</v>
      </c>
      <c r="D363" s="50"/>
      <c r="E363" s="51">
        <v>3476500</v>
      </c>
      <c r="F363" s="52">
        <f t="shared" si="34"/>
        <v>278120</v>
      </c>
      <c r="G363" s="53">
        <f t="shared" si="33"/>
        <v>3754620</v>
      </c>
      <c r="H363" s="54">
        <v>3754620</v>
      </c>
      <c r="I363" s="55">
        <f t="shared" si="32"/>
        <v>0</v>
      </c>
      <c r="J363" s="56">
        <v>45559</v>
      </c>
      <c r="K363" s="57"/>
    </row>
    <row r="364" spans="1:11" ht="15.75" hidden="1" customHeight="1" x14ac:dyDescent="0.35">
      <c r="A364" s="47" t="s">
        <v>19</v>
      </c>
      <c r="B364" s="48" t="s">
        <v>668</v>
      </c>
      <c r="C364" s="49" t="s">
        <v>182</v>
      </c>
      <c r="D364" s="50"/>
      <c r="E364" s="51">
        <v>1738250</v>
      </c>
      <c r="F364" s="52">
        <f t="shared" si="34"/>
        <v>139060</v>
      </c>
      <c r="G364" s="53">
        <f t="shared" si="33"/>
        <v>1877310</v>
      </c>
      <c r="H364" s="54">
        <v>1877310</v>
      </c>
      <c r="I364" s="55">
        <f t="shared" si="32"/>
        <v>0</v>
      </c>
      <c r="J364" s="56">
        <v>45559</v>
      </c>
      <c r="K364" s="57"/>
    </row>
    <row r="365" spans="1:11" ht="15.75" hidden="1" customHeight="1" x14ac:dyDescent="0.35">
      <c r="A365" s="47" t="s">
        <v>72</v>
      </c>
      <c r="B365" s="48" t="s">
        <v>672</v>
      </c>
      <c r="C365" s="49" t="s">
        <v>673</v>
      </c>
      <c r="D365" s="50"/>
      <c r="E365" s="51">
        <v>3506250</v>
      </c>
      <c r="F365" s="52">
        <f t="shared" si="34"/>
        <v>280500</v>
      </c>
      <c r="G365" s="53">
        <f t="shared" si="33"/>
        <v>3786750</v>
      </c>
      <c r="H365" s="54">
        <v>3786750</v>
      </c>
      <c r="I365" s="55">
        <f t="shared" si="32"/>
        <v>0</v>
      </c>
      <c r="J365" s="56">
        <v>45559</v>
      </c>
      <c r="K365" s="57"/>
    </row>
    <row r="366" spans="1:11" ht="15.75" hidden="1" customHeight="1" x14ac:dyDescent="0.35">
      <c r="A366" s="47" t="s">
        <v>176</v>
      </c>
      <c r="B366" s="48" t="s">
        <v>672</v>
      </c>
      <c r="C366" s="49" t="s">
        <v>674</v>
      </c>
      <c r="D366" s="50"/>
      <c r="E366" s="51">
        <v>1296250</v>
      </c>
      <c r="F366" s="52">
        <f t="shared" si="34"/>
        <v>103700</v>
      </c>
      <c r="G366" s="53">
        <f t="shared" si="33"/>
        <v>1399950</v>
      </c>
      <c r="H366" s="54">
        <v>1399950</v>
      </c>
      <c r="I366" s="55">
        <f t="shared" si="32"/>
        <v>0</v>
      </c>
      <c r="J366" s="56">
        <v>45559</v>
      </c>
      <c r="K366" s="57"/>
    </row>
    <row r="367" spans="1:11" ht="15.75" hidden="1" customHeight="1" x14ac:dyDescent="0.35">
      <c r="A367" s="47" t="s">
        <v>56</v>
      </c>
      <c r="B367" s="48" t="s">
        <v>672</v>
      </c>
      <c r="C367" s="49" t="s">
        <v>675</v>
      </c>
      <c r="D367" s="50"/>
      <c r="E367" s="51">
        <v>2240750</v>
      </c>
      <c r="F367" s="52">
        <f t="shared" si="34"/>
        <v>179260</v>
      </c>
      <c r="G367" s="53">
        <f t="shared" si="33"/>
        <v>2420010</v>
      </c>
      <c r="H367" s="54">
        <v>2420010</v>
      </c>
      <c r="I367" s="55">
        <f t="shared" si="32"/>
        <v>0</v>
      </c>
      <c r="J367" s="56">
        <v>45559</v>
      </c>
      <c r="K367" s="57"/>
    </row>
    <row r="368" spans="1:11" ht="15.75" hidden="1" customHeight="1" x14ac:dyDescent="0.35">
      <c r="A368" s="47" t="s">
        <v>53</v>
      </c>
      <c r="B368" s="48" t="s">
        <v>676</v>
      </c>
      <c r="C368" s="49" t="s">
        <v>677</v>
      </c>
      <c r="D368" s="50"/>
      <c r="E368" s="51">
        <v>3476500</v>
      </c>
      <c r="F368" s="52">
        <f t="shared" si="34"/>
        <v>278120</v>
      </c>
      <c r="G368" s="53">
        <f t="shared" si="33"/>
        <v>3754620</v>
      </c>
      <c r="H368" s="54">
        <v>3754620</v>
      </c>
      <c r="I368" s="55">
        <f t="shared" si="32"/>
        <v>0</v>
      </c>
      <c r="J368" s="56">
        <v>45559</v>
      </c>
      <c r="K368" s="57"/>
    </row>
    <row r="369" spans="1:11" ht="15.75" hidden="1" customHeight="1" x14ac:dyDescent="0.35">
      <c r="A369" s="47" t="s">
        <v>167</v>
      </c>
      <c r="B369" s="48" t="s">
        <v>676</v>
      </c>
      <c r="C369" s="50" t="s">
        <v>678</v>
      </c>
      <c r="D369" s="50"/>
      <c r="E369" s="51">
        <v>1296250</v>
      </c>
      <c r="F369" s="52">
        <f t="shared" si="34"/>
        <v>103700</v>
      </c>
      <c r="G369" s="53">
        <f t="shared" si="33"/>
        <v>1399950</v>
      </c>
      <c r="H369" s="54">
        <v>1399950</v>
      </c>
      <c r="I369" s="55">
        <f t="shared" si="32"/>
        <v>0</v>
      </c>
      <c r="J369" s="56">
        <v>45559</v>
      </c>
      <c r="K369" s="57"/>
    </row>
    <row r="370" spans="1:11" ht="15.75" hidden="1" customHeight="1" x14ac:dyDescent="0.35">
      <c r="A370" s="47" t="s">
        <v>127</v>
      </c>
      <c r="B370" s="48" t="s">
        <v>679</v>
      </c>
      <c r="C370" s="49" t="s">
        <v>680</v>
      </c>
      <c r="D370" s="50"/>
      <c r="E370" s="51">
        <v>1738250</v>
      </c>
      <c r="F370" s="52">
        <f t="shared" si="34"/>
        <v>139060</v>
      </c>
      <c r="G370" s="53">
        <f t="shared" si="33"/>
        <v>1877310</v>
      </c>
      <c r="H370" s="54">
        <v>1877310</v>
      </c>
      <c r="I370" s="55">
        <f t="shared" si="32"/>
        <v>0</v>
      </c>
      <c r="J370" s="56">
        <v>45559</v>
      </c>
      <c r="K370" s="57"/>
    </row>
    <row r="371" spans="1:11" ht="15.75" hidden="1" customHeight="1" x14ac:dyDescent="0.35">
      <c r="A371" s="47" t="s">
        <v>44</v>
      </c>
      <c r="B371" s="48" t="s">
        <v>679</v>
      </c>
      <c r="C371" s="49" t="s">
        <v>216</v>
      </c>
      <c r="D371" s="50"/>
      <c r="E371" s="51">
        <v>869125</v>
      </c>
      <c r="F371" s="52">
        <f t="shared" si="34"/>
        <v>69530</v>
      </c>
      <c r="G371" s="53">
        <f t="shared" si="33"/>
        <v>938655</v>
      </c>
      <c r="H371" s="54">
        <v>938655</v>
      </c>
      <c r="I371" s="55">
        <f t="shared" si="32"/>
        <v>0</v>
      </c>
      <c r="J371" s="56">
        <v>45531</v>
      </c>
      <c r="K371" s="57"/>
    </row>
    <row r="372" spans="1:11" ht="15.75" hidden="1" customHeight="1" x14ac:dyDescent="0.35">
      <c r="A372" s="47" t="s">
        <v>148</v>
      </c>
      <c r="B372" s="48" t="s">
        <v>679</v>
      </c>
      <c r="C372" s="49" t="s">
        <v>217</v>
      </c>
      <c r="D372" s="50"/>
      <c r="E372" s="51">
        <v>869125</v>
      </c>
      <c r="F372" s="52">
        <f t="shared" si="34"/>
        <v>69530</v>
      </c>
      <c r="G372" s="53">
        <f t="shared" si="33"/>
        <v>938655</v>
      </c>
      <c r="H372" s="54">
        <v>938655</v>
      </c>
      <c r="I372" s="55">
        <f t="shared" si="32"/>
        <v>0</v>
      </c>
      <c r="J372" s="56">
        <v>45496</v>
      </c>
      <c r="K372" s="57"/>
    </row>
    <row r="373" spans="1:11" ht="15.75" hidden="1" customHeight="1" x14ac:dyDescent="0.35">
      <c r="A373" s="47" t="s">
        <v>52</v>
      </c>
      <c r="B373" s="48" t="s">
        <v>679</v>
      </c>
      <c r="C373" s="49" t="s">
        <v>681</v>
      </c>
      <c r="D373" s="50"/>
      <c r="E373" s="51">
        <v>2622250</v>
      </c>
      <c r="F373" s="52">
        <f t="shared" si="34"/>
        <v>209780</v>
      </c>
      <c r="G373" s="53">
        <f t="shared" si="33"/>
        <v>2832030</v>
      </c>
      <c r="H373" s="54">
        <v>2832030</v>
      </c>
      <c r="I373" s="55">
        <f t="shared" si="32"/>
        <v>0</v>
      </c>
      <c r="J373" s="56">
        <v>45559</v>
      </c>
      <c r="K373" s="57"/>
    </row>
    <row r="374" spans="1:11" ht="15.75" hidden="1" customHeight="1" x14ac:dyDescent="0.35">
      <c r="A374" s="47" t="s">
        <v>53</v>
      </c>
      <c r="B374" s="48" t="s">
        <v>676</v>
      </c>
      <c r="C374" s="50" t="s">
        <v>677</v>
      </c>
      <c r="D374" s="50"/>
      <c r="E374" s="51">
        <v>3476500</v>
      </c>
      <c r="F374" s="52">
        <f t="shared" si="34"/>
        <v>278120</v>
      </c>
      <c r="G374" s="53">
        <f t="shared" si="33"/>
        <v>3754620</v>
      </c>
      <c r="H374" s="54">
        <v>3754620</v>
      </c>
      <c r="I374" s="55">
        <f t="shared" si="32"/>
        <v>0</v>
      </c>
      <c r="J374" s="56">
        <v>45559</v>
      </c>
      <c r="K374" s="57"/>
    </row>
    <row r="375" spans="1:11" ht="15.75" hidden="1" customHeight="1" x14ac:dyDescent="0.35">
      <c r="A375" s="47" t="s">
        <v>167</v>
      </c>
      <c r="B375" s="48" t="s">
        <v>676</v>
      </c>
      <c r="C375" s="49" t="s">
        <v>678</v>
      </c>
      <c r="D375" s="50"/>
      <c r="E375" s="51">
        <v>1296250</v>
      </c>
      <c r="F375" s="52">
        <f t="shared" si="34"/>
        <v>103700</v>
      </c>
      <c r="G375" s="53">
        <f t="shared" si="33"/>
        <v>1399950</v>
      </c>
      <c r="H375" s="54">
        <v>1399950</v>
      </c>
      <c r="I375" s="55">
        <f t="shared" si="32"/>
        <v>0</v>
      </c>
      <c r="J375" s="56">
        <v>45559</v>
      </c>
      <c r="K375" s="57"/>
    </row>
    <row r="376" spans="1:11" ht="15.75" hidden="1" customHeight="1" x14ac:dyDescent="0.35">
      <c r="A376" s="47" t="s">
        <v>127</v>
      </c>
      <c r="B376" s="48" t="s">
        <v>679</v>
      </c>
      <c r="C376" s="49" t="s">
        <v>680</v>
      </c>
      <c r="D376" s="50"/>
      <c r="E376" s="51">
        <v>1738250</v>
      </c>
      <c r="F376" s="52">
        <f t="shared" si="34"/>
        <v>139060</v>
      </c>
      <c r="G376" s="53">
        <f t="shared" si="33"/>
        <v>1877310</v>
      </c>
      <c r="H376" s="54">
        <v>1877310</v>
      </c>
      <c r="I376" s="55">
        <f t="shared" si="32"/>
        <v>0</v>
      </c>
      <c r="J376" s="56">
        <v>45559</v>
      </c>
      <c r="K376" s="57"/>
    </row>
    <row r="377" spans="1:11" ht="15.75" hidden="1" customHeight="1" x14ac:dyDescent="0.35">
      <c r="A377" s="47" t="s">
        <v>44</v>
      </c>
      <c r="B377" s="48" t="s">
        <v>679</v>
      </c>
      <c r="C377" s="50" t="s">
        <v>216</v>
      </c>
      <c r="D377" s="50"/>
      <c r="E377" s="51">
        <v>869125</v>
      </c>
      <c r="F377" s="52">
        <f t="shared" si="34"/>
        <v>69530</v>
      </c>
      <c r="G377" s="53">
        <f t="shared" si="33"/>
        <v>938655</v>
      </c>
      <c r="H377" s="54">
        <v>938655</v>
      </c>
      <c r="I377" s="55">
        <f t="shared" si="32"/>
        <v>0</v>
      </c>
      <c r="J377" s="56">
        <v>45531</v>
      </c>
      <c r="K377" s="57"/>
    </row>
    <row r="378" spans="1:11" ht="15.75" hidden="1" customHeight="1" x14ac:dyDescent="0.35">
      <c r="A378" s="47" t="s">
        <v>148</v>
      </c>
      <c r="B378" s="48" t="s">
        <v>679</v>
      </c>
      <c r="C378" s="49" t="s">
        <v>217</v>
      </c>
      <c r="D378" s="50"/>
      <c r="E378" s="51">
        <v>869125</v>
      </c>
      <c r="F378" s="52">
        <f t="shared" si="34"/>
        <v>69530</v>
      </c>
      <c r="G378" s="53">
        <f t="shared" si="33"/>
        <v>938655</v>
      </c>
      <c r="H378" s="54">
        <v>938655</v>
      </c>
      <c r="I378" s="55">
        <f t="shared" ref="I378:I441" si="35">G378-H378</f>
        <v>0</v>
      </c>
      <c r="J378" s="56">
        <v>45493</v>
      </c>
      <c r="K378" s="57"/>
    </row>
    <row r="379" spans="1:11" ht="15.75" hidden="1" customHeight="1" x14ac:dyDescent="0.35">
      <c r="A379" s="47" t="s">
        <v>52</v>
      </c>
      <c r="B379" s="48" t="s">
        <v>679</v>
      </c>
      <c r="C379" s="49" t="s">
        <v>681</v>
      </c>
      <c r="D379" s="50"/>
      <c r="E379" s="51">
        <v>2622250</v>
      </c>
      <c r="F379" s="52">
        <f t="shared" si="34"/>
        <v>209780</v>
      </c>
      <c r="G379" s="53">
        <f t="shared" ref="G379:G442" si="36">E379+F379</f>
        <v>2832030</v>
      </c>
      <c r="H379" s="54">
        <v>2832030</v>
      </c>
      <c r="I379" s="55">
        <f t="shared" si="35"/>
        <v>0</v>
      </c>
      <c r="J379" s="56">
        <v>45559</v>
      </c>
      <c r="K379" s="57"/>
    </row>
    <row r="380" spans="1:11" ht="15.75" hidden="1" customHeight="1" x14ac:dyDescent="0.35">
      <c r="A380" s="47" t="s">
        <v>120</v>
      </c>
      <c r="B380" s="48" t="s">
        <v>682</v>
      </c>
      <c r="C380" s="49" t="s">
        <v>683</v>
      </c>
      <c r="D380" s="50"/>
      <c r="E380" s="51">
        <v>3476500</v>
      </c>
      <c r="F380" s="52">
        <f t="shared" si="34"/>
        <v>278120</v>
      </c>
      <c r="G380" s="53">
        <f t="shared" si="36"/>
        <v>3754620</v>
      </c>
      <c r="H380" s="54">
        <v>3754620</v>
      </c>
      <c r="I380" s="55">
        <f t="shared" si="35"/>
        <v>0</v>
      </c>
      <c r="J380" s="56">
        <v>45559</v>
      </c>
      <c r="K380" s="57"/>
    </row>
    <row r="381" spans="1:11" ht="15.75" hidden="1" customHeight="1" x14ac:dyDescent="0.35">
      <c r="A381" s="47" t="s">
        <v>32</v>
      </c>
      <c r="B381" s="48" t="s">
        <v>682</v>
      </c>
      <c r="C381" s="49" t="s">
        <v>218</v>
      </c>
      <c r="D381" s="50"/>
      <c r="E381" s="51">
        <v>884000</v>
      </c>
      <c r="F381" s="52">
        <f t="shared" si="34"/>
        <v>70720</v>
      </c>
      <c r="G381" s="53">
        <f t="shared" si="36"/>
        <v>954720</v>
      </c>
      <c r="H381" s="54">
        <v>954720</v>
      </c>
      <c r="I381" s="55">
        <f t="shared" si="35"/>
        <v>0</v>
      </c>
      <c r="J381" s="56">
        <v>45559</v>
      </c>
      <c r="K381" s="57"/>
    </row>
    <row r="382" spans="1:11" ht="15.75" hidden="1" customHeight="1" x14ac:dyDescent="0.35">
      <c r="A382" s="47" t="s">
        <v>22</v>
      </c>
      <c r="B382" s="48" t="s">
        <v>684</v>
      </c>
      <c r="C382" s="49" t="s">
        <v>685</v>
      </c>
      <c r="D382" s="50"/>
      <c r="E382" s="51">
        <v>1738250</v>
      </c>
      <c r="F382" s="52">
        <f t="shared" si="34"/>
        <v>139060</v>
      </c>
      <c r="G382" s="53">
        <f t="shared" si="36"/>
        <v>1877310</v>
      </c>
      <c r="H382" s="54">
        <v>1877310</v>
      </c>
      <c r="I382" s="55">
        <f t="shared" si="35"/>
        <v>0</v>
      </c>
      <c r="J382" s="56">
        <v>45559</v>
      </c>
      <c r="K382" s="57"/>
    </row>
    <row r="383" spans="1:11" ht="15.75" hidden="1" customHeight="1" x14ac:dyDescent="0.35">
      <c r="A383" s="47" t="s">
        <v>46</v>
      </c>
      <c r="B383" s="48" t="s">
        <v>686</v>
      </c>
      <c r="C383" s="49" t="s">
        <v>687</v>
      </c>
      <c r="D383" s="50"/>
      <c r="E383" s="51">
        <v>1738250</v>
      </c>
      <c r="F383" s="52">
        <f t="shared" si="34"/>
        <v>139060</v>
      </c>
      <c r="G383" s="53">
        <f t="shared" si="36"/>
        <v>1877310</v>
      </c>
      <c r="H383" s="54">
        <v>1877310</v>
      </c>
      <c r="I383" s="55">
        <f t="shared" si="35"/>
        <v>0</v>
      </c>
      <c r="J383" s="56">
        <v>45589</v>
      </c>
      <c r="K383" s="57"/>
    </row>
    <row r="384" spans="1:11" ht="15.75" hidden="1" customHeight="1" x14ac:dyDescent="0.35">
      <c r="A384" s="47" t="s">
        <v>23</v>
      </c>
      <c r="B384" s="48" t="s">
        <v>686</v>
      </c>
      <c r="C384" s="49" t="s">
        <v>688</v>
      </c>
      <c r="D384" s="50"/>
      <c r="E384" s="51">
        <v>869125</v>
      </c>
      <c r="F384" s="52">
        <f t="shared" si="34"/>
        <v>69530</v>
      </c>
      <c r="G384" s="53">
        <f t="shared" si="36"/>
        <v>938655</v>
      </c>
      <c r="H384" s="54">
        <v>938655</v>
      </c>
      <c r="I384" s="55">
        <f t="shared" si="35"/>
        <v>0</v>
      </c>
      <c r="J384" s="56">
        <v>45589</v>
      </c>
      <c r="K384" s="57"/>
    </row>
    <row r="385" spans="1:11" ht="15.75" hidden="1" customHeight="1" x14ac:dyDescent="0.35">
      <c r="A385" s="47" t="s">
        <v>20</v>
      </c>
      <c r="B385" s="48" t="s">
        <v>689</v>
      </c>
      <c r="C385" s="50" t="s">
        <v>690</v>
      </c>
      <c r="D385" s="50"/>
      <c r="E385" s="51">
        <v>854250</v>
      </c>
      <c r="F385" s="52">
        <f t="shared" si="34"/>
        <v>68340</v>
      </c>
      <c r="G385" s="53">
        <f t="shared" si="36"/>
        <v>922590</v>
      </c>
      <c r="H385" s="54">
        <v>922590</v>
      </c>
      <c r="I385" s="55">
        <f t="shared" si="35"/>
        <v>0</v>
      </c>
      <c r="J385" s="56">
        <v>45589</v>
      </c>
      <c r="K385" s="57"/>
    </row>
    <row r="386" spans="1:11" ht="15.75" hidden="1" customHeight="1" x14ac:dyDescent="0.35">
      <c r="A386" s="47" t="s">
        <v>71</v>
      </c>
      <c r="B386" s="48" t="s">
        <v>691</v>
      </c>
      <c r="C386" s="49" t="s">
        <v>692</v>
      </c>
      <c r="D386" s="50"/>
      <c r="E386" s="51">
        <v>1738250</v>
      </c>
      <c r="F386" s="52">
        <f t="shared" si="34"/>
        <v>139060</v>
      </c>
      <c r="G386" s="53">
        <f t="shared" si="36"/>
        <v>1877310</v>
      </c>
      <c r="H386" s="54">
        <v>1877310</v>
      </c>
      <c r="I386" s="55">
        <f t="shared" si="35"/>
        <v>0</v>
      </c>
      <c r="J386" s="56">
        <v>45589</v>
      </c>
      <c r="K386" s="57"/>
    </row>
    <row r="387" spans="1:11" ht="15.75" hidden="1" customHeight="1" x14ac:dyDescent="0.35">
      <c r="A387" s="47" t="s">
        <v>143</v>
      </c>
      <c r="B387" s="48" t="s">
        <v>691</v>
      </c>
      <c r="C387" s="49" t="s">
        <v>693</v>
      </c>
      <c r="D387" s="50"/>
      <c r="E387" s="51">
        <v>869125</v>
      </c>
      <c r="F387" s="52">
        <f t="shared" si="34"/>
        <v>69530</v>
      </c>
      <c r="G387" s="53">
        <f t="shared" si="36"/>
        <v>938655</v>
      </c>
      <c r="H387" s="54">
        <v>938655</v>
      </c>
      <c r="I387" s="55">
        <f t="shared" si="35"/>
        <v>0</v>
      </c>
      <c r="J387" s="56">
        <v>45589</v>
      </c>
      <c r="K387" s="57"/>
    </row>
    <row r="388" spans="1:11" ht="15.75" hidden="1" customHeight="1" x14ac:dyDescent="0.35">
      <c r="A388" s="47" t="s">
        <v>188</v>
      </c>
      <c r="B388" s="48" t="s">
        <v>691</v>
      </c>
      <c r="C388" s="49" t="s">
        <v>694</v>
      </c>
      <c r="D388" s="50"/>
      <c r="E388" s="51">
        <v>869125</v>
      </c>
      <c r="F388" s="52">
        <f t="shared" si="34"/>
        <v>69530</v>
      </c>
      <c r="G388" s="53">
        <f t="shared" si="36"/>
        <v>938655</v>
      </c>
      <c r="H388" s="54">
        <v>938655</v>
      </c>
      <c r="I388" s="55">
        <f t="shared" si="35"/>
        <v>0</v>
      </c>
      <c r="J388" s="56">
        <v>45644</v>
      </c>
      <c r="K388" s="57"/>
    </row>
    <row r="389" spans="1:11" ht="15.75" hidden="1" customHeight="1" x14ac:dyDescent="0.35">
      <c r="A389" s="47" t="s">
        <v>105</v>
      </c>
      <c r="B389" s="48" t="s">
        <v>695</v>
      </c>
      <c r="C389" s="49" t="s">
        <v>219</v>
      </c>
      <c r="D389" s="50"/>
      <c r="E389" s="51">
        <v>2622250</v>
      </c>
      <c r="F389" s="52">
        <f t="shared" si="34"/>
        <v>209780</v>
      </c>
      <c r="G389" s="53">
        <f t="shared" si="36"/>
        <v>2832030</v>
      </c>
      <c r="H389" s="54">
        <v>2832030</v>
      </c>
      <c r="I389" s="55">
        <f t="shared" si="35"/>
        <v>0</v>
      </c>
      <c r="J389" s="56">
        <v>45589</v>
      </c>
      <c r="K389" s="57"/>
    </row>
    <row r="390" spans="1:11" ht="15.75" hidden="1" customHeight="1" x14ac:dyDescent="0.35">
      <c r="A390" s="47" t="s">
        <v>104</v>
      </c>
      <c r="B390" s="48" t="s">
        <v>696</v>
      </c>
      <c r="C390" s="49" t="s">
        <v>697</v>
      </c>
      <c r="D390" s="50"/>
      <c r="E390" s="51">
        <v>2622250</v>
      </c>
      <c r="F390" s="52">
        <f t="shared" si="34"/>
        <v>209780</v>
      </c>
      <c r="G390" s="53">
        <f t="shared" si="36"/>
        <v>2832030</v>
      </c>
      <c r="H390" s="54">
        <v>2832030</v>
      </c>
      <c r="I390" s="55">
        <f t="shared" si="35"/>
        <v>0</v>
      </c>
      <c r="J390" s="56">
        <v>45589</v>
      </c>
      <c r="K390" s="57"/>
    </row>
    <row r="391" spans="1:11" ht="15.75" hidden="1" customHeight="1" x14ac:dyDescent="0.35">
      <c r="A391" s="47" t="s">
        <v>47</v>
      </c>
      <c r="B391" s="48" t="s">
        <v>696</v>
      </c>
      <c r="C391" s="49" t="s">
        <v>698</v>
      </c>
      <c r="D391" s="50"/>
      <c r="E391" s="51">
        <v>884000</v>
      </c>
      <c r="F391" s="52">
        <f t="shared" si="34"/>
        <v>70720</v>
      </c>
      <c r="G391" s="53">
        <f t="shared" si="36"/>
        <v>954720</v>
      </c>
      <c r="H391" s="54">
        <v>954720</v>
      </c>
      <c r="I391" s="55">
        <f t="shared" si="35"/>
        <v>0</v>
      </c>
      <c r="J391" s="56">
        <v>45589</v>
      </c>
      <c r="K391" s="57"/>
    </row>
    <row r="392" spans="1:11" ht="15.75" hidden="1" customHeight="1" x14ac:dyDescent="0.35">
      <c r="A392" s="47" t="s">
        <v>350</v>
      </c>
      <c r="B392" s="48" t="s">
        <v>696</v>
      </c>
      <c r="C392" s="49" t="s">
        <v>699</v>
      </c>
      <c r="D392" s="50"/>
      <c r="E392" s="51">
        <v>869125</v>
      </c>
      <c r="F392" s="52">
        <f t="shared" si="34"/>
        <v>69530</v>
      </c>
      <c r="G392" s="53">
        <f t="shared" si="36"/>
        <v>938655</v>
      </c>
      <c r="H392" s="54">
        <v>938655</v>
      </c>
      <c r="I392" s="55">
        <f t="shared" si="35"/>
        <v>0</v>
      </c>
      <c r="J392" s="56">
        <v>45589</v>
      </c>
      <c r="K392" s="57"/>
    </row>
    <row r="393" spans="1:11" ht="15.75" hidden="1" customHeight="1" x14ac:dyDescent="0.35">
      <c r="A393" s="47" t="s">
        <v>53</v>
      </c>
      <c r="B393" s="48" t="s">
        <v>700</v>
      </c>
      <c r="C393" s="49" t="s">
        <v>701</v>
      </c>
      <c r="D393" s="50"/>
      <c r="E393" s="51">
        <v>1738250</v>
      </c>
      <c r="F393" s="52">
        <f t="shared" si="34"/>
        <v>139060</v>
      </c>
      <c r="G393" s="53">
        <f t="shared" si="36"/>
        <v>1877310</v>
      </c>
      <c r="H393" s="54">
        <v>1877310</v>
      </c>
      <c r="I393" s="55">
        <f t="shared" si="35"/>
        <v>0</v>
      </c>
      <c r="J393" s="56">
        <v>45622</v>
      </c>
      <c r="K393" s="57"/>
    </row>
    <row r="394" spans="1:11" ht="15.75" hidden="1" customHeight="1" x14ac:dyDescent="0.35">
      <c r="A394" s="47" t="s">
        <v>19</v>
      </c>
      <c r="B394" s="48" t="s">
        <v>700</v>
      </c>
      <c r="C394" s="49" t="s">
        <v>702</v>
      </c>
      <c r="D394" s="50"/>
      <c r="E394" s="51">
        <v>3476500</v>
      </c>
      <c r="F394" s="52">
        <f t="shared" si="34"/>
        <v>278120</v>
      </c>
      <c r="G394" s="53">
        <f t="shared" si="36"/>
        <v>3754620</v>
      </c>
      <c r="H394" s="54">
        <v>3754620</v>
      </c>
      <c r="I394" s="55">
        <f t="shared" si="35"/>
        <v>0</v>
      </c>
      <c r="J394" s="56">
        <v>45589</v>
      </c>
      <c r="K394" s="57"/>
    </row>
    <row r="395" spans="1:11" ht="15.75" hidden="1" customHeight="1" x14ac:dyDescent="0.35">
      <c r="A395" s="47" t="s">
        <v>47</v>
      </c>
      <c r="B395" s="48" t="s">
        <v>700</v>
      </c>
      <c r="C395" s="49" t="s">
        <v>184</v>
      </c>
      <c r="D395" s="50"/>
      <c r="E395" s="51">
        <v>854250</v>
      </c>
      <c r="F395" s="52">
        <f t="shared" si="34"/>
        <v>68340</v>
      </c>
      <c r="G395" s="53">
        <f t="shared" si="36"/>
        <v>922590</v>
      </c>
      <c r="H395" s="54">
        <v>922590</v>
      </c>
      <c r="I395" s="55">
        <f t="shared" si="35"/>
        <v>0</v>
      </c>
      <c r="J395" s="56">
        <v>45589</v>
      </c>
      <c r="K395" s="57"/>
    </row>
    <row r="396" spans="1:11" ht="15.75" hidden="1" customHeight="1" x14ac:dyDescent="0.35">
      <c r="A396" s="47" t="s">
        <v>27</v>
      </c>
      <c r="B396" s="48" t="s">
        <v>700</v>
      </c>
      <c r="C396" s="49" t="s">
        <v>703</v>
      </c>
      <c r="D396" s="50"/>
      <c r="E396" s="51">
        <v>1738250</v>
      </c>
      <c r="F396" s="52">
        <f t="shared" si="34"/>
        <v>139060</v>
      </c>
      <c r="G396" s="53">
        <f t="shared" si="36"/>
        <v>1877310</v>
      </c>
      <c r="H396" s="54">
        <v>1877310</v>
      </c>
      <c r="I396" s="55">
        <f t="shared" si="35"/>
        <v>0</v>
      </c>
      <c r="J396" s="56">
        <v>45589</v>
      </c>
      <c r="K396" s="57"/>
    </row>
    <row r="397" spans="1:11" ht="15.75" hidden="1" customHeight="1" x14ac:dyDescent="0.35">
      <c r="A397" s="47" t="s">
        <v>167</v>
      </c>
      <c r="B397" s="48" t="s">
        <v>704</v>
      </c>
      <c r="C397" s="49" t="s">
        <v>705</v>
      </c>
      <c r="D397" s="50"/>
      <c r="E397" s="51">
        <v>884000</v>
      </c>
      <c r="F397" s="52">
        <f t="shared" si="34"/>
        <v>70720</v>
      </c>
      <c r="G397" s="53">
        <f t="shared" si="36"/>
        <v>954720</v>
      </c>
      <c r="H397" s="54">
        <v>954720</v>
      </c>
      <c r="I397" s="55">
        <f t="shared" si="35"/>
        <v>0</v>
      </c>
      <c r="J397" s="56">
        <v>45589</v>
      </c>
      <c r="K397" s="57"/>
    </row>
    <row r="398" spans="1:11" ht="15.75" hidden="1" customHeight="1" x14ac:dyDescent="0.35">
      <c r="A398" s="47" t="s">
        <v>100</v>
      </c>
      <c r="B398" s="48" t="s">
        <v>704</v>
      </c>
      <c r="C398" s="49" t="s">
        <v>706</v>
      </c>
      <c r="D398" s="50"/>
      <c r="E398" s="51">
        <v>1738250</v>
      </c>
      <c r="F398" s="52">
        <f t="shared" si="34"/>
        <v>139060</v>
      </c>
      <c r="G398" s="53">
        <f t="shared" si="36"/>
        <v>1877310</v>
      </c>
      <c r="H398" s="54">
        <v>1877310</v>
      </c>
      <c r="I398" s="55">
        <f t="shared" si="35"/>
        <v>0</v>
      </c>
      <c r="J398" s="56">
        <v>45589</v>
      </c>
      <c r="K398" s="57"/>
    </row>
    <row r="399" spans="1:11" ht="15.75" hidden="1" customHeight="1" x14ac:dyDescent="0.35">
      <c r="A399" s="47" t="s">
        <v>44</v>
      </c>
      <c r="B399" s="48" t="s">
        <v>704</v>
      </c>
      <c r="C399" s="49" t="s">
        <v>707</v>
      </c>
      <c r="D399" s="50"/>
      <c r="E399" s="51">
        <v>1738250</v>
      </c>
      <c r="F399" s="52">
        <f t="shared" si="34"/>
        <v>139060</v>
      </c>
      <c r="G399" s="53">
        <f t="shared" si="36"/>
        <v>1877310</v>
      </c>
      <c r="H399" s="54">
        <v>1877310</v>
      </c>
      <c r="I399" s="55">
        <f t="shared" si="35"/>
        <v>0</v>
      </c>
      <c r="J399" s="56">
        <v>45589</v>
      </c>
      <c r="K399" s="57"/>
    </row>
    <row r="400" spans="1:11" ht="15.75" hidden="1" customHeight="1" x14ac:dyDescent="0.35">
      <c r="A400" s="47" t="s">
        <v>308</v>
      </c>
      <c r="B400" s="48" t="s">
        <v>708</v>
      </c>
      <c r="C400" s="49" t="s">
        <v>709</v>
      </c>
      <c r="D400" s="50"/>
      <c r="E400" s="51">
        <v>869125</v>
      </c>
      <c r="F400" s="52">
        <f t="shared" si="34"/>
        <v>69530</v>
      </c>
      <c r="G400" s="53">
        <f t="shared" si="36"/>
        <v>938655</v>
      </c>
      <c r="H400" s="54">
        <v>938655</v>
      </c>
      <c r="I400" s="55">
        <f t="shared" si="35"/>
        <v>0</v>
      </c>
      <c r="J400" s="56">
        <v>45589</v>
      </c>
      <c r="K400" s="57"/>
    </row>
    <row r="401" spans="1:11" ht="15.75" hidden="1" customHeight="1" x14ac:dyDescent="0.35">
      <c r="A401" s="47" t="s">
        <v>20</v>
      </c>
      <c r="B401" s="48" t="s">
        <v>708</v>
      </c>
      <c r="C401" s="49" t="s">
        <v>710</v>
      </c>
      <c r="D401" s="50"/>
      <c r="E401" s="51">
        <v>2562750</v>
      </c>
      <c r="F401" s="52">
        <f t="shared" si="34"/>
        <v>205020</v>
      </c>
      <c r="G401" s="53">
        <f t="shared" si="36"/>
        <v>2767770</v>
      </c>
      <c r="H401" s="54">
        <v>2767770</v>
      </c>
      <c r="I401" s="55">
        <f t="shared" si="35"/>
        <v>0</v>
      </c>
      <c r="J401" s="56">
        <v>45589</v>
      </c>
      <c r="K401" s="57"/>
    </row>
    <row r="402" spans="1:11" ht="15.75" hidden="1" customHeight="1" x14ac:dyDescent="0.35">
      <c r="A402" s="47" t="s">
        <v>69</v>
      </c>
      <c r="B402" s="48" t="s">
        <v>708</v>
      </c>
      <c r="C402" s="49" t="s">
        <v>711</v>
      </c>
      <c r="D402" s="50"/>
      <c r="E402" s="51">
        <v>884000</v>
      </c>
      <c r="F402" s="52">
        <f t="shared" si="34"/>
        <v>70720</v>
      </c>
      <c r="G402" s="53">
        <f t="shared" si="36"/>
        <v>954720</v>
      </c>
      <c r="H402" s="54">
        <v>954720</v>
      </c>
      <c r="I402" s="55">
        <f t="shared" si="35"/>
        <v>0</v>
      </c>
      <c r="J402" s="56">
        <v>45589</v>
      </c>
      <c r="K402" s="57"/>
    </row>
    <row r="403" spans="1:11" ht="15.75" hidden="1" customHeight="1" x14ac:dyDescent="0.35">
      <c r="A403" s="47" t="s">
        <v>78</v>
      </c>
      <c r="B403" s="48" t="s">
        <v>708</v>
      </c>
      <c r="C403" s="49" t="s">
        <v>712</v>
      </c>
      <c r="D403" s="50"/>
      <c r="E403" s="51">
        <v>854250</v>
      </c>
      <c r="F403" s="52">
        <f t="shared" si="34"/>
        <v>68340</v>
      </c>
      <c r="G403" s="53">
        <f t="shared" si="36"/>
        <v>922590</v>
      </c>
      <c r="H403" s="54">
        <v>922590</v>
      </c>
      <c r="I403" s="55">
        <f t="shared" si="35"/>
        <v>0</v>
      </c>
      <c r="J403" s="56">
        <v>45589</v>
      </c>
      <c r="K403" s="57"/>
    </row>
    <row r="404" spans="1:11" ht="15.75" hidden="1" customHeight="1" x14ac:dyDescent="0.35">
      <c r="A404" s="47" t="s">
        <v>54</v>
      </c>
      <c r="B404" s="48" t="s">
        <v>708</v>
      </c>
      <c r="C404" s="49" t="s">
        <v>713</v>
      </c>
      <c r="D404" s="50"/>
      <c r="E404" s="51">
        <v>854250</v>
      </c>
      <c r="F404" s="52">
        <f t="shared" si="34"/>
        <v>68340</v>
      </c>
      <c r="G404" s="53">
        <f t="shared" si="36"/>
        <v>922590</v>
      </c>
      <c r="H404" s="54">
        <v>922590</v>
      </c>
      <c r="I404" s="55">
        <f t="shared" si="35"/>
        <v>0</v>
      </c>
      <c r="J404" s="56">
        <v>45622</v>
      </c>
      <c r="K404" s="57"/>
    </row>
    <row r="405" spans="1:11" ht="15.75" hidden="1" customHeight="1" x14ac:dyDescent="0.35">
      <c r="A405" s="47" t="s">
        <v>35</v>
      </c>
      <c r="B405" s="48" t="s">
        <v>708</v>
      </c>
      <c r="C405" s="49" t="s">
        <v>714</v>
      </c>
      <c r="D405" s="50"/>
      <c r="E405" s="51">
        <v>1738250</v>
      </c>
      <c r="F405" s="52">
        <f t="shared" si="34"/>
        <v>139060</v>
      </c>
      <c r="G405" s="53">
        <f t="shared" si="36"/>
        <v>1877310</v>
      </c>
      <c r="H405" s="54">
        <v>1877310</v>
      </c>
      <c r="I405" s="55">
        <f t="shared" si="35"/>
        <v>0</v>
      </c>
      <c r="J405" s="56">
        <v>45589</v>
      </c>
      <c r="K405" s="57"/>
    </row>
    <row r="406" spans="1:11" ht="15.75" hidden="1" customHeight="1" x14ac:dyDescent="0.35">
      <c r="A406" s="47" t="s">
        <v>19</v>
      </c>
      <c r="B406" s="48" t="s">
        <v>708</v>
      </c>
      <c r="C406" s="49" t="s">
        <v>715</v>
      </c>
      <c r="D406" s="50"/>
      <c r="E406" s="51">
        <v>3476500</v>
      </c>
      <c r="F406" s="52">
        <f t="shared" si="34"/>
        <v>278120</v>
      </c>
      <c r="G406" s="53">
        <f t="shared" si="36"/>
        <v>3754620</v>
      </c>
      <c r="H406" s="54">
        <v>3754620</v>
      </c>
      <c r="I406" s="55">
        <f t="shared" si="35"/>
        <v>0</v>
      </c>
      <c r="J406" s="56">
        <v>45589</v>
      </c>
      <c r="K406" s="57"/>
    </row>
    <row r="407" spans="1:11" ht="15.75" hidden="1" customHeight="1" x14ac:dyDescent="0.35">
      <c r="A407" s="47" t="s">
        <v>16</v>
      </c>
      <c r="B407" s="48" t="s">
        <v>716</v>
      </c>
      <c r="C407" s="49" t="s">
        <v>717</v>
      </c>
      <c r="D407" s="50"/>
      <c r="E407" s="51">
        <v>427125</v>
      </c>
      <c r="F407" s="52">
        <f t="shared" si="34"/>
        <v>34170</v>
      </c>
      <c r="G407" s="53">
        <f t="shared" si="36"/>
        <v>461295</v>
      </c>
      <c r="H407" s="54">
        <v>461295</v>
      </c>
      <c r="I407" s="55">
        <f t="shared" si="35"/>
        <v>0</v>
      </c>
      <c r="J407" s="56">
        <v>45589</v>
      </c>
      <c r="K407" s="57"/>
    </row>
    <row r="408" spans="1:11" ht="15.75" hidden="1" customHeight="1" x14ac:dyDescent="0.35">
      <c r="A408" s="47" t="s">
        <v>52</v>
      </c>
      <c r="B408" s="48" t="s">
        <v>718</v>
      </c>
      <c r="C408" s="49" t="s">
        <v>719</v>
      </c>
      <c r="D408" s="50"/>
      <c r="E408" s="51">
        <v>2592500</v>
      </c>
      <c r="F408" s="52">
        <f t="shared" si="34"/>
        <v>207400</v>
      </c>
      <c r="G408" s="53">
        <f t="shared" si="36"/>
        <v>2799900</v>
      </c>
      <c r="H408" s="54">
        <v>2799900</v>
      </c>
      <c r="I408" s="55">
        <f t="shared" si="35"/>
        <v>0</v>
      </c>
      <c r="J408" s="56">
        <v>45589</v>
      </c>
      <c r="K408" s="57"/>
    </row>
    <row r="409" spans="1:11" ht="15.75" hidden="1" customHeight="1" x14ac:dyDescent="0.35">
      <c r="A409" s="47" t="s">
        <v>87</v>
      </c>
      <c r="B409" s="48" t="s">
        <v>718</v>
      </c>
      <c r="C409" s="49" t="s">
        <v>720</v>
      </c>
      <c r="D409" s="50"/>
      <c r="E409" s="51">
        <v>505750</v>
      </c>
      <c r="F409" s="52">
        <f t="shared" si="34"/>
        <v>40460</v>
      </c>
      <c r="G409" s="53">
        <f t="shared" si="36"/>
        <v>546210</v>
      </c>
      <c r="H409" s="54">
        <v>546210</v>
      </c>
      <c r="I409" s="55">
        <f t="shared" si="35"/>
        <v>0</v>
      </c>
      <c r="J409" s="56">
        <v>45589</v>
      </c>
      <c r="K409" s="57"/>
    </row>
    <row r="410" spans="1:11" ht="15.75" hidden="1" customHeight="1" x14ac:dyDescent="0.35">
      <c r="A410" s="47" t="s">
        <v>164</v>
      </c>
      <c r="B410" s="48" t="s">
        <v>721</v>
      </c>
      <c r="C410" s="49" t="s">
        <v>722</v>
      </c>
      <c r="D410" s="50"/>
      <c r="E410" s="51">
        <v>869125</v>
      </c>
      <c r="F410" s="52">
        <f t="shared" si="34"/>
        <v>69530</v>
      </c>
      <c r="G410" s="53">
        <f t="shared" si="36"/>
        <v>938655</v>
      </c>
      <c r="H410" s="54">
        <v>938655</v>
      </c>
      <c r="I410" s="55">
        <f t="shared" si="35"/>
        <v>0</v>
      </c>
      <c r="J410" s="56">
        <v>45589</v>
      </c>
      <c r="K410" s="57"/>
    </row>
    <row r="411" spans="1:11" ht="15.75" hidden="1" customHeight="1" x14ac:dyDescent="0.35">
      <c r="A411" s="47" t="s">
        <v>86</v>
      </c>
      <c r="B411" s="48" t="s">
        <v>721</v>
      </c>
      <c r="C411" s="49" t="s">
        <v>723</v>
      </c>
      <c r="D411" s="50"/>
      <c r="E411" s="51">
        <v>854250</v>
      </c>
      <c r="F411" s="52">
        <f t="shared" si="34"/>
        <v>68340</v>
      </c>
      <c r="G411" s="53">
        <f t="shared" si="36"/>
        <v>922590</v>
      </c>
      <c r="H411" s="54">
        <v>922590</v>
      </c>
      <c r="I411" s="55">
        <f t="shared" si="35"/>
        <v>0</v>
      </c>
      <c r="J411" s="56">
        <v>45622</v>
      </c>
      <c r="K411" s="57"/>
    </row>
    <row r="412" spans="1:11" ht="15.75" hidden="1" customHeight="1" x14ac:dyDescent="0.35">
      <c r="A412" s="47" t="s">
        <v>167</v>
      </c>
      <c r="B412" s="48" t="s">
        <v>721</v>
      </c>
      <c r="C412" s="49" t="s">
        <v>724</v>
      </c>
      <c r="D412" s="50"/>
      <c r="E412" s="51">
        <v>854250</v>
      </c>
      <c r="F412" s="52">
        <f t="shared" si="34"/>
        <v>68340</v>
      </c>
      <c r="G412" s="53">
        <f t="shared" si="36"/>
        <v>922590</v>
      </c>
      <c r="H412" s="54">
        <v>922590</v>
      </c>
      <c r="I412" s="55">
        <f t="shared" si="35"/>
        <v>0</v>
      </c>
      <c r="J412" s="56">
        <v>45589</v>
      </c>
      <c r="K412" s="57"/>
    </row>
    <row r="413" spans="1:11" ht="15.75" hidden="1" customHeight="1" x14ac:dyDescent="0.35">
      <c r="A413" s="47" t="s">
        <v>78</v>
      </c>
      <c r="B413" s="48" t="s">
        <v>721</v>
      </c>
      <c r="C413" s="49" t="s">
        <v>725</v>
      </c>
      <c r="D413" s="50"/>
      <c r="E413" s="51">
        <v>884000</v>
      </c>
      <c r="F413" s="52">
        <f t="shared" si="34"/>
        <v>70720</v>
      </c>
      <c r="G413" s="53">
        <f t="shared" si="36"/>
        <v>954720</v>
      </c>
      <c r="H413" s="54">
        <v>954720</v>
      </c>
      <c r="I413" s="55">
        <f t="shared" si="35"/>
        <v>0</v>
      </c>
      <c r="J413" s="56">
        <v>45589</v>
      </c>
      <c r="K413" s="57"/>
    </row>
    <row r="414" spans="1:11" ht="15.75" hidden="1" customHeight="1" x14ac:dyDescent="0.35">
      <c r="A414" s="47" t="s">
        <v>106</v>
      </c>
      <c r="B414" s="48" t="s">
        <v>726</v>
      </c>
      <c r="C414" s="49" t="s">
        <v>727</v>
      </c>
      <c r="D414" s="50"/>
      <c r="E414" s="51">
        <v>1738250</v>
      </c>
      <c r="F414" s="52">
        <f t="shared" si="34"/>
        <v>139060</v>
      </c>
      <c r="G414" s="53">
        <f t="shared" si="36"/>
        <v>1877310</v>
      </c>
      <c r="H414" s="54">
        <v>1877310</v>
      </c>
      <c r="I414" s="55">
        <f t="shared" si="35"/>
        <v>0</v>
      </c>
      <c r="J414" s="56">
        <v>45589</v>
      </c>
      <c r="K414" s="57"/>
    </row>
    <row r="415" spans="1:11" ht="15.75" hidden="1" customHeight="1" x14ac:dyDescent="0.35">
      <c r="A415" s="47" t="s">
        <v>47</v>
      </c>
      <c r="B415" s="48" t="s">
        <v>726</v>
      </c>
      <c r="C415" s="49" t="s">
        <v>222</v>
      </c>
      <c r="D415" s="50"/>
      <c r="E415" s="51">
        <v>854250</v>
      </c>
      <c r="F415" s="52">
        <f t="shared" si="34"/>
        <v>68340</v>
      </c>
      <c r="G415" s="53">
        <f t="shared" si="36"/>
        <v>922590</v>
      </c>
      <c r="H415" s="54">
        <v>922590</v>
      </c>
      <c r="I415" s="55">
        <f t="shared" si="35"/>
        <v>0</v>
      </c>
      <c r="J415" s="56">
        <v>45589</v>
      </c>
      <c r="K415" s="57"/>
    </row>
    <row r="416" spans="1:11" ht="15.75" hidden="1" customHeight="1" x14ac:dyDescent="0.35">
      <c r="A416" s="47" t="s">
        <v>32</v>
      </c>
      <c r="B416" s="48" t="s">
        <v>726</v>
      </c>
      <c r="C416" s="49" t="s">
        <v>728</v>
      </c>
      <c r="D416" s="50"/>
      <c r="E416" s="51">
        <v>1738250</v>
      </c>
      <c r="F416" s="52">
        <f t="shared" si="34"/>
        <v>139060</v>
      </c>
      <c r="G416" s="53">
        <f t="shared" si="36"/>
        <v>1877310</v>
      </c>
      <c r="H416" s="54">
        <v>1877310</v>
      </c>
      <c r="I416" s="55">
        <f t="shared" si="35"/>
        <v>0</v>
      </c>
      <c r="J416" s="56">
        <v>45589</v>
      </c>
      <c r="K416" s="57" t="s">
        <v>729</v>
      </c>
    </row>
    <row r="417" spans="1:11" ht="15.75" hidden="1" customHeight="1" x14ac:dyDescent="0.35">
      <c r="A417" s="47" t="s">
        <v>20</v>
      </c>
      <c r="B417" s="48" t="s">
        <v>730</v>
      </c>
      <c r="C417" s="49" t="s">
        <v>731</v>
      </c>
      <c r="D417" s="50"/>
      <c r="E417" s="51">
        <v>884000</v>
      </c>
      <c r="F417" s="52">
        <f t="shared" si="34"/>
        <v>70720</v>
      </c>
      <c r="G417" s="53">
        <f t="shared" si="36"/>
        <v>954720</v>
      </c>
      <c r="H417" s="54">
        <v>954720</v>
      </c>
      <c r="I417" s="55">
        <f t="shared" si="35"/>
        <v>0</v>
      </c>
      <c r="J417" s="56">
        <v>45589</v>
      </c>
      <c r="K417" s="57"/>
    </row>
    <row r="418" spans="1:11" ht="15.75" hidden="1" customHeight="1" x14ac:dyDescent="0.35">
      <c r="A418" s="47" t="s">
        <v>16</v>
      </c>
      <c r="B418" s="48" t="s">
        <v>730</v>
      </c>
      <c r="C418" s="49" t="s">
        <v>732</v>
      </c>
      <c r="D418" s="50"/>
      <c r="E418" s="51">
        <v>442000</v>
      </c>
      <c r="F418" s="52">
        <f t="shared" si="34"/>
        <v>35360</v>
      </c>
      <c r="G418" s="53">
        <f t="shared" si="36"/>
        <v>477360</v>
      </c>
      <c r="H418" s="54">
        <v>477360</v>
      </c>
      <c r="I418" s="55">
        <f t="shared" si="35"/>
        <v>0</v>
      </c>
      <c r="J418" s="56">
        <v>45589</v>
      </c>
      <c r="K418" s="57"/>
    </row>
    <row r="419" spans="1:11" ht="15.75" hidden="1" customHeight="1" x14ac:dyDescent="0.35">
      <c r="A419" s="47" t="s">
        <v>54</v>
      </c>
      <c r="B419" s="48" t="s">
        <v>730</v>
      </c>
      <c r="C419" s="49" t="s">
        <v>733</v>
      </c>
      <c r="D419" s="50"/>
      <c r="E419" s="51">
        <v>884000</v>
      </c>
      <c r="F419" s="52">
        <f t="shared" si="34"/>
        <v>70720</v>
      </c>
      <c r="G419" s="53">
        <f t="shared" si="36"/>
        <v>954720</v>
      </c>
      <c r="H419" s="54">
        <v>954720</v>
      </c>
      <c r="I419" s="55">
        <f t="shared" si="35"/>
        <v>0</v>
      </c>
      <c r="J419" s="56">
        <v>45622</v>
      </c>
      <c r="K419" s="57"/>
    </row>
    <row r="420" spans="1:11" ht="15.75" hidden="1" customHeight="1" x14ac:dyDescent="0.35">
      <c r="A420" s="47" t="s">
        <v>104</v>
      </c>
      <c r="B420" s="48" t="s">
        <v>734</v>
      </c>
      <c r="C420" s="50" t="s">
        <v>735</v>
      </c>
      <c r="D420" s="50"/>
      <c r="E420" s="51">
        <v>1738250</v>
      </c>
      <c r="F420" s="52">
        <f t="shared" ref="F420:F482" si="37">+E420*0.08</f>
        <v>139060</v>
      </c>
      <c r="G420" s="53">
        <f t="shared" si="36"/>
        <v>1877310</v>
      </c>
      <c r="H420" s="54">
        <v>1877310</v>
      </c>
      <c r="I420" s="55">
        <f t="shared" si="35"/>
        <v>0</v>
      </c>
      <c r="J420" s="56">
        <v>45589</v>
      </c>
      <c r="K420" s="57"/>
    </row>
    <row r="421" spans="1:11" ht="15.75" hidden="1" customHeight="1" x14ac:dyDescent="0.35">
      <c r="A421" s="47" t="s">
        <v>15</v>
      </c>
      <c r="B421" s="48" t="s">
        <v>734</v>
      </c>
      <c r="C421" s="49" t="s">
        <v>736</v>
      </c>
      <c r="D421" s="50"/>
      <c r="E421" s="51">
        <v>1022500</v>
      </c>
      <c r="F421" s="52">
        <f t="shared" si="37"/>
        <v>81800</v>
      </c>
      <c r="G421" s="53">
        <f t="shared" si="36"/>
        <v>1104300</v>
      </c>
      <c r="H421" s="54">
        <v>1104300</v>
      </c>
      <c r="I421" s="55">
        <f t="shared" si="35"/>
        <v>0</v>
      </c>
      <c r="J421" s="56">
        <v>45589</v>
      </c>
      <c r="K421" s="57"/>
    </row>
    <row r="422" spans="1:11" ht="15.75" hidden="1" customHeight="1" x14ac:dyDescent="0.35">
      <c r="A422" s="47" t="s">
        <v>61</v>
      </c>
      <c r="B422" s="48" t="s">
        <v>737</v>
      </c>
      <c r="C422" s="49" t="s">
        <v>738</v>
      </c>
      <c r="D422" s="50"/>
      <c r="E422" s="51">
        <v>1525000</v>
      </c>
      <c r="F422" s="52">
        <f t="shared" si="37"/>
        <v>122000</v>
      </c>
      <c r="G422" s="53">
        <f t="shared" si="36"/>
        <v>1647000</v>
      </c>
      <c r="H422" s="54">
        <v>1647000</v>
      </c>
      <c r="I422" s="55">
        <f t="shared" si="35"/>
        <v>0</v>
      </c>
      <c r="J422" s="56">
        <v>45589</v>
      </c>
      <c r="K422" s="57"/>
    </row>
    <row r="423" spans="1:11" ht="15.75" hidden="1" customHeight="1" x14ac:dyDescent="0.35">
      <c r="A423" s="47" t="s">
        <v>47</v>
      </c>
      <c r="B423" s="48" t="s">
        <v>737</v>
      </c>
      <c r="C423" s="49" t="s">
        <v>739</v>
      </c>
      <c r="D423" s="50"/>
      <c r="E423" s="51">
        <v>1040000</v>
      </c>
      <c r="F423" s="52">
        <f t="shared" si="37"/>
        <v>83200</v>
      </c>
      <c r="G423" s="53">
        <f t="shared" si="36"/>
        <v>1123200</v>
      </c>
      <c r="H423" s="54">
        <v>1123200</v>
      </c>
      <c r="I423" s="55">
        <f t="shared" si="35"/>
        <v>0</v>
      </c>
      <c r="J423" s="56">
        <v>45589</v>
      </c>
      <c r="K423" s="57"/>
    </row>
    <row r="424" spans="1:11" ht="15.75" hidden="1" customHeight="1" x14ac:dyDescent="0.35">
      <c r="A424" s="47" t="s">
        <v>78</v>
      </c>
      <c r="B424" s="48" t="s">
        <v>740</v>
      </c>
      <c r="C424" s="49" t="s">
        <v>741</v>
      </c>
      <c r="D424" s="50"/>
      <c r="E424" s="51">
        <v>2045000</v>
      </c>
      <c r="F424" s="52">
        <f t="shared" si="37"/>
        <v>163600</v>
      </c>
      <c r="G424" s="53">
        <f t="shared" si="36"/>
        <v>2208600</v>
      </c>
      <c r="H424" s="54">
        <v>2208600</v>
      </c>
      <c r="I424" s="55">
        <f t="shared" si="35"/>
        <v>0</v>
      </c>
      <c r="J424" s="56">
        <v>45589</v>
      </c>
      <c r="K424" s="57"/>
    </row>
    <row r="425" spans="1:11" ht="15.75" hidden="1" customHeight="1" x14ac:dyDescent="0.35">
      <c r="A425" s="47" t="s">
        <v>127</v>
      </c>
      <c r="B425" s="48" t="s">
        <v>740</v>
      </c>
      <c r="C425" s="49" t="s">
        <v>742</v>
      </c>
      <c r="D425" s="50"/>
      <c r="E425" s="51">
        <v>2045000</v>
      </c>
      <c r="F425" s="52">
        <f t="shared" si="37"/>
        <v>163600</v>
      </c>
      <c r="G425" s="53">
        <f t="shared" si="36"/>
        <v>2208600</v>
      </c>
      <c r="H425" s="54">
        <v>2208600</v>
      </c>
      <c r="I425" s="55">
        <f t="shared" si="35"/>
        <v>0</v>
      </c>
      <c r="J425" s="56">
        <v>45589</v>
      </c>
      <c r="K425" s="57"/>
    </row>
    <row r="426" spans="1:11" ht="15.75" hidden="1" customHeight="1" x14ac:dyDescent="0.35">
      <c r="A426" s="47" t="s">
        <v>93</v>
      </c>
      <c r="B426" s="48" t="s">
        <v>740</v>
      </c>
      <c r="C426" s="49" t="s">
        <v>743</v>
      </c>
      <c r="D426" s="50"/>
      <c r="E426" s="51">
        <v>1005000</v>
      </c>
      <c r="F426" s="52">
        <f t="shared" si="37"/>
        <v>80400</v>
      </c>
      <c r="G426" s="53">
        <f t="shared" si="36"/>
        <v>1085400</v>
      </c>
      <c r="H426" s="54">
        <v>1085400</v>
      </c>
      <c r="I426" s="55">
        <f t="shared" si="35"/>
        <v>0</v>
      </c>
      <c r="J426" s="56">
        <v>45589</v>
      </c>
      <c r="K426" s="57"/>
    </row>
    <row r="427" spans="1:11" ht="15.75" hidden="1" customHeight="1" x14ac:dyDescent="0.35">
      <c r="A427" s="47" t="s">
        <v>15</v>
      </c>
      <c r="B427" s="48" t="s">
        <v>740</v>
      </c>
      <c r="C427" s="49" t="s">
        <v>744</v>
      </c>
      <c r="D427" s="50"/>
      <c r="E427" s="51">
        <v>2045000</v>
      </c>
      <c r="F427" s="52">
        <f t="shared" si="37"/>
        <v>163600</v>
      </c>
      <c r="G427" s="53">
        <f t="shared" si="36"/>
        <v>2208600</v>
      </c>
      <c r="H427" s="54">
        <v>2208600</v>
      </c>
      <c r="I427" s="55">
        <f t="shared" si="35"/>
        <v>0</v>
      </c>
      <c r="J427" s="56">
        <v>45589</v>
      </c>
      <c r="K427" s="57"/>
    </row>
    <row r="428" spans="1:11" ht="15.75" hidden="1" customHeight="1" x14ac:dyDescent="0.35">
      <c r="A428" s="47" t="s">
        <v>54</v>
      </c>
      <c r="B428" s="48" t="s">
        <v>745</v>
      </c>
      <c r="C428" s="49" t="s">
        <v>746</v>
      </c>
      <c r="D428" s="50"/>
      <c r="E428" s="51">
        <v>1040000</v>
      </c>
      <c r="F428" s="52">
        <f t="shared" si="37"/>
        <v>83200</v>
      </c>
      <c r="G428" s="53">
        <f t="shared" si="36"/>
        <v>1123200</v>
      </c>
      <c r="H428" s="54">
        <v>1123200</v>
      </c>
      <c r="I428" s="55">
        <f>G428-H428</f>
        <v>0</v>
      </c>
      <c r="J428" s="56">
        <v>45622</v>
      </c>
      <c r="K428" s="57"/>
    </row>
    <row r="429" spans="1:11" ht="15.75" hidden="1" customHeight="1" x14ac:dyDescent="0.35">
      <c r="A429" s="47" t="s">
        <v>105</v>
      </c>
      <c r="B429" s="48" t="s">
        <v>745</v>
      </c>
      <c r="C429" s="49" t="s">
        <v>747</v>
      </c>
      <c r="D429" s="50"/>
      <c r="E429" s="51">
        <v>2010000</v>
      </c>
      <c r="F429" s="52">
        <f t="shared" si="37"/>
        <v>160800</v>
      </c>
      <c r="G429" s="53">
        <f t="shared" si="36"/>
        <v>2170800</v>
      </c>
      <c r="H429" s="54">
        <v>2170800</v>
      </c>
      <c r="I429" s="55">
        <f t="shared" si="35"/>
        <v>0</v>
      </c>
      <c r="J429" s="56">
        <v>45589</v>
      </c>
      <c r="K429" s="57"/>
    </row>
    <row r="430" spans="1:11" ht="15.75" hidden="1" customHeight="1" x14ac:dyDescent="0.35">
      <c r="A430" s="47" t="s">
        <v>28</v>
      </c>
      <c r="B430" s="48" t="s">
        <v>748</v>
      </c>
      <c r="C430" s="49" t="s">
        <v>223</v>
      </c>
      <c r="D430" s="50"/>
      <c r="E430" s="51">
        <v>2045000</v>
      </c>
      <c r="F430" s="52">
        <f t="shared" si="37"/>
        <v>163600</v>
      </c>
      <c r="G430" s="53">
        <f t="shared" si="36"/>
        <v>2208600</v>
      </c>
      <c r="H430" s="54">
        <v>2208600</v>
      </c>
      <c r="I430" s="55">
        <f t="shared" si="35"/>
        <v>0</v>
      </c>
      <c r="J430" s="56">
        <v>45589</v>
      </c>
      <c r="K430" s="57"/>
    </row>
    <row r="431" spans="1:11" ht="15.75" hidden="1" customHeight="1" x14ac:dyDescent="0.35">
      <c r="A431" s="47" t="s">
        <v>69</v>
      </c>
      <c r="B431" s="48" t="s">
        <v>748</v>
      </c>
      <c r="C431" s="49" t="s">
        <v>185</v>
      </c>
      <c r="D431" s="50"/>
      <c r="E431" s="51">
        <v>1040000</v>
      </c>
      <c r="F431" s="52">
        <f t="shared" si="37"/>
        <v>83200</v>
      </c>
      <c r="G431" s="53">
        <f t="shared" si="36"/>
        <v>1123200</v>
      </c>
      <c r="H431" s="54">
        <v>1123200</v>
      </c>
      <c r="I431" s="55">
        <f t="shared" si="35"/>
        <v>0</v>
      </c>
      <c r="J431" s="56">
        <v>45589</v>
      </c>
      <c r="K431" s="57"/>
    </row>
    <row r="432" spans="1:11" ht="15.75" hidden="1" customHeight="1" x14ac:dyDescent="0.35">
      <c r="A432" s="47" t="s">
        <v>19</v>
      </c>
      <c r="B432" s="48" t="s">
        <v>748</v>
      </c>
      <c r="C432" s="49" t="s">
        <v>749</v>
      </c>
      <c r="D432" s="50"/>
      <c r="E432" s="51">
        <v>4090000</v>
      </c>
      <c r="F432" s="52">
        <f t="shared" si="37"/>
        <v>327200</v>
      </c>
      <c r="G432" s="53">
        <f t="shared" si="36"/>
        <v>4417200</v>
      </c>
      <c r="H432" s="54">
        <v>4417200</v>
      </c>
      <c r="I432" s="55">
        <f t="shared" si="35"/>
        <v>0</v>
      </c>
      <c r="J432" s="56">
        <v>45589</v>
      </c>
      <c r="K432" s="57"/>
    </row>
    <row r="433" spans="1:11" ht="15.75" hidden="1" customHeight="1" x14ac:dyDescent="0.35">
      <c r="A433" s="47" t="s">
        <v>176</v>
      </c>
      <c r="B433" s="48" t="s">
        <v>750</v>
      </c>
      <c r="C433" s="49" t="s">
        <v>751</v>
      </c>
      <c r="D433" s="50"/>
      <c r="E433" s="51">
        <v>1022500</v>
      </c>
      <c r="F433" s="52">
        <f t="shared" si="37"/>
        <v>81800</v>
      </c>
      <c r="G433" s="53">
        <f t="shared" si="36"/>
        <v>1104300</v>
      </c>
      <c r="H433" s="54">
        <v>1104300</v>
      </c>
      <c r="I433" s="55">
        <f t="shared" si="35"/>
        <v>0</v>
      </c>
      <c r="J433" s="56">
        <v>45589</v>
      </c>
      <c r="K433" s="57"/>
    </row>
    <row r="434" spans="1:11" ht="15.75" hidden="1" customHeight="1" x14ac:dyDescent="0.35">
      <c r="A434" s="47" t="s">
        <v>47</v>
      </c>
      <c r="B434" s="48" t="s">
        <v>752</v>
      </c>
      <c r="C434" s="49" t="s">
        <v>753</v>
      </c>
      <c r="D434" s="50"/>
      <c r="E434" s="51">
        <v>1005000</v>
      </c>
      <c r="F434" s="52">
        <f t="shared" si="37"/>
        <v>80400</v>
      </c>
      <c r="G434" s="53">
        <f t="shared" si="36"/>
        <v>1085400</v>
      </c>
      <c r="H434" s="54">
        <v>1085400</v>
      </c>
      <c r="I434" s="55">
        <f t="shared" si="35"/>
        <v>0</v>
      </c>
      <c r="J434" s="56">
        <v>45589</v>
      </c>
      <c r="K434" s="57"/>
    </row>
    <row r="435" spans="1:11" ht="15.75" hidden="1" customHeight="1" x14ac:dyDescent="0.35">
      <c r="A435" s="47" t="s">
        <v>125</v>
      </c>
      <c r="B435" s="48" t="s">
        <v>752</v>
      </c>
      <c r="C435" s="49" t="s">
        <v>754</v>
      </c>
      <c r="D435" s="50"/>
      <c r="E435" s="51">
        <v>2045000</v>
      </c>
      <c r="F435" s="52">
        <f t="shared" si="37"/>
        <v>163600</v>
      </c>
      <c r="G435" s="53">
        <f t="shared" si="36"/>
        <v>2208600</v>
      </c>
      <c r="H435" s="54">
        <v>2208600</v>
      </c>
      <c r="I435" s="55">
        <f t="shared" si="35"/>
        <v>0</v>
      </c>
      <c r="J435" s="56">
        <v>45589</v>
      </c>
      <c r="K435" s="57"/>
    </row>
    <row r="436" spans="1:11" ht="15.75" hidden="1" customHeight="1" x14ac:dyDescent="0.35">
      <c r="A436" s="47" t="s">
        <v>143</v>
      </c>
      <c r="B436" s="48" t="s">
        <v>752</v>
      </c>
      <c r="C436" s="49" t="s">
        <v>755</v>
      </c>
      <c r="D436" s="50"/>
      <c r="E436" s="51">
        <v>1005000</v>
      </c>
      <c r="F436" s="52">
        <f t="shared" si="37"/>
        <v>80400</v>
      </c>
      <c r="G436" s="53">
        <f t="shared" si="36"/>
        <v>1085400</v>
      </c>
      <c r="H436" s="54">
        <v>1085400</v>
      </c>
      <c r="I436" s="55">
        <f t="shared" si="35"/>
        <v>0</v>
      </c>
      <c r="J436" s="56">
        <v>45589</v>
      </c>
      <c r="K436" s="57"/>
    </row>
    <row r="437" spans="1:11" ht="15.75" hidden="1" customHeight="1" x14ac:dyDescent="0.35">
      <c r="A437" s="47" t="s">
        <v>23</v>
      </c>
      <c r="B437" s="48" t="s">
        <v>756</v>
      </c>
      <c r="C437" s="49" t="s">
        <v>757</v>
      </c>
      <c r="D437" s="50"/>
      <c r="E437" s="51">
        <v>1040000</v>
      </c>
      <c r="F437" s="52">
        <f t="shared" si="37"/>
        <v>83200</v>
      </c>
      <c r="G437" s="53">
        <f t="shared" si="36"/>
        <v>1123200</v>
      </c>
      <c r="H437" s="54">
        <v>1123200</v>
      </c>
      <c r="I437" s="55">
        <f t="shared" si="35"/>
        <v>0</v>
      </c>
      <c r="J437" s="56">
        <v>45589</v>
      </c>
      <c r="K437" s="57"/>
    </row>
    <row r="438" spans="1:11" ht="15.75" hidden="1" customHeight="1" x14ac:dyDescent="0.35">
      <c r="A438" s="47" t="s">
        <v>22</v>
      </c>
      <c r="B438" s="48" t="s">
        <v>756</v>
      </c>
      <c r="C438" s="49" t="s">
        <v>758</v>
      </c>
      <c r="D438" s="50"/>
      <c r="E438" s="51">
        <v>520000</v>
      </c>
      <c r="F438" s="52">
        <f t="shared" si="37"/>
        <v>41600</v>
      </c>
      <c r="G438" s="53">
        <f t="shared" si="36"/>
        <v>561600</v>
      </c>
      <c r="H438" s="54">
        <v>561600</v>
      </c>
      <c r="I438" s="55">
        <f t="shared" si="35"/>
        <v>0</v>
      </c>
      <c r="J438" s="56">
        <v>45589</v>
      </c>
      <c r="K438" s="57"/>
    </row>
    <row r="439" spans="1:11" ht="15.75" hidden="1" customHeight="1" x14ac:dyDescent="0.35">
      <c r="A439" s="47" t="s">
        <v>84</v>
      </c>
      <c r="B439" s="48" t="s">
        <v>756</v>
      </c>
      <c r="C439" s="49" t="s">
        <v>759</v>
      </c>
      <c r="D439" s="50"/>
      <c r="E439" s="51">
        <v>2045000</v>
      </c>
      <c r="F439" s="52">
        <f t="shared" si="37"/>
        <v>163600</v>
      </c>
      <c r="G439" s="53">
        <f t="shared" si="36"/>
        <v>2208600</v>
      </c>
      <c r="H439" s="54">
        <v>2208600</v>
      </c>
      <c r="I439" s="55">
        <f t="shared" si="35"/>
        <v>0</v>
      </c>
      <c r="J439" s="56">
        <v>45589</v>
      </c>
      <c r="K439" s="57"/>
    </row>
    <row r="440" spans="1:11" ht="15.75" hidden="1" customHeight="1" x14ac:dyDescent="0.35">
      <c r="A440" s="47" t="s">
        <v>70</v>
      </c>
      <c r="B440" s="48" t="s">
        <v>760</v>
      </c>
      <c r="C440" s="49" t="s">
        <v>186</v>
      </c>
      <c r="D440" s="50"/>
      <c r="E440" s="51">
        <v>520000</v>
      </c>
      <c r="F440" s="52">
        <f t="shared" si="37"/>
        <v>41600</v>
      </c>
      <c r="G440" s="53">
        <f t="shared" si="36"/>
        <v>561600</v>
      </c>
      <c r="H440" s="54">
        <v>561600</v>
      </c>
      <c r="I440" s="55">
        <f t="shared" si="35"/>
        <v>0</v>
      </c>
      <c r="J440" s="56">
        <v>45589</v>
      </c>
      <c r="K440" s="57"/>
    </row>
    <row r="441" spans="1:11" ht="15.75" hidden="1" customHeight="1" x14ac:dyDescent="0.35">
      <c r="A441" s="47" t="s">
        <v>31</v>
      </c>
      <c r="B441" s="48" t="s">
        <v>761</v>
      </c>
      <c r="C441" s="49" t="s">
        <v>762</v>
      </c>
      <c r="D441" s="50"/>
      <c r="E441" s="51">
        <v>2045000</v>
      </c>
      <c r="F441" s="52">
        <f t="shared" si="37"/>
        <v>163600</v>
      </c>
      <c r="G441" s="53">
        <f t="shared" si="36"/>
        <v>2208600</v>
      </c>
      <c r="H441" s="54">
        <v>2208600</v>
      </c>
      <c r="I441" s="55">
        <f t="shared" si="35"/>
        <v>0</v>
      </c>
      <c r="J441" s="56">
        <v>45589</v>
      </c>
      <c r="K441" s="57"/>
    </row>
    <row r="442" spans="1:11" ht="15.75" hidden="1" customHeight="1" x14ac:dyDescent="0.35">
      <c r="A442" s="47" t="s">
        <v>16</v>
      </c>
      <c r="B442" s="48" t="s">
        <v>761</v>
      </c>
      <c r="C442" s="49" t="s">
        <v>763</v>
      </c>
      <c r="D442" s="50"/>
      <c r="E442" s="51">
        <v>520000</v>
      </c>
      <c r="F442" s="52">
        <f t="shared" si="37"/>
        <v>41600</v>
      </c>
      <c r="G442" s="53">
        <f t="shared" si="36"/>
        <v>561600</v>
      </c>
      <c r="H442" s="53">
        <v>561600</v>
      </c>
      <c r="I442" s="55">
        <f t="shared" ref="I442:I505" si="38">G442-H442</f>
        <v>0</v>
      </c>
      <c r="J442" s="56">
        <v>45589</v>
      </c>
      <c r="K442" s="57"/>
    </row>
    <row r="443" spans="1:11" ht="15.75" hidden="1" customHeight="1" x14ac:dyDescent="0.35">
      <c r="A443" s="47" t="s">
        <v>54</v>
      </c>
      <c r="B443" s="48" t="s">
        <v>761</v>
      </c>
      <c r="C443" s="49" t="s">
        <v>187</v>
      </c>
      <c r="D443" s="50"/>
      <c r="E443" s="51">
        <v>1005000</v>
      </c>
      <c r="F443" s="52">
        <f t="shared" si="37"/>
        <v>80400</v>
      </c>
      <c r="G443" s="53">
        <f t="shared" ref="G443:G500" si="39">E443+F443</f>
        <v>1085400</v>
      </c>
      <c r="H443" s="54">
        <v>1085400</v>
      </c>
      <c r="I443" s="55">
        <f>G443-H443</f>
        <v>0</v>
      </c>
      <c r="J443" s="56">
        <v>45589</v>
      </c>
      <c r="K443" s="57"/>
    </row>
    <row r="444" spans="1:11" ht="15.75" hidden="1" customHeight="1" x14ac:dyDescent="0.35">
      <c r="A444" s="47" t="s">
        <v>47</v>
      </c>
      <c r="B444" s="48" t="s">
        <v>761</v>
      </c>
      <c r="C444" s="49" t="s">
        <v>764</v>
      </c>
      <c r="D444" s="50"/>
      <c r="E444" s="51">
        <v>1040000</v>
      </c>
      <c r="F444" s="52">
        <f t="shared" si="37"/>
        <v>83200</v>
      </c>
      <c r="G444" s="53">
        <f t="shared" si="39"/>
        <v>1123200</v>
      </c>
      <c r="H444" s="54">
        <v>1123200</v>
      </c>
      <c r="I444" s="55">
        <f t="shared" si="38"/>
        <v>0</v>
      </c>
      <c r="J444" s="56">
        <v>45589</v>
      </c>
      <c r="K444" s="57" t="s">
        <v>81</v>
      </c>
    </row>
    <row r="445" spans="1:11" ht="15.75" hidden="1" customHeight="1" x14ac:dyDescent="0.35">
      <c r="A445" s="47" t="s">
        <v>47</v>
      </c>
      <c r="B445" s="48" t="s">
        <v>765</v>
      </c>
      <c r="C445" s="49" t="s">
        <v>766</v>
      </c>
      <c r="D445" s="50"/>
      <c r="E445" s="51">
        <v>1005000</v>
      </c>
      <c r="F445" s="52">
        <f t="shared" si="37"/>
        <v>80400</v>
      </c>
      <c r="G445" s="53">
        <f t="shared" si="39"/>
        <v>1085400</v>
      </c>
      <c r="H445" s="54">
        <v>1085400</v>
      </c>
      <c r="I445" s="55">
        <f t="shared" si="38"/>
        <v>0</v>
      </c>
      <c r="J445" s="56">
        <v>45589</v>
      </c>
      <c r="K445" s="57"/>
    </row>
    <row r="446" spans="1:11" ht="15.75" hidden="1" customHeight="1" x14ac:dyDescent="0.35">
      <c r="A446" s="47" t="s">
        <v>93</v>
      </c>
      <c r="B446" s="48" t="s">
        <v>767</v>
      </c>
      <c r="C446" s="49" t="s">
        <v>224</v>
      </c>
      <c r="D446" s="50"/>
      <c r="E446" s="51">
        <v>1005000</v>
      </c>
      <c r="F446" s="52">
        <f t="shared" si="37"/>
        <v>80400</v>
      </c>
      <c r="G446" s="53">
        <f t="shared" si="39"/>
        <v>1085400</v>
      </c>
      <c r="H446" s="54">
        <v>1085400</v>
      </c>
      <c r="I446" s="55">
        <f t="shared" si="38"/>
        <v>0</v>
      </c>
      <c r="J446" s="56">
        <v>45589</v>
      </c>
      <c r="K446" s="57"/>
    </row>
    <row r="447" spans="1:11" ht="15.75" hidden="1" customHeight="1" x14ac:dyDescent="0.35">
      <c r="A447" s="47" t="s">
        <v>22</v>
      </c>
      <c r="B447" s="48" t="s">
        <v>767</v>
      </c>
      <c r="C447" s="49" t="s">
        <v>768</v>
      </c>
      <c r="D447" s="50"/>
      <c r="E447" s="51">
        <v>3050000</v>
      </c>
      <c r="F447" s="52">
        <f t="shared" si="37"/>
        <v>244000</v>
      </c>
      <c r="G447" s="53">
        <f t="shared" si="39"/>
        <v>3294000</v>
      </c>
      <c r="H447" s="54">
        <v>3294000</v>
      </c>
      <c r="I447" s="55">
        <f t="shared" si="38"/>
        <v>0</v>
      </c>
      <c r="J447" s="56">
        <v>45589</v>
      </c>
      <c r="K447" s="57"/>
    </row>
    <row r="448" spans="1:11" ht="15.75" hidden="1" customHeight="1" x14ac:dyDescent="0.35">
      <c r="A448" s="47" t="s">
        <v>21</v>
      </c>
      <c r="B448" s="48" t="s">
        <v>767</v>
      </c>
      <c r="C448" s="49" t="s">
        <v>769</v>
      </c>
      <c r="D448" s="50"/>
      <c r="E448" s="51">
        <v>1005000</v>
      </c>
      <c r="F448" s="52">
        <f t="shared" si="37"/>
        <v>80400</v>
      </c>
      <c r="G448" s="53">
        <f t="shared" si="39"/>
        <v>1085400</v>
      </c>
      <c r="H448" s="54">
        <v>1085400</v>
      </c>
      <c r="I448" s="55">
        <f t="shared" si="38"/>
        <v>0</v>
      </c>
      <c r="J448" s="56">
        <v>45589</v>
      </c>
      <c r="K448" s="57"/>
    </row>
    <row r="449" spans="1:11" ht="15.75" hidden="1" customHeight="1" x14ac:dyDescent="0.35">
      <c r="A449" s="47" t="s">
        <v>770</v>
      </c>
      <c r="B449" s="48" t="s">
        <v>771</v>
      </c>
      <c r="C449" s="49" t="s">
        <v>772</v>
      </c>
      <c r="D449" s="50"/>
      <c r="E449" s="51">
        <v>468000</v>
      </c>
      <c r="F449" s="52">
        <f t="shared" si="37"/>
        <v>37440</v>
      </c>
      <c r="G449" s="53">
        <f t="shared" si="39"/>
        <v>505440</v>
      </c>
      <c r="H449" s="54">
        <v>505440</v>
      </c>
      <c r="I449" s="55">
        <f t="shared" si="38"/>
        <v>0</v>
      </c>
      <c r="J449" s="56">
        <v>45589</v>
      </c>
      <c r="K449" s="57"/>
    </row>
    <row r="450" spans="1:11" ht="15.75" hidden="1" customHeight="1" x14ac:dyDescent="0.35">
      <c r="A450" s="47" t="s">
        <v>54</v>
      </c>
      <c r="B450" s="48" t="s">
        <v>773</v>
      </c>
      <c r="C450" s="50" t="s">
        <v>774</v>
      </c>
      <c r="D450" s="50"/>
      <c r="E450" s="51">
        <v>1005000</v>
      </c>
      <c r="F450" s="52"/>
      <c r="G450" s="53"/>
      <c r="H450" s="54"/>
      <c r="I450" s="55">
        <f t="shared" si="38"/>
        <v>0</v>
      </c>
      <c r="J450" s="57" t="s">
        <v>775</v>
      </c>
      <c r="K450" s="57"/>
    </row>
    <row r="451" spans="1:11" ht="15.75" hidden="1" customHeight="1" x14ac:dyDescent="0.35">
      <c r="A451" s="47" t="s">
        <v>39</v>
      </c>
      <c r="B451" s="48" t="s">
        <v>773</v>
      </c>
      <c r="C451" s="49" t="s">
        <v>776</v>
      </c>
      <c r="D451" s="50"/>
      <c r="E451" s="51">
        <v>1005000</v>
      </c>
      <c r="F451" s="52">
        <f t="shared" si="37"/>
        <v>80400</v>
      </c>
      <c r="G451" s="53">
        <f t="shared" si="39"/>
        <v>1085400</v>
      </c>
      <c r="H451" s="54">
        <v>1085400</v>
      </c>
      <c r="I451" s="55">
        <f t="shared" si="38"/>
        <v>0</v>
      </c>
      <c r="J451" s="56">
        <v>45589</v>
      </c>
      <c r="K451" s="57"/>
    </row>
    <row r="452" spans="1:11" ht="15.75" hidden="1" customHeight="1" x14ac:dyDescent="0.35">
      <c r="A452" s="47" t="s">
        <v>86</v>
      </c>
      <c r="B452" s="48" t="s">
        <v>777</v>
      </c>
      <c r="C452" s="49" t="s">
        <v>778</v>
      </c>
      <c r="D452" s="50"/>
      <c r="E452" s="51">
        <v>1022500</v>
      </c>
      <c r="F452" s="52">
        <f t="shared" si="37"/>
        <v>81800</v>
      </c>
      <c r="G452" s="53">
        <f t="shared" si="39"/>
        <v>1104300</v>
      </c>
      <c r="H452" s="54">
        <v>1104300</v>
      </c>
      <c r="I452" s="55">
        <f t="shared" si="38"/>
        <v>0</v>
      </c>
      <c r="J452" s="56">
        <v>45589</v>
      </c>
      <c r="K452" s="57"/>
    </row>
    <row r="453" spans="1:11" ht="15.75" hidden="1" customHeight="1" x14ac:dyDescent="0.35">
      <c r="A453" s="47" t="s">
        <v>19</v>
      </c>
      <c r="B453" s="48" t="s">
        <v>779</v>
      </c>
      <c r="C453" s="49" t="s">
        <v>189</v>
      </c>
      <c r="D453" s="50"/>
      <c r="E453" s="51">
        <v>4090000</v>
      </c>
      <c r="F453" s="52">
        <f t="shared" si="37"/>
        <v>327200</v>
      </c>
      <c r="G453" s="53">
        <f t="shared" si="39"/>
        <v>4417200</v>
      </c>
      <c r="H453" s="54">
        <v>4417200</v>
      </c>
      <c r="I453" s="55">
        <f t="shared" si="38"/>
        <v>0</v>
      </c>
      <c r="J453" s="56">
        <v>45589</v>
      </c>
      <c r="K453" s="57"/>
    </row>
    <row r="454" spans="1:11" ht="15.75" hidden="1" customHeight="1" x14ac:dyDescent="0.35">
      <c r="A454" s="47" t="s">
        <v>47</v>
      </c>
      <c r="B454" s="48" t="s">
        <v>779</v>
      </c>
      <c r="C454" s="49" t="s">
        <v>780</v>
      </c>
      <c r="D454" s="50"/>
      <c r="E454" s="51">
        <v>1040000</v>
      </c>
      <c r="F454" s="52">
        <f t="shared" si="37"/>
        <v>83200</v>
      </c>
      <c r="G454" s="53">
        <f t="shared" si="39"/>
        <v>1123200</v>
      </c>
      <c r="H454" s="54">
        <v>1123200</v>
      </c>
      <c r="I454" s="55">
        <f t="shared" si="38"/>
        <v>0</v>
      </c>
      <c r="J454" s="56">
        <v>45589</v>
      </c>
      <c r="K454" s="57"/>
    </row>
    <row r="455" spans="1:11" ht="15.75" hidden="1" customHeight="1" x14ac:dyDescent="0.35">
      <c r="A455" s="47" t="s">
        <v>164</v>
      </c>
      <c r="B455" s="48" t="s">
        <v>781</v>
      </c>
      <c r="C455" s="49" t="s">
        <v>782</v>
      </c>
      <c r="D455" s="50"/>
      <c r="E455" s="51">
        <v>1022500</v>
      </c>
      <c r="F455" s="52">
        <f t="shared" si="37"/>
        <v>81800</v>
      </c>
      <c r="G455" s="53">
        <f t="shared" si="39"/>
        <v>1104300</v>
      </c>
      <c r="H455" s="54">
        <v>1104300</v>
      </c>
      <c r="I455" s="55">
        <f t="shared" si="38"/>
        <v>0</v>
      </c>
      <c r="J455" s="56">
        <v>45589</v>
      </c>
      <c r="K455" s="57"/>
    </row>
    <row r="456" spans="1:11" ht="15.75" hidden="1" customHeight="1" x14ac:dyDescent="0.35">
      <c r="A456" s="47" t="s">
        <v>20</v>
      </c>
      <c r="B456" s="48" t="s">
        <v>783</v>
      </c>
      <c r="C456" s="49" t="s">
        <v>228</v>
      </c>
      <c r="D456" s="50"/>
      <c r="E456" s="51">
        <v>502500</v>
      </c>
      <c r="F456" s="52">
        <f t="shared" si="37"/>
        <v>40200</v>
      </c>
      <c r="G456" s="53">
        <f t="shared" si="39"/>
        <v>542700</v>
      </c>
      <c r="H456" s="54">
        <v>542700</v>
      </c>
      <c r="I456" s="55">
        <f t="shared" si="38"/>
        <v>0</v>
      </c>
      <c r="J456" s="56">
        <v>45589</v>
      </c>
      <c r="K456" s="57"/>
    </row>
    <row r="457" spans="1:11" ht="15.75" hidden="1" customHeight="1" x14ac:dyDescent="0.35">
      <c r="A457" s="47" t="s">
        <v>83</v>
      </c>
      <c r="B457" s="48" t="s">
        <v>783</v>
      </c>
      <c r="C457" s="49" t="s">
        <v>784</v>
      </c>
      <c r="D457" s="50"/>
      <c r="E457" s="51">
        <v>2045000</v>
      </c>
      <c r="F457" s="52">
        <f t="shared" si="37"/>
        <v>163600</v>
      </c>
      <c r="G457" s="53">
        <f t="shared" si="39"/>
        <v>2208600</v>
      </c>
      <c r="H457" s="54">
        <v>2208600</v>
      </c>
      <c r="I457" s="55">
        <f t="shared" si="38"/>
        <v>0</v>
      </c>
      <c r="J457" s="56">
        <v>45589</v>
      </c>
      <c r="K457" s="57"/>
    </row>
    <row r="458" spans="1:11" ht="15.75" hidden="1" customHeight="1" x14ac:dyDescent="0.35">
      <c r="A458" s="47" t="s">
        <v>82</v>
      </c>
      <c r="B458" s="48" t="s">
        <v>783</v>
      </c>
      <c r="C458" s="49" t="s">
        <v>785</v>
      </c>
      <c r="D458" s="50"/>
      <c r="E458" s="51">
        <v>2045000</v>
      </c>
      <c r="F458" s="52">
        <f t="shared" si="37"/>
        <v>163600</v>
      </c>
      <c r="G458" s="53">
        <f t="shared" si="39"/>
        <v>2208600</v>
      </c>
      <c r="H458" s="54">
        <v>2208600</v>
      </c>
      <c r="I458" s="55">
        <f t="shared" si="38"/>
        <v>0</v>
      </c>
      <c r="J458" s="56">
        <v>45589</v>
      </c>
      <c r="K458" s="57"/>
    </row>
    <row r="459" spans="1:11" ht="15.75" hidden="1" customHeight="1" x14ac:dyDescent="0.35">
      <c r="A459" s="47" t="s">
        <v>90</v>
      </c>
      <c r="B459" s="48" t="s">
        <v>783</v>
      </c>
      <c r="C459" s="49" t="s">
        <v>786</v>
      </c>
      <c r="D459" s="50"/>
      <c r="E459" s="51">
        <v>520000</v>
      </c>
      <c r="F459" s="52">
        <f t="shared" si="37"/>
        <v>41600</v>
      </c>
      <c r="G459" s="53">
        <f t="shared" si="39"/>
        <v>561600</v>
      </c>
      <c r="H459" s="54">
        <v>561600</v>
      </c>
      <c r="I459" s="55">
        <f t="shared" si="38"/>
        <v>0</v>
      </c>
      <c r="J459" s="56">
        <v>45589</v>
      </c>
      <c r="K459" s="57"/>
    </row>
    <row r="460" spans="1:11" ht="15.75" hidden="1" customHeight="1" x14ac:dyDescent="0.35">
      <c r="A460" s="47" t="s">
        <v>105</v>
      </c>
      <c r="B460" s="48" t="s">
        <v>787</v>
      </c>
      <c r="C460" s="49" t="s">
        <v>788</v>
      </c>
      <c r="D460" s="50"/>
      <c r="E460" s="51">
        <v>2080000</v>
      </c>
      <c r="F460" s="52">
        <f t="shared" si="37"/>
        <v>166400</v>
      </c>
      <c r="G460" s="53">
        <f t="shared" si="39"/>
        <v>2246400</v>
      </c>
      <c r="H460" s="54">
        <v>2246400</v>
      </c>
      <c r="I460" s="55">
        <f t="shared" si="38"/>
        <v>0</v>
      </c>
      <c r="J460" s="56">
        <v>45589</v>
      </c>
      <c r="K460" s="57"/>
    </row>
    <row r="461" spans="1:11" ht="15.75" hidden="1" customHeight="1" x14ac:dyDescent="0.35">
      <c r="A461" s="47" t="s">
        <v>32</v>
      </c>
      <c r="B461" s="48" t="s">
        <v>789</v>
      </c>
      <c r="C461" s="49" t="s">
        <v>790</v>
      </c>
      <c r="D461" s="50"/>
      <c r="E461" s="51">
        <v>1040000</v>
      </c>
      <c r="F461" s="52">
        <f t="shared" si="37"/>
        <v>83200</v>
      </c>
      <c r="G461" s="53">
        <f t="shared" si="39"/>
        <v>1123200</v>
      </c>
      <c r="H461" s="54">
        <v>1123200</v>
      </c>
      <c r="I461" s="55">
        <f t="shared" si="38"/>
        <v>0</v>
      </c>
      <c r="J461" s="56">
        <v>45589</v>
      </c>
      <c r="K461" s="57"/>
    </row>
    <row r="462" spans="1:11" ht="15.75" hidden="1" customHeight="1" x14ac:dyDescent="0.35">
      <c r="A462" s="47" t="s">
        <v>52</v>
      </c>
      <c r="B462" s="48" t="s">
        <v>789</v>
      </c>
      <c r="C462" s="49" t="s">
        <v>791</v>
      </c>
      <c r="D462" s="50"/>
      <c r="E462" s="51">
        <v>1542500</v>
      </c>
      <c r="F462" s="52">
        <f t="shared" si="37"/>
        <v>123400</v>
      </c>
      <c r="G462" s="53">
        <f t="shared" si="39"/>
        <v>1665900</v>
      </c>
      <c r="H462" s="54">
        <v>1665900</v>
      </c>
      <c r="I462" s="55">
        <f t="shared" si="38"/>
        <v>0</v>
      </c>
      <c r="J462" s="56">
        <v>45589</v>
      </c>
      <c r="K462" s="57"/>
    </row>
    <row r="463" spans="1:11" ht="15.75" hidden="1" customHeight="1" x14ac:dyDescent="0.35">
      <c r="A463" s="47" t="s">
        <v>47</v>
      </c>
      <c r="B463" s="48" t="s">
        <v>789</v>
      </c>
      <c r="C463" s="49" t="s">
        <v>792</v>
      </c>
      <c r="D463" s="50"/>
      <c r="E463" s="51">
        <v>1005000</v>
      </c>
      <c r="F463" s="52">
        <f t="shared" si="37"/>
        <v>80400</v>
      </c>
      <c r="G463" s="53">
        <f t="shared" si="39"/>
        <v>1085400</v>
      </c>
      <c r="H463" s="54">
        <v>1085400</v>
      </c>
      <c r="I463" s="55">
        <f t="shared" si="38"/>
        <v>0</v>
      </c>
      <c r="J463" s="56">
        <v>45589</v>
      </c>
      <c r="K463" s="57"/>
    </row>
    <row r="464" spans="1:11" ht="15.75" hidden="1" customHeight="1" x14ac:dyDescent="0.35">
      <c r="A464" s="47" t="s">
        <v>49</v>
      </c>
      <c r="B464" s="48" t="s">
        <v>793</v>
      </c>
      <c r="C464" s="49" t="s">
        <v>794</v>
      </c>
      <c r="D464" s="50"/>
      <c r="E464" s="51">
        <v>1040000</v>
      </c>
      <c r="F464" s="52">
        <f t="shared" si="37"/>
        <v>83200</v>
      </c>
      <c r="G464" s="53">
        <f t="shared" si="39"/>
        <v>1123200</v>
      </c>
      <c r="H464" s="54">
        <v>1123200</v>
      </c>
      <c r="I464" s="55">
        <f t="shared" si="38"/>
        <v>0</v>
      </c>
      <c r="J464" s="56">
        <v>45589</v>
      </c>
      <c r="K464" s="57"/>
    </row>
    <row r="465" spans="1:11" ht="15.75" hidden="1" customHeight="1" x14ac:dyDescent="0.35">
      <c r="A465" s="47" t="s">
        <v>53</v>
      </c>
      <c r="B465" s="48" t="s">
        <v>795</v>
      </c>
      <c r="C465" s="49" t="s">
        <v>796</v>
      </c>
      <c r="D465" s="50"/>
      <c r="E465" s="51">
        <v>1005000</v>
      </c>
      <c r="F465" s="52">
        <f t="shared" si="37"/>
        <v>80400</v>
      </c>
      <c r="G465" s="53">
        <f t="shared" si="39"/>
        <v>1085400</v>
      </c>
      <c r="H465" s="54">
        <v>1085400</v>
      </c>
      <c r="I465" s="55">
        <f t="shared" si="38"/>
        <v>0</v>
      </c>
      <c r="J465" s="56">
        <v>45589</v>
      </c>
      <c r="K465" s="57"/>
    </row>
    <row r="466" spans="1:11" ht="15.75" hidden="1" customHeight="1" x14ac:dyDescent="0.35">
      <c r="A466" s="47" t="s">
        <v>47</v>
      </c>
      <c r="B466" s="48" t="s">
        <v>795</v>
      </c>
      <c r="C466" s="49" t="s">
        <v>797</v>
      </c>
      <c r="D466" s="50"/>
      <c r="E466" s="51">
        <v>1040000</v>
      </c>
      <c r="F466" s="52">
        <f t="shared" si="37"/>
        <v>83200</v>
      </c>
      <c r="G466" s="53">
        <f t="shared" si="39"/>
        <v>1123200</v>
      </c>
      <c r="H466" s="54">
        <v>1123200</v>
      </c>
      <c r="I466" s="55">
        <f t="shared" si="38"/>
        <v>0</v>
      </c>
      <c r="J466" s="56">
        <v>45589</v>
      </c>
      <c r="K466" s="57"/>
    </row>
    <row r="467" spans="1:11" ht="15.75" hidden="1" customHeight="1" x14ac:dyDescent="0.35">
      <c r="A467" s="47" t="s">
        <v>100</v>
      </c>
      <c r="B467" s="48" t="s">
        <v>795</v>
      </c>
      <c r="C467" s="49" t="s">
        <v>798</v>
      </c>
      <c r="D467" s="50"/>
      <c r="E467" s="51">
        <v>2045000</v>
      </c>
      <c r="F467" s="52">
        <f t="shared" si="37"/>
        <v>163600</v>
      </c>
      <c r="G467" s="53">
        <f t="shared" si="39"/>
        <v>2208600</v>
      </c>
      <c r="H467" s="54">
        <v>2208600</v>
      </c>
      <c r="I467" s="55">
        <f t="shared" si="38"/>
        <v>0</v>
      </c>
      <c r="J467" s="56">
        <v>45589</v>
      </c>
      <c r="K467" s="57"/>
    </row>
    <row r="468" spans="1:11" ht="15.75" hidden="1" customHeight="1" x14ac:dyDescent="0.35">
      <c r="A468" s="47" t="s">
        <v>15</v>
      </c>
      <c r="B468" s="48" t="s">
        <v>795</v>
      </c>
      <c r="C468" s="49" t="s">
        <v>799</v>
      </c>
      <c r="D468" s="50"/>
      <c r="E468" s="51">
        <v>2045000</v>
      </c>
      <c r="F468" s="52">
        <f t="shared" si="37"/>
        <v>163600</v>
      </c>
      <c r="G468" s="53">
        <f t="shared" si="39"/>
        <v>2208600</v>
      </c>
      <c r="H468" s="54">
        <v>2208600</v>
      </c>
      <c r="I468" s="55">
        <f t="shared" si="38"/>
        <v>0</v>
      </c>
      <c r="J468" s="56">
        <v>45589</v>
      </c>
      <c r="K468" s="57"/>
    </row>
    <row r="469" spans="1:11" ht="15.75" hidden="1" customHeight="1" x14ac:dyDescent="0.35">
      <c r="A469" s="47" t="s">
        <v>23</v>
      </c>
      <c r="B469" s="48" t="s">
        <v>800</v>
      </c>
      <c r="C469" s="50" t="s">
        <v>801</v>
      </c>
      <c r="D469" s="50"/>
      <c r="E469" s="51">
        <v>1040000</v>
      </c>
      <c r="F469" s="52">
        <f t="shared" si="37"/>
        <v>83200</v>
      </c>
      <c r="G469" s="53">
        <f t="shared" si="39"/>
        <v>1123200</v>
      </c>
      <c r="H469" s="54">
        <v>1123200</v>
      </c>
      <c r="I469" s="55">
        <f t="shared" si="38"/>
        <v>0</v>
      </c>
      <c r="J469" s="56">
        <v>45589</v>
      </c>
      <c r="K469" s="57"/>
    </row>
    <row r="470" spans="1:11" ht="15.75" hidden="1" customHeight="1" x14ac:dyDescent="0.35">
      <c r="A470" s="47" t="s">
        <v>16</v>
      </c>
      <c r="B470" s="48" t="s">
        <v>800</v>
      </c>
      <c r="C470" s="49" t="s">
        <v>802</v>
      </c>
      <c r="D470" s="50"/>
      <c r="E470" s="51">
        <v>1022500</v>
      </c>
      <c r="F470" s="52">
        <f t="shared" si="37"/>
        <v>81800</v>
      </c>
      <c r="G470" s="53">
        <f t="shared" si="39"/>
        <v>1104300</v>
      </c>
      <c r="H470" s="54">
        <v>1104300</v>
      </c>
      <c r="I470" s="55">
        <f t="shared" si="38"/>
        <v>0</v>
      </c>
      <c r="J470" s="56">
        <v>45589</v>
      </c>
      <c r="K470" s="57"/>
    </row>
    <row r="471" spans="1:11" ht="15.75" hidden="1" customHeight="1" x14ac:dyDescent="0.35">
      <c r="A471" s="47" t="s">
        <v>32</v>
      </c>
      <c r="B471" s="48" t="s">
        <v>803</v>
      </c>
      <c r="C471" s="49" t="s">
        <v>804</v>
      </c>
      <c r="D471" s="50"/>
      <c r="E471" s="51">
        <v>2045000</v>
      </c>
      <c r="F471" s="52">
        <f t="shared" si="37"/>
        <v>163600</v>
      </c>
      <c r="G471" s="53">
        <f t="shared" si="39"/>
        <v>2208600</v>
      </c>
      <c r="H471" s="54">
        <v>2208600</v>
      </c>
      <c r="I471" s="55">
        <f t="shared" si="38"/>
        <v>0</v>
      </c>
      <c r="J471" s="56">
        <v>45589</v>
      </c>
      <c r="K471" s="57"/>
    </row>
    <row r="472" spans="1:11" ht="15.75" hidden="1" customHeight="1" x14ac:dyDescent="0.35">
      <c r="A472" s="47" t="s">
        <v>54</v>
      </c>
      <c r="B472" s="48" t="s">
        <v>803</v>
      </c>
      <c r="C472" s="49" t="s">
        <v>805</v>
      </c>
      <c r="D472" s="50"/>
      <c r="E472" s="51">
        <v>1005000</v>
      </c>
      <c r="F472" s="52">
        <f t="shared" si="37"/>
        <v>80400</v>
      </c>
      <c r="G472" s="53">
        <f t="shared" si="39"/>
        <v>1085400</v>
      </c>
      <c r="H472" s="54">
        <v>1085400</v>
      </c>
      <c r="I472" s="55">
        <f t="shared" si="38"/>
        <v>0</v>
      </c>
      <c r="J472" s="56">
        <v>45589</v>
      </c>
      <c r="K472" s="57"/>
    </row>
    <row r="473" spans="1:11" ht="15.75" hidden="1" customHeight="1" x14ac:dyDescent="0.35">
      <c r="A473" s="47" t="s">
        <v>69</v>
      </c>
      <c r="B473" s="48" t="s">
        <v>803</v>
      </c>
      <c r="C473" s="49" t="s">
        <v>806</v>
      </c>
      <c r="D473" s="50"/>
      <c r="E473" s="51">
        <v>1040000</v>
      </c>
      <c r="F473" s="52">
        <f t="shared" si="37"/>
        <v>83200</v>
      </c>
      <c r="G473" s="53">
        <f t="shared" si="39"/>
        <v>1123200</v>
      </c>
      <c r="H473" s="54">
        <v>1123200</v>
      </c>
      <c r="I473" s="55">
        <f t="shared" si="38"/>
        <v>0</v>
      </c>
      <c r="J473" s="56">
        <v>45589</v>
      </c>
      <c r="K473" s="57"/>
    </row>
    <row r="474" spans="1:11" ht="15.75" hidden="1" customHeight="1" x14ac:dyDescent="0.35">
      <c r="A474" s="47" t="s">
        <v>127</v>
      </c>
      <c r="B474" s="48" t="s">
        <v>807</v>
      </c>
      <c r="C474" s="49" t="s">
        <v>808</v>
      </c>
      <c r="D474" s="50"/>
      <c r="E474" s="51">
        <v>2045000</v>
      </c>
      <c r="F474" s="52">
        <f t="shared" si="37"/>
        <v>163600</v>
      </c>
      <c r="G474" s="53">
        <f t="shared" si="39"/>
        <v>2208600</v>
      </c>
      <c r="H474" s="54">
        <v>2208600</v>
      </c>
      <c r="I474" s="55">
        <f t="shared" si="38"/>
        <v>0</v>
      </c>
      <c r="J474" s="56">
        <v>45589</v>
      </c>
      <c r="K474" s="57"/>
    </row>
    <row r="475" spans="1:11" ht="15.75" hidden="1" customHeight="1" x14ac:dyDescent="0.35">
      <c r="A475" s="47" t="s">
        <v>61</v>
      </c>
      <c r="B475" s="48" t="s">
        <v>807</v>
      </c>
      <c r="C475" s="49" t="s">
        <v>809</v>
      </c>
      <c r="D475" s="50"/>
      <c r="E475" s="51">
        <v>2045000</v>
      </c>
      <c r="F475" s="52">
        <f t="shared" si="37"/>
        <v>163600</v>
      </c>
      <c r="G475" s="53">
        <f t="shared" si="39"/>
        <v>2208600</v>
      </c>
      <c r="H475" s="54">
        <v>2208600</v>
      </c>
      <c r="I475" s="55">
        <f t="shared" si="38"/>
        <v>0</v>
      </c>
      <c r="J475" s="56">
        <v>45589</v>
      </c>
      <c r="K475" s="57"/>
    </row>
    <row r="476" spans="1:11" ht="15.75" hidden="1" customHeight="1" x14ac:dyDescent="0.35">
      <c r="A476" s="47" t="s">
        <v>47</v>
      </c>
      <c r="B476" s="48" t="s">
        <v>807</v>
      </c>
      <c r="C476" s="49" t="s">
        <v>810</v>
      </c>
      <c r="D476" s="50"/>
      <c r="E476" s="51">
        <v>1005000</v>
      </c>
      <c r="F476" s="52">
        <f t="shared" si="37"/>
        <v>80400</v>
      </c>
      <c r="G476" s="53">
        <f t="shared" si="39"/>
        <v>1085400</v>
      </c>
      <c r="H476" s="54">
        <v>1085400</v>
      </c>
      <c r="I476" s="55">
        <f t="shared" si="38"/>
        <v>0</v>
      </c>
      <c r="J476" s="56">
        <v>45589</v>
      </c>
      <c r="K476" s="57"/>
    </row>
    <row r="477" spans="1:11" ht="15.75" hidden="1" customHeight="1" x14ac:dyDescent="0.35">
      <c r="A477" s="47" t="s">
        <v>35</v>
      </c>
      <c r="B477" s="48" t="s">
        <v>807</v>
      </c>
      <c r="C477" s="49" t="s">
        <v>811</v>
      </c>
      <c r="D477" s="50"/>
      <c r="E477" s="51">
        <v>2045000</v>
      </c>
      <c r="F477" s="52">
        <f t="shared" si="37"/>
        <v>163600</v>
      </c>
      <c r="G477" s="53">
        <f t="shared" si="39"/>
        <v>2208600</v>
      </c>
      <c r="H477" s="54">
        <v>2208600</v>
      </c>
      <c r="I477" s="55">
        <f t="shared" si="38"/>
        <v>0</v>
      </c>
      <c r="J477" s="56">
        <v>45589</v>
      </c>
      <c r="K477" s="57"/>
    </row>
    <row r="478" spans="1:11" ht="15.75" hidden="1" customHeight="1" x14ac:dyDescent="0.35">
      <c r="A478" s="47" t="s">
        <v>167</v>
      </c>
      <c r="B478" s="48" t="s">
        <v>812</v>
      </c>
      <c r="C478" s="49" t="s">
        <v>813</v>
      </c>
      <c r="D478" s="50"/>
      <c r="E478" s="51">
        <v>1040000</v>
      </c>
      <c r="F478" s="52">
        <f t="shared" si="37"/>
        <v>83200</v>
      </c>
      <c r="G478" s="53">
        <f t="shared" si="39"/>
        <v>1123200</v>
      </c>
      <c r="H478" s="54">
        <v>1123200</v>
      </c>
      <c r="I478" s="55">
        <f t="shared" si="38"/>
        <v>0</v>
      </c>
      <c r="J478" s="56">
        <v>45589</v>
      </c>
      <c r="K478" s="57"/>
    </row>
    <row r="479" spans="1:11" ht="15.75" hidden="1" customHeight="1" x14ac:dyDescent="0.35">
      <c r="A479" s="47" t="s">
        <v>24</v>
      </c>
      <c r="B479" s="48" t="s">
        <v>812</v>
      </c>
      <c r="C479" s="49" t="s">
        <v>814</v>
      </c>
      <c r="D479" s="50"/>
      <c r="E479" s="51">
        <v>2045000</v>
      </c>
      <c r="F479" s="52">
        <f t="shared" si="37"/>
        <v>163600</v>
      </c>
      <c r="G479" s="53">
        <f t="shared" si="39"/>
        <v>2208600</v>
      </c>
      <c r="H479" s="54">
        <v>2208600</v>
      </c>
      <c r="I479" s="55">
        <f t="shared" si="38"/>
        <v>0</v>
      </c>
      <c r="J479" s="56">
        <v>45589</v>
      </c>
      <c r="K479" s="57"/>
    </row>
    <row r="480" spans="1:11" ht="15.75" hidden="1" customHeight="1" x14ac:dyDescent="0.35">
      <c r="A480" s="47" t="s">
        <v>53</v>
      </c>
      <c r="B480" s="48" t="s">
        <v>812</v>
      </c>
      <c r="C480" s="49" t="s">
        <v>815</v>
      </c>
      <c r="D480" s="50"/>
      <c r="E480" s="51">
        <v>1040000</v>
      </c>
      <c r="F480" s="52">
        <f t="shared" si="37"/>
        <v>83200</v>
      </c>
      <c r="G480" s="53">
        <f t="shared" si="39"/>
        <v>1123200</v>
      </c>
      <c r="H480" s="53">
        <v>1123200</v>
      </c>
      <c r="I480" s="55">
        <f t="shared" si="38"/>
        <v>0</v>
      </c>
      <c r="J480" s="56">
        <v>45589</v>
      </c>
      <c r="K480" s="57"/>
    </row>
    <row r="481" spans="1:11" ht="15.75" hidden="1" customHeight="1" x14ac:dyDescent="0.35">
      <c r="A481" s="47" t="s">
        <v>47</v>
      </c>
      <c r="B481" s="48" t="s">
        <v>812</v>
      </c>
      <c r="C481" s="49" t="s">
        <v>816</v>
      </c>
      <c r="D481" s="50"/>
      <c r="E481" s="51">
        <v>1040000</v>
      </c>
      <c r="F481" s="52">
        <f t="shared" si="37"/>
        <v>83200</v>
      </c>
      <c r="G481" s="53">
        <f t="shared" si="39"/>
        <v>1123200</v>
      </c>
      <c r="H481" s="54">
        <v>1123200</v>
      </c>
      <c r="I481" s="55">
        <f t="shared" si="38"/>
        <v>0</v>
      </c>
      <c r="J481" s="56">
        <v>45589</v>
      </c>
      <c r="K481" s="57"/>
    </row>
    <row r="482" spans="1:11" ht="15.75" hidden="1" customHeight="1" x14ac:dyDescent="0.35">
      <c r="A482" s="47" t="s">
        <v>72</v>
      </c>
      <c r="B482" s="48" t="s">
        <v>817</v>
      </c>
      <c r="C482" s="49" t="s">
        <v>818</v>
      </c>
      <c r="D482" s="50"/>
      <c r="E482" s="51">
        <v>1040000</v>
      </c>
      <c r="F482" s="52">
        <f t="shared" si="37"/>
        <v>83200</v>
      </c>
      <c r="G482" s="53">
        <f t="shared" si="39"/>
        <v>1123200</v>
      </c>
      <c r="H482" s="54">
        <v>1123200</v>
      </c>
      <c r="I482" s="55">
        <f t="shared" si="38"/>
        <v>0</v>
      </c>
      <c r="J482" s="56">
        <v>45589</v>
      </c>
      <c r="K482" s="57"/>
    </row>
    <row r="483" spans="1:11" ht="15.75" hidden="1" customHeight="1" x14ac:dyDescent="0.35">
      <c r="A483" s="47" t="s">
        <v>54</v>
      </c>
      <c r="B483" s="48" t="s">
        <v>817</v>
      </c>
      <c r="C483" s="49" t="s">
        <v>819</v>
      </c>
      <c r="D483" s="50"/>
      <c r="E483" s="51">
        <v>1005000</v>
      </c>
      <c r="F483" s="52"/>
      <c r="G483" s="53"/>
      <c r="H483" s="54"/>
      <c r="I483" s="55">
        <f t="shared" si="38"/>
        <v>0</v>
      </c>
      <c r="J483" s="56" t="s">
        <v>820</v>
      </c>
      <c r="K483" s="57"/>
    </row>
    <row r="484" spans="1:11" ht="15.75" hidden="1" customHeight="1" x14ac:dyDescent="0.35">
      <c r="A484" s="47" t="s">
        <v>19</v>
      </c>
      <c r="B484" s="48" t="s">
        <v>817</v>
      </c>
      <c r="C484" s="49" t="s">
        <v>821</v>
      </c>
      <c r="D484" s="50"/>
      <c r="E484" s="51">
        <v>4090000</v>
      </c>
      <c r="F484" s="52">
        <f t="shared" ref="F484:F500" si="40">+E484*0.08</f>
        <v>327200</v>
      </c>
      <c r="G484" s="53">
        <f t="shared" si="39"/>
        <v>4417200</v>
      </c>
      <c r="H484" s="54">
        <v>4417200</v>
      </c>
      <c r="I484" s="55">
        <f t="shared" si="38"/>
        <v>0</v>
      </c>
      <c r="J484" s="56">
        <v>45589</v>
      </c>
      <c r="K484" s="57"/>
    </row>
    <row r="485" spans="1:11" ht="15.75" hidden="1" customHeight="1" x14ac:dyDescent="0.35">
      <c r="A485" s="47" t="s">
        <v>106</v>
      </c>
      <c r="B485" s="48" t="s">
        <v>822</v>
      </c>
      <c r="C485" s="49" t="s">
        <v>232</v>
      </c>
      <c r="D485" s="50"/>
      <c r="E485" s="51">
        <v>2045000</v>
      </c>
      <c r="F485" s="52">
        <f t="shared" si="40"/>
        <v>163600</v>
      </c>
      <c r="G485" s="53">
        <f t="shared" si="39"/>
        <v>2208600</v>
      </c>
      <c r="H485" s="54">
        <v>2208600</v>
      </c>
      <c r="I485" s="55">
        <f t="shared" si="38"/>
        <v>0</v>
      </c>
      <c r="J485" s="56">
        <v>45589</v>
      </c>
      <c r="K485" s="57"/>
    </row>
    <row r="486" spans="1:11" ht="15.75" hidden="1" customHeight="1" x14ac:dyDescent="0.35">
      <c r="A486" s="47" t="s">
        <v>78</v>
      </c>
      <c r="B486" s="48" t="s">
        <v>822</v>
      </c>
      <c r="C486" s="49" t="s">
        <v>823</v>
      </c>
      <c r="D486" s="50"/>
      <c r="E486" s="51">
        <v>1005000</v>
      </c>
      <c r="F486" s="52">
        <f t="shared" si="40"/>
        <v>80400</v>
      </c>
      <c r="G486" s="53">
        <f t="shared" si="39"/>
        <v>1085400</v>
      </c>
      <c r="H486" s="54">
        <v>1085400</v>
      </c>
      <c r="I486" s="55">
        <f t="shared" si="38"/>
        <v>0</v>
      </c>
      <c r="J486" s="56">
        <v>45589</v>
      </c>
      <c r="K486" s="57"/>
    </row>
    <row r="487" spans="1:11" ht="15.75" hidden="1" customHeight="1" x14ac:dyDescent="0.35">
      <c r="A487" s="47" t="s">
        <v>52</v>
      </c>
      <c r="B487" s="48" t="s">
        <v>824</v>
      </c>
      <c r="C487" s="49" t="s">
        <v>243</v>
      </c>
      <c r="D487" s="50"/>
      <c r="E487" s="51">
        <v>2045000</v>
      </c>
      <c r="F487" s="52">
        <f t="shared" si="40"/>
        <v>163600</v>
      </c>
      <c r="G487" s="53">
        <f t="shared" si="39"/>
        <v>2208600</v>
      </c>
      <c r="H487" s="54">
        <v>2208600</v>
      </c>
      <c r="I487" s="55">
        <f t="shared" si="38"/>
        <v>0</v>
      </c>
      <c r="J487" s="56">
        <v>45589</v>
      </c>
      <c r="K487" s="57"/>
    </row>
    <row r="488" spans="1:11" ht="15.75" hidden="1" customHeight="1" x14ac:dyDescent="0.35">
      <c r="A488" s="47" t="s">
        <v>20</v>
      </c>
      <c r="B488" s="48" t="s">
        <v>824</v>
      </c>
      <c r="C488" s="49" t="s">
        <v>244</v>
      </c>
      <c r="D488" s="50"/>
      <c r="E488" s="51">
        <v>1022500</v>
      </c>
      <c r="F488" s="52">
        <f t="shared" si="40"/>
        <v>81800</v>
      </c>
      <c r="G488" s="53">
        <f t="shared" si="39"/>
        <v>1104300</v>
      </c>
      <c r="H488" s="54">
        <v>1104300</v>
      </c>
      <c r="I488" s="55">
        <f t="shared" si="38"/>
        <v>0</v>
      </c>
      <c r="J488" s="56">
        <v>45589</v>
      </c>
      <c r="K488" s="57"/>
    </row>
    <row r="489" spans="1:11" ht="15.75" hidden="1" customHeight="1" x14ac:dyDescent="0.35">
      <c r="A489" s="47" t="s">
        <v>93</v>
      </c>
      <c r="B489" s="48" t="s">
        <v>825</v>
      </c>
      <c r="C489" s="49" t="s">
        <v>263</v>
      </c>
      <c r="D489" s="50"/>
      <c r="E489" s="51">
        <v>1005000</v>
      </c>
      <c r="F489" s="52">
        <f t="shared" si="40"/>
        <v>80400</v>
      </c>
      <c r="G489" s="53">
        <f t="shared" si="39"/>
        <v>1085400</v>
      </c>
      <c r="H489" s="54">
        <v>1085400</v>
      </c>
      <c r="I489" s="55">
        <f t="shared" si="38"/>
        <v>0</v>
      </c>
      <c r="J489" s="56">
        <v>45589</v>
      </c>
      <c r="K489" s="57"/>
    </row>
    <row r="490" spans="1:11" ht="15.75" hidden="1" customHeight="1" x14ac:dyDescent="0.35">
      <c r="A490" s="47" t="s">
        <v>39</v>
      </c>
      <c r="B490" s="48" t="s">
        <v>826</v>
      </c>
      <c r="C490" s="49" t="s">
        <v>271</v>
      </c>
      <c r="D490" s="50"/>
      <c r="E490" s="51">
        <v>1040000</v>
      </c>
      <c r="F490" s="52">
        <f t="shared" si="40"/>
        <v>83200</v>
      </c>
      <c r="G490" s="53">
        <f t="shared" si="39"/>
        <v>1123200</v>
      </c>
      <c r="H490" s="54">
        <v>1123200</v>
      </c>
      <c r="I490" s="55">
        <f t="shared" si="38"/>
        <v>0</v>
      </c>
      <c r="J490" s="56">
        <v>45589</v>
      </c>
      <c r="K490" s="57"/>
    </row>
    <row r="491" spans="1:11" ht="15.75" hidden="1" customHeight="1" x14ac:dyDescent="0.35">
      <c r="A491" s="47" t="s">
        <v>53</v>
      </c>
      <c r="B491" s="48" t="s">
        <v>826</v>
      </c>
      <c r="C491" s="49" t="s">
        <v>272</v>
      </c>
      <c r="D491" s="50"/>
      <c r="E491" s="51">
        <v>1040000</v>
      </c>
      <c r="F491" s="52">
        <f t="shared" si="40"/>
        <v>83200</v>
      </c>
      <c r="G491" s="53">
        <f t="shared" si="39"/>
        <v>1123200</v>
      </c>
      <c r="H491" s="54">
        <v>1123200</v>
      </c>
      <c r="I491" s="55">
        <f t="shared" si="38"/>
        <v>0</v>
      </c>
      <c r="J491" s="56">
        <v>45589</v>
      </c>
      <c r="K491" s="57"/>
    </row>
    <row r="492" spans="1:11" ht="15.75" hidden="1" customHeight="1" x14ac:dyDescent="0.35">
      <c r="A492" s="47" t="s">
        <v>105</v>
      </c>
      <c r="B492" s="48" t="s">
        <v>827</v>
      </c>
      <c r="C492" s="49" t="s">
        <v>294</v>
      </c>
      <c r="D492" s="50"/>
      <c r="E492" s="51">
        <v>4090000</v>
      </c>
      <c r="F492" s="52">
        <f t="shared" si="40"/>
        <v>327200</v>
      </c>
      <c r="G492" s="53">
        <f t="shared" si="39"/>
        <v>4417200</v>
      </c>
      <c r="H492" s="54">
        <v>4417200</v>
      </c>
      <c r="I492" s="55">
        <f t="shared" si="38"/>
        <v>0</v>
      </c>
      <c r="J492" s="56">
        <v>45589</v>
      </c>
      <c r="K492" s="57"/>
    </row>
    <row r="493" spans="1:11" ht="15.75" hidden="1" customHeight="1" x14ac:dyDescent="0.35">
      <c r="A493" s="47" t="s">
        <v>78</v>
      </c>
      <c r="B493" s="48" t="s">
        <v>827</v>
      </c>
      <c r="C493" s="49" t="s">
        <v>295</v>
      </c>
      <c r="D493" s="50"/>
      <c r="E493" s="51">
        <v>2010000</v>
      </c>
      <c r="F493" s="52">
        <f t="shared" si="40"/>
        <v>160800</v>
      </c>
      <c r="G493" s="53">
        <f t="shared" si="39"/>
        <v>2170800</v>
      </c>
      <c r="H493" s="54">
        <v>2170800</v>
      </c>
      <c r="I493" s="55">
        <f t="shared" si="38"/>
        <v>0</v>
      </c>
      <c r="J493" s="56">
        <v>45589</v>
      </c>
      <c r="K493" s="57"/>
    </row>
    <row r="494" spans="1:11" ht="15.75" hidden="1" customHeight="1" x14ac:dyDescent="0.35">
      <c r="A494" s="47" t="s">
        <v>87</v>
      </c>
      <c r="B494" s="48" t="s">
        <v>827</v>
      </c>
      <c r="C494" s="49" t="s">
        <v>299</v>
      </c>
      <c r="D494" s="50"/>
      <c r="E494" s="51">
        <v>892500</v>
      </c>
      <c r="F494" s="52">
        <f t="shared" si="40"/>
        <v>71400</v>
      </c>
      <c r="G494" s="53">
        <f t="shared" si="39"/>
        <v>963900</v>
      </c>
      <c r="H494" s="54">
        <v>963900</v>
      </c>
      <c r="I494" s="55">
        <f t="shared" si="38"/>
        <v>0</v>
      </c>
      <c r="J494" s="56">
        <v>45622</v>
      </c>
      <c r="K494" s="57"/>
    </row>
    <row r="495" spans="1:11" ht="15.75" hidden="1" customHeight="1" x14ac:dyDescent="0.35">
      <c r="A495" s="47" t="s">
        <v>16</v>
      </c>
      <c r="B495" s="48" t="s">
        <v>827</v>
      </c>
      <c r="C495" s="49" t="s">
        <v>320</v>
      </c>
      <c r="D495" s="50"/>
      <c r="E495" s="51">
        <v>1022500</v>
      </c>
      <c r="F495" s="52">
        <f t="shared" si="40"/>
        <v>81800</v>
      </c>
      <c r="G495" s="53">
        <f t="shared" si="39"/>
        <v>1104300</v>
      </c>
      <c r="H495" s="54">
        <v>1104300</v>
      </c>
      <c r="I495" s="55">
        <f t="shared" si="38"/>
        <v>0</v>
      </c>
      <c r="J495" s="56">
        <v>45622</v>
      </c>
      <c r="K495" s="57"/>
    </row>
    <row r="496" spans="1:11" ht="15.75" hidden="1" customHeight="1" x14ac:dyDescent="0.35">
      <c r="A496" s="47" t="s">
        <v>127</v>
      </c>
      <c r="B496" s="48" t="s">
        <v>827</v>
      </c>
      <c r="C496" s="49" t="s">
        <v>321</v>
      </c>
      <c r="D496" s="50"/>
      <c r="E496" s="51">
        <v>2045000</v>
      </c>
      <c r="F496" s="52">
        <f t="shared" si="40"/>
        <v>163600</v>
      </c>
      <c r="G496" s="53">
        <f t="shared" si="39"/>
        <v>2208600</v>
      </c>
      <c r="H496" s="54">
        <v>2208600</v>
      </c>
      <c r="I496" s="55">
        <f t="shared" si="38"/>
        <v>0</v>
      </c>
      <c r="J496" s="56">
        <v>45622</v>
      </c>
      <c r="K496" s="57"/>
    </row>
    <row r="497" spans="1:11" ht="15.75" hidden="1" customHeight="1" x14ac:dyDescent="0.35">
      <c r="A497" s="47" t="s">
        <v>170</v>
      </c>
      <c r="B497" s="48" t="s">
        <v>827</v>
      </c>
      <c r="C497" s="49" t="s">
        <v>322</v>
      </c>
      <c r="D497" s="50"/>
      <c r="E497" s="51">
        <v>1040000</v>
      </c>
      <c r="F497" s="52">
        <f t="shared" si="40"/>
        <v>83200</v>
      </c>
      <c r="G497" s="53">
        <f t="shared" si="39"/>
        <v>1123200</v>
      </c>
      <c r="H497" s="54">
        <v>1123200</v>
      </c>
      <c r="I497" s="55">
        <f t="shared" si="38"/>
        <v>0</v>
      </c>
      <c r="J497" s="56">
        <v>45589</v>
      </c>
      <c r="K497" s="57"/>
    </row>
    <row r="498" spans="1:11" ht="15.75" hidden="1" customHeight="1" x14ac:dyDescent="0.35">
      <c r="A498" s="47" t="s">
        <v>104</v>
      </c>
      <c r="B498" s="48" t="s">
        <v>827</v>
      </c>
      <c r="C498" s="49" t="s">
        <v>324</v>
      </c>
      <c r="D498" s="50"/>
      <c r="E498" s="51">
        <v>3050000</v>
      </c>
      <c r="F498" s="52">
        <f t="shared" si="40"/>
        <v>244000</v>
      </c>
      <c r="G498" s="53">
        <f t="shared" si="39"/>
        <v>3294000</v>
      </c>
      <c r="H498" s="54">
        <v>3294000</v>
      </c>
      <c r="I498" s="55">
        <f t="shared" si="38"/>
        <v>0</v>
      </c>
      <c r="J498" s="56">
        <v>45622</v>
      </c>
      <c r="K498" s="57"/>
    </row>
    <row r="499" spans="1:11" ht="15.75" hidden="1" customHeight="1" x14ac:dyDescent="0.35">
      <c r="A499" s="47" t="s">
        <v>105</v>
      </c>
      <c r="B499" s="48" t="s">
        <v>828</v>
      </c>
      <c r="C499" s="49" t="s">
        <v>332</v>
      </c>
      <c r="D499" s="50"/>
      <c r="E499" s="51">
        <v>1040000</v>
      </c>
      <c r="F499" s="52">
        <f t="shared" si="40"/>
        <v>83200</v>
      </c>
      <c r="G499" s="53">
        <f t="shared" si="39"/>
        <v>1123200</v>
      </c>
      <c r="H499" s="54">
        <v>1123200</v>
      </c>
      <c r="I499" s="55">
        <f t="shared" si="38"/>
        <v>0</v>
      </c>
      <c r="J499" s="56">
        <v>45589</v>
      </c>
      <c r="K499" s="57"/>
    </row>
    <row r="500" spans="1:11" ht="15.75" hidden="1" customHeight="1" x14ac:dyDescent="0.35">
      <c r="A500" s="47" t="s">
        <v>19</v>
      </c>
      <c r="B500" s="48" t="s">
        <v>828</v>
      </c>
      <c r="C500" s="49" t="s">
        <v>333</v>
      </c>
      <c r="D500" s="50"/>
      <c r="E500" s="51">
        <v>3085000</v>
      </c>
      <c r="F500" s="52">
        <f t="shared" si="40"/>
        <v>246800</v>
      </c>
      <c r="G500" s="53">
        <f t="shared" si="39"/>
        <v>3331800</v>
      </c>
      <c r="H500" s="54">
        <v>3331800</v>
      </c>
      <c r="I500" s="55">
        <f t="shared" si="38"/>
        <v>0</v>
      </c>
      <c r="J500" s="56">
        <v>45589</v>
      </c>
      <c r="K500" s="57"/>
    </row>
    <row r="501" spans="1:11" ht="15.75" hidden="1" customHeight="1" x14ac:dyDescent="0.35">
      <c r="A501" s="47" t="s">
        <v>47</v>
      </c>
      <c r="B501" s="48" t="s">
        <v>828</v>
      </c>
      <c r="C501" s="49" t="s">
        <v>829</v>
      </c>
      <c r="D501" s="50"/>
      <c r="E501" s="51">
        <v>2045000</v>
      </c>
      <c r="F501" s="52"/>
      <c r="G501" s="53"/>
      <c r="H501" s="54"/>
      <c r="I501" s="55">
        <f t="shared" si="38"/>
        <v>0</v>
      </c>
      <c r="J501" s="56" t="s">
        <v>775</v>
      </c>
      <c r="K501" s="57"/>
    </row>
    <row r="502" spans="1:11" ht="15.75" hidden="1" customHeight="1" x14ac:dyDescent="0.35">
      <c r="A502" s="47" t="s">
        <v>39</v>
      </c>
      <c r="B502" s="48" t="s">
        <v>830</v>
      </c>
      <c r="C502" s="50" t="s">
        <v>831</v>
      </c>
      <c r="D502" s="50"/>
      <c r="E502" s="51">
        <v>1005000</v>
      </c>
      <c r="F502" s="52">
        <f t="shared" ref="F502:F564" si="41">+E502*0.08</f>
        <v>80400</v>
      </c>
      <c r="G502" s="53">
        <f t="shared" ref="G502:G564" si="42">E502+F502</f>
        <v>1085400</v>
      </c>
      <c r="H502" s="54">
        <v>1085400</v>
      </c>
      <c r="I502" s="55">
        <f t="shared" si="38"/>
        <v>0</v>
      </c>
      <c r="J502" s="56">
        <v>45589</v>
      </c>
      <c r="K502" s="57"/>
    </row>
    <row r="503" spans="1:11" ht="15.75" hidden="1" customHeight="1" x14ac:dyDescent="0.35">
      <c r="A503" s="47" t="s">
        <v>86</v>
      </c>
      <c r="B503" s="48" t="s">
        <v>830</v>
      </c>
      <c r="C503" s="49" t="s">
        <v>832</v>
      </c>
      <c r="D503" s="50"/>
      <c r="E503" s="51">
        <v>2045000</v>
      </c>
      <c r="F503" s="52">
        <f t="shared" si="41"/>
        <v>163600</v>
      </c>
      <c r="G503" s="53">
        <f t="shared" si="42"/>
        <v>2208600</v>
      </c>
      <c r="H503" s="54">
        <v>2208600</v>
      </c>
      <c r="I503" s="55">
        <f t="shared" si="38"/>
        <v>0</v>
      </c>
      <c r="J503" s="56">
        <v>45589</v>
      </c>
      <c r="K503" s="57"/>
    </row>
    <row r="504" spans="1:11" ht="15.75" hidden="1" customHeight="1" x14ac:dyDescent="0.35">
      <c r="A504" s="47" t="s">
        <v>98</v>
      </c>
      <c r="B504" s="48" t="s">
        <v>830</v>
      </c>
      <c r="C504" s="49" t="s">
        <v>833</v>
      </c>
      <c r="D504" s="50"/>
      <c r="E504" s="51">
        <v>502500</v>
      </c>
      <c r="F504" s="52">
        <f t="shared" si="41"/>
        <v>40200</v>
      </c>
      <c r="G504" s="53">
        <f t="shared" si="42"/>
        <v>542700</v>
      </c>
      <c r="H504" s="54">
        <v>542700</v>
      </c>
      <c r="I504" s="55">
        <f t="shared" si="38"/>
        <v>0</v>
      </c>
      <c r="J504" s="56">
        <v>45622</v>
      </c>
      <c r="K504" s="57"/>
    </row>
    <row r="505" spans="1:11" ht="15.75" hidden="1" customHeight="1" x14ac:dyDescent="0.35">
      <c r="A505" s="47" t="s">
        <v>20</v>
      </c>
      <c r="B505" s="48" t="s">
        <v>834</v>
      </c>
      <c r="C505" s="49" t="s">
        <v>835</v>
      </c>
      <c r="D505" s="50"/>
      <c r="E505" s="51">
        <v>1022500</v>
      </c>
      <c r="F505" s="52">
        <f t="shared" si="41"/>
        <v>81800</v>
      </c>
      <c r="G505" s="53">
        <f t="shared" si="42"/>
        <v>1104300</v>
      </c>
      <c r="H505" s="54">
        <v>1104300</v>
      </c>
      <c r="I505" s="55">
        <f t="shared" si="38"/>
        <v>0</v>
      </c>
      <c r="J505" s="56">
        <v>45589</v>
      </c>
      <c r="K505" s="57"/>
    </row>
    <row r="506" spans="1:11" ht="15.75" hidden="1" customHeight="1" x14ac:dyDescent="0.35">
      <c r="A506" s="47" t="s">
        <v>93</v>
      </c>
      <c r="B506" s="48" t="s">
        <v>834</v>
      </c>
      <c r="C506" s="49" t="s">
        <v>836</v>
      </c>
      <c r="D506" s="50"/>
      <c r="E506" s="51">
        <v>1005000</v>
      </c>
      <c r="F506" s="52">
        <f t="shared" si="41"/>
        <v>80400</v>
      </c>
      <c r="G506" s="53">
        <f t="shared" si="42"/>
        <v>1085400</v>
      </c>
      <c r="H506" s="54">
        <v>1085400</v>
      </c>
      <c r="I506" s="55">
        <f t="shared" ref="I506:I568" si="43">G506-H506</f>
        <v>0</v>
      </c>
      <c r="J506" s="56">
        <v>45589</v>
      </c>
      <c r="K506" s="57"/>
    </row>
    <row r="507" spans="1:11" ht="15.75" hidden="1" customHeight="1" x14ac:dyDescent="0.35">
      <c r="A507" s="47" t="s">
        <v>84</v>
      </c>
      <c r="B507" s="48" t="s">
        <v>834</v>
      </c>
      <c r="C507" s="49" t="s">
        <v>837</v>
      </c>
      <c r="D507" s="50"/>
      <c r="E507" s="51">
        <v>2045000</v>
      </c>
      <c r="F507" s="52">
        <f t="shared" si="41"/>
        <v>163600</v>
      </c>
      <c r="G507" s="53">
        <f t="shared" si="42"/>
        <v>2208600</v>
      </c>
      <c r="H507" s="54">
        <v>2208600</v>
      </c>
      <c r="I507" s="55">
        <f t="shared" si="43"/>
        <v>0</v>
      </c>
      <c r="J507" s="56">
        <v>45622</v>
      </c>
      <c r="K507" s="57"/>
    </row>
    <row r="508" spans="1:11" ht="15.75" hidden="1" customHeight="1" x14ac:dyDescent="0.35">
      <c r="A508" s="47" t="s">
        <v>44</v>
      </c>
      <c r="B508" s="48" t="s">
        <v>834</v>
      </c>
      <c r="C508" s="49" t="s">
        <v>838</v>
      </c>
      <c r="D508" s="50"/>
      <c r="E508" s="51">
        <v>1022500</v>
      </c>
      <c r="F508" s="52">
        <f t="shared" si="41"/>
        <v>81800</v>
      </c>
      <c r="G508" s="53">
        <f t="shared" si="42"/>
        <v>1104300</v>
      </c>
      <c r="H508" s="54">
        <v>1104300</v>
      </c>
      <c r="I508" s="55">
        <f t="shared" si="43"/>
        <v>0</v>
      </c>
      <c r="J508" s="56">
        <v>45589</v>
      </c>
      <c r="K508" s="57"/>
    </row>
    <row r="509" spans="1:11" ht="15.75" hidden="1" customHeight="1" x14ac:dyDescent="0.35">
      <c r="A509" s="47" t="s">
        <v>104</v>
      </c>
      <c r="B509" s="48" t="s">
        <v>834</v>
      </c>
      <c r="C509" s="49" t="s">
        <v>839</v>
      </c>
      <c r="D509" s="50"/>
      <c r="E509" s="51">
        <v>4090000</v>
      </c>
      <c r="F509" s="52">
        <f t="shared" si="41"/>
        <v>327200</v>
      </c>
      <c r="G509" s="53">
        <f t="shared" si="42"/>
        <v>4417200</v>
      </c>
      <c r="H509" s="54">
        <v>4417200</v>
      </c>
      <c r="I509" s="55">
        <f t="shared" si="43"/>
        <v>0</v>
      </c>
      <c r="J509" s="56">
        <v>45622</v>
      </c>
      <c r="K509" s="57"/>
    </row>
    <row r="510" spans="1:11" ht="15.75" hidden="1" customHeight="1" x14ac:dyDescent="0.35">
      <c r="A510" s="47" t="s">
        <v>106</v>
      </c>
      <c r="B510" s="48" t="s">
        <v>840</v>
      </c>
      <c r="C510" s="49" t="s">
        <v>841</v>
      </c>
      <c r="D510" s="50"/>
      <c r="E510" s="51">
        <v>2045000</v>
      </c>
      <c r="F510" s="52">
        <f t="shared" si="41"/>
        <v>163600</v>
      </c>
      <c r="G510" s="53">
        <f t="shared" si="42"/>
        <v>2208600</v>
      </c>
      <c r="H510" s="54">
        <v>2208600</v>
      </c>
      <c r="I510" s="55">
        <f t="shared" si="43"/>
        <v>0</v>
      </c>
      <c r="J510" s="56">
        <v>45589</v>
      </c>
      <c r="K510" s="57"/>
    </row>
    <row r="511" spans="1:11" ht="15.75" hidden="1" customHeight="1" x14ac:dyDescent="0.35">
      <c r="A511" s="47" t="s">
        <v>47</v>
      </c>
      <c r="B511" s="48" t="s">
        <v>840</v>
      </c>
      <c r="C511" s="49" t="s">
        <v>842</v>
      </c>
      <c r="D511" s="50"/>
      <c r="E511" s="51">
        <v>1040000</v>
      </c>
      <c r="F511" s="52">
        <f t="shared" si="41"/>
        <v>83200</v>
      </c>
      <c r="G511" s="53">
        <f t="shared" si="42"/>
        <v>1123200</v>
      </c>
      <c r="H511" s="54">
        <v>1123200</v>
      </c>
      <c r="I511" s="55">
        <f t="shared" si="43"/>
        <v>0</v>
      </c>
      <c r="J511" s="56">
        <v>45589</v>
      </c>
      <c r="K511" s="57"/>
    </row>
    <row r="512" spans="1:11" ht="15.75" hidden="1" customHeight="1" x14ac:dyDescent="0.35">
      <c r="A512" s="47" t="s">
        <v>143</v>
      </c>
      <c r="B512" s="48" t="s">
        <v>840</v>
      </c>
      <c r="C512" s="49" t="s">
        <v>843</v>
      </c>
      <c r="D512" s="50"/>
      <c r="E512" s="51">
        <v>1525000</v>
      </c>
      <c r="F512" s="52">
        <f t="shared" si="41"/>
        <v>122000</v>
      </c>
      <c r="G512" s="53">
        <f t="shared" si="42"/>
        <v>1647000</v>
      </c>
      <c r="H512" s="54">
        <v>1647000</v>
      </c>
      <c r="I512" s="55">
        <f t="shared" si="43"/>
        <v>0</v>
      </c>
      <c r="J512" s="56">
        <v>45589</v>
      </c>
      <c r="K512" s="57"/>
    </row>
    <row r="513" spans="1:11" ht="15.75" hidden="1" customHeight="1" x14ac:dyDescent="0.35">
      <c r="A513" s="47" t="s">
        <v>23</v>
      </c>
      <c r="B513" s="48" t="s">
        <v>844</v>
      </c>
      <c r="C513" s="49" t="s">
        <v>845</v>
      </c>
      <c r="D513" s="50"/>
      <c r="E513" s="51">
        <v>2045000</v>
      </c>
      <c r="F513" s="52">
        <f t="shared" si="41"/>
        <v>163600</v>
      </c>
      <c r="G513" s="53">
        <f t="shared" si="42"/>
        <v>2208600</v>
      </c>
      <c r="H513" s="54">
        <v>2208600</v>
      </c>
      <c r="I513" s="55">
        <f t="shared" si="43"/>
        <v>0</v>
      </c>
      <c r="J513" s="56">
        <v>45589</v>
      </c>
      <c r="K513" s="57"/>
    </row>
    <row r="514" spans="1:11" ht="15.75" hidden="1" customHeight="1" x14ac:dyDescent="0.35">
      <c r="A514" s="47" t="s">
        <v>19</v>
      </c>
      <c r="B514" s="48" t="s">
        <v>846</v>
      </c>
      <c r="C514" s="49" t="s">
        <v>847</v>
      </c>
      <c r="D514" s="50"/>
      <c r="E514" s="51">
        <v>3050000</v>
      </c>
      <c r="F514" s="52">
        <f t="shared" si="41"/>
        <v>244000</v>
      </c>
      <c r="G514" s="53">
        <f t="shared" si="42"/>
        <v>3294000</v>
      </c>
      <c r="H514" s="54">
        <v>3294000</v>
      </c>
      <c r="I514" s="55">
        <f t="shared" si="43"/>
        <v>0</v>
      </c>
      <c r="J514" s="56">
        <v>45589</v>
      </c>
      <c r="K514" s="57"/>
    </row>
    <row r="515" spans="1:11" ht="15.75" hidden="1" customHeight="1" x14ac:dyDescent="0.35">
      <c r="A515" s="47" t="s">
        <v>90</v>
      </c>
      <c r="B515" s="48" t="s">
        <v>848</v>
      </c>
      <c r="C515" s="49" t="s">
        <v>849</v>
      </c>
      <c r="D515" s="50"/>
      <c r="E515" s="51">
        <v>2045000</v>
      </c>
      <c r="F515" s="52">
        <f t="shared" si="41"/>
        <v>163600</v>
      </c>
      <c r="G515" s="53">
        <f t="shared" si="42"/>
        <v>2208600</v>
      </c>
      <c r="H515" s="54">
        <v>2208600</v>
      </c>
      <c r="I515" s="55">
        <f t="shared" si="43"/>
        <v>0</v>
      </c>
      <c r="J515" s="56">
        <v>45589</v>
      </c>
      <c r="K515" s="57"/>
    </row>
    <row r="516" spans="1:11" ht="15.75" hidden="1" customHeight="1" x14ac:dyDescent="0.35">
      <c r="A516" s="47" t="s">
        <v>15</v>
      </c>
      <c r="B516" s="48" t="s">
        <v>848</v>
      </c>
      <c r="C516" s="49" t="s">
        <v>850</v>
      </c>
      <c r="D516" s="50"/>
      <c r="E516" s="51">
        <v>2045000</v>
      </c>
      <c r="F516" s="52">
        <f t="shared" si="41"/>
        <v>163600</v>
      </c>
      <c r="G516" s="53">
        <f t="shared" si="42"/>
        <v>2208600</v>
      </c>
      <c r="H516" s="54">
        <v>2208600</v>
      </c>
      <c r="I516" s="55">
        <f t="shared" si="43"/>
        <v>0</v>
      </c>
      <c r="J516" s="56">
        <v>45622</v>
      </c>
      <c r="K516" s="57"/>
    </row>
    <row r="517" spans="1:11" ht="15.75" hidden="1" customHeight="1" x14ac:dyDescent="0.35">
      <c r="A517" s="47" t="s">
        <v>20</v>
      </c>
      <c r="B517" s="48" t="s">
        <v>851</v>
      </c>
      <c r="C517" s="49" t="s">
        <v>852</v>
      </c>
      <c r="D517" s="50"/>
      <c r="E517" s="51">
        <v>1022500</v>
      </c>
      <c r="F517" s="52">
        <f t="shared" si="41"/>
        <v>81800</v>
      </c>
      <c r="G517" s="53">
        <f t="shared" si="42"/>
        <v>1104300</v>
      </c>
      <c r="H517" s="54">
        <v>1104300</v>
      </c>
      <c r="I517" s="55">
        <f t="shared" si="43"/>
        <v>0</v>
      </c>
      <c r="J517" s="56">
        <v>45589</v>
      </c>
      <c r="K517" s="57"/>
    </row>
    <row r="518" spans="1:11" ht="15.75" hidden="1" customHeight="1" x14ac:dyDescent="0.35">
      <c r="A518" s="47" t="s">
        <v>35</v>
      </c>
      <c r="B518" s="48" t="s">
        <v>853</v>
      </c>
      <c r="C518" s="49" t="s">
        <v>361</v>
      </c>
      <c r="D518" s="50"/>
      <c r="E518" s="51">
        <v>2045000</v>
      </c>
      <c r="F518" s="52">
        <f t="shared" si="41"/>
        <v>163600</v>
      </c>
      <c r="G518" s="53">
        <f t="shared" si="42"/>
        <v>2208600</v>
      </c>
      <c r="H518" s="54">
        <v>2208600</v>
      </c>
      <c r="I518" s="55">
        <f t="shared" si="43"/>
        <v>0</v>
      </c>
      <c r="J518" s="56">
        <v>45589</v>
      </c>
      <c r="K518" s="57"/>
    </row>
    <row r="519" spans="1:11" ht="15.75" hidden="1" customHeight="1" x14ac:dyDescent="0.35">
      <c r="A519" s="47" t="s">
        <v>69</v>
      </c>
      <c r="B519" s="48" t="s">
        <v>854</v>
      </c>
      <c r="C519" s="49" t="s">
        <v>855</v>
      </c>
      <c r="D519" s="50"/>
      <c r="E519" s="51">
        <v>1040000</v>
      </c>
      <c r="F519" s="52"/>
      <c r="G519" s="53"/>
      <c r="H519" s="54"/>
      <c r="I519" s="55">
        <f t="shared" si="43"/>
        <v>0</v>
      </c>
      <c r="J519" s="56" t="s">
        <v>1421</v>
      </c>
      <c r="K519" s="57"/>
    </row>
    <row r="520" spans="1:11" ht="15.75" hidden="1" customHeight="1" x14ac:dyDescent="0.35">
      <c r="A520" s="47" t="s">
        <v>69</v>
      </c>
      <c r="B520" s="48" t="s">
        <v>856</v>
      </c>
      <c r="C520" s="49" t="s">
        <v>857</v>
      </c>
      <c r="D520" s="50"/>
      <c r="E520" s="51">
        <v>1040000</v>
      </c>
      <c r="F520" s="52">
        <f t="shared" si="41"/>
        <v>83200</v>
      </c>
      <c r="G520" s="53">
        <f t="shared" si="42"/>
        <v>1123200</v>
      </c>
      <c r="H520" s="54">
        <v>1123200</v>
      </c>
      <c r="I520" s="55">
        <f t="shared" si="43"/>
        <v>0</v>
      </c>
      <c r="J520" s="56">
        <v>45622</v>
      </c>
      <c r="K520" s="57"/>
    </row>
    <row r="521" spans="1:11" ht="15.75" hidden="1" customHeight="1" x14ac:dyDescent="0.35">
      <c r="A521" s="47" t="s">
        <v>15</v>
      </c>
      <c r="B521" s="48" t="s">
        <v>858</v>
      </c>
      <c r="C521" s="49" t="s">
        <v>859</v>
      </c>
      <c r="D521" s="50"/>
      <c r="E521" s="51">
        <v>1005000</v>
      </c>
      <c r="F521" s="52">
        <f t="shared" si="41"/>
        <v>80400</v>
      </c>
      <c r="G521" s="53">
        <f t="shared" si="42"/>
        <v>1085400</v>
      </c>
      <c r="H521" s="54">
        <v>1085400</v>
      </c>
      <c r="I521" s="55">
        <f t="shared" si="43"/>
        <v>0</v>
      </c>
      <c r="J521" s="56">
        <v>45622</v>
      </c>
      <c r="K521" s="57"/>
    </row>
    <row r="522" spans="1:11" ht="15.75" hidden="1" customHeight="1" x14ac:dyDescent="0.35">
      <c r="A522" s="47" t="s">
        <v>22</v>
      </c>
      <c r="B522" s="48" t="s">
        <v>858</v>
      </c>
      <c r="C522" s="49" t="s">
        <v>860</v>
      </c>
      <c r="D522" s="50"/>
      <c r="E522" s="51">
        <v>2045000</v>
      </c>
      <c r="F522" s="52">
        <f t="shared" si="41"/>
        <v>163600</v>
      </c>
      <c r="G522" s="53">
        <f t="shared" si="42"/>
        <v>2208600</v>
      </c>
      <c r="H522" s="54">
        <v>2208600</v>
      </c>
      <c r="I522" s="55">
        <f t="shared" si="43"/>
        <v>0</v>
      </c>
      <c r="J522" s="56">
        <v>45622</v>
      </c>
      <c r="K522" s="57"/>
    </row>
    <row r="523" spans="1:11" ht="15.75" hidden="1" customHeight="1" x14ac:dyDescent="0.35">
      <c r="A523" s="47" t="s">
        <v>105</v>
      </c>
      <c r="B523" s="48" t="s">
        <v>1394</v>
      </c>
      <c r="C523" s="49" t="s">
        <v>1372</v>
      </c>
      <c r="D523" s="50"/>
      <c r="E523" s="51">
        <v>2010000</v>
      </c>
      <c r="F523" s="52">
        <f t="shared" si="41"/>
        <v>160800</v>
      </c>
      <c r="G523" s="53">
        <f t="shared" si="42"/>
        <v>2170800</v>
      </c>
      <c r="H523" s="54">
        <v>2170800</v>
      </c>
      <c r="I523" s="55">
        <f t="shared" si="43"/>
        <v>0</v>
      </c>
      <c r="J523" s="56">
        <v>45622</v>
      </c>
      <c r="K523" s="57"/>
    </row>
    <row r="524" spans="1:11" ht="15.75" hidden="1" customHeight="1" x14ac:dyDescent="0.35">
      <c r="A524" s="47" t="s">
        <v>93</v>
      </c>
      <c r="B524" s="48" t="s">
        <v>1394</v>
      </c>
      <c r="C524" s="49" t="s">
        <v>1373</v>
      </c>
      <c r="D524" s="50"/>
      <c r="E524" s="51">
        <v>1005000</v>
      </c>
      <c r="F524" s="52">
        <f t="shared" si="41"/>
        <v>80400</v>
      </c>
      <c r="G524" s="53">
        <f t="shared" si="42"/>
        <v>1085400</v>
      </c>
      <c r="H524" s="54">
        <v>1085400</v>
      </c>
      <c r="I524" s="55">
        <f t="shared" si="43"/>
        <v>0</v>
      </c>
      <c r="J524" s="56">
        <v>45622</v>
      </c>
      <c r="K524" s="57"/>
    </row>
    <row r="525" spans="1:11" ht="15.75" hidden="1" customHeight="1" x14ac:dyDescent="0.35">
      <c r="A525" s="47" t="s">
        <v>127</v>
      </c>
      <c r="B525" s="48" t="s">
        <v>1394</v>
      </c>
      <c r="C525" s="49" t="s">
        <v>1374</v>
      </c>
      <c r="D525" s="50"/>
      <c r="E525" s="51">
        <v>1005000</v>
      </c>
      <c r="F525" s="52">
        <f t="shared" si="41"/>
        <v>80400</v>
      </c>
      <c r="G525" s="53">
        <f t="shared" si="42"/>
        <v>1085400</v>
      </c>
      <c r="H525" s="54">
        <v>1085400</v>
      </c>
      <c r="I525" s="55">
        <f t="shared" si="43"/>
        <v>0</v>
      </c>
      <c r="J525" s="56">
        <v>45622</v>
      </c>
      <c r="K525" s="57"/>
    </row>
    <row r="526" spans="1:11" ht="15.75" hidden="1" customHeight="1" x14ac:dyDescent="0.35">
      <c r="A526" s="47" t="s">
        <v>137</v>
      </c>
      <c r="B526" s="48" t="s">
        <v>1394</v>
      </c>
      <c r="C526" s="49" t="s">
        <v>1375</v>
      </c>
      <c r="D526" s="50"/>
      <c r="E526" s="51">
        <v>1220000</v>
      </c>
      <c r="F526" s="52">
        <f t="shared" si="41"/>
        <v>97600</v>
      </c>
      <c r="G526" s="53">
        <f t="shared" si="42"/>
        <v>1317600</v>
      </c>
      <c r="H526" s="54">
        <v>1317600</v>
      </c>
      <c r="I526" s="55">
        <f t="shared" si="43"/>
        <v>0</v>
      </c>
      <c r="J526" s="56">
        <v>45622</v>
      </c>
      <c r="K526" s="57"/>
    </row>
    <row r="527" spans="1:11" ht="15.75" hidden="1" customHeight="1" x14ac:dyDescent="0.35">
      <c r="A527" s="47" t="s">
        <v>61</v>
      </c>
      <c r="B527" s="48" t="s">
        <v>1394</v>
      </c>
      <c r="C527" s="50" t="s">
        <v>1376</v>
      </c>
      <c r="D527" s="50"/>
      <c r="E527" s="51">
        <v>1022500</v>
      </c>
      <c r="F527" s="52"/>
      <c r="G527" s="53"/>
      <c r="H527" s="54"/>
      <c r="I527" s="55">
        <f t="shared" si="43"/>
        <v>0</v>
      </c>
      <c r="J527" s="56" t="s">
        <v>2126</v>
      </c>
      <c r="K527" s="57"/>
    </row>
    <row r="528" spans="1:11" ht="15.75" hidden="1" customHeight="1" x14ac:dyDescent="0.35">
      <c r="A528" s="47" t="s">
        <v>24</v>
      </c>
      <c r="B528" s="48" t="s">
        <v>1395</v>
      </c>
      <c r="C528" s="50" t="s">
        <v>1377</v>
      </c>
      <c r="D528" s="50"/>
      <c r="E528" s="51">
        <v>3272000</v>
      </c>
      <c r="F528" s="52">
        <f t="shared" si="41"/>
        <v>261760</v>
      </c>
      <c r="G528" s="53">
        <f t="shared" si="42"/>
        <v>3533760</v>
      </c>
      <c r="H528" s="54">
        <v>3533760</v>
      </c>
      <c r="I528" s="55">
        <f t="shared" si="43"/>
        <v>0</v>
      </c>
      <c r="J528" s="56">
        <v>45622</v>
      </c>
      <c r="K528" s="57"/>
    </row>
    <row r="529" spans="1:11" ht="15.75" hidden="1" customHeight="1" x14ac:dyDescent="0.35">
      <c r="A529" s="47" t="s">
        <v>31</v>
      </c>
      <c r="B529" s="48" t="s">
        <v>1395</v>
      </c>
      <c r="C529" s="49" t="s">
        <v>1378</v>
      </c>
      <c r="D529" s="50"/>
      <c r="E529" s="51">
        <v>1220000</v>
      </c>
      <c r="F529" s="52">
        <f t="shared" si="41"/>
        <v>97600</v>
      </c>
      <c r="G529" s="53">
        <f t="shared" si="42"/>
        <v>1317600</v>
      </c>
      <c r="H529" s="54">
        <v>1317600</v>
      </c>
      <c r="I529" s="55">
        <f t="shared" si="43"/>
        <v>0</v>
      </c>
      <c r="J529" s="56">
        <v>45622</v>
      </c>
      <c r="K529" s="57"/>
    </row>
    <row r="530" spans="1:11" ht="15.75" hidden="1" customHeight="1" x14ac:dyDescent="0.35">
      <c r="A530" s="47" t="s">
        <v>69</v>
      </c>
      <c r="B530" s="48" t="s">
        <v>1396</v>
      </c>
      <c r="C530" s="50" t="s">
        <v>1379</v>
      </c>
      <c r="D530" s="50"/>
      <c r="E530" s="51">
        <v>832000</v>
      </c>
      <c r="F530" s="52">
        <f t="shared" si="41"/>
        <v>66560</v>
      </c>
      <c r="G530" s="53">
        <f t="shared" si="42"/>
        <v>898560</v>
      </c>
      <c r="H530" s="54">
        <v>898560</v>
      </c>
      <c r="I530" s="55">
        <f t="shared" si="43"/>
        <v>0</v>
      </c>
      <c r="J530" s="56">
        <v>45622</v>
      </c>
      <c r="K530" s="57"/>
    </row>
    <row r="531" spans="1:11" ht="15.75" hidden="1" customHeight="1" x14ac:dyDescent="0.35">
      <c r="A531" s="47" t="s">
        <v>52</v>
      </c>
      <c r="B531" s="48" t="s">
        <v>1396</v>
      </c>
      <c r="C531" s="49" t="s">
        <v>1380</v>
      </c>
      <c r="D531" s="50"/>
      <c r="E531" s="51">
        <v>804000</v>
      </c>
      <c r="F531" s="52">
        <f t="shared" si="41"/>
        <v>64320</v>
      </c>
      <c r="G531" s="53">
        <f t="shared" si="42"/>
        <v>868320</v>
      </c>
      <c r="H531" s="54">
        <v>868320</v>
      </c>
      <c r="I531" s="55">
        <f t="shared" si="43"/>
        <v>0</v>
      </c>
      <c r="J531" s="56">
        <v>45622</v>
      </c>
      <c r="K531" s="57"/>
    </row>
    <row r="532" spans="1:11" ht="15.75" hidden="1" customHeight="1" x14ac:dyDescent="0.35">
      <c r="A532" s="47" t="s">
        <v>19</v>
      </c>
      <c r="B532" s="48" t="s">
        <v>1396</v>
      </c>
      <c r="C532" s="49" t="s">
        <v>1381</v>
      </c>
      <c r="D532" s="50"/>
      <c r="E532" s="51">
        <v>3272000</v>
      </c>
      <c r="F532" s="52">
        <f t="shared" si="41"/>
        <v>261760</v>
      </c>
      <c r="G532" s="53">
        <f t="shared" si="42"/>
        <v>3533760</v>
      </c>
      <c r="H532" s="54">
        <v>3533760</v>
      </c>
      <c r="I532" s="55">
        <f t="shared" si="43"/>
        <v>0</v>
      </c>
      <c r="J532" s="56">
        <v>45622</v>
      </c>
      <c r="K532" s="57"/>
    </row>
    <row r="533" spans="1:11" ht="15.75" hidden="1" customHeight="1" x14ac:dyDescent="0.35">
      <c r="A533" s="47" t="s">
        <v>61</v>
      </c>
      <c r="B533" s="48" t="s">
        <v>1397</v>
      </c>
      <c r="C533" s="49" t="s">
        <v>1382</v>
      </c>
      <c r="D533" s="50"/>
      <c r="E533" s="51">
        <v>520000</v>
      </c>
      <c r="F533" s="52">
        <f t="shared" si="41"/>
        <v>41600</v>
      </c>
      <c r="G533" s="53">
        <f t="shared" si="42"/>
        <v>561600</v>
      </c>
      <c r="H533" s="54">
        <v>561600</v>
      </c>
      <c r="I533" s="55">
        <f t="shared" si="43"/>
        <v>0</v>
      </c>
      <c r="J533" s="56">
        <v>45622</v>
      </c>
      <c r="K533" s="57"/>
    </row>
    <row r="534" spans="1:11" ht="15.75" hidden="1" customHeight="1" x14ac:dyDescent="0.35">
      <c r="A534" s="47" t="s">
        <v>87</v>
      </c>
      <c r="B534" s="48" t="s">
        <v>1397</v>
      </c>
      <c r="C534" s="49" t="s">
        <v>1383</v>
      </c>
      <c r="D534" s="50"/>
      <c r="E534" s="51">
        <v>1160000</v>
      </c>
      <c r="F534" s="52">
        <f t="shared" si="41"/>
        <v>92800</v>
      </c>
      <c r="G534" s="53">
        <f t="shared" si="42"/>
        <v>1252800</v>
      </c>
      <c r="H534" s="54">
        <v>1252800</v>
      </c>
      <c r="I534" s="55">
        <f t="shared" si="43"/>
        <v>0</v>
      </c>
      <c r="J534" s="56">
        <v>45622</v>
      </c>
      <c r="K534" s="57"/>
    </row>
    <row r="535" spans="1:11" ht="15.75" hidden="1" customHeight="1" x14ac:dyDescent="0.35">
      <c r="A535" s="47" t="s">
        <v>16</v>
      </c>
      <c r="B535" s="48" t="s">
        <v>1398</v>
      </c>
      <c r="C535" s="49" t="s">
        <v>1384</v>
      </c>
      <c r="D535" s="50"/>
      <c r="E535" s="51">
        <v>610000</v>
      </c>
      <c r="F535" s="52">
        <f t="shared" si="41"/>
        <v>48800</v>
      </c>
      <c r="G535" s="53">
        <f t="shared" si="42"/>
        <v>658800</v>
      </c>
      <c r="H535" s="54">
        <v>658800</v>
      </c>
      <c r="I535" s="55">
        <f t="shared" si="43"/>
        <v>0</v>
      </c>
      <c r="J535" s="56">
        <v>45622</v>
      </c>
      <c r="K535" s="57"/>
    </row>
    <row r="536" spans="1:11" ht="15.75" hidden="1" customHeight="1" x14ac:dyDescent="0.35">
      <c r="A536" s="47" t="s">
        <v>47</v>
      </c>
      <c r="B536" s="48" t="s">
        <v>1398</v>
      </c>
      <c r="C536" s="50" t="s">
        <v>1385</v>
      </c>
      <c r="D536" s="50"/>
      <c r="E536" s="51">
        <v>1664000</v>
      </c>
      <c r="F536" s="52">
        <f t="shared" si="41"/>
        <v>133120</v>
      </c>
      <c r="G536" s="53">
        <f t="shared" si="42"/>
        <v>1797120</v>
      </c>
      <c r="H536" s="54">
        <v>1797120</v>
      </c>
      <c r="I536" s="55">
        <f t="shared" si="43"/>
        <v>0</v>
      </c>
      <c r="J536" s="56">
        <v>45622</v>
      </c>
      <c r="K536" s="57"/>
    </row>
    <row r="537" spans="1:11" ht="15.75" hidden="1" customHeight="1" x14ac:dyDescent="0.35">
      <c r="A537" s="47" t="s">
        <v>164</v>
      </c>
      <c r="B537" s="48" t="s">
        <v>1399</v>
      </c>
      <c r="C537" s="49" t="s">
        <v>1386</v>
      </c>
      <c r="D537" s="50"/>
      <c r="E537" s="51">
        <v>818000</v>
      </c>
      <c r="F537" s="52">
        <f t="shared" si="41"/>
        <v>65440</v>
      </c>
      <c r="G537" s="53">
        <f t="shared" si="42"/>
        <v>883440</v>
      </c>
      <c r="H537" s="54">
        <v>883440</v>
      </c>
      <c r="I537" s="55">
        <f t="shared" si="43"/>
        <v>0</v>
      </c>
      <c r="J537" s="56">
        <v>45622</v>
      </c>
      <c r="K537" s="57"/>
    </row>
    <row r="538" spans="1:11" ht="15.75" hidden="1" customHeight="1" x14ac:dyDescent="0.35">
      <c r="A538" s="47" t="s">
        <v>49</v>
      </c>
      <c r="B538" s="48" t="s">
        <v>1399</v>
      </c>
      <c r="C538" s="49" t="s">
        <v>1387</v>
      </c>
      <c r="D538" s="50"/>
      <c r="E538" s="51">
        <v>1636000</v>
      </c>
      <c r="F538" s="52">
        <f t="shared" si="41"/>
        <v>130880</v>
      </c>
      <c r="G538" s="53">
        <f t="shared" si="42"/>
        <v>1766880</v>
      </c>
      <c r="H538" s="54">
        <v>1766880</v>
      </c>
      <c r="I538" s="55">
        <f t="shared" si="43"/>
        <v>0</v>
      </c>
      <c r="J538" s="56">
        <v>45622</v>
      </c>
      <c r="K538" s="57"/>
    </row>
    <row r="539" spans="1:11" ht="15.75" hidden="1" customHeight="1" x14ac:dyDescent="0.35">
      <c r="A539" s="47" t="s">
        <v>70</v>
      </c>
      <c r="B539" s="48" t="s">
        <v>1400</v>
      </c>
      <c r="C539" s="49" t="s">
        <v>1388</v>
      </c>
      <c r="D539" s="50"/>
      <c r="E539" s="51">
        <v>416000</v>
      </c>
      <c r="F539" s="52">
        <f t="shared" si="41"/>
        <v>33280</v>
      </c>
      <c r="G539" s="53">
        <f t="shared" si="42"/>
        <v>449280</v>
      </c>
      <c r="H539" s="54">
        <v>449280</v>
      </c>
      <c r="I539" s="55">
        <f t="shared" si="43"/>
        <v>0</v>
      </c>
      <c r="J539" s="56">
        <v>45622</v>
      </c>
      <c r="K539" s="57"/>
    </row>
    <row r="540" spans="1:11" ht="15.75" hidden="1" customHeight="1" x14ac:dyDescent="0.35">
      <c r="A540" s="47" t="s">
        <v>83</v>
      </c>
      <c r="B540" s="48" t="s">
        <v>1400</v>
      </c>
      <c r="C540" s="49" t="s">
        <v>1389</v>
      </c>
      <c r="D540" s="50"/>
      <c r="E540" s="51">
        <v>804000</v>
      </c>
      <c r="F540" s="52">
        <f t="shared" si="41"/>
        <v>64320</v>
      </c>
      <c r="G540" s="53">
        <f t="shared" si="42"/>
        <v>868320</v>
      </c>
      <c r="H540" s="54">
        <v>868320</v>
      </c>
      <c r="I540" s="55">
        <f t="shared" si="43"/>
        <v>0</v>
      </c>
      <c r="J540" s="56">
        <v>45622</v>
      </c>
      <c r="K540" s="57"/>
    </row>
    <row r="541" spans="1:11" ht="15.75" hidden="1" customHeight="1" x14ac:dyDescent="0.35">
      <c r="A541" s="47" t="s">
        <v>125</v>
      </c>
      <c r="B541" s="48" t="s">
        <v>1400</v>
      </c>
      <c r="C541" s="49" t="s">
        <v>1390</v>
      </c>
      <c r="D541" s="50"/>
      <c r="E541" s="51">
        <v>804000</v>
      </c>
      <c r="F541" s="52">
        <f t="shared" si="41"/>
        <v>64320</v>
      </c>
      <c r="G541" s="53">
        <f t="shared" si="42"/>
        <v>868320</v>
      </c>
      <c r="H541" s="54">
        <v>868320</v>
      </c>
      <c r="I541" s="55">
        <f t="shared" si="43"/>
        <v>0</v>
      </c>
      <c r="J541" s="56">
        <v>45622</v>
      </c>
      <c r="K541" s="57"/>
    </row>
    <row r="542" spans="1:11" ht="15.75" hidden="1" customHeight="1" x14ac:dyDescent="0.35">
      <c r="A542" s="47" t="s">
        <v>47</v>
      </c>
      <c r="B542" s="48" t="s">
        <v>1401</v>
      </c>
      <c r="C542" s="49" t="s">
        <v>397</v>
      </c>
      <c r="D542" s="50"/>
      <c r="E542" s="51">
        <v>804000</v>
      </c>
      <c r="F542" s="52">
        <f t="shared" si="41"/>
        <v>64320</v>
      </c>
      <c r="G542" s="53">
        <f t="shared" si="42"/>
        <v>868320</v>
      </c>
      <c r="H542" s="54">
        <v>868320</v>
      </c>
      <c r="I542" s="55">
        <f t="shared" si="43"/>
        <v>0</v>
      </c>
      <c r="J542" s="56">
        <v>45622</v>
      </c>
      <c r="K542" s="57"/>
    </row>
    <row r="543" spans="1:11" ht="15.75" hidden="1" customHeight="1" x14ac:dyDescent="0.35">
      <c r="A543" s="47" t="s">
        <v>39</v>
      </c>
      <c r="B543" s="48" t="s">
        <v>1401</v>
      </c>
      <c r="C543" s="49" t="s">
        <v>1391</v>
      </c>
      <c r="D543" s="50"/>
      <c r="E543" s="51">
        <v>1220000</v>
      </c>
      <c r="F543" s="52">
        <f t="shared" si="41"/>
        <v>97600</v>
      </c>
      <c r="G543" s="53">
        <f t="shared" si="42"/>
        <v>1317600</v>
      </c>
      <c r="H543" s="54">
        <v>1317600</v>
      </c>
      <c r="I543" s="55">
        <f t="shared" si="43"/>
        <v>0</v>
      </c>
      <c r="J543" s="56">
        <v>45622</v>
      </c>
      <c r="K543" s="57"/>
    </row>
    <row r="544" spans="1:11" ht="15.75" hidden="1" customHeight="1" x14ac:dyDescent="0.35">
      <c r="A544" s="47" t="s">
        <v>32</v>
      </c>
      <c r="B544" s="48" t="s">
        <v>1401</v>
      </c>
      <c r="C544" s="49" t="s">
        <v>1392</v>
      </c>
      <c r="D544" s="50"/>
      <c r="E544" s="51">
        <v>804000</v>
      </c>
      <c r="F544" s="52">
        <f t="shared" si="41"/>
        <v>64320</v>
      </c>
      <c r="G544" s="53">
        <f t="shared" si="42"/>
        <v>868320</v>
      </c>
      <c r="H544" s="54">
        <v>868320</v>
      </c>
      <c r="I544" s="55">
        <f t="shared" si="43"/>
        <v>0</v>
      </c>
      <c r="J544" s="56">
        <v>45622</v>
      </c>
      <c r="K544" s="57"/>
    </row>
    <row r="545" spans="1:11" ht="15.75" hidden="1" customHeight="1" x14ac:dyDescent="0.35">
      <c r="A545" s="47" t="s">
        <v>19</v>
      </c>
      <c r="B545" s="48" t="s">
        <v>1401</v>
      </c>
      <c r="C545" s="50" t="s">
        <v>1393</v>
      </c>
      <c r="D545" s="50"/>
      <c r="E545" s="51">
        <v>3272000</v>
      </c>
      <c r="F545" s="52">
        <f t="shared" si="41"/>
        <v>261760</v>
      </c>
      <c r="G545" s="53">
        <f t="shared" si="42"/>
        <v>3533760</v>
      </c>
      <c r="H545" s="54">
        <v>3533760</v>
      </c>
      <c r="I545" s="55">
        <f t="shared" si="43"/>
        <v>0</v>
      </c>
      <c r="J545" s="56">
        <v>45622</v>
      </c>
      <c r="K545" s="57"/>
    </row>
    <row r="546" spans="1:11" ht="15.75" hidden="1" customHeight="1" x14ac:dyDescent="0.35">
      <c r="A546" s="47" t="s">
        <v>20</v>
      </c>
      <c r="B546" s="48" t="s">
        <v>1415</v>
      </c>
      <c r="C546" s="49" t="s">
        <v>1402</v>
      </c>
      <c r="D546" s="50"/>
      <c r="E546" s="51">
        <v>818000</v>
      </c>
      <c r="F546" s="52">
        <f t="shared" si="41"/>
        <v>65440</v>
      </c>
      <c r="G546" s="53">
        <f t="shared" si="42"/>
        <v>883440</v>
      </c>
      <c r="H546" s="54">
        <v>883440</v>
      </c>
      <c r="I546" s="55">
        <f t="shared" si="43"/>
        <v>0</v>
      </c>
      <c r="J546" s="56">
        <v>45622</v>
      </c>
      <c r="K546" s="57"/>
    </row>
    <row r="547" spans="1:11" ht="15.75" hidden="1" customHeight="1" x14ac:dyDescent="0.35">
      <c r="A547" s="47" t="s">
        <v>61</v>
      </c>
      <c r="B547" s="48" t="s">
        <v>1415</v>
      </c>
      <c r="C547" s="49" t="s">
        <v>1403</v>
      </c>
      <c r="D547" s="50"/>
      <c r="E547" s="51">
        <v>804000</v>
      </c>
      <c r="F547" s="52">
        <f t="shared" si="41"/>
        <v>64320</v>
      </c>
      <c r="G547" s="53">
        <f t="shared" si="42"/>
        <v>868320</v>
      </c>
      <c r="H547" s="54">
        <v>868320</v>
      </c>
      <c r="I547" s="55">
        <f t="shared" si="43"/>
        <v>0</v>
      </c>
      <c r="J547" s="56">
        <v>45622</v>
      </c>
      <c r="K547" s="57"/>
    </row>
    <row r="548" spans="1:11" ht="15.75" hidden="1" customHeight="1" x14ac:dyDescent="0.35">
      <c r="A548" s="47" t="s">
        <v>1413</v>
      </c>
      <c r="B548" s="48" t="s">
        <v>1416</v>
      </c>
      <c r="C548" s="49" t="s">
        <v>1404</v>
      </c>
      <c r="D548" s="50"/>
      <c r="E548" s="51">
        <v>1636000</v>
      </c>
      <c r="F548" s="52">
        <f t="shared" si="41"/>
        <v>130880</v>
      </c>
      <c r="G548" s="53">
        <f t="shared" si="42"/>
        <v>1766880</v>
      </c>
      <c r="H548" s="54">
        <v>1766880</v>
      </c>
      <c r="I548" s="55">
        <f t="shared" si="43"/>
        <v>0</v>
      </c>
      <c r="J548" s="56">
        <v>45622</v>
      </c>
      <c r="K548" s="57"/>
    </row>
    <row r="549" spans="1:11" ht="15.75" hidden="1" customHeight="1" x14ac:dyDescent="0.35">
      <c r="A549" s="47" t="s">
        <v>92</v>
      </c>
      <c r="B549" s="48" t="s">
        <v>1416</v>
      </c>
      <c r="C549" s="49" t="s">
        <v>1405</v>
      </c>
      <c r="D549" s="50"/>
      <c r="E549" s="51">
        <v>818000</v>
      </c>
      <c r="F549" s="52">
        <f t="shared" si="41"/>
        <v>65440</v>
      </c>
      <c r="G549" s="53">
        <f t="shared" si="42"/>
        <v>883440</v>
      </c>
      <c r="H549" s="54">
        <v>883440</v>
      </c>
      <c r="I549" s="55">
        <f t="shared" si="43"/>
        <v>0</v>
      </c>
      <c r="J549" s="56">
        <v>45622</v>
      </c>
      <c r="K549" s="57"/>
    </row>
    <row r="550" spans="1:11" ht="15.75" hidden="1" customHeight="1" x14ac:dyDescent="0.35">
      <c r="A550" s="47" t="s">
        <v>21</v>
      </c>
      <c r="B550" s="48" t="s">
        <v>1416</v>
      </c>
      <c r="C550" s="49" t="s">
        <v>1406</v>
      </c>
      <c r="D550" s="50"/>
      <c r="E550" s="51">
        <v>804000</v>
      </c>
      <c r="F550" s="52">
        <f t="shared" si="41"/>
        <v>64320</v>
      </c>
      <c r="G550" s="53">
        <f t="shared" si="42"/>
        <v>868320</v>
      </c>
      <c r="H550" s="54">
        <v>868320</v>
      </c>
      <c r="I550" s="55">
        <f t="shared" si="43"/>
        <v>0</v>
      </c>
      <c r="J550" s="56">
        <v>45622</v>
      </c>
      <c r="K550" s="57"/>
    </row>
    <row r="551" spans="1:11" ht="15.75" hidden="1" customHeight="1" x14ac:dyDescent="0.35">
      <c r="A551" s="47" t="s">
        <v>167</v>
      </c>
      <c r="B551" s="48" t="s">
        <v>1417</v>
      </c>
      <c r="C551" s="49" t="s">
        <v>1407</v>
      </c>
      <c r="D551" s="50"/>
      <c r="E551" s="51">
        <v>804000</v>
      </c>
      <c r="F551" s="52">
        <f t="shared" si="41"/>
        <v>64320</v>
      </c>
      <c r="G551" s="53">
        <f t="shared" si="42"/>
        <v>868320</v>
      </c>
      <c r="H551" s="54">
        <v>868320</v>
      </c>
      <c r="I551" s="55">
        <f t="shared" si="43"/>
        <v>0</v>
      </c>
      <c r="J551" s="56">
        <v>45622</v>
      </c>
      <c r="K551" s="57"/>
    </row>
    <row r="552" spans="1:11" ht="15.75" hidden="1" customHeight="1" x14ac:dyDescent="0.35">
      <c r="A552" s="47" t="s">
        <v>1414</v>
      </c>
      <c r="B552" s="48" t="s">
        <v>1417</v>
      </c>
      <c r="C552" s="49" t="s">
        <v>1408</v>
      </c>
      <c r="D552" s="50"/>
      <c r="E552" s="51">
        <v>374400</v>
      </c>
      <c r="F552" s="52">
        <f t="shared" si="41"/>
        <v>29952</v>
      </c>
      <c r="G552" s="53">
        <f t="shared" si="42"/>
        <v>404352</v>
      </c>
      <c r="H552" s="54">
        <v>404352</v>
      </c>
      <c r="I552" s="55">
        <f t="shared" si="43"/>
        <v>0</v>
      </c>
      <c r="J552" s="56">
        <v>45622</v>
      </c>
      <c r="K552" s="57"/>
    </row>
    <row r="553" spans="1:11" ht="15.75" hidden="1" customHeight="1" x14ac:dyDescent="0.35">
      <c r="A553" s="47" t="s">
        <v>106</v>
      </c>
      <c r="B553" s="48" t="s">
        <v>1418</v>
      </c>
      <c r="C553" s="49" t="s">
        <v>1409</v>
      </c>
      <c r="D553" s="50"/>
      <c r="E553" s="51">
        <v>804000</v>
      </c>
      <c r="F553" s="52">
        <f t="shared" si="41"/>
        <v>64320</v>
      </c>
      <c r="G553" s="53">
        <f t="shared" si="42"/>
        <v>868320</v>
      </c>
      <c r="H553" s="54">
        <v>868320</v>
      </c>
      <c r="I553" s="55">
        <f t="shared" si="43"/>
        <v>0</v>
      </c>
      <c r="J553" s="56">
        <v>45622</v>
      </c>
      <c r="K553" s="57"/>
    </row>
    <row r="554" spans="1:11" ht="15.75" hidden="1" customHeight="1" x14ac:dyDescent="0.35">
      <c r="A554" s="47" t="s">
        <v>82</v>
      </c>
      <c r="B554" s="48" t="s">
        <v>1418</v>
      </c>
      <c r="C554" s="49" t="s">
        <v>1410</v>
      </c>
      <c r="D554" s="50"/>
      <c r="E554" s="51">
        <v>1636000</v>
      </c>
      <c r="F554" s="52">
        <f t="shared" si="41"/>
        <v>130880</v>
      </c>
      <c r="G554" s="53">
        <f t="shared" si="42"/>
        <v>1766880</v>
      </c>
      <c r="H554" s="54">
        <v>1766880</v>
      </c>
      <c r="I554" s="55">
        <f t="shared" si="43"/>
        <v>0</v>
      </c>
      <c r="J554" s="56">
        <v>45622</v>
      </c>
      <c r="K554" s="57"/>
    </row>
    <row r="555" spans="1:11" ht="15.75" hidden="1" customHeight="1" x14ac:dyDescent="0.35">
      <c r="A555" s="47" t="s">
        <v>72</v>
      </c>
      <c r="B555" s="48" t="s">
        <v>1418</v>
      </c>
      <c r="C555" s="49" t="s">
        <v>411</v>
      </c>
      <c r="D555" s="50"/>
      <c r="E555" s="51">
        <v>832000</v>
      </c>
      <c r="F555" s="52">
        <f t="shared" si="41"/>
        <v>66560</v>
      </c>
      <c r="G555" s="53">
        <f t="shared" si="42"/>
        <v>898560</v>
      </c>
      <c r="H555" s="54">
        <v>898560</v>
      </c>
      <c r="I555" s="55">
        <f t="shared" si="43"/>
        <v>0</v>
      </c>
      <c r="J555" s="56">
        <v>45622</v>
      </c>
      <c r="K555" s="57"/>
    </row>
    <row r="556" spans="1:11" ht="15.75" hidden="1" customHeight="1" x14ac:dyDescent="0.35">
      <c r="A556" s="47" t="s">
        <v>54</v>
      </c>
      <c r="B556" s="48" t="s">
        <v>1419</v>
      </c>
      <c r="C556" s="49" t="s">
        <v>1411</v>
      </c>
      <c r="D556" s="50"/>
      <c r="E556" s="51">
        <v>804000</v>
      </c>
      <c r="F556" s="52">
        <f t="shared" si="41"/>
        <v>64320</v>
      </c>
      <c r="G556" s="53">
        <f t="shared" si="42"/>
        <v>868320</v>
      </c>
      <c r="H556" s="54">
        <v>868320</v>
      </c>
      <c r="I556" s="55">
        <f t="shared" si="43"/>
        <v>0</v>
      </c>
      <c r="J556" s="56">
        <v>45622</v>
      </c>
      <c r="K556" s="57"/>
    </row>
    <row r="557" spans="1:11" ht="15.75" hidden="1" customHeight="1" x14ac:dyDescent="0.35">
      <c r="A557" s="47" t="s">
        <v>104</v>
      </c>
      <c r="B557" s="48" t="s">
        <v>1419</v>
      </c>
      <c r="C557" s="49" t="s">
        <v>415</v>
      </c>
      <c r="D557" s="50"/>
      <c r="E557" s="51">
        <v>1636000</v>
      </c>
      <c r="F557" s="52">
        <f t="shared" si="41"/>
        <v>130880</v>
      </c>
      <c r="G557" s="53">
        <f t="shared" si="42"/>
        <v>1766880</v>
      </c>
      <c r="H557" s="54">
        <v>1766880</v>
      </c>
      <c r="I557" s="55">
        <f t="shared" si="43"/>
        <v>0</v>
      </c>
      <c r="J557" s="56">
        <v>45622</v>
      </c>
      <c r="K557" s="57"/>
    </row>
    <row r="558" spans="1:11" ht="15.75" hidden="1" customHeight="1" x14ac:dyDescent="0.35">
      <c r="A558" s="47" t="s">
        <v>19</v>
      </c>
      <c r="B558" s="48" t="s">
        <v>1420</v>
      </c>
      <c r="C558" s="50" t="s">
        <v>1412</v>
      </c>
      <c r="D558" s="50"/>
      <c r="E558" s="51">
        <v>4908000</v>
      </c>
      <c r="F558" s="52">
        <f t="shared" si="41"/>
        <v>392640</v>
      </c>
      <c r="G558" s="53">
        <f t="shared" si="42"/>
        <v>5300640</v>
      </c>
      <c r="H558" s="54">
        <v>5300640</v>
      </c>
      <c r="I558" s="55">
        <f t="shared" si="43"/>
        <v>0</v>
      </c>
      <c r="J558" s="56">
        <v>45644</v>
      </c>
      <c r="K558" s="57"/>
    </row>
    <row r="559" spans="1:11" ht="15.75" hidden="1" customHeight="1" x14ac:dyDescent="0.35">
      <c r="A559" s="47" t="s">
        <v>176</v>
      </c>
      <c r="B559" s="48" t="s">
        <v>1571</v>
      </c>
      <c r="C559" s="49" t="s">
        <v>1422</v>
      </c>
      <c r="D559" s="50"/>
      <c r="E559" s="51">
        <v>818000</v>
      </c>
      <c r="F559" s="52">
        <f t="shared" si="41"/>
        <v>65440</v>
      </c>
      <c r="G559" s="53">
        <f t="shared" si="42"/>
        <v>883440</v>
      </c>
      <c r="H559" s="54">
        <v>883440</v>
      </c>
      <c r="I559" s="55">
        <f t="shared" si="43"/>
        <v>0</v>
      </c>
      <c r="J559" s="56">
        <v>45622</v>
      </c>
      <c r="K559" s="57"/>
    </row>
    <row r="560" spans="1:11" ht="15.75" hidden="1" customHeight="1" x14ac:dyDescent="0.35">
      <c r="A560" s="47" t="s">
        <v>84</v>
      </c>
      <c r="B560" s="48" t="s">
        <v>1571</v>
      </c>
      <c r="C560" s="49" t="s">
        <v>1423</v>
      </c>
      <c r="D560" s="50"/>
      <c r="E560" s="51">
        <v>804000</v>
      </c>
      <c r="F560" s="52">
        <f t="shared" si="41"/>
        <v>64320</v>
      </c>
      <c r="G560" s="53">
        <f t="shared" si="42"/>
        <v>868320</v>
      </c>
      <c r="H560" s="54">
        <v>868320</v>
      </c>
      <c r="I560" s="55">
        <f t="shared" si="43"/>
        <v>0</v>
      </c>
      <c r="J560" s="56">
        <v>45622</v>
      </c>
      <c r="K560" s="57"/>
    </row>
    <row r="561" spans="1:11" ht="15.75" hidden="1" customHeight="1" x14ac:dyDescent="0.35">
      <c r="A561" s="47" t="s">
        <v>127</v>
      </c>
      <c r="B561" s="48" t="s">
        <v>1571</v>
      </c>
      <c r="C561" s="49" t="s">
        <v>1424</v>
      </c>
      <c r="D561" s="50"/>
      <c r="E561" s="51">
        <v>1636000</v>
      </c>
      <c r="F561" s="52">
        <f t="shared" si="41"/>
        <v>130880</v>
      </c>
      <c r="G561" s="53">
        <f t="shared" si="42"/>
        <v>1766880</v>
      </c>
      <c r="H561" s="54">
        <v>1766880</v>
      </c>
      <c r="I561" s="55">
        <f t="shared" si="43"/>
        <v>0</v>
      </c>
      <c r="J561" s="56">
        <v>45622</v>
      </c>
      <c r="K561" s="57"/>
    </row>
    <row r="562" spans="1:11" ht="15.75" hidden="1" customHeight="1" x14ac:dyDescent="0.35">
      <c r="A562" s="47" t="s">
        <v>47</v>
      </c>
      <c r="B562" s="48" t="s">
        <v>1571</v>
      </c>
      <c r="C562" s="50" t="s">
        <v>1425</v>
      </c>
      <c r="D562" s="50"/>
      <c r="E562" s="51">
        <v>1636000</v>
      </c>
      <c r="F562" s="52"/>
      <c r="G562" s="53"/>
      <c r="H562" s="54"/>
      <c r="I562" s="55">
        <f t="shared" si="43"/>
        <v>0</v>
      </c>
      <c r="J562" s="56" t="s">
        <v>2128</v>
      </c>
      <c r="K562" s="57"/>
    </row>
    <row r="563" spans="1:11" ht="15.75" hidden="1" customHeight="1" x14ac:dyDescent="0.35">
      <c r="A563" s="47" t="s">
        <v>93</v>
      </c>
      <c r="B563" s="48" t="s">
        <v>1571</v>
      </c>
      <c r="C563" s="49" t="s">
        <v>1426</v>
      </c>
      <c r="D563" s="50"/>
      <c r="E563" s="51">
        <v>804000</v>
      </c>
      <c r="F563" s="52">
        <f t="shared" si="41"/>
        <v>64320</v>
      </c>
      <c r="G563" s="53">
        <f t="shared" si="42"/>
        <v>868320</v>
      </c>
      <c r="H563" s="54">
        <v>868320</v>
      </c>
      <c r="I563" s="55">
        <f t="shared" si="43"/>
        <v>0</v>
      </c>
      <c r="J563" s="56">
        <v>45622</v>
      </c>
      <c r="K563" s="57"/>
    </row>
    <row r="564" spans="1:11" ht="15.75" hidden="1" customHeight="1" x14ac:dyDescent="0.35">
      <c r="A564" s="47" t="s">
        <v>20</v>
      </c>
      <c r="B564" s="48" t="s">
        <v>1572</v>
      </c>
      <c r="C564" s="49" t="s">
        <v>425</v>
      </c>
      <c r="D564" s="50"/>
      <c r="E564" s="51">
        <v>402000</v>
      </c>
      <c r="F564" s="52">
        <f t="shared" si="41"/>
        <v>32160</v>
      </c>
      <c r="G564" s="53">
        <f t="shared" si="42"/>
        <v>434160</v>
      </c>
      <c r="H564" s="54">
        <v>434160</v>
      </c>
      <c r="I564" s="55">
        <f t="shared" si="43"/>
        <v>0</v>
      </c>
      <c r="J564" s="56">
        <v>45622</v>
      </c>
      <c r="K564" s="57"/>
    </row>
    <row r="565" spans="1:11" ht="15.75" hidden="1" customHeight="1" x14ac:dyDescent="0.35">
      <c r="A565" s="47" t="s">
        <v>32</v>
      </c>
      <c r="B565" s="48" t="s">
        <v>1572</v>
      </c>
      <c r="C565" s="49" t="s">
        <v>1427</v>
      </c>
      <c r="D565" s="50"/>
      <c r="E565" s="51">
        <v>832000</v>
      </c>
      <c r="F565" s="52">
        <f t="shared" ref="F565:F628" si="44">+E565*0.08</f>
        <v>66560</v>
      </c>
      <c r="G565" s="53">
        <f t="shared" ref="G565:G628" si="45">E565+F565</f>
        <v>898560</v>
      </c>
      <c r="H565" s="54">
        <v>898560</v>
      </c>
      <c r="I565" s="55">
        <f t="shared" si="43"/>
        <v>0</v>
      </c>
      <c r="J565" s="56">
        <v>45622</v>
      </c>
      <c r="K565" s="57"/>
    </row>
    <row r="566" spans="1:11" ht="15.75" hidden="1" customHeight="1" x14ac:dyDescent="0.35">
      <c r="A566" s="47" t="s">
        <v>308</v>
      </c>
      <c r="B566" s="48" t="s">
        <v>1573</v>
      </c>
      <c r="C566" s="49" t="s">
        <v>1428</v>
      </c>
      <c r="D566" s="50"/>
      <c r="E566" s="51">
        <v>818000</v>
      </c>
      <c r="F566" s="52">
        <f t="shared" si="44"/>
        <v>65440</v>
      </c>
      <c r="G566" s="53">
        <f t="shared" si="45"/>
        <v>883440</v>
      </c>
      <c r="H566" s="54">
        <v>883440</v>
      </c>
      <c r="I566" s="55">
        <f t="shared" si="43"/>
        <v>0</v>
      </c>
      <c r="J566" s="56">
        <v>45644</v>
      </c>
      <c r="K566" s="57"/>
    </row>
    <row r="567" spans="1:11" ht="15.75" hidden="1" customHeight="1" x14ac:dyDescent="0.35">
      <c r="A567" s="47" t="s">
        <v>52</v>
      </c>
      <c r="B567" s="48" t="s">
        <v>1573</v>
      </c>
      <c r="C567" s="49" t="s">
        <v>1429</v>
      </c>
      <c r="D567" s="50"/>
      <c r="E567" s="51">
        <v>2045000</v>
      </c>
      <c r="F567" s="52">
        <f t="shared" si="44"/>
        <v>163600</v>
      </c>
      <c r="G567" s="53">
        <f t="shared" si="45"/>
        <v>2208600</v>
      </c>
      <c r="H567" s="54">
        <v>2208600</v>
      </c>
      <c r="I567" s="55">
        <f t="shared" si="43"/>
        <v>0</v>
      </c>
      <c r="J567" s="56">
        <v>45644</v>
      </c>
      <c r="K567" s="57"/>
    </row>
    <row r="568" spans="1:11" ht="15.75" hidden="1" customHeight="1" x14ac:dyDescent="0.35">
      <c r="A568" s="47" t="s">
        <v>24</v>
      </c>
      <c r="B568" s="48" t="s">
        <v>1573</v>
      </c>
      <c r="C568" s="49" t="s">
        <v>1430</v>
      </c>
      <c r="D568" s="50"/>
      <c r="E568" s="51">
        <v>1636000</v>
      </c>
      <c r="F568" s="52">
        <f t="shared" si="44"/>
        <v>130880</v>
      </c>
      <c r="G568" s="53">
        <f t="shared" si="45"/>
        <v>1766880</v>
      </c>
      <c r="H568" s="54">
        <v>1766880</v>
      </c>
      <c r="I568" s="55">
        <f t="shared" si="43"/>
        <v>0</v>
      </c>
      <c r="J568" s="56">
        <v>45644</v>
      </c>
      <c r="K568" s="57"/>
    </row>
    <row r="569" spans="1:11" ht="15.75" hidden="1" customHeight="1" x14ac:dyDescent="0.35">
      <c r="A569" s="47" t="s">
        <v>47</v>
      </c>
      <c r="B569" s="48" t="s">
        <v>1574</v>
      </c>
      <c r="C569" s="49" t="s">
        <v>1431</v>
      </c>
      <c r="D569" s="50"/>
      <c r="E569" s="51">
        <v>1636000</v>
      </c>
      <c r="F569" s="52">
        <f t="shared" si="44"/>
        <v>130880</v>
      </c>
      <c r="G569" s="53">
        <f t="shared" si="45"/>
        <v>1766880</v>
      </c>
      <c r="H569" s="54">
        <v>1766880</v>
      </c>
      <c r="I569" s="55">
        <f t="shared" ref="I569:I632" si="46">G569-H569</f>
        <v>0</v>
      </c>
      <c r="J569" s="56">
        <v>45644</v>
      </c>
      <c r="K569" s="57"/>
    </row>
    <row r="570" spans="1:11" ht="15.75" hidden="1" customHeight="1" x14ac:dyDescent="0.35">
      <c r="A570" s="47" t="s">
        <v>53</v>
      </c>
      <c r="B570" s="48" t="s">
        <v>1574</v>
      </c>
      <c r="C570" s="49" t="s">
        <v>1432</v>
      </c>
      <c r="D570" s="50"/>
      <c r="E570" s="51">
        <v>2045000</v>
      </c>
      <c r="F570" s="52">
        <f t="shared" si="44"/>
        <v>163600</v>
      </c>
      <c r="G570" s="53">
        <f t="shared" si="45"/>
        <v>2208600</v>
      </c>
      <c r="H570" s="54">
        <v>2208600</v>
      </c>
      <c r="I570" s="55">
        <f t="shared" si="46"/>
        <v>0</v>
      </c>
      <c r="J570" s="56">
        <v>45644</v>
      </c>
      <c r="K570" s="57"/>
    </row>
    <row r="571" spans="1:11" ht="15.75" hidden="1" customHeight="1" x14ac:dyDescent="0.35">
      <c r="A571" s="47" t="s">
        <v>54</v>
      </c>
      <c r="B571" s="48" t="s">
        <v>1575</v>
      </c>
      <c r="C571" s="49" t="s">
        <v>1433</v>
      </c>
      <c r="D571" s="50"/>
      <c r="E571" s="51">
        <v>2045000</v>
      </c>
      <c r="F571" s="52">
        <f t="shared" si="44"/>
        <v>163600</v>
      </c>
      <c r="G571" s="53">
        <f t="shared" si="45"/>
        <v>2208600</v>
      </c>
      <c r="H571" s="54">
        <v>2208600</v>
      </c>
      <c r="I571" s="55">
        <f t="shared" si="46"/>
        <v>0</v>
      </c>
      <c r="J571" s="56">
        <v>45644</v>
      </c>
      <c r="K571" s="57"/>
    </row>
    <row r="572" spans="1:11" ht="15.75" hidden="1" customHeight="1" x14ac:dyDescent="0.35">
      <c r="A572" s="47" t="s">
        <v>39</v>
      </c>
      <c r="B572" s="48" t="s">
        <v>1575</v>
      </c>
      <c r="C572" s="49" t="s">
        <v>1434</v>
      </c>
      <c r="D572" s="50"/>
      <c r="E572" s="51">
        <v>2045000</v>
      </c>
      <c r="F572" s="52">
        <f t="shared" si="44"/>
        <v>163600</v>
      </c>
      <c r="G572" s="53">
        <f t="shared" si="45"/>
        <v>2208600</v>
      </c>
      <c r="H572" s="54">
        <v>2208600</v>
      </c>
      <c r="I572" s="55">
        <f t="shared" si="46"/>
        <v>0</v>
      </c>
      <c r="J572" s="56">
        <v>45644</v>
      </c>
      <c r="K572" s="57"/>
    </row>
    <row r="573" spans="1:11" ht="15.75" hidden="1" customHeight="1" x14ac:dyDescent="0.35">
      <c r="A573" s="47" t="s">
        <v>83</v>
      </c>
      <c r="B573" s="48" t="s">
        <v>1575</v>
      </c>
      <c r="C573" s="49" t="s">
        <v>1435</v>
      </c>
      <c r="D573" s="50"/>
      <c r="E573" s="51">
        <v>1005000</v>
      </c>
      <c r="F573" s="52">
        <f t="shared" si="44"/>
        <v>80400</v>
      </c>
      <c r="G573" s="53">
        <f t="shared" si="45"/>
        <v>1085400</v>
      </c>
      <c r="H573" s="54">
        <v>1085400</v>
      </c>
      <c r="I573" s="55">
        <f t="shared" si="46"/>
        <v>0</v>
      </c>
      <c r="J573" s="56">
        <v>45644</v>
      </c>
      <c r="K573" s="57"/>
    </row>
    <row r="574" spans="1:11" ht="15.75" hidden="1" customHeight="1" x14ac:dyDescent="0.35">
      <c r="A574" s="47" t="s">
        <v>31</v>
      </c>
      <c r="B574" s="48" t="s">
        <v>1575</v>
      </c>
      <c r="C574" s="49" t="s">
        <v>1436</v>
      </c>
      <c r="D574" s="50"/>
      <c r="E574" s="51">
        <v>2045000</v>
      </c>
      <c r="F574" s="52">
        <f t="shared" si="44"/>
        <v>163600</v>
      </c>
      <c r="G574" s="53">
        <f t="shared" si="45"/>
        <v>2208600</v>
      </c>
      <c r="H574" s="54">
        <v>2208600</v>
      </c>
      <c r="I574" s="55">
        <f t="shared" si="46"/>
        <v>0</v>
      </c>
      <c r="J574" s="56">
        <v>45644</v>
      </c>
      <c r="K574" s="57"/>
    </row>
    <row r="575" spans="1:11" ht="15.75" hidden="1" customHeight="1" x14ac:dyDescent="0.35">
      <c r="A575" s="47" t="s">
        <v>47</v>
      </c>
      <c r="B575" s="48" t="s">
        <v>1575</v>
      </c>
      <c r="C575" s="49" t="s">
        <v>1437</v>
      </c>
      <c r="D575" s="50"/>
      <c r="E575" s="51">
        <v>2045000</v>
      </c>
      <c r="F575" s="52">
        <f t="shared" si="44"/>
        <v>163600</v>
      </c>
      <c r="G575" s="53">
        <f t="shared" si="45"/>
        <v>2208600</v>
      </c>
      <c r="H575" s="54">
        <v>2208600</v>
      </c>
      <c r="I575" s="55">
        <f t="shared" si="46"/>
        <v>0</v>
      </c>
      <c r="J575" s="56">
        <v>45644</v>
      </c>
      <c r="K575" s="57"/>
    </row>
    <row r="576" spans="1:11" ht="15.75" hidden="1" customHeight="1" x14ac:dyDescent="0.35">
      <c r="A576" s="47" t="s">
        <v>1413</v>
      </c>
      <c r="B576" s="48" t="s">
        <v>1576</v>
      </c>
      <c r="C576" s="49" t="s">
        <v>1438</v>
      </c>
      <c r="D576" s="50"/>
      <c r="E576" s="51">
        <v>2045000</v>
      </c>
      <c r="F576" s="52">
        <f t="shared" si="44"/>
        <v>163600</v>
      </c>
      <c r="G576" s="53">
        <f t="shared" si="45"/>
        <v>2208600</v>
      </c>
      <c r="H576" s="54">
        <v>2208600</v>
      </c>
      <c r="I576" s="55">
        <f t="shared" si="46"/>
        <v>0</v>
      </c>
      <c r="J576" s="56">
        <v>45644</v>
      </c>
      <c r="K576" s="57"/>
    </row>
    <row r="577" spans="1:11" ht="15.75" hidden="1" customHeight="1" x14ac:dyDescent="0.35">
      <c r="A577" s="47" t="s">
        <v>148</v>
      </c>
      <c r="B577" s="48" t="s">
        <v>1576</v>
      </c>
      <c r="C577" s="49" t="s">
        <v>1439</v>
      </c>
      <c r="D577" s="50"/>
      <c r="E577" s="51">
        <v>1022500</v>
      </c>
      <c r="F577" s="52">
        <f t="shared" si="44"/>
        <v>81800</v>
      </c>
      <c r="G577" s="53">
        <f t="shared" si="45"/>
        <v>1104300</v>
      </c>
      <c r="H577" s="54">
        <v>1104300</v>
      </c>
      <c r="I577" s="55">
        <f t="shared" si="46"/>
        <v>0</v>
      </c>
      <c r="J577" s="56">
        <v>45644</v>
      </c>
      <c r="K577" s="57"/>
    </row>
    <row r="578" spans="1:11" ht="15.75" hidden="1" customHeight="1" x14ac:dyDescent="0.35">
      <c r="A578" s="47" t="s">
        <v>32</v>
      </c>
      <c r="B578" s="48" t="s">
        <v>1576</v>
      </c>
      <c r="C578" s="49" t="s">
        <v>1440</v>
      </c>
      <c r="D578" s="50"/>
      <c r="E578" s="51">
        <v>1005000</v>
      </c>
      <c r="F578" s="52">
        <f t="shared" si="44"/>
        <v>80400</v>
      </c>
      <c r="G578" s="53">
        <f t="shared" si="45"/>
        <v>1085400</v>
      </c>
      <c r="H578" s="54">
        <v>1085400</v>
      </c>
      <c r="I578" s="55">
        <f t="shared" si="46"/>
        <v>0</v>
      </c>
      <c r="J578" s="56">
        <v>45644</v>
      </c>
      <c r="K578" s="57"/>
    </row>
    <row r="579" spans="1:11" ht="15.75" hidden="1" customHeight="1" x14ac:dyDescent="0.35">
      <c r="A579" s="47" t="s">
        <v>35</v>
      </c>
      <c r="B579" s="48" t="s">
        <v>1577</v>
      </c>
      <c r="C579" s="49" t="s">
        <v>1441</v>
      </c>
      <c r="D579" s="50"/>
      <c r="E579" s="51">
        <v>4090000</v>
      </c>
      <c r="F579" s="52">
        <f t="shared" si="44"/>
        <v>327200</v>
      </c>
      <c r="G579" s="53">
        <f t="shared" si="45"/>
        <v>4417200</v>
      </c>
      <c r="H579" s="54">
        <v>4417200</v>
      </c>
      <c r="I579" s="55">
        <f t="shared" si="46"/>
        <v>0</v>
      </c>
      <c r="J579" s="56">
        <v>45644</v>
      </c>
      <c r="K579" s="57"/>
    </row>
    <row r="580" spans="1:11" ht="15.75" hidden="1" customHeight="1" x14ac:dyDescent="0.35">
      <c r="A580" s="47" t="s">
        <v>1582</v>
      </c>
      <c r="B580" s="48" t="s">
        <v>1578</v>
      </c>
      <c r="C580" s="50" t="s">
        <v>1442</v>
      </c>
      <c r="D580" s="50"/>
      <c r="E580" s="51">
        <v>38812200</v>
      </c>
      <c r="F580" s="52">
        <f t="shared" si="44"/>
        <v>3104976</v>
      </c>
      <c r="G580" s="53">
        <f t="shared" si="45"/>
        <v>41917176</v>
      </c>
      <c r="H580" s="54">
        <v>41917176</v>
      </c>
      <c r="I580" s="55">
        <f t="shared" si="46"/>
        <v>0</v>
      </c>
      <c r="J580" s="56">
        <v>45644</v>
      </c>
      <c r="K580" s="57"/>
    </row>
    <row r="581" spans="1:11" ht="15.75" hidden="1" customHeight="1" x14ac:dyDescent="0.35">
      <c r="A581" s="47" t="s">
        <v>16</v>
      </c>
      <c r="B581" s="48" t="s">
        <v>1578</v>
      </c>
      <c r="C581" s="49" t="s">
        <v>1443</v>
      </c>
      <c r="D581" s="50"/>
      <c r="E581" s="51">
        <v>1022500</v>
      </c>
      <c r="F581" s="52">
        <f t="shared" si="44"/>
        <v>81800</v>
      </c>
      <c r="G581" s="53">
        <f t="shared" si="45"/>
        <v>1104300</v>
      </c>
      <c r="H581" s="54">
        <v>1104300</v>
      </c>
      <c r="I581" s="55">
        <f t="shared" si="46"/>
        <v>0</v>
      </c>
      <c r="J581" s="56">
        <v>45644</v>
      </c>
      <c r="K581" s="57"/>
    </row>
    <row r="582" spans="1:11" ht="15.75" hidden="1" customHeight="1" x14ac:dyDescent="0.35">
      <c r="A582" s="47" t="s">
        <v>61</v>
      </c>
      <c r="B582" s="48" t="s">
        <v>1578</v>
      </c>
      <c r="C582" s="49" t="s">
        <v>1444</v>
      </c>
      <c r="D582" s="50"/>
      <c r="E582" s="51">
        <v>1005000</v>
      </c>
      <c r="F582" s="52">
        <f t="shared" si="44"/>
        <v>80400</v>
      </c>
      <c r="G582" s="53">
        <f t="shared" si="45"/>
        <v>1085400</v>
      </c>
      <c r="H582" s="54">
        <v>1085400</v>
      </c>
      <c r="I582" s="55">
        <f t="shared" si="46"/>
        <v>0</v>
      </c>
      <c r="J582" s="56">
        <v>45644</v>
      </c>
      <c r="K582" s="57"/>
    </row>
    <row r="583" spans="1:11" ht="15.75" hidden="1" customHeight="1" x14ac:dyDescent="0.35">
      <c r="A583" s="47" t="s">
        <v>106</v>
      </c>
      <c r="B583" s="48" t="s">
        <v>1579</v>
      </c>
      <c r="C583" s="49" t="s">
        <v>1445</v>
      </c>
      <c r="D583" s="50"/>
      <c r="E583" s="51">
        <v>35688200</v>
      </c>
      <c r="F583" s="52">
        <f t="shared" si="44"/>
        <v>2855056</v>
      </c>
      <c r="G583" s="53">
        <f t="shared" si="45"/>
        <v>38543256</v>
      </c>
      <c r="H583" s="54">
        <v>38543256</v>
      </c>
      <c r="I583" s="55">
        <f t="shared" si="46"/>
        <v>0</v>
      </c>
      <c r="J583" s="56">
        <v>45644</v>
      </c>
      <c r="K583" s="57"/>
    </row>
    <row r="584" spans="1:11" ht="15.75" hidden="1" customHeight="1" x14ac:dyDescent="0.35">
      <c r="A584" s="47" t="s">
        <v>93</v>
      </c>
      <c r="B584" s="48" t="s">
        <v>1579</v>
      </c>
      <c r="C584" s="49" t="s">
        <v>1446</v>
      </c>
      <c r="D584" s="50"/>
      <c r="E584" s="51">
        <v>35688200</v>
      </c>
      <c r="F584" s="52">
        <f t="shared" si="44"/>
        <v>2855056</v>
      </c>
      <c r="G584" s="53">
        <f t="shared" si="45"/>
        <v>38543256</v>
      </c>
      <c r="H584" s="54">
        <v>38543256</v>
      </c>
      <c r="I584" s="55">
        <f t="shared" si="46"/>
        <v>0</v>
      </c>
      <c r="J584" s="56">
        <v>45644</v>
      </c>
      <c r="K584" s="57"/>
    </row>
    <row r="585" spans="1:11" ht="15.75" hidden="1" customHeight="1" x14ac:dyDescent="0.35">
      <c r="A585" s="47" t="s">
        <v>38</v>
      </c>
      <c r="B585" s="48" t="s">
        <v>1579</v>
      </c>
      <c r="C585" s="49" t="s">
        <v>1447</v>
      </c>
      <c r="D585" s="50"/>
      <c r="E585" s="51">
        <v>35688200</v>
      </c>
      <c r="F585" s="52">
        <f t="shared" si="44"/>
        <v>2855056</v>
      </c>
      <c r="G585" s="53">
        <f t="shared" si="45"/>
        <v>38543256</v>
      </c>
      <c r="H585" s="54">
        <v>38543256</v>
      </c>
      <c r="I585" s="55">
        <f t="shared" si="46"/>
        <v>0</v>
      </c>
      <c r="J585" s="56">
        <v>45644</v>
      </c>
      <c r="K585" s="57"/>
    </row>
    <row r="586" spans="1:11" ht="15.75" hidden="1" customHeight="1" x14ac:dyDescent="0.35">
      <c r="A586" s="47" t="s">
        <v>16</v>
      </c>
      <c r="B586" s="48" t="s">
        <v>1579</v>
      </c>
      <c r="C586" s="49" t="s">
        <v>1448</v>
      </c>
      <c r="D586" s="50"/>
      <c r="E586" s="51">
        <v>35688200</v>
      </c>
      <c r="F586" s="52">
        <f t="shared" si="44"/>
        <v>2855056</v>
      </c>
      <c r="G586" s="53">
        <f t="shared" si="45"/>
        <v>38543256</v>
      </c>
      <c r="H586" s="54">
        <v>38543256</v>
      </c>
      <c r="I586" s="55">
        <f t="shared" si="46"/>
        <v>0</v>
      </c>
      <c r="J586" s="56">
        <v>45644</v>
      </c>
      <c r="K586" s="57"/>
    </row>
    <row r="587" spans="1:11" ht="15.75" hidden="1" customHeight="1" x14ac:dyDescent="0.35">
      <c r="A587" s="47" t="s">
        <v>52</v>
      </c>
      <c r="B587" s="48" t="s">
        <v>1579</v>
      </c>
      <c r="C587" s="49" t="s">
        <v>1449</v>
      </c>
      <c r="D587" s="50"/>
      <c r="E587" s="51">
        <v>35688200</v>
      </c>
      <c r="F587" s="52">
        <f t="shared" si="44"/>
        <v>2855056</v>
      </c>
      <c r="G587" s="53">
        <f t="shared" si="45"/>
        <v>38543256</v>
      </c>
      <c r="H587" s="54">
        <v>38543256</v>
      </c>
      <c r="I587" s="55">
        <f t="shared" si="46"/>
        <v>0</v>
      </c>
      <c r="J587" s="56">
        <v>45644</v>
      </c>
      <c r="K587" s="57"/>
    </row>
    <row r="588" spans="1:11" ht="15.75" hidden="1" customHeight="1" x14ac:dyDescent="0.35">
      <c r="A588" s="47" t="s">
        <v>48</v>
      </c>
      <c r="B588" s="48" t="s">
        <v>1579</v>
      </c>
      <c r="C588" s="49" t="s">
        <v>1450</v>
      </c>
      <c r="D588" s="50"/>
      <c r="E588" s="51">
        <v>35688200</v>
      </c>
      <c r="F588" s="52">
        <f t="shared" si="44"/>
        <v>2855056</v>
      </c>
      <c r="G588" s="53">
        <f t="shared" si="45"/>
        <v>38543256</v>
      </c>
      <c r="H588" s="54">
        <v>38543256</v>
      </c>
      <c r="I588" s="55">
        <f t="shared" si="46"/>
        <v>0</v>
      </c>
      <c r="J588" s="56">
        <v>45644</v>
      </c>
      <c r="K588" s="57"/>
    </row>
    <row r="589" spans="1:11" ht="15.75" hidden="1" customHeight="1" x14ac:dyDescent="0.35">
      <c r="A589" s="47" t="s">
        <v>71</v>
      </c>
      <c r="B589" s="48" t="s">
        <v>1579</v>
      </c>
      <c r="C589" s="49" t="s">
        <v>1451</v>
      </c>
      <c r="D589" s="50"/>
      <c r="E589" s="51">
        <v>35688200</v>
      </c>
      <c r="F589" s="52">
        <f t="shared" si="44"/>
        <v>2855056</v>
      </c>
      <c r="G589" s="53">
        <f t="shared" si="45"/>
        <v>38543256</v>
      </c>
      <c r="H589" s="54">
        <v>38543256</v>
      </c>
      <c r="I589" s="55">
        <f t="shared" si="46"/>
        <v>0</v>
      </c>
      <c r="J589" s="56">
        <v>45644</v>
      </c>
      <c r="K589" s="57"/>
    </row>
    <row r="590" spans="1:11" ht="15.75" hidden="1" customHeight="1" x14ac:dyDescent="0.35">
      <c r="A590" s="47" t="s">
        <v>35</v>
      </c>
      <c r="B590" s="48" t="s">
        <v>1579</v>
      </c>
      <c r="C590" s="49" t="s">
        <v>1452</v>
      </c>
      <c r="D590" s="50"/>
      <c r="E590" s="51">
        <v>35688200</v>
      </c>
      <c r="F590" s="52">
        <f t="shared" si="44"/>
        <v>2855056</v>
      </c>
      <c r="G590" s="53">
        <f t="shared" si="45"/>
        <v>38543256</v>
      </c>
      <c r="H590" s="54">
        <v>38543256</v>
      </c>
      <c r="I590" s="55">
        <f t="shared" si="46"/>
        <v>0</v>
      </c>
      <c r="J590" s="56">
        <v>45644</v>
      </c>
      <c r="K590" s="57"/>
    </row>
    <row r="591" spans="1:11" ht="15.75" hidden="1" customHeight="1" x14ac:dyDescent="0.35">
      <c r="A591" s="47" t="s">
        <v>53</v>
      </c>
      <c r="B591" s="48" t="s">
        <v>1579</v>
      </c>
      <c r="C591" s="50" t="s">
        <v>1453</v>
      </c>
      <c r="D591" s="50"/>
      <c r="E591" s="51">
        <v>35688200</v>
      </c>
      <c r="F591" s="52">
        <f t="shared" si="44"/>
        <v>2855056</v>
      </c>
      <c r="G591" s="53">
        <f t="shared" si="45"/>
        <v>38543256</v>
      </c>
      <c r="H591" s="54">
        <v>38543256</v>
      </c>
      <c r="I591" s="55">
        <f t="shared" si="46"/>
        <v>0</v>
      </c>
      <c r="J591" s="56">
        <v>45644</v>
      </c>
      <c r="K591" s="57"/>
    </row>
    <row r="592" spans="1:11" ht="15.75" hidden="1" customHeight="1" x14ac:dyDescent="0.35">
      <c r="A592" s="47" t="s">
        <v>1583</v>
      </c>
      <c r="B592" s="48">
        <v>45611</v>
      </c>
      <c r="C592" s="50" t="s">
        <v>1454</v>
      </c>
      <c r="D592" s="49" t="s">
        <v>1605</v>
      </c>
      <c r="E592" s="51">
        <v>34688750</v>
      </c>
      <c r="F592" s="52">
        <f t="shared" si="44"/>
        <v>2775100</v>
      </c>
      <c r="G592" s="53">
        <f t="shared" si="45"/>
        <v>37463850</v>
      </c>
      <c r="H592" s="54">
        <v>37463850</v>
      </c>
      <c r="I592" s="55">
        <f t="shared" si="46"/>
        <v>0</v>
      </c>
      <c r="J592" s="56">
        <v>45644</v>
      </c>
      <c r="K592" s="57"/>
    </row>
    <row r="593" spans="1:11" ht="15.75" hidden="1" customHeight="1" x14ac:dyDescent="0.35">
      <c r="A593" s="47" t="s">
        <v>78</v>
      </c>
      <c r="B593" s="48" t="s">
        <v>1579</v>
      </c>
      <c r="C593" s="49" t="s">
        <v>1455</v>
      </c>
      <c r="D593" s="50"/>
      <c r="E593" s="51">
        <v>35688200</v>
      </c>
      <c r="F593" s="52">
        <f t="shared" si="44"/>
        <v>2855056</v>
      </c>
      <c r="G593" s="53">
        <f t="shared" si="45"/>
        <v>38543256</v>
      </c>
      <c r="H593" s="54">
        <v>38543256</v>
      </c>
      <c r="I593" s="55">
        <f t="shared" si="46"/>
        <v>0</v>
      </c>
      <c r="J593" s="56">
        <v>45644</v>
      </c>
      <c r="K593" s="57"/>
    </row>
    <row r="594" spans="1:11" ht="15.75" hidden="1" customHeight="1" x14ac:dyDescent="0.35">
      <c r="A594" s="47" t="s">
        <v>72</v>
      </c>
      <c r="B594" s="48" t="s">
        <v>1579</v>
      </c>
      <c r="C594" s="50" t="s">
        <v>1456</v>
      </c>
      <c r="D594" s="50"/>
      <c r="E594" s="51">
        <v>35688200</v>
      </c>
      <c r="F594" s="52">
        <f t="shared" si="44"/>
        <v>2855056</v>
      </c>
      <c r="G594" s="53">
        <f t="shared" si="45"/>
        <v>38543256</v>
      </c>
      <c r="H594" s="54">
        <v>38543256</v>
      </c>
      <c r="I594" s="55">
        <f t="shared" si="46"/>
        <v>0</v>
      </c>
      <c r="J594" s="56">
        <v>45644</v>
      </c>
      <c r="K594" s="57"/>
    </row>
    <row r="595" spans="1:11" ht="15.75" hidden="1" customHeight="1" x14ac:dyDescent="0.35">
      <c r="A595" s="47" t="s">
        <v>1584</v>
      </c>
      <c r="B595" s="48" t="s">
        <v>1579</v>
      </c>
      <c r="C595" s="49" t="s">
        <v>1457</v>
      </c>
      <c r="D595" s="50"/>
      <c r="E595" s="51">
        <v>35688200</v>
      </c>
      <c r="F595" s="52">
        <f t="shared" si="44"/>
        <v>2855056</v>
      </c>
      <c r="G595" s="53">
        <f t="shared" si="45"/>
        <v>38543256</v>
      </c>
      <c r="H595" s="54">
        <v>38543256</v>
      </c>
      <c r="I595" s="55">
        <f t="shared" si="46"/>
        <v>0</v>
      </c>
      <c r="J595" s="56">
        <v>45644</v>
      </c>
      <c r="K595" s="57"/>
    </row>
    <row r="596" spans="1:11" ht="15.75" hidden="1" customHeight="1" x14ac:dyDescent="0.35">
      <c r="A596" s="47" t="s">
        <v>17</v>
      </c>
      <c r="B596" s="48" t="s">
        <v>1579</v>
      </c>
      <c r="C596" s="49" t="s">
        <v>1458</v>
      </c>
      <c r="D596" s="50"/>
      <c r="E596" s="51">
        <v>35688200</v>
      </c>
      <c r="F596" s="52">
        <f t="shared" si="44"/>
        <v>2855056</v>
      </c>
      <c r="G596" s="53">
        <f t="shared" si="45"/>
        <v>38543256</v>
      </c>
      <c r="H596" s="54">
        <v>38543256</v>
      </c>
      <c r="I596" s="55">
        <f t="shared" si="46"/>
        <v>0</v>
      </c>
      <c r="J596" s="56">
        <v>45644</v>
      </c>
      <c r="K596" s="57"/>
    </row>
    <row r="597" spans="1:11" ht="15.75" hidden="1" customHeight="1" x14ac:dyDescent="0.35">
      <c r="A597" s="47" t="s">
        <v>18</v>
      </c>
      <c r="B597" s="48" t="s">
        <v>1579</v>
      </c>
      <c r="C597" s="49" t="s">
        <v>1459</v>
      </c>
      <c r="D597" s="50"/>
      <c r="E597" s="51">
        <v>35688200</v>
      </c>
      <c r="F597" s="52">
        <f t="shared" si="44"/>
        <v>2855056</v>
      </c>
      <c r="G597" s="53">
        <f t="shared" si="45"/>
        <v>38543256</v>
      </c>
      <c r="H597" s="54">
        <v>38543256</v>
      </c>
      <c r="I597" s="55">
        <f t="shared" si="46"/>
        <v>0</v>
      </c>
      <c r="J597" s="56">
        <v>45644</v>
      </c>
      <c r="K597" s="57"/>
    </row>
    <row r="598" spans="1:11" ht="15.75" hidden="1" customHeight="1" x14ac:dyDescent="0.35">
      <c r="A598" s="47" t="s">
        <v>41</v>
      </c>
      <c r="B598" s="48" t="s">
        <v>1579</v>
      </c>
      <c r="C598" s="50" t="s">
        <v>1460</v>
      </c>
      <c r="D598" s="49" t="s">
        <v>1615</v>
      </c>
      <c r="E598" s="51">
        <v>34152200</v>
      </c>
      <c r="F598" s="52">
        <f t="shared" si="44"/>
        <v>2732176</v>
      </c>
      <c r="G598" s="53">
        <f t="shared" si="45"/>
        <v>36884376</v>
      </c>
      <c r="H598" s="54">
        <v>36884376</v>
      </c>
      <c r="I598" s="55">
        <f t="shared" si="46"/>
        <v>0</v>
      </c>
      <c r="J598" s="56">
        <v>45644</v>
      </c>
      <c r="K598" s="57"/>
    </row>
    <row r="599" spans="1:11" ht="15.75" hidden="1" customHeight="1" x14ac:dyDescent="0.35">
      <c r="A599" s="47" t="s">
        <v>30</v>
      </c>
      <c r="B599" s="48">
        <v>45614</v>
      </c>
      <c r="C599" s="50" t="s">
        <v>1461</v>
      </c>
      <c r="D599" s="49" t="s">
        <v>1608</v>
      </c>
      <c r="E599" s="51">
        <v>35122000</v>
      </c>
      <c r="F599" s="52">
        <f t="shared" si="44"/>
        <v>2809760</v>
      </c>
      <c r="G599" s="53">
        <f t="shared" si="45"/>
        <v>37931760</v>
      </c>
      <c r="H599" s="54">
        <v>37931760</v>
      </c>
      <c r="I599" s="55">
        <f t="shared" si="46"/>
        <v>0</v>
      </c>
      <c r="J599" s="56">
        <v>45644</v>
      </c>
      <c r="K599" s="57"/>
    </row>
    <row r="600" spans="1:11" ht="15.75" hidden="1" customHeight="1" x14ac:dyDescent="0.35">
      <c r="A600" s="47" t="s">
        <v>46</v>
      </c>
      <c r="B600" s="48">
        <v>45614</v>
      </c>
      <c r="C600" s="50" t="s">
        <v>1462</v>
      </c>
      <c r="D600" s="49" t="s">
        <v>1606</v>
      </c>
      <c r="E600" s="51">
        <v>35688200</v>
      </c>
      <c r="F600" s="52">
        <f t="shared" si="44"/>
        <v>2855056</v>
      </c>
      <c r="G600" s="53">
        <f t="shared" si="45"/>
        <v>38543256</v>
      </c>
      <c r="H600" s="54">
        <v>38543256</v>
      </c>
      <c r="I600" s="55">
        <f t="shared" si="46"/>
        <v>0</v>
      </c>
      <c r="J600" s="56">
        <v>45644</v>
      </c>
      <c r="K600" s="57"/>
    </row>
    <row r="601" spans="1:11" ht="15.75" hidden="1" customHeight="1" x14ac:dyDescent="0.35">
      <c r="A601" s="47" t="s">
        <v>20</v>
      </c>
      <c r="B601" s="48" t="s">
        <v>1579</v>
      </c>
      <c r="C601" s="49" t="s">
        <v>1463</v>
      </c>
      <c r="D601" s="50"/>
      <c r="E601" s="51">
        <v>35688200</v>
      </c>
      <c r="F601" s="52">
        <f t="shared" si="44"/>
        <v>2855056</v>
      </c>
      <c r="G601" s="53">
        <f t="shared" si="45"/>
        <v>38543256</v>
      </c>
      <c r="H601" s="54">
        <v>38543256</v>
      </c>
      <c r="I601" s="55">
        <f t="shared" si="46"/>
        <v>0</v>
      </c>
      <c r="J601" s="56">
        <v>45644</v>
      </c>
      <c r="K601" s="57"/>
    </row>
    <row r="602" spans="1:11" ht="15.75" hidden="1" customHeight="1" x14ac:dyDescent="0.35">
      <c r="A602" s="47" t="s">
        <v>54</v>
      </c>
      <c r="B602" s="48" t="s">
        <v>1579</v>
      </c>
      <c r="C602" s="49" t="s">
        <v>1464</v>
      </c>
      <c r="D602" s="50"/>
      <c r="E602" s="51">
        <v>35688200</v>
      </c>
      <c r="F602" s="52">
        <f t="shared" si="44"/>
        <v>2855056</v>
      </c>
      <c r="G602" s="53">
        <f t="shared" si="45"/>
        <v>38543256</v>
      </c>
      <c r="H602" s="54">
        <v>38543256</v>
      </c>
      <c r="I602" s="55">
        <f t="shared" si="46"/>
        <v>0</v>
      </c>
      <c r="J602" s="56">
        <v>45644</v>
      </c>
      <c r="K602" s="57"/>
    </row>
    <row r="603" spans="1:11" ht="15.75" hidden="1" customHeight="1" x14ac:dyDescent="0.35">
      <c r="A603" s="47" t="s">
        <v>56</v>
      </c>
      <c r="B603" s="48" t="s">
        <v>1579</v>
      </c>
      <c r="C603" s="49" t="s">
        <v>1465</v>
      </c>
      <c r="D603" s="50"/>
      <c r="E603" s="51">
        <v>35688200</v>
      </c>
      <c r="F603" s="52">
        <f t="shared" si="44"/>
        <v>2855056</v>
      </c>
      <c r="G603" s="53">
        <f t="shared" si="45"/>
        <v>38543256</v>
      </c>
      <c r="H603" s="54">
        <v>38543256</v>
      </c>
      <c r="I603" s="55">
        <f t="shared" si="46"/>
        <v>0</v>
      </c>
      <c r="J603" s="56">
        <v>45644</v>
      </c>
      <c r="K603" s="57"/>
    </row>
    <row r="604" spans="1:11" ht="15.75" hidden="1" customHeight="1" x14ac:dyDescent="0.35">
      <c r="A604" s="47" t="s">
        <v>21</v>
      </c>
      <c r="B604" s="48" t="s">
        <v>1579</v>
      </c>
      <c r="C604" s="49" t="s">
        <v>1466</v>
      </c>
      <c r="D604" s="50"/>
      <c r="E604" s="51">
        <v>35688200</v>
      </c>
      <c r="F604" s="52">
        <f t="shared" si="44"/>
        <v>2855056</v>
      </c>
      <c r="G604" s="53">
        <f t="shared" si="45"/>
        <v>38543256</v>
      </c>
      <c r="H604" s="54">
        <v>38543256</v>
      </c>
      <c r="I604" s="55">
        <f t="shared" si="46"/>
        <v>0</v>
      </c>
      <c r="J604" s="56">
        <v>45644</v>
      </c>
      <c r="K604" s="57"/>
    </row>
    <row r="605" spans="1:11" ht="15.75" hidden="1" customHeight="1" x14ac:dyDescent="0.35">
      <c r="A605" s="47" t="s">
        <v>69</v>
      </c>
      <c r="B605" s="48" t="s">
        <v>1579</v>
      </c>
      <c r="C605" s="49" t="s">
        <v>1467</v>
      </c>
      <c r="D605" s="50"/>
      <c r="E605" s="51">
        <v>35688200</v>
      </c>
      <c r="F605" s="52">
        <f t="shared" si="44"/>
        <v>2855056</v>
      </c>
      <c r="G605" s="53">
        <f t="shared" si="45"/>
        <v>38543256</v>
      </c>
      <c r="H605" s="54">
        <v>38543256</v>
      </c>
      <c r="I605" s="55">
        <f t="shared" si="46"/>
        <v>0</v>
      </c>
      <c r="J605" s="56">
        <v>45644</v>
      </c>
      <c r="K605" s="57"/>
    </row>
    <row r="606" spans="1:11" ht="15.75" hidden="1" customHeight="1" x14ac:dyDescent="0.35">
      <c r="A606" s="47" t="s">
        <v>147</v>
      </c>
      <c r="B606" s="48" t="s">
        <v>1579</v>
      </c>
      <c r="C606" s="49" t="s">
        <v>1468</v>
      </c>
      <c r="D606" s="50"/>
      <c r="E606" s="51">
        <v>35688200</v>
      </c>
      <c r="F606" s="52">
        <f t="shared" si="44"/>
        <v>2855056</v>
      </c>
      <c r="G606" s="53">
        <f t="shared" si="45"/>
        <v>38543256</v>
      </c>
      <c r="H606" s="54">
        <v>38543256</v>
      </c>
      <c r="I606" s="55">
        <f t="shared" si="46"/>
        <v>0</v>
      </c>
      <c r="J606" s="56">
        <v>45644</v>
      </c>
      <c r="K606" s="57"/>
    </row>
    <row r="607" spans="1:11" ht="15.75" hidden="1" customHeight="1" x14ac:dyDescent="0.35">
      <c r="A607" s="47" t="s">
        <v>87</v>
      </c>
      <c r="B607" s="48">
        <v>45617</v>
      </c>
      <c r="C607" s="50" t="s">
        <v>1469</v>
      </c>
      <c r="D607" s="50" t="s">
        <v>1618</v>
      </c>
      <c r="E607" s="51">
        <v>35569450</v>
      </c>
      <c r="F607" s="52">
        <f t="shared" si="44"/>
        <v>2845556</v>
      </c>
      <c r="G607" s="53">
        <f t="shared" si="45"/>
        <v>38415006</v>
      </c>
      <c r="H607" s="54">
        <v>38415006</v>
      </c>
      <c r="I607" s="55">
        <f t="shared" si="46"/>
        <v>0</v>
      </c>
      <c r="J607" s="56">
        <v>45644</v>
      </c>
      <c r="K607" s="57"/>
    </row>
    <row r="608" spans="1:11" ht="15.75" hidden="1" customHeight="1" x14ac:dyDescent="0.35">
      <c r="A608" s="47" t="s">
        <v>19</v>
      </c>
      <c r="B608" s="48" t="s">
        <v>1579</v>
      </c>
      <c r="C608" s="49" t="s">
        <v>1470</v>
      </c>
      <c r="D608" s="50"/>
      <c r="E608" s="51">
        <v>35688200</v>
      </c>
      <c r="F608" s="52">
        <f t="shared" si="44"/>
        <v>2855056</v>
      </c>
      <c r="G608" s="53">
        <f t="shared" si="45"/>
        <v>38543256</v>
      </c>
      <c r="H608" s="54">
        <v>38543256</v>
      </c>
      <c r="I608" s="55">
        <f t="shared" si="46"/>
        <v>0</v>
      </c>
      <c r="J608" s="56">
        <v>45644</v>
      </c>
      <c r="K608" s="57"/>
    </row>
    <row r="609" spans="1:11" ht="15.75" hidden="1" customHeight="1" x14ac:dyDescent="0.35">
      <c r="A609" s="47" t="s">
        <v>22</v>
      </c>
      <c r="B609" s="48" t="s">
        <v>1579</v>
      </c>
      <c r="C609" s="49" t="s">
        <v>1471</v>
      </c>
      <c r="D609" s="50"/>
      <c r="E609" s="51">
        <v>35688200</v>
      </c>
      <c r="F609" s="52">
        <f t="shared" si="44"/>
        <v>2855056</v>
      </c>
      <c r="G609" s="53">
        <f t="shared" si="45"/>
        <v>38543256</v>
      </c>
      <c r="H609" s="54">
        <v>38543256</v>
      </c>
      <c r="I609" s="55">
        <f t="shared" si="46"/>
        <v>0</v>
      </c>
      <c r="J609" s="56">
        <v>45644</v>
      </c>
      <c r="K609" s="57"/>
    </row>
    <row r="610" spans="1:11" ht="15.75" hidden="1" customHeight="1" x14ac:dyDescent="0.35">
      <c r="A610" s="47" t="s">
        <v>1585</v>
      </c>
      <c r="B610" s="48" t="s">
        <v>1579</v>
      </c>
      <c r="C610" s="49" t="s">
        <v>1472</v>
      </c>
      <c r="D610" s="50"/>
      <c r="E610" s="51">
        <v>35688200</v>
      </c>
      <c r="F610" s="52">
        <f t="shared" si="44"/>
        <v>2855056</v>
      </c>
      <c r="G610" s="53">
        <f t="shared" si="45"/>
        <v>38543256</v>
      </c>
      <c r="H610" s="54">
        <v>38543256</v>
      </c>
      <c r="I610" s="55">
        <f t="shared" si="46"/>
        <v>0</v>
      </c>
      <c r="J610" s="56">
        <v>45644</v>
      </c>
      <c r="K610" s="57"/>
    </row>
    <row r="611" spans="1:11" ht="15.75" hidden="1" customHeight="1" x14ac:dyDescent="0.35">
      <c r="A611" s="47" t="s">
        <v>1586</v>
      </c>
      <c r="B611" s="48" t="s">
        <v>1579</v>
      </c>
      <c r="C611" s="49" t="s">
        <v>1473</v>
      </c>
      <c r="D611" s="50"/>
      <c r="E611" s="51">
        <v>35688200</v>
      </c>
      <c r="F611" s="52">
        <f t="shared" si="44"/>
        <v>2855056</v>
      </c>
      <c r="G611" s="53">
        <f t="shared" si="45"/>
        <v>38543256</v>
      </c>
      <c r="H611" s="54">
        <v>38543256</v>
      </c>
      <c r="I611" s="55">
        <f t="shared" si="46"/>
        <v>0</v>
      </c>
      <c r="J611" s="56">
        <v>45644</v>
      </c>
      <c r="K611" s="57"/>
    </row>
    <row r="612" spans="1:11" ht="15.75" hidden="1" customHeight="1" x14ac:dyDescent="0.35">
      <c r="A612" s="47" t="s">
        <v>26</v>
      </c>
      <c r="B612" s="48" t="s">
        <v>1579</v>
      </c>
      <c r="C612" s="49" t="s">
        <v>1474</v>
      </c>
      <c r="D612" s="50"/>
      <c r="E612" s="51">
        <v>35688200</v>
      </c>
      <c r="F612" s="52">
        <f t="shared" si="44"/>
        <v>2855056</v>
      </c>
      <c r="G612" s="53">
        <f t="shared" si="45"/>
        <v>38543256</v>
      </c>
      <c r="H612" s="54">
        <v>38543256</v>
      </c>
      <c r="I612" s="55">
        <f t="shared" si="46"/>
        <v>0</v>
      </c>
      <c r="J612" s="56">
        <v>45644</v>
      </c>
      <c r="K612" s="57"/>
    </row>
    <row r="613" spans="1:11" ht="15.75" hidden="1" customHeight="1" x14ac:dyDescent="0.35">
      <c r="A613" s="47" t="s">
        <v>32</v>
      </c>
      <c r="B613" s="48" t="s">
        <v>1579</v>
      </c>
      <c r="C613" s="49" t="s">
        <v>1475</v>
      </c>
      <c r="D613" s="50"/>
      <c r="E613" s="51">
        <v>35688200</v>
      </c>
      <c r="F613" s="52">
        <f t="shared" si="44"/>
        <v>2855056</v>
      </c>
      <c r="G613" s="53">
        <f t="shared" si="45"/>
        <v>38543256</v>
      </c>
      <c r="H613" s="54">
        <v>38543256</v>
      </c>
      <c r="I613" s="55">
        <f t="shared" si="46"/>
        <v>0</v>
      </c>
      <c r="J613" s="56">
        <v>45644</v>
      </c>
      <c r="K613" s="57"/>
    </row>
    <row r="614" spans="1:11" ht="15.75" hidden="1" customHeight="1" x14ac:dyDescent="0.35">
      <c r="A614" s="47" t="s">
        <v>1587</v>
      </c>
      <c r="B614" s="48" t="s">
        <v>1579</v>
      </c>
      <c r="C614" s="49" t="s">
        <v>1476</v>
      </c>
      <c r="D614" s="50"/>
      <c r="E614" s="51">
        <v>35688200</v>
      </c>
      <c r="F614" s="52">
        <f t="shared" si="44"/>
        <v>2855056</v>
      </c>
      <c r="G614" s="53">
        <f t="shared" si="45"/>
        <v>38543256</v>
      </c>
      <c r="H614" s="54">
        <v>38543256</v>
      </c>
      <c r="I614" s="55">
        <f t="shared" si="46"/>
        <v>0</v>
      </c>
      <c r="J614" s="56">
        <v>45644</v>
      </c>
      <c r="K614" s="57"/>
    </row>
    <row r="615" spans="1:11" ht="15.75" hidden="1" customHeight="1" x14ac:dyDescent="0.35">
      <c r="A615" s="47" t="s">
        <v>113</v>
      </c>
      <c r="B615" s="48" t="s">
        <v>1579</v>
      </c>
      <c r="C615" s="50" t="s">
        <v>1477</v>
      </c>
      <c r="D615" s="50"/>
      <c r="E615" s="51">
        <v>35688200</v>
      </c>
      <c r="F615" s="52">
        <f t="shared" si="44"/>
        <v>2855056</v>
      </c>
      <c r="G615" s="53">
        <f t="shared" si="45"/>
        <v>38543256</v>
      </c>
      <c r="H615" s="54">
        <v>38543256</v>
      </c>
      <c r="I615" s="55">
        <f t="shared" si="46"/>
        <v>0</v>
      </c>
      <c r="J615" s="56">
        <v>45644</v>
      </c>
      <c r="K615" s="57"/>
    </row>
    <row r="616" spans="1:11" ht="15.75" hidden="1" customHeight="1" x14ac:dyDescent="0.35">
      <c r="A616" s="47" t="s">
        <v>110</v>
      </c>
      <c r="B616" s="48" t="s">
        <v>1579</v>
      </c>
      <c r="C616" s="49" t="s">
        <v>1478</v>
      </c>
      <c r="D616" s="50"/>
      <c r="E616" s="51">
        <v>35688200</v>
      </c>
      <c r="F616" s="52">
        <f t="shared" si="44"/>
        <v>2855056</v>
      </c>
      <c r="G616" s="53">
        <f t="shared" si="45"/>
        <v>38543256</v>
      </c>
      <c r="H616" s="54">
        <v>38543256</v>
      </c>
      <c r="I616" s="55">
        <f t="shared" si="46"/>
        <v>0</v>
      </c>
      <c r="J616" s="56">
        <v>45644</v>
      </c>
      <c r="K616" s="57"/>
    </row>
    <row r="617" spans="1:11" ht="15.75" hidden="1" customHeight="1" x14ac:dyDescent="0.35">
      <c r="A617" s="47" t="s">
        <v>112</v>
      </c>
      <c r="B617" s="48" t="s">
        <v>1579</v>
      </c>
      <c r="C617" s="49" t="s">
        <v>1479</v>
      </c>
      <c r="D617" s="50"/>
      <c r="E617" s="51">
        <v>35688200</v>
      </c>
      <c r="F617" s="52">
        <f t="shared" si="44"/>
        <v>2855056</v>
      </c>
      <c r="G617" s="53">
        <f t="shared" si="45"/>
        <v>38543256</v>
      </c>
      <c r="H617" s="53">
        <v>38543256</v>
      </c>
      <c r="I617" s="55">
        <f t="shared" si="46"/>
        <v>0</v>
      </c>
      <c r="J617" s="56">
        <v>45644</v>
      </c>
      <c r="K617" s="57"/>
    </row>
    <row r="618" spans="1:11" ht="15.75" hidden="1" customHeight="1" x14ac:dyDescent="0.35">
      <c r="A618" s="47" t="s">
        <v>1413</v>
      </c>
      <c r="B618" s="48" t="s">
        <v>1579</v>
      </c>
      <c r="C618" s="50" t="s">
        <v>1480</v>
      </c>
      <c r="D618" s="50"/>
      <c r="E618" s="51">
        <v>35688200</v>
      </c>
      <c r="F618" s="52">
        <f t="shared" si="44"/>
        <v>2855056</v>
      </c>
      <c r="G618" s="53">
        <f t="shared" si="45"/>
        <v>38543256</v>
      </c>
      <c r="H618" s="54">
        <v>38543256</v>
      </c>
      <c r="I618" s="55">
        <f t="shared" si="46"/>
        <v>0</v>
      </c>
      <c r="J618" s="56">
        <v>45644</v>
      </c>
      <c r="K618" s="57"/>
    </row>
    <row r="619" spans="1:11" ht="15.75" hidden="1" customHeight="1" x14ac:dyDescent="0.35">
      <c r="A619" s="47" t="s">
        <v>44</v>
      </c>
      <c r="B619" s="48" t="s">
        <v>1579</v>
      </c>
      <c r="C619" s="49" t="s">
        <v>1481</v>
      </c>
      <c r="D619" s="50"/>
      <c r="E619" s="51">
        <v>1022500</v>
      </c>
      <c r="F619" s="52">
        <f t="shared" si="44"/>
        <v>81800</v>
      </c>
      <c r="G619" s="53">
        <f t="shared" si="45"/>
        <v>1104300</v>
      </c>
      <c r="H619" s="54">
        <v>1104300</v>
      </c>
      <c r="I619" s="55">
        <f t="shared" si="46"/>
        <v>0</v>
      </c>
      <c r="J619" s="56">
        <v>45644</v>
      </c>
      <c r="K619" s="57"/>
    </row>
    <row r="620" spans="1:11" ht="15.75" hidden="1" customHeight="1" x14ac:dyDescent="0.35">
      <c r="A620" s="47" t="s">
        <v>105</v>
      </c>
      <c r="B620" s="48" t="s">
        <v>1579</v>
      </c>
      <c r="C620" s="49" t="s">
        <v>1482</v>
      </c>
      <c r="D620" s="50"/>
      <c r="E620" s="51">
        <v>2045000</v>
      </c>
      <c r="F620" s="52">
        <f t="shared" si="44"/>
        <v>163600</v>
      </c>
      <c r="G620" s="53">
        <f t="shared" si="45"/>
        <v>2208600</v>
      </c>
      <c r="H620" s="54">
        <v>2208600</v>
      </c>
      <c r="I620" s="55">
        <f t="shared" si="46"/>
        <v>0</v>
      </c>
      <c r="J620" s="56">
        <v>45644</v>
      </c>
      <c r="K620" s="57"/>
    </row>
    <row r="621" spans="1:11" ht="15.75" hidden="1" customHeight="1" x14ac:dyDescent="0.35">
      <c r="A621" s="47" t="s">
        <v>31</v>
      </c>
      <c r="B621" s="48" t="s">
        <v>1579</v>
      </c>
      <c r="C621" s="49" t="s">
        <v>1483</v>
      </c>
      <c r="D621" s="50"/>
      <c r="E621" s="51">
        <v>35688200</v>
      </c>
      <c r="F621" s="52">
        <f t="shared" si="44"/>
        <v>2855056</v>
      </c>
      <c r="G621" s="53">
        <f t="shared" si="45"/>
        <v>38543256</v>
      </c>
      <c r="H621" s="54">
        <v>38543256</v>
      </c>
      <c r="I621" s="55">
        <f t="shared" si="46"/>
        <v>0</v>
      </c>
      <c r="J621" s="56">
        <v>45644</v>
      </c>
      <c r="K621" s="57"/>
    </row>
    <row r="622" spans="1:11" ht="15.75" hidden="1" customHeight="1" x14ac:dyDescent="0.35">
      <c r="A622" s="47" t="s">
        <v>61</v>
      </c>
      <c r="B622" s="48" t="s">
        <v>1580</v>
      </c>
      <c r="C622" s="50" t="s">
        <v>1484</v>
      </c>
      <c r="D622" s="50"/>
      <c r="E622" s="51">
        <v>35688200</v>
      </c>
      <c r="F622" s="52"/>
      <c r="G622" s="53"/>
      <c r="H622" s="54"/>
      <c r="I622" s="55">
        <f t="shared" si="46"/>
        <v>0</v>
      </c>
      <c r="J622" s="56" t="s">
        <v>2129</v>
      </c>
      <c r="K622" s="57"/>
    </row>
    <row r="623" spans="1:11" ht="15.75" hidden="1" customHeight="1" x14ac:dyDescent="0.35">
      <c r="A623" s="47" t="s">
        <v>27</v>
      </c>
      <c r="B623" s="48" t="s">
        <v>1580</v>
      </c>
      <c r="C623" s="49" t="s">
        <v>1485</v>
      </c>
      <c r="D623" s="50"/>
      <c r="E623" s="51">
        <v>35688200</v>
      </c>
      <c r="F623" s="52">
        <f t="shared" si="44"/>
        <v>2855056</v>
      </c>
      <c r="G623" s="53">
        <f t="shared" si="45"/>
        <v>38543256</v>
      </c>
      <c r="H623" s="54">
        <v>38543256</v>
      </c>
      <c r="I623" s="55">
        <f t="shared" si="46"/>
        <v>0</v>
      </c>
      <c r="J623" s="56">
        <v>45644</v>
      </c>
      <c r="K623" s="57"/>
    </row>
    <row r="624" spans="1:11" ht="15.75" hidden="1" customHeight="1" x14ac:dyDescent="0.35">
      <c r="A624" s="47" t="s">
        <v>1588</v>
      </c>
      <c r="B624" s="48" t="s">
        <v>1580</v>
      </c>
      <c r="C624" s="50" t="s">
        <v>1486</v>
      </c>
      <c r="D624" s="50"/>
      <c r="E624" s="51">
        <v>35688200</v>
      </c>
      <c r="F624" s="52">
        <f t="shared" si="44"/>
        <v>2855056</v>
      </c>
      <c r="G624" s="53">
        <f t="shared" si="45"/>
        <v>38543256</v>
      </c>
      <c r="H624" s="54">
        <v>38543256</v>
      </c>
      <c r="I624" s="55">
        <f t="shared" si="46"/>
        <v>0</v>
      </c>
      <c r="J624" s="56">
        <v>45644</v>
      </c>
      <c r="K624" s="57"/>
    </row>
    <row r="625" spans="1:11" ht="15.75" hidden="1" customHeight="1" x14ac:dyDescent="0.35">
      <c r="A625" s="47" t="s">
        <v>83</v>
      </c>
      <c r="B625" s="48" t="s">
        <v>1580</v>
      </c>
      <c r="C625" s="49" t="s">
        <v>1487</v>
      </c>
      <c r="D625" s="50"/>
      <c r="E625" s="51">
        <v>35688200</v>
      </c>
      <c r="F625" s="52">
        <f t="shared" si="44"/>
        <v>2855056</v>
      </c>
      <c r="G625" s="53">
        <f t="shared" si="45"/>
        <v>38543256</v>
      </c>
      <c r="H625" s="54">
        <v>38543256</v>
      </c>
      <c r="I625" s="55">
        <f t="shared" si="46"/>
        <v>0</v>
      </c>
      <c r="J625" s="56">
        <v>45644</v>
      </c>
      <c r="K625" s="57"/>
    </row>
    <row r="626" spans="1:11" ht="15.75" hidden="1" customHeight="1" x14ac:dyDescent="0.35">
      <c r="A626" s="47" t="s">
        <v>47</v>
      </c>
      <c r="B626" s="48" t="s">
        <v>1580</v>
      </c>
      <c r="C626" s="49" t="s">
        <v>1488</v>
      </c>
      <c r="D626" s="50"/>
      <c r="E626" s="51">
        <v>35688200</v>
      </c>
      <c r="F626" s="52">
        <f t="shared" si="44"/>
        <v>2855056</v>
      </c>
      <c r="G626" s="53">
        <f t="shared" si="45"/>
        <v>38543256</v>
      </c>
      <c r="H626" s="54">
        <v>38543256</v>
      </c>
      <c r="I626" s="55">
        <f t="shared" si="46"/>
        <v>0</v>
      </c>
      <c r="J626" s="56">
        <v>45644</v>
      </c>
      <c r="K626" s="57"/>
    </row>
    <row r="627" spans="1:11" ht="15.75" hidden="1" customHeight="1" x14ac:dyDescent="0.35">
      <c r="A627" s="47" t="s">
        <v>122</v>
      </c>
      <c r="B627" s="48">
        <v>45618</v>
      </c>
      <c r="C627" s="50" t="s">
        <v>1489</v>
      </c>
      <c r="D627" s="50" t="s">
        <v>1734</v>
      </c>
      <c r="E627" s="51">
        <v>17731000</v>
      </c>
      <c r="F627" s="52">
        <f t="shared" si="44"/>
        <v>1418480</v>
      </c>
      <c r="G627" s="53">
        <f t="shared" si="45"/>
        <v>19149480</v>
      </c>
      <c r="H627" s="54">
        <v>19149480</v>
      </c>
      <c r="I627" s="55">
        <f t="shared" si="46"/>
        <v>0</v>
      </c>
      <c r="J627" s="56">
        <v>45644</v>
      </c>
      <c r="K627" s="57"/>
    </row>
    <row r="628" spans="1:11" ht="15.75" hidden="1" customHeight="1" x14ac:dyDescent="0.35">
      <c r="A628" s="47" t="s">
        <v>177</v>
      </c>
      <c r="B628" s="48" t="s">
        <v>1580</v>
      </c>
      <c r="C628" s="49" t="s">
        <v>1490</v>
      </c>
      <c r="D628" s="50"/>
      <c r="E628" s="51">
        <v>35688200</v>
      </c>
      <c r="F628" s="52">
        <f t="shared" si="44"/>
        <v>2855056</v>
      </c>
      <c r="G628" s="53">
        <f t="shared" si="45"/>
        <v>38543256</v>
      </c>
      <c r="H628" s="54">
        <v>38543256</v>
      </c>
      <c r="I628" s="55">
        <f t="shared" si="46"/>
        <v>0</v>
      </c>
      <c r="J628" s="56">
        <v>45644</v>
      </c>
      <c r="K628" s="57"/>
    </row>
    <row r="629" spans="1:11" ht="15.75" hidden="1" customHeight="1" x14ac:dyDescent="0.35">
      <c r="A629" s="47" t="s">
        <v>39</v>
      </c>
      <c r="B629" s="48" t="s">
        <v>1580</v>
      </c>
      <c r="C629" s="49" t="s">
        <v>1491</v>
      </c>
      <c r="D629" s="50"/>
      <c r="E629" s="51">
        <v>35688200</v>
      </c>
      <c r="F629" s="52">
        <f t="shared" ref="F629:F692" si="47">+E629*0.08</f>
        <v>2855056</v>
      </c>
      <c r="G629" s="53">
        <f t="shared" ref="G629:G692" si="48">E629+F629</f>
        <v>38543256</v>
      </c>
      <c r="H629" s="54">
        <v>38543256</v>
      </c>
      <c r="I629" s="55">
        <f t="shared" si="46"/>
        <v>0</v>
      </c>
      <c r="J629" s="56">
        <v>45644</v>
      </c>
      <c r="K629" s="57"/>
    </row>
    <row r="630" spans="1:11" ht="15.75" hidden="1" customHeight="1" x14ac:dyDescent="0.35">
      <c r="A630" s="47" t="s">
        <v>44</v>
      </c>
      <c r="B630" s="48" t="s">
        <v>1580</v>
      </c>
      <c r="C630" s="50" t="s">
        <v>1492</v>
      </c>
      <c r="D630" s="50"/>
      <c r="E630" s="51">
        <v>35688200</v>
      </c>
      <c r="F630" s="52">
        <f t="shared" si="47"/>
        <v>2855056</v>
      </c>
      <c r="G630" s="53">
        <f t="shared" si="48"/>
        <v>38543256</v>
      </c>
      <c r="H630" s="54">
        <v>38543256</v>
      </c>
      <c r="I630" s="55">
        <f t="shared" si="46"/>
        <v>0</v>
      </c>
      <c r="J630" s="56">
        <v>45644</v>
      </c>
      <c r="K630" s="57"/>
    </row>
    <row r="631" spans="1:11" ht="15.75" hidden="1" customHeight="1" x14ac:dyDescent="0.35">
      <c r="A631" s="47" t="s">
        <v>29</v>
      </c>
      <c r="B631" s="48" t="s">
        <v>1580</v>
      </c>
      <c r="C631" s="49" t="s">
        <v>1493</v>
      </c>
      <c r="D631" s="50"/>
      <c r="E631" s="51">
        <v>35688200</v>
      </c>
      <c r="F631" s="52">
        <f t="shared" si="47"/>
        <v>2855056</v>
      </c>
      <c r="G631" s="53">
        <f t="shared" si="48"/>
        <v>38543256</v>
      </c>
      <c r="H631" s="54">
        <v>38543256</v>
      </c>
      <c r="I631" s="55">
        <f t="shared" si="46"/>
        <v>0</v>
      </c>
      <c r="J631" s="56">
        <v>45644</v>
      </c>
      <c r="K631" s="57"/>
    </row>
    <row r="632" spans="1:11" ht="15.75" hidden="1" customHeight="1" x14ac:dyDescent="0.35">
      <c r="A632" s="47" t="s">
        <v>50</v>
      </c>
      <c r="B632" s="48" t="s">
        <v>1580</v>
      </c>
      <c r="C632" s="49" t="s">
        <v>1494</v>
      </c>
      <c r="D632" s="50"/>
      <c r="E632" s="51">
        <v>35688200</v>
      </c>
      <c r="F632" s="52">
        <f t="shared" si="47"/>
        <v>2855056</v>
      </c>
      <c r="G632" s="53">
        <f t="shared" si="48"/>
        <v>38543256</v>
      </c>
      <c r="H632" s="54">
        <v>38543256</v>
      </c>
      <c r="I632" s="55">
        <f t="shared" si="46"/>
        <v>0</v>
      </c>
      <c r="J632" s="56">
        <v>45644</v>
      </c>
      <c r="K632" s="57"/>
    </row>
    <row r="633" spans="1:11" ht="15.75" hidden="1" customHeight="1" x14ac:dyDescent="0.35">
      <c r="A633" s="47" t="s">
        <v>23</v>
      </c>
      <c r="B633" s="48" t="s">
        <v>1580</v>
      </c>
      <c r="C633" s="49" t="s">
        <v>1495</v>
      </c>
      <c r="D633" s="50"/>
      <c r="E633" s="51">
        <v>35688200</v>
      </c>
      <c r="F633" s="52">
        <f t="shared" si="47"/>
        <v>2855056</v>
      </c>
      <c r="G633" s="53">
        <f t="shared" si="48"/>
        <v>38543256</v>
      </c>
      <c r="H633" s="54">
        <v>38543256</v>
      </c>
      <c r="I633" s="55">
        <f t="shared" ref="I633:I696" si="49">G633-H633</f>
        <v>0</v>
      </c>
      <c r="J633" s="56">
        <v>45644</v>
      </c>
      <c r="K633" s="57"/>
    </row>
    <row r="634" spans="1:11" ht="15.75" hidden="1" customHeight="1" x14ac:dyDescent="0.35">
      <c r="A634" s="47" t="s">
        <v>127</v>
      </c>
      <c r="B634" s="48" t="s">
        <v>1580</v>
      </c>
      <c r="C634" s="49" t="s">
        <v>1496</v>
      </c>
      <c r="D634" s="50"/>
      <c r="E634" s="51">
        <v>35688200</v>
      </c>
      <c r="F634" s="52">
        <f t="shared" si="47"/>
        <v>2855056</v>
      </c>
      <c r="G634" s="53">
        <f t="shared" si="48"/>
        <v>38543256</v>
      </c>
      <c r="H634" s="54">
        <v>38543256</v>
      </c>
      <c r="I634" s="55">
        <f t="shared" si="49"/>
        <v>0</v>
      </c>
      <c r="J634" s="56">
        <v>45644</v>
      </c>
      <c r="K634" s="57"/>
    </row>
    <row r="635" spans="1:11" ht="15.75" hidden="1" customHeight="1" x14ac:dyDescent="0.35">
      <c r="A635" s="47" t="s">
        <v>1589</v>
      </c>
      <c r="B635" s="48" t="s">
        <v>1580</v>
      </c>
      <c r="C635" s="49" t="s">
        <v>1497</v>
      </c>
      <c r="D635" s="50"/>
      <c r="E635" s="51">
        <v>35688200</v>
      </c>
      <c r="F635" s="52">
        <f t="shared" si="47"/>
        <v>2855056</v>
      </c>
      <c r="G635" s="53">
        <f t="shared" si="48"/>
        <v>38543256</v>
      </c>
      <c r="H635" s="54">
        <v>38543256</v>
      </c>
      <c r="I635" s="55">
        <f t="shared" si="49"/>
        <v>0</v>
      </c>
      <c r="J635" s="56">
        <v>45644</v>
      </c>
      <c r="K635" s="57"/>
    </row>
    <row r="636" spans="1:11" ht="15.75" hidden="1" customHeight="1" x14ac:dyDescent="0.35">
      <c r="A636" s="47" t="s">
        <v>118</v>
      </c>
      <c r="B636" s="48" t="s">
        <v>1580</v>
      </c>
      <c r="C636" s="49" t="s">
        <v>1498</v>
      </c>
      <c r="D636" s="50"/>
      <c r="E636" s="51">
        <v>35688200</v>
      </c>
      <c r="F636" s="52">
        <f t="shared" si="47"/>
        <v>2855056</v>
      </c>
      <c r="G636" s="53">
        <f t="shared" si="48"/>
        <v>38543256</v>
      </c>
      <c r="H636" s="54">
        <v>38543256</v>
      </c>
      <c r="I636" s="55">
        <f t="shared" si="49"/>
        <v>0</v>
      </c>
      <c r="J636" s="56">
        <v>45644</v>
      </c>
      <c r="K636" s="57"/>
    </row>
    <row r="637" spans="1:11" ht="15.75" hidden="1" customHeight="1" x14ac:dyDescent="0.35">
      <c r="A637" s="47" t="s">
        <v>119</v>
      </c>
      <c r="B637" s="48" t="s">
        <v>1580</v>
      </c>
      <c r="C637" s="49" t="s">
        <v>1499</v>
      </c>
      <c r="D637" s="50"/>
      <c r="E637" s="51">
        <v>35688200</v>
      </c>
      <c r="F637" s="52">
        <f t="shared" si="47"/>
        <v>2855056</v>
      </c>
      <c r="G637" s="53">
        <f t="shared" si="48"/>
        <v>38543256</v>
      </c>
      <c r="H637" s="54">
        <v>38543256</v>
      </c>
      <c r="I637" s="55">
        <f t="shared" si="49"/>
        <v>0</v>
      </c>
      <c r="J637" s="56">
        <v>45644</v>
      </c>
      <c r="K637" s="57"/>
    </row>
    <row r="638" spans="1:11" ht="15.75" hidden="1" customHeight="1" x14ac:dyDescent="0.35">
      <c r="A638" s="47" t="s">
        <v>1590</v>
      </c>
      <c r="B638" s="48">
        <v>45643</v>
      </c>
      <c r="C638" s="49" t="s">
        <v>1500</v>
      </c>
      <c r="D638" s="50" t="s">
        <v>1654</v>
      </c>
      <c r="E638" s="51">
        <v>35243200</v>
      </c>
      <c r="F638" s="52">
        <f t="shared" si="47"/>
        <v>2819456</v>
      </c>
      <c r="G638" s="53">
        <f t="shared" si="48"/>
        <v>38062656</v>
      </c>
      <c r="H638" s="54">
        <v>38062656</v>
      </c>
      <c r="I638" s="55">
        <f t="shared" si="49"/>
        <v>0</v>
      </c>
      <c r="J638" s="56">
        <v>45734</v>
      </c>
      <c r="K638" s="57"/>
    </row>
    <row r="639" spans="1:11" ht="15.75" hidden="1" customHeight="1" x14ac:dyDescent="0.35">
      <c r="A639" s="47" t="s">
        <v>84</v>
      </c>
      <c r="B639" s="48" t="s">
        <v>1580</v>
      </c>
      <c r="C639" s="49" t="s">
        <v>1501</v>
      </c>
      <c r="D639" s="50"/>
      <c r="E639" s="51">
        <v>35688200</v>
      </c>
      <c r="F639" s="52">
        <f t="shared" si="47"/>
        <v>2855056</v>
      </c>
      <c r="G639" s="53">
        <f t="shared" si="48"/>
        <v>38543256</v>
      </c>
      <c r="H639" s="54">
        <v>38543256</v>
      </c>
      <c r="I639" s="55">
        <f t="shared" si="49"/>
        <v>0</v>
      </c>
      <c r="J639" s="56">
        <v>45644</v>
      </c>
      <c r="K639" s="57"/>
    </row>
    <row r="640" spans="1:11" ht="15.75" hidden="1" customHeight="1" x14ac:dyDescent="0.35">
      <c r="A640" s="47" t="s">
        <v>1591</v>
      </c>
      <c r="B640" s="48">
        <v>45614</v>
      </c>
      <c r="C640" s="50" t="s">
        <v>1502</v>
      </c>
      <c r="D640" s="49" t="s">
        <v>1609</v>
      </c>
      <c r="E640" s="51">
        <v>34739200</v>
      </c>
      <c r="F640" s="52">
        <f t="shared" si="47"/>
        <v>2779136</v>
      </c>
      <c r="G640" s="53">
        <f t="shared" si="48"/>
        <v>37518336</v>
      </c>
      <c r="H640" s="54">
        <v>37518336</v>
      </c>
      <c r="I640" s="55">
        <f t="shared" si="49"/>
        <v>0</v>
      </c>
      <c r="J640" s="56">
        <v>45644</v>
      </c>
      <c r="K640" s="57"/>
    </row>
    <row r="641" spans="1:11" ht="15.75" hidden="1" customHeight="1" x14ac:dyDescent="0.35">
      <c r="A641" s="47" t="s">
        <v>309</v>
      </c>
      <c r="B641" s="48" t="s">
        <v>1580</v>
      </c>
      <c r="C641" s="49" t="s">
        <v>1503</v>
      </c>
      <c r="D641" s="50"/>
      <c r="E641" s="51">
        <v>35688200</v>
      </c>
      <c r="F641" s="52">
        <f t="shared" si="47"/>
        <v>2855056</v>
      </c>
      <c r="G641" s="53">
        <f t="shared" si="48"/>
        <v>38543256</v>
      </c>
      <c r="H641" s="54">
        <v>38543256</v>
      </c>
      <c r="I641" s="55">
        <f t="shared" si="49"/>
        <v>0</v>
      </c>
      <c r="J641" s="56">
        <v>45644</v>
      </c>
      <c r="K641" s="57"/>
    </row>
    <row r="642" spans="1:11" ht="15.75" hidden="1" customHeight="1" x14ac:dyDescent="0.35">
      <c r="A642" s="47" t="s">
        <v>125</v>
      </c>
      <c r="B642" s="48" t="s">
        <v>1580</v>
      </c>
      <c r="C642" s="49" t="s">
        <v>1504</v>
      </c>
      <c r="D642" s="50"/>
      <c r="E642" s="51">
        <v>35688200</v>
      </c>
      <c r="F642" s="52">
        <f t="shared" si="47"/>
        <v>2855056</v>
      </c>
      <c r="G642" s="53">
        <f t="shared" si="48"/>
        <v>38543256</v>
      </c>
      <c r="H642" s="54">
        <v>38543256</v>
      </c>
      <c r="I642" s="55">
        <f t="shared" si="49"/>
        <v>0</v>
      </c>
      <c r="J642" s="56">
        <v>45644</v>
      </c>
      <c r="K642" s="57"/>
    </row>
    <row r="643" spans="1:11" ht="15.75" hidden="1" customHeight="1" x14ac:dyDescent="0.35">
      <c r="A643" s="47" t="s">
        <v>1592</v>
      </c>
      <c r="B643" s="48" t="s">
        <v>1580</v>
      </c>
      <c r="C643" s="49" t="s">
        <v>1505</v>
      </c>
      <c r="D643" s="50"/>
      <c r="E643" s="51">
        <v>35688200</v>
      </c>
      <c r="F643" s="52">
        <f t="shared" si="47"/>
        <v>2855056</v>
      </c>
      <c r="G643" s="53">
        <f t="shared" si="48"/>
        <v>38543256</v>
      </c>
      <c r="H643" s="54">
        <v>38543256</v>
      </c>
      <c r="I643" s="55">
        <f t="shared" si="49"/>
        <v>0</v>
      </c>
      <c r="J643" s="56">
        <v>45644</v>
      </c>
      <c r="K643" s="57"/>
    </row>
    <row r="644" spans="1:11" ht="15.75" hidden="1" customHeight="1" x14ac:dyDescent="0.35">
      <c r="A644" s="47" t="s">
        <v>25</v>
      </c>
      <c r="B644" s="48" t="s">
        <v>1580</v>
      </c>
      <c r="C644" s="49" t="s">
        <v>1506</v>
      </c>
      <c r="D644" s="50"/>
      <c r="E644" s="51">
        <v>35688200</v>
      </c>
      <c r="F644" s="52">
        <f t="shared" si="47"/>
        <v>2855056</v>
      </c>
      <c r="G644" s="53">
        <f t="shared" si="48"/>
        <v>38543256</v>
      </c>
      <c r="H644" s="54">
        <v>38543256</v>
      </c>
      <c r="I644" s="55">
        <f t="shared" si="49"/>
        <v>0</v>
      </c>
      <c r="J644" s="56">
        <v>45644</v>
      </c>
      <c r="K644" s="57"/>
    </row>
    <row r="645" spans="1:11" ht="15.75" hidden="1" customHeight="1" x14ac:dyDescent="0.35">
      <c r="A645" s="47" t="s">
        <v>1593</v>
      </c>
      <c r="B645" s="48" t="s">
        <v>1580</v>
      </c>
      <c r="C645" s="49" t="s">
        <v>1507</v>
      </c>
      <c r="D645" s="50"/>
      <c r="E645" s="51">
        <v>35688200</v>
      </c>
      <c r="F645" s="52">
        <f t="shared" si="47"/>
        <v>2855056</v>
      </c>
      <c r="G645" s="53">
        <f t="shared" si="48"/>
        <v>38543256</v>
      </c>
      <c r="H645" s="54">
        <v>38543256</v>
      </c>
      <c r="I645" s="55">
        <f t="shared" si="49"/>
        <v>0</v>
      </c>
      <c r="J645" s="56">
        <v>45644</v>
      </c>
      <c r="K645" s="57"/>
    </row>
    <row r="646" spans="1:11" ht="15.75" hidden="1" customHeight="1" x14ac:dyDescent="0.35">
      <c r="A646" s="47" t="s">
        <v>212</v>
      </c>
      <c r="B646" s="48" t="s">
        <v>1580</v>
      </c>
      <c r="C646" s="49" t="s">
        <v>1508</v>
      </c>
      <c r="D646" s="50"/>
      <c r="E646" s="51">
        <v>35688200</v>
      </c>
      <c r="F646" s="52">
        <f t="shared" si="47"/>
        <v>2855056</v>
      </c>
      <c r="G646" s="53">
        <f t="shared" si="48"/>
        <v>38543256</v>
      </c>
      <c r="H646" s="54">
        <v>38543256</v>
      </c>
      <c r="I646" s="55">
        <f t="shared" si="49"/>
        <v>0</v>
      </c>
      <c r="J646" s="56">
        <v>45644</v>
      </c>
      <c r="K646" s="57"/>
    </row>
    <row r="647" spans="1:11" ht="15.75" hidden="1" customHeight="1" x14ac:dyDescent="0.35">
      <c r="A647" s="47" t="s">
        <v>1594</v>
      </c>
      <c r="B647" s="48" t="s">
        <v>1580</v>
      </c>
      <c r="C647" s="49" t="s">
        <v>1509</v>
      </c>
      <c r="D647" s="50"/>
      <c r="E647" s="51">
        <v>35688200</v>
      </c>
      <c r="F647" s="52">
        <f t="shared" si="47"/>
        <v>2855056</v>
      </c>
      <c r="G647" s="53">
        <f t="shared" si="48"/>
        <v>38543256</v>
      </c>
      <c r="H647" s="54">
        <v>38543256</v>
      </c>
      <c r="I647" s="55">
        <f t="shared" si="49"/>
        <v>0</v>
      </c>
      <c r="J647" s="56">
        <v>45644</v>
      </c>
      <c r="K647" s="57"/>
    </row>
    <row r="648" spans="1:11" ht="15.75" hidden="1" customHeight="1" x14ac:dyDescent="0.35">
      <c r="A648" s="47" t="s">
        <v>55</v>
      </c>
      <c r="B648" s="48" t="s">
        <v>1580</v>
      </c>
      <c r="C648" s="49" t="s">
        <v>1510</v>
      </c>
      <c r="D648" s="50"/>
      <c r="E648" s="51">
        <v>35688200</v>
      </c>
      <c r="F648" s="52">
        <f t="shared" si="47"/>
        <v>2855056</v>
      </c>
      <c r="G648" s="53">
        <f t="shared" si="48"/>
        <v>38543256</v>
      </c>
      <c r="H648" s="54">
        <v>38543256</v>
      </c>
      <c r="I648" s="55">
        <f t="shared" si="49"/>
        <v>0</v>
      </c>
      <c r="J648" s="56">
        <v>45644</v>
      </c>
      <c r="K648" s="57"/>
    </row>
    <row r="649" spans="1:11" ht="15.75" hidden="1" customHeight="1" x14ac:dyDescent="0.35">
      <c r="A649" s="47" t="s">
        <v>1414</v>
      </c>
      <c r="B649" s="48" t="s">
        <v>1580</v>
      </c>
      <c r="C649" s="49" t="s">
        <v>1511</v>
      </c>
      <c r="D649" s="50"/>
      <c r="E649" s="51">
        <v>35688200</v>
      </c>
      <c r="F649" s="52">
        <f t="shared" si="47"/>
        <v>2855056</v>
      </c>
      <c r="G649" s="53">
        <f t="shared" si="48"/>
        <v>38543256</v>
      </c>
      <c r="H649" s="54">
        <v>38543256</v>
      </c>
      <c r="I649" s="55">
        <f t="shared" si="49"/>
        <v>0</v>
      </c>
      <c r="J649" s="56">
        <v>45644</v>
      </c>
      <c r="K649" s="57"/>
    </row>
    <row r="650" spans="1:11" ht="15.75" hidden="1" customHeight="1" x14ac:dyDescent="0.35">
      <c r="A650" s="47" t="s">
        <v>770</v>
      </c>
      <c r="B650" s="48" t="s">
        <v>1580</v>
      </c>
      <c r="C650" s="49" t="s">
        <v>1512</v>
      </c>
      <c r="D650" s="50"/>
      <c r="E650" s="51">
        <v>35688200</v>
      </c>
      <c r="F650" s="52">
        <f t="shared" si="47"/>
        <v>2855056</v>
      </c>
      <c r="G650" s="53">
        <f t="shared" si="48"/>
        <v>38543256</v>
      </c>
      <c r="H650" s="54">
        <v>38543256</v>
      </c>
      <c r="I650" s="55">
        <f t="shared" si="49"/>
        <v>0</v>
      </c>
      <c r="J650" s="56">
        <v>45644</v>
      </c>
      <c r="K650" s="57"/>
    </row>
    <row r="651" spans="1:11" ht="15.75" hidden="1" customHeight="1" x14ac:dyDescent="0.35">
      <c r="A651" s="47" t="s">
        <v>1595</v>
      </c>
      <c r="B651" s="48">
        <v>45615</v>
      </c>
      <c r="C651" s="50" t="s">
        <v>1513</v>
      </c>
      <c r="D651" s="49" t="s">
        <v>1611</v>
      </c>
      <c r="E651" s="51">
        <v>35688200</v>
      </c>
      <c r="F651" s="52">
        <f t="shared" si="47"/>
        <v>2855056</v>
      </c>
      <c r="G651" s="53">
        <f t="shared" si="48"/>
        <v>38543256</v>
      </c>
      <c r="H651" s="54">
        <v>38543256</v>
      </c>
      <c r="I651" s="55">
        <f t="shared" si="49"/>
        <v>0</v>
      </c>
      <c r="J651" s="56">
        <v>45644</v>
      </c>
      <c r="K651" s="57"/>
    </row>
    <row r="652" spans="1:11" ht="15.75" hidden="1" customHeight="1" x14ac:dyDescent="0.35">
      <c r="A652" s="47" t="s">
        <v>269</v>
      </c>
      <c r="B652" s="48" t="s">
        <v>1580</v>
      </c>
      <c r="C652" s="49" t="s">
        <v>1514</v>
      </c>
      <c r="D652" s="50"/>
      <c r="E652" s="51">
        <v>35688200</v>
      </c>
      <c r="F652" s="52">
        <f t="shared" si="47"/>
        <v>2855056</v>
      </c>
      <c r="G652" s="53">
        <f t="shared" si="48"/>
        <v>38543256</v>
      </c>
      <c r="H652" s="54">
        <v>38543256</v>
      </c>
      <c r="I652" s="55">
        <f t="shared" si="49"/>
        <v>0</v>
      </c>
      <c r="J652" s="56">
        <v>45644</v>
      </c>
      <c r="K652" s="57"/>
    </row>
    <row r="653" spans="1:11" ht="15.75" hidden="1" customHeight="1" x14ac:dyDescent="0.35">
      <c r="A653" s="47" t="s">
        <v>120</v>
      </c>
      <c r="B653" s="48" t="s">
        <v>1580</v>
      </c>
      <c r="C653" s="49" t="s">
        <v>1515</v>
      </c>
      <c r="D653" s="50"/>
      <c r="E653" s="51">
        <v>35688200</v>
      </c>
      <c r="F653" s="52">
        <f t="shared" si="47"/>
        <v>2855056</v>
      </c>
      <c r="G653" s="53">
        <f t="shared" si="48"/>
        <v>38543256</v>
      </c>
      <c r="H653" s="54">
        <v>38543256</v>
      </c>
      <c r="I653" s="55">
        <f t="shared" si="49"/>
        <v>0</v>
      </c>
      <c r="J653" s="56">
        <v>45644</v>
      </c>
      <c r="K653" s="57"/>
    </row>
    <row r="654" spans="1:11" ht="15.75" hidden="1" customHeight="1" x14ac:dyDescent="0.35">
      <c r="A654" s="47" t="s">
        <v>141</v>
      </c>
      <c r="B654" s="48" t="s">
        <v>1580</v>
      </c>
      <c r="C654" s="49" t="s">
        <v>1516</v>
      </c>
      <c r="D654" s="50"/>
      <c r="E654" s="51">
        <v>35688200</v>
      </c>
      <c r="F654" s="52">
        <f t="shared" si="47"/>
        <v>2855056</v>
      </c>
      <c r="G654" s="53">
        <f t="shared" si="48"/>
        <v>38543256</v>
      </c>
      <c r="H654" s="54">
        <v>38543256</v>
      </c>
      <c r="I654" s="55">
        <f t="shared" si="49"/>
        <v>0</v>
      </c>
      <c r="J654" s="56">
        <v>45644</v>
      </c>
      <c r="K654" s="57"/>
    </row>
    <row r="655" spans="1:11" ht="15.75" hidden="1" customHeight="1" x14ac:dyDescent="0.35">
      <c r="A655" s="47" t="s">
        <v>144</v>
      </c>
      <c r="B655" s="48" t="s">
        <v>1580</v>
      </c>
      <c r="C655" s="49" t="s">
        <v>1517</v>
      </c>
      <c r="D655" s="50"/>
      <c r="E655" s="51">
        <v>35688200</v>
      </c>
      <c r="F655" s="52">
        <f t="shared" si="47"/>
        <v>2855056</v>
      </c>
      <c r="G655" s="53">
        <f t="shared" si="48"/>
        <v>38543256</v>
      </c>
      <c r="H655" s="54">
        <v>38543256</v>
      </c>
      <c r="I655" s="55">
        <f t="shared" si="49"/>
        <v>0</v>
      </c>
      <c r="J655" s="56">
        <v>45644</v>
      </c>
      <c r="K655" s="57"/>
    </row>
    <row r="656" spans="1:11" ht="15.75" hidden="1" customHeight="1" x14ac:dyDescent="0.35">
      <c r="A656" s="47" t="s">
        <v>1596</v>
      </c>
      <c r="B656" s="48" t="s">
        <v>1580</v>
      </c>
      <c r="C656" s="49" t="s">
        <v>1518</v>
      </c>
      <c r="D656" s="50"/>
      <c r="E656" s="51">
        <v>35688200</v>
      </c>
      <c r="F656" s="52">
        <f t="shared" si="47"/>
        <v>2855056</v>
      </c>
      <c r="G656" s="53">
        <f t="shared" si="48"/>
        <v>38543256</v>
      </c>
      <c r="H656" s="54">
        <v>38543256</v>
      </c>
      <c r="I656" s="55">
        <f t="shared" si="49"/>
        <v>0</v>
      </c>
      <c r="J656" s="56">
        <v>45644</v>
      </c>
      <c r="K656" s="57"/>
    </row>
    <row r="657" spans="1:11" ht="15.75" hidden="1" customHeight="1" x14ac:dyDescent="0.35">
      <c r="A657" s="47" t="s">
        <v>121</v>
      </c>
      <c r="B657" s="48" t="s">
        <v>1580</v>
      </c>
      <c r="C657" s="49" t="s">
        <v>1519</v>
      </c>
      <c r="D657" s="50"/>
      <c r="E657" s="51">
        <v>35688200</v>
      </c>
      <c r="F657" s="52">
        <f t="shared" si="47"/>
        <v>2855056</v>
      </c>
      <c r="G657" s="53">
        <f t="shared" si="48"/>
        <v>38543256</v>
      </c>
      <c r="H657" s="54">
        <v>38543256</v>
      </c>
      <c r="I657" s="55">
        <f t="shared" si="49"/>
        <v>0</v>
      </c>
      <c r="J657" s="56">
        <v>45644</v>
      </c>
      <c r="K657" s="57"/>
    </row>
    <row r="658" spans="1:11" ht="15.75" hidden="1" customHeight="1" x14ac:dyDescent="0.35">
      <c r="A658" s="47" t="s">
        <v>1597</v>
      </c>
      <c r="B658" s="48">
        <v>45615</v>
      </c>
      <c r="C658" s="50" t="s">
        <v>1520</v>
      </c>
      <c r="D658" s="49" t="s">
        <v>1614</v>
      </c>
      <c r="E658" s="51">
        <v>33288200</v>
      </c>
      <c r="F658" s="52">
        <f t="shared" si="47"/>
        <v>2663056</v>
      </c>
      <c r="G658" s="53">
        <f t="shared" si="48"/>
        <v>35951256</v>
      </c>
      <c r="H658" s="54">
        <v>35951256</v>
      </c>
      <c r="I658" s="55">
        <f t="shared" si="49"/>
        <v>0</v>
      </c>
      <c r="J658" s="56">
        <v>45644</v>
      </c>
      <c r="K658" s="57"/>
    </row>
    <row r="659" spans="1:11" ht="15.75" hidden="1" customHeight="1" x14ac:dyDescent="0.35">
      <c r="A659" s="47" t="s">
        <v>134</v>
      </c>
      <c r="B659" s="48" t="s">
        <v>1580</v>
      </c>
      <c r="C659" s="49" t="s">
        <v>1521</v>
      </c>
      <c r="D659" s="50"/>
      <c r="E659" s="51">
        <v>35688200</v>
      </c>
      <c r="F659" s="52">
        <f t="shared" si="47"/>
        <v>2855056</v>
      </c>
      <c r="G659" s="53">
        <f t="shared" si="48"/>
        <v>38543256</v>
      </c>
      <c r="H659" s="54">
        <v>38543256</v>
      </c>
      <c r="I659" s="55">
        <f t="shared" si="49"/>
        <v>0</v>
      </c>
      <c r="J659" s="56">
        <v>45644</v>
      </c>
      <c r="K659" s="57"/>
    </row>
    <row r="660" spans="1:11" ht="15.75" hidden="1" customHeight="1" x14ac:dyDescent="0.35">
      <c r="A660" s="47" t="s">
        <v>100</v>
      </c>
      <c r="B660" s="48" t="s">
        <v>1580</v>
      </c>
      <c r="C660" s="49" t="s">
        <v>1522</v>
      </c>
      <c r="D660" s="50"/>
      <c r="E660" s="51">
        <v>35688200</v>
      </c>
      <c r="F660" s="52">
        <f t="shared" si="47"/>
        <v>2855056</v>
      </c>
      <c r="G660" s="53">
        <f t="shared" si="48"/>
        <v>38543256</v>
      </c>
      <c r="H660" s="54">
        <v>38543256</v>
      </c>
      <c r="I660" s="55">
        <f t="shared" si="49"/>
        <v>0</v>
      </c>
      <c r="J660" s="56">
        <v>45644</v>
      </c>
      <c r="K660" s="57"/>
    </row>
    <row r="661" spans="1:11" ht="15.75" hidden="1" customHeight="1" x14ac:dyDescent="0.35">
      <c r="A661" s="47" t="s">
        <v>104</v>
      </c>
      <c r="B661" s="48" t="s">
        <v>1580</v>
      </c>
      <c r="C661" s="49" t="s">
        <v>1523</v>
      </c>
      <c r="D661" s="50"/>
      <c r="E661" s="51">
        <v>35688200</v>
      </c>
      <c r="F661" s="52">
        <f t="shared" si="47"/>
        <v>2855056</v>
      </c>
      <c r="G661" s="53">
        <f t="shared" si="48"/>
        <v>38543256</v>
      </c>
      <c r="H661" s="54">
        <v>38543256</v>
      </c>
      <c r="I661" s="55">
        <f t="shared" si="49"/>
        <v>0</v>
      </c>
      <c r="J661" s="56">
        <v>45644</v>
      </c>
      <c r="K661" s="57"/>
    </row>
    <row r="662" spans="1:11" ht="15.75" hidden="1" customHeight="1" x14ac:dyDescent="0.35">
      <c r="A662" s="47" t="s">
        <v>45</v>
      </c>
      <c r="B662" s="48" t="s">
        <v>1580</v>
      </c>
      <c r="C662" s="49" t="s">
        <v>1524</v>
      </c>
      <c r="D662" s="50"/>
      <c r="E662" s="51">
        <v>35688200</v>
      </c>
      <c r="F662" s="52">
        <f t="shared" si="47"/>
        <v>2855056</v>
      </c>
      <c r="G662" s="53">
        <f t="shared" si="48"/>
        <v>38543256</v>
      </c>
      <c r="H662" s="54">
        <v>38543256</v>
      </c>
      <c r="I662" s="55">
        <f t="shared" si="49"/>
        <v>0</v>
      </c>
      <c r="J662" s="56">
        <v>45644</v>
      </c>
      <c r="K662" s="57"/>
    </row>
    <row r="663" spans="1:11" ht="15.75" hidden="1" customHeight="1" x14ac:dyDescent="0.35">
      <c r="A663" s="47" t="s">
        <v>150</v>
      </c>
      <c r="B663" s="48" t="s">
        <v>1580</v>
      </c>
      <c r="C663" s="49" t="s">
        <v>1525</v>
      </c>
      <c r="D663" s="50"/>
      <c r="E663" s="51">
        <v>35688200</v>
      </c>
      <c r="F663" s="52">
        <f t="shared" si="47"/>
        <v>2855056</v>
      </c>
      <c r="G663" s="53">
        <f t="shared" si="48"/>
        <v>38543256</v>
      </c>
      <c r="H663" s="54">
        <v>38543256</v>
      </c>
      <c r="I663" s="55">
        <f t="shared" si="49"/>
        <v>0</v>
      </c>
      <c r="J663" s="56">
        <v>45644</v>
      </c>
      <c r="K663" s="57"/>
    </row>
    <row r="664" spans="1:11" ht="15.75" hidden="1" customHeight="1" x14ac:dyDescent="0.35">
      <c r="A664" s="47" t="s">
        <v>49</v>
      </c>
      <c r="B664" s="48" t="s">
        <v>1580</v>
      </c>
      <c r="C664" s="49" t="s">
        <v>1526</v>
      </c>
      <c r="D664" s="50"/>
      <c r="E664" s="51">
        <v>35688200</v>
      </c>
      <c r="F664" s="52">
        <f t="shared" si="47"/>
        <v>2855056</v>
      </c>
      <c r="G664" s="53">
        <f t="shared" si="48"/>
        <v>38543256</v>
      </c>
      <c r="H664" s="54">
        <v>38543256</v>
      </c>
      <c r="I664" s="55">
        <f t="shared" si="49"/>
        <v>0</v>
      </c>
      <c r="J664" s="56">
        <v>45644</v>
      </c>
      <c r="K664" s="57"/>
    </row>
    <row r="665" spans="1:11" ht="15.75" hidden="1" customHeight="1" x14ac:dyDescent="0.35">
      <c r="A665" s="47" t="s">
        <v>1598</v>
      </c>
      <c r="B665" s="48" t="s">
        <v>1580</v>
      </c>
      <c r="C665" s="49" t="s">
        <v>1527</v>
      </c>
      <c r="D665" s="50"/>
      <c r="E665" s="51">
        <v>35688200</v>
      </c>
      <c r="F665" s="52">
        <f t="shared" si="47"/>
        <v>2855056</v>
      </c>
      <c r="G665" s="53">
        <f t="shared" si="48"/>
        <v>38543256</v>
      </c>
      <c r="H665" s="54">
        <v>38543256</v>
      </c>
      <c r="I665" s="55">
        <f t="shared" si="49"/>
        <v>0</v>
      </c>
      <c r="J665" s="56">
        <v>45644</v>
      </c>
      <c r="K665" s="57"/>
    </row>
    <row r="666" spans="1:11" ht="15.75" hidden="1" customHeight="1" x14ac:dyDescent="0.35">
      <c r="A666" s="47" t="s">
        <v>114</v>
      </c>
      <c r="B666" s="48" t="s">
        <v>1580</v>
      </c>
      <c r="C666" s="49" t="s">
        <v>1528</v>
      </c>
      <c r="D666" s="50"/>
      <c r="E666" s="51">
        <v>35688200</v>
      </c>
      <c r="F666" s="52">
        <f t="shared" si="47"/>
        <v>2855056</v>
      </c>
      <c r="G666" s="53">
        <f t="shared" si="48"/>
        <v>38543256</v>
      </c>
      <c r="H666" s="54">
        <v>38543256</v>
      </c>
      <c r="I666" s="55">
        <f t="shared" si="49"/>
        <v>0</v>
      </c>
      <c r="J666" s="56">
        <v>45644</v>
      </c>
      <c r="K666" s="57"/>
    </row>
    <row r="667" spans="1:11" ht="15.75" hidden="1" customHeight="1" x14ac:dyDescent="0.35">
      <c r="A667" s="47" t="s">
        <v>151</v>
      </c>
      <c r="B667" s="48" t="s">
        <v>1580</v>
      </c>
      <c r="C667" s="50" t="s">
        <v>1529</v>
      </c>
      <c r="D667" s="50"/>
      <c r="E667" s="51">
        <v>35688200</v>
      </c>
      <c r="F667" s="52">
        <f t="shared" si="47"/>
        <v>2855056</v>
      </c>
      <c r="G667" s="53">
        <f t="shared" si="48"/>
        <v>38543256</v>
      </c>
      <c r="H667" s="54">
        <v>38543256</v>
      </c>
      <c r="I667" s="55">
        <f t="shared" si="49"/>
        <v>0</v>
      </c>
      <c r="J667" s="56">
        <v>45644</v>
      </c>
      <c r="K667" s="57"/>
    </row>
    <row r="668" spans="1:11" ht="15.75" hidden="1" customHeight="1" x14ac:dyDescent="0.35">
      <c r="A668" s="47" t="s">
        <v>149</v>
      </c>
      <c r="B668" s="48" t="s">
        <v>1580</v>
      </c>
      <c r="C668" s="49" t="s">
        <v>1530</v>
      </c>
      <c r="D668" s="50"/>
      <c r="E668" s="51">
        <v>35688200</v>
      </c>
      <c r="F668" s="52">
        <f t="shared" si="47"/>
        <v>2855056</v>
      </c>
      <c r="G668" s="53">
        <f t="shared" si="48"/>
        <v>38543256</v>
      </c>
      <c r="H668" s="54">
        <v>38543256</v>
      </c>
      <c r="I668" s="55">
        <f t="shared" si="49"/>
        <v>0</v>
      </c>
      <c r="J668" s="56">
        <v>45644</v>
      </c>
      <c r="K668" s="57"/>
    </row>
    <row r="669" spans="1:11" ht="15.75" hidden="1" customHeight="1" x14ac:dyDescent="0.35">
      <c r="A669" s="47" t="s">
        <v>1599</v>
      </c>
      <c r="B669" s="48" t="s">
        <v>1580</v>
      </c>
      <c r="C669" s="49" t="s">
        <v>1531</v>
      </c>
      <c r="D669" s="50"/>
      <c r="E669" s="51">
        <v>35688200</v>
      </c>
      <c r="F669" s="52">
        <f t="shared" si="47"/>
        <v>2855056</v>
      </c>
      <c r="G669" s="53">
        <f t="shared" si="48"/>
        <v>38543256</v>
      </c>
      <c r="H669" s="54">
        <v>38543256</v>
      </c>
      <c r="I669" s="55">
        <f t="shared" si="49"/>
        <v>0</v>
      </c>
      <c r="J669" s="56">
        <v>45644</v>
      </c>
      <c r="K669" s="57"/>
    </row>
    <row r="670" spans="1:11" ht="15.75" hidden="1" customHeight="1" x14ac:dyDescent="0.35">
      <c r="A670" s="47" t="s">
        <v>153</v>
      </c>
      <c r="B670" s="48" t="s">
        <v>1580</v>
      </c>
      <c r="C670" s="50" t="s">
        <v>1532</v>
      </c>
      <c r="D670" s="50"/>
      <c r="E670" s="51">
        <v>35688200</v>
      </c>
      <c r="F670" s="52">
        <f t="shared" si="47"/>
        <v>2855056</v>
      </c>
      <c r="G670" s="53">
        <f t="shared" si="48"/>
        <v>38543256</v>
      </c>
      <c r="H670" s="54">
        <v>38543256</v>
      </c>
      <c r="I670" s="55">
        <f t="shared" si="49"/>
        <v>0</v>
      </c>
      <c r="J670" s="56">
        <v>45644</v>
      </c>
      <c r="K670" s="57"/>
    </row>
    <row r="671" spans="1:11" ht="15.75" hidden="1" customHeight="1" x14ac:dyDescent="0.35">
      <c r="A671" s="47" t="s">
        <v>1600</v>
      </c>
      <c r="B671" s="48" t="s">
        <v>1580</v>
      </c>
      <c r="C671" s="49" t="s">
        <v>1533</v>
      </c>
      <c r="D671" s="50"/>
      <c r="E671" s="51">
        <v>35688200</v>
      </c>
      <c r="F671" s="52">
        <f t="shared" si="47"/>
        <v>2855056</v>
      </c>
      <c r="G671" s="53">
        <f t="shared" si="48"/>
        <v>38543256</v>
      </c>
      <c r="H671" s="54">
        <v>38543256</v>
      </c>
      <c r="I671" s="55">
        <f t="shared" si="49"/>
        <v>0</v>
      </c>
      <c r="J671" s="56">
        <v>45644</v>
      </c>
      <c r="K671" s="57"/>
    </row>
    <row r="672" spans="1:11" ht="15.75" hidden="1" customHeight="1" x14ac:dyDescent="0.35">
      <c r="A672" s="47" t="s">
        <v>15</v>
      </c>
      <c r="B672" s="48" t="s">
        <v>1580</v>
      </c>
      <c r="C672" s="49" t="s">
        <v>1534</v>
      </c>
      <c r="D672" s="50"/>
      <c r="E672" s="51">
        <v>35688200</v>
      </c>
      <c r="F672" s="52">
        <f t="shared" si="47"/>
        <v>2855056</v>
      </c>
      <c r="G672" s="53">
        <f t="shared" si="48"/>
        <v>38543256</v>
      </c>
      <c r="H672" s="54">
        <v>38543256</v>
      </c>
      <c r="I672" s="55">
        <f t="shared" si="49"/>
        <v>0</v>
      </c>
      <c r="J672" s="56">
        <v>45644</v>
      </c>
      <c r="K672" s="57"/>
    </row>
    <row r="673" spans="1:11" ht="15.75" hidden="1" customHeight="1" x14ac:dyDescent="0.35">
      <c r="A673" s="47" t="s">
        <v>37</v>
      </c>
      <c r="B673" s="48">
        <v>45615</v>
      </c>
      <c r="C673" s="50" t="s">
        <v>1535</v>
      </c>
      <c r="D673" s="49" t="s">
        <v>1613</v>
      </c>
      <c r="E673" s="51">
        <v>29115400</v>
      </c>
      <c r="F673" s="52">
        <f t="shared" si="47"/>
        <v>2329232</v>
      </c>
      <c r="G673" s="53">
        <f t="shared" si="48"/>
        <v>31444632</v>
      </c>
      <c r="H673" s="54">
        <v>31444632</v>
      </c>
      <c r="I673" s="55">
        <f t="shared" si="49"/>
        <v>0</v>
      </c>
      <c r="J673" s="56">
        <v>45644</v>
      </c>
      <c r="K673" s="57"/>
    </row>
    <row r="674" spans="1:11" ht="15.75" hidden="1" customHeight="1" x14ac:dyDescent="0.35">
      <c r="A674" s="47" t="s">
        <v>148</v>
      </c>
      <c r="B674" s="48" t="s">
        <v>1580</v>
      </c>
      <c r="C674" s="49" t="s">
        <v>1536</v>
      </c>
      <c r="D674" s="50"/>
      <c r="E674" s="51">
        <v>35688200</v>
      </c>
      <c r="F674" s="52">
        <f t="shared" si="47"/>
        <v>2855056</v>
      </c>
      <c r="G674" s="53">
        <f t="shared" si="48"/>
        <v>38543256</v>
      </c>
      <c r="H674" s="54">
        <v>38543256</v>
      </c>
      <c r="I674" s="55">
        <f t="shared" si="49"/>
        <v>0</v>
      </c>
      <c r="J674" s="56">
        <v>45644</v>
      </c>
      <c r="K674" s="57"/>
    </row>
    <row r="675" spans="1:11" ht="15.75" hidden="1" customHeight="1" x14ac:dyDescent="0.35">
      <c r="A675" s="47" t="s">
        <v>143</v>
      </c>
      <c r="B675" s="48">
        <v>45615</v>
      </c>
      <c r="C675" s="50" t="s">
        <v>1537</v>
      </c>
      <c r="D675" s="49" t="s">
        <v>1612</v>
      </c>
      <c r="E675" s="51">
        <v>34260100</v>
      </c>
      <c r="F675" s="52">
        <f t="shared" si="47"/>
        <v>2740808</v>
      </c>
      <c r="G675" s="53">
        <f t="shared" si="48"/>
        <v>37000908</v>
      </c>
      <c r="H675" s="54">
        <v>37000908</v>
      </c>
      <c r="I675" s="55">
        <f t="shared" si="49"/>
        <v>0</v>
      </c>
      <c r="J675" s="56">
        <v>45644</v>
      </c>
      <c r="K675" s="57"/>
    </row>
    <row r="676" spans="1:11" ht="15.75" hidden="1" customHeight="1" x14ac:dyDescent="0.35">
      <c r="A676" s="47" t="s">
        <v>28</v>
      </c>
      <c r="B676" s="48" t="s">
        <v>1580</v>
      </c>
      <c r="C676" s="50" t="s">
        <v>1538</v>
      </c>
      <c r="D676" s="50"/>
      <c r="E676" s="51">
        <v>35688200</v>
      </c>
      <c r="F676" s="52">
        <f t="shared" si="47"/>
        <v>2855056</v>
      </c>
      <c r="G676" s="53">
        <f t="shared" si="48"/>
        <v>38543256</v>
      </c>
      <c r="H676" s="54">
        <v>38543256</v>
      </c>
      <c r="I676" s="55">
        <f t="shared" si="49"/>
        <v>0</v>
      </c>
      <c r="J676" s="56">
        <v>45644</v>
      </c>
      <c r="K676" s="57"/>
    </row>
    <row r="677" spans="1:11" ht="15.75" hidden="1" customHeight="1" x14ac:dyDescent="0.35">
      <c r="A677" s="47" t="s">
        <v>126</v>
      </c>
      <c r="B677" s="48" t="s">
        <v>1580</v>
      </c>
      <c r="C677" s="49" t="s">
        <v>1539</v>
      </c>
      <c r="D677" s="50"/>
      <c r="E677" s="51">
        <v>35688200</v>
      </c>
      <c r="F677" s="52">
        <f t="shared" si="47"/>
        <v>2855056</v>
      </c>
      <c r="G677" s="53">
        <f t="shared" si="48"/>
        <v>38543256</v>
      </c>
      <c r="H677" s="54">
        <v>38543256</v>
      </c>
      <c r="I677" s="55">
        <f t="shared" si="49"/>
        <v>0</v>
      </c>
      <c r="J677" s="56">
        <v>45644</v>
      </c>
      <c r="K677" s="57"/>
    </row>
    <row r="678" spans="1:11" ht="15.75" hidden="1" customHeight="1" x14ac:dyDescent="0.35">
      <c r="A678" s="47" t="s">
        <v>167</v>
      </c>
      <c r="B678" s="48" t="s">
        <v>1580</v>
      </c>
      <c r="C678" s="49" t="s">
        <v>1540</v>
      </c>
      <c r="D678" s="50"/>
      <c r="E678" s="51">
        <v>35688200</v>
      </c>
      <c r="F678" s="52">
        <f t="shared" si="47"/>
        <v>2855056</v>
      </c>
      <c r="G678" s="53">
        <f t="shared" si="48"/>
        <v>38543256</v>
      </c>
      <c r="H678" s="54">
        <v>38543256</v>
      </c>
      <c r="I678" s="55">
        <f t="shared" si="49"/>
        <v>0</v>
      </c>
      <c r="J678" s="56">
        <v>45644</v>
      </c>
      <c r="K678" s="57"/>
    </row>
    <row r="679" spans="1:11" ht="15.75" hidden="1" customHeight="1" x14ac:dyDescent="0.35">
      <c r="A679" s="47" t="s">
        <v>90</v>
      </c>
      <c r="B679" s="48" t="s">
        <v>1580</v>
      </c>
      <c r="C679" s="49" t="s">
        <v>1541</v>
      </c>
      <c r="D679" s="50"/>
      <c r="E679" s="51">
        <v>35688200</v>
      </c>
      <c r="F679" s="52">
        <f t="shared" si="47"/>
        <v>2855056</v>
      </c>
      <c r="G679" s="53">
        <f t="shared" si="48"/>
        <v>38543256</v>
      </c>
      <c r="H679" s="54">
        <v>38543256</v>
      </c>
      <c r="I679" s="55">
        <f t="shared" si="49"/>
        <v>0</v>
      </c>
      <c r="J679" s="56">
        <v>45644</v>
      </c>
      <c r="K679" s="57"/>
    </row>
    <row r="680" spans="1:11" ht="15.75" hidden="1" customHeight="1" x14ac:dyDescent="0.35">
      <c r="A680" s="47" t="s">
        <v>86</v>
      </c>
      <c r="B680" s="48" t="s">
        <v>1580</v>
      </c>
      <c r="C680" s="50" t="s">
        <v>1542</v>
      </c>
      <c r="D680" s="50"/>
      <c r="E680" s="51">
        <v>35688200</v>
      </c>
      <c r="F680" s="52">
        <f t="shared" si="47"/>
        <v>2855056</v>
      </c>
      <c r="G680" s="53">
        <f t="shared" si="48"/>
        <v>38543256</v>
      </c>
      <c r="H680" s="54">
        <v>38543256</v>
      </c>
      <c r="I680" s="55">
        <f t="shared" si="49"/>
        <v>0</v>
      </c>
      <c r="J680" s="56">
        <v>45644</v>
      </c>
      <c r="K680" s="57"/>
    </row>
    <row r="681" spans="1:11" ht="15.75" hidden="1" customHeight="1" x14ac:dyDescent="0.35">
      <c r="A681" s="47" t="s">
        <v>163</v>
      </c>
      <c r="B681" s="48" t="s">
        <v>1580</v>
      </c>
      <c r="C681" s="50" t="s">
        <v>1543</v>
      </c>
      <c r="D681" s="50"/>
      <c r="E681" s="51">
        <v>35688200</v>
      </c>
      <c r="F681" s="52">
        <f t="shared" si="47"/>
        <v>2855056</v>
      </c>
      <c r="G681" s="53">
        <f t="shared" si="48"/>
        <v>38543256</v>
      </c>
      <c r="H681" s="54">
        <v>38543256</v>
      </c>
      <c r="I681" s="55">
        <f t="shared" si="49"/>
        <v>0</v>
      </c>
      <c r="J681" s="56">
        <v>45644</v>
      </c>
      <c r="K681" s="57"/>
    </row>
    <row r="682" spans="1:11" ht="15.75" hidden="1" customHeight="1" x14ac:dyDescent="0.35">
      <c r="A682" s="47" t="s">
        <v>162</v>
      </c>
      <c r="B682" s="48" t="s">
        <v>1580</v>
      </c>
      <c r="C682" s="49" t="s">
        <v>1544</v>
      </c>
      <c r="D682" s="50"/>
      <c r="E682" s="51">
        <v>35688200</v>
      </c>
      <c r="F682" s="52">
        <f t="shared" si="47"/>
        <v>2855056</v>
      </c>
      <c r="G682" s="53">
        <f t="shared" si="48"/>
        <v>38543256</v>
      </c>
      <c r="H682" s="54">
        <v>38543256</v>
      </c>
      <c r="I682" s="55">
        <f t="shared" si="49"/>
        <v>0</v>
      </c>
      <c r="J682" s="56">
        <v>45644</v>
      </c>
      <c r="K682" s="57"/>
    </row>
    <row r="683" spans="1:11" ht="15.75" hidden="1" customHeight="1" x14ac:dyDescent="0.35">
      <c r="A683" s="47" t="s">
        <v>170</v>
      </c>
      <c r="B683" s="48" t="s">
        <v>1580</v>
      </c>
      <c r="C683" s="49" t="s">
        <v>1545</v>
      </c>
      <c r="D683" s="50"/>
      <c r="E683" s="51">
        <v>35688200</v>
      </c>
      <c r="F683" s="52">
        <f t="shared" si="47"/>
        <v>2855056</v>
      </c>
      <c r="G683" s="53">
        <f t="shared" si="48"/>
        <v>38543256</v>
      </c>
      <c r="H683" s="54">
        <v>38543256</v>
      </c>
      <c r="I683" s="55">
        <f t="shared" si="49"/>
        <v>0</v>
      </c>
      <c r="J683" s="56">
        <v>45644</v>
      </c>
      <c r="K683" s="57"/>
    </row>
    <row r="684" spans="1:11" ht="15.75" hidden="1" customHeight="1" x14ac:dyDescent="0.35">
      <c r="A684" s="47" t="s">
        <v>1601</v>
      </c>
      <c r="B684" s="48" t="s">
        <v>1580</v>
      </c>
      <c r="C684" s="50" t="s">
        <v>1546</v>
      </c>
      <c r="D684" s="50"/>
      <c r="E684" s="51">
        <v>35688200</v>
      </c>
      <c r="F684" s="52">
        <f t="shared" si="47"/>
        <v>2855056</v>
      </c>
      <c r="G684" s="53">
        <f t="shared" si="48"/>
        <v>38543256</v>
      </c>
      <c r="H684" s="54">
        <v>38543256</v>
      </c>
      <c r="I684" s="55">
        <f t="shared" si="49"/>
        <v>0</v>
      </c>
      <c r="J684" s="56">
        <v>45644</v>
      </c>
      <c r="K684" s="57"/>
    </row>
    <row r="685" spans="1:11" ht="15.75" hidden="1" customHeight="1" x14ac:dyDescent="0.35">
      <c r="A685" s="47" t="s">
        <v>155</v>
      </c>
      <c r="B685" s="48" t="s">
        <v>1580</v>
      </c>
      <c r="C685" s="49" t="s">
        <v>1547</v>
      </c>
      <c r="D685" s="50"/>
      <c r="E685" s="51">
        <v>35688200</v>
      </c>
      <c r="F685" s="52">
        <f t="shared" si="47"/>
        <v>2855056</v>
      </c>
      <c r="G685" s="53">
        <f t="shared" si="48"/>
        <v>38543256</v>
      </c>
      <c r="H685" s="54">
        <v>38543256</v>
      </c>
      <c r="I685" s="55">
        <f t="shared" si="49"/>
        <v>0</v>
      </c>
      <c r="J685" s="56">
        <v>45644</v>
      </c>
      <c r="K685" s="57"/>
    </row>
    <row r="686" spans="1:11" ht="15.75" hidden="1" customHeight="1" x14ac:dyDescent="0.35">
      <c r="A686" s="47" t="s">
        <v>88</v>
      </c>
      <c r="B686" s="48" t="s">
        <v>1580</v>
      </c>
      <c r="C686" s="49" t="s">
        <v>1548</v>
      </c>
      <c r="D686" s="50"/>
      <c r="E686" s="51">
        <v>35688200</v>
      </c>
      <c r="F686" s="52">
        <f t="shared" si="47"/>
        <v>2855056</v>
      </c>
      <c r="G686" s="53">
        <f t="shared" si="48"/>
        <v>38543256</v>
      </c>
      <c r="H686" s="54">
        <v>38543256</v>
      </c>
      <c r="I686" s="55">
        <f t="shared" si="49"/>
        <v>0</v>
      </c>
      <c r="J686" s="56">
        <v>45644</v>
      </c>
      <c r="K686" s="57"/>
    </row>
    <row r="687" spans="1:11" ht="15.75" hidden="1" customHeight="1" x14ac:dyDescent="0.35">
      <c r="A687" s="47" t="s">
        <v>164</v>
      </c>
      <c r="B687" s="48" t="s">
        <v>1580</v>
      </c>
      <c r="C687" s="49" t="s">
        <v>1549</v>
      </c>
      <c r="D687" s="50"/>
      <c r="E687" s="51">
        <v>35688200</v>
      </c>
      <c r="F687" s="52">
        <f t="shared" si="47"/>
        <v>2855056</v>
      </c>
      <c r="G687" s="53">
        <f t="shared" si="48"/>
        <v>38543256</v>
      </c>
      <c r="H687" s="54">
        <v>38543256</v>
      </c>
      <c r="I687" s="55">
        <f t="shared" si="49"/>
        <v>0</v>
      </c>
      <c r="J687" s="56">
        <v>45644</v>
      </c>
      <c r="K687" s="57"/>
    </row>
    <row r="688" spans="1:11" ht="15.75" hidden="1" customHeight="1" x14ac:dyDescent="0.35">
      <c r="A688" s="47" t="s">
        <v>156</v>
      </c>
      <c r="B688" s="48" t="s">
        <v>1580</v>
      </c>
      <c r="C688" s="49" t="s">
        <v>1550</v>
      </c>
      <c r="D688" s="50"/>
      <c r="E688" s="51">
        <v>35688200</v>
      </c>
      <c r="F688" s="52">
        <f t="shared" si="47"/>
        <v>2855056</v>
      </c>
      <c r="G688" s="53">
        <f t="shared" si="48"/>
        <v>38543256</v>
      </c>
      <c r="H688" s="54">
        <v>38543256</v>
      </c>
      <c r="I688" s="55">
        <f t="shared" si="49"/>
        <v>0</v>
      </c>
      <c r="J688" s="56">
        <v>45644</v>
      </c>
      <c r="K688" s="57"/>
    </row>
    <row r="689" spans="1:11" ht="15.75" hidden="1" customHeight="1" x14ac:dyDescent="0.35">
      <c r="A689" s="47" t="s">
        <v>172</v>
      </c>
      <c r="B689" s="48" t="s">
        <v>1580</v>
      </c>
      <c r="C689" s="49" t="s">
        <v>1551</v>
      </c>
      <c r="D689" s="50"/>
      <c r="E689" s="51">
        <v>35688200</v>
      </c>
      <c r="F689" s="52">
        <f t="shared" si="47"/>
        <v>2855056</v>
      </c>
      <c r="G689" s="53">
        <f t="shared" si="48"/>
        <v>38543256</v>
      </c>
      <c r="H689" s="54">
        <v>38543256</v>
      </c>
      <c r="I689" s="55">
        <f t="shared" si="49"/>
        <v>0</v>
      </c>
      <c r="J689" s="56">
        <v>45644</v>
      </c>
      <c r="K689" s="57"/>
    </row>
    <row r="690" spans="1:11" ht="15.75" hidden="1" customHeight="1" x14ac:dyDescent="0.35">
      <c r="A690" s="47" t="s">
        <v>146</v>
      </c>
      <c r="B690" s="48" t="s">
        <v>1580</v>
      </c>
      <c r="C690" s="49" t="s">
        <v>1552</v>
      </c>
      <c r="D690" s="50"/>
      <c r="E690" s="51">
        <v>35688200</v>
      </c>
      <c r="F690" s="52">
        <f t="shared" si="47"/>
        <v>2855056</v>
      </c>
      <c r="G690" s="53">
        <f t="shared" si="48"/>
        <v>38543256</v>
      </c>
      <c r="H690" s="54">
        <v>38543256</v>
      </c>
      <c r="I690" s="55">
        <f t="shared" si="49"/>
        <v>0</v>
      </c>
      <c r="J690" s="56">
        <v>45644</v>
      </c>
      <c r="K690" s="57"/>
    </row>
    <row r="691" spans="1:11" ht="15.75" hidden="1" customHeight="1" x14ac:dyDescent="0.35">
      <c r="A691" s="47" t="s">
        <v>82</v>
      </c>
      <c r="B691" s="48">
        <v>45614</v>
      </c>
      <c r="C691" s="50" t="s">
        <v>1553</v>
      </c>
      <c r="D691" s="49" t="s">
        <v>1607</v>
      </c>
      <c r="E691" s="51">
        <v>27718200</v>
      </c>
      <c r="F691" s="52">
        <f t="shared" si="47"/>
        <v>2217456</v>
      </c>
      <c r="G691" s="53">
        <f t="shared" si="48"/>
        <v>29935656</v>
      </c>
      <c r="H691" s="54">
        <v>29935656</v>
      </c>
      <c r="I691" s="55">
        <f t="shared" si="49"/>
        <v>0</v>
      </c>
      <c r="J691" s="56">
        <v>45644</v>
      </c>
      <c r="K691" s="57"/>
    </row>
    <row r="692" spans="1:11" ht="15.75" hidden="1" customHeight="1" x14ac:dyDescent="0.35">
      <c r="A692" s="47" t="s">
        <v>188</v>
      </c>
      <c r="B692" s="48" t="s">
        <v>1580</v>
      </c>
      <c r="C692" s="49" t="s">
        <v>1554</v>
      </c>
      <c r="D692" s="50"/>
      <c r="E692" s="51">
        <v>35688200</v>
      </c>
      <c r="F692" s="52">
        <f t="shared" si="47"/>
        <v>2855056</v>
      </c>
      <c r="G692" s="53">
        <f t="shared" si="48"/>
        <v>38543256</v>
      </c>
      <c r="H692" s="54">
        <v>38543256</v>
      </c>
      <c r="I692" s="55">
        <f t="shared" si="49"/>
        <v>0</v>
      </c>
      <c r="J692" s="56">
        <v>45644</v>
      </c>
      <c r="K692" s="57"/>
    </row>
    <row r="693" spans="1:11" ht="15.75" hidden="1" customHeight="1" x14ac:dyDescent="0.35">
      <c r="A693" s="47" t="s">
        <v>85</v>
      </c>
      <c r="B693" s="48">
        <v>45615</v>
      </c>
      <c r="C693" s="49" t="s">
        <v>1555</v>
      </c>
      <c r="D693" s="50" t="s">
        <v>1610</v>
      </c>
      <c r="E693" s="51">
        <v>27634900</v>
      </c>
      <c r="F693" s="52">
        <f t="shared" ref="F693:F757" si="50">+E693*0.08</f>
        <v>2210792</v>
      </c>
      <c r="G693" s="53">
        <f t="shared" ref="G693:G757" si="51">E693+F693</f>
        <v>29845692</v>
      </c>
      <c r="H693" s="54">
        <v>29845692</v>
      </c>
      <c r="I693" s="55">
        <f t="shared" si="49"/>
        <v>0</v>
      </c>
      <c r="J693" s="56">
        <v>45706</v>
      </c>
      <c r="K693" s="57"/>
    </row>
    <row r="694" spans="1:11" ht="15.75" hidden="1" customHeight="1" x14ac:dyDescent="0.35">
      <c r="A694" s="47" t="s">
        <v>1602</v>
      </c>
      <c r="B694" s="48" t="s">
        <v>1580</v>
      </c>
      <c r="C694" s="49" t="s">
        <v>1556</v>
      </c>
      <c r="D694" s="50"/>
      <c r="E694" s="51">
        <v>35688200</v>
      </c>
      <c r="F694" s="52">
        <f t="shared" si="50"/>
        <v>2855056</v>
      </c>
      <c r="G694" s="53">
        <f t="shared" si="51"/>
        <v>38543256</v>
      </c>
      <c r="H694" s="54">
        <v>38543256</v>
      </c>
      <c r="I694" s="55">
        <f t="shared" si="49"/>
        <v>0</v>
      </c>
      <c r="J694" s="56">
        <v>45644</v>
      </c>
      <c r="K694" s="57"/>
    </row>
    <row r="695" spans="1:11" ht="15.75" hidden="1" customHeight="1" x14ac:dyDescent="0.35">
      <c r="A695" s="47" t="s">
        <v>98</v>
      </c>
      <c r="B695" s="48" t="s">
        <v>1580</v>
      </c>
      <c r="C695" s="49" t="s">
        <v>1557</v>
      </c>
      <c r="D695" s="50"/>
      <c r="E695" s="51">
        <v>35688200</v>
      </c>
      <c r="F695" s="52">
        <f t="shared" si="50"/>
        <v>2855056</v>
      </c>
      <c r="G695" s="53">
        <f t="shared" si="51"/>
        <v>38543256</v>
      </c>
      <c r="H695" s="54">
        <v>38543256</v>
      </c>
      <c r="I695" s="55">
        <f t="shared" si="49"/>
        <v>0</v>
      </c>
      <c r="J695" s="56">
        <v>45644</v>
      </c>
      <c r="K695" s="57"/>
    </row>
    <row r="696" spans="1:11" ht="15.75" hidden="1" customHeight="1" x14ac:dyDescent="0.35">
      <c r="A696" s="47" t="s">
        <v>145</v>
      </c>
      <c r="B696" s="48">
        <v>45617</v>
      </c>
      <c r="C696" s="50" t="s">
        <v>1558</v>
      </c>
      <c r="D696" s="49" t="s">
        <v>1617</v>
      </c>
      <c r="E696" s="51">
        <v>33688200</v>
      </c>
      <c r="F696" s="52">
        <f t="shared" si="50"/>
        <v>2695056</v>
      </c>
      <c r="G696" s="53">
        <f t="shared" si="51"/>
        <v>36383256</v>
      </c>
      <c r="H696" s="54">
        <v>36383256</v>
      </c>
      <c r="I696" s="55">
        <f t="shared" si="49"/>
        <v>0</v>
      </c>
      <c r="J696" s="56">
        <v>45644</v>
      </c>
      <c r="K696" s="57"/>
    </row>
    <row r="697" spans="1:11" ht="15.75" hidden="1" customHeight="1" x14ac:dyDescent="0.35">
      <c r="A697" s="47" t="s">
        <v>40</v>
      </c>
      <c r="B697" s="48">
        <v>45616</v>
      </c>
      <c r="C697" s="50" t="s">
        <v>1559</v>
      </c>
      <c r="D697" s="49" t="s">
        <v>1616</v>
      </c>
      <c r="E697" s="51">
        <v>25731350</v>
      </c>
      <c r="F697" s="52">
        <f t="shared" si="50"/>
        <v>2058508</v>
      </c>
      <c r="G697" s="53">
        <f t="shared" si="51"/>
        <v>27789858</v>
      </c>
      <c r="H697" s="54">
        <v>27789858</v>
      </c>
      <c r="I697" s="55">
        <f t="shared" ref="I697:I761" si="52">G697-H697</f>
        <v>0</v>
      </c>
      <c r="J697" s="56">
        <v>45644</v>
      </c>
      <c r="K697" s="57"/>
    </row>
    <row r="698" spans="1:11" ht="15.75" hidden="1" customHeight="1" x14ac:dyDescent="0.35">
      <c r="A698" s="47" t="s">
        <v>176</v>
      </c>
      <c r="B698" s="48">
        <v>45617</v>
      </c>
      <c r="C698" s="49" t="s">
        <v>1560</v>
      </c>
      <c r="D698" s="49" t="s">
        <v>1619</v>
      </c>
      <c r="E698" s="51">
        <v>30341200</v>
      </c>
      <c r="F698" s="52">
        <f t="shared" si="50"/>
        <v>2427296</v>
      </c>
      <c r="G698" s="53">
        <f t="shared" si="51"/>
        <v>32768496</v>
      </c>
      <c r="H698" s="54">
        <v>32768496</v>
      </c>
      <c r="I698" s="55">
        <f t="shared" si="52"/>
        <v>0</v>
      </c>
      <c r="J698" s="56">
        <v>45644</v>
      </c>
      <c r="K698" s="57"/>
    </row>
    <row r="699" spans="1:11" ht="15.75" hidden="1" customHeight="1" x14ac:dyDescent="0.35">
      <c r="A699" s="47" t="s">
        <v>353</v>
      </c>
      <c r="B699" s="48" t="s">
        <v>1580</v>
      </c>
      <c r="C699" s="49" t="s">
        <v>1561</v>
      </c>
      <c r="D699" s="50"/>
      <c r="E699" s="51">
        <v>35688200</v>
      </c>
      <c r="F699" s="52">
        <f t="shared" si="50"/>
        <v>2855056</v>
      </c>
      <c r="G699" s="53">
        <f t="shared" si="51"/>
        <v>38543256</v>
      </c>
      <c r="H699" s="54">
        <v>38543256</v>
      </c>
      <c r="I699" s="55">
        <f t="shared" si="52"/>
        <v>0</v>
      </c>
      <c r="J699" s="56">
        <v>45644</v>
      </c>
      <c r="K699" s="57"/>
    </row>
    <row r="700" spans="1:11" ht="15.75" hidden="1" customHeight="1" x14ac:dyDescent="0.35">
      <c r="A700" s="47" t="s">
        <v>350</v>
      </c>
      <c r="B700" s="48" t="s">
        <v>1580</v>
      </c>
      <c r="C700" s="49" t="s">
        <v>1562</v>
      </c>
      <c r="D700" s="50"/>
      <c r="E700" s="51">
        <v>35688200</v>
      </c>
      <c r="F700" s="52">
        <f t="shared" si="50"/>
        <v>2855056</v>
      </c>
      <c r="G700" s="53">
        <f t="shared" si="51"/>
        <v>38543256</v>
      </c>
      <c r="H700" s="54">
        <v>38543256</v>
      </c>
      <c r="I700" s="55">
        <f t="shared" si="52"/>
        <v>0</v>
      </c>
      <c r="J700" s="56">
        <v>45644</v>
      </c>
      <c r="K700" s="57"/>
    </row>
    <row r="701" spans="1:11" ht="15.75" hidden="1" customHeight="1" x14ac:dyDescent="0.35">
      <c r="A701" s="47" t="s">
        <v>137</v>
      </c>
      <c r="B701" s="48" t="s">
        <v>1580</v>
      </c>
      <c r="C701" s="49" t="s">
        <v>1563</v>
      </c>
      <c r="D701" s="50"/>
      <c r="E701" s="51">
        <v>35688200</v>
      </c>
      <c r="F701" s="52">
        <f t="shared" si="50"/>
        <v>2855056</v>
      </c>
      <c r="G701" s="53">
        <f t="shared" si="51"/>
        <v>38543256</v>
      </c>
      <c r="H701" s="54">
        <v>38543256</v>
      </c>
      <c r="I701" s="55">
        <f t="shared" si="52"/>
        <v>0</v>
      </c>
      <c r="J701" s="56">
        <v>45644</v>
      </c>
      <c r="K701" s="57"/>
    </row>
    <row r="702" spans="1:11" ht="15.75" hidden="1" customHeight="1" x14ac:dyDescent="0.35">
      <c r="A702" s="47" t="s">
        <v>142</v>
      </c>
      <c r="B702" s="48" t="s">
        <v>1580</v>
      </c>
      <c r="C702" s="49" t="s">
        <v>1564</v>
      </c>
      <c r="D702" s="50"/>
      <c r="E702" s="51">
        <v>35688200</v>
      </c>
      <c r="F702" s="52">
        <f t="shared" si="50"/>
        <v>2855056</v>
      </c>
      <c r="G702" s="53">
        <f t="shared" si="51"/>
        <v>38543256</v>
      </c>
      <c r="H702" s="54">
        <v>38543256</v>
      </c>
      <c r="I702" s="55">
        <f t="shared" si="52"/>
        <v>0</v>
      </c>
      <c r="J702" s="56">
        <v>45644</v>
      </c>
      <c r="K702" s="57"/>
    </row>
    <row r="703" spans="1:11" ht="15.75" hidden="1" customHeight="1" x14ac:dyDescent="0.35">
      <c r="A703" s="47" t="s">
        <v>92</v>
      </c>
      <c r="B703" s="48" t="s">
        <v>1580</v>
      </c>
      <c r="C703" s="49" t="s">
        <v>1565</v>
      </c>
      <c r="D703" s="50"/>
      <c r="E703" s="51">
        <v>35688200</v>
      </c>
      <c r="F703" s="52">
        <f t="shared" si="50"/>
        <v>2855056</v>
      </c>
      <c r="G703" s="53">
        <f t="shared" si="51"/>
        <v>38543256</v>
      </c>
      <c r="H703" s="54">
        <v>38543256</v>
      </c>
      <c r="I703" s="55">
        <f t="shared" si="52"/>
        <v>0</v>
      </c>
      <c r="J703" s="56">
        <v>45644</v>
      </c>
      <c r="K703" s="57"/>
    </row>
    <row r="704" spans="1:11" ht="15.75" hidden="1" customHeight="1" x14ac:dyDescent="0.35">
      <c r="A704" s="47" t="s">
        <v>1603</v>
      </c>
      <c r="B704" s="48" t="s">
        <v>1580</v>
      </c>
      <c r="C704" s="49" t="s">
        <v>1566</v>
      </c>
      <c r="D704" s="50"/>
      <c r="E704" s="51">
        <v>35688200</v>
      </c>
      <c r="F704" s="52">
        <f t="shared" si="50"/>
        <v>2855056</v>
      </c>
      <c r="G704" s="53">
        <f t="shared" si="51"/>
        <v>38543256</v>
      </c>
      <c r="H704" s="54">
        <v>38543256</v>
      </c>
      <c r="I704" s="55">
        <f t="shared" si="52"/>
        <v>0</v>
      </c>
      <c r="J704" s="56">
        <v>45644</v>
      </c>
      <c r="K704" s="57"/>
    </row>
    <row r="705" spans="1:11" ht="15.75" hidden="1" customHeight="1" x14ac:dyDescent="0.35">
      <c r="A705" s="47" t="s">
        <v>70</v>
      </c>
      <c r="B705" s="48" t="s">
        <v>1580</v>
      </c>
      <c r="C705" s="49" t="s">
        <v>1567</v>
      </c>
      <c r="D705" s="50"/>
      <c r="E705" s="51">
        <v>35688200</v>
      </c>
      <c r="F705" s="52">
        <f t="shared" si="50"/>
        <v>2855056</v>
      </c>
      <c r="G705" s="53">
        <f t="shared" si="51"/>
        <v>38543256</v>
      </c>
      <c r="H705" s="54">
        <v>38543256</v>
      </c>
      <c r="I705" s="55">
        <f t="shared" si="52"/>
        <v>0</v>
      </c>
      <c r="J705" s="56">
        <v>45644</v>
      </c>
      <c r="K705" s="57"/>
    </row>
    <row r="706" spans="1:11" ht="15.75" hidden="1" customHeight="1" x14ac:dyDescent="0.35">
      <c r="A706" s="47" t="s">
        <v>105</v>
      </c>
      <c r="B706" s="48" t="s">
        <v>1580</v>
      </c>
      <c r="C706" s="49" t="s">
        <v>1568</v>
      </c>
      <c r="D706" s="50"/>
      <c r="E706" s="51">
        <v>35688200</v>
      </c>
      <c r="F706" s="52">
        <f t="shared" si="50"/>
        <v>2855056</v>
      </c>
      <c r="G706" s="53">
        <f t="shared" si="51"/>
        <v>38543256</v>
      </c>
      <c r="H706" s="54">
        <v>38543256</v>
      </c>
      <c r="I706" s="55">
        <f t="shared" si="52"/>
        <v>0</v>
      </c>
      <c r="J706" s="56">
        <v>45644</v>
      </c>
      <c r="K706" s="57"/>
    </row>
    <row r="707" spans="1:11" ht="15.75" hidden="1" customHeight="1" x14ac:dyDescent="0.35">
      <c r="A707" s="47" t="s">
        <v>1604</v>
      </c>
      <c r="B707" s="48" t="s">
        <v>1581</v>
      </c>
      <c r="C707" s="50" t="s">
        <v>1569</v>
      </c>
      <c r="D707" s="50"/>
      <c r="E707" s="51">
        <v>35688200</v>
      </c>
      <c r="F707" s="52">
        <f t="shared" si="50"/>
        <v>2855056</v>
      </c>
      <c r="G707" s="53">
        <f t="shared" si="51"/>
        <v>38543256</v>
      </c>
      <c r="H707" s="54">
        <v>38543256</v>
      </c>
      <c r="I707" s="55">
        <f t="shared" si="52"/>
        <v>0</v>
      </c>
      <c r="J707" s="56">
        <v>45644</v>
      </c>
      <c r="K707" s="57"/>
    </row>
    <row r="708" spans="1:11" ht="15.75" hidden="1" customHeight="1" x14ac:dyDescent="0.35">
      <c r="A708" s="47" t="s">
        <v>36</v>
      </c>
      <c r="B708" s="48" t="s">
        <v>1581</v>
      </c>
      <c r="C708" s="49" t="s">
        <v>1570</v>
      </c>
      <c r="D708" s="50"/>
      <c r="E708" s="51">
        <v>35688200</v>
      </c>
      <c r="F708" s="52">
        <f t="shared" si="50"/>
        <v>2855056</v>
      </c>
      <c r="G708" s="53">
        <f t="shared" si="51"/>
        <v>38543256</v>
      </c>
      <c r="H708" s="54">
        <v>38543256</v>
      </c>
      <c r="I708" s="55">
        <f t="shared" si="52"/>
        <v>0</v>
      </c>
      <c r="J708" s="56">
        <v>45644</v>
      </c>
      <c r="K708" s="57"/>
    </row>
    <row r="709" spans="1:11" ht="15.75" hidden="1" customHeight="1" x14ac:dyDescent="0.35">
      <c r="A709" s="47" t="s">
        <v>20</v>
      </c>
      <c r="B709" s="48" t="s">
        <v>1622</v>
      </c>
      <c r="C709" s="49" t="s">
        <v>1631</v>
      </c>
      <c r="D709" s="50"/>
      <c r="E709" s="51">
        <v>1005000</v>
      </c>
      <c r="F709" s="52">
        <f t="shared" si="50"/>
        <v>80400</v>
      </c>
      <c r="G709" s="53">
        <f t="shared" si="51"/>
        <v>1085400</v>
      </c>
      <c r="H709" s="54">
        <v>1085400</v>
      </c>
      <c r="I709" s="55">
        <f t="shared" si="52"/>
        <v>0</v>
      </c>
      <c r="J709" s="56">
        <v>45644</v>
      </c>
      <c r="K709" s="57"/>
    </row>
    <row r="710" spans="1:11" ht="15.75" hidden="1" customHeight="1" x14ac:dyDescent="0.35">
      <c r="A710" s="47" t="s">
        <v>86</v>
      </c>
      <c r="B710" s="48" t="s">
        <v>1622</v>
      </c>
      <c r="C710" s="49" t="s">
        <v>1632</v>
      </c>
      <c r="D710" s="50"/>
      <c r="E710" s="51">
        <v>1005000</v>
      </c>
      <c r="F710" s="52">
        <f t="shared" si="50"/>
        <v>80400</v>
      </c>
      <c r="G710" s="53">
        <f t="shared" si="51"/>
        <v>1085400</v>
      </c>
      <c r="H710" s="54">
        <v>1085400</v>
      </c>
      <c r="I710" s="55">
        <f t="shared" si="52"/>
        <v>0</v>
      </c>
      <c r="J710" s="56">
        <v>45644</v>
      </c>
      <c r="K710" s="57"/>
    </row>
    <row r="711" spans="1:11" ht="15.75" hidden="1" customHeight="1" x14ac:dyDescent="0.35">
      <c r="A711" s="47" t="s">
        <v>61</v>
      </c>
      <c r="B711" s="48" t="s">
        <v>1622</v>
      </c>
      <c r="C711" s="49" t="s">
        <v>1633</v>
      </c>
      <c r="D711" s="50"/>
      <c r="E711" s="51">
        <v>26968200</v>
      </c>
      <c r="F711" s="52">
        <f t="shared" si="50"/>
        <v>2157456</v>
      </c>
      <c r="G711" s="53">
        <f t="shared" si="51"/>
        <v>29125656</v>
      </c>
      <c r="H711" s="54">
        <v>29125656</v>
      </c>
      <c r="I711" s="55">
        <f t="shared" si="52"/>
        <v>0</v>
      </c>
      <c r="J711" s="56">
        <v>45644</v>
      </c>
      <c r="K711" s="57"/>
    </row>
    <row r="712" spans="1:11" ht="15.75" hidden="1" customHeight="1" x14ac:dyDescent="0.35">
      <c r="A712" s="47" t="s">
        <v>46</v>
      </c>
      <c r="B712" s="48" t="s">
        <v>1623</v>
      </c>
      <c r="C712" s="49" t="s">
        <v>1634</v>
      </c>
      <c r="D712" s="50"/>
      <c r="E712" s="51">
        <v>35688200</v>
      </c>
      <c r="F712" s="52">
        <f t="shared" si="50"/>
        <v>2855056</v>
      </c>
      <c r="G712" s="53">
        <f t="shared" si="51"/>
        <v>38543256</v>
      </c>
      <c r="H712" s="54">
        <v>38543256</v>
      </c>
      <c r="I712" s="55">
        <f t="shared" si="52"/>
        <v>0</v>
      </c>
      <c r="J712" s="56">
        <v>45644</v>
      </c>
      <c r="K712" s="57"/>
    </row>
    <row r="713" spans="1:11" ht="15.75" hidden="1" customHeight="1" x14ac:dyDescent="0.35">
      <c r="A713" s="47" t="s">
        <v>47</v>
      </c>
      <c r="B713" s="48" t="s">
        <v>1623</v>
      </c>
      <c r="C713" s="49" t="s">
        <v>1635</v>
      </c>
      <c r="D713" s="50"/>
      <c r="E713" s="51">
        <v>2045000</v>
      </c>
      <c r="F713" s="52">
        <f t="shared" si="50"/>
        <v>163600</v>
      </c>
      <c r="G713" s="53">
        <f t="shared" si="51"/>
        <v>2208600</v>
      </c>
      <c r="H713" s="54">
        <v>2208600</v>
      </c>
      <c r="I713" s="55">
        <f t="shared" si="52"/>
        <v>0</v>
      </c>
      <c r="J713" s="56">
        <v>45644</v>
      </c>
      <c r="K713" s="57"/>
    </row>
    <row r="714" spans="1:11" ht="15.75" hidden="1" customHeight="1" x14ac:dyDescent="0.35">
      <c r="A714" s="47" t="s">
        <v>127</v>
      </c>
      <c r="B714" s="48" t="s">
        <v>1623</v>
      </c>
      <c r="C714" s="49" t="s">
        <v>1636</v>
      </c>
      <c r="D714" s="50"/>
      <c r="E714" s="51">
        <v>2045000</v>
      </c>
      <c r="F714" s="52">
        <f t="shared" si="50"/>
        <v>163600</v>
      </c>
      <c r="G714" s="53">
        <f t="shared" si="51"/>
        <v>2208600</v>
      </c>
      <c r="H714" s="54">
        <v>2208600</v>
      </c>
      <c r="I714" s="55">
        <f t="shared" si="52"/>
        <v>0</v>
      </c>
      <c r="J714" s="56">
        <v>45644</v>
      </c>
      <c r="K714" s="57"/>
    </row>
    <row r="715" spans="1:11" ht="15.75" hidden="1" customHeight="1" x14ac:dyDescent="0.35">
      <c r="A715" s="47" t="s">
        <v>100</v>
      </c>
      <c r="B715" s="48" t="s">
        <v>1623</v>
      </c>
      <c r="C715" s="49" t="s">
        <v>1637</v>
      </c>
      <c r="D715" s="50"/>
      <c r="E715" s="51">
        <v>2045000</v>
      </c>
      <c r="F715" s="52">
        <f t="shared" si="50"/>
        <v>163600</v>
      </c>
      <c r="G715" s="53">
        <f t="shared" si="51"/>
        <v>2208600</v>
      </c>
      <c r="H715" s="54">
        <v>2208600</v>
      </c>
      <c r="I715" s="55">
        <f t="shared" si="52"/>
        <v>0</v>
      </c>
      <c r="J715" s="56">
        <v>45644</v>
      </c>
      <c r="K715" s="57"/>
    </row>
    <row r="716" spans="1:11" ht="15.75" hidden="1" customHeight="1" x14ac:dyDescent="0.35">
      <c r="A716" s="47" t="s">
        <v>19</v>
      </c>
      <c r="B716" s="48" t="s">
        <v>1624</v>
      </c>
      <c r="C716" s="49" t="s">
        <v>1638</v>
      </c>
      <c r="D716" s="50"/>
      <c r="E716" s="51">
        <v>4090000</v>
      </c>
      <c r="F716" s="52">
        <f t="shared" si="50"/>
        <v>327200</v>
      </c>
      <c r="G716" s="53">
        <f t="shared" si="51"/>
        <v>4417200</v>
      </c>
      <c r="H716" s="54">
        <v>4417200</v>
      </c>
      <c r="I716" s="55">
        <f t="shared" si="52"/>
        <v>0</v>
      </c>
      <c r="J716" s="56">
        <v>45644</v>
      </c>
      <c r="K716" s="57"/>
    </row>
    <row r="717" spans="1:11" ht="15.75" hidden="1" customHeight="1" x14ac:dyDescent="0.35">
      <c r="A717" s="47" t="s">
        <v>1413</v>
      </c>
      <c r="B717" s="48" t="s">
        <v>1625</v>
      </c>
      <c r="C717" s="49" t="s">
        <v>1639</v>
      </c>
      <c r="D717" s="50"/>
      <c r="E717" s="51">
        <v>2010000</v>
      </c>
      <c r="F717" s="52">
        <f t="shared" si="50"/>
        <v>160800</v>
      </c>
      <c r="G717" s="53">
        <f t="shared" si="51"/>
        <v>2170800</v>
      </c>
      <c r="H717" s="54">
        <v>2170800</v>
      </c>
      <c r="I717" s="55">
        <f t="shared" si="52"/>
        <v>0</v>
      </c>
      <c r="J717" s="56">
        <v>45644</v>
      </c>
      <c r="K717" s="57"/>
    </row>
    <row r="718" spans="1:11" ht="15.75" hidden="1" customHeight="1" x14ac:dyDescent="0.35">
      <c r="A718" s="47" t="s">
        <v>1621</v>
      </c>
      <c r="B718" s="48" t="s">
        <v>1626</v>
      </c>
      <c r="C718" s="49" t="s">
        <v>1640</v>
      </c>
      <c r="D718" s="50"/>
      <c r="E718" s="51">
        <v>35688200</v>
      </c>
      <c r="F718" s="52">
        <f t="shared" si="50"/>
        <v>2855056</v>
      </c>
      <c r="G718" s="53">
        <f t="shared" si="51"/>
        <v>38543256</v>
      </c>
      <c r="H718" s="54">
        <v>38543256</v>
      </c>
      <c r="I718" s="55">
        <f t="shared" si="52"/>
        <v>0</v>
      </c>
      <c r="J718" s="56">
        <v>45644</v>
      </c>
      <c r="K718" s="57"/>
    </row>
    <row r="719" spans="1:11" ht="15.75" hidden="1" customHeight="1" x14ac:dyDescent="0.35">
      <c r="A719" s="47" t="s">
        <v>33</v>
      </c>
      <c r="B719" s="48" t="s">
        <v>1626</v>
      </c>
      <c r="C719" s="49" t="s">
        <v>1641</v>
      </c>
      <c r="D719" s="50"/>
      <c r="E719" s="51">
        <v>35688200</v>
      </c>
      <c r="F719" s="52">
        <f t="shared" si="50"/>
        <v>2855056</v>
      </c>
      <c r="G719" s="53">
        <f t="shared" si="51"/>
        <v>38543256</v>
      </c>
      <c r="H719" s="54">
        <v>38543256</v>
      </c>
      <c r="I719" s="55">
        <f t="shared" si="52"/>
        <v>0</v>
      </c>
      <c r="J719" s="56">
        <v>45644</v>
      </c>
      <c r="K719" s="57"/>
    </row>
    <row r="720" spans="1:11" ht="15.75" hidden="1" customHeight="1" x14ac:dyDescent="0.35">
      <c r="A720" s="47" t="s">
        <v>1592</v>
      </c>
      <c r="B720" s="48" t="s">
        <v>1627</v>
      </c>
      <c r="C720" s="49" t="s">
        <v>1642</v>
      </c>
      <c r="D720" s="50"/>
      <c r="E720" s="51">
        <v>2045000</v>
      </c>
      <c r="F720" s="52">
        <f t="shared" si="50"/>
        <v>163600</v>
      </c>
      <c r="G720" s="53">
        <f t="shared" si="51"/>
        <v>2208600</v>
      </c>
      <c r="H720" s="54">
        <v>2208600</v>
      </c>
      <c r="I720" s="55">
        <f t="shared" si="52"/>
        <v>0</v>
      </c>
      <c r="J720" s="56">
        <v>45644</v>
      </c>
      <c r="K720" s="57"/>
    </row>
    <row r="721" spans="1:11" ht="15.75" hidden="1" customHeight="1" x14ac:dyDescent="0.35">
      <c r="A721" s="47" t="s">
        <v>47</v>
      </c>
      <c r="B721" s="48" t="s">
        <v>1628</v>
      </c>
      <c r="C721" s="49" t="s">
        <v>1643</v>
      </c>
      <c r="D721" s="50"/>
      <c r="E721" s="51">
        <v>1040000</v>
      </c>
      <c r="F721" s="52">
        <f t="shared" si="50"/>
        <v>83200</v>
      </c>
      <c r="G721" s="53">
        <f t="shared" si="51"/>
        <v>1123200</v>
      </c>
      <c r="H721" s="54">
        <v>1123200</v>
      </c>
      <c r="I721" s="55">
        <f t="shared" si="52"/>
        <v>0</v>
      </c>
      <c r="J721" s="56">
        <v>45644</v>
      </c>
      <c r="K721" s="57"/>
    </row>
    <row r="722" spans="1:11" ht="15.75" hidden="1" customHeight="1" x14ac:dyDescent="0.35">
      <c r="A722" s="47" t="s">
        <v>93</v>
      </c>
      <c r="B722" s="48" t="s">
        <v>1628</v>
      </c>
      <c r="C722" s="50" t="s">
        <v>1644</v>
      </c>
      <c r="D722" s="50"/>
      <c r="E722" s="51">
        <v>1005000</v>
      </c>
      <c r="F722" s="52">
        <f t="shared" si="50"/>
        <v>80400</v>
      </c>
      <c r="G722" s="53">
        <f t="shared" si="51"/>
        <v>1085400</v>
      </c>
      <c r="H722" s="54">
        <v>1085400</v>
      </c>
      <c r="I722" s="55">
        <f t="shared" si="52"/>
        <v>0</v>
      </c>
      <c r="J722" s="56">
        <v>45644</v>
      </c>
      <c r="K722" s="57"/>
    </row>
    <row r="723" spans="1:11" ht="15.75" hidden="1" customHeight="1" x14ac:dyDescent="0.35">
      <c r="A723" s="47" t="s">
        <v>61</v>
      </c>
      <c r="B723" s="48" t="s">
        <v>1628</v>
      </c>
      <c r="C723" s="49" t="s">
        <v>1645</v>
      </c>
      <c r="D723" s="50"/>
      <c r="E723" s="51">
        <v>1040000</v>
      </c>
      <c r="F723" s="52">
        <f t="shared" si="50"/>
        <v>83200</v>
      </c>
      <c r="G723" s="53">
        <f t="shared" si="51"/>
        <v>1123200</v>
      </c>
      <c r="H723" s="54">
        <v>1123200</v>
      </c>
      <c r="I723" s="55">
        <f t="shared" si="52"/>
        <v>0</v>
      </c>
      <c r="J723" s="56">
        <v>45644</v>
      </c>
      <c r="K723" s="57"/>
    </row>
    <row r="724" spans="1:11" ht="15.75" hidden="1" customHeight="1" x14ac:dyDescent="0.35">
      <c r="A724" s="47" t="s">
        <v>24</v>
      </c>
      <c r="B724" s="48">
        <v>45629</v>
      </c>
      <c r="C724" s="50" t="s">
        <v>1646</v>
      </c>
      <c r="D724" s="49" t="s">
        <v>1652</v>
      </c>
      <c r="E724" s="51">
        <v>35688200</v>
      </c>
      <c r="F724" s="52">
        <f t="shared" si="50"/>
        <v>2855056</v>
      </c>
      <c r="G724" s="53">
        <f t="shared" si="51"/>
        <v>38543256</v>
      </c>
      <c r="H724" s="54">
        <v>38543256</v>
      </c>
      <c r="I724" s="55">
        <f t="shared" si="52"/>
        <v>0</v>
      </c>
      <c r="J724" s="56">
        <v>45734</v>
      </c>
      <c r="K724" s="57"/>
    </row>
    <row r="725" spans="1:11" ht="15.75" hidden="1" customHeight="1" x14ac:dyDescent="0.35">
      <c r="A725" s="47" t="s">
        <v>308</v>
      </c>
      <c r="B725" s="48" t="s">
        <v>1629</v>
      </c>
      <c r="C725" s="50" t="s">
        <v>1647</v>
      </c>
      <c r="D725" s="50"/>
      <c r="E725" s="51">
        <v>15739000</v>
      </c>
      <c r="F725" s="52">
        <f t="shared" si="50"/>
        <v>1259120</v>
      </c>
      <c r="G725" s="53">
        <f t="shared" si="51"/>
        <v>16998120</v>
      </c>
      <c r="H725" s="54">
        <v>16998120</v>
      </c>
      <c r="I725" s="55">
        <f t="shared" si="52"/>
        <v>0</v>
      </c>
      <c r="J725" s="56">
        <v>45644</v>
      </c>
      <c r="K725" s="57"/>
    </row>
    <row r="726" spans="1:11" ht="15.75" hidden="1" customHeight="1" x14ac:dyDescent="0.35">
      <c r="A726" s="47" t="s">
        <v>164</v>
      </c>
      <c r="B726" s="48" t="s">
        <v>1629</v>
      </c>
      <c r="C726" s="49" t="s">
        <v>1648</v>
      </c>
      <c r="D726" s="50"/>
      <c r="E726" s="51">
        <v>2045000</v>
      </c>
      <c r="F726" s="52">
        <f t="shared" si="50"/>
        <v>163600</v>
      </c>
      <c r="G726" s="53">
        <f t="shared" si="51"/>
        <v>2208600</v>
      </c>
      <c r="H726" s="54">
        <v>2208600</v>
      </c>
      <c r="I726" s="55">
        <f t="shared" si="52"/>
        <v>0</v>
      </c>
      <c r="J726" s="56">
        <v>45644</v>
      </c>
      <c r="K726" s="57"/>
    </row>
    <row r="727" spans="1:11" ht="15.75" hidden="1" customHeight="1" x14ac:dyDescent="0.35">
      <c r="A727" s="47" t="s">
        <v>20</v>
      </c>
      <c r="B727" s="48" t="s">
        <v>1629</v>
      </c>
      <c r="C727" s="49" t="s">
        <v>1649</v>
      </c>
      <c r="D727" s="50"/>
      <c r="E727" s="51">
        <v>520000</v>
      </c>
      <c r="F727" s="52">
        <f t="shared" si="50"/>
        <v>41600</v>
      </c>
      <c r="G727" s="53">
        <f t="shared" si="51"/>
        <v>561600</v>
      </c>
      <c r="H727" s="54">
        <v>561600</v>
      </c>
      <c r="I727" s="55">
        <f t="shared" si="52"/>
        <v>0</v>
      </c>
      <c r="J727" s="56">
        <v>45644</v>
      </c>
      <c r="K727" s="57"/>
    </row>
    <row r="728" spans="1:11" ht="15.75" hidden="1" customHeight="1" x14ac:dyDescent="0.35">
      <c r="A728" s="47" t="s">
        <v>32</v>
      </c>
      <c r="B728" s="48" t="s">
        <v>1629</v>
      </c>
      <c r="C728" s="49" t="s">
        <v>1650</v>
      </c>
      <c r="D728" s="50"/>
      <c r="E728" s="51">
        <v>1022500</v>
      </c>
      <c r="F728" s="52">
        <f t="shared" si="50"/>
        <v>81800</v>
      </c>
      <c r="G728" s="53">
        <f t="shared" si="51"/>
        <v>1104300</v>
      </c>
      <c r="H728" s="54">
        <v>1104300</v>
      </c>
      <c r="I728" s="55">
        <f t="shared" si="52"/>
        <v>0</v>
      </c>
      <c r="J728" s="56">
        <v>45644</v>
      </c>
      <c r="K728" s="57"/>
    </row>
    <row r="729" spans="1:11" ht="15.75" hidden="1" customHeight="1" x14ac:dyDescent="0.35">
      <c r="A729" s="47" t="s">
        <v>21</v>
      </c>
      <c r="B729" s="48" t="s">
        <v>1630</v>
      </c>
      <c r="C729" s="49" t="s">
        <v>1651</v>
      </c>
      <c r="D729" s="50"/>
      <c r="E729" s="51">
        <v>35688200</v>
      </c>
      <c r="F729" s="52">
        <f t="shared" si="50"/>
        <v>2855056</v>
      </c>
      <c r="G729" s="53">
        <f t="shared" si="51"/>
        <v>38543256</v>
      </c>
      <c r="H729" s="54">
        <v>38543256</v>
      </c>
      <c r="I729" s="55">
        <f t="shared" si="52"/>
        <v>0</v>
      </c>
      <c r="J729" s="56">
        <v>45644</v>
      </c>
      <c r="K729" s="57"/>
    </row>
    <row r="730" spans="1:11" ht="15.75" hidden="1" customHeight="1" x14ac:dyDescent="0.35">
      <c r="A730" s="47" t="s">
        <v>43</v>
      </c>
      <c r="B730" s="48">
        <v>45626</v>
      </c>
      <c r="C730" s="49" t="s">
        <v>1733</v>
      </c>
      <c r="D730" s="50"/>
      <c r="E730" s="51">
        <v>9600000</v>
      </c>
      <c r="F730" s="52">
        <f t="shared" ref="F730" si="53">+E730*0.08</f>
        <v>768000</v>
      </c>
      <c r="G730" s="53">
        <f t="shared" ref="G730" si="54">E730+F730</f>
        <v>10368000</v>
      </c>
      <c r="H730" s="54">
        <v>10368000</v>
      </c>
      <c r="I730" s="55">
        <f t="shared" ref="I730" si="55">G730-H730</f>
        <v>0</v>
      </c>
      <c r="J730" s="56">
        <v>45674</v>
      </c>
      <c r="K730" s="57"/>
    </row>
    <row r="731" spans="1:11" ht="15.75" hidden="1" customHeight="1" x14ac:dyDescent="0.35">
      <c r="A731" s="47" t="s">
        <v>1592</v>
      </c>
      <c r="B731" s="48">
        <v>45631</v>
      </c>
      <c r="C731" s="50" t="s">
        <v>1660</v>
      </c>
      <c r="D731" s="49" t="s">
        <v>1730</v>
      </c>
      <c r="E731" s="51">
        <v>1040000</v>
      </c>
      <c r="F731" s="52">
        <f t="shared" si="50"/>
        <v>83200</v>
      </c>
      <c r="G731" s="53">
        <f t="shared" si="51"/>
        <v>1123200</v>
      </c>
      <c r="H731" s="54">
        <v>1123200</v>
      </c>
      <c r="I731" s="55">
        <f t="shared" si="52"/>
        <v>0</v>
      </c>
      <c r="J731" s="56">
        <v>45674</v>
      </c>
      <c r="K731" s="57"/>
    </row>
    <row r="732" spans="1:11" ht="15.75" hidden="1" customHeight="1" x14ac:dyDescent="0.35">
      <c r="A732" s="47" t="s">
        <v>38</v>
      </c>
      <c r="B732" s="48" t="s">
        <v>1714</v>
      </c>
      <c r="C732" s="49" t="s">
        <v>1661</v>
      </c>
      <c r="D732" s="50"/>
      <c r="E732" s="51">
        <v>63850600</v>
      </c>
      <c r="F732" s="52">
        <f t="shared" si="50"/>
        <v>5108048</v>
      </c>
      <c r="G732" s="53">
        <f t="shared" si="51"/>
        <v>68958648</v>
      </c>
      <c r="H732" s="54">
        <v>68958648</v>
      </c>
      <c r="I732" s="55">
        <f t="shared" si="52"/>
        <v>0</v>
      </c>
      <c r="J732" s="56">
        <v>45674</v>
      </c>
      <c r="K732" s="57"/>
    </row>
    <row r="733" spans="1:11" ht="15.75" hidden="1" customHeight="1" x14ac:dyDescent="0.35">
      <c r="A733" s="47" t="s">
        <v>53</v>
      </c>
      <c r="B733" s="48" t="s">
        <v>1714</v>
      </c>
      <c r="C733" s="49" t="s">
        <v>1662</v>
      </c>
      <c r="D733" s="50"/>
      <c r="E733" s="51">
        <v>135550000</v>
      </c>
      <c r="F733" s="52">
        <f t="shared" si="50"/>
        <v>10844000</v>
      </c>
      <c r="G733" s="53">
        <f t="shared" si="51"/>
        <v>146394000</v>
      </c>
      <c r="H733" s="54">
        <v>146394000</v>
      </c>
      <c r="I733" s="55">
        <f t="shared" si="52"/>
        <v>0</v>
      </c>
      <c r="J733" s="56">
        <v>45674</v>
      </c>
      <c r="K733" s="57"/>
    </row>
    <row r="734" spans="1:11" ht="15.75" hidden="1" customHeight="1" x14ac:dyDescent="0.35">
      <c r="A734" s="47" t="s">
        <v>33</v>
      </c>
      <c r="B734" s="48" t="s">
        <v>1714</v>
      </c>
      <c r="C734" s="50" t="s">
        <v>1663</v>
      </c>
      <c r="D734" s="50"/>
      <c r="E734" s="51">
        <v>199770000</v>
      </c>
      <c r="F734" s="52">
        <f t="shared" si="50"/>
        <v>15981600</v>
      </c>
      <c r="G734" s="53">
        <f t="shared" si="51"/>
        <v>215751600</v>
      </c>
      <c r="H734" s="54">
        <v>215751600</v>
      </c>
      <c r="I734" s="55">
        <f t="shared" si="52"/>
        <v>0</v>
      </c>
      <c r="J734" s="56">
        <v>45674</v>
      </c>
      <c r="K734" s="57"/>
    </row>
    <row r="735" spans="1:11" ht="15.75" hidden="1" customHeight="1" x14ac:dyDescent="0.35">
      <c r="A735" s="47" t="s">
        <v>88</v>
      </c>
      <c r="B735" s="48" t="s">
        <v>1715</v>
      </c>
      <c r="C735" s="49" t="s">
        <v>1664</v>
      </c>
      <c r="D735" s="50"/>
      <c r="E735" s="51">
        <v>15480000</v>
      </c>
      <c r="F735" s="52">
        <f t="shared" si="50"/>
        <v>1238400</v>
      </c>
      <c r="G735" s="53">
        <f t="shared" si="51"/>
        <v>16718400</v>
      </c>
      <c r="H735" s="54">
        <v>16718400</v>
      </c>
      <c r="I735" s="55">
        <f t="shared" si="52"/>
        <v>0</v>
      </c>
      <c r="J735" s="56">
        <v>45674</v>
      </c>
      <c r="K735" s="57"/>
    </row>
    <row r="736" spans="1:11" ht="15.75" hidden="1" customHeight="1" x14ac:dyDescent="0.35">
      <c r="A736" s="47" t="s">
        <v>47</v>
      </c>
      <c r="B736" s="48" t="s">
        <v>1716</v>
      </c>
      <c r="C736" s="49" t="s">
        <v>1665</v>
      </c>
      <c r="D736" s="50"/>
      <c r="E736" s="51">
        <v>1005000</v>
      </c>
      <c r="F736" s="52">
        <f t="shared" si="50"/>
        <v>80400</v>
      </c>
      <c r="G736" s="53">
        <f t="shared" si="51"/>
        <v>1085400</v>
      </c>
      <c r="H736" s="54">
        <v>1085400</v>
      </c>
      <c r="I736" s="55">
        <f t="shared" si="52"/>
        <v>0</v>
      </c>
      <c r="J736" s="56">
        <v>45674</v>
      </c>
      <c r="K736" s="57"/>
    </row>
    <row r="737" spans="1:11" ht="15.75" hidden="1" customHeight="1" x14ac:dyDescent="0.35">
      <c r="A737" s="47" t="s">
        <v>106</v>
      </c>
      <c r="B737" s="48" t="s">
        <v>1716</v>
      </c>
      <c r="C737" s="49" t="s">
        <v>1666</v>
      </c>
      <c r="D737" s="50"/>
      <c r="E737" s="51">
        <v>4090000</v>
      </c>
      <c r="F737" s="52">
        <f t="shared" si="50"/>
        <v>327200</v>
      </c>
      <c r="G737" s="53">
        <f t="shared" si="51"/>
        <v>4417200</v>
      </c>
      <c r="H737" s="54">
        <v>4417200</v>
      </c>
      <c r="I737" s="55">
        <f t="shared" si="52"/>
        <v>0</v>
      </c>
      <c r="J737" s="56">
        <v>45674</v>
      </c>
      <c r="K737" s="57"/>
    </row>
    <row r="738" spans="1:11" ht="15.75" hidden="1" customHeight="1" x14ac:dyDescent="0.35">
      <c r="A738" s="47" t="s">
        <v>42</v>
      </c>
      <c r="B738" s="48" t="s">
        <v>1716</v>
      </c>
      <c r="C738" s="49" t="s">
        <v>1667</v>
      </c>
      <c r="D738" s="50"/>
      <c r="E738" s="51">
        <v>20664200</v>
      </c>
      <c r="F738" s="52">
        <f t="shared" si="50"/>
        <v>1653136</v>
      </c>
      <c r="G738" s="53">
        <f t="shared" si="51"/>
        <v>22317336</v>
      </c>
      <c r="H738" s="54">
        <v>22317336</v>
      </c>
      <c r="I738" s="55">
        <f t="shared" si="52"/>
        <v>0</v>
      </c>
      <c r="J738" s="56">
        <v>45674</v>
      </c>
      <c r="K738" s="57"/>
    </row>
    <row r="739" spans="1:11" ht="15.75" hidden="1" customHeight="1" x14ac:dyDescent="0.35">
      <c r="A739" s="47" t="s">
        <v>168</v>
      </c>
      <c r="B739" s="48" t="s">
        <v>1716</v>
      </c>
      <c r="C739" s="50" t="s">
        <v>1668</v>
      </c>
      <c r="D739" s="50"/>
      <c r="E739" s="51">
        <v>18279000</v>
      </c>
      <c r="F739" s="52">
        <f t="shared" si="50"/>
        <v>1462320</v>
      </c>
      <c r="G739" s="53">
        <f t="shared" si="51"/>
        <v>19741320</v>
      </c>
      <c r="H739" s="54">
        <v>19741320</v>
      </c>
      <c r="I739" s="55">
        <f t="shared" si="52"/>
        <v>0</v>
      </c>
      <c r="J739" s="56">
        <v>45734</v>
      </c>
      <c r="K739" s="57"/>
    </row>
    <row r="740" spans="1:11" ht="15.75" hidden="1" customHeight="1" x14ac:dyDescent="0.35">
      <c r="A740" s="47" t="s">
        <v>47</v>
      </c>
      <c r="B740" s="48" t="s">
        <v>1717</v>
      </c>
      <c r="C740" s="49" t="s">
        <v>1669</v>
      </c>
      <c r="D740" s="50"/>
      <c r="E740" s="51">
        <v>1040000</v>
      </c>
      <c r="F740" s="52">
        <f t="shared" si="50"/>
        <v>83200</v>
      </c>
      <c r="G740" s="53">
        <f t="shared" si="51"/>
        <v>1123200</v>
      </c>
      <c r="H740" s="54">
        <v>1123200</v>
      </c>
      <c r="I740" s="55">
        <f t="shared" si="52"/>
        <v>0</v>
      </c>
      <c r="J740" s="56">
        <v>45674</v>
      </c>
      <c r="K740" s="57"/>
    </row>
    <row r="741" spans="1:11" ht="15.75" hidden="1" customHeight="1" x14ac:dyDescent="0.35">
      <c r="A741" s="47" t="s">
        <v>126</v>
      </c>
      <c r="B741" s="48" t="s">
        <v>1717</v>
      </c>
      <c r="C741" s="50" t="s">
        <v>1670</v>
      </c>
      <c r="D741" s="50"/>
      <c r="E741" s="51">
        <v>20170000</v>
      </c>
      <c r="F741" s="52">
        <f t="shared" si="50"/>
        <v>1613600</v>
      </c>
      <c r="G741" s="53">
        <f t="shared" si="51"/>
        <v>21783600</v>
      </c>
      <c r="H741" s="54">
        <v>21783600</v>
      </c>
      <c r="I741" s="55">
        <f t="shared" si="52"/>
        <v>0</v>
      </c>
      <c r="J741" s="56">
        <v>45734</v>
      </c>
      <c r="K741" s="57"/>
    </row>
    <row r="742" spans="1:11" ht="15.75" hidden="1" customHeight="1" x14ac:dyDescent="0.35">
      <c r="A742" s="47" t="s">
        <v>1589</v>
      </c>
      <c r="B742" s="48" t="s">
        <v>1717</v>
      </c>
      <c r="C742" s="49" t="s">
        <v>1671</v>
      </c>
      <c r="D742" s="50"/>
      <c r="E742" s="51">
        <v>7600000</v>
      </c>
      <c r="F742" s="52">
        <f t="shared" si="50"/>
        <v>608000</v>
      </c>
      <c r="G742" s="53">
        <f t="shared" si="51"/>
        <v>8208000</v>
      </c>
      <c r="H742" s="54">
        <v>8208000</v>
      </c>
      <c r="I742" s="55">
        <f t="shared" si="52"/>
        <v>0</v>
      </c>
      <c r="J742" s="56">
        <v>45674</v>
      </c>
      <c r="K742" s="57"/>
    </row>
    <row r="743" spans="1:11" ht="15.75" hidden="1" customHeight="1" x14ac:dyDescent="0.35">
      <c r="A743" s="47" t="s">
        <v>15</v>
      </c>
      <c r="B743" s="48" t="s">
        <v>1718</v>
      </c>
      <c r="C743" s="49" t="s">
        <v>1672</v>
      </c>
      <c r="D743" s="50"/>
      <c r="E743" s="51">
        <v>12515000</v>
      </c>
      <c r="F743" s="52">
        <f t="shared" si="50"/>
        <v>1001200</v>
      </c>
      <c r="G743" s="53">
        <f t="shared" si="51"/>
        <v>13516200</v>
      </c>
      <c r="H743" s="54">
        <v>13516200</v>
      </c>
      <c r="I743" s="55">
        <f t="shared" si="52"/>
        <v>0</v>
      </c>
      <c r="J743" s="56">
        <v>45734</v>
      </c>
      <c r="K743" s="57"/>
    </row>
    <row r="744" spans="1:11" ht="15.75" hidden="1" customHeight="1" x14ac:dyDescent="0.35">
      <c r="A744" s="47" t="s">
        <v>37</v>
      </c>
      <c r="B744" s="48">
        <v>45638</v>
      </c>
      <c r="C744" s="50" t="s">
        <v>1673</v>
      </c>
      <c r="D744" s="50" t="s">
        <v>1731</v>
      </c>
      <c r="E744" s="51">
        <v>9909000</v>
      </c>
      <c r="F744" s="52">
        <f t="shared" si="50"/>
        <v>792720</v>
      </c>
      <c r="G744" s="53">
        <f t="shared" si="51"/>
        <v>10701720</v>
      </c>
      <c r="H744" s="54">
        <v>10701720</v>
      </c>
      <c r="I744" s="55">
        <f t="shared" si="52"/>
        <v>0</v>
      </c>
      <c r="J744" s="56">
        <v>45674</v>
      </c>
      <c r="K744" s="57"/>
    </row>
    <row r="745" spans="1:11" ht="15.75" hidden="1" customHeight="1" x14ac:dyDescent="0.35">
      <c r="A745" s="47" t="s">
        <v>380</v>
      </c>
      <c r="B745" s="48" t="s">
        <v>1718</v>
      </c>
      <c r="C745" s="49" t="s">
        <v>1674</v>
      </c>
      <c r="D745" s="50"/>
      <c r="E745" s="51">
        <v>12304000</v>
      </c>
      <c r="F745" s="52">
        <f t="shared" si="50"/>
        <v>984320</v>
      </c>
      <c r="G745" s="53">
        <f t="shared" si="51"/>
        <v>13288320</v>
      </c>
      <c r="H745" s="54">
        <v>13288320</v>
      </c>
      <c r="I745" s="55">
        <f t="shared" si="52"/>
        <v>0</v>
      </c>
      <c r="J745" s="56">
        <v>45674</v>
      </c>
      <c r="K745" s="57"/>
    </row>
    <row r="746" spans="1:11" ht="15.75" hidden="1" customHeight="1" x14ac:dyDescent="0.35">
      <c r="A746" s="47" t="s">
        <v>19</v>
      </c>
      <c r="B746" s="48" t="s">
        <v>1719</v>
      </c>
      <c r="C746" s="49" t="s">
        <v>1675</v>
      </c>
      <c r="D746" s="50"/>
      <c r="E746" s="51">
        <v>4090000</v>
      </c>
      <c r="F746" s="52">
        <f t="shared" si="50"/>
        <v>327200</v>
      </c>
      <c r="G746" s="53">
        <f t="shared" si="51"/>
        <v>4417200</v>
      </c>
      <c r="H746" s="54">
        <v>4417200</v>
      </c>
      <c r="I746" s="55">
        <f t="shared" si="52"/>
        <v>0</v>
      </c>
      <c r="J746" s="56">
        <v>45734</v>
      </c>
      <c r="K746" s="57"/>
    </row>
    <row r="747" spans="1:11" ht="15.75" hidden="1" customHeight="1" x14ac:dyDescent="0.35">
      <c r="A747" s="47" t="s">
        <v>24</v>
      </c>
      <c r="B747" s="48" t="s">
        <v>1719</v>
      </c>
      <c r="C747" s="49" t="s">
        <v>1676</v>
      </c>
      <c r="D747" s="50"/>
      <c r="E747" s="51">
        <v>2045000</v>
      </c>
      <c r="F747" s="52">
        <f t="shared" si="50"/>
        <v>163600</v>
      </c>
      <c r="G747" s="53">
        <f t="shared" si="51"/>
        <v>2208600</v>
      </c>
      <c r="H747" s="54">
        <v>2208600</v>
      </c>
      <c r="I747" s="55">
        <f t="shared" si="52"/>
        <v>0</v>
      </c>
      <c r="J747" s="56">
        <v>45734</v>
      </c>
      <c r="K747" s="57"/>
    </row>
    <row r="748" spans="1:11" ht="15.75" hidden="1" customHeight="1" x14ac:dyDescent="0.35">
      <c r="A748" s="47" t="s">
        <v>1594</v>
      </c>
      <c r="B748" s="48" t="s">
        <v>1719</v>
      </c>
      <c r="C748" s="49" t="s">
        <v>1677</v>
      </c>
      <c r="D748" s="50"/>
      <c r="E748" s="51">
        <v>42896400</v>
      </c>
      <c r="F748" s="52">
        <f t="shared" si="50"/>
        <v>3431712</v>
      </c>
      <c r="G748" s="53">
        <f t="shared" si="51"/>
        <v>46328112</v>
      </c>
      <c r="H748" s="54">
        <v>46328112</v>
      </c>
      <c r="I748" s="55">
        <f t="shared" si="52"/>
        <v>0</v>
      </c>
      <c r="J748" s="56">
        <v>45706</v>
      </c>
      <c r="K748" s="57"/>
    </row>
    <row r="749" spans="1:11" ht="15.75" hidden="1" customHeight="1" x14ac:dyDescent="0.35">
      <c r="A749" s="47" t="s">
        <v>120</v>
      </c>
      <c r="B749" s="48" t="s">
        <v>1719</v>
      </c>
      <c r="C749" s="49" t="s">
        <v>1678</v>
      </c>
      <c r="D749" s="50"/>
      <c r="E749" s="51">
        <v>23115400</v>
      </c>
      <c r="F749" s="52">
        <f t="shared" si="50"/>
        <v>1849232</v>
      </c>
      <c r="G749" s="53">
        <f t="shared" si="51"/>
        <v>24964632</v>
      </c>
      <c r="H749" s="53">
        <v>24964632</v>
      </c>
      <c r="I749" s="55">
        <f t="shared" si="52"/>
        <v>0</v>
      </c>
      <c r="J749" s="56">
        <v>45674</v>
      </c>
      <c r="K749" s="57"/>
    </row>
    <row r="750" spans="1:11" ht="15.75" hidden="1" customHeight="1" x14ac:dyDescent="0.35">
      <c r="A750" s="47" t="s">
        <v>113</v>
      </c>
      <c r="B750" s="48" t="s">
        <v>1720</v>
      </c>
      <c r="C750" s="49" t="s">
        <v>1679</v>
      </c>
      <c r="D750" s="50"/>
      <c r="E750" s="51">
        <v>3244000</v>
      </c>
      <c r="F750" s="52">
        <f t="shared" si="50"/>
        <v>259520</v>
      </c>
      <c r="G750" s="53">
        <f t="shared" si="51"/>
        <v>3503520</v>
      </c>
      <c r="H750" s="54">
        <v>3503520</v>
      </c>
      <c r="I750" s="55">
        <f t="shared" si="52"/>
        <v>0</v>
      </c>
      <c r="J750" s="56">
        <v>45674</v>
      </c>
      <c r="K750" s="57"/>
    </row>
    <row r="751" spans="1:11" ht="15.75" hidden="1" customHeight="1" x14ac:dyDescent="0.35">
      <c r="A751" s="47" t="s">
        <v>35</v>
      </c>
      <c r="B751" s="48" t="s">
        <v>1720</v>
      </c>
      <c r="C751" s="49" t="s">
        <v>1680</v>
      </c>
      <c r="D751" s="50"/>
      <c r="E751" s="51">
        <v>76115000</v>
      </c>
      <c r="F751" s="52">
        <f t="shared" si="50"/>
        <v>6089200</v>
      </c>
      <c r="G751" s="53">
        <f t="shared" si="51"/>
        <v>82204200</v>
      </c>
      <c r="H751" s="54">
        <v>82204200</v>
      </c>
      <c r="I751" s="55">
        <f t="shared" si="52"/>
        <v>0</v>
      </c>
      <c r="J751" s="56">
        <v>45674</v>
      </c>
      <c r="K751" s="57"/>
    </row>
    <row r="752" spans="1:11" ht="15.75" hidden="1" customHeight="1" x14ac:dyDescent="0.35">
      <c r="A752" s="47" t="s">
        <v>19</v>
      </c>
      <c r="B752" s="48" t="s">
        <v>1720</v>
      </c>
      <c r="C752" s="49" t="s">
        <v>1681</v>
      </c>
      <c r="D752" s="50"/>
      <c r="E752" s="51">
        <v>18187000</v>
      </c>
      <c r="F752" s="52">
        <f t="shared" si="50"/>
        <v>1454960</v>
      </c>
      <c r="G752" s="53">
        <f t="shared" si="51"/>
        <v>19641960</v>
      </c>
      <c r="H752" s="54">
        <v>19641960</v>
      </c>
      <c r="I752" s="55">
        <f t="shared" si="52"/>
        <v>0</v>
      </c>
      <c r="J752" s="56">
        <v>45734</v>
      </c>
      <c r="K752" s="57"/>
    </row>
    <row r="753" spans="1:11" ht="15.75" hidden="1" customHeight="1" x14ac:dyDescent="0.35">
      <c r="A753" s="47" t="s">
        <v>1413</v>
      </c>
      <c r="B753" s="48" t="s">
        <v>1720</v>
      </c>
      <c r="C753" s="49" t="s">
        <v>1682</v>
      </c>
      <c r="D753" s="50"/>
      <c r="E753" s="51">
        <v>3860000</v>
      </c>
      <c r="F753" s="52">
        <f t="shared" si="50"/>
        <v>308800</v>
      </c>
      <c r="G753" s="53">
        <f t="shared" si="51"/>
        <v>4168800</v>
      </c>
      <c r="H753" s="54">
        <v>4168800</v>
      </c>
      <c r="I753" s="55">
        <f t="shared" si="52"/>
        <v>0</v>
      </c>
      <c r="J753" s="56">
        <v>45674</v>
      </c>
      <c r="K753" s="57"/>
    </row>
    <row r="754" spans="1:11" ht="15.75" hidden="1" customHeight="1" x14ac:dyDescent="0.35">
      <c r="A754" s="47" t="s">
        <v>84</v>
      </c>
      <c r="B754" s="48" t="s">
        <v>1720</v>
      </c>
      <c r="C754" s="49" t="s">
        <v>1683</v>
      </c>
      <c r="D754" s="50"/>
      <c r="E754" s="51">
        <v>1005000</v>
      </c>
      <c r="F754" s="52">
        <f t="shared" si="50"/>
        <v>80400</v>
      </c>
      <c r="G754" s="53">
        <f t="shared" si="51"/>
        <v>1085400</v>
      </c>
      <c r="H754" s="54">
        <v>1085400</v>
      </c>
      <c r="I754" s="55">
        <f t="shared" si="52"/>
        <v>0</v>
      </c>
      <c r="J754" s="56">
        <v>45674</v>
      </c>
      <c r="K754" s="57"/>
    </row>
    <row r="755" spans="1:11" ht="15.75" hidden="1" customHeight="1" x14ac:dyDescent="0.35">
      <c r="A755" s="47" t="s">
        <v>44</v>
      </c>
      <c r="B755" s="48" t="s">
        <v>1720</v>
      </c>
      <c r="C755" s="49" t="s">
        <v>1684</v>
      </c>
      <c r="D755" s="50"/>
      <c r="E755" s="51">
        <v>1022500</v>
      </c>
      <c r="F755" s="52">
        <f t="shared" si="50"/>
        <v>81800</v>
      </c>
      <c r="G755" s="53">
        <f t="shared" si="51"/>
        <v>1104300</v>
      </c>
      <c r="H755" s="54">
        <v>1104300</v>
      </c>
      <c r="I755" s="55">
        <f t="shared" si="52"/>
        <v>0</v>
      </c>
      <c r="J755" s="56">
        <v>45674</v>
      </c>
      <c r="K755" s="57"/>
    </row>
    <row r="756" spans="1:11" ht="15.75" hidden="1" customHeight="1" x14ac:dyDescent="0.35">
      <c r="A756" s="47" t="s">
        <v>28</v>
      </c>
      <c r="B756" s="48" t="s">
        <v>1720</v>
      </c>
      <c r="C756" s="50" t="s">
        <v>1685</v>
      </c>
      <c r="D756" s="50"/>
      <c r="E756" s="51">
        <v>34959400</v>
      </c>
      <c r="F756" s="52">
        <f t="shared" si="50"/>
        <v>2796752</v>
      </c>
      <c r="G756" s="53">
        <f t="shared" si="51"/>
        <v>37756152</v>
      </c>
      <c r="H756" s="54">
        <v>37756152</v>
      </c>
      <c r="I756" s="55">
        <f t="shared" si="52"/>
        <v>0</v>
      </c>
      <c r="J756" s="56">
        <v>45734</v>
      </c>
      <c r="K756" s="57"/>
    </row>
    <row r="757" spans="1:11" ht="15.75" hidden="1" customHeight="1" x14ac:dyDescent="0.35">
      <c r="A757" s="47" t="s">
        <v>90</v>
      </c>
      <c r="B757" s="48" t="s">
        <v>1721</v>
      </c>
      <c r="C757" s="49" t="s">
        <v>1686</v>
      </c>
      <c r="D757" s="50"/>
      <c r="E757" s="51">
        <v>6760000</v>
      </c>
      <c r="F757" s="52">
        <f t="shared" si="50"/>
        <v>540800</v>
      </c>
      <c r="G757" s="53">
        <f t="shared" si="51"/>
        <v>7300800</v>
      </c>
      <c r="H757" s="54">
        <v>7300800</v>
      </c>
      <c r="I757" s="55">
        <f t="shared" si="52"/>
        <v>0</v>
      </c>
      <c r="J757" s="56">
        <v>45796</v>
      </c>
      <c r="K757" s="57"/>
    </row>
    <row r="758" spans="1:11" ht="15.75" hidden="1" customHeight="1" x14ac:dyDescent="0.35">
      <c r="A758" s="47" t="s">
        <v>170</v>
      </c>
      <c r="B758" s="48" t="s">
        <v>1722</v>
      </c>
      <c r="C758" s="49" t="s">
        <v>1687</v>
      </c>
      <c r="D758" s="50"/>
      <c r="E758" s="51">
        <v>2000000</v>
      </c>
      <c r="F758" s="52">
        <f t="shared" ref="F758:F821" si="56">+E758*0.08</f>
        <v>160000</v>
      </c>
      <c r="G758" s="53">
        <f t="shared" ref="G758:G821" si="57">E758+F758</f>
        <v>2160000</v>
      </c>
      <c r="H758" s="54">
        <v>2160000</v>
      </c>
      <c r="I758" s="55">
        <f t="shared" si="52"/>
        <v>0</v>
      </c>
      <c r="J758" s="56">
        <v>45674</v>
      </c>
      <c r="K758" s="57"/>
    </row>
    <row r="759" spans="1:11" ht="15.75" hidden="1" customHeight="1" x14ac:dyDescent="0.35">
      <c r="A759" s="47" t="s">
        <v>72</v>
      </c>
      <c r="B759" s="48" t="s">
        <v>1723</v>
      </c>
      <c r="C759" s="49" t="s">
        <v>1688</v>
      </c>
      <c r="D759" s="50"/>
      <c r="E759" s="51">
        <v>20985400</v>
      </c>
      <c r="F759" s="52">
        <f t="shared" si="56"/>
        <v>1678832</v>
      </c>
      <c r="G759" s="53">
        <f t="shared" si="57"/>
        <v>22664232</v>
      </c>
      <c r="H759" s="54">
        <v>22664232</v>
      </c>
      <c r="I759" s="55">
        <f t="shared" si="52"/>
        <v>0</v>
      </c>
      <c r="J759" s="56">
        <v>45674</v>
      </c>
      <c r="K759" s="57"/>
    </row>
    <row r="760" spans="1:11" ht="15.75" hidden="1" customHeight="1" x14ac:dyDescent="0.35">
      <c r="A760" s="47" t="s">
        <v>164</v>
      </c>
      <c r="B760" s="48">
        <v>45647</v>
      </c>
      <c r="C760" s="50" t="s">
        <v>1689</v>
      </c>
      <c r="D760" s="50" t="s">
        <v>1732</v>
      </c>
      <c r="E760" s="51">
        <v>6606000</v>
      </c>
      <c r="F760" s="52">
        <f t="shared" si="56"/>
        <v>528480</v>
      </c>
      <c r="G760" s="53">
        <f t="shared" si="57"/>
        <v>7134480</v>
      </c>
      <c r="H760" s="54">
        <v>7134480</v>
      </c>
      <c r="I760" s="55">
        <f t="shared" si="52"/>
        <v>0</v>
      </c>
      <c r="J760" s="56">
        <v>45769</v>
      </c>
      <c r="K760" s="57"/>
    </row>
    <row r="761" spans="1:11" ht="15.75" hidden="1" customHeight="1" x14ac:dyDescent="0.35">
      <c r="A761" s="47" t="s">
        <v>93</v>
      </c>
      <c r="B761" s="48" t="s">
        <v>1723</v>
      </c>
      <c r="C761" s="49" t="s">
        <v>1690</v>
      </c>
      <c r="D761" s="50"/>
      <c r="E761" s="51">
        <v>22823000</v>
      </c>
      <c r="F761" s="52">
        <f t="shared" si="56"/>
        <v>1825840</v>
      </c>
      <c r="G761" s="53">
        <f t="shared" si="57"/>
        <v>24648840</v>
      </c>
      <c r="H761" s="54">
        <v>24648840</v>
      </c>
      <c r="I761" s="55">
        <f t="shared" si="52"/>
        <v>0</v>
      </c>
      <c r="J761" s="56">
        <v>45734</v>
      </c>
      <c r="K761" s="57"/>
    </row>
    <row r="762" spans="1:11" ht="15.75" hidden="1" customHeight="1" x14ac:dyDescent="0.35">
      <c r="A762" s="47" t="s">
        <v>43</v>
      </c>
      <c r="B762" s="48">
        <v>45640</v>
      </c>
      <c r="C762" s="50" t="s">
        <v>1842</v>
      </c>
      <c r="D762" s="50"/>
      <c r="E762" s="51">
        <v>3334200</v>
      </c>
      <c r="F762" s="52">
        <f t="shared" si="56"/>
        <v>266736</v>
      </c>
      <c r="G762" s="53">
        <f t="shared" si="57"/>
        <v>3600936</v>
      </c>
      <c r="H762" s="54">
        <v>3600936</v>
      </c>
      <c r="I762" s="55">
        <f t="shared" ref="I762:I824" si="58">G762-H762</f>
        <v>0</v>
      </c>
      <c r="J762" s="56">
        <v>45674</v>
      </c>
      <c r="K762" s="57"/>
    </row>
    <row r="763" spans="1:11" ht="15.75" hidden="1" customHeight="1" x14ac:dyDescent="0.35">
      <c r="A763" s="47" t="s">
        <v>30</v>
      </c>
      <c r="B763" s="48" t="s">
        <v>1724</v>
      </c>
      <c r="C763" s="49" t="s">
        <v>1691</v>
      </c>
      <c r="D763" s="50"/>
      <c r="E763" s="51">
        <v>4420000</v>
      </c>
      <c r="F763" s="52">
        <f t="shared" si="56"/>
        <v>353600</v>
      </c>
      <c r="G763" s="53">
        <f t="shared" si="57"/>
        <v>4773600</v>
      </c>
      <c r="H763" s="54">
        <v>4773600</v>
      </c>
      <c r="I763" s="55">
        <f t="shared" si="58"/>
        <v>0</v>
      </c>
      <c r="J763" s="56">
        <v>45674</v>
      </c>
      <c r="K763" s="57"/>
    </row>
    <row r="764" spans="1:11" ht="15.75" hidden="1" customHeight="1" x14ac:dyDescent="0.35">
      <c r="A764" s="47" t="s">
        <v>70</v>
      </c>
      <c r="B764" s="48" t="s">
        <v>1724</v>
      </c>
      <c r="C764" s="49" t="s">
        <v>1692</v>
      </c>
      <c r="D764" s="50"/>
      <c r="E764" s="51">
        <v>520000</v>
      </c>
      <c r="F764" s="52">
        <f t="shared" si="56"/>
        <v>41600</v>
      </c>
      <c r="G764" s="53">
        <f t="shared" si="57"/>
        <v>561600</v>
      </c>
      <c r="H764" s="54">
        <v>561600</v>
      </c>
      <c r="I764" s="55">
        <f t="shared" si="58"/>
        <v>0</v>
      </c>
      <c r="J764" s="56">
        <v>45674</v>
      </c>
      <c r="K764" s="57"/>
    </row>
    <row r="765" spans="1:11" ht="15.75" hidden="1" customHeight="1" x14ac:dyDescent="0.35">
      <c r="A765" s="47" t="s">
        <v>46</v>
      </c>
      <c r="B765" s="48" t="s">
        <v>1724</v>
      </c>
      <c r="C765" s="49" t="s">
        <v>1693</v>
      </c>
      <c r="D765" s="50"/>
      <c r="E765" s="51">
        <v>12148000</v>
      </c>
      <c r="F765" s="52">
        <f t="shared" si="56"/>
        <v>971840</v>
      </c>
      <c r="G765" s="53">
        <f t="shared" si="57"/>
        <v>13119840</v>
      </c>
      <c r="H765" s="54">
        <v>13119840</v>
      </c>
      <c r="I765" s="55">
        <f t="shared" si="58"/>
        <v>0</v>
      </c>
      <c r="J765" s="56">
        <v>45674</v>
      </c>
      <c r="K765" s="57"/>
    </row>
    <row r="766" spans="1:11" ht="15.75" hidden="1" customHeight="1" x14ac:dyDescent="0.35">
      <c r="A766" s="47" t="s">
        <v>61</v>
      </c>
      <c r="B766" s="48" t="s">
        <v>1724</v>
      </c>
      <c r="C766" s="49" t="s">
        <v>1694</v>
      </c>
      <c r="D766" s="50"/>
      <c r="E766" s="51">
        <v>2045000</v>
      </c>
      <c r="F766" s="52">
        <f t="shared" si="56"/>
        <v>163600</v>
      </c>
      <c r="G766" s="53">
        <f t="shared" si="57"/>
        <v>2208600</v>
      </c>
      <c r="H766" s="54">
        <v>2208600</v>
      </c>
      <c r="I766" s="55">
        <f t="shared" si="58"/>
        <v>0</v>
      </c>
      <c r="J766" s="56">
        <v>45734</v>
      </c>
      <c r="K766" s="57"/>
    </row>
    <row r="767" spans="1:11" ht="15.75" hidden="1" customHeight="1" x14ac:dyDescent="0.35">
      <c r="A767" s="47" t="s">
        <v>339</v>
      </c>
      <c r="B767" s="48" t="s">
        <v>1724</v>
      </c>
      <c r="C767" s="49" t="s">
        <v>1695</v>
      </c>
      <c r="D767" s="50"/>
      <c r="E767" s="51">
        <v>9989200</v>
      </c>
      <c r="F767" s="52">
        <f t="shared" si="56"/>
        <v>799136</v>
      </c>
      <c r="G767" s="53">
        <f t="shared" si="57"/>
        <v>10788336</v>
      </c>
      <c r="H767" s="54">
        <v>10788336</v>
      </c>
      <c r="I767" s="55">
        <f t="shared" si="58"/>
        <v>0</v>
      </c>
      <c r="J767" s="56">
        <v>45674</v>
      </c>
      <c r="K767" s="57"/>
    </row>
    <row r="768" spans="1:11" ht="15.75" hidden="1" customHeight="1" x14ac:dyDescent="0.35">
      <c r="A768" s="47" t="s">
        <v>19</v>
      </c>
      <c r="B768" s="48" t="s">
        <v>1725</v>
      </c>
      <c r="C768" s="49" t="s">
        <v>1696</v>
      </c>
      <c r="D768" s="50"/>
      <c r="E768" s="51">
        <v>5130000</v>
      </c>
      <c r="F768" s="52">
        <f t="shared" si="56"/>
        <v>410400</v>
      </c>
      <c r="G768" s="53">
        <f t="shared" si="57"/>
        <v>5540400</v>
      </c>
      <c r="H768" s="54">
        <v>5540400</v>
      </c>
      <c r="I768" s="55">
        <f t="shared" si="58"/>
        <v>0</v>
      </c>
      <c r="J768" s="56">
        <v>45734</v>
      </c>
      <c r="K768" s="57"/>
    </row>
    <row r="769" spans="1:11" ht="15.75" hidden="1" customHeight="1" x14ac:dyDescent="0.35">
      <c r="A769" s="47" t="s">
        <v>114</v>
      </c>
      <c r="B769" s="48" t="s">
        <v>1725</v>
      </c>
      <c r="C769" s="50" t="s">
        <v>1697</v>
      </c>
      <c r="D769" s="50"/>
      <c r="E769" s="51">
        <v>11143400</v>
      </c>
      <c r="F769" s="52">
        <f t="shared" si="56"/>
        <v>891472</v>
      </c>
      <c r="G769" s="53">
        <f t="shared" si="57"/>
        <v>12034872</v>
      </c>
      <c r="H769" s="54">
        <v>12034872</v>
      </c>
      <c r="I769" s="55">
        <f t="shared" si="58"/>
        <v>0</v>
      </c>
      <c r="J769" s="56">
        <v>45674</v>
      </c>
      <c r="K769" s="57"/>
    </row>
    <row r="770" spans="1:11" ht="15.75" hidden="1" customHeight="1" x14ac:dyDescent="0.35">
      <c r="A770" s="47" t="s">
        <v>47</v>
      </c>
      <c r="B770" s="48" t="s">
        <v>1725</v>
      </c>
      <c r="C770" s="49" t="s">
        <v>1698</v>
      </c>
      <c r="D770" s="50"/>
      <c r="E770" s="51">
        <v>1005000</v>
      </c>
      <c r="F770" s="52">
        <f t="shared" si="56"/>
        <v>80400</v>
      </c>
      <c r="G770" s="53">
        <f t="shared" si="57"/>
        <v>1085400</v>
      </c>
      <c r="H770" s="54">
        <v>1085400</v>
      </c>
      <c r="I770" s="55">
        <f t="shared" si="58"/>
        <v>0</v>
      </c>
      <c r="J770" s="56">
        <v>45674</v>
      </c>
      <c r="K770" s="57"/>
    </row>
    <row r="771" spans="1:11" ht="15.75" hidden="1" customHeight="1" x14ac:dyDescent="0.35">
      <c r="A771" s="47" t="s">
        <v>770</v>
      </c>
      <c r="B771" s="48" t="s">
        <v>1725</v>
      </c>
      <c r="C771" s="49" t="s">
        <v>1699</v>
      </c>
      <c r="D771" s="50"/>
      <c r="E771" s="51">
        <v>1380000</v>
      </c>
      <c r="F771" s="52">
        <f t="shared" si="56"/>
        <v>110400</v>
      </c>
      <c r="G771" s="53">
        <f t="shared" si="57"/>
        <v>1490400</v>
      </c>
      <c r="H771" s="54">
        <v>1490400</v>
      </c>
      <c r="I771" s="55">
        <f t="shared" si="58"/>
        <v>0</v>
      </c>
      <c r="J771" s="56">
        <v>45674</v>
      </c>
      <c r="K771" s="57"/>
    </row>
    <row r="772" spans="1:11" ht="15.75" hidden="1" customHeight="1" x14ac:dyDescent="0.35">
      <c r="A772" s="47" t="s">
        <v>31</v>
      </c>
      <c r="B772" s="48" t="s">
        <v>1726</v>
      </c>
      <c r="C772" s="49" t="s">
        <v>1700</v>
      </c>
      <c r="D772" s="50"/>
      <c r="E772" s="51">
        <v>3185000</v>
      </c>
      <c r="F772" s="52">
        <f t="shared" si="56"/>
        <v>254800</v>
      </c>
      <c r="G772" s="53">
        <f t="shared" si="57"/>
        <v>3439800</v>
      </c>
      <c r="H772" s="54">
        <v>3439800</v>
      </c>
      <c r="I772" s="55">
        <f t="shared" si="58"/>
        <v>0</v>
      </c>
      <c r="J772" s="56">
        <v>45674</v>
      </c>
      <c r="K772" s="57"/>
    </row>
    <row r="773" spans="1:11" ht="15.75" hidden="1" customHeight="1" x14ac:dyDescent="0.35">
      <c r="A773" s="47" t="s">
        <v>24</v>
      </c>
      <c r="B773" s="48" t="s">
        <v>1726</v>
      </c>
      <c r="C773" s="49" t="s">
        <v>1701</v>
      </c>
      <c r="D773" s="50"/>
      <c r="E773" s="51">
        <v>12645000</v>
      </c>
      <c r="F773" s="52">
        <f t="shared" si="56"/>
        <v>1011600</v>
      </c>
      <c r="G773" s="53">
        <f t="shared" si="57"/>
        <v>13656600</v>
      </c>
      <c r="H773" s="54">
        <v>13656600</v>
      </c>
      <c r="I773" s="55">
        <f t="shared" si="58"/>
        <v>0</v>
      </c>
      <c r="J773" s="56">
        <v>45734</v>
      </c>
      <c r="K773" s="57"/>
    </row>
    <row r="774" spans="1:11" ht="15.75" hidden="1" customHeight="1" x14ac:dyDescent="0.35">
      <c r="A774" s="47" t="s">
        <v>183</v>
      </c>
      <c r="B774" s="48" t="s">
        <v>1726</v>
      </c>
      <c r="C774" s="49" t="s">
        <v>1702</v>
      </c>
      <c r="D774" s="50"/>
      <c r="E774" s="51">
        <v>17938000</v>
      </c>
      <c r="F774" s="52">
        <f t="shared" si="56"/>
        <v>1435040</v>
      </c>
      <c r="G774" s="53">
        <f t="shared" si="57"/>
        <v>19373040</v>
      </c>
      <c r="H774" s="54">
        <v>19373040</v>
      </c>
      <c r="I774" s="55">
        <f t="shared" si="58"/>
        <v>0</v>
      </c>
      <c r="J774" s="56">
        <v>45674</v>
      </c>
      <c r="K774" s="57"/>
    </row>
    <row r="775" spans="1:11" ht="15.75" hidden="1" customHeight="1" x14ac:dyDescent="0.35">
      <c r="A775" s="47" t="s">
        <v>26</v>
      </c>
      <c r="B775" s="48" t="s">
        <v>1726</v>
      </c>
      <c r="C775" s="49" t="s">
        <v>1703</v>
      </c>
      <c r="D775" s="50"/>
      <c r="E775" s="51">
        <v>4624000</v>
      </c>
      <c r="F775" s="52">
        <f t="shared" si="56"/>
        <v>369920</v>
      </c>
      <c r="G775" s="53">
        <f t="shared" si="57"/>
        <v>4993920</v>
      </c>
      <c r="H775" s="54">
        <v>4993920</v>
      </c>
      <c r="I775" s="55">
        <f t="shared" si="58"/>
        <v>0</v>
      </c>
      <c r="J775" s="56">
        <v>45674</v>
      </c>
      <c r="K775" s="57"/>
    </row>
    <row r="776" spans="1:11" ht="15.75" hidden="1" customHeight="1" x14ac:dyDescent="0.35">
      <c r="A776" s="47" t="s">
        <v>366</v>
      </c>
      <c r="B776" s="48" t="s">
        <v>1726</v>
      </c>
      <c r="C776" s="49" t="s">
        <v>1704</v>
      </c>
      <c r="D776" s="50"/>
      <c r="E776" s="51">
        <v>8431000</v>
      </c>
      <c r="F776" s="52">
        <f t="shared" si="56"/>
        <v>674480</v>
      </c>
      <c r="G776" s="53">
        <f t="shared" si="57"/>
        <v>9105480</v>
      </c>
      <c r="H776" s="53">
        <v>9105480</v>
      </c>
      <c r="I776" s="55">
        <f t="shared" si="58"/>
        <v>0</v>
      </c>
      <c r="J776" s="56">
        <v>45674</v>
      </c>
      <c r="K776" s="57"/>
    </row>
    <row r="777" spans="1:11" ht="15.75" hidden="1" customHeight="1" x14ac:dyDescent="0.35">
      <c r="A777" s="47" t="s">
        <v>341</v>
      </c>
      <c r="B777" s="48" t="s">
        <v>1726</v>
      </c>
      <c r="C777" s="49" t="s">
        <v>1705</v>
      </c>
      <c r="D777" s="50"/>
      <c r="E777" s="51">
        <v>4400000</v>
      </c>
      <c r="F777" s="52">
        <f t="shared" si="56"/>
        <v>352000</v>
      </c>
      <c r="G777" s="53">
        <f t="shared" si="57"/>
        <v>4752000</v>
      </c>
      <c r="H777" s="54">
        <v>4752000</v>
      </c>
      <c r="I777" s="55">
        <f t="shared" si="58"/>
        <v>0</v>
      </c>
      <c r="J777" s="56">
        <v>45674</v>
      </c>
      <c r="K777" s="57"/>
    </row>
    <row r="778" spans="1:11" ht="15.75" hidden="1" customHeight="1" x14ac:dyDescent="0.35">
      <c r="A778" s="47" t="s">
        <v>114</v>
      </c>
      <c r="B778" s="48" t="s">
        <v>1727</v>
      </c>
      <c r="C778" s="49" t="s">
        <v>1706</v>
      </c>
      <c r="D778" s="50"/>
      <c r="E778" s="51">
        <v>63535000</v>
      </c>
      <c r="F778" s="52">
        <f t="shared" si="56"/>
        <v>5082800</v>
      </c>
      <c r="G778" s="53">
        <f t="shared" si="57"/>
        <v>68617800</v>
      </c>
      <c r="H778" s="54">
        <v>68617800</v>
      </c>
      <c r="I778" s="55">
        <f t="shared" si="58"/>
        <v>0</v>
      </c>
      <c r="J778" s="56">
        <v>45674</v>
      </c>
      <c r="K778" s="57"/>
    </row>
    <row r="779" spans="1:11" ht="15.75" hidden="1" customHeight="1" x14ac:dyDescent="0.35">
      <c r="A779" s="47" t="s">
        <v>1729</v>
      </c>
      <c r="B779" s="48" t="s">
        <v>1727</v>
      </c>
      <c r="C779" s="49" t="s">
        <v>1707</v>
      </c>
      <c r="D779" s="50"/>
      <c r="E779" s="51">
        <v>9015000</v>
      </c>
      <c r="F779" s="52">
        <f t="shared" si="56"/>
        <v>721200</v>
      </c>
      <c r="G779" s="53">
        <f t="shared" si="57"/>
        <v>9736200</v>
      </c>
      <c r="H779" s="54">
        <v>9736200</v>
      </c>
      <c r="I779" s="55">
        <f t="shared" si="58"/>
        <v>0</v>
      </c>
      <c r="J779" s="56">
        <v>45674</v>
      </c>
      <c r="K779" s="57"/>
    </row>
    <row r="780" spans="1:11" ht="15.75" hidden="1" customHeight="1" x14ac:dyDescent="0.35">
      <c r="A780" s="47" t="s">
        <v>164</v>
      </c>
      <c r="B780" s="48" t="s">
        <v>1727</v>
      </c>
      <c r="C780" s="49" t="s">
        <v>1708</v>
      </c>
      <c r="D780" s="50"/>
      <c r="E780" s="51">
        <v>1680000</v>
      </c>
      <c r="F780" s="52">
        <f t="shared" si="56"/>
        <v>134400</v>
      </c>
      <c r="G780" s="53">
        <f t="shared" si="57"/>
        <v>1814400</v>
      </c>
      <c r="H780" s="54">
        <v>1814400</v>
      </c>
      <c r="I780" s="55">
        <f t="shared" si="58"/>
        <v>0</v>
      </c>
      <c r="J780" s="56">
        <v>45769</v>
      </c>
      <c r="K780" s="57"/>
    </row>
    <row r="781" spans="1:11" ht="15.75" hidden="1" customHeight="1" x14ac:dyDescent="0.35">
      <c r="A781" s="47" t="s">
        <v>1593</v>
      </c>
      <c r="B781" s="48" t="s">
        <v>1727</v>
      </c>
      <c r="C781" s="49" t="s">
        <v>1709</v>
      </c>
      <c r="D781" s="50"/>
      <c r="E781" s="51">
        <v>1520000</v>
      </c>
      <c r="F781" s="52">
        <f t="shared" si="56"/>
        <v>121600</v>
      </c>
      <c r="G781" s="53">
        <f t="shared" si="57"/>
        <v>1641600</v>
      </c>
      <c r="H781" s="54">
        <v>1641600</v>
      </c>
      <c r="I781" s="55">
        <f t="shared" si="58"/>
        <v>0</v>
      </c>
      <c r="J781" s="56">
        <v>45674</v>
      </c>
      <c r="K781" s="57"/>
    </row>
    <row r="782" spans="1:11" ht="15.75" hidden="1" customHeight="1" x14ac:dyDescent="0.35">
      <c r="A782" s="47" t="s">
        <v>1413</v>
      </c>
      <c r="B782" s="48" t="s">
        <v>1727</v>
      </c>
      <c r="C782" s="49" t="s">
        <v>1710</v>
      </c>
      <c r="D782" s="50"/>
      <c r="E782" s="51">
        <v>12671000</v>
      </c>
      <c r="F782" s="52">
        <f t="shared" si="56"/>
        <v>1013680</v>
      </c>
      <c r="G782" s="53">
        <f t="shared" si="57"/>
        <v>13684680</v>
      </c>
      <c r="H782" s="54">
        <v>13684680</v>
      </c>
      <c r="I782" s="55">
        <f t="shared" si="58"/>
        <v>0</v>
      </c>
      <c r="J782" s="56">
        <v>45674</v>
      </c>
      <c r="K782" s="57"/>
    </row>
    <row r="783" spans="1:11" ht="15.75" hidden="1" customHeight="1" x14ac:dyDescent="0.35">
      <c r="A783" s="47" t="s">
        <v>176</v>
      </c>
      <c r="B783" s="48" t="s">
        <v>1728</v>
      </c>
      <c r="C783" s="49" t="s">
        <v>1711</v>
      </c>
      <c r="D783" s="50"/>
      <c r="E783" s="51">
        <v>2045000</v>
      </c>
      <c r="F783" s="52">
        <f t="shared" si="56"/>
        <v>163600</v>
      </c>
      <c r="G783" s="53">
        <f t="shared" si="57"/>
        <v>2208600</v>
      </c>
      <c r="H783" s="54">
        <v>2208600</v>
      </c>
      <c r="I783" s="55">
        <f t="shared" si="58"/>
        <v>0</v>
      </c>
      <c r="J783" s="56">
        <v>45674</v>
      </c>
      <c r="K783" s="57"/>
    </row>
    <row r="784" spans="1:11" ht="15.75" hidden="1" customHeight="1" x14ac:dyDescent="0.35">
      <c r="A784" s="47" t="s">
        <v>106</v>
      </c>
      <c r="B784" s="48" t="s">
        <v>1728</v>
      </c>
      <c r="C784" s="49" t="s">
        <v>1712</v>
      </c>
      <c r="D784" s="50"/>
      <c r="E784" s="51">
        <v>14440000</v>
      </c>
      <c r="F784" s="52">
        <f t="shared" si="56"/>
        <v>1155200</v>
      </c>
      <c r="G784" s="53">
        <f t="shared" si="57"/>
        <v>15595200</v>
      </c>
      <c r="H784" s="54">
        <v>15595200</v>
      </c>
      <c r="I784" s="55">
        <f t="shared" si="58"/>
        <v>0</v>
      </c>
      <c r="J784" s="56">
        <v>45674</v>
      </c>
      <c r="K784" s="57"/>
    </row>
    <row r="785" spans="1:11" ht="15.75" hidden="1" customHeight="1" x14ac:dyDescent="0.35">
      <c r="A785" s="47" t="s">
        <v>36</v>
      </c>
      <c r="B785" s="48" t="s">
        <v>1728</v>
      </c>
      <c r="C785" s="49" t="s">
        <v>1713</v>
      </c>
      <c r="D785" s="50"/>
      <c r="E785" s="51">
        <v>13478000</v>
      </c>
      <c r="F785" s="52">
        <f t="shared" si="56"/>
        <v>1078240</v>
      </c>
      <c r="G785" s="53">
        <f t="shared" si="57"/>
        <v>14556240</v>
      </c>
      <c r="H785" s="54">
        <v>14556240</v>
      </c>
      <c r="I785" s="55">
        <f t="shared" si="58"/>
        <v>0</v>
      </c>
      <c r="J785" s="56">
        <v>45769</v>
      </c>
      <c r="K785" s="57"/>
    </row>
    <row r="786" spans="1:11" ht="15.75" hidden="1" customHeight="1" x14ac:dyDescent="0.35">
      <c r="A786" s="47" t="s">
        <v>143</v>
      </c>
      <c r="B786" s="48" t="s">
        <v>1773</v>
      </c>
      <c r="C786" s="49" t="s">
        <v>1737</v>
      </c>
      <c r="D786" s="50"/>
      <c r="E786" s="51">
        <v>3040000</v>
      </c>
      <c r="F786" s="52">
        <f t="shared" si="56"/>
        <v>243200</v>
      </c>
      <c r="G786" s="53">
        <f t="shared" si="57"/>
        <v>3283200</v>
      </c>
      <c r="H786" s="54">
        <v>3283200</v>
      </c>
      <c r="I786" s="55">
        <f t="shared" si="58"/>
        <v>0</v>
      </c>
      <c r="J786" s="56">
        <v>45674</v>
      </c>
      <c r="K786" s="57"/>
    </row>
    <row r="787" spans="1:11" ht="15.75" hidden="1" customHeight="1" x14ac:dyDescent="0.35">
      <c r="A787" s="47" t="s">
        <v>83</v>
      </c>
      <c r="B787" s="48" t="s">
        <v>1773</v>
      </c>
      <c r="C787" s="49" t="s">
        <v>1738</v>
      </c>
      <c r="D787" s="50"/>
      <c r="E787" s="51">
        <v>1005000</v>
      </c>
      <c r="F787" s="52">
        <f t="shared" si="56"/>
        <v>80400</v>
      </c>
      <c r="G787" s="53">
        <f t="shared" si="57"/>
        <v>1085400</v>
      </c>
      <c r="H787" s="54">
        <v>1085400</v>
      </c>
      <c r="I787" s="55">
        <f t="shared" si="58"/>
        <v>0</v>
      </c>
      <c r="J787" s="56">
        <v>45674</v>
      </c>
      <c r="K787" s="57"/>
    </row>
    <row r="788" spans="1:11" ht="15.75" hidden="1" customHeight="1" x14ac:dyDescent="0.35">
      <c r="A788" s="47" t="s">
        <v>16</v>
      </c>
      <c r="B788" s="48" t="s">
        <v>1774</v>
      </c>
      <c r="C788" s="49" t="s">
        <v>1739</v>
      </c>
      <c r="D788" s="50"/>
      <c r="E788" s="51">
        <v>1040000</v>
      </c>
      <c r="F788" s="52">
        <f t="shared" si="56"/>
        <v>83200</v>
      </c>
      <c r="G788" s="53">
        <f t="shared" si="57"/>
        <v>1123200</v>
      </c>
      <c r="H788" s="54">
        <v>1123200</v>
      </c>
      <c r="I788" s="55">
        <f t="shared" si="58"/>
        <v>0</v>
      </c>
      <c r="J788" s="56">
        <v>45674</v>
      </c>
      <c r="K788" s="57"/>
    </row>
    <row r="789" spans="1:11" ht="15.75" hidden="1" customHeight="1" x14ac:dyDescent="0.35">
      <c r="A789" s="47" t="s">
        <v>308</v>
      </c>
      <c r="B789" s="48" t="s">
        <v>1774</v>
      </c>
      <c r="C789" s="49" t="s">
        <v>1740</v>
      </c>
      <c r="D789" s="50"/>
      <c r="E789" s="51">
        <v>2385000</v>
      </c>
      <c r="F789" s="52">
        <f t="shared" si="56"/>
        <v>190800</v>
      </c>
      <c r="G789" s="53">
        <f t="shared" si="57"/>
        <v>2575800</v>
      </c>
      <c r="H789" s="54">
        <v>2575800</v>
      </c>
      <c r="I789" s="55">
        <f t="shared" si="58"/>
        <v>0</v>
      </c>
      <c r="J789" s="56">
        <v>45734</v>
      </c>
      <c r="K789" s="57"/>
    </row>
    <row r="790" spans="1:11" ht="15.75" hidden="1" customHeight="1" x14ac:dyDescent="0.35">
      <c r="A790" s="47" t="s">
        <v>19</v>
      </c>
      <c r="B790" s="48" t="s">
        <v>1774</v>
      </c>
      <c r="C790" s="50" t="s">
        <v>1741</v>
      </c>
      <c r="D790" s="50"/>
      <c r="E790" s="51">
        <v>4560000</v>
      </c>
      <c r="F790" s="52"/>
      <c r="G790" s="53"/>
      <c r="H790" s="54"/>
      <c r="I790" s="55">
        <f t="shared" si="58"/>
        <v>0</v>
      </c>
      <c r="J790" s="56" t="s">
        <v>2130</v>
      </c>
      <c r="K790" s="57"/>
    </row>
    <row r="791" spans="1:11" ht="15.75" hidden="1" customHeight="1" x14ac:dyDescent="0.35">
      <c r="A791" s="47" t="s">
        <v>118</v>
      </c>
      <c r="B791" s="48" t="s">
        <v>1774</v>
      </c>
      <c r="C791" s="49" t="s">
        <v>1742</v>
      </c>
      <c r="D791" s="50"/>
      <c r="E791" s="51">
        <v>10363000</v>
      </c>
      <c r="F791" s="52">
        <f t="shared" si="56"/>
        <v>829040</v>
      </c>
      <c r="G791" s="53">
        <f t="shared" si="57"/>
        <v>11192040</v>
      </c>
      <c r="H791" s="54">
        <v>11192040</v>
      </c>
      <c r="I791" s="55">
        <f t="shared" si="58"/>
        <v>0</v>
      </c>
      <c r="J791" s="56">
        <v>45734</v>
      </c>
      <c r="K791" s="57"/>
    </row>
    <row r="792" spans="1:11" ht="15.75" hidden="1" customHeight="1" x14ac:dyDescent="0.35">
      <c r="A792" s="47" t="s">
        <v>55</v>
      </c>
      <c r="B792" s="48" t="s">
        <v>1774</v>
      </c>
      <c r="C792" s="49" t="s">
        <v>1743</v>
      </c>
      <c r="D792" s="50"/>
      <c r="E792" s="51">
        <v>11480000</v>
      </c>
      <c r="F792" s="52">
        <f t="shared" si="56"/>
        <v>918400</v>
      </c>
      <c r="G792" s="53">
        <f t="shared" si="57"/>
        <v>12398400</v>
      </c>
      <c r="H792" s="54">
        <v>12398400</v>
      </c>
      <c r="I792" s="55">
        <f t="shared" si="58"/>
        <v>0</v>
      </c>
      <c r="J792" s="56">
        <v>45734</v>
      </c>
      <c r="K792" s="57"/>
    </row>
    <row r="793" spans="1:11" ht="15.75" hidden="1" customHeight="1" x14ac:dyDescent="0.35">
      <c r="A793" s="47" t="s">
        <v>164</v>
      </c>
      <c r="B793" s="48" t="s">
        <v>1774</v>
      </c>
      <c r="C793" s="49" t="s">
        <v>1744</v>
      </c>
      <c r="D793" s="50"/>
      <c r="E793" s="51">
        <v>4320000</v>
      </c>
      <c r="F793" s="52">
        <f t="shared" si="56"/>
        <v>345600</v>
      </c>
      <c r="G793" s="53">
        <f t="shared" si="57"/>
        <v>4665600</v>
      </c>
      <c r="H793" s="54">
        <v>4665600</v>
      </c>
      <c r="I793" s="55">
        <f t="shared" si="58"/>
        <v>0</v>
      </c>
      <c r="J793" s="56">
        <v>45769</v>
      </c>
      <c r="K793" s="57"/>
    </row>
    <row r="794" spans="1:11" ht="15.75" hidden="1" customHeight="1" x14ac:dyDescent="0.35">
      <c r="A794" s="47" t="s">
        <v>104</v>
      </c>
      <c r="B794" s="48" t="s">
        <v>1774</v>
      </c>
      <c r="C794" s="50" t="s">
        <v>1745</v>
      </c>
      <c r="D794" s="50"/>
      <c r="E794" s="51">
        <v>11743000</v>
      </c>
      <c r="F794" s="52">
        <f t="shared" si="56"/>
        <v>939440</v>
      </c>
      <c r="G794" s="53">
        <f t="shared" si="57"/>
        <v>12682440</v>
      </c>
      <c r="H794" s="54">
        <v>12682440</v>
      </c>
      <c r="I794" s="55">
        <f t="shared" si="58"/>
        <v>0</v>
      </c>
      <c r="J794" s="56">
        <v>45674</v>
      </c>
      <c r="K794" s="57"/>
    </row>
    <row r="795" spans="1:11" ht="15.75" hidden="1" customHeight="1" x14ac:dyDescent="0.35">
      <c r="A795" s="47" t="s">
        <v>150</v>
      </c>
      <c r="B795" s="48" t="s">
        <v>1774</v>
      </c>
      <c r="C795" s="49" t="s">
        <v>1746</v>
      </c>
      <c r="D795" s="50"/>
      <c r="E795" s="51">
        <v>1444000</v>
      </c>
      <c r="F795" s="52">
        <f t="shared" si="56"/>
        <v>115520</v>
      </c>
      <c r="G795" s="53">
        <f t="shared" si="57"/>
        <v>1559520</v>
      </c>
      <c r="H795" s="54">
        <v>1559520</v>
      </c>
      <c r="I795" s="55">
        <f t="shared" si="58"/>
        <v>0</v>
      </c>
      <c r="J795" s="56">
        <v>45674</v>
      </c>
      <c r="K795" s="57"/>
    </row>
    <row r="796" spans="1:11" ht="15.75" hidden="1" customHeight="1" x14ac:dyDescent="0.35">
      <c r="A796" s="47" t="s">
        <v>1782</v>
      </c>
      <c r="B796" s="48" t="s">
        <v>1775</v>
      </c>
      <c r="C796" s="49" t="s">
        <v>1747</v>
      </c>
      <c r="D796" s="50"/>
      <c r="E796" s="51">
        <v>1680000</v>
      </c>
      <c r="F796" s="52">
        <f t="shared" si="56"/>
        <v>134400</v>
      </c>
      <c r="G796" s="53">
        <f t="shared" si="57"/>
        <v>1814400</v>
      </c>
      <c r="H796" s="54">
        <v>1814400</v>
      </c>
      <c r="I796" s="55">
        <f t="shared" si="58"/>
        <v>0</v>
      </c>
      <c r="J796" s="56">
        <v>45796</v>
      </c>
      <c r="K796" s="57"/>
    </row>
    <row r="797" spans="1:11" ht="15.75" hidden="1" customHeight="1" x14ac:dyDescent="0.35">
      <c r="A797" s="47" t="s">
        <v>47</v>
      </c>
      <c r="B797" s="48" t="s">
        <v>1775</v>
      </c>
      <c r="C797" s="49" t="s">
        <v>1748</v>
      </c>
      <c r="D797" s="50"/>
      <c r="E797" s="51">
        <v>9883000</v>
      </c>
      <c r="F797" s="52"/>
      <c r="G797" s="53"/>
      <c r="H797" s="54"/>
      <c r="I797" s="55">
        <f t="shared" si="58"/>
        <v>0</v>
      </c>
      <c r="J797" s="56" t="s">
        <v>2127</v>
      </c>
      <c r="K797" s="57"/>
    </row>
    <row r="798" spans="1:11" ht="15.75" hidden="1" customHeight="1" x14ac:dyDescent="0.35">
      <c r="A798" s="47" t="s">
        <v>44</v>
      </c>
      <c r="B798" s="48" t="s">
        <v>1775</v>
      </c>
      <c r="C798" s="49" t="s">
        <v>1749</v>
      </c>
      <c r="D798" s="50"/>
      <c r="E798" s="51">
        <v>9936000</v>
      </c>
      <c r="F798" s="52">
        <f t="shared" si="56"/>
        <v>794880</v>
      </c>
      <c r="G798" s="53">
        <f t="shared" si="57"/>
        <v>10730880</v>
      </c>
      <c r="H798" s="54">
        <v>10730880</v>
      </c>
      <c r="I798" s="55">
        <f t="shared" si="58"/>
        <v>0</v>
      </c>
      <c r="J798" s="56">
        <v>45674</v>
      </c>
      <c r="K798" s="57"/>
    </row>
    <row r="799" spans="1:11" ht="15.75" hidden="1" customHeight="1" x14ac:dyDescent="0.35">
      <c r="A799" s="47" t="s">
        <v>52</v>
      </c>
      <c r="B799" s="48" t="s">
        <v>1776</v>
      </c>
      <c r="C799" s="49" t="s">
        <v>1750</v>
      </c>
      <c r="D799" s="50"/>
      <c r="E799" s="51">
        <v>1040000</v>
      </c>
      <c r="F799" s="52">
        <f t="shared" si="56"/>
        <v>83200</v>
      </c>
      <c r="G799" s="53">
        <f t="shared" si="57"/>
        <v>1123200</v>
      </c>
      <c r="H799" s="54">
        <v>1123200</v>
      </c>
      <c r="I799" s="55">
        <f t="shared" si="58"/>
        <v>0</v>
      </c>
      <c r="J799" s="56">
        <v>45674</v>
      </c>
      <c r="K799" s="57"/>
    </row>
    <row r="800" spans="1:11" ht="15.75" hidden="1" customHeight="1" x14ac:dyDescent="0.35">
      <c r="A800" s="47" t="s">
        <v>29</v>
      </c>
      <c r="B800" s="48" t="s">
        <v>1776</v>
      </c>
      <c r="C800" s="49" t="s">
        <v>1751</v>
      </c>
      <c r="D800" s="50"/>
      <c r="E800" s="51">
        <v>8180000</v>
      </c>
      <c r="F800" s="52">
        <f t="shared" si="56"/>
        <v>654400</v>
      </c>
      <c r="G800" s="53">
        <f t="shared" si="57"/>
        <v>8834400</v>
      </c>
      <c r="H800" s="54">
        <v>8834400</v>
      </c>
      <c r="I800" s="55">
        <f t="shared" si="58"/>
        <v>0</v>
      </c>
      <c r="J800" s="56">
        <v>45674</v>
      </c>
      <c r="K800" s="57"/>
    </row>
    <row r="801" spans="1:11" ht="15.75" hidden="1" customHeight="1" x14ac:dyDescent="0.35">
      <c r="A801" s="47" t="s">
        <v>20</v>
      </c>
      <c r="B801" s="48" t="s">
        <v>1776</v>
      </c>
      <c r="C801" s="50" t="s">
        <v>1752</v>
      </c>
      <c r="D801" s="50"/>
      <c r="E801" s="51">
        <v>10665000</v>
      </c>
      <c r="F801" s="52">
        <f t="shared" si="56"/>
        <v>853200</v>
      </c>
      <c r="G801" s="53">
        <f t="shared" si="57"/>
        <v>11518200</v>
      </c>
      <c r="H801" s="54">
        <v>11518200</v>
      </c>
      <c r="I801" s="55">
        <f t="shared" si="58"/>
        <v>0</v>
      </c>
      <c r="J801" s="56">
        <v>45674</v>
      </c>
      <c r="K801" s="57"/>
    </row>
    <row r="802" spans="1:11" ht="15.75" hidden="1" customHeight="1" x14ac:dyDescent="0.35">
      <c r="A802" s="47" t="s">
        <v>47</v>
      </c>
      <c r="B802" s="48" t="s">
        <v>1777</v>
      </c>
      <c r="C802" s="49" t="s">
        <v>1753</v>
      </c>
      <c r="D802" s="50"/>
      <c r="E802" s="51">
        <v>2080000</v>
      </c>
      <c r="F802" s="52">
        <f t="shared" si="56"/>
        <v>166400</v>
      </c>
      <c r="G802" s="53">
        <f t="shared" si="57"/>
        <v>2246400</v>
      </c>
      <c r="H802" s="54">
        <v>2246400</v>
      </c>
      <c r="I802" s="55">
        <f t="shared" si="58"/>
        <v>0</v>
      </c>
      <c r="J802" s="56">
        <v>45674</v>
      </c>
      <c r="K802" s="57"/>
    </row>
    <row r="803" spans="1:11" ht="15.75" hidden="1" customHeight="1" x14ac:dyDescent="0.35">
      <c r="A803" s="47" t="s">
        <v>93</v>
      </c>
      <c r="B803" s="48" t="s">
        <v>1777</v>
      </c>
      <c r="C803" s="49" t="s">
        <v>1754</v>
      </c>
      <c r="D803" s="50"/>
      <c r="E803" s="51">
        <v>1005000</v>
      </c>
      <c r="F803" s="52">
        <f t="shared" si="56"/>
        <v>80400</v>
      </c>
      <c r="G803" s="53">
        <f t="shared" si="57"/>
        <v>1085400</v>
      </c>
      <c r="H803" s="54">
        <v>1085400</v>
      </c>
      <c r="I803" s="55">
        <f t="shared" si="58"/>
        <v>0</v>
      </c>
      <c r="J803" s="56">
        <v>45734</v>
      </c>
      <c r="K803" s="57"/>
    </row>
    <row r="804" spans="1:11" ht="15.75" hidden="1" customHeight="1" x14ac:dyDescent="0.35">
      <c r="A804" s="47" t="s">
        <v>126</v>
      </c>
      <c r="B804" s="48" t="s">
        <v>1777</v>
      </c>
      <c r="C804" s="49" t="s">
        <v>1755</v>
      </c>
      <c r="D804" s="50"/>
      <c r="E804" s="51">
        <v>1380000</v>
      </c>
      <c r="F804" s="52">
        <f t="shared" si="56"/>
        <v>110400</v>
      </c>
      <c r="G804" s="53">
        <f t="shared" si="57"/>
        <v>1490400</v>
      </c>
      <c r="H804" s="54">
        <v>1490400</v>
      </c>
      <c r="I804" s="55">
        <f t="shared" si="58"/>
        <v>0</v>
      </c>
      <c r="J804" s="56">
        <v>45734</v>
      </c>
      <c r="K804" s="57"/>
    </row>
    <row r="805" spans="1:11" ht="15.75" hidden="1" customHeight="1" x14ac:dyDescent="0.35">
      <c r="A805" s="47" t="s">
        <v>20</v>
      </c>
      <c r="B805" s="48" t="s">
        <v>1777</v>
      </c>
      <c r="C805" s="49" t="s">
        <v>1756</v>
      </c>
      <c r="D805" s="50"/>
      <c r="E805" s="51">
        <v>2045000</v>
      </c>
      <c r="F805" s="52">
        <f t="shared" si="56"/>
        <v>163600</v>
      </c>
      <c r="G805" s="53">
        <f t="shared" si="57"/>
        <v>2208600</v>
      </c>
      <c r="H805" s="54">
        <v>2208600</v>
      </c>
      <c r="I805" s="55">
        <f t="shared" si="58"/>
        <v>0</v>
      </c>
      <c r="J805" s="56">
        <v>45674</v>
      </c>
      <c r="K805" s="57"/>
    </row>
    <row r="806" spans="1:11" ht="15.75" hidden="1" customHeight="1" x14ac:dyDescent="0.35">
      <c r="A806" s="47" t="s">
        <v>32</v>
      </c>
      <c r="B806" s="48" t="s">
        <v>1777</v>
      </c>
      <c r="C806" s="49" t="s">
        <v>1757</v>
      </c>
      <c r="D806" s="50"/>
      <c r="E806" s="51">
        <v>2045000</v>
      </c>
      <c r="F806" s="52">
        <f t="shared" si="56"/>
        <v>163600</v>
      </c>
      <c r="G806" s="53">
        <f t="shared" si="57"/>
        <v>2208600</v>
      </c>
      <c r="H806" s="54">
        <v>2208600</v>
      </c>
      <c r="I806" s="55">
        <f t="shared" si="58"/>
        <v>0</v>
      </c>
      <c r="J806" s="56">
        <v>45674</v>
      </c>
      <c r="K806" s="57"/>
    </row>
    <row r="807" spans="1:11" ht="15.75" hidden="1" customHeight="1" x14ac:dyDescent="0.35">
      <c r="A807" s="47" t="s">
        <v>164</v>
      </c>
      <c r="B807" s="48" t="s">
        <v>1778</v>
      </c>
      <c r="C807" s="49" t="s">
        <v>1758</v>
      </c>
      <c r="D807" s="50"/>
      <c r="E807" s="51">
        <v>2000000</v>
      </c>
      <c r="F807" s="52">
        <f t="shared" si="56"/>
        <v>160000</v>
      </c>
      <c r="G807" s="53">
        <f t="shared" si="57"/>
        <v>2160000</v>
      </c>
      <c r="H807" s="54">
        <v>2160000</v>
      </c>
      <c r="I807" s="55">
        <f t="shared" si="58"/>
        <v>0</v>
      </c>
      <c r="J807" s="56">
        <v>45769</v>
      </c>
      <c r="K807" s="57"/>
    </row>
    <row r="808" spans="1:11" ht="15.75" hidden="1" customHeight="1" x14ac:dyDescent="0.35">
      <c r="A808" s="47" t="s">
        <v>120</v>
      </c>
      <c r="B808" s="48" t="s">
        <v>1778</v>
      </c>
      <c r="C808" s="49" t="s">
        <v>1759</v>
      </c>
      <c r="D808" s="50"/>
      <c r="E808" s="51">
        <v>3040000</v>
      </c>
      <c r="F808" s="52">
        <f t="shared" si="56"/>
        <v>243200</v>
      </c>
      <c r="G808" s="53">
        <f t="shared" si="57"/>
        <v>3283200</v>
      </c>
      <c r="H808" s="54">
        <v>3283200</v>
      </c>
      <c r="I808" s="55">
        <f t="shared" si="58"/>
        <v>0</v>
      </c>
      <c r="J808" s="56">
        <v>45734</v>
      </c>
      <c r="K808" s="57"/>
    </row>
    <row r="809" spans="1:11" ht="15.75" hidden="1" customHeight="1" x14ac:dyDescent="0.35">
      <c r="A809" s="47" t="s">
        <v>1413</v>
      </c>
      <c r="B809" s="48" t="s">
        <v>1778</v>
      </c>
      <c r="C809" s="49" t="s">
        <v>1760</v>
      </c>
      <c r="D809" s="50"/>
      <c r="E809" s="51">
        <v>8120000</v>
      </c>
      <c r="F809" s="52">
        <f t="shared" si="56"/>
        <v>649600</v>
      </c>
      <c r="G809" s="53">
        <f t="shared" si="57"/>
        <v>8769600</v>
      </c>
      <c r="H809" s="54">
        <v>8769600</v>
      </c>
      <c r="I809" s="55">
        <f t="shared" si="58"/>
        <v>0</v>
      </c>
      <c r="J809" s="56">
        <v>45674</v>
      </c>
      <c r="K809" s="57"/>
    </row>
    <row r="810" spans="1:11" ht="15.75" hidden="1" customHeight="1" x14ac:dyDescent="0.35">
      <c r="A810" s="47" t="s">
        <v>1413</v>
      </c>
      <c r="B810" s="48" t="s">
        <v>1778</v>
      </c>
      <c r="C810" s="49" t="s">
        <v>1761</v>
      </c>
      <c r="D810" s="50"/>
      <c r="E810" s="51">
        <v>6200000</v>
      </c>
      <c r="F810" s="52">
        <f t="shared" si="56"/>
        <v>496000</v>
      </c>
      <c r="G810" s="53">
        <f t="shared" si="57"/>
        <v>6696000</v>
      </c>
      <c r="H810" s="54">
        <v>6696000</v>
      </c>
      <c r="I810" s="55">
        <f t="shared" si="58"/>
        <v>0</v>
      </c>
      <c r="J810" s="56">
        <v>45674</v>
      </c>
      <c r="K810" s="57"/>
    </row>
    <row r="811" spans="1:11" ht="15.75" hidden="1" customHeight="1" x14ac:dyDescent="0.35">
      <c r="A811" s="47" t="s">
        <v>164</v>
      </c>
      <c r="B811" s="48" t="s">
        <v>1778</v>
      </c>
      <c r="C811" s="49" t="s">
        <v>1762</v>
      </c>
      <c r="D811" s="50"/>
      <c r="E811" s="51">
        <v>2160000</v>
      </c>
      <c r="F811" s="52">
        <f t="shared" si="56"/>
        <v>172800</v>
      </c>
      <c r="G811" s="53">
        <f t="shared" si="57"/>
        <v>2332800</v>
      </c>
      <c r="H811" s="54">
        <v>2332800</v>
      </c>
      <c r="I811" s="55">
        <f t="shared" si="58"/>
        <v>0</v>
      </c>
      <c r="J811" s="56">
        <v>45769</v>
      </c>
      <c r="K811" s="57"/>
    </row>
    <row r="812" spans="1:11" ht="15.75" hidden="1" customHeight="1" x14ac:dyDescent="0.35">
      <c r="A812" s="47" t="s">
        <v>105</v>
      </c>
      <c r="B812" s="48" t="s">
        <v>1779</v>
      </c>
      <c r="C812" s="49" t="s">
        <v>1763</v>
      </c>
      <c r="D812" s="50"/>
      <c r="E812" s="51">
        <v>232293000</v>
      </c>
      <c r="F812" s="52">
        <f t="shared" si="56"/>
        <v>18583440</v>
      </c>
      <c r="G812" s="53">
        <f t="shared" si="57"/>
        <v>250876440</v>
      </c>
      <c r="H812" s="54">
        <v>250876440</v>
      </c>
      <c r="I812" s="55">
        <f t="shared" si="58"/>
        <v>0</v>
      </c>
      <c r="J812" s="56">
        <v>45674</v>
      </c>
      <c r="K812" s="57"/>
    </row>
    <row r="813" spans="1:11" ht="15.75" hidden="1" customHeight="1" x14ac:dyDescent="0.35">
      <c r="A813" s="47" t="s">
        <v>1589</v>
      </c>
      <c r="B813" s="48" t="s">
        <v>1780</v>
      </c>
      <c r="C813" s="49" t="s">
        <v>1764</v>
      </c>
      <c r="D813" s="50"/>
      <c r="E813" s="51">
        <v>4560000</v>
      </c>
      <c r="F813" s="52">
        <f t="shared" si="56"/>
        <v>364800</v>
      </c>
      <c r="G813" s="53">
        <f t="shared" si="57"/>
        <v>4924800</v>
      </c>
      <c r="H813" s="54">
        <v>4924800</v>
      </c>
      <c r="I813" s="55">
        <f t="shared" si="58"/>
        <v>0</v>
      </c>
      <c r="J813" s="56">
        <v>45674</v>
      </c>
      <c r="K813" s="57"/>
    </row>
    <row r="814" spans="1:11" ht="15.75" hidden="1" customHeight="1" x14ac:dyDescent="0.35">
      <c r="A814" s="47" t="s">
        <v>212</v>
      </c>
      <c r="B814" s="48" t="s">
        <v>1780</v>
      </c>
      <c r="C814" s="50" t="s">
        <v>1765</v>
      </c>
      <c r="D814" s="50"/>
      <c r="E814" s="51">
        <v>8404000</v>
      </c>
      <c r="F814" s="52">
        <f t="shared" si="56"/>
        <v>672320</v>
      </c>
      <c r="G814" s="53">
        <f t="shared" si="57"/>
        <v>9076320</v>
      </c>
      <c r="H814" s="54">
        <v>9076320</v>
      </c>
      <c r="I814" s="55">
        <f t="shared" si="58"/>
        <v>0</v>
      </c>
      <c r="J814" s="56">
        <v>45674</v>
      </c>
      <c r="K814" s="57"/>
    </row>
    <row r="815" spans="1:11" ht="15.75" hidden="1" customHeight="1" x14ac:dyDescent="0.35">
      <c r="A815" s="47" t="s">
        <v>53</v>
      </c>
      <c r="B815" s="48" t="s">
        <v>1780</v>
      </c>
      <c r="C815" s="50" t="s">
        <v>1766</v>
      </c>
      <c r="D815" s="50"/>
      <c r="E815" s="51">
        <v>91256000</v>
      </c>
      <c r="F815" s="52">
        <f t="shared" si="56"/>
        <v>7300480</v>
      </c>
      <c r="G815" s="53">
        <f t="shared" si="57"/>
        <v>98556480</v>
      </c>
      <c r="H815" s="54">
        <v>98556480</v>
      </c>
      <c r="I815" s="55">
        <f t="shared" si="58"/>
        <v>0</v>
      </c>
      <c r="J815" s="56">
        <v>45674</v>
      </c>
      <c r="K815" s="57"/>
    </row>
    <row r="816" spans="1:11" ht="15.75" hidden="1" customHeight="1" x14ac:dyDescent="0.35">
      <c r="A816" s="47" t="s">
        <v>1590</v>
      </c>
      <c r="B816" s="48" t="s">
        <v>1780</v>
      </c>
      <c r="C816" s="49" t="s">
        <v>1767</v>
      </c>
      <c r="D816" s="50"/>
      <c r="E816" s="51">
        <v>4140000</v>
      </c>
      <c r="F816" s="52">
        <f t="shared" si="56"/>
        <v>331200</v>
      </c>
      <c r="G816" s="53">
        <f t="shared" si="57"/>
        <v>4471200</v>
      </c>
      <c r="H816" s="54">
        <v>4471200</v>
      </c>
      <c r="I816" s="55">
        <f t="shared" si="58"/>
        <v>0</v>
      </c>
      <c r="J816" s="56">
        <v>45734</v>
      </c>
      <c r="K816" s="57"/>
    </row>
    <row r="817" spans="1:11" ht="15.75" hidden="1" customHeight="1" x14ac:dyDescent="0.35">
      <c r="A817" s="47" t="s">
        <v>1590</v>
      </c>
      <c r="B817" s="48" t="s">
        <v>1781</v>
      </c>
      <c r="C817" s="49" t="s">
        <v>1768</v>
      </c>
      <c r="D817" s="50"/>
      <c r="E817" s="51">
        <v>14400000</v>
      </c>
      <c r="F817" s="52">
        <f t="shared" si="56"/>
        <v>1152000</v>
      </c>
      <c r="G817" s="53">
        <f t="shared" si="57"/>
        <v>15552000</v>
      </c>
      <c r="H817" s="54">
        <v>15552000</v>
      </c>
      <c r="I817" s="55">
        <f t="shared" si="58"/>
        <v>0</v>
      </c>
      <c r="J817" s="56">
        <v>45734</v>
      </c>
      <c r="K817" s="57"/>
    </row>
    <row r="818" spans="1:11" ht="15.75" hidden="1" customHeight="1" x14ac:dyDescent="0.35">
      <c r="A818" s="47" t="s">
        <v>72</v>
      </c>
      <c r="B818" s="48" t="s">
        <v>1781</v>
      </c>
      <c r="C818" s="49" t="s">
        <v>1769</v>
      </c>
      <c r="D818" s="50"/>
      <c r="E818" s="51">
        <v>10931000</v>
      </c>
      <c r="F818" s="52">
        <f t="shared" si="56"/>
        <v>874480</v>
      </c>
      <c r="G818" s="53">
        <f t="shared" si="57"/>
        <v>11805480</v>
      </c>
      <c r="H818" s="54">
        <v>11805480</v>
      </c>
      <c r="I818" s="55">
        <f t="shared" si="58"/>
        <v>0</v>
      </c>
      <c r="J818" s="56">
        <v>45674</v>
      </c>
      <c r="K818" s="57"/>
    </row>
    <row r="819" spans="1:11" ht="15.75" hidden="1" customHeight="1" x14ac:dyDescent="0.35">
      <c r="A819" s="47" t="s">
        <v>1588</v>
      </c>
      <c r="B819" s="48" t="s">
        <v>1781</v>
      </c>
      <c r="C819" s="49" t="s">
        <v>1770</v>
      </c>
      <c r="D819" s="50"/>
      <c r="E819" s="51">
        <v>2888000</v>
      </c>
      <c r="F819" s="52"/>
      <c r="G819" s="53"/>
      <c r="H819" s="54"/>
      <c r="I819" s="55">
        <f t="shared" si="58"/>
        <v>0</v>
      </c>
      <c r="J819" s="56" t="s">
        <v>2132</v>
      </c>
      <c r="K819" s="57"/>
    </row>
    <row r="820" spans="1:11" ht="15.75" hidden="1" customHeight="1" x14ac:dyDescent="0.35">
      <c r="A820" s="47" t="s">
        <v>17</v>
      </c>
      <c r="B820" s="48" t="s">
        <v>1781</v>
      </c>
      <c r="C820" s="49" t="s">
        <v>1771</v>
      </c>
      <c r="D820" s="50"/>
      <c r="E820" s="51">
        <v>14688000</v>
      </c>
      <c r="F820" s="52">
        <f t="shared" si="56"/>
        <v>1175040</v>
      </c>
      <c r="G820" s="53">
        <f t="shared" si="57"/>
        <v>15863040</v>
      </c>
      <c r="H820" s="54">
        <v>15863040</v>
      </c>
      <c r="I820" s="55">
        <f t="shared" si="58"/>
        <v>0</v>
      </c>
      <c r="J820" s="56">
        <v>45674</v>
      </c>
      <c r="K820" s="57"/>
    </row>
    <row r="821" spans="1:11" ht="15.75" hidden="1" customHeight="1" x14ac:dyDescent="0.35">
      <c r="A821" s="47" t="s">
        <v>47</v>
      </c>
      <c r="B821" s="48" t="s">
        <v>1781</v>
      </c>
      <c r="C821" s="50" t="s">
        <v>1772</v>
      </c>
      <c r="D821" s="50"/>
      <c r="E821" s="51">
        <v>3905000</v>
      </c>
      <c r="F821" s="52">
        <f t="shared" si="56"/>
        <v>312400</v>
      </c>
      <c r="G821" s="53">
        <f t="shared" si="57"/>
        <v>4217400</v>
      </c>
      <c r="H821" s="54">
        <v>4217400</v>
      </c>
      <c r="I821" s="55">
        <f t="shared" si="58"/>
        <v>0</v>
      </c>
      <c r="J821" s="56">
        <v>45674</v>
      </c>
      <c r="K821" s="57"/>
    </row>
    <row r="822" spans="1:11" ht="15.75" hidden="1" customHeight="1" x14ac:dyDescent="0.35">
      <c r="A822" s="47" t="s">
        <v>1589</v>
      </c>
      <c r="B822" s="48" t="s">
        <v>1783</v>
      </c>
      <c r="C822" s="50" t="s">
        <v>1794</v>
      </c>
      <c r="D822" s="50"/>
      <c r="E822" s="51">
        <v>2280000</v>
      </c>
      <c r="F822" s="52"/>
      <c r="G822" s="53"/>
      <c r="H822" s="54"/>
      <c r="I822" s="55">
        <f t="shared" si="58"/>
        <v>0</v>
      </c>
      <c r="J822" s="56" t="s">
        <v>60</v>
      </c>
      <c r="K822" s="57"/>
    </row>
    <row r="823" spans="1:11" ht="15.75" hidden="1" customHeight="1" x14ac:dyDescent="0.35">
      <c r="A823" s="47" t="s">
        <v>106</v>
      </c>
      <c r="B823" s="48" t="s">
        <v>1783</v>
      </c>
      <c r="C823" s="49" t="s">
        <v>1795</v>
      </c>
      <c r="D823" s="50"/>
      <c r="E823" s="51">
        <v>1800000</v>
      </c>
      <c r="F823" s="52">
        <f t="shared" ref="F823:F878" si="59">+E823*0.08</f>
        <v>144000</v>
      </c>
      <c r="G823" s="53">
        <f t="shared" ref="G823:G878" si="60">E823+F823</f>
        <v>1944000</v>
      </c>
      <c r="H823" s="54">
        <v>1944000</v>
      </c>
      <c r="I823" s="55">
        <f t="shared" si="58"/>
        <v>0</v>
      </c>
      <c r="J823" s="56">
        <v>45706</v>
      </c>
      <c r="K823" s="57"/>
    </row>
    <row r="824" spans="1:11" ht="15.75" hidden="1" customHeight="1" x14ac:dyDescent="0.35">
      <c r="A824" s="47" t="s">
        <v>47</v>
      </c>
      <c r="B824" s="48" t="s">
        <v>1783</v>
      </c>
      <c r="C824" s="50" t="s">
        <v>1796</v>
      </c>
      <c r="D824" s="50"/>
      <c r="E824" s="51">
        <v>9883000</v>
      </c>
      <c r="F824" s="52">
        <f t="shared" si="59"/>
        <v>790640</v>
      </c>
      <c r="G824" s="53">
        <f t="shared" si="60"/>
        <v>10673640</v>
      </c>
      <c r="H824" s="54">
        <v>10673640</v>
      </c>
      <c r="I824" s="55">
        <f t="shared" si="58"/>
        <v>0</v>
      </c>
      <c r="J824" s="56">
        <v>45769</v>
      </c>
      <c r="K824" s="57"/>
    </row>
    <row r="825" spans="1:11" ht="15.75" hidden="1" customHeight="1" x14ac:dyDescent="0.35">
      <c r="A825" s="47" t="s">
        <v>54</v>
      </c>
      <c r="B825" s="48" t="s">
        <v>1783</v>
      </c>
      <c r="C825" s="49" t="s">
        <v>1797</v>
      </c>
      <c r="D825" s="50"/>
      <c r="E825" s="51">
        <v>1380000</v>
      </c>
      <c r="F825" s="52">
        <f t="shared" si="59"/>
        <v>110400</v>
      </c>
      <c r="G825" s="53">
        <f t="shared" si="60"/>
        <v>1490400</v>
      </c>
      <c r="H825" s="54">
        <v>1490400</v>
      </c>
      <c r="I825" s="55">
        <f t="shared" ref="I825:I881" si="61">G825-H825</f>
        <v>0</v>
      </c>
      <c r="J825" s="56">
        <v>45796</v>
      </c>
      <c r="K825" s="57"/>
    </row>
    <row r="826" spans="1:11" ht="15.75" hidden="1" customHeight="1" x14ac:dyDescent="0.35">
      <c r="A826" s="47" t="s">
        <v>1589</v>
      </c>
      <c r="B826" s="48" t="s">
        <v>1783</v>
      </c>
      <c r="C826" s="49" t="s">
        <v>1798</v>
      </c>
      <c r="D826" s="50"/>
      <c r="E826" s="51">
        <v>2280000</v>
      </c>
      <c r="F826" s="52">
        <f t="shared" si="59"/>
        <v>182400</v>
      </c>
      <c r="G826" s="53">
        <f t="shared" si="60"/>
        <v>2462400</v>
      </c>
      <c r="H826" s="54">
        <v>2462400</v>
      </c>
      <c r="I826" s="55">
        <f t="shared" si="61"/>
        <v>0</v>
      </c>
      <c r="J826" s="56">
        <v>45734</v>
      </c>
      <c r="K826" s="57"/>
    </row>
    <row r="827" spans="1:11" ht="15.75" hidden="1" customHeight="1" x14ac:dyDescent="0.35">
      <c r="A827" s="47" t="s">
        <v>127</v>
      </c>
      <c r="B827" s="48" t="s">
        <v>1784</v>
      </c>
      <c r="C827" s="49" t="s">
        <v>1799</v>
      </c>
      <c r="D827" s="50"/>
      <c r="E827" s="51">
        <v>2045000</v>
      </c>
      <c r="F827" s="52">
        <f t="shared" si="59"/>
        <v>163600</v>
      </c>
      <c r="G827" s="53">
        <f t="shared" si="60"/>
        <v>2208600</v>
      </c>
      <c r="H827" s="54">
        <v>2208600</v>
      </c>
      <c r="I827" s="55">
        <f t="shared" si="61"/>
        <v>0</v>
      </c>
      <c r="J827" s="56">
        <v>45706</v>
      </c>
      <c r="K827" s="57"/>
    </row>
    <row r="828" spans="1:11" ht="15.75" hidden="1" customHeight="1" x14ac:dyDescent="0.35">
      <c r="A828" s="47" t="s">
        <v>19</v>
      </c>
      <c r="B828" s="48" t="s">
        <v>1784</v>
      </c>
      <c r="C828" s="50" t="s">
        <v>429</v>
      </c>
      <c r="D828" s="50"/>
      <c r="E828" s="51">
        <v>4560000</v>
      </c>
      <c r="F828" s="52"/>
      <c r="G828" s="53"/>
      <c r="H828" s="54"/>
      <c r="I828" s="55">
        <f t="shared" si="61"/>
        <v>0</v>
      </c>
      <c r="J828" s="56" t="s">
        <v>2131</v>
      </c>
      <c r="K828" s="57"/>
    </row>
    <row r="829" spans="1:11" ht="15.75" hidden="1" customHeight="1" x14ac:dyDescent="0.35">
      <c r="A829" s="47" t="s">
        <v>15</v>
      </c>
      <c r="B829" s="48" t="s">
        <v>1784</v>
      </c>
      <c r="C829" s="49" t="s">
        <v>1800</v>
      </c>
      <c r="D829" s="50"/>
      <c r="E829" s="51">
        <v>13800000</v>
      </c>
      <c r="F829" s="52">
        <f t="shared" si="59"/>
        <v>1104000</v>
      </c>
      <c r="G829" s="53">
        <f t="shared" si="60"/>
        <v>14904000</v>
      </c>
      <c r="H829" s="54">
        <v>14904000</v>
      </c>
      <c r="I829" s="55">
        <f t="shared" si="61"/>
        <v>0</v>
      </c>
      <c r="J829" s="56">
        <v>45769</v>
      </c>
      <c r="K829" s="57"/>
    </row>
    <row r="830" spans="1:11" ht="15.75" hidden="1" customHeight="1" x14ac:dyDescent="0.35">
      <c r="A830" s="47" t="s">
        <v>30</v>
      </c>
      <c r="B830" s="48" t="s">
        <v>1785</v>
      </c>
      <c r="C830" s="50" t="s">
        <v>1801</v>
      </c>
      <c r="D830" s="50"/>
      <c r="E830" s="51">
        <v>11796000</v>
      </c>
      <c r="F830" s="52"/>
      <c r="G830" s="53"/>
      <c r="H830" s="54"/>
      <c r="I830" s="55">
        <f t="shared" si="61"/>
        <v>0</v>
      </c>
      <c r="J830" s="56" t="s">
        <v>60</v>
      </c>
      <c r="K830" s="57"/>
    </row>
    <row r="831" spans="1:11" ht="15.75" hidden="1" customHeight="1" x14ac:dyDescent="0.35">
      <c r="A831" s="47" t="s">
        <v>16</v>
      </c>
      <c r="B831" s="48" t="s">
        <v>1785</v>
      </c>
      <c r="C831" s="49" t="s">
        <v>1802</v>
      </c>
      <c r="D831" s="50"/>
      <c r="E831" s="51">
        <v>1525000</v>
      </c>
      <c r="F831" s="52">
        <f t="shared" si="59"/>
        <v>122000</v>
      </c>
      <c r="G831" s="53">
        <f t="shared" si="60"/>
        <v>1647000</v>
      </c>
      <c r="H831" s="54">
        <v>1647000</v>
      </c>
      <c r="I831" s="55">
        <f t="shared" si="61"/>
        <v>0</v>
      </c>
      <c r="J831" s="56">
        <v>45796</v>
      </c>
      <c r="K831" s="57"/>
    </row>
    <row r="832" spans="1:11" ht="15.75" hidden="1" customHeight="1" x14ac:dyDescent="0.35">
      <c r="A832" s="47" t="s">
        <v>72</v>
      </c>
      <c r="B832" s="48" t="s">
        <v>1785</v>
      </c>
      <c r="C832" s="49" t="s">
        <v>1803</v>
      </c>
      <c r="D832" s="50"/>
      <c r="E832" s="51">
        <v>3420000</v>
      </c>
      <c r="F832" s="52">
        <f t="shared" si="59"/>
        <v>273600</v>
      </c>
      <c r="G832" s="53">
        <f t="shared" si="60"/>
        <v>3693600</v>
      </c>
      <c r="H832" s="54">
        <v>3693600</v>
      </c>
      <c r="I832" s="55">
        <f t="shared" si="61"/>
        <v>0</v>
      </c>
      <c r="J832" s="56">
        <v>45796</v>
      </c>
      <c r="K832" s="57"/>
    </row>
    <row r="833" spans="1:11" ht="15.75" hidden="1" customHeight="1" x14ac:dyDescent="0.35">
      <c r="A833" s="47" t="s">
        <v>30</v>
      </c>
      <c r="B833" s="48" t="s">
        <v>1785</v>
      </c>
      <c r="C833" s="49" t="s">
        <v>1804</v>
      </c>
      <c r="D833" s="50"/>
      <c r="E833" s="51">
        <v>9396000</v>
      </c>
      <c r="F833" s="52">
        <f t="shared" si="59"/>
        <v>751680</v>
      </c>
      <c r="G833" s="53">
        <f t="shared" si="60"/>
        <v>10147680</v>
      </c>
      <c r="H833" s="54">
        <v>10147680</v>
      </c>
      <c r="I833" s="55">
        <f t="shared" si="61"/>
        <v>0</v>
      </c>
      <c r="J833" s="56">
        <v>45769</v>
      </c>
      <c r="K833" s="57"/>
    </row>
    <row r="834" spans="1:11" ht="15.75" hidden="1" customHeight="1" x14ac:dyDescent="0.35">
      <c r="A834" s="47" t="s">
        <v>44</v>
      </c>
      <c r="B834" s="48" t="s">
        <v>1785</v>
      </c>
      <c r="C834" s="49" t="s">
        <v>1805</v>
      </c>
      <c r="D834" s="50"/>
      <c r="E834" s="51">
        <v>1800000</v>
      </c>
      <c r="F834" s="52">
        <f t="shared" si="59"/>
        <v>144000</v>
      </c>
      <c r="G834" s="53">
        <f t="shared" si="60"/>
        <v>1944000</v>
      </c>
      <c r="H834" s="54">
        <v>1944000</v>
      </c>
      <c r="I834" s="55">
        <f t="shared" si="61"/>
        <v>0</v>
      </c>
      <c r="J834" s="56">
        <v>45796</v>
      </c>
      <c r="K834" s="57"/>
    </row>
    <row r="835" spans="1:11" ht="15.75" hidden="1" customHeight="1" x14ac:dyDescent="0.35">
      <c r="A835" s="47" t="s">
        <v>19</v>
      </c>
      <c r="B835" s="48" t="s">
        <v>1785</v>
      </c>
      <c r="C835" s="49" t="s">
        <v>1806</v>
      </c>
      <c r="D835" s="50"/>
      <c r="E835" s="51">
        <v>3180000</v>
      </c>
      <c r="F835" s="52">
        <f t="shared" si="59"/>
        <v>254400</v>
      </c>
      <c r="G835" s="53">
        <f t="shared" si="60"/>
        <v>3434400</v>
      </c>
      <c r="H835" s="54">
        <v>3434400</v>
      </c>
      <c r="I835" s="55">
        <f t="shared" si="61"/>
        <v>0</v>
      </c>
      <c r="J835" s="56">
        <v>45769</v>
      </c>
      <c r="K835" s="57"/>
    </row>
    <row r="836" spans="1:11" ht="15.75" hidden="1" customHeight="1" x14ac:dyDescent="0.35">
      <c r="A836" s="47" t="s">
        <v>22</v>
      </c>
      <c r="B836" s="48" t="s">
        <v>1785</v>
      </c>
      <c r="C836" s="49" t="s">
        <v>1807</v>
      </c>
      <c r="D836" s="50"/>
      <c r="E836" s="51">
        <v>3701000</v>
      </c>
      <c r="F836" s="52">
        <f t="shared" si="59"/>
        <v>296080</v>
      </c>
      <c r="G836" s="53">
        <f t="shared" si="60"/>
        <v>3997080</v>
      </c>
      <c r="H836" s="54">
        <v>3997080</v>
      </c>
      <c r="I836" s="55">
        <f t="shared" si="61"/>
        <v>0</v>
      </c>
      <c r="J836" s="56">
        <v>45796</v>
      </c>
      <c r="K836" s="57"/>
    </row>
    <row r="837" spans="1:11" ht="15.75" hidden="1" customHeight="1" x14ac:dyDescent="0.35">
      <c r="A837" s="47" t="s">
        <v>269</v>
      </c>
      <c r="B837" s="48" t="s">
        <v>1785</v>
      </c>
      <c r="C837" s="49" t="s">
        <v>1808</v>
      </c>
      <c r="D837" s="50"/>
      <c r="E837" s="51">
        <v>1800000</v>
      </c>
      <c r="F837" s="52">
        <f t="shared" si="59"/>
        <v>144000</v>
      </c>
      <c r="G837" s="53">
        <f t="shared" si="60"/>
        <v>1944000</v>
      </c>
      <c r="H837" s="54">
        <v>1944000</v>
      </c>
      <c r="I837" s="55">
        <f t="shared" si="61"/>
        <v>0</v>
      </c>
      <c r="J837" s="56">
        <v>45734</v>
      </c>
      <c r="K837" s="57"/>
    </row>
    <row r="838" spans="1:11" ht="15.75" hidden="1" customHeight="1" x14ac:dyDescent="0.35">
      <c r="A838" s="47" t="s">
        <v>170</v>
      </c>
      <c r="B838" s="48" t="s">
        <v>1786</v>
      </c>
      <c r="C838" s="49" t="s">
        <v>1809</v>
      </c>
      <c r="D838" s="50"/>
      <c r="E838" s="51">
        <v>10080000</v>
      </c>
      <c r="F838" s="52">
        <f t="shared" si="59"/>
        <v>806400</v>
      </c>
      <c r="G838" s="53">
        <f t="shared" si="60"/>
        <v>10886400</v>
      </c>
      <c r="H838" s="54">
        <v>10886400</v>
      </c>
      <c r="I838" s="55">
        <f t="shared" si="61"/>
        <v>0</v>
      </c>
      <c r="J838" s="56">
        <v>45769</v>
      </c>
      <c r="K838" s="57"/>
    </row>
    <row r="839" spans="1:11" ht="15.75" hidden="1" customHeight="1" x14ac:dyDescent="0.35">
      <c r="A839" s="47" t="s">
        <v>350</v>
      </c>
      <c r="B839" s="48" t="s">
        <v>1786</v>
      </c>
      <c r="C839" s="49" t="s">
        <v>1810</v>
      </c>
      <c r="D839" s="50"/>
      <c r="E839" s="51">
        <v>2888000</v>
      </c>
      <c r="F839" s="52">
        <f t="shared" si="59"/>
        <v>231040</v>
      </c>
      <c r="G839" s="53">
        <f t="shared" si="60"/>
        <v>3119040</v>
      </c>
      <c r="H839" s="54">
        <v>3119040</v>
      </c>
      <c r="I839" s="55">
        <f t="shared" si="61"/>
        <v>0</v>
      </c>
      <c r="J839" s="56">
        <v>45734</v>
      </c>
      <c r="K839" s="57"/>
    </row>
    <row r="840" spans="1:11" ht="15.75" hidden="1" customHeight="1" x14ac:dyDescent="0.35">
      <c r="A840" s="47" t="s">
        <v>1588</v>
      </c>
      <c r="B840" s="48" t="s">
        <v>1786</v>
      </c>
      <c r="C840" s="50" t="s">
        <v>1811</v>
      </c>
      <c r="D840" s="50"/>
      <c r="E840" s="51">
        <v>2888000</v>
      </c>
      <c r="F840" s="52">
        <f t="shared" si="59"/>
        <v>231040</v>
      </c>
      <c r="G840" s="53">
        <f t="shared" si="60"/>
        <v>3119040</v>
      </c>
      <c r="H840" s="54">
        <v>3119040</v>
      </c>
      <c r="I840" s="55">
        <f t="shared" si="61"/>
        <v>0</v>
      </c>
      <c r="J840" s="56">
        <v>45734</v>
      </c>
      <c r="K840" s="57"/>
    </row>
    <row r="841" spans="1:11" ht="15.75" hidden="1" customHeight="1" x14ac:dyDescent="0.35">
      <c r="A841" s="47" t="s">
        <v>150</v>
      </c>
      <c r="B841" s="48" t="s">
        <v>1787</v>
      </c>
      <c r="C841" s="49" t="s">
        <v>1812</v>
      </c>
      <c r="D841" s="50"/>
      <c r="E841" s="51">
        <v>1140000</v>
      </c>
      <c r="F841" s="52">
        <f t="shared" si="59"/>
        <v>91200</v>
      </c>
      <c r="G841" s="53">
        <f t="shared" si="60"/>
        <v>1231200</v>
      </c>
      <c r="H841" s="54">
        <v>1231200</v>
      </c>
      <c r="I841" s="55">
        <f t="shared" si="61"/>
        <v>0</v>
      </c>
      <c r="J841" s="56">
        <v>45796</v>
      </c>
      <c r="K841" s="57"/>
    </row>
    <row r="842" spans="1:11" ht="15.75" hidden="1" customHeight="1" x14ac:dyDescent="0.35">
      <c r="A842" s="47" t="s">
        <v>24</v>
      </c>
      <c r="B842" s="48" t="s">
        <v>1788</v>
      </c>
      <c r="C842" s="49" t="s">
        <v>1813</v>
      </c>
      <c r="D842" s="50"/>
      <c r="E842" s="51">
        <v>2840000</v>
      </c>
      <c r="F842" s="52">
        <f t="shared" si="59"/>
        <v>227200</v>
      </c>
      <c r="G842" s="53">
        <f t="shared" si="60"/>
        <v>3067200</v>
      </c>
      <c r="H842" s="54">
        <v>3067200</v>
      </c>
      <c r="I842" s="55">
        <f t="shared" si="61"/>
        <v>0</v>
      </c>
      <c r="J842" s="56">
        <v>45796</v>
      </c>
      <c r="K842" s="57"/>
    </row>
    <row r="843" spans="1:11" ht="15.75" hidden="1" customHeight="1" x14ac:dyDescent="0.35">
      <c r="A843" s="47" t="s">
        <v>78</v>
      </c>
      <c r="B843" s="48" t="s">
        <v>1788</v>
      </c>
      <c r="C843" s="49" t="s">
        <v>1814</v>
      </c>
      <c r="D843" s="50"/>
      <c r="E843" s="51">
        <v>2045000</v>
      </c>
      <c r="F843" s="52">
        <f t="shared" si="59"/>
        <v>163600</v>
      </c>
      <c r="G843" s="53">
        <f t="shared" si="60"/>
        <v>2208600</v>
      </c>
      <c r="H843" s="54">
        <v>2208600</v>
      </c>
      <c r="I843" s="55">
        <f t="shared" si="61"/>
        <v>0</v>
      </c>
      <c r="J843" s="56">
        <v>45796</v>
      </c>
      <c r="K843" s="57"/>
    </row>
    <row r="844" spans="1:11" ht="15.75" hidden="1" customHeight="1" x14ac:dyDescent="0.35">
      <c r="A844" s="47" t="s">
        <v>39</v>
      </c>
      <c r="B844" s="48" t="s">
        <v>1788</v>
      </c>
      <c r="C844" s="49" t="s">
        <v>1815</v>
      </c>
      <c r="D844" s="50"/>
      <c r="E844" s="51">
        <v>38003000</v>
      </c>
      <c r="F844" s="52">
        <f t="shared" si="59"/>
        <v>3040240</v>
      </c>
      <c r="G844" s="53">
        <f t="shared" si="60"/>
        <v>41043240</v>
      </c>
      <c r="H844" s="54">
        <v>41043240</v>
      </c>
      <c r="I844" s="55">
        <f t="shared" si="61"/>
        <v>0</v>
      </c>
      <c r="J844" s="56">
        <v>45769</v>
      </c>
      <c r="K844" s="57"/>
    </row>
    <row r="845" spans="1:11" ht="15.75" hidden="1" customHeight="1" x14ac:dyDescent="0.35">
      <c r="A845" s="47" t="s">
        <v>15</v>
      </c>
      <c r="B845" s="48" t="s">
        <v>1788</v>
      </c>
      <c r="C845" s="49" t="s">
        <v>1816</v>
      </c>
      <c r="D845" s="50"/>
      <c r="E845" s="51">
        <v>2045000</v>
      </c>
      <c r="F845" s="52">
        <f t="shared" si="59"/>
        <v>163600</v>
      </c>
      <c r="G845" s="53">
        <f t="shared" si="60"/>
        <v>2208600</v>
      </c>
      <c r="H845" s="54">
        <v>2208600</v>
      </c>
      <c r="I845" s="55">
        <f t="shared" si="61"/>
        <v>0</v>
      </c>
      <c r="J845" s="56">
        <v>45769</v>
      </c>
      <c r="K845" s="57"/>
    </row>
    <row r="846" spans="1:11" ht="15.75" hidden="1" customHeight="1" x14ac:dyDescent="0.35">
      <c r="A846" s="47" t="s">
        <v>37</v>
      </c>
      <c r="B846" s="48">
        <v>45673</v>
      </c>
      <c r="C846" s="50" t="s">
        <v>440</v>
      </c>
      <c r="D846" s="50" t="s">
        <v>1882</v>
      </c>
      <c r="E846" s="51">
        <v>15291300</v>
      </c>
      <c r="F846" s="52">
        <f t="shared" si="59"/>
        <v>1223304</v>
      </c>
      <c r="G846" s="53">
        <f t="shared" si="60"/>
        <v>16514604</v>
      </c>
      <c r="H846" s="54">
        <v>16514604</v>
      </c>
      <c r="I846" s="55">
        <f t="shared" si="61"/>
        <v>0</v>
      </c>
      <c r="J846" s="56">
        <v>45769</v>
      </c>
      <c r="K846" s="57"/>
    </row>
    <row r="847" spans="1:11" ht="15.75" hidden="1" customHeight="1" x14ac:dyDescent="0.35">
      <c r="A847" s="47" t="s">
        <v>16</v>
      </c>
      <c r="B847" s="48" t="s">
        <v>1788</v>
      </c>
      <c r="C847" s="50" t="s">
        <v>1817</v>
      </c>
      <c r="D847" s="50" t="s">
        <v>1881</v>
      </c>
      <c r="E847" s="51">
        <v>1380000</v>
      </c>
      <c r="F847" s="52">
        <f t="shared" si="59"/>
        <v>110400</v>
      </c>
      <c r="G847" s="53">
        <f t="shared" si="60"/>
        <v>1490400</v>
      </c>
      <c r="H847" s="54">
        <v>1490400</v>
      </c>
      <c r="I847" s="55">
        <f t="shared" si="61"/>
        <v>0</v>
      </c>
      <c r="J847" s="56">
        <v>45796</v>
      </c>
      <c r="K847" s="57"/>
    </row>
    <row r="848" spans="1:11" ht="15.75" hidden="1" customHeight="1" x14ac:dyDescent="0.35">
      <c r="A848" s="47" t="s">
        <v>98</v>
      </c>
      <c r="B848" s="48" t="s">
        <v>1788</v>
      </c>
      <c r="C848" s="49" t="s">
        <v>1818</v>
      </c>
      <c r="D848" s="50"/>
      <c r="E848" s="51">
        <v>1800000</v>
      </c>
      <c r="F848" s="52">
        <f t="shared" si="59"/>
        <v>144000</v>
      </c>
      <c r="G848" s="53">
        <f t="shared" si="60"/>
        <v>1944000</v>
      </c>
      <c r="H848" s="54">
        <v>1944000</v>
      </c>
      <c r="I848" s="55">
        <f t="shared" si="61"/>
        <v>0</v>
      </c>
      <c r="J848" s="56">
        <v>45734</v>
      </c>
      <c r="K848" s="57"/>
    </row>
    <row r="849" spans="1:11" ht="15.75" hidden="1" customHeight="1" x14ac:dyDescent="0.35">
      <c r="A849" s="47" t="s">
        <v>147</v>
      </c>
      <c r="B849" s="48" t="s">
        <v>1788</v>
      </c>
      <c r="C849" s="49" t="s">
        <v>1819</v>
      </c>
      <c r="D849" s="50"/>
      <c r="E849" s="51">
        <v>6720000</v>
      </c>
      <c r="F849" s="52">
        <f t="shared" si="59"/>
        <v>537600</v>
      </c>
      <c r="G849" s="53">
        <f t="shared" si="60"/>
        <v>7257600</v>
      </c>
      <c r="H849" s="54">
        <v>7257600</v>
      </c>
      <c r="I849" s="55">
        <f t="shared" si="61"/>
        <v>0</v>
      </c>
      <c r="J849" s="56">
        <v>45796</v>
      </c>
      <c r="K849" s="57"/>
    </row>
    <row r="850" spans="1:11" ht="15.75" hidden="1" customHeight="1" x14ac:dyDescent="0.35">
      <c r="A850" s="47" t="s">
        <v>35</v>
      </c>
      <c r="B850" s="48" t="s">
        <v>1789</v>
      </c>
      <c r="C850" s="50" t="s">
        <v>1820</v>
      </c>
      <c r="D850" s="50"/>
      <c r="E850" s="51">
        <v>29472000</v>
      </c>
      <c r="F850" s="52">
        <f t="shared" si="59"/>
        <v>2357760</v>
      </c>
      <c r="G850" s="53">
        <f t="shared" si="60"/>
        <v>31829760</v>
      </c>
      <c r="H850" s="54">
        <v>31829760</v>
      </c>
      <c r="I850" s="55">
        <f t="shared" si="61"/>
        <v>0</v>
      </c>
      <c r="J850" s="56">
        <v>45769</v>
      </c>
      <c r="K850" s="57"/>
    </row>
    <row r="851" spans="1:11" ht="15.75" hidden="1" customHeight="1" x14ac:dyDescent="0.35">
      <c r="A851" s="47" t="s">
        <v>1589</v>
      </c>
      <c r="B851" s="48" t="s">
        <v>1789</v>
      </c>
      <c r="C851" s="49" t="s">
        <v>1821</v>
      </c>
      <c r="D851" s="50"/>
      <c r="E851" s="51">
        <v>1380000</v>
      </c>
      <c r="F851" s="52">
        <f t="shared" si="59"/>
        <v>110400</v>
      </c>
      <c r="G851" s="53">
        <f t="shared" si="60"/>
        <v>1490400</v>
      </c>
      <c r="H851" s="54">
        <v>1490400</v>
      </c>
      <c r="I851" s="55">
        <f t="shared" si="61"/>
        <v>0</v>
      </c>
      <c r="J851" s="56">
        <v>45734</v>
      </c>
      <c r="K851" s="57"/>
    </row>
    <row r="852" spans="1:11" ht="15.75" hidden="1" customHeight="1" x14ac:dyDescent="0.35">
      <c r="A852" s="47" t="s">
        <v>52</v>
      </c>
      <c r="B852" s="48" t="s">
        <v>1789</v>
      </c>
      <c r="C852" s="49" t="s">
        <v>1822</v>
      </c>
      <c r="D852" s="50"/>
      <c r="E852" s="51">
        <v>5790000</v>
      </c>
      <c r="F852" s="52">
        <f t="shared" si="59"/>
        <v>463200</v>
      </c>
      <c r="G852" s="53">
        <f t="shared" si="60"/>
        <v>6253200</v>
      </c>
      <c r="H852" s="54">
        <v>6253200</v>
      </c>
      <c r="I852" s="55">
        <f t="shared" si="61"/>
        <v>0</v>
      </c>
      <c r="J852" s="56">
        <v>45734</v>
      </c>
      <c r="K852" s="57"/>
    </row>
    <row r="853" spans="1:11" ht="15.75" hidden="1" customHeight="1" x14ac:dyDescent="0.35">
      <c r="A853" s="47" t="s">
        <v>105</v>
      </c>
      <c r="B853" s="48" t="s">
        <v>1789</v>
      </c>
      <c r="C853" s="49" t="s">
        <v>1823</v>
      </c>
      <c r="D853" s="50"/>
      <c r="E853" s="51">
        <v>71722000</v>
      </c>
      <c r="F853" s="52">
        <f t="shared" si="59"/>
        <v>5737760</v>
      </c>
      <c r="G853" s="53">
        <f t="shared" si="60"/>
        <v>77459760</v>
      </c>
      <c r="H853" s="54">
        <v>77459760</v>
      </c>
      <c r="I853" s="55">
        <f t="shared" si="61"/>
        <v>0</v>
      </c>
      <c r="J853" s="56">
        <v>45769</v>
      </c>
      <c r="K853" s="57"/>
    </row>
    <row r="854" spans="1:11" ht="15.75" hidden="1" customHeight="1" x14ac:dyDescent="0.35">
      <c r="A854" s="47" t="s">
        <v>31</v>
      </c>
      <c r="B854" s="48" t="s">
        <v>1790</v>
      </c>
      <c r="C854" s="49" t="s">
        <v>1824</v>
      </c>
      <c r="D854" s="50"/>
      <c r="E854" s="51">
        <v>2560000</v>
      </c>
      <c r="F854" s="52">
        <f t="shared" si="59"/>
        <v>204800</v>
      </c>
      <c r="G854" s="53">
        <f t="shared" si="60"/>
        <v>2764800</v>
      </c>
      <c r="H854" s="54">
        <v>2764800</v>
      </c>
      <c r="I854" s="55">
        <f t="shared" si="61"/>
        <v>0</v>
      </c>
      <c r="J854" s="56">
        <v>45734</v>
      </c>
      <c r="K854" s="57"/>
    </row>
    <row r="855" spans="1:11" ht="15.75" hidden="1" customHeight="1" x14ac:dyDescent="0.35">
      <c r="A855" s="47" t="s">
        <v>21</v>
      </c>
      <c r="B855" s="48" t="s">
        <v>1790</v>
      </c>
      <c r="C855" s="49" t="s">
        <v>1825</v>
      </c>
      <c r="D855" s="50"/>
      <c r="E855" s="51">
        <v>6365000</v>
      </c>
      <c r="F855" s="52">
        <f t="shared" si="59"/>
        <v>509200</v>
      </c>
      <c r="G855" s="53">
        <f t="shared" si="60"/>
        <v>6874200</v>
      </c>
      <c r="H855" s="54">
        <v>6874200</v>
      </c>
      <c r="I855" s="55">
        <f t="shared" si="61"/>
        <v>0</v>
      </c>
      <c r="J855" s="56">
        <v>45734</v>
      </c>
      <c r="K855" s="57"/>
    </row>
    <row r="856" spans="1:11" ht="15.75" hidden="1" customHeight="1" x14ac:dyDescent="0.35">
      <c r="A856" s="47" t="s">
        <v>308</v>
      </c>
      <c r="B856" s="48" t="s">
        <v>1790</v>
      </c>
      <c r="C856" s="49" t="s">
        <v>1826</v>
      </c>
      <c r="D856" s="50"/>
      <c r="E856" s="51">
        <v>2045000</v>
      </c>
      <c r="F856" s="52">
        <f t="shared" si="59"/>
        <v>163600</v>
      </c>
      <c r="G856" s="53">
        <f t="shared" si="60"/>
        <v>2208600</v>
      </c>
      <c r="H856" s="54">
        <v>2208600</v>
      </c>
      <c r="I856" s="55">
        <f t="shared" si="61"/>
        <v>0</v>
      </c>
      <c r="J856" s="56">
        <v>45796</v>
      </c>
      <c r="K856" s="57"/>
    </row>
    <row r="857" spans="1:11" ht="15.75" hidden="1" customHeight="1" x14ac:dyDescent="0.35">
      <c r="A857" s="47" t="s">
        <v>54</v>
      </c>
      <c r="B857" s="48" t="s">
        <v>1790</v>
      </c>
      <c r="C857" s="49" t="s">
        <v>1827</v>
      </c>
      <c r="D857" s="50"/>
      <c r="E857" s="51">
        <v>1140000</v>
      </c>
      <c r="F857" s="52">
        <f t="shared" si="59"/>
        <v>91200</v>
      </c>
      <c r="G857" s="53">
        <f t="shared" si="60"/>
        <v>1231200</v>
      </c>
      <c r="H857" s="54">
        <v>1231200</v>
      </c>
      <c r="I857" s="55">
        <f t="shared" si="61"/>
        <v>0</v>
      </c>
      <c r="J857" s="56">
        <v>45796</v>
      </c>
      <c r="K857" s="57"/>
    </row>
    <row r="858" spans="1:11" ht="15.75" hidden="1" customHeight="1" x14ac:dyDescent="0.35">
      <c r="A858" s="47" t="s">
        <v>52</v>
      </c>
      <c r="B858" s="48" t="s">
        <v>1790</v>
      </c>
      <c r="C858" s="49" t="s">
        <v>1828</v>
      </c>
      <c r="D858" s="50"/>
      <c r="E858" s="51">
        <v>1380000</v>
      </c>
      <c r="F858" s="52">
        <f t="shared" si="59"/>
        <v>110400</v>
      </c>
      <c r="G858" s="53">
        <f t="shared" si="60"/>
        <v>1490400</v>
      </c>
      <c r="H858" s="54">
        <v>1490400</v>
      </c>
      <c r="I858" s="55">
        <f t="shared" si="61"/>
        <v>0</v>
      </c>
      <c r="J858" s="56">
        <v>45734</v>
      </c>
      <c r="K858" s="57"/>
    </row>
    <row r="859" spans="1:11" ht="15.75" hidden="1" customHeight="1" x14ac:dyDescent="0.35">
      <c r="A859" s="47" t="s">
        <v>118</v>
      </c>
      <c r="B859" s="48" t="s">
        <v>1790</v>
      </c>
      <c r="C859" s="49" t="s">
        <v>1829</v>
      </c>
      <c r="D859" s="50"/>
      <c r="E859" s="51">
        <v>10296000</v>
      </c>
      <c r="F859" s="52">
        <f t="shared" si="59"/>
        <v>823680</v>
      </c>
      <c r="G859" s="53">
        <f t="shared" si="60"/>
        <v>11119680</v>
      </c>
      <c r="H859" s="54">
        <v>11119680</v>
      </c>
      <c r="I859" s="55">
        <f t="shared" si="61"/>
        <v>0</v>
      </c>
      <c r="J859" s="56">
        <v>45769</v>
      </c>
      <c r="K859" s="57"/>
    </row>
    <row r="860" spans="1:11" ht="15.75" hidden="1" customHeight="1" x14ac:dyDescent="0.35">
      <c r="A860" s="47" t="s">
        <v>49</v>
      </c>
      <c r="B860" s="48" t="s">
        <v>1791</v>
      </c>
      <c r="C860" s="50" t="s">
        <v>1830</v>
      </c>
      <c r="D860" s="50"/>
      <c r="E860" s="51">
        <v>47894400</v>
      </c>
      <c r="F860" s="52"/>
      <c r="G860" s="53"/>
      <c r="H860" s="54"/>
      <c r="I860" s="55">
        <f t="shared" si="61"/>
        <v>0</v>
      </c>
      <c r="J860" s="56"/>
      <c r="K860" s="57"/>
    </row>
    <row r="861" spans="1:11" ht="15.75" hidden="1" customHeight="1" x14ac:dyDescent="0.35">
      <c r="A861" s="47" t="s">
        <v>69</v>
      </c>
      <c r="B861" s="48" t="s">
        <v>1791</v>
      </c>
      <c r="C861" s="49" t="s">
        <v>1831</v>
      </c>
      <c r="D861" s="50"/>
      <c r="E861" s="51">
        <v>7698000</v>
      </c>
      <c r="F861" s="52">
        <f t="shared" si="59"/>
        <v>615840</v>
      </c>
      <c r="G861" s="53">
        <f t="shared" si="60"/>
        <v>8313840</v>
      </c>
      <c r="H861" s="54">
        <v>8313840</v>
      </c>
      <c r="I861" s="55">
        <f t="shared" si="61"/>
        <v>0</v>
      </c>
      <c r="J861" s="56">
        <v>45796</v>
      </c>
      <c r="K861" s="57"/>
    </row>
    <row r="862" spans="1:11" ht="15.75" hidden="1" customHeight="1" x14ac:dyDescent="0.35">
      <c r="A862" s="47" t="s">
        <v>72</v>
      </c>
      <c r="B862" s="48" t="s">
        <v>1791</v>
      </c>
      <c r="C862" s="49" t="s">
        <v>1832</v>
      </c>
      <c r="D862" s="50"/>
      <c r="E862" s="51">
        <v>4656000</v>
      </c>
      <c r="F862" s="52">
        <f t="shared" si="59"/>
        <v>372480</v>
      </c>
      <c r="G862" s="53">
        <f t="shared" si="60"/>
        <v>5028480</v>
      </c>
      <c r="H862" s="54">
        <v>5028480</v>
      </c>
      <c r="I862" s="55">
        <f t="shared" si="61"/>
        <v>0</v>
      </c>
      <c r="J862" s="56">
        <v>45796</v>
      </c>
      <c r="K862" s="57"/>
    </row>
    <row r="863" spans="1:11" ht="15.75" hidden="1" customHeight="1" x14ac:dyDescent="0.35">
      <c r="A863" s="47" t="s">
        <v>20</v>
      </c>
      <c r="B863" s="48" t="s">
        <v>1791</v>
      </c>
      <c r="C863" s="49" t="s">
        <v>1833</v>
      </c>
      <c r="D863" s="50"/>
      <c r="E863" s="51">
        <v>7030000</v>
      </c>
      <c r="F863" s="52">
        <f t="shared" si="59"/>
        <v>562400</v>
      </c>
      <c r="G863" s="53">
        <f t="shared" si="60"/>
        <v>7592400</v>
      </c>
      <c r="H863" s="54">
        <v>7592400</v>
      </c>
      <c r="I863" s="55">
        <f t="shared" si="61"/>
        <v>0</v>
      </c>
      <c r="J863" s="56">
        <v>45796</v>
      </c>
      <c r="K863" s="57"/>
    </row>
    <row r="864" spans="1:11" ht="15.75" hidden="1" customHeight="1" x14ac:dyDescent="0.35">
      <c r="A864" s="47" t="s">
        <v>26</v>
      </c>
      <c r="B864" s="48" t="s">
        <v>1791</v>
      </c>
      <c r="C864" s="49" t="s">
        <v>1834</v>
      </c>
      <c r="D864" s="50"/>
      <c r="E864" s="51">
        <v>4055000</v>
      </c>
      <c r="F864" s="52">
        <f t="shared" si="59"/>
        <v>324400</v>
      </c>
      <c r="G864" s="53">
        <f t="shared" si="60"/>
        <v>4379400</v>
      </c>
      <c r="H864" s="54">
        <v>4379400</v>
      </c>
      <c r="I864" s="55">
        <f t="shared" si="61"/>
        <v>0</v>
      </c>
      <c r="J864" s="56">
        <v>45796</v>
      </c>
      <c r="K864" s="57"/>
    </row>
    <row r="865" spans="1:11" ht="15.75" hidden="1" customHeight="1" x14ac:dyDescent="0.35">
      <c r="A865" s="47" t="s">
        <v>104</v>
      </c>
      <c r="B865" s="48" t="s">
        <v>1792</v>
      </c>
      <c r="C865" s="49" t="s">
        <v>1835</v>
      </c>
      <c r="D865" s="50"/>
      <c r="E865" s="51">
        <v>3680000</v>
      </c>
      <c r="F865" s="52">
        <f t="shared" si="59"/>
        <v>294400</v>
      </c>
      <c r="G865" s="53">
        <f t="shared" si="60"/>
        <v>3974400</v>
      </c>
      <c r="H865" s="54">
        <v>3974400</v>
      </c>
      <c r="I865" s="55">
        <f t="shared" si="61"/>
        <v>0</v>
      </c>
      <c r="J865" s="56">
        <v>45796</v>
      </c>
      <c r="K865" s="57"/>
    </row>
    <row r="866" spans="1:11" ht="15.75" hidden="1" customHeight="1" x14ac:dyDescent="0.35">
      <c r="A866" s="47" t="s">
        <v>1413</v>
      </c>
      <c r="B866" s="48" t="s">
        <v>1792</v>
      </c>
      <c r="C866" s="50" t="s">
        <v>1836</v>
      </c>
      <c r="D866" s="50"/>
      <c r="E866" s="51">
        <v>10129000</v>
      </c>
      <c r="F866" s="52"/>
      <c r="G866" s="53"/>
      <c r="H866" s="54"/>
      <c r="I866" s="55">
        <f t="shared" si="61"/>
        <v>0</v>
      </c>
      <c r="J866" s="56"/>
      <c r="K866" s="57"/>
    </row>
    <row r="867" spans="1:11" ht="15.75" hidden="1" customHeight="1" x14ac:dyDescent="0.35">
      <c r="A867" s="47" t="s">
        <v>126</v>
      </c>
      <c r="B867" s="48" t="s">
        <v>1792</v>
      </c>
      <c r="C867" s="50" t="s">
        <v>1837</v>
      </c>
      <c r="D867" s="50"/>
      <c r="E867" s="51">
        <v>6760000</v>
      </c>
      <c r="F867" s="52">
        <f t="shared" si="59"/>
        <v>540800</v>
      </c>
      <c r="G867" s="53">
        <f t="shared" si="60"/>
        <v>7300800</v>
      </c>
      <c r="H867" s="54">
        <v>7300800</v>
      </c>
      <c r="I867" s="55">
        <f t="shared" si="61"/>
        <v>0</v>
      </c>
      <c r="J867" s="56">
        <v>45796</v>
      </c>
      <c r="K867" s="57"/>
    </row>
    <row r="868" spans="1:11" ht="15.75" hidden="1" customHeight="1" x14ac:dyDescent="0.35">
      <c r="A868" s="47" t="s">
        <v>1413</v>
      </c>
      <c r="B868" s="48" t="s">
        <v>1792</v>
      </c>
      <c r="C868" s="49" t="s">
        <v>1838</v>
      </c>
      <c r="D868" s="50"/>
      <c r="E868" s="51">
        <v>10129000</v>
      </c>
      <c r="F868" s="52">
        <f t="shared" si="59"/>
        <v>810320</v>
      </c>
      <c r="G868" s="53">
        <f t="shared" si="60"/>
        <v>10939320</v>
      </c>
      <c r="H868" s="54">
        <v>10939320</v>
      </c>
      <c r="I868" s="55">
        <f t="shared" si="61"/>
        <v>0</v>
      </c>
      <c r="J868" s="56">
        <v>45769</v>
      </c>
      <c r="K868" s="57"/>
    </row>
    <row r="869" spans="1:11" ht="15.75" hidden="1" customHeight="1" x14ac:dyDescent="0.35">
      <c r="A869" s="47" t="s">
        <v>1589</v>
      </c>
      <c r="B869" s="48" t="s">
        <v>1793</v>
      </c>
      <c r="C869" s="49" t="s">
        <v>1839</v>
      </c>
      <c r="D869" s="50"/>
      <c r="E869" s="51">
        <v>2000000</v>
      </c>
      <c r="F869" s="52">
        <f t="shared" si="59"/>
        <v>160000</v>
      </c>
      <c r="G869" s="53">
        <f t="shared" si="60"/>
        <v>2160000</v>
      </c>
      <c r="H869" s="54">
        <v>2160000</v>
      </c>
      <c r="I869" s="55">
        <f t="shared" si="61"/>
        <v>0</v>
      </c>
      <c r="J869" s="56">
        <v>45734</v>
      </c>
      <c r="K869" s="57"/>
    </row>
    <row r="870" spans="1:11" ht="15.75" hidden="1" customHeight="1" x14ac:dyDescent="0.35">
      <c r="A870" s="47" t="s">
        <v>146</v>
      </c>
      <c r="B870" s="48" t="s">
        <v>1793</v>
      </c>
      <c r="C870" s="49" t="s">
        <v>1840</v>
      </c>
      <c r="D870" s="50"/>
      <c r="E870" s="51">
        <v>5400000</v>
      </c>
      <c r="F870" s="52">
        <f t="shared" si="59"/>
        <v>432000</v>
      </c>
      <c r="G870" s="53">
        <f t="shared" si="60"/>
        <v>5832000</v>
      </c>
      <c r="H870" s="54">
        <v>5832000</v>
      </c>
      <c r="I870" s="55">
        <f t="shared" si="61"/>
        <v>0</v>
      </c>
      <c r="J870" s="56">
        <v>45734</v>
      </c>
      <c r="K870" s="57"/>
    </row>
    <row r="871" spans="1:11" ht="15.75" hidden="1" customHeight="1" x14ac:dyDescent="0.35">
      <c r="A871" s="47" t="s">
        <v>112</v>
      </c>
      <c r="B871" s="48" t="s">
        <v>1793</v>
      </c>
      <c r="C871" s="49" t="s">
        <v>1841</v>
      </c>
      <c r="D871" s="50"/>
      <c r="E871" s="51">
        <v>12400000</v>
      </c>
      <c r="F871" s="52">
        <f t="shared" si="59"/>
        <v>992000</v>
      </c>
      <c r="G871" s="53">
        <f t="shared" si="60"/>
        <v>13392000</v>
      </c>
      <c r="H871" s="54">
        <v>13392000</v>
      </c>
      <c r="I871" s="55">
        <f t="shared" si="61"/>
        <v>0</v>
      </c>
      <c r="J871" s="56">
        <v>45796</v>
      </c>
      <c r="K871" s="57"/>
    </row>
    <row r="872" spans="1:11" s="62" customFormat="1" ht="15.75" hidden="1" customHeight="1" x14ac:dyDescent="0.35">
      <c r="A872" s="88" t="s">
        <v>105</v>
      </c>
      <c r="B872" s="89" t="s">
        <v>1793</v>
      </c>
      <c r="C872" s="90" t="s">
        <v>474</v>
      </c>
      <c r="D872" s="91"/>
      <c r="E872" s="92">
        <v>74367600</v>
      </c>
      <c r="F872" s="58"/>
      <c r="G872" s="59"/>
      <c r="H872" s="60"/>
      <c r="I872" s="61">
        <f t="shared" si="61"/>
        <v>0</v>
      </c>
      <c r="J872" s="93"/>
      <c r="K872" s="94" t="s">
        <v>1843</v>
      </c>
    </row>
    <row r="873" spans="1:11" ht="15.75" hidden="1" customHeight="1" x14ac:dyDescent="0.35">
      <c r="A873" s="47" t="s">
        <v>52</v>
      </c>
      <c r="B873" s="48" t="s">
        <v>1872</v>
      </c>
      <c r="C873" s="49" t="s">
        <v>1844</v>
      </c>
      <c r="D873" s="50"/>
      <c r="E873" s="51">
        <v>13596000</v>
      </c>
      <c r="F873" s="52">
        <f t="shared" si="59"/>
        <v>1087680</v>
      </c>
      <c r="G873" s="53">
        <f t="shared" si="60"/>
        <v>14683680</v>
      </c>
      <c r="H873" s="54">
        <v>14683680</v>
      </c>
      <c r="I873" s="55">
        <f t="shared" si="61"/>
        <v>0</v>
      </c>
      <c r="J873" s="56">
        <v>45734</v>
      </c>
      <c r="K873" s="57"/>
    </row>
    <row r="874" spans="1:11" ht="15.75" hidden="1" customHeight="1" x14ac:dyDescent="0.35">
      <c r="A874" s="47" t="s">
        <v>88</v>
      </c>
      <c r="B874" s="48" t="s">
        <v>1872</v>
      </c>
      <c r="C874" s="49" t="s">
        <v>1845</v>
      </c>
      <c r="D874" s="50"/>
      <c r="E874" s="51">
        <v>12300000</v>
      </c>
      <c r="F874" s="52">
        <f t="shared" si="59"/>
        <v>984000</v>
      </c>
      <c r="G874" s="53">
        <f t="shared" si="60"/>
        <v>13284000</v>
      </c>
      <c r="H874" s="54">
        <v>13284000</v>
      </c>
      <c r="I874" s="55">
        <f t="shared" si="61"/>
        <v>0</v>
      </c>
      <c r="J874" s="56">
        <v>45734</v>
      </c>
      <c r="K874" s="57"/>
    </row>
    <row r="875" spans="1:11" ht="15.75" hidden="1" customHeight="1" x14ac:dyDescent="0.35">
      <c r="A875" s="47" t="s">
        <v>143</v>
      </c>
      <c r="B875" s="48" t="s">
        <v>1872</v>
      </c>
      <c r="C875" s="49" t="s">
        <v>1846</v>
      </c>
      <c r="D875" s="50"/>
      <c r="E875" s="51">
        <v>4140000</v>
      </c>
      <c r="F875" s="52">
        <f t="shared" si="59"/>
        <v>331200</v>
      </c>
      <c r="G875" s="53">
        <f t="shared" si="60"/>
        <v>4471200</v>
      </c>
      <c r="H875" s="54">
        <v>4471200</v>
      </c>
      <c r="I875" s="55">
        <f t="shared" si="61"/>
        <v>0</v>
      </c>
      <c r="J875" s="56">
        <v>45796</v>
      </c>
      <c r="K875" s="57"/>
    </row>
    <row r="876" spans="1:11" ht="15.75" hidden="1" customHeight="1" x14ac:dyDescent="0.35">
      <c r="A876" s="47" t="s">
        <v>1589</v>
      </c>
      <c r="B876" s="48" t="s">
        <v>1872</v>
      </c>
      <c r="C876" s="49" t="s">
        <v>1847</v>
      </c>
      <c r="D876" s="50"/>
      <c r="E876" s="51">
        <v>4280000</v>
      </c>
      <c r="F876" s="52">
        <f t="shared" si="59"/>
        <v>342400</v>
      </c>
      <c r="G876" s="53">
        <f t="shared" si="60"/>
        <v>4622400</v>
      </c>
      <c r="H876" s="54">
        <v>4622400</v>
      </c>
      <c r="I876" s="55">
        <f t="shared" si="61"/>
        <v>0</v>
      </c>
      <c r="J876" s="56">
        <v>45734</v>
      </c>
      <c r="K876" s="57"/>
    </row>
    <row r="877" spans="1:11" ht="15.75" hidden="1" customHeight="1" x14ac:dyDescent="0.35">
      <c r="A877" s="47" t="s">
        <v>170</v>
      </c>
      <c r="B877" s="48" t="s">
        <v>1873</v>
      </c>
      <c r="C877" s="49" t="s">
        <v>1848</v>
      </c>
      <c r="D877" s="50"/>
      <c r="E877" s="51">
        <v>1680000</v>
      </c>
      <c r="F877" s="52">
        <f t="shared" si="59"/>
        <v>134400</v>
      </c>
      <c r="G877" s="53">
        <f t="shared" si="60"/>
        <v>1814400</v>
      </c>
      <c r="H877" s="54">
        <v>1814400</v>
      </c>
      <c r="I877" s="55">
        <f t="shared" si="61"/>
        <v>0</v>
      </c>
      <c r="J877" s="56">
        <v>45769</v>
      </c>
      <c r="K877" s="57"/>
    </row>
    <row r="878" spans="1:11" ht="15.75" hidden="1" customHeight="1" x14ac:dyDescent="0.35">
      <c r="A878" s="47" t="s">
        <v>19</v>
      </c>
      <c r="B878" s="48" t="s">
        <v>1873</v>
      </c>
      <c r="C878" s="50" t="s">
        <v>1849</v>
      </c>
      <c r="D878" s="50"/>
      <c r="E878" s="51">
        <v>8180000</v>
      </c>
      <c r="F878" s="52">
        <f t="shared" si="59"/>
        <v>654400</v>
      </c>
      <c r="G878" s="53">
        <f t="shared" si="60"/>
        <v>8834400</v>
      </c>
      <c r="H878" s="54">
        <v>8834400</v>
      </c>
      <c r="I878" s="55">
        <f t="shared" si="61"/>
        <v>0</v>
      </c>
      <c r="J878" s="56">
        <v>45769</v>
      </c>
      <c r="K878" s="57"/>
    </row>
    <row r="879" spans="1:11" ht="15.75" hidden="1" customHeight="1" x14ac:dyDescent="0.35">
      <c r="A879" s="47" t="s">
        <v>20</v>
      </c>
      <c r="B879" s="48" t="s">
        <v>1873</v>
      </c>
      <c r="C879" s="49" t="s">
        <v>483</v>
      </c>
      <c r="D879" s="50"/>
      <c r="E879" s="51">
        <v>2045000</v>
      </c>
      <c r="F879" s="52">
        <f t="shared" ref="F879:F942" si="62">+E879*0.08</f>
        <v>163600</v>
      </c>
      <c r="G879" s="53">
        <f t="shared" ref="G879:G942" si="63">E879+F879</f>
        <v>2208600</v>
      </c>
      <c r="H879" s="54">
        <v>2208600</v>
      </c>
      <c r="I879" s="55">
        <f t="shared" si="61"/>
        <v>0</v>
      </c>
      <c r="J879" s="56">
        <v>45796</v>
      </c>
      <c r="K879" s="57"/>
    </row>
    <row r="880" spans="1:11" ht="15.75" hidden="1" customHeight="1" x14ac:dyDescent="0.35">
      <c r="A880" s="47" t="s">
        <v>32</v>
      </c>
      <c r="B880" s="48" t="s">
        <v>1874</v>
      </c>
      <c r="C880" s="50" t="s">
        <v>1850</v>
      </c>
      <c r="D880" s="50"/>
      <c r="E880" s="51">
        <v>2045000</v>
      </c>
      <c r="F880" s="52">
        <f t="shared" si="62"/>
        <v>163600</v>
      </c>
      <c r="G880" s="53">
        <f t="shared" si="63"/>
        <v>2208600</v>
      </c>
      <c r="H880" s="54">
        <v>2208600</v>
      </c>
      <c r="I880" s="55">
        <f t="shared" si="61"/>
        <v>0</v>
      </c>
      <c r="J880" s="56">
        <v>45734</v>
      </c>
      <c r="K880" s="57"/>
    </row>
    <row r="881" spans="1:11" ht="15.75" hidden="1" customHeight="1" x14ac:dyDescent="0.35">
      <c r="A881" s="47" t="s">
        <v>49</v>
      </c>
      <c r="B881" s="48" t="s">
        <v>1874</v>
      </c>
      <c r="C881" s="49" t="s">
        <v>1851</v>
      </c>
      <c r="D881" s="50"/>
      <c r="E881" s="51">
        <v>40941000</v>
      </c>
      <c r="F881" s="52">
        <f t="shared" si="62"/>
        <v>3275280</v>
      </c>
      <c r="G881" s="53">
        <f t="shared" si="63"/>
        <v>44216280</v>
      </c>
      <c r="H881" s="54">
        <v>44216280</v>
      </c>
      <c r="I881" s="55">
        <f t="shared" si="61"/>
        <v>0</v>
      </c>
      <c r="J881" s="56">
        <v>45769</v>
      </c>
      <c r="K881" s="57"/>
    </row>
    <row r="882" spans="1:11" ht="15.75" hidden="1" customHeight="1" x14ac:dyDescent="0.35">
      <c r="A882" s="47" t="s">
        <v>105</v>
      </c>
      <c r="B882" s="48" t="s">
        <v>1874</v>
      </c>
      <c r="C882" s="49" t="s">
        <v>1852</v>
      </c>
      <c r="D882" s="50"/>
      <c r="E882" s="51">
        <v>71267600</v>
      </c>
      <c r="F882" s="52">
        <f t="shared" si="62"/>
        <v>5701408</v>
      </c>
      <c r="G882" s="53">
        <f t="shared" si="63"/>
        <v>76969008</v>
      </c>
      <c r="H882" s="54">
        <v>76969008</v>
      </c>
      <c r="I882" s="55">
        <f t="shared" ref="I882:I945" si="64">G882-H882</f>
        <v>0</v>
      </c>
      <c r="J882" s="56">
        <v>45769</v>
      </c>
      <c r="K882" s="57"/>
    </row>
    <row r="883" spans="1:11" ht="15.75" hidden="1" customHeight="1" x14ac:dyDescent="0.35">
      <c r="A883" s="47" t="s">
        <v>105</v>
      </c>
      <c r="B883" s="48" t="s">
        <v>1874</v>
      </c>
      <c r="C883" s="49" t="s">
        <v>1853</v>
      </c>
      <c r="D883" s="50"/>
      <c r="E883" s="51">
        <v>75899600</v>
      </c>
      <c r="F883" s="52">
        <f t="shared" si="62"/>
        <v>6071968</v>
      </c>
      <c r="G883" s="53">
        <f t="shared" si="63"/>
        <v>81971568</v>
      </c>
      <c r="H883" s="54">
        <v>81971568</v>
      </c>
      <c r="I883" s="55">
        <f t="shared" si="64"/>
        <v>0</v>
      </c>
      <c r="J883" s="56">
        <v>45769</v>
      </c>
      <c r="K883" s="57"/>
    </row>
    <row r="884" spans="1:11" ht="15.75" hidden="1" customHeight="1" x14ac:dyDescent="0.35">
      <c r="A884" s="47" t="s">
        <v>16</v>
      </c>
      <c r="B884" s="48" t="s">
        <v>1875</v>
      </c>
      <c r="C884" s="49" t="s">
        <v>1854</v>
      </c>
      <c r="D884" s="50"/>
      <c r="E884" s="51">
        <v>1005000</v>
      </c>
      <c r="F884" s="52">
        <f t="shared" si="62"/>
        <v>80400</v>
      </c>
      <c r="G884" s="53">
        <f t="shared" si="63"/>
        <v>1085400</v>
      </c>
      <c r="H884" s="54">
        <v>1085400</v>
      </c>
      <c r="I884" s="55">
        <f t="shared" si="64"/>
        <v>0</v>
      </c>
      <c r="J884" s="56">
        <v>45796</v>
      </c>
      <c r="K884" s="57"/>
    </row>
    <row r="885" spans="1:11" ht="15.75" hidden="1" customHeight="1" x14ac:dyDescent="0.35">
      <c r="A885" s="47" t="s">
        <v>126</v>
      </c>
      <c r="B885" s="48" t="s">
        <v>1875</v>
      </c>
      <c r="C885" s="49" t="s">
        <v>1855</v>
      </c>
      <c r="D885" s="50"/>
      <c r="E885" s="51">
        <v>2045000</v>
      </c>
      <c r="F885" s="52">
        <f t="shared" si="62"/>
        <v>163600</v>
      </c>
      <c r="G885" s="53">
        <f t="shared" si="63"/>
        <v>2208600</v>
      </c>
      <c r="H885" s="54">
        <v>2208600</v>
      </c>
      <c r="I885" s="55">
        <f t="shared" si="64"/>
        <v>0</v>
      </c>
      <c r="J885" s="56">
        <v>45796</v>
      </c>
      <c r="K885" s="57"/>
    </row>
    <row r="886" spans="1:11" ht="15.75" hidden="1" customHeight="1" x14ac:dyDescent="0.35">
      <c r="A886" s="47" t="s">
        <v>44</v>
      </c>
      <c r="B886" s="48" t="s">
        <v>1875</v>
      </c>
      <c r="C886" s="49" t="s">
        <v>1856</v>
      </c>
      <c r="D886" s="50"/>
      <c r="E886" s="51">
        <v>1022500</v>
      </c>
      <c r="F886" s="52">
        <f t="shared" si="62"/>
        <v>81800</v>
      </c>
      <c r="G886" s="53">
        <f t="shared" si="63"/>
        <v>1104300</v>
      </c>
      <c r="H886" s="54">
        <v>1104300</v>
      </c>
      <c r="I886" s="55">
        <f t="shared" si="64"/>
        <v>0</v>
      </c>
      <c r="J886" s="56">
        <v>45796</v>
      </c>
      <c r="K886" s="57"/>
    </row>
    <row r="887" spans="1:11" ht="15.75" hidden="1" customHeight="1" x14ac:dyDescent="0.35">
      <c r="A887" s="47" t="s">
        <v>47</v>
      </c>
      <c r="B887" s="48" t="s">
        <v>1875</v>
      </c>
      <c r="C887" s="49" t="s">
        <v>1857</v>
      </c>
      <c r="D887" s="50"/>
      <c r="E887" s="51">
        <v>2045000</v>
      </c>
      <c r="F887" s="52">
        <f t="shared" si="62"/>
        <v>163600</v>
      </c>
      <c r="G887" s="53">
        <f t="shared" si="63"/>
        <v>2208600</v>
      </c>
      <c r="H887" s="54">
        <v>2208600</v>
      </c>
      <c r="I887" s="55">
        <f t="shared" si="64"/>
        <v>0</v>
      </c>
      <c r="J887" s="56">
        <v>45796</v>
      </c>
      <c r="K887" s="57"/>
    </row>
    <row r="888" spans="1:11" ht="15.75" hidden="1" customHeight="1" x14ac:dyDescent="0.35">
      <c r="A888" s="47" t="s">
        <v>20</v>
      </c>
      <c r="B888" s="48" t="s">
        <v>1876</v>
      </c>
      <c r="C888" s="49" t="s">
        <v>1858</v>
      </c>
      <c r="D888" s="50"/>
      <c r="E888" s="51">
        <v>1525000</v>
      </c>
      <c r="F888" s="52">
        <f t="shared" si="62"/>
        <v>122000</v>
      </c>
      <c r="G888" s="53">
        <f t="shared" si="63"/>
        <v>1647000</v>
      </c>
      <c r="H888" s="54">
        <v>1647000</v>
      </c>
      <c r="I888" s="55">
        <f t="shared" si="64"/>
        <v>0</v>
      </c>
      <c r="J888" s="56">
        <v>45734</v>
      </c>
      <c r="K888" s="57"/>
    </row>
    <row r="889" spans="1:11" ht="15.75" hidden="1" customHeight="1" x14ac:dyDescent="0.35">
      <c r="A889" s="47" t="s">
        <v>19</v>
      </c>
      <c r="B889" s="48" t="s">
        <v>1876</v>
      </c>
      <c r="C889" s="49" t="s">
        <v>1859</v>
      </c>
      <c r="D889" s="50"/>
      <c r="E889" s="51">
        <v>4090000</v>
      </c>
      <c r="F889" s="52">
        <f t="shared" si="62"/>
        <v>327200</v>
      </c>
      <c r="G889" s="53">
        <f t="shared" si="63"/>
        <v>4417200</v>
      </c>
      <c r="H889" s="54">
        <v>4417200</v>
      </c>
      <c r="I889" s="55">
        <f t="shared" si="64"/>
        <v>0</v>
      </c>
      <c r="J889" s="56">
        <v>45796</v>
      </c>
      <c r="K889" s="57"/>
    </row>
    <row r="890" spans="1:11" ht="15.75" hidden="1" customHeight="1" x14ac:dyDescent="0.35">
      <c r="A890" s="47" t="s">
        <v>32</v>
      </c>
      <c r="B890" s="48" t="s">
        <v>1877</v>
      </c>
      <c r="C890" s="49" t="s">
        <v>1860</v>
      </c>
      <c r="D890" s="50"/>
      <c r="E890" s="51">
        <v>1005000</v>
      </c>
      <c r="F890" s="52">
        <f t="shared" si="62"/>
        <v>80400</v>
      </c>
      <c r="G890" s="53">
        <f t="shared" si="63"/>
        <v>1085400</v>
      </c>
      <c r="H890" s="54">
        <v>1085400</v>
      </c>
      <c r="I890" s="55">
        <f t="shared" si="64"/>
        <v>0</v>
      </c>
      <c r="J890" s="56">
        <v>45796</v>
      </c>
      <c r="K890" s="57"/>
    </row>
    <row r="891" spans="1:11" ht="15.75" hidden="1" customHeight="1" x14ac:dyDescent="0.35">
      <c r="A891" s="47" t="s">
        <v>24</v>
      </c>
      <c r="B891" s="48" t="s">
        <v>1877</v>
      </c>
      <c r="C891" s="49" t="s">
        <v>1861</v>
      </c>
      <c r="D891" s="50"/>
      <c r="E891" s="51">
        <v>2045000</v>
      </c>
      <c r="F891" s="52">
        <f t="shared" si="62"/>
        <v>163600</v>
      </c>
      <c r="G891" s="53">
        <f t="shared" si="63"/>
        <v>2208600</v>
      </c>
      <c r="H891" s="54">
        <v>2208600</v>
      </c>
      <c r="I891" s="55">
        <f t="shared" si="64"/>
        <v>0</v>
      </c>
      <c r="J891" s="56">
        <v>45734</v>
      </c>
      <c r="K891" s="57"/>
    </row>
    <row r="892" spans="1:11" ht="15.75" hidden="1" customHeight="1" x14ac:dyDescent="0.35">
      <c r="A892" s="47" t="s">
        <v>54</v>
      </c>
      <c r="B892" s="48" t="s">
        <v>1877</v>
      </c>
      <c r="C892" s="49" t="s">
        <v>1862</v>
      </c>
      <c r="D892" s="50"/>
      <c r="E892" s="51">
        <v>2045000</v>
      </c>
      <c r="F892" s="52">
        <f t="shared" si="62"/>
        <v>163600</v>
      </c>
      <c r="G892" s="53">
        <f t="shared" si="63"/>
        <v>2208600</v>
      </c>
      <c r="H892" s="54">
        <v>2208600</v>
      </c>
      <c r="I892" s="55">
        <f t="shared" si="64"/>
        <v>0</v>
      </c>
      <c r="J892" s="56">
        <v>45796</v>
      </c>
      <c r="K892" s="57"/>
    </row>
    <row r="893" spans="1:11" ht="15.75" hidden="1" customHeight="1" x14ac:dyDescent="0.35">
      <c r="A893" s="47" t="s">
        <v>86</v>
      </c>
      <c r="B893" s="48" t="s">
        <v>1877</v>
      </c>
      <c r="C893" s="49" t="s">
        <v>1863</v>
      </c>
      <c r="D893" s="50"/>
      <c r="E893" s="51">
        <v>2045000</v>
      </c>
      <c r="F893" s="52">
        <f t="shared" si="62"/>
        <v>163600</v>
      </c>
      <c r="G893" s="53">
        <f t="shared" si="63"/>
        <v>2208600</v>
      </c>
      <c r="H893" s="54">
        <v>2208600</v>
      </c>
      <c r="I893" s="55">
        <f t="shared" si="64"/>
        <v>0</v>
      </c>
      <c r="J893" s="56">
        <v>45734</v>
      </c>
      <c r="K893" s="57"/>
    </row>
    <row r="894" spans="1:11" ht="15.75" hidden="1" customHeight="1" x14ac:dyDescent="0.35">
      <c r="A894" s="47" t="s">
        <v>20</v>
      </c>
      <c r="B894" s="48" t="s">
        <v>1878</v>
      </c>
      <c r="C894" s="49" t="s">
        <v>1864</v>
      </c>
      <c r="D894" s="50"/>
      <c r="E894" s="51">
        <v>1525000</v>
      </c>
      <c r="F894" s="52">
        <f t="shared" si="62"/>
        <v>122000</v>
      </c>
      <c r="G894" s="53">
        <f t="shared" si="63"/>
        <v>1647000</v>
      </c>
      <c r="H894" s="54">
        <v>1647000</v>
      </c>
      <c r="I894" s="55">
        <f t="shared" si="64"/>
        <v>0</v>
      </c>
      <c r="J894" s="56">
        <v>45734</v>
      </c>
      <c r="K894" s="57"/>
    </row>
    <row r="895" spans="1:11" ht="15.75" hidden="1" customHeight="1" x14ac:dyDescent="0.35">
      <c r="A895" s="47" t="s">
        <v>15</v>
      </c>
      <c r="B895" s="48" t="s">
        <v>1878</v>
      </c>
      <c r="C895" s="49" t="s">
        <v>1865</v>
      </c>
      <c r="D895" s="50"/>
      <c r="E895" s="51">
        <v>2045000</v>
      </c>
      <c r="F895" s="52">
        <f t="shared" si="62"/>
        <v>163600</v>
      </c>
      <c r="G895" s="53">
        <f t="shared" si="63"/>
        <v>2208600</v>
      </c>
      <c r="H895" s="54">
        <v>2208600</v>
      </c>
      <c r="I895" s="55">
        <f t="shared" si="64"/>
        <v>0</v>
      </c>
      <c r="J895" s="56">
        <v>45734</v>
      </c>
      <c r="K895" s="57"/>
    </row>
    <row r="896" spans="1:11" ht="15.75" hidden="1" customHeight="1" x14ac:dyDescent="0.35">
      <c r="A896" s="47" t="s">
        <v>106</v>
      </c>
      <c r="B896" s="48" t="s">
        <v>1878</v>
      </c>
      <c r="C896" s="49" t="s">
        <v>1866</v>
      </c>
      <c r="D896" s="50"/>
      <c r="E896" s="51">
        <v>2010000</v>
      </c>
      <c r="F896" s="52">
        <f t="shared" si="62"/>
        <v>160800</v>
      </c>
      <c r="G896" s="53">
        <f t="shared" si="63"/>
        <v>2170800</v>
      </c>
      <c r="H896" s="54">
        <v>2170800</v>
      </c>
      <c r="I896" s="55">
        <f t="shared" si="64"/>
        <v>0</v>
      </c>
      <c r="J896" s="56">
        <v>45828</v>
      </c>
      <c r="K896" s="57"/>
    </row>
    <row r="897" spans="1:11" ht="15.75" hidden="1" customHeight="1" x14ac:dyDescent="0.35">
      <c r="A897" s="47" t="s">
        <v>164</v>
      </c>
      <c r="B897" s="48" t="s">
        <v>1879</v>
      </c>
      <c r="C897" s="49" t="s">
        <v>1867</v>
      </c>
      <c r="D897" s="50"/>
      <c r="E897" s="51">
        <v>520000</v>
      </c>
      <c r="F897" s="52">
        <f t="shared" si="62"/>
        <v>41600</v>
      </c>
      <c r="G897" s="53">
        <f t="shared" si="63"/>
        <v>561600</v>
      </c>
      <c r="H897" s="54">
        <v>561600</v>
      </c>
      <c r="I897" s="55">
        <f t="shared" si="64"/>
        <v>0</v>
      </c>
      <c r="J897" s="56">
        <v>45796</v>
      </c>
      <c r="K897" s="57"/>
    </row>
    <row r="898" spans="1:11" ht="15.75" hidden="1" customHeight="1" x14ac:dyDescent="0.35">
      <c r="A898" s="47" t="s">
        <v>35</v>
      </c>
      <c r="B898" s="48" t="s">
        <v>1879</v>
      </c>
      <c r="C898" s="50" t="s">
        <v>1868</v>
      </c>
      <c r="D898" s="50"/>
      <c r="E898" s="51">
        <v>6135000</v>
      </c>
      <c r="F898" s="52">
        <f t="shared" si="62"/>
        <v>490800</v>
      </c>
      <c r="G898" s="53">
        <f t="shared" si="63"/>
        <v>6625800</v>
      </c>
      <c r="H898" s="54">
        <v>6625800</v>
      </c>
      <c r="I898" s="55">
        <f t="shared" si="64"/>
        <v>0</v>
      </c>
      <c r="J898" s="56">
        <v>45796</v>
      </c>
      <c r="K898" s="57"/>
    </row>
    <row r="899" spans="1:11" ht="15.75" hidden="1" customHeight="1" x14ac:dyDescent="0.35">
      <c r="A899" s="47" t="s">
        <v>22</v>
      </c>
      <c r="B899" s="48" t="s">
        <v>1879</v>
      </c>
      <c r="C899" s="49" t="s">
        <v>1869</v>
      </c>
      <c r="D899" s="50"/>
      <c r="E899" s="51">
        <v>1005000</v>
      </c>
      <c r="F899" s="52">
        <f t="shared" si="62"/>
        <v>80400</v>
      </c>
      <c r="G899" s="53">
        <f t="shared" si="63"/>
        <v>1085400</v>
      </c>
      <c r="H899" s="54">
        <v>1085400</v>
      </c>
      <c r="I899" s="55">
        <f t="shared" si="64"/>
        <v>0</v>
      </c>
      <c r="J899" s="56">
        <v>45796</v>
      </c>
      <c r="K899" s="57"/>
    </row>
    <row r="900" spans="1:11" ht="15.75" hidden="1" customHeight="1" x14ac:dyDescent="0.35">
      <c r="A900" s="47" t="s">
        <v>78</v>
      </c>
      <c r="B900" s="48" t="s">
        <v>1879</v>
      </c>
      <c r="C900" s="49" t="s">
        <v>1870</v>
      </c>
      <c r="D900" s="50"/>
      <c r="E900" s="51">
        <v>3050000</v>
      </c>
      <c r="F900" s="52">
        <f t="shared" si="62"/>
        <v>244000</v>
      </c>
      <c r="G900" s="53">
        <f t="shared" si="63"/>
        <v>3294000</v>
      </c>
      <c r="H900" s="54">
        <v>3294000</v>
      </c>
      <c r="I900" s="55">
        <f t="shared" si="64"/>
        <v>0</v>
      </c>
      <c r="J900" s="56">
        <v>45894</v>
      </c>
      <c r="K900" s="57"/>
    </row>
    <row r="901" spans="1:11" ht="15.75" hidden="1" customHeight="1" x14ac:dyDescent="0.35">
      <c r="A901" s="47" t="s">
        <v>47</v>
      </c>
      <c r="B901" s="48" t="s">
        <v>1880</v>
      </c>
      <c r="C901" s="49" t="s">
        <v>1871</v>
      </c>
      <c r="D901" s="50"/>
      <c r="E901" s="51">
        <v>1005000</v>
      </c>
      <c r="F901" s="52">
        <f t="shared" si="62"/>
        <v>80400</v>
      </c>
      <c r="G901" s="53">
        <f t="shared" si="63"/>
        <v>1085400</v>
      </c>
      <c r="H901" s="54">
        <v>1085400</v>
      </c>
      <c r="I901" s="55">
        <f t="shared" si="64"/>
        <v>0</v>
      </c>
      <c r="J901" s="56">
        <v>45796</v>
      </c>
      <c r="K901" s="57"/>
    </row>
    <row r="902" spans="1:11" ht="15.75" hidden="1" customHeight="1" x14ac:dyDescent="0.35">
      <c r="A902" s="47" t="s">
        <v>1586</v>
      </c>
      <c r="B902" s="48">
        <v>45705</v>
      </c>
      <c r="C902" s="49" t="s">
        <v>1883</v>
      </c>
      <c r="D902" s="50"/>
      <c r="E902" s="51">
        <v>2045000</v>
      </c>
      <c r="F902" s="52">
        <f t="shared" si="62"/>
        <v>163600</v>
      </c>
      <c r="G902" s="53">
        <f t="shared" si="63"/>
        <v>2208600</v>
      </c>
      <c r="H902" s="54">
        <v>2208600</v>
      </c>
      <c r="I902" s="55">
        <f t="shared" si="64"/>
        <v>0</v>
      </c>
      <c r="J902" s="56">
        <v>45734</v>
      </c>
      <c r="K902" s="57"/>
    </row>
    <row r="903" spans="1:11" ht="15.75" hidden="1" customHeight="1" x14ac:dyDescent="0.35">
      <c r="A903" s="47" t="s">
        <v>1597</v>
      </c>
      <c r="B903" s="48">
        <v>45706</v>
      </c>
      <c r="C903" s="49" t="s">
        <v>915</v>
      </c>
      <c r="D903" s="50"/>
      <c r="E903" s="51">
        <v>1022500</v>
      </c>
      <c r="F903" s="52">
        <f t="shared" si="62"/>
        <v>81800</v>
      </c>
      <c r="G903" s="53">
        <f t="shared" si="63"/>
        <v>1104300</v>
      </c>
      <c r="H903" s="54">
        <v>1104300</v>
      </c>
      <c r="I903" s="55">
        <f t="shared" si="64"/>
        <v>0</v>
      </c>
      <c r="J903" s="56">
        <v>45918</v>
      </c>
      <c r="K903" s="57"/>
    </row>
    <row r="904" spans="1:11" ht="15.75" hidden="1" customHeight="1" x14ac:dyDescent="0.35">
      <c r="A904" s="47" t="s">
        <v>69</v>
      </c>
      <c r="B904" s="48">
        <v>45706</v>
      </c>
      <c r="C904" s="49" t="s">
        <v>1884</v>
      </c>
      <c r="D904" s="50"/>
      <c r="E904" s="51">
        <v>2045000</v>
      </c>
      <c r="F904" s="52">
        <f t="shared" si="62"/>
        <v>163600</v>
      </c>
      <c r="G904" s="53">
        <f t="shared" si="63"/>
        <v>2208600</v>
      </c>
      <c r="H904" s="54">
        <v>2208600</v>
      </c>
      <c r="I904" s="55">
        <f t="shared" si="64"/>
        <v>0</v>
      </c>
      <c r="J904" s="56">
        <v>45734</v>
      </c>
      <c r="K904" s="57"/>
    </row>
    <row r="905" spans="1:11" ht="15.75" hidden="1" customHeight="1" x14ac:dyDescent="0.35">
      <c r="A905" s="47" t="s">
        <v>55</v>
      </c>
      <c r="B905" s="48">
        <v>45706</v>
      </c>
      <c r="C905" s="49" t="s">
        <v>1885</v>
      </c>
      <c r="D905" s="50"/>
      <c r="E905" s="51">
        <v>1022500</v>
      </c>
      <c r="F905" s="52">
        <f t="shared" si="62"/>
        <v>81800</v>
      </c>
      <c r="G905" s="53">
        <f t="shared" si="63"/>
        <v>1104300</v>
      </c>
      <c r="H905" s="54">
        <v>1104300</v>
      </c>
      <c r="I905" s="55">
        <f t="shared" si="64"/>
        <v>0</v>
      </c>
      <c r="J905" s="56">
        <v>45796</v>
      </c>
      <c r="K905" s="57"/>
    </row>
    <row r="906" spans="1:11" ht="15.75" hidden="1" customHeight="1" x14ac:dyDescent="0.35">
      <c r="A906" s="47" t="s">
        <v>31</v>
      </c>
      <c r="B906" s="48">
        <v>45706</v>
      </c>
      <c r="C906" s="49" t="s">
        <v>1886</v>
      </c>
      <c r="D906" s="50"/>
      <c r="E906" s="51">
        <v>1542500</v>
      </c>
      <c r="F906" s="52">
        <f t="shared" si="62"/>
        <v>123400</v>
      </c>
      <c r="G906" s="53">
        <f t="shared" si="63"/>
        <v>1665900</v>
      </c>
      <c r="H906" s="54">
        <v>1665900</v>
      </c>
      <c r="I906" s="55">
        <f t="shared" si="64"/>
        <v>0</v>
      </c>
      <c r="J906" s="56">
        <v>45734</v>
      </c>
      <c r="K906" s="57"/>
    </row>
    <row r="907" spans="1:11" ht="15.75" hidden="1" customHeight="1" x14ac:dyDescent="0.35">
      <c r="A907" s="47" t="s">
        <v>1593</v>
      </c>
      <c r="B907" s="48">
        <v>45708</v>
      </c>
      <c r="C907" s="49" t="s">
        <v>1887</v>
      </c>
      <c r="D907" s="50"/>
      <c r="E907" s="51">
        <v>502500</v>
      </c>
      <c r="F907" s="52">
        <f t="shared" si="62"/>
        <v>40200</v>
      </c>
      <c r="G907" s="53">
        <f t="shared" si="63"/>
        <v>542700</v>
      </c>
      <c r="H907" s="54">
        <v>542700</v>
      </c>
      <c r="I907" s="55">
        <f t="shared" si="64"/>
        <v>0</v>
      </c>
      <c r="J907" s="56">
        <v>45734</v>
      </c>
      <c r="K907" s="57"/>
    </row>
    <row r="908" spans="1:11" ht="15.75" hidden="1" customHeight="1" x14ac:dyDescent="0.35">
      <c r="A908" s="47" t="s">
        <v>19</v>
      </c>
      <c r="B908" s="48">
        <v>45708</v>
      </c>
      <c r="C908" s="49" t="s">
        <v>1888</v>
      </c>
      <c r="D908" s="50"/>
      <c r="E908" s="51">
        <v>4055000</v>
      </c>
      <c r="F908" s="52">
        <f t="shared" si="62"/>
        <v>324400</v>
      </c>
      <c r="G908" s="53">
        <f t="shared" si="63"/>
        <v>4379400</v>
      </c>
      <c r="H908" s="54">
        <v>4379400</v>
      </c>
      <c r="I908" s="55">
        <f t="shared" si="64"/>
        <v>0</v>
      </c>
      <c r="J908" s="56">
        <v>45796</v>
      </c>
      <c r="K908" s="57"/>
    </row>
    <row r="909" spans="1:11" ht="15.75" hidden="1" customHeight="1" x14ac:dyDescent="0.35">
      <c r="A909" s="47" t="s">
        <v>20</v>
      </c>
      <c r="B909" s="48">
        <v>45708</v>
      </c>
      <c r="C909" s="49" t="s">
        <v>1889</v>
      </c>
      <c r="D909" s="50"/>
      <c r="E909" s="51">
        <v>1525000</v>
      </c>
      <c r="F909" s="52">
        <f t="shared" si="62"/>
        <v>122000</v>
      </c>
      <c r="G909" s="53">
        <f t="shared" si="63"/>
        <v>1647000</v>
      </c>
      <c r="H909" s="54">
        <v>1647000</v>
      </c>
      <c r="I909" s="55">
        <f t="shared" si="64"/>
        <v>0</v>
      </c>
      <c r="J909" s="56">
        <v>45734</v>
      </c>
      <c r="K909" s="57"/>
    </row>
    <row r="910" spans="1:11" ht="15.75" hidden="1" customHeight="1" x14ac:dyDescent="0.35">
      <c r="A910" s="47" t="s">
        <v>47</v>
      </c>
      <c r="B910" s="48">
        <v>45708</v>
      </c>
      <c r="C910" s="49" t="s">
        <v>1890</v>
      </c>
      <c r="D910" s="50"/>
      <c r="E910" s="51">
        <v>3085000</v>
      </c>
      <c r="F910" s="52">
        <f t="shared" si="62"/>
        <v>246800</v>
      </c>
      <c r="G910" s="53">
        <f t="shared" si="63"/>
        <v>3331800</v>
      </c>
      <c r="H910" s="54">
        <v>3331800</v>
      </c>
      <c r="I910" s="55">
        <f t="shared" si="64"/>
        <v>0</v>
      </c>
      <c r="J910" s="56">
        <v>45796</v>
      </c>
      <c r="K910" s="57"/>
    </row>
    <row r="911" spans="1:11" ht="15.75" hidden="1" customHeight="1" x14ac:dyDescent="0.35">
      <c r="A911" s="47" t="s">
        <v>70</v>
      </c>
      <c r="B911" s="48" t="s">
        <v>1902</v>
      </c>
      <c r="C911" s="49" t="s">
        <v>1891</v>
      </c>
      <c r="D911" s="50"/>
      <c r="E911" s="51">
        <v>520000</v>
      </c>
      <c r="F911" s="52">
        <f t="shared" si="62"/>
        <v>41600</v>
      </c>
      <c r="G911" s="53">
        <f t="shared" si="63"/>
        <v>561600</v>
      </c>
      <c r="H911" s="54">
        <v>561600</v>
      </c>
      <c r="I911" s="55">
        <f t="shared" si="64"/>
        <v>0</v>
      </c>
      <c r="J911" s="56">
        <v>45828</v>
      </c>
      <c r="K911" s="57"/>
    </row>
    <row r="912" spans="1:11" ht="15.75" hidden="1" customHeight="1" x14ac:dyDescent="0.35">
      <c r="A912" s="47" t="s">
        <v>24</v>
      </c>
      <c r="B912" s="48">
        <v>45719</v>
      </c>
      <c r="C912" s="50" t="s">
        <v>524</v>
      </c>
      <c r="D912" s="49" t="s">
        <v>1907</v>
      </c>
      <c r="E912" s="51">
        <v>2045000</v>
      </c>
      <c r="F912" s="52">
        <f t="shared" si="62"/>
        <v>163600</v>
      </c>
      <c r="G912" s="53">
        <f t="shared" si="63"/>
        <v>2208600</v>
      </c>
      <c r="H912" s="54">
        <v>2208600</v>
      </c>
      <c r="I912" s="55">
        <f t="shared" si="64"/>
        <v>0</v>
      </c>
      <c r="J912" s="56">
        <v>45796</v>
      </c>
      <c r="K912" s="57"/>
    </row>
    <row r="913" spans="1:11" ht="15.75" hidden="1" customHeight="1" x14ac:dyDescent="0.35">
      <c r="A913" s="47" t="s">
        <v>1582</v>
      </c>
      <c r="B913" s="48">
        <v>45717</v>
      </c>
      <c r="C913" s="50" t="s">
        <v>1892</v>
      </c>
      <c r="D913" s="49" t="s">
        <v>1906</v>
      </c>
      <c r="E913" s="51">
        <v>1022500</v>
      </c>
      <c r="F913" s="52">
        <f t="shared" si="62"/>
        <v>81800</v>
      </c>
      <c r="G913" s="53">
        <f t="shared" si="63"/>
        <v>1104300</v>
      </c>
      <c r="H913" s="54">
        <v>1104300</v>
      </c>
      <c r="I913" s="55">
        <f t="shared" si="64"/>
        <v>0</v>
      </c>
      <c r="J913" s="56">
        <v>45796</v>
      </c>
      <c r="K913" s="57"/>
    </row>
    <row r="914" spans="1:11" ht="15.75" hidden="1" customHeight="1" x14ac:dyDescent="0.35">
      <c r="A914" s="47" t="s">
        <v>167</v>
      </c>
      <c r="B914" s="48" t="s">
        <v>1902</v>
      </c>
      <c r="C914" s="49" t="s">
        <v>1893</v>
      </c>
      <c r="D914" s="50"/>
      <c r="E914" s="51">
        <v>2045000</v>
      </c>
      <c r="F914" s="52">
        <f t="shared" si="62"/>
        <v>163600</v>
      </c>
      <c r="G914" s="53">
        <f t="shared" si="63"/>
        <v>2208600</v>
      </c>
      <c r="H914" s="54">
        <v>2208600</v>
      </c>
      <c r="I914" s="55">
        <f t="shared" si="64"/>
        <v>0</v>
      </c>
      <c r="J914" s="56">
        <v>45978</v>
      </c>
      <c r="K914" s="57"/>
    </row>
    <row r="915" spans="1:11" ht="15.75" hidden="1" customHeight="1" x14ac:dyDescent="0.35">
      <c r="A915" s="47" t="s">
        <v>143</v>
      </c>
      <c r="B915" s="48" t="s">
        <v>1903</v>
      </c>
      <c r="C915" s="49" t="s">
        <v>1894</v>
      </c>
      <c r="D915" s="50"/>
      <c r="E915" s="51">
        <v>1022500</v>
      </c>
      <c r="F915" s="52">
        <f t="shared" si="62"/>
        <v>81800</v>
      </c>
      <c r="G915" s="53">
        <f t="shared" si="63"/>
        <v>1104300</v>
      </c>
      <c r="H915" s="54">
        <v>1104300</v>
      </c>
      <c r="I915" s="55">
        <f t="shared" si="64"/>
        <v>0</v>
      </c>
      <c r="J915" s="56">
        <v>45796</v>
      </c>
      <c r="K915" s="57"/>
    </row>
    <row r="916" spans="1:11" ht="15.75" hidden="1" customHeight="1" x14ac:dyDescent="0.35">
      <c r="A916" s="47" t="s">
        <v>54</v>
      </c>
      <c r="B916" s="48" t="s">
        <v>1903</v>
      </c>
      <c r="C916" s="49" t="s">
        <v>1895</v>
      </c>
      <c r="D916" s="50"/>
      <c r="E916" s="51">
        <v>1005000</v>
      </c>
      <c r="F916" s="52">
        <f t="shared" si="62"/>
        <v>80400</v>
      </c>
      <c r="G916" s="53">
        <f t="shared" si="63"/>
        <v>1085400</v>
      </c>
      <c r="H916" s="54">
        <v>1085400</v>
      </c>
      <c r="I916" s="55">
        <f t="shared" si="64"/>
        <v>0</v>
      </c>
      <c r="J916" s="56">
        <v>45828</v>
      </c>
      <c r="K916" s="57"/>
    </row>
    <row r="917" spans="1:11" ht="15.75" hidden="1" customHeight="1" x14ac:dyDescent="0.35">
      <c r="A917" s="47" t="s">
        <v>21</v>
      </c>
      <c r="B917" s="48" t="s">
        <v>1903</v>
      </c>
      <c r="C917" s="49" t="s">
        <v>1896</v>
      </c>
      <c r="D917" s="50"/>
      <c r="E917" s="51">
        <v>1005000</v>
      </c>
      <c r="F917" s="52">
        <f t="shared" si="62"/>
        <v>80400</v>
      </c>
      <c r="G917" s="53">
        <f t="shared" si="63"/>
        <v>1085400</v>
      </c>
      <c r="H917" s="54">
        <v>1085400</v>
      </c>
      <c r="I917" s="55">
        <f t="shared" si="64"/>
        <v>0</v>
      </c>
      <c r="J917" s="56">
        <v>45734</v>
      </c>
      <c r="K917" s="57"/>
    </row>
    <row r="918" spans="1:11" ht="15.75" hidden="1" customHeight="1" x14ac:dyDescent="0.35">
      <c r="A918" s="47" t="s">
        <v>47</v>
      </c>
      <c r="B918" s="48" t="s">
        <v>1904</v>
      </c>
      <c r="C918" s="49" t="s">
        <v>1897</v>
      </c>
      <c r="D918" s="50"/>
      <c r="E918" s="51">
        <v>1005000</v>
      </c>
      <c r="F918" s="52">
        <f t="shared" si="62"/>
        <v>80400</v>
      </c>
      <c r="G918" s="53">
        <f t="shared" si="63"/>
        <v>1085400</v>
      </c>
      <c r="H918" s="54">
        <v>1085400</v>
      </c>
      <c r="I918" s="55">
        <f t="shared" si="64"/>
        <v>0</v>
      </c>
      <c r="J918" s="56">
        <v>45796</v>
      </c>
      <c r="K918" s="57"/>
    </row>
    <row r="919" spans="1:11" ht="15.75" hidden="1" customHeight="1" x14ac:dyDescent="0.35">
      <c r="A919" s="47" t="s">
        <v>19</v>
      </c>
      <c r="B919" s="48" t="s">
        <v>1904</v>
      </c>
      <c r="C919" s="49" t="s">
        <v>1898</v>
      </c>
      <c r="D919" s="50"/>
      <c r="E919" s="51">
        <v>4125000</v>
      </c>
      <c r="F919" s="52">
        <f t="shared" si="62"/>
        <v>330000</v>
      </c>
      <c r="G919" s="53">
        <f t="shared" si="63"/>
        <v>4455000</v>
      </c>
      <c r="H919" s="54">
        <v>4455000</v>
      </c>
      <c r="I919" s="55">
        <f t="shared" si="64"/>
        <v>0</v>
      </c>
      <c r="J919" s="56">
        <v>45769</v>
      </c>
      <c r="K919" s="57"/>
    </row>
    <row r="920" spans="1:11" ht="15.75" hidden="1" customHeight="1" x14ac:dyDescent="0.35">
      <c r="A920" s="47" t="s">
        <v>31</v>
      </c>
      <c r="B920" s="48" t="s">
        <v>1904</v>
      </c>
      <c r="C920" s="49" t="s">
        <v>1899</v>
      </c>
      <c r="D920" s="50"/>
      <c r="E920" s="51">
        <v>1022500</v>
      </c>
      <c r="F920" s="52">
        <f t="shared" si="62"/>
        <v>81800</v>
      </c>
      <c r="G920" s="53">
        <f t="shared" si="63"/>
        <v>1104300</v>
      </c>
      <c r="H920" s="54">
        <v>1104300</v>
      </c>
      <c r="I920" s="55">
        <f t="shared" si="64"/>
        <v>0</v>
      </c>
      <c r="J920" s="56">
        <v>45796</v>
      </c>
      <c r="K920" s="57"/>
    </row>
    <row r="921" spans="1:11" ht="15.75" hidden="1" customHeight="1" x14ac:dyDescent="0.35">
      <c r="A921" s="47" t="s">
        <v>90</v>
      </c>
      <c r="B921" s="48" t="s">
        <v>1905</v>
      </c>
      <c r="C921" s="49" t="s">
        <v>1900</v>
      </c>
      <c r="D921" s="50"/>
      <c r="E921" s="51">
        <v>520000</v>
      </c>
      <c r="F921" s="52">
        <f t="shared" si="62"/>
        <v>41600</v>
      </c>
      <c r="G921" s="53">
        <f t="shared" si="63"/>
        <v>561600</v>
      </c>
      <c r="H921" s="54">
        <v>561600</v>
      </c>
      <c r="I921" s="55">
        <f t="shared" si="64"/>
        <v>0</v>
      </c>
      <c r="J921" s="56">
        <v>45796</v>
      </c>
      <c r="K921" s="57"/>
    </row>
    <row r="922" spans="1:11" ht="15.75" hidden="1" customHeight="1" x14ac:dyDescent="0.35">
      <c r="A922" s="47" t="s">
        <v>106</v>
      </c>
      <c r="B922" s="48" t="s">
        <v>1905</v>
      </c>
      <c r="C922" s="49" t="s">
        <v>1901</v>
      </c>
      <c r="D922" s="50"/>
      <c r="E922" s="51">
        <v>1022500</v>
      </c>
      <c r="F922" s="52"/>
      <c r="G922" s="53"/>
      <c r="H922" s="54"/>
      <c r="I922" s="55">
        <f t="shared" si="64"/>
        <v>0</v>
      </c>
      <c r="J922" s="56" t="s">
        <v>1960</v>
      </c>
      <c r="K922" s="57" t="s">
        <v>1268</v>
      </c>
    </row>
    <row r="923" spans="1:11" ht="15.75" hidden="1" customHeight="1" x14ac:dyDescent="0.35">
      <c r="A923" s="47" t="s">
        <v>44</v>
      </c>
      <c r="B923" s="48" t="s">
        <v>1995</v>
      </c>
      <c r="C923" s="49" t="s">
        <v>1961</v>
      </c>
      <c r="D923" s="50"/>
      <c r="E923" s="51">
        <v>1022500</v>
      </c>
      <c r="F923" s="52">
        <f t="shared" si="62"/>
        <v>81800</v>
      </c>
      <c r="G923" s="53">
        <f t="shared" si="63"/>
        <v>1104300</v>
      </c>
      <c r="H923" s="54">
        <v>1104300</v>
      </c>
      <c r="I923" s="55">
        <f t="shared" si="64"/>
        <v>0</v>
      </c>
      <c r="J923" s="56">
        <v>45796</v>
      </c>
      <c r="K923" s="57"/>
    </row>
    <row r="924" spans="1:11" ht="15.75" hidden="1" customHeight="1" x14ac:dyDescent="0.35">
      <c r="A924" s="47" t="s">
        <v>47</v>
      </c>
      <c r="B924" s="48" t="s">
        <v>1995</v>
      </c>
      <c r="C924" s="49" t="s">
        <v>1962</v>
      </c>
      <c r="D924" s="50"/>
      <c r="E924" s="51">
        <v>1040000</v>
      </c>
      <c r="F924" s="52">
        <f t="shared" si="62"/>
        <v>83200</v>
      </c>
      <c r="G924" s="53">
        <f t="shared" si="63"/>
        <v>1123200</v>
      </c>
      <c r="H924" s="54">
        <v>1123200</v>
      </c>
      <c r="I924" s="55">
        <f t="shared" si="64"/>
        <v>0</v>
      </c>
      <c r="J924" s="56">
        <v>45796</v>
      </c>
      <c r="K924" s="57"/>
    </row>
    <row r="925" spans="1:11" ht="15.75" hidden="1" customHeight="1" x14ac:dyDescent="0.35">
      <c r="A925" s="47" t="s">
        <v>83</v>
      </c>
      <c r="B925" s="48" t="s">
        <v>1995</v>
      </c>
      <c r="C925" s="49" t="s">
        <v>1963</v>
      </c>
      <c r="D925" s="50"/>
      <c r="E925" s="51">
        <v>2045000</v>
      </c>
      <c r="F925" s="52">
        <f t="shared" si="62"/>
        <v>163600</v>
      </c>
      <c r="G925" s="53">
        <f t="shared" si="63"/>
        <v>2208600</v>
      </c>
      <c r="H925" s="54">
        <v>2208600</v>
      </c>
      <c r="I925" s="55">
        <f t="shared" si="64"/>
        <v>0</v>
      </c>
      <c r="J925" s="56">
        <v>45918</v>
      </c>
      <c r="K925" s="57"/>
    </row>
    <row r="926" spans="1:11" ht="15.75" hidden="1" customHeight="1" x14ac:dyDescent="0.35">
      <c r="A926" s="47" t="s">
        <v>119</v>
      </c>
      <c r="B926" s="48" t="s">
        <v>1996</v>
      </c>
      <c r="C926" s="50" t="s">
        <v>1964</v>
      </c>
      <c r="D926" s="50"/>
      <c r="E926" s="51">
        <v>1048800</v>
      </c>
      <c r="F926" s="52">
        <f t="shared" si="62"/>
        <v>83904</v>
      </c>
      <c r="G926" s="53">
        <f t="shared" si="63"/>
        <v>1132704</v>
      </c>
      <c r="H926" s="54">
        <v>1132704</v>
      </c>
      <c r="I926" s="55">
        <f t="shared" si="64"/>
        <v>0</v>
      </c>
      <c r="J926" s="56">
        <v>45918</v>
      </c>
      <c r="K926" s="57"/>
    </row>
    <row r="927" spans="1:11" ht="15.75" hidden="1" customHeight="1" x14ac:dyDescent="0.35">
      <c r="A927" s="47" t="s">
        <v>19</v>
      </c>
      <c r="B927" s="48" t="s">
        <v>1997</v>
      </c>
      <c r="C927" s="49" t="s">
        <v>1965</v>
      </c>
      <c r="D927" s="50"/>
      <c r="E927" s="51">
        <v>3015000</v>
      </c>
      <c r="F927" s="52">
        <f t="shared" si="62"/>
        <v>241200</v>
      </c>
      <c r="G927" s="53">
        <f t="shared" si="63"/>
        <v>3256200</v>
      </c>
      <c r="H927" s="54">
        <v>3256200</v>
      </c>
      <c r="I927" s="55">
        <f t="shared" si="64"/>
        <v>0</v>
      </c>
      <c r="J927" s="56">
        <v>45769</v>
      </c>
      <c r="K927" s="57"/>
    </row>
    <row r="928" spans="1:11" ht="15.75" hidden="1" customHeight="1" x14ac:dyDescent="0.35">
      <c r="A928" s="47" t="s">
        <v>1594</v>
      </c>
      <c r="B928" s="48" t="s">
        <v>1997</v>
      </c>
      <c r="C928" s="49" t="s">
        <v>1966</v>
      </c>
      <c r="D928" s="50"/>
      <c r="E928" s="51">
        <v>1022500</v>
      </c>
      <c r="F928" s="52">
        <f t="shared" si="62"/>
        <v>81800</v>
      </c>
      <c r="G928" s="53">
        <f t="shared" si="63"/>
        <v>1104300</v>
      </c>
      <c r="H928" s="54">
        <v>1104300</v>
      </c>
      <c r="I928" s="55">
        <f t="shared" si="64"/>
        <v>0</v>
      </c>
      <c r="J928" s="56">
        <v>45796</v>
      </c>
      <c r="K928" s="57"/>
    </row>
    <row r="929" spans="1:11" ht="15.75" hidden="1" customHeight="1" x14ac:dyDescent="0.35">
      <c r="A929" s="47" t="s">
        <v>21</v>
      </c>
      <c r="B929" s="48" t="s">
        <v>1997</v>
      </c>
      <c r="C929" s="49" t="s">
        <v>1967</v>
      </c>
      <c r="D929" s="50"/>
      <c r="E929" s="51">
        <v>1040000</v>
      </c>
      <c r="F929" s="52">
        <f t="shared" si="62"/>
        <v>83200</v>
      </c>
      <c r="G929" s="53">
        <f t="shared" si="63"/>
        <v>1123200</v>
      </c>
      <c r="H929" s="54">
        <v>1123200</v>
      </c>
      <c r="I929" s="55">
        <f t="shared" si="64"/>
        <v>0</v>
      </c>
      <c r="J929" s="56">
        <v>45796</v>
      </c>
      <c r="K929" s="57"/>
    </row>
    <row r="930" spans="1:11" ht="15.75" hidden="1" customHeight="1" x14ac:dyDescent="0.35">
      <c r="A930" s="47" t="s">
        <v>47</v>
      </c>
      <c r="B930" s="48" t="s">
        <v>1997</v>
      </c>
      <c r="C930" s="49" t="s">
        <v>1968</v>
      </c>
      <c r="D930" s="50"/>
      <c r="E930" s="51">
        <v>1005000</v>
      </c>
      <c r="F930" s="52">
        <f t="shared" si="62"/>
        <v>80400</v>
      </c>
      <c r="G930" s="53">
        <f t="shared" si="63"/>
        <v>1085400</v>
      </c>
      <c r="H930" s="54">
        <v>1085400</v>
      </c>
      <c r="I930" s="55">
        <f t="shared" si="64"/>
        <v>0</v>
      </c>
      <c r="J930" s="56">
        <v>45796</v>
      </c>
      <c r="K930" s="57"/>
    </row>
    <row r="931" spans="1:11" ht="15.75" hidden="1" customHeight="1" x14ac:dyDescent="0.35">
      <c r="A931" s="47" t="s">
        <v>176</v>
      </c>
      <c r="B931" s="48" t="s">
        <v>1998</v>
      </c>
      <c r="C931" s="50" t="s">
        <v>1969</v>
      </c>
      <c r="D931" s="50"/>
      <c r="E931" s="51">
        <v>1022500</v>
      </c>
      <c r="F931" s="52"/>
      <c r="G931" s="53"/>
      <c r="H931" s="54"/>
      <c r="I931" s="55">
        <f t="shared" si="64"/>
        <v>0</v>
      </c>
      <c r="J931" s="56" t="s">
        <v>2123</v>
      </c>
      <c r="K931" s="57"/>
    </row>
    <row r="932" spans="1:11" ht="15.75" hidden="1" customHeight="1" x14ac:dyDescent="0.35">
      <c r="A932" s="47" t="s">
        <v>176</v>
      </c>
      <c r="B932" s="48" t="s">
        <v>1998</v>
      </c>
      <c r="C932" s="50" t="s">
        <v>1970</v>
      </c>
      <c r="D932" s="50"/>
      <c r="E932" s="51">
        <v>1022500</v>
      </c>
      <c r="F932" s="52">
        <f t="shared" si="62"/>
        <v>81800</v>
      </c>
      <c r="G932" s="53">
        <f t="shared" si="63"/>
        <v>1104300</v>
      </c>
      <c r="H932" s="54">
        <v>1104300</v>
      </c>
      <c r="I932" s="55">
        <f t="shared" si="64"/>
        <v>0</v>
      </c>
      <c r="J932" s="56">
        <v>45828</v>
      </c>
      <c r="K932" s="57"/>
    </row>
    <row r="933" spans="1:11" ht="15.75" hidden="1" customHeight="1" x14ac:dyDescent="0.35">
      <c r="A933" s="47" t="s">
        <v>52</v>
      </c>
      <c r="B933" s="48" t="s">
        <v>1999</v>
      </c>
      <c r="C933" s="49" t="s">
        <v>1971</v>
      </c>
      <c r="D933" s="50"/>
      <c r="E933" s="51">
        <v>1040000</v>
      </c>
      <c r="F933" s="52">
        <f t="shared" si="62"/>
        <v>83200</v>
      </c>
      <c r="G933" s="53">
        <f t="shared" si="63"/>
        <v>1123200</v>
      </c>
      <c r="H933" s="54">
        <v>1123200</v>
      </c>
      <c r="I933" s="55">
        <f t="shared" si="64"/>
        <v>0</v>
      </c>
      <c r="J933" s="56">
        <v>45796</v>
      </c>
      <c r="K933" s="57"/>
    </row>
    <row r="934" spans="1:11" ht="15.75" hidden="1" customHeight="1" x14ac:dyDescent="0.35">
      <c r="A934" s="47" t="s">
        <v>61</v>
      </c>
      <c r="B934" s="48" t="s">
        <v>1999</v>
      </c>
      <c r="C934" s="49" t="s">
        <v>1972</v>
      </c>
      <c r="D934" s="50"/>
      <c r="E934" s="51">
        <v>2045000</v>
      </c>
      <c r="F934" s="52">
        <f t="shared" si="62"/>
        <v>163600</v>
      </c>
      <c r="G934" s="53">
        <f t="shared" si="63"/>
        <v>2208600</v>
      </c>
      <c r="H934" s="54">
        <v>2208600</v>
      </c>
      <c r="I934" s="55">
        <f t="shared" si="64"/>
        <v>0</v>
      </c>
      <c r="J934" s="56">
        <v>45796</v>
      </c>
      <c r="K934" s="57"/>
    </row>
    <row r="935" spans="1:11" ht="15.75" hidden="1" customHeight="1" x14ac:dyDescent="0.35">
      <c r="A935" s="47" t="s">
        <v>23</v>
      </c>
      <c r="B935" s="48" t="s">
        <v>2000</v>
      </c>
      <c r="C935" s="50" t="s">
        <v>1973</v>
      </c>
      <c r="D935" s="50"/>
      <c r="E935" s="51">
        <v>671000</v>
      </c>
      <c r="F935" s="52"/>
      <c r="G935" s="53"/>
      <c r="H935" s="54"/>
      <c r="I935" s="55">
        <f t="shared" si="64"/>
        <v>0</v>
      </c>
      <c r="J935" s="56"/>
      <c r="K935" s="57"/>
    </row>
    <row r="936" spans="1:11" ht="15.75" hidden="1" customHeight="1" x14ac:dyDescent="0.35">
      <c r="A936" s="47" t="s">
        <v>104</v>
      </c>
      <c r="B936" s="48" t="s">
        <v>2001</v>
      </c>
      <c r="C936" s="49" t="s">
        <v>1974</v>
      </c>
      <c r="D936" s="50"/>
      <c r="E936" s="51">
        <v>1040000</v>
      </c>
      <c r="F936" s="52">
        <f t="shared" si="62"/>
        <v>83200</v>
      </c>
      <c r="G936" s="53">
        <f t="shared" si="63"/>
        <v>1123200</v>
      </c>
      <c r="H936" s="54">
        <v>1123200</v>
      </c>
      <c r="I936" s="55">
        <f t="shared" si="64"/>
        <v>0</v>
      </c>
      <c r="J936" s="56">
        <v>45796</v>
      </c>
      <c r="K936" s="57"/>
    </row>
    <row r="937" spans="1:11" ht="15.75" hidden="1" customHeight="1" x14ac:dyDescent="0.35">
      <c r="A937" s="47" t="s">
        <v>15</v>
      </c>
      <c r="B937" s="48" t="s">
        <v>2001</v>
      </c>
      <c r="C937" s="49" t="s">
        <v>1975</v>
      </c>
      <c r="D937" s="50"/>
      <c r="E937" s="51">
        <v>1525000</v>
      </c>
      <c r="F937" s="52">
        <f t="shared" si="62"/>
        <v>122000</v>
      </c>
      <c r="G937" s="53">
        <f t="shared" si="63"/>
        <v>1647000</v>
      </c>
      <c r="H937" s="54">
        <v>1647000</v>
      </c>
      <c r="I937" s="55">
        <f t="shared" si="64"/>
        <v>0</v>
      </c>
      <c r="J937" s="56">
        <v>45796</v>
      </c>
      <c r="K937" s="57"/>
    </row>
    <row r="938" spans="1:11" ht="15.75" hidden="1" customHeight="1" x14ac:dyDescent="0.35">
      <c r="A938" s="47" t="s">
        <v>47</v>
      </c>
      <c r="B938" s="48" t="s">
        <v>2001</v>
      </c>
      <c r="C938" s="49" t="s">
        <v>1976</v>
      </c>
      <c r="D938" s="50"/>
      <c r="E938" s="51">
        <v>1040000</v>
      </c>
      <c r="F938" s="52">
        <f t="shared" si="62"/>
        <v>83200</v>
      </c>
      <c r="G938" s="53">
        <f t="shared" si="63"/>
        <v>1123200</v>
      </c>
      <c r="H938" s="54">
        <v>1123200</v>
      </c>
      <c r="I938" s="55">
        <f t="shared" si="64"/>
        <v>0</v>
      </c>
      <c r="J938" s="56">
        <v>45796</v>
      </c>
      <c r="K938" s="57"/>
    </row>
    <row r="939" spans="1:11" ht="15.75" hidden="1" customHeight="1" x14ac:dyDescent="0.35">
      <c r="A939" s="47" t="s">
        <v>47</v>
      </c>
      <c r="B939" s="48" t="s">
        <v>2002</v>
      </c>
      <c r="C939" s="49" t="s">
        <v>1977</v>
      </c>
      <c r="D939" s="50"/>
      <c r="E939" s="51">
        <v>1005000</v>
      </c>
      <c r="F939" s="52">
        <f t="shared" si="62"/>
        <v>80400</v>
      </c>
      <c r="G939" s="53">
        <f t="shared" si="63"/>
        <v>1085400</v>
      </c>
      <c r="H939" s="54">
        <v>1085400</v>
      </c>
      <c r="I939" s="55">
        <f t="shared" si="64"/>
        <v>0</v>
      </c>
      <c r="J939" s="56">
        <v>45796</v>
      </c>
      <c r="K939" s="57"/>
    </row>
    <row r="940" spans="1:11" ht="15.75" hidden="1" customHeight="1" x14ac:dyDescent="0.35">
      <c r="A940" s="47" t="s">
        <v>53</v>
      </c>
      <c r="B940" s="48" t="s">
        <v>2002</v>
      </c>
      <c r="C940" s="49" t="s">
        <v>1978</v>
      </c>
      <c r="D940" s="50"/>
      <c r="E940" s="51">
        <v>1040000</v>
      </c>
      <c r="F940" s="52">
        <f t="shared" si="62"/>
        <v>83200</v>
      </c>
      <c r="G940" s="53">
        <f t="shared" si="63"/>
        <v>1123200</v>
      </c>
      <c r="H940" s="54">
        <v>1123200</v>
      </c>
      <c r="I940" s="55">
        <f t="shared" si="64"/>
        <v>0</v>
      </c>
      <c r="J940" s="56">
        <v>45918</v>
      </c>
      <c r="K940" s="57"/>
    </row>
    <row r="941" spans="1:11" ht="15.75" hidden="1" customHeight="1" x14ac:dyDescent="0.35">
      <c r="A941" s="47" t="s">
        <v>127</v>
      </c>
      <c r="B941" s="48" t="s">
        <v>2002</v>
      </c>
      <c r="C941" s="49" t="s">
        <v>1979</v>
      </c>
      <c r="D941" s="50"/>
      <c r="E941" s="51">
        <v>2045000</v>
      </c>
      <c r="F941" s="52">
        <f t="shared" si="62"/>
        <v>163600</v>
      </c>
      <c r="G941" s="53">
        <f t="shared" si="63"/>
        <v>2208600</v>
      </c>
      <c r="H941" s="54">
        <v>2208600</v>
      </c>
      <c r="I941" s="55">
        <f t="shared" si="64"/>
        <v>0</v>
      </c>
      <c r="J941" s="56">
        <v>45796</v>
      </c>
      <c r="K941" s="57"/>
    </row>
    <row r="942" spans="1:11" ht="15.75" hidden="1" customHeight="1" x14ac:dyDescent="0.35">
      <c r="A942" s="47" t="s">
        <v>308</v>
      </c>
      <c r="B942" s="48" t="s">
        <v>2002</v>
      </c>
      <c r="C942" s="49" t="s">
        <v>116</v>
      </c>
      <c r="D942" s="50"/>
      <c r="E942" s="51">
        <v>1022500</v>
      </c>
      <c r="F942" s="52">
        <f t="shared" si="62"/>
        <v>81800</v>
      </c>
      <c r="G942" s="53">
        <f t="shared" si="63"/>
        <v>1104300</v>
      </c>
      <c r="H942" s="54">
        <v>1104300</v>
      </c>
      <c r="I942" s="55">
        <f t="shared" si="64"/>
        <v>0</v>
      </c>
      <c r="J942" s="56">
        <v>45796</v>
      </c>
      <c r="K942" s="57"/>
    </row>
    <row r="943" spans="1:11" ht="15.75" hidden="1" customHeight="1" x14ac:dyDescent="0.35">
      <c r="A943" s="47" t="s">
        <v>1597</v>
      </c>
      <c r="B943" s="48" t="s">
        <v>2003</v>
      </c>
      <c r="C943" s="49" t="s">
        <v>1980</v>
      </c>
      <c r="D943" s="50"/>
      <c r="E943" s="51">
        <v>502500</v>
      </c>
      <c r="F943" s="52">
        <f t="shared" ref="F943:F1017" si="65">+E943*0.08</f>
        <v>40200</v>
      </c>
      <c r="G943" s="53">
        <f t="shared" ref="G943:G1016" si="66">E943+F943</f>
        <v>542700</v>
      </c>
      <c r="H943" s="54">
        <v>542700</v>
      </c>
      <c r="I943" s="55">
        <f t="shared" si="64"/>
        <v>0</v>
      </c>
      <c r="J943" s="56">
        <v>45918</v>
      </c>
      <c r="K943" s="57"/>
    </row>
    <row r="944" spans="1:11" ht="15.75" hidden="1" customHeight="1" x14ac:dyDescent="0.35">
      <c r="A944" s="47" t="s">
        <v>22</v>
      </c>
      <c r="B944" s="48" t="s">
        <v>2004</v>
      </c>
      <c r="C944" s="49" t="s">
        <v>1981</v>
      </c>
      <c r="D944" s="50"/>
      <c r="E944" s="51">
        <v>1040000</v>
      </c>
      <c r="F944" s="52">
        <f t="shared" si="65"/>
        <v>83200</v>
      </c>
      <c r="G944" s="53">
        <f t="shared" si="66"/>
        <v>1123200</v>
      </c>
      <c r="H944" s="54">
        <v>1123200</v>
      </c>
      <c r="I944" s="55">
        <f t="shared" si="64"/>
        <v>0</v>
      </c>
      <c r="J944" s="56">
        <v>45796</v>
      </c>
      <c r="K944" s="57"/>
    </row>
    <row r="945" spans="1:11" ht="15.75" hidden="1" customHeight="1" x14ac:dyDescent="0.35">
      <c r="A945" s="47" t="s">
        <v>106</v>
      </c>
      <c r="B945" s="48" t="s">
        <v>2004</v>
      </c>
      <c r="C945" s="50" t="s">
        <v>554</v>
      </c>
      <c r="D945" s="50"/>
      <c r="E945" s="51">
        <v>4090000</v>
      </c>
      <c r="F945" s="52">
        <f t="shared" si="65"/>
        <v>327200</v>
      </c>
      <c r="G945" s="53">
        <f t="shared" si="66"/>
        <v>4417200</v>
      </c>
      <c r="H945" s="54">
        <v>4417200</v>
      </c>
      <c r="I945" s="55">
        <f t="shared" si="64"/>
        <v>0</v>
      </c>
      <c r="J945" s="56">
        <v>45828</v>
      </c>
      <c r="K945" s="57"/>
    </row>
    <row r="946" spans="1:11" ht="15.75" hidden="1" customHeight="1" x14ac:dyDescent="0.35">
      <c r="A946" s="47" t="s">
        <v>82</v>
      </c>
      <c r="B946" s="48" t="s">
        <v>2004</v>
      </c>
      <c r="C946" s="49" t="s">
        <v>1982</v>
      </c>
      <c r="D946" s="50"/>
      <c r="E946" s="51">
        <v>2045000</v>
      </c>
      <c r="F946" s="52">
        <f t="shared" si="65"/>
        <v>163600</v>
      </c>
      <c r="G946" s="53">
        <f t="shared" si="66"/>
        <v>2208600</v>
      </c>
      <c r="H946" s="54">
        <v>2208600</v>
      </c>
      <c r="I946" s="55">
        <f t="shared" ref="I946:I1017" si="67">G946-H946</f>
        <v>0</v>
      </c>
      <c r="J946" s="56">
        <v>45796</v>
      </c>
      <c r="K946" s="107"/>
    </row>
    <row r="947" spans="1:11" ht="15.75" hidden="1" customHeight="1" x14ac:dyDescent="0.35">
      <c r="A947" s="47" t="s">
        <v>126</v>
      </c>
      <c r="B947" s="48" t="s">
        <v>2004</v>
      </c>
      <c r="C947" s="49" t="s">
        <v>1983</v>
      </c>
      <c r="D947" s="50"/>
      <c r="E947" s="51">
        <v>1005000</v>
      </c>
      <c r="F947" s="52">
        <f t="shared" si="65"/>
        <v>80400</v>
      </c>
      <c r="G947" s="53">
        <f t="shared" si="66"/>
        <v>1085400</v>
      </c>
      <c r="H947" s="54">
        <v>1085400</v>
      </c>
      <c r="I947" s="55">
        <f t="shared" si="67"/>
        <v>0</v>
      </c>
      <c r="J947" s="56">
        <v>45796</v>
      </c>
      <c r="K947" s="57"/>
    </row>
    <row r="948" spans="1:11" ht="15.75" hidden="1" customHeight="1" x14ac:dyDescent="0.35">
      <c r="A948" s="47" t="s">
        <v>54</v>
      </c>
      <c r="B948" s="48" t="s">
        <v>2004</v>
      </c>
      <c r="C948" s="49" t="s">
        <v>1984</v>
      </c>
      <c r="D948" s="50"/>
      <c r="E948" s="51">
        <v>1040000</v>
      </c>
      <c r="F948" s="52">
        <f t="shared" si="65"/>
        <v>83200</v>
      </c>
      <c r="G948" s="53">
        <f t="shared" si="66"/>
        <v>1123200</v>
      </c>
      <c r="H948" s="54">
        <v>1123200</v>
      </c>
      <c r="I948" s="55">
        <f t="shared" si="67"/>
        <v>0</v>
      </c>
      <c r="J948" s="56">
        <v>45828</v>
      </c>
      <c r="K948" s="57"/>
    </row>
    <row r="949" spans="1:11" ht="15.75" hidden="1" customHeight="1" x14ac:dyDescent="0.35">
      <c r="A949" s="47" t="s">
        <v>52</v>
      </c>
      <c r="B949" s="48" t="s">
        <v>2005</v>
      </c>
      <c r="C949" s="49" t="s">
        <v>1985</v>
      </c>
      <c r="D949" s="50"/>
      <c r="E949" s="51">
        <v>1005000</v>
      </c>
      <c r="F949" s="52">
        <f t="shared" si="65"/>
        <v>80400</v>
      </c>
      <c r="G949" s="53">
        <f t="shared" si="66"/>
        <v>1085400</v>
      </c>
      <c r="H949" s="54">
        <v>1085400</v>
      </c>
      <c r="I949" s="55">
        <f t="shared" si="67"/>
        <v>0</v>
      </c>
      <c r="J949" s="56">
        <v>45796</v>
      </c>
      <c r="K949" s="57"/>
    </row>
    <row r="950" spans="1:11" ht="15.75" hidden="1" customHeight="1" x14ac:dyDescent="0.35">
      <c r="A950" s="47" t="s">
        <v>47</v>
      </c>
      <c r="B950" s="48" t="s">
        <v>2005</v>
      </c>
      <c r="C950" s="49" t="s">
        <v>1986</v>
      </c>
      <c r="D950" s="50"/>
      <c r="E950" s="51">
        <v>1040000</v>
      </c>
      <c r="F950" s="52">
        <f t="shared" si="65"/>
        <v>83200</v>
      </c>
      <c r="G950" s="53">
        <f t="shared" si="66"/>
        <v>1123200</v>
      </c>
      <c r="H950" s="54">
        <v>1123200</v>
      </c>
      <c r="I950" s="55">
        <f t="shared" si="67"/>
        <v>0</v>
      </c>
      <c r="J950" s="56">
        <v>45796</v>
      </c>
      <c r="K950" s="57"/>
    </row>
    <row r="951" spans="1:11" ht="15.75" hidden="1" customHeight="1" x14ac:dyDescent="0.35">
      <c r="A951" s="47" t="s">
        <v>49</v>
      </c>
      <c r="B951" s="48" t="s">
        <v>2005</v>
      </c>
      <c r="C951" s="49" t="s">
        <v>1987</v>
      </c>
      <c r="D951" s="50"/>
      <c r="E951" s="51">
        <v>2855000</v>
      </c>
      <c r="F951" s="52">
        <f t="shared" si="65"/>
        <v>228400</v>
      </c>
      <c r="G951" s="53">
        <f t="shared" si="66"/>
        <v>3083400</v>
      </c>
      <c r="H951" s="54">
        <v>3083400</v>
      </c>
      <c r="I951" s="55">
        <f t="shared" si="67"/>
        <v>0</v>
      </c>
      <c r="J951" s="56">
        <v>45796</v>
      </c>
      <c r="K951" s="57"/>
    </row>
    <row r="952" spans="1:11" ht="15.75" hidden="1" customHeight="1" x14ac:dyDescent="0.35">
      <c r="A952" s="47" t="s">
        <v>19</v>
      </c>
      <c r="B952" s="48" t="s">
        <v>2005</v>
      </c>
      <c r="C952" s="49" t="s">
        <v>1988</v>
      </c>
      <c r="D952" s="50"/>
      <c r="E952" s="51">
        <v>5130000</v>
      </c>
      <c r="F952" s="52">
        <f t="shared" si="65"/>
        <v>410400</v>
      </c>
      <c r="G952" s="53">
        <f t="shared" si="66"/>
        <v>5540400</v>
      </c>
      <c r="H952" s="54">
        <v>5540400</v>
      </c>
      <c r="I952" s="55">
        <f t="shared" si="67"/>
        <v>0</v>
      </c>
      <c r="J952" s="56">
        <v>45769</v>
      </c>
      <c r="K952" s="57"/>
    </row>
    <row r="953" spans="1:11" ht="15.75" hidden="1" customHeight="1" x14ac:dyDescent="0.35">
      <c r="A953" s="47" t="s">
        <v>47</v>
      </c>
      <c r="B953" s="48" t="s">
        <v>2006</v>
      </c>
      <c r="C953" s="49" t="s">
        <v>1989</v>
      </c>
      <c r="D953" s="50"/>
      <c r="E953" s="51">
        <v>1005000</v>
      </c>
      <c r="F953" s="52">
        <f t="shared" si="65"/>
        <v>80400</v>
      </c>
      <c r="G953" s="53">
        <f t="shared" si="66"/>
        <v>1085400</v>
      </c>
      <c r="H953" s="54">
        <v>1085400</v>
      </c>
      <c r="I953" s="55">
        <f t="shared" si="67"/>
        <v>0</v>
      </c>
      <c r="J953" s="56">
        <v>45796</v>
      </c>
      <c r="K953" s="57"/>
    </row>
    <row r="954" spans="1:11" ht="15.75" hidden="1" customHeight="1" x14ac:dyDescent="0.35">
      <c r="A954" s="47" t="s">
        <v>32</v>
      </c>
      <c r="B954" s="48" t="s">
        <v>2007</v>
      </c>
      <c r="C954" s="49" t="s">
        <v>1990</v>
      </c>
      <c r="D954" s="50"/>
      <c r="E954" s="51">
        <v>2045000</v>
      </c>
      <c r="F954" s="52">
        <f t="shared" si="65"/>
        <v>163600</v>
      </c>
      <c r="G954" s="53">
        <f t="shared" si="66"/>
        <v>2208600</v>
      </c>
      <c r="H954" s="54">
        <v>2208600</v>
      </c>
      <c r="I954" s="55">
        <f t="shared" si="67"/>
        <v>0</v>
      </c>
      <c r="J954" s="56">
        <v>45796</v>
      </c>
      <c r="K954" s="57"/>
    </row>
    <row r="955" spans="1:11" ht="15.75" hidden="1" customHeight="1" x14ac:dyDescent="0.35">
      <c r="A955" s="47" t="s">
        <v>47</v>
      </c>
      <c r="B955" s="48">
        <v>45748</v>
      </c>
      <c r="C955" s="50" t="s">
        <v>1991</v>
      </c>
      <c r="D955" s="50" t="s">
        <v>2120</v>
      </c>
      <c r="E955" s="51">
        <v>1040000</v>
      </c>
      <c r="F955" s="52">
        <f t="shared" si="65"/>
        <v>83200</v>
      </c>
      <c r="G955" s="53">
        <f t="shared" si="66"/>
        <v>1123200</v>
      </c>
      <c r="H955" s="54">
        <v>1123200</v>
      </c>
      <c r="I955" s="55">
        <f t="shared" si="67"/>
        <v>0</v>
      </c>
      <c r="J955" s="56">
        <v>45796</v>
      </c>
      <c r="K955" s="57"/>
    </row>
    <row r="956" spans="1:11" ht="15.75" hidden="1" customHeight="1" x14ac:dyDescent="0.35">
      <c r="A956" s="47" t="s">
        <v>24</v>
      </c>
      <c r="B956" s="48">
        <v>45748</v>
      </c>
      <c r="C956" s="50" t="s">
        <v>1992</v>
      </c>
      <c r="D956" s="49" t="s">
        <v>2121</v>
      </c>
      <c r="E956" s="51">
        <v>2045000</v>
      </c>
      <c r="F956" s="52">
        <f t="shared" si="65"/>
        <v>163600</v>
      </c>
      <c r="G956" s="53">
        <f t="shared" si="66"/>
        <v>2208600</v>
      </c>
      <c r="H956" s="54">
        <v>2208600</v>
      </c>
      <c r="I956" s="55">
        <f t="shared" si="67"/>
        <v>0</v>
      </c>
      <c r="J956" s="56">
        <v>45796</v>
      </c>
      <c r="K956" s="57"/>
    </row>
    <row r="957" spans="1:11" ht="15.75" hidden="1" customHeight="1" x14ac:dyDescent="0.35">
      <c r="A957" s="47" t="s">
        <v>1591</v>
      </c>
      <c r="B957" s="48" t="s">
        <v>2008</v>
      </c>
      <c r="C957" s="49" t="s">
        <v>1993</v>
      </c>
      <c r="D957" s="50"/>
      <c r="E957" s="51">
        <v>1022500</v>
      </c>
      <c r="F957" s="52">
        <f t="shared" si="65"/>
        <v>81800</v>
      </c>
      <c r="G957" s="53">
        <f t="shared" si="66"/>
        <v>1104300</v>
      </c>
      <c r="H957" s="54">
        <v>1104300</v>
      </c>
      <c r="I957" s="55">
        <f t="shared" si="67"/>
        <v>0</v>
      </c>
      <c r="J957" s="56">
        <v>45828</v>
      </c>
      <c r="K957" s="57"/>
    </row>
    <row r="958" spans="1:11" ht="15.75" hidden="1" customHeight="1" x14ac:dyDescent="0.35">
      <c r="A958" s="47" t="s">
        <v>47</v>
      </c>
      <c r="B958" s="48">
        <v>45749</v>
      </c>
      <c r="C958" s="50" t="s">
        <v>1994</v>
      </c>
      <c r="D958" s="49" t="s">
        <v>2122</v>
      </c>
      <c r="E958" s="51">
        <v>2010000</v>
      </c>
      <c r="F958" s="52">
        <f t="shared" si="65"/>
        <v>160800</v>
      </c>
      <c r="G958" s="53">
        <f t="shared" si="66"/>
        <v>2170800</v>
      </c>
      <c r="H958" s="53">
        <v>2170800</v>
      </c>
      <c r="I958" s="55">
        <f t="shared" si="67"/>
        <v>0</v>
      </c>
      <c r="J958" s="56">
        <v>45796</v>
      </c>
      <c r="K958" s="57"/>
    </row>
    <row r="959" spans="1:11" ht="15.75" hidden="1" customHeight="1" x14ac:dyDescent="0.35">
      <c r="A959" s="47" t="s">
        <v>19</v>
      </c>
      <c r="B959" s="48" t="s">
        <v>2115</v>
      </c>
      <c r="C959" s="49" t="s">
        <v>2012</v>
      </c>
      <c r="D959" s="50"/>
      <c r="E959" s="51">
        <v>5130000</v>
      </c>
      <c r="F959" s="52">
        <f t="shared" si="65"/>
        <v>410400</v>
      </c>
      <c r="G959" s="53">
        <f t="shared" si="66"/>
        <v>5540400</v>
      </c>
      <c r="H959" s="54">
        <v>5540400</v>
      </c>
      <c r="I959" s="55">
        <f t="shared" si="67"/>
        <v>0</v>
      </c>
      <c r="J959" s="56">
        <v>45796</v>
      </c>
      <c r="K959" s="57"/>
    </row>
    <row r="960" spans="1:11" ht="15.75" hidden="1" customHeight="1" x14ac:dyDescent="0.35">
      <c r="A960" s="47" t="s">
        <v>1602</v>
      </c>
      <c r="B960" s="48" t="s">
        <v>2115</v>
      </c>
      <c r="C960" s="50" t="s">
        <v>569</v>
      </c>
      <c r="D960" s="50"/>
      <c r="E960" s="51">
        <v>1022500</v>
      </c>
      <c r="F960" s="52">
        <f t="shared" si="65"/>
        <v>81800</v>
      </c>
      <c r="G960" s="53">
        <f t="shared" si="66"/>
        <v>1104300</v>
      </c>
      <c r="H960" s="54">
        <v>1104300</v>
      </c>
      <c r="I960" s="55">
        <f t="shared" si="67"/>
        <v>0</v>
      </c>
      <c r="J960" s="56">
        <v>45918</v>
      </c>
      <c r="K960" s="57"/>
    </row>
    <row r="961" spans="1:11" ht="15.75" hidden="1" customHeight="1" x14ac:dyDescent="0.35">
      <c r="A961" s="47" t="s">
        <v>167</v>
      </c>
      <c r="B961" s="48" t="s">
        <v>2115</v>
      </c>
      <c r="C961" s="49" t="s">
        <v>570</v>
      </c>
      <c r="D961" s="50"/>
      <c r="E961" s="51">
        <v>1005000</v>
      </c>
      <c r="F961" s="52">
        <f t="shared" si="65"/>
        <v>80400</v>
      </c>
      <c r="G961" s="53">
        <f t="shared" si="66"/>
        <v>1085400</v>
      </c>
      <c r="H961" s="54">
        <v>1085400</v>
      </c>
      <c r="I961" s="55">
        <f t="shared" si="67"/>
        <v>0</v>
      </c>
      <c r="J961" s="56">
        <v>45978</v>
      </c>
      <c r="K961" s="57"/>
    </row>
    <row r="962" spans="1:11" ht="15.75" hidden="1" customHeight="1" x14ac:dyDescent="0.35">
      <c r="A962" s="47" t="s">
        <v>84</v>
      </c>
      <c r="B962" s="48" t="s">
        <v>2115</v>
      </c>
      <c r="C962" s="50" t="s">
        <v>571</v>
      </c>
      <c r="D962" s="50"/>
      <c r="E962" s="51">
        <v>1005000</v>
      </c>
      <c r="F962" s="52">
        <f t="shared" si="65"/>
        <v>80400</v>
      </c>
      <c r="G962" s="53">
        <f t="shared" si="66"/>
        <v>1085400</v>
      </c>
      <c r="H962" s="54">
        <v>1085400</v>
      </c>
      <c r="I962" s="55">
        <f t="shared" si="67"/>
        <v>0</v>
      </c>
      <c r="J962" s="56">
        <v>45828</v>
      </c>
      <c r="K962" s="57"/>
    </row>
    <row r="963" spans="1:11" ht="15.75" hidden="1" customHeight="1" x14ac:dyDescent="0.35">
      <c r="A963" s="47" t="s">
        <v>100</v>
      </c>
      <c r="B963" s="48" t="s">
        <v>2115</v>
      </c>
      <c r="C963" s="49" t="s">
        <v>572</v>
      </c>
      <c r="D963" s="50"/>
      <c r="E963" s="51">
        <v>1040000</v>
      </c>
      <c r="F963" s="52">
        <f t="shared" si="65"/>
        <v>83200</v>
      </c>
      <c r="G963" s="53">
        <f t="shared" si="66"/>
        <v>1123200</v>
      </c>
      <c r="H963" s="54">
        <v>1123200</v>
      </c>
      <c r="I963" s="55">
        <f t="shared" si="67"/>
        <v>0</v>
      </c>
      <c r="J963" s="56">
        <v>45828</v>
      </c>
      <c r="K963" s="57"/>
    </row>
    <row r="964" spans="1:11" ht="15.75" hidden="1" customHeight="1" x14ac:dyDescent="0.35">
      <c r="A964" s="47" t="s">
        <v>106</v>
      </c>
      <c r="B964" s="48" t="s">
        <v>2116</v>
      </c>
      <c r="C964" s="49" t="s">
        <v>2013</v>
      </c>
      <c r="D964" s="50"/>
      <c r="E964" s="51">
        <v>344250</v>
      </c>
      <c r="F964" s="52">
        <f t="shared" si="65"/>
        <v>27540</v>
      </c>
      <c r="G964" s="53">
        <f t="shared" si="66"/>
        <v>371790</v>
      </c>
      <c r="H964" s="54">
        <v>371790</v>
      </c>
      <c r="I964" s="55">
        <f t="shared" si="67"/>
        <v>0</v>
      </c>
      <c r="J964" s="56">
        <v>45828</v>
      </c>
      <c r="K964" s="57"/>
    </row>
    <row r="965" spans="1:11" ht="15.75" hidden="1" customHeight="1" x14ac:dyDescent="0.35">
      <c r="A965" s="47" t="s">
        <v>93</v>
      </c>
      <c r="B965" s="48" t="s">
        <v>2116</v>
      </c>
      <c r="C965" s="49" t="s">
        <v>2014</v>
      </c>
      <c r="D965" s="50"/>
      <c r="E965" s="51">
        <v>344250</v>
      </c>
      <c r="F965" s="52">
        <f t="shared" si="65"/>
        <v>27540</v>
      </c>
      <c r="G965" s="53">
        <f t="shared" si="66"/>
        <v>371790</v>
      </c>
      <c r="H965" s="54">
        <v>371790</v>
      </c>
      <c r="I965" s="55">
        <f t="shared" si="67"/>
        <v>0</v>
      </c>
      <c r="J965" s="56">
        <v>45796</v>
      </c>
      <c r="K965" s="57"/>
    </row>
    <row r="966" spans="1:11" ht="15.75" hidden="1" customHeight="1" x14ac:dyDescent="0.35">
      <c r="A966" s="47" t="s">
        <v>38</v>
      </c>
      <c r="B966" s="48" t="s">
        <v>2116</v>
      </c>
      <c r="C966" s="49" t="s">
        <v>2015</v>
      </c>
      <c r="D966" s="50"/>
      <c r="E966" s="51">
        <v>344250</v>
      </c>
      <c r="F966" s="52">
        <f t="shared" si="65"/>
        <v>27540</v>
      </c>
      <c r="G966" s="53">
        <f t="shared" si="66"/>
        <v>371790</v>
      </c>
      <c r="H966" s="54">
        <v>371790</v>
      </c>
      <c r="I966" s="55">
        <f t="shared" si="67"/>
        <v>0</v>
      </c>
      <c r="J966" s="56">
        <v>45918</v>
      </c>
      <c r="K966" s="57"/>
    </row>
    <row r="967" spans="1:11" ht="15.75" hidden="1" customHeight="1" x14ac:dyDescent="0.35">
      <c r="A967" s="47" t="s">
        <v>16</v>
      </c>
      <c r="B967" s="48" t="s">
        <v>2116</v>
      </c>
      <c r="C967" s="49" t="s">
        <v>2016</v>
      </c>
      <c r="D967" s="50"/>
      <c r="E967" s="51">
        <v>344250</v>
      </c>
      <c r="F967" s="52">
        <f t="shared" si="65"/>
        <v>27540</v>
      </c>
      <c r="G967" s="53">
        <f t="shared" si="66"/>
        <v>371790</v>
      </c>
      <c r="H967" s="54">
        <v>371790</v>
      </c>
      <c r="I967" s="55">
        <f t="shared" si="67"/>
        <v>0</v>
      </c>
      <c r="J967" s="56">
        <v>45796</v>
      </c>
      <c r="K967" s="57"/>
    </row>
    <row r="968" spans="1:11" ht="15.75" hidden="1" customHeight="1" x14ac:dyDescent="0.35">
      <c r="A968" s="47" t="s">
        <v>52</v>
      </c>
      <c r="B968" s="48" t="s">
        <v>2116</v>
      </c>
      <c r="C968" s="49" t="s">
        <v>2017</v>
      </c>
      <c r="D968" s="50"/>
      <c r="E968" s="51">
        <v>344250</v>
      </c>
      <c r="F968" s="52">
        <f t="shared" si="65"/>
        <v>27540</v>
      </c>
      <c r="G968" s="53">
        <f t="shared" si="66"/>
        <v>371790</v>
      </c>
      <c r="H968" s="54">
        <v>371790</v>
      </c>
      <c r="I968" s="55">
        <f t="shared" si="67"/>
        <v>0</v>
      </c>
      <c r="J968" s="56">
        <v>45796</v>
      </c>
      <c r="K968" s="57"/>
    </row>
    <row r="969" spans="1:11" ht="15.75" hidden="1" customHeight="1" x14ac:dyDescent="0.35">
      <c r="A969" s="47" t="s">
        <v>48</v>
      </c>
      <c r="B969" s="48" t="s">
        <v>2116</v>
      </c>
      <c r="C969" s="49" t="s">
        <v>2018</v>
      </c>
      <c r="D969" s="50"/>
      <c r="E969" s="51">
        <v>344250</v>
      </c>
      <c r="F969" s="52">
        <f t="shared" si="65"/>
        <v>27540</v>
      </c>
      <c r="G969" s="53">
        <f t="shared" si="66"/>
        <v>371790</v>
      </c>
      <c r="H969" s="54">
        <v>371790</v>
      </c>
      <c r="I969" s="55">
        <f t="shared" si="67"/>
        <v>0</v>
      </c>
      <c r="J969" s="56">
        <v>45918</v>
      </c>
      <c r="K969" s="57"/>
    </row>
    <row r="970" spans="1:11" ht="15.75" hidden="1" customHeight="1" x14ac:dyDescent="0.35">
      <c r="A970" s="47" t="s">
        <v>71</v>
      </c>
      <c r="B970" s="48" t="s">
        <v>2116</v>
      </c>
      <c r="C970" s="49" t="s">
        <v>2019</v>
      </c>
      <c r="D970" s="50"/>
      <c r="E970" s="51">
        <v>344250</v>
      </c>
      <c r="F970" s="52">
        <f t="shared" si="65"/>
        <v>27540</v>
      </c>
      <c r="G970" s="53">
        <f t="shared" si="66"/>
        <v>371790</v>
      </c>
      <c r="H970" s="54">
        <v>371790</v>
      </c>
      <c r="I970" s="55">
        <f t="shared" si="67"/>
        <v>0</v>
      </c>
      <c r="J970" s="56">
        <v>45918</v>
      </c>
      <c r="K970" s="57"/>
    </row>
    <row r="971" spans="1:11" ht="15.75" hidden="1" customHeight="1" x14ac:dyDescent="0.35">
      <c r="A971" s="47" t="s">
        <v>35</v>
      </c>
      <c r="B971" s="48" t="s">
        <v>2116</v>
      </c>
      <c r="C971" s="49" t="s">
        <v>2020</v>
      </c>
      <c r="D971" s="50"/>
      <c r="E971" s="51">
        <v>344250</v>
      </c>
      <c r="F971" s="52">
        <f t="shared" si="65"/>
        <v>27540</v>
      </c>
      <c r="G971" s="53">
        <f t="shared" si="66"/>
        <v>371790</v>
      </c>
      <c r="H971" s="54">
        <v>371790</v>
      </c>
      <c r="I971" s="55">
        <f t="shared" si="67"/>
        <v>0</v>
      </c>
      <c r="J971" s="56">
        <v>45796</v>
      </c>
      <c r="K971" s="57"/>
    </row>
    <row r="972" spans="1:11" ht="15.75" hidden="1" customHeight="1" x14ac:dyDescent="0.35">
      <c r="A972" s="47" t="s">
        <v>36</v>
      </c>
      <c r="B972" s="48" t="s">
        <v>2116</v>
      </c>
      <c r="C972" s="49" t="s">
        <v>2021</v>
      </c>
      <c r="D972" s="50"/>
      <c r="E972" s="51">
        <v>344250</v>
      </c>
      <c r="F972" s="52">
        <f t="shared" si="65"/>
        <v>27540</v>
      </c>
      <c r="G972" s="53">
        <f t="shared" si="66"/>
        <v>371790</v>
      </c>
      <c r="H972" s="54">
        <v>371790</v>
      </c>
      <c r="I972" s="55">
        <f t="shared" si="67"/>
        <v>0</v>
      </c>
      <c r="J972" s="56">
        <v>45796</v>
      </c>
      <c r="K972" s="57"/>
    </row>
    <row r="973" spans="1:11" ht="15.75" hidden="1" customHeight="1" x14ac:dyDescent="0.35">
      <c r="A973" s="47" t="s">
        <v>53</v>
      </c>
      <c r="B973" s="48" t="s">
        <v>2116</v>
      </c>
      <c r="C973" s="49" t="s">
        <v>123</v>
      </c>
      <c r="D973" s="50"/>
      <c r="E973" s="51">
        <v>344250</v>
      </c>
      <c r="F973" s="52">
        <f t="shared" si="65"/>
        <v>27540</v>
      </c>
      <c r="G973" s="53">
        <f t="shared" si="66"/>
        <v>371790</v>
      </c>
      <c r="H973" s="54">
        <v>371790</v>
      </c>
      <c r="I973" s="55">
        <f t="shared" si="67"/>
        <v>0</v>
      </c>
      <c r="J973" s="56">
        <v>45894</v>
      </c>
      <c r="K973" s="57"/>
    </row>
    <row r="974" spans="1:11" ht="15.75" hidden="1" customHeight="1" x14ac:dyDescent="0.35">
      <c r="A974" s="47" t="s">
        <v>1583</v>
      </c>
      <c r="B974" s="48" t="s">
        <v>2116</v>
      </c>
      <c r="C974" s="49" t="s">
        <v>2022</v>
      </c>
      <c r="D974" s="50"/>
      <c r="E974" s="51">
        <v>344250</v>
      </c>
      <c r="F974" s="52">
        <f t="shared" ref="F974:F991" si="68">+E974*0.08</f>
        <v>27540</v>
      </c>
      <c r="G974" s="53">
        <f t="shared" ref="G974:G991" si="69">E974+F974</f>
        <v>371790</v>
      </c>
      <c r="H974" s="54">
        <v>371790</v>
      </c>
      <c r="I974" s="55">
        <f t="shared" ref="I974:I991" si="70">G974-H974</f>
        <v>0</v>
      </c>
      <c r="J974" s="56">
        <v>45796</v>
      </c>
      <c r="K974" s="57"/>
    </row>
    <row r="975" spans="1:11" ht="15.75" hidden="1" customHeight="1" x14ac:dyDescent="0.35">
      <c r="A975" s="47" t="s">
        <v>46</v>
      </c>
      <c r="B975" s="48" t="s">
        <v>2116</v>
      </c>
      <c r="C975" s="49" t="s">
        <v>2023</v>
      </c>
      <c r="D975" s="50"/>
      <c r="E975" s="51">
        <v>344250</v>
      </c>
      <c r="F975" s="52">
        <f t="shared" si="68"/>
        <v>27540</v>
      </c>
      <c r="G975" s="53">
        <f t="shared" si="69"/>
        <v>371790</v>
      </c>
      <c r="H975" s="54">
        <v>371790</v>
      </c>
      <c r="I975" s="55">
        <f t="shared" si="70"/>
        <v>0</v>
      </c>
      <c r="J975" s="56">
        <v>45796</v>
      </c>
      <c r="K975" s="57"/>
    </row>
    <row r="976" spans="1:11" ht="15.75" hidden="1" customHeight="1" x14ac:dyDescent="0.35">
      <c r="A976" s="47" t="s">
        <v>78</v>
      </c>
      <c r="B976" s="48" t="s">
        <v>2116</v>
      </c>
      <c r="C976" s="49" t="s">
        <v>2024</v>
      </c>
      <c r="D976" s="50"/>
      <c r="E976" s="51">
        <v>344250</v>
      </c>
      <c r="F976" s="52">
        <f t="shared" si="68"/>
        <v>27540</v>
      </c>
      <c r="G976" s="53">
        <f t="shared" si="69"/>
        <v>371790</v>
      </c>
      <c r="H976" s="54">
        <v>371790</v>
      </c>
      <c r="I976" s="55">
        <f t="shared" si="70"/>
        <v>0</v>
      </c>
      <c r="J976" s="56">
        <v>45918</v>
      </c>
      <c r="K976" s="57"/>
    </row>
    <row r="977" spans="1:11" ht="15.75" hidden="1" customHeight="1" x14ac:dyDescent="0.35">
      <c r="A977" s="47" t="s">
        <v>69</v>
      </c>
      <c r="B977" s="48" t="s">
        <v>2116</v>
      </c>
      <c r="C977" s="49" t="s">
        <v>2025</v>
      </c>
      <c r="D977" s="50"/>
      <c r="E977" s="51">
        <v>344250</v>
      </c>
      <c r="F977" s="52">
        <f t="shared" si="68"/>
        <v>27540</v>
      </c>
      <c r="G977" s="53">
        <f t="shared" si="69"/>
        <v>371790</v>
      </c>
      <c r="H977" s="54">
        <v>371790</v>
      </c>
      <c r="I977" s="55">
        <f t="shared" si="70"/>
        <v>0</v>
      </c>
      <c r="J977" s="56">
        <v>45918</v>
      </c>
      <c r="K977" s="57"/>
    </row>
    <row r="978" spans="1:11" ht="15.75" hidden="1" customHeight="1" x14ac:dyDescent="0.35">
      <c r="A978" s="47" t="s">
        <v>110</v>
      </c>
      <c r="B978" s="48" t="s">
        <v>2116</v>
      </c>
      <c r="C978" s="49" t="s">
        <v>2026</v>
      </c>
      <c r="D978" s="50"/>
      <c r="E978" s="51">
        <v>344250</v>
      </c>
      <c r="F978" s="52">
        <f t="shared" si="68"/>
        <v>27540</v>
      </c>
      <c r="G978" s="53">
        <f t="shared" si="69"/>
        <v>371790</v>
      </c>
      <c r="H978" s="54">
        <v>371790</v>
      </c>
      <c r="I978" s="55">
        <f t="shared" si="70"/>
        <v>0</v>
      </c>
      <c r="J978" s="56">
        <v>45918</v>
      </c>
      <c r="K978" s="57"/>
    </row>
    <row r="979" spans="1:11" ht="15.75" hidden="1" customHeight="1" x14ac:dyDescent="0.35">
      <c r="A979" s="47" t="s">
        <v>1587</v>
      </c>
      <c r="B979" s="48" t="s">
        <v>2116</v>
      </c>
      <c r="C979" s="49" t="s">
        <v>2027</v>
      </c>
      <c r="D979" s="50"/>
      <c r="E979" s="51">
        <v>344250</v>
      </c>
      <c r="F979" s="52">
        <f t="shared" si="68"/>
        <v>27540</v>
      </c>
      <c r="G979" s="53">
        <f t="shared" si="69"/>
        <v>371790</v>
      </c>
      <c r="H979" s="54">
        <v>371790</v>
      </c>
      <c r="I979" s="55">
        <f t="shared" si="70"/>
        <v>0</v>
      </c>
      <c r="J979" s="56">
        <v>45918</v>
      </c>
      <c r="K979" s="57"/>
    </row>
    <row r="980" spans="1:11" ht="15.75" hidden="1" customHeight="1" x14ac:dyDescent="0.35">
      <c r="A980" s="47" t="s">
        <v>112</v>
      </c>
      <c r="B980" s="48" t="s">
        <v>2116</v>
      </c>
      <c r="C980" s="49" t="s">
        <v>2028</v>
      </c>
      <c r="D980" s="50"/>
      <c r="E980" s="51">
        <v>344250</v>
      </c>
      <c r="F980" s="52">
        <f t="shared" si="68"/>
        <v>27540</v>
      </c>
      <c r="G980" s="53">
        <f t="shared" si="69"/>
        <v>371790</v>
      </c>
      <c r="H980" s="54">
        <v>371790</v>
      </c>
      <c r="I980" s="55">
        <f t="shared" si="70"/>
        <v>0</v>
      </c>
      <c r="J980" s="56">
        <v>45918</v>
      </c>
      <c r="K980" s="57"/>
    </row>
    <row r="981" spans="1:11" ht="15.75" hidden="1" customHeight="1" x14ac:dyDescent="0.35">
      <c r="A981" s="47" t="s">
        <v>32</v>
      </c>
      <c r="B981" s="48" t="s">
        <v>2116</v>
      </c>
      <c r="C981" s="49" t="s">
        <v>2029</v>
      </c>
      <c r="D981" s="50"/>
      <c r="E981" s="51">
        <v>344250</v>
      </c>
      <c r="F981" s="52">
        <f t="shared" si="68"/>
        <v>27540</v>
      </c>
      <c r="G981" s="53">
        <f t="shared" si="69"/>
        <v>371790</v>
      </c>
      <c r="H981" s="54">
        <v>371790</v>
      </c>
      <c r="I981" s="55">
        <f t="shared" si="70"/>
        <v>0</v>
      </c>
      <c r="J981" s="56">
        <v>45796</v>
      </c>
      <c r="K981" s="57"/>
    </row>
    <row r="982" spans="1:11" ht="15.75" hidden="1" customHeight="1" x14ac:dyDescent="0.35">
      <c r="A982" s="47" t="s">
        <v>72</v>
      </c>
      <c r="B982" s="48" t="s">
        <v>2116</v>
      </c>
      <c r="C982" s="49" t="s">
        <v>2030</v>
      </c>
      <c r="D982" s="50"/>
      <c r="E982" s="51">
        <v>344250</v>
      </c>
      <c r="F982" s="52">
        <f t="shared" si="68"/>
        <v>27540</v>
      </c>
      <c r="G982" s="53">
        <f t="shared" si="69"/>
        <v>371790</v>
      </c>
      <c r="H982" s="54">
        <v>371790</v>
      </c>
      <c r="I982" s="55">
        <f t="shared" si="70"/>
        <v>0</v>
      </c>
      <c r="J982" s="56">
        <v>45918</v>
      </c>
      <c r="K982" s="57"/>
    </row>
    <row r="983" spans="1:11" ht="15.75" hidden="1" customHeight="1" x14ac:dyDescent="0.35">
      <c r="A983" s="47" t="s">
        <v>22</v>
      </c>
      <c r="B983" s="48" t="s">
        <v>2116</v>
      </c>
      <c r="C983" s="49" t="s">
        <v>2031</v>
      </c>
      <c r="D983" s="50"/>
      <c r="E983" s="51">
        <v>344250</v>
      </c>
      <c r="F983" s="52">
        <f t="shared" si="68"/>
        <v>27540</v>
      </c>
      <c r="G983" s="53">
        <f t="shared" si="69"/>
        <v>371790</v>
      </c>
      <c r="H983" s="54">
        <v>371790</v>
      </c>
      <c r="I983" s="55">
        <f t="shared" si="70"/>
        <v>0</v>
      </c>
      <c r="J983" s="56">
        <v>45796</v>
      </c>
      <c r="K983" s="57"/>
    </row>
    <row r="984" spans="1:11" ht="15.75" hidden="1" customHeight="1" x14ac:dyDescent="0.35">
      <c r="A984" s="47" t="s">
        <v>113</v>
      </c>
      <c r="B984" s="48" t="s">
        <v>2116</v>
      </c>
      <c r="C984" s="49" t="s">
        <v>581</v>
      </c>
      <c r="D984" s="50"/>
      <c r="E984" s="51">
        <v>344250</v>
      </c>
      <c r="F984" s="52">
        <f t="shared" si="68"/>
        <v>27540</v>
      </c>
      <c r="G984" s="53">
        <f t="shared" si="69"/>
        <v>371790</v>
      </c>
      <c r="H984" s="54">
        <v>371790</v>
      </c>
      <c r="I984" s="55">
        <f t="shared" si="70"/>
        <v>0</v>
      </c>
      <c r="J984" s="56">
        <v>45796</v>
      </c>
      <c r="K984" s="57"/>
    </row>
    <row r="985" spans="1:11" ht="15.75" hidden="1" customHeight="1" x14ac:dyDescent="0.35">
      <c r="A985" s="47" t="s">
        <v>1584</v>
      </c>
      <c r="B985" s="48" t="s">
        <v>2116</v>
      </c>
      <c r="C985" s="49" t="s">
        <v>124</v>
      </c>
      <c r="D985" s="50"/>
      <c r="E985" s="51">
        <v>344250</v>
      </c>
      <c r="F985" s="52">
        <f t="shared" si="68"/>
        <v>27540</v>
      </c>
      <c r="G985" s="53">
        <f t="shared" si="69"/>
        <v>371790</v>
      </c>
      <c r="H985" s="54">
        <v>371790</v>
      </c>
      <c r="I985" s="55">
        <f t="shared" si="70"/>
        <v>0</v>
      </c>
      <c r="J985" s="56">
        <v>45978</v>
      </c>
      <c r="K985" s="57"/>
    </row>
    <row r="986" spans="1:11" ht="15.75" hidden="1" customHeight="1" x14ac:dyDescent="0.35">
      <c r="A986" s="47" t="s">
        <v>17</v>
      </c>
      <c r="B986" s="48" t="s">
        <v>2116</v>
      </c>
      <c r="C986" s="49" t="s">
        <v>583</v>
      </c>
      <c r="D986" s="50"/>
      <c r="E986" s="51">
        <v>344250</v>
      </c>
      <c r="F986" s="52">
        <f t="shared" si="68"/>
        <v>27540</v>
      </c>
      <c r="G986" s="53">
        <f t="shared" si="69"/>
        <v>371790</v>
      </c>
      <c r="H986" s="54">
        <v>371790</v>
      </c>
      <c r="I986" s="55">
        <f t="shared" si="70"/>
        <v>0</v>
      </c>
      <c r="J986" s="56">
        <v>45796</v>
      </c>
      <c r="K986" s="57"/>
    </row>
    <row r="987" spans="1:11" ht="15.75" hidden="1" customHeight="1" x14ac:dyDescent="0.35">
      <c r="A987" s="47" t="s">
        <v>61</v>
      </c>
      <c r="B987" s="48" t="s">
        <v>2116</v>
      </c>
      <c r="C987" s="49" t="s">
        <v>2032</v>
      </c>
      <c r="D987" s="50"/>
      <c r="E987" s="51">
        <v>344250</v>
      </c>
      <c r="F987" s="52">
        <f t="shared" si="68"/>
        <v>27540</v>
      </c>
      <c r="G987" s="53">
        <f t="shared" si="69"/>
        <v>371790</v>
      </c>
      <c r="H987" s="54">
        <v>371790</v>
      </c>
      <c r="I987" s="55">
        <f t="shared" si="70"/>
        <v>0</v>
      </c>
      <c r="J987" s="56">
        <v>45918</v>
      </c>
      <c r="K987" s="57"/>
    </row>
    <row r="988" spans="1:11" ht="15.75" hidden="1" customHeight="1" x14ac:dyDescent="0.35">
      <c r="A988" s="47" t="s">
        <v>18</v>
      </c>
      <c r="B988" s="48" t="s">
        <v>2116</v>
      </c>
      <c r="C988" s="49" t="s">
        <v>2033</v>
      </c>
      <c r="D988" s="50"/>
      <c r="E988" s="51">
        <v>344250</v>
      </c>
      <c r="F988" s="52">
        <f t="shared" si="68"/>
        <v>27540</v>
      </c>
      <c r="G988" s="53">
        <f t="shared" si="69"/>
        <v>371790</v>
      </c>
      <c r="H988" s="54">
        <v>371790</v>
      </c>
      <c r="I988" s="55">
        <f t="shared" si="70"/>
        <v>0</v>
      </c>
      <c r="J988" s="56">
        <v>45828</v>
      </c>
      <c r="K988" s="57"/>
    </row>
    <row r="989" spans="1:11" ht="15.75" hidden="1" customHeight="1" x14ac:dyDescent="0.35">
      <c r="A989" s="47" t="s">
        <v>41</v>
      </c>
      <c r="B989" s="48" t="s">
        <v>2116</v>
      </c>
      <c r="C989" s="49" t="s">
        <v>2034</v>
      </c>
      <c r="D989" s="50"/>
      <c r="E989" s="51">
        <v>344250</v>
      </c>
      <c r="F989" s="52">
        <f t="shared" si="68"/>
        <v>27540</v>
      </c>
      <c r="G989" s="53">
        <f t="shared" si="69"/>
        <v>371790</v>
      </c>
      <c r="H989" s="54">
        <v>371790</v>
      </c>
      <c r="I989" s="55">
        <f t="shared" si="70"/>
        <v>0</v>
      </c>
      <c r="J989" s="56">
        <v>45918</v>
      </c>
      <c r="K989" s="57"/>
    </row>
    <row r="990" spans="1:11" ht="15.75" hidden="1" customHeight="1" x14ac:dyDescent="0.35">
      <c r="A990" s="47" t="s">
        <v>114</v>
      </c>
      <c r="B990" s="48" t="s">
        <v>2116</v>
      </c>
      <c r="C990" s="49" t="s">
        <v>2035</v>
      </c>
      <c r="D990" s="50"/>
      <c r="E990" s="51">
        <v>344250</v>
      </c>
      <c r="F990" s="52">
        <f t="shared" si="68"/>
        <v>27540</v>
      </c>
      <c r="G990" s="53">
        <f t="shared" si="69"/>
        <v>371790</v>
      </c>
      <c r="H990" s="54">
        <v>371790</v>
      </c>
      <c r="I990" s="55">
        <f t="shared" si="70"/>
        <v>0</v>
      </c>
      <c r="J990" s="56">
        <v>46042</v>
      </c>
      <c r="K990" s="57" t="s">
        <v>3387</v>
      </c>
    </row>
    <row r="991" spans="1:11" ht="15.75" hidden="1" customHeight="1" x14ac:dyDescent="0.35">
      <c r="A991" s="47" t="s">
        <v>19</v>
      </c>
      <c r="B991" s="48" t="s">
        <v>2116</v>
      </c>
      <c r="C991" s="49" t="s">
        <v>2036</v>
      </c>
      <c r="D991" s="50"/>
      <c r="E991" s="51">
        <v>344250</v>
      </c>
      <c r="F991" s="52">
        <f t="shared" si="68"/>
        <v>27540</v>
      </c>
      <c r="G991" s="53">
        <f t="shared" si="69"/>
        <v>371790</v>
      </c>
      <c r="H991" s="54">
        <v>371790</v>
      </c>
      <c r="I991" s="55">
        <f t="shared" si="70"/>
        <v>0</v>
      </c>
      <c r="J991" s="56">
        <v>45796</v>
      </c>
      <c r="K991" s="57"/>
    </row>
    <row r="992" spans="1:11" ht="15.75" hidden="1" customHeight="1" x14ac:dyDescent="0.35">
      <c r="A992" s="47" t="s">
        <v>27</v>
      </c>
      <c r="B992" s="48" t="s">
        <v>2116</v>
      </c>
      <c r="C992" s="49" t="s">
        <v>2037</v>
      </c>
      <c r="D992" s="50"/>
      <c r="E992" s="51">
        <v>344250</v>
      </c>
      <c r="F992" s="52">
        <f t="shared" ref="F992:F1009" si="71">+E992*0.08</f>
        <v>27540</v>
      </c>
      <c r="G992" s="53">
        <f t="shared" ref="G992:G1009" si="72">E992+F992</f>
        <v>371790</v>
      </c>
      <c r="H992" s="54">
        <v>371790</v>
      </c>
      <c r="I992" s="55">
        <f t="shared" ref="I992:I1009" si="73">G992-H992</f>
        <v>0</v>
      </c>
      <c r="J992" s="56">
        <v>45828</v>
      </c>
      <c r="K992" s="57"/>
    </row>
    <row r="993" spans="1:11" ht="15.75" hidden="1" customHeight="1" x14ac:dyDescent="0.35">
      <c r="A993" s="47" t="s">
        <v>1588</v>
      </c>
      <c r="B993" s="48" t="s">
        <v>2116</v>
      </c>
      <c r="C993" s="50" t="s">
        <v>204</v>
      </c>
      <c r="D993" s="50"/>
      <c r="E993" s="51">
        <v>344250</v>
      </c>
      <c r="F993" s="52">
        <f t="shared" si="71"/>
        <v>27540</v>
      </c>
      <c r="G993" s="53">
        <f t="shared" si="72"/>
        <v>371790</v>
      </c>
      <c r="H993" s="54">
        <v>371790</v>
      </c>
      <c r="I993" s="55">
        <f t="shared" si="73"/>
        <v>0</v>
      </c>
      <c r="J993" s="56">
        <v>45796</v>
      </c>
      <c r="K993" s="57"/>
    </row>
    <row r="994" spans="1:11" ht="15.75" hidden="1" customHeight="1" x14ac:dyDescent="0.35">
      <c r="A994" s="47" t="s">
        <v>1596</v>
      </c>
      <c r="B994" s="48" t="s">
        <v>2116</v>
      </c>
      <c r="C994" s="50" t="s">
        <v>205</v>
      </c>
      <c r="D994" s="50"/>
      <c r="E994" s="51">
        <v>344250</v>
      </c>
      <c r="F994" s="52">
        <f t="shared" si="71"/>
        <v>27540</v>
      </c>
      <c r="G994" s="53">
        <f t="shared" si="72"/>
        <v>371790</v>
      </c>
      <c r="H994" s="54">
        <v>371790</v>
      </c>
      <c r="I994" s="55">
        <f t="shared" si="73"/>
        <v>0</v>
      </c>
      <c r="J994" s="56">
        <v>45828</v>
      </c>
      <c r="K994" s="57"/>
    </row>
    <row r="995" spans="1:11" ht="15.75" hidden="1" customHeight="1" x14ac:dyDescent="0.35">
      <c r="A995" s="47" t="s">
        <v>47</v>
      </c>
      <c r="B995" s="48" t="s">
        <v>2116</v>
      </c>
      <c r="C995" s="49" t="s">
        <v>2038</v>
      </c>
      <c r="D995" s="50"/>
      <c r="E995" s="51">
        <v>344250</v>
      </c>
      <c r="F995" s="52">
        <f t="shared" si="71"/>
        <v>27540</v>
      </c>
      <c r="G995" s="53">
        <f t="shared" si="72"/>
        <v>371790</v>
      </c>
      <c r="H995" s="54">
        <v>371790</v>
      </c>
      <c r="I995" s="55">
        <f t="shared" si="73"/>
        <v>0</v>
      </c>
      <c r="J995" s="56">
        <v>45796</v>
      </c>
      <c r="K995" s="57"/>
    </row>
    <row r="996" spans="1:11" ht="15.75" hidden="1" customHeight="1" x14ac:dyDescent="0.35">
      <c r="A996" s="47" t="s">
        <v>54</v>
      </c>
      <c r="B996" s="48" t="s">
        <v>2116</v>
      </c>
      <c r="C996" s="49" t="s">
        <v>2039</v>
      </c>
      <c r="D996" s="50"/>
      <c r="E996" s="51">
        <v>344250</v>
      </c>
      <c r="F996" s="52">
        <f t="shared" si="71"/>
        <v>27540</v>
      </c>
      <c r="G996" s="53">
        <f t="shared" si="72"/>
        <v>371790</v>
      </c>
      <c r="H996" s="54">
        <v>371790</v>
      </c>
      <c r="I996" s="55">
        <f t="shared" si="73"/>
        <v>0</v>
      </c>
      <c r="J996" s="56">
        <v>45828</v>
      </c>
      <c r="K996" s="57"/>
    </row>
    <row r="997" spans="1:11" ht="15.75" hidden="1" customHeight="1" x14ac:dyDescent="0.35">
      <c r="A997" s="47" t="s">
        <v>1586</v>
      </c>
      <c r="B997" s="48" t="s">
        <v>2116</v>
      </c>
      <c r="C997" s="49" t="s">
        <v>2040</v>
      </c>
      <c r="D997" s="50"/>
      <c r="E997" s="51">
        <v>344250</v>
      </c>
      <c r="F997" s="52">
        <f t="shared" si="71"/>
        <v>27540</v>
      </c>
      <c r="G997" s="53">
        <f t="shared" si="72"/>
        <v>371790</v>
      </c>
      <c r="H997" s="54">
        <v>371790</v>
      </c>
      <c r="I997" s="55">
        <f t="shared" si="73"/>
        <v>0</v>
      </c>
      <c r="J997" s="56">
        <v>45796</v>
      </c>
      <c r="K997" s="57"/>
    </row>
    <row r="998" spans="1:11" ht="15.75" hidden="1" customHeight="1" x14ac:dyDescent="0.35">
      <c r="A998" s="47" t="s">
        <v>26</v>
      </c>
      <c r="B998" s="48" t="s">
        <v>2116</v>
      </c>
      <c r="C998" s="49" t="s">
        <v>2041</v>
      </c>
      <c r="D998" s="50"/>
      <c r="E998" s="51">
        <v>344250</v>
      </c>
      <c r="F998" s="52">
        <f t="shared" si="71"/>
        <v>27540</v>
      </c>
      <c r="G998" s="53">
        <f t="shared" si="72"/>
        <v>371790</v>
      </c>
      <c r="H998" s="54">
        <v>371790</v>
      </c>
      <c r="I998" s="55">
        <f t="shared" si="73"/>
        <v>0</v>
      </c>
      <c r="J998" s="56">
        <v>45796</v>
      </c>
      <c r="K998" s="57"/>
    </row>
    <row r="999" spans="1:11" ht="15.75" hidden="1" customHeight="1" x14ac:dyDescent="0.35">
      <c r="A999" s="47" t="s">
        <v>1585</v>
      </c>
      <c r="B999" s="48" t="s">
        <v>2116</v>
      </c>
      <c r="C999" s="49" t="s">
        <v>2042</v>
      </c>
      <c r="D999" s="50"/>
      <c r="E999" s="51">
        <v>344250</v>
      </c>
      <c r="F999" s="52">
        <f t="shared" si="71"/>
        <v>27540</v>
      </c>
      <c r="G999" s="53">
        <f t="shared" si="72"/>
        <v>371790</v>
      </c>
      <c r="H999" s="54">
        <v>371790</v>
      </c>
      <c r="I999" s="55">
        <f t="shared" si="73"/>
        <v>0</v>
      </c>
      <c r="J999" s="56">
        <v>45894</v>
      </c>
      <c r="K999" s="57"/>
    </row>
    <row r="1000" spans="1:11" ht="15.75" hidden="1" customHeight="1" x14ac:dyDescent="0.35">
      <c r="A1000" s="47" t="s">
        <v>20</v>
      </c>
      <c r="B1000" s="48" t="s">
        <v>2116</v>
      </c>
      <c r="C1000" s="49" t="s">
        <v>2043</v>
      </c>
      <c r="D1000" s="50"/>
      <c r="E1000" s="51">
        <v>344250</v>
      </c>
      <c r="F1000" s="52">
        <f t="shared" si="71"/>
        <v>27540</v>
      </c>
      <c r="G1000" s="53">
        <f t="shared" si="72"/>
        <v>371790</v>
      </c>
      <c r="H1000" s="54">
        <v>371790</v>
      </c>
      <c r="I1000" s="55">
        <f t="shared" si="73"/>
        <v>0</v>
      </c>
      <c r="J1000" s="56">
        <v>45796</v>
      </c>
      <c r="K1000" s="57"/>
    </row>
    <row r="1001" spans="1:11" ht="15.75" hidden="1" customHeight="1" x14ac:dyDescent="0.35">
      <c r="A1001" s="47" t="s">
        <v>21</v>
      </c>
      <c r="B1001" s="48" t="s">
        <v>2116</v>
      </c>
      <c r="C1001" s="50" t="s">
        <v>585</v>
      </c>
      <c r="D1001" s="50"/>
      <c r="E1001" s="51">
        <v>344250</v>
      </c>
      <c r="F1001" s="52">
        <f t="shared" si="71"/>
        <v>27540</v>
      </c>
      <c r="G1001" s="53">
        <f t="shared" si="72"/>
        <v>371790</v>
      </c>
      <c r="H1001" s="54">
        <v>371790</v>
      </c>
      <c r="I1001" s="55">
        <f t="shared" si="73"/>
        <v>0</v>
      </c>
      <c r="J1001" s="56">
        <v>45796</v>
      </c>
      <c r="K1001" s="57"/>
    </row>
    <row r="1002" spans="1:11" ht="15.75" hidden="1" customHeight="1" x14ac:dyDescent="0.35">
      <c r="A1002" s="47" t="s">
        <v>125</v>
      </c>
      <c r="B1002" s="48" t="s">
        <v>2116</v>
      </c>
      <c r="C1002" s="49" t="s">
        <v>2044</v>
      </c>
      <c r="D1002" s="50"/>
      <c r="E1002" s="51">
        <v>344250</v>
      </c>
      <c r="F1002" s="52">
        <f t="shared" si="71"/>
        <v>27540</v>
      </c>
      <c r="G1002" s="53">
        <f t="shared" si="72"/>
        <v>371790</v>
      </c>
      <c r="H1002" s="54">
        <v>371790</v>
      </c>
      <c r="I1002" s="55">
        <f t="shared" si="73"/>
        <v>0</v>
      </c>
      <c r="J1002" s="56">
        <v>45796</v>
      </c>
      <c r="K1002" s="57"/>
    </row>
    <row r="1003" spans="1:11" ht="15.75" hidden="1" customHeight="1" x14ac:dyDescent="0.35">
      <c r="A1003" s="47" t="s">
        <v>83</v>
      </c>
      <c r="B1003" s="48" t="s">
        <v>2116</v>
      </c>
      <c r="C1003" s="49" t="s">
        <v>2045</v>
      </c>
      <c r="D1003" s="50"/>
      <c r="E1003" s="51">
        <v>344250</v>
      </c>
      <c r="F1003" s="52">
        <f t="shared" si="71"/>
        <v>27540</v>
      </c>
      <c r="G1003" s="53">
        <f t="shared" si="72"/>
        <v>371790</v>
      </c>
      <c r="H1003" s="54">
        <v>371790</v>
      </c>
      <c r="I1003" s="55">
        <f t="shared" si="73"/>
        <v>0</v>
      </c>
      <c r="J1003" s="56">
        <v>45918</v>
      </c>
      <c r="K1003" s="57"/>
    </row>
    <row r="1004" spans="1:11" ht="15.75" hidden="1" customHeight="1" x14ac:dyDescent="0.35">
      <c r="A1004" s="47" t="s">
        <v>177</v>
      </c>
      <c r="B1004" s="48" t="s">
        <v>2116</v>
      </c>
      <c r="C1004" s="49" t="s">
        <v>2046</v>
      </c>
      <c r="D1004" s="50"/>
      <c r="E1004" s="51">
        <v>344250</v>
      </c>
      <c r="F1004" s="52">
        <f t="shared" si="71"/>
        <v>27540</v>
      </c>
      <c r="G1004" s="53">
        <f t="shared" si="72"/>
        <v>371790</v>
      </c>
      <c r="H1004" s="54">
        <v>371790</v>
      </c>
      <c r="I1004" s="55">
        <f t="shared" si="73"/>
        <v>0</v>
      </c>
      <c r="J1004" s="56">
        <v>45796</v>
      </c>
      <c r="K1004" s="57"/>
    </row>
    <row r="1005" spans="1:11" ht="15.75" hidden="1" customHeight="1" x14ac:dyDescent="0.35">
      <c r="A1005" s="47" t="s">
        <v>39</v>
      </c>
      <c r="B1005" s="48" t="s">
        <v>2116</v>
      </c>
      <c r="C1005" s="50" t="s">
        <v>206</v>
      </c>
      <c r="D1005" s="50"/>
      <c r="E1005" s="51">
        <v>344250</v>
      </c>
      <c r="F1005" s="52">
        <f t="shared" si="71"/>
        <v>27540</v>
      </c>
      <c r="G1005" s="53">
        <f t="shared" si="72"/>
        <v>371790</v>
      </c>
      <c r="H1005" s="54">
        <v>371790</v>
      </c>
      <c r="I1005" s="55">
        <f t="shared" si="73"/>
        <v>0</v>
      </c>
      <c r="J1005" s="56">
        <v>45796</v>
      </c>
      <c r="K1005" s="57"/>
    </row>
    <row r="1006" spans="1:11" ht="15.75" hidden="1" customHeight="1" x14ac:dyDescent="0.35">
      <c r="A1006" s="47" t="s">
        <v>44</v>
      </c>
      <c r="B1006" s="48" t="s">
        <v>2116</v>
      </c>
      <c r="C1006" s="49" t="s">
        <v>2047</v>
      </c>
      <c r="D1006" s="50"/>
      <c r="E1006" s="51">
        <v>344250</v>
      </c>
      <c r="F1006" s="52">
        <f t="shared" si="71"/>
        <v>27540</v>
      </c>
      <c r="G1006" s="53">
        <f t="shared" si="72"/>
        <v>371790</v>
      </c>
      <c r="H1006" s="54">
        <v>371790</v>
      </c>
      <c r="I1006" s="55">
        <f t="shared" si="73"/>
        <v>0</v>
      </c>
      <c r="J1006" s="56">
        <v>45796</v>
      </c>
      <c r="K1006" s="57"/>
    </row>
    <row r="1007" spans="1:11" ht="15.75" hidden="1" customHeight="1" x14ac:dyDescent="0.35">
      <c r="A1007" s="47" t="s">
        <v>56</v>
      </c>
      <c r="B1007" s="48" t="s">
        <v>2116</v>
      </c>
      <c r="C1007" s="49" t="s">
        <v>2048</v>
      </c>
      <c r="D1007" s="50"/>
      <c r="E1007" s="51">
        <v>344250</v>
      </c>
      <c r="F1007" s="52">
        <f t="shared" si="71"/>
        <v>27540</v>
      </c>
      <c r="G1007" s="53">
        <f t="shared" si="72"/>
        <v>371790</v>
      </c>
      <c r="H1007" s="54">
        <v>371790</v>
      </c>
      <c r="I1007" s="55">
        <f t="shared" si="73"/>
        <v>0</v>
      </c>
      <c r="J1007" s="56">
        <v>45796</v>
      </c>
      <c r="K1007" s="57"/>
    </row>
    <row r="1008" spans="1:11" ht="15.75" hidden="1" customHeight="1" x14ac:dyDescent="0.35">
      <c r="A1008" s="47" t="s">
        <v>31</v>
      </c>
      <c r="B1008" s="48" t="s">
        <v>2116</v>
      </c>
      <c r="C1008" s="49" t="s">
        <v>2049</v>
      </c>
      <c r="D1008" s="50"/>
      <c r="E1008" s="51">
        <v>344250</v>
      </c>
      <c r="F1008" s="52">
        <f t="shared" si="71"/>
        <v>27540</v>
      </c>
      <c r="G1008" s="53">
        <f t="shared" si="72"/>
        <v>371790</v>
      </c>
      <c r="H1008" s="54">
        <v>371790</v>
      </c>
      <c r="I1008" s="55">
        <f t="shared" si="73"/>
        <v>0</v>
      </c>
      <c r="J1008" s="56">
        <v>45796</v>
      </c>
      <c r="K1008" s="57"/>
    </row>
    <row r="1009" spans="1:11" ht="15.75" hidden="1" customHeight="1" x14ac:dyDescent="0.35">
      <c r="A1009" s="47" t="s">
        <v>49</v>
      </c>
      <c r="B1009" s="48" t="s">
        <v>2116</v>
      </c>
      <c r="C1009" s="49" t="s">
        <v>2050</v>
      </c>
      <c r="D1009" s="50"/>
      <c r="E1009" s="51">
        <v>344250</v>
      </c>
      <c r="F1009" s="52">
        <f t="shared" si="71"/>
        <v>27540</v>
      </c>
      <c r="G1009" s="53">
        <f t="shared" si="72"/>
        <v>371790</v>
      </c>
      <c r="H1009" s="54">
        <v>371790</v>
      </c>
      <c r="I1009" s="55">
        <f t="shared" si="73"/>
        <v>0</v>
      </c>
      <c r="J1009" s="56">
        <v>45796</v>
      </c>
      <c r="K1009" s="57"/>
    </row>
    <row r="1010" spans="1:11" ht="15.75" hidden="1" customHeight="1" x14ac:dyDescent="0.35">
      <c r="A1010" s="47" t="s">
        <v>50</v>
      </c>
      <c r="B1010" s="48" t="s">
        <v>2116</v>
      </c>
      <c r="C1010" s="50" t="s">
        <v>588</v>
      </c>
      <c r="D1010" s="50"/>
      <c r="E1010" s="51">
        <v>344250</v>
      </c>
      <c r="F1010" s="52">
        <f t="shared" si="65"/>
        <v>27540</v>
      </c>
      <c r="G1010" s="53">
        <f t="shared" si="66"/>
        <v>371790</v>
      </c>
      <c r="H1010" s="54">
        <v>371790</v>
      </c>
      <c r="I1010" s="55">
        <f t="shared" si="67"/>
        <v>0</v>
      </c>
      <c r="J1010" s="56">
        <v>45796</v>
      </c>
      <c r="K1010" s="57"/>
    </row>
    <row r="1011" spans="1:11" ht="15.75" hidden="1" customHeight="1" x14ac:dyDescent="0.35">
      <c r="A1011" s="47" t="s">
        <v>33</v>
      </c>
      <c r="B1011" s="48" t="s">
        <v>2116</v>
      </c>
      <c r="C1011" s="49" t="s">
        <v>589</v>
      </c>
      <c r="D1011" s="50"/>
      <c r="E1011" s="51">
        <v>344250</v>
      </c>
      <c r="F1011" s="52">
        <f t="shared" si="65"/>
        <v>27540</v>
      </c>
      <c r="G1011" s="53">
        <f t="shared" si="66"/>
        <v>371790</v>
      </c>
      <c r="H1011" s="54">
        <v>371790</v>
      </c>
      <c r="I1011" s="55">
        <f t="shared" si="67"/>
        <v>0</v>
      </c>
      <c r="J1011" s="56">
        <v>45918</v>
      </c>
      <c r="K1011" s="57"/>
    </row>
    <row r="1012" spans="1:11" ht="15.75" hidden="1" customHeight="1" x14ac:dyDescent="0.35">
      <c r="A1012" s="47" t="s">
        <v>104</v>
      </c>
      <c r="B1012" s="48" t="s">
        <v>2116</v>
      </c>
      <c r="C1012" s="49" t="s">
        <v>2051</v>
      </c>
      <c r="D1012" s="50"/>
      <c r="E1012" s="51">
        <v>344250</v>
      </c>
      <c r="F1012" s="52">
        <f t="shared" si="65"/>
        <v>27540</v>
      </c>
      <c r="G1012" s="53">
        <f t="shared" si="66"/>
        <v>371790</v>
      </c>
      <c r="H1012" s="54">
        <v>371790</v>
      </c>
      <c r="I1012" s="55">
        <f t="shared" si="67"/>
        <v>0</v>
      </c>
      <c r="J1012" s="56">
        <v>45915</v>
      </c>
      <c r="K1012" s="57"/>
    </row>
    <row r="1013" spans="1:11" ht="15.75" hidden="1" customHeight="1" x14ac:dyDescent="0.35">
      <c r="A1013" s="47" t="s">
        <v>30</v>
      </c>
      <c r="B1013" s="48" t="s">
        <v>2116</v>
      </c>
      <c r="C1013" s="49" t="s">
        <v>590</v>
      </c>
      <c r="D1013" s="50"/>
      <c r="E1013" s="51">
        <v>344250</v>
      </c>
      <c r="F1013" s="52">
        <f t="shared" si="65"/>
        <v>27540</v>
      </c>
      <c r="G1013" s="53">
        <f t="shared" si="66"/>
        <v>371790</v>
      </c>
      <c r="H1013" s="54">
        <v>371790</v>
      </c>
      <c r="I1013" s="55">
        <f t="shared" si="67"/>
        <v>0</v>
      </c>
      <c r="J1013" s="56">
        <v>45915</v>
      </c>
      <c r="K1013" s="57"/>
    </row>
    <row r="1014" spans="1:11" ht="15.75" hidden="1" customHeight="1" x14ac:dyDescent="0.35">
      <c r="A1014" s="47" t="s">
        <v>23</v>
      </c>
      <c r="B1014" s="48" t="s">
        <v>2116</v>
      </c>
      <c r="C1014" s="49" t="s">
        <v>2052</v>
      </c>
      <c r="D1014" s="50"/>
      <c r="E1014" s="51">
        <v>344250</v>
      </c>
      <c r="F1014" s="52">
        <f t="shared" si="65"/>
        <v>27540</v>
      </c>
      <c r="G1014" s="53">
        <f t="shared" si="66"/>
        <v>371790</v>
      </c>
      <c r="H1014" s="54">
        <v>371790</v>
      </c>
      <c r="I1014" s="55">
        <f t="shared" si="67"/>
        <v>0</v>
      </c>
      <c r="J1014" s="56">
        <v>45915</v>
      </c>
      <c r="K1014" s="57"/>
    </row>
    <row r="1015" spans="1:11" ht="15.75" hidden="1" customHeight="1" x14ac:dyDescent="0.35">
      <c r="A1015" s="47" t="s">
        <v>1593</v>
      </c>
      <c r="B1015" s="48" t="s">
        <v>2116</v>
      </c>
      <c r="C1015" s="49" t="s">
        <v>2053</v>
      </c>
      <c r="D1015" s="50"/>
      <c r="E1015" s="51">
        <v>344250</v>
      </c>
      <c r="F1015" s="52">
        <f t="shared" si="65"/>
        <v>27540</v>
      </c>
      <c r="G1015" s="53">
        <f t="shared" si="66"/>
        <v>371790</v>
      </c>
      <c r="H1015" s="54">
        <v>371790</v>
      </c>
      <c r="I1015" s="55">
        <f t="shared" si="67"/>
        <v>0</v>
      </c>
      <c r="J1015" s="56">
        <v>45915</v>
      </c>
      <c r="K1015" s="57"/>
    </row>
    <row r="1016" spans="1:11" ht="15.75" hidden="1" customHeight="1" x14ac:dyDescent="0.35">
      <c r="A1016" s="47" t="s">
        <v>127</v>
      </c>
      <c r="B1016" s="48" t="s">
        <v>2116</v>
      </c>
      <c r="C1016" s="49" t="s">
        <v>2054</v>
      </c>
      <c r="D1016" s="50"/>
      <c r="E1016" s="51">
        <v>344250</v>
      </c>
      <c r="F1016" s="52">
        <f t="shared" si="65"/>
        <v>27540</v>
      </c>
      <c r="G1016" s="53">
        <f t="shared" si="66"/>
        <v>371790</v>
      </c>
      <c r="H1016" s="54">
        <v>371790</v>
      </c>
      <c r="I1016" s="55">
        <f t="shared" si="67"/>
        <v>0</v>
      </c>
      <c r="J1016" s="56">
        <v>45796</v>
      </c>
      <c r="K1016" s="57"/>
    </row>
    <row r="1017" spans="1:11" ht="15.75" hidden="1" customHeight="1" x14ac:dyDescent="0.35">
      <c r="A1017" s="47" t="s">
        <v>147</v>
      </c>
      <c r="B1017" s="48" t="s">
        <v>2116</v>
      </c>
      <c r="C1017" s="49" t="s">
        <v>2055</v>
      </c>
      <c r="D1017" s="50"/>
      <c r="E1017" s="51">
        <v>344250</v>
      </c>
      <c r="F1017" s="52">
        <f t="shared" si="65"/>
        <v>27540</v>
      </c>
      <c r="G1017" s="53">
        <f t="shared" ref="G1017:G1078" si="74">E1017+F1017</f>
        <v>371790</v>
      </c>
      <c r="H1017" s="54">
        <v>371790</v>
      </c>
      <c r="I1017" s="55">
        <f t="shared" si="67"/>
        <v>0</v>
      </c>
      <c r="J1017" s="56">
        <v>45828</v>
      </c>
      <c r="K1017" s="57"/>
    </row>
    <row r="1018" spans="1:11" ht="15.75" hidden="1" customHeight="1" x14ac:dyDescent="0.35">
      <c r="A1018" s="47" t="s">
        <v>84</v>
      </c>
      <c r="B1018" s="48" t="s">
        <v>2116</v>
      </c>
      <c r="C1018" s="49" t="s">
        <v>2056</v>
      </c>
      <c r="D1018" s="50"/>
      <c r="E1018" s="51">
        <v>344250</v>
      </c>
      <c r="F1018" s="52">
        <f t="shared" ref="F1018:F1079" si="75">+E1018*0.08</f>
        <v>27540</v>
      </c>
      <c r="G1018" s="53">
        <f t="shared" si="74"/>
        <v>371790</v>
      </c>
      <c r="H1018" s="54">
        <v>371790</v>
      </c>
      <c r="I1018" s="55">
        <f t="shared" ref="I1018:I1079" si="76">G1018-H1018</f>
        <v>0</v>
      </c>
      <c r="J1018" s="56">
        <v>45828</v>
      </c>
      <c r="K1018" s="57"/>
    </row>
    <row r="1019" spans="1:11" ht="15.75" hidden="1" customHeight="1" x14ac:dyDescent="0.35">
      <c r="A1019" s="47" t="s">
        <v>167</v>
      </c>
      <c r="B1019" s="48" t="s">
        <v>2116</v>
      </c>
      <c r="C1019" s="49" t="s">
        <v>2057</v>
      </c>
      <c r="D1019" s="50"/>
      <c r="E1019" s="51">
        <v>344250</v>
      </c>
      <c r="F1019" s="52">
        <f t="shared" si="75"/>
        <v>27540</v>
      </c>
      <c r="G1019" s="53">
        <f t="shared" si="74"/>
        <v>371790</v>
      </c>
      <c r="H1019" s="54">
        <v>371790</v>
      </c>
      <c r="I1019" s="55">
        <f t="shared" si="76"/>
        <v>0</v>
      </c>
      <c r="J1019" s="56">
        <v>45978</v>
      </c>
      <c r="K1019" s="57"/>
    </row>
    <row r="1020" spans="1:11" ht="15.75" hidden="1" customHeight="1" x14ac:dyDescent="0.35">
      <c r="A1020" s="47" t="s">
        <v>1588</v>
      </c>
      <c r="B1020" s="48" t="s">
        <v>2116</v>
      </c>
      <c r="C1020" s="50" t="s">
        <v>2058</v>
      </c>
      <c r="D1020" s="50"/>
      <c r="E1020" s="51">
        <v>344250</v>
      </c>
      <c r="F1020" s="52"/>
      <c r="G1020" s="53"/>
      <c r="H1020" s="54"/>
      <c r="I1020" s="55">
        <f t="shared" si="76"/>
        <v>0</v>
      </c>
      <c r="J1020" s="56" t="s">
        <v>60</v>
      </c>
      <c r="K1020" s="57"/>
    </row>
    <row r="1021" spans="1:11" ht="15.75" hidden="1" customHeight="1" x14ac:dyDescent="0.35">
      <c r="A1021" s="47" t="s">
        <v>1604</v>
      </c>
      <c r="B1021" s="48">
        <v>45758</v>
      </c>
      <c r="C1021" s="50" t="s">
        <v>2059</v>
      </c>
      <c r="D1021" s="49" t="s">
        <v>2139</v>
      </c>
      <c r="E1021" s="51">
        <v>344250</v>
      </c>
      <c r="F1021" s="52">
        <f t="shared" si="75"/>
        <v>27540</v>
      </c>
      <c r="G1021" s="53">
        <f t="shared" si="74"/>
        <v>371790</v>
      </c>
      <c r="H1021" s="54">
        <v>371790</v>
      </c>
      <c r="I1021" s="55">
        <f t="shared" si="76"/>
        <v>0</v>
      </c>
      <c r="J1021" s="56">
        <v>45828</v>
      </c>
      <c r="K1021" s="57"/>
    </row>
    <row r="1022" spans="1:11" ht="15.75" hidden="1" customHeight="1" x14ac:dyDescent="0.35">
      <c r="A1022" s="47" t="s">
        <v>350</v>
      </c>
      <c r="B1022" s="48" t="s">
        <v>2116</v>
      </c>
      <c r="C1022" s="49" t="s">
        <v>2060</v>
      </c>
      <c r="D1022" s="50"/>
      <c r="E1022" s="51">
        <v>344250</v>
      </c>
      <c r="F1022" s="52">
        <f t="shared" si="75"/>
        <v>27540</v>
      </c>
      <c r="G1022" s="53">
        <f t="shared" si="74"/>
        <v>371790</v>
      </c>
      <c r="H1022" s="54">
        <v>371790</v>
      </c>
      <c r="I1022" s="55">
        <f t="shared" si="76"/>
        <v>0</v>
      </c>
      <c r="J1022" s="56">
        <v>45918</v>
      </c>
      <c r="K1022" s="57"/>
    </row>
    <row r="1023" spans="1:11" ht="15.75" hidden="1" customHeight="1" x14ac:dyDescent="0.35">
      <c r="A1023" s="47" t="s">
        <v>1597</v>
      </c>
      <c r="B1023" s="48" t="s">
        <v>2116</v>
      </c>
      <c r="C1023" s="49" t="s">
        <v>2061</v>
      </c>
      <c r="D1023" s="50"/>
      <c r="E1023" s="51">
        <v>344250</v>
      </c>
      <c r="F1023" s="52">
        <f t="shared" si="75"/>
        <v>27540</v>
      </c>
      <c r="G1023" s="53">
        <f t="shared" si="74"/>
        <v>371790</v>
      </c>
      <c r="H1023" s="54">
        <v>371790</v>
      </c>
      <c r="I1023" s="55">
        <f t="shared" si="76"/>
        <v>0</v>
      </c>
      <c r="J1023" s="56">
        <v>45918</v>
      </c>
      <c r="K1023" s="57"/>
    </row>
    <row r="1024" spans="1:11" ht="15.75" hidden="1" customHeight="1" x14ac:dyDescent="0.35">
      <c r="A1024" s="47" t="s">
        <v>142</v>
      </c>
      <c r="B1024" s="48" t="s">
        <v>2116</v>
      </c>
      <c r="C1024" s="49" t="s">
        <v>2062</v>
      </c>
      <c r="D1024" s="50"/>
      <c r="E1024" s="51">
        <v>344250</v>
      </c>
      <c r="F1024" s="52">
        <f t="shared" si="75"/>
        <v>27540</v>
      </c>
      <c r="G1024" s="53">
        <f t="shared" si="74"/>
        <v>371790</v>
      </c>
      <c r="H1024" s="54">
        <v>371790</v>
      </c>
      <c r="I1024" s="55">
        <f t="shared" si="76"/>
        <v>0</v>
      </c>
      <c r="J1024" s="56">
        <v>45796</v>
      </c>
      <c r="K1024" s="57"/>
    </row>
    <row r="1025" spans="1:11" ht="15.75" hidden="1" customHeight="1" x14ac:dyDescent="0.35">
      <c r="A1025" s="47" t="s">
        <v>145</v>
      </c>
      <c r="B1025" s="48" t="s">
        <v>2116</v>
      </c>
      <c r="C1025" s="49" t="s">
        <v>2063</v>
      </c>
      <c r="D1025" s="50"/>
      <c r="E1025" s="51">
        <v>344250</v>
      </c>
      <c r="F1025" s="52">
        <f t="shared" si="75"/>
        <v>27540</v>
      </c>
      <c r="G1025" s="53">
        <f t="shared" si="74"/>
        <v>371790</v>
      </c>
      <c r="H1025" s="54">
        <v>371790</v>
      </c>
      <c r="I1025" s="55">
        <f t="shared" si="76"/>
        <v>0</v>
      </c>
      <c r="J1025" s="56">
        <v>45918</v>
      </c>
      <c r="K1025" s="57"/>
    </row>
    <row r="1026" spans="1:11" ht="15.75" hidden="1" customHeight="1" x14ac:dyDescent="0.35">
      <c r="A1026" s="47" t="s">
        <v>98</v>
      </c>
      <c r="B1026" s="48" t="s">
        <v>2116</v>
      </c>
      <c r="C1026" s="49" t="s">
        <v>2064</v>
      </c>
      <c r="D1026" s="50"/>
      <c r="E1026" s="51">
        <v>344250</v>
      </c>
      <c r="F1026" s="52">
        <f t="shared" si="75"/>
        <v>27540</v>
      </c>
      <c r="G1026" s="53">
        <f t="shared" si="74"/>
        <v>371790</v>
      </c>
      <c r="H1026" s="54">
        <v>371790</v>
      </c>
      <c r="I1026" s="55">
        <f t="shared" si="76"/>
        <v>0</v>
      </c>
      <c r="J1026" s="56">
        <v>45918</v>
      </c>
      <c r="K1026" s="57"/>
    </row>
    <row r="1027" spans="1:11" ht="15.75" customHeight="1" x14ac:dyDescent="0.35">
      <c r="A1027" s="47" t="s">
        <v>144</v>
      </c>
      <c r="B1027" s="48" t="s">
        <v>2116</v>
      </c>
      <c r="C1027" s="49" t="s">
        <v>2065</v>
      </c>
      <c r="D1027" s="50"/>
      <c r="E1027" s="51">
        <v>344250</v>
      </c>
      <c r="F1027" s="52">
        <f t="shared" si="75"/>
        <v>27540</v>
      </c>
      <c r="G1027" s="53">
        <f t="shared" si="74"/>
        <v>371790</v>
      </c>
      <c r="H1027" s="54">
        <v>371790</v>
      </c>
      <c r="I1027" s="55">
        <f t="shared" si="76"/>
        <v>0</v>
      </c>
      <c r="J1027" s="56">
        <v>46254</v>
      </c>
      <c r="K1027" s="57" t="s">
        <v>3387</v>
      </c>
    </row>
    <row r="1028" spans="1:11" ht="15.75" hidden="1" customHeight="1" x14ac:dyDescent="0.35">
      <c r="A1028" s="47" t="s">
        <v>141</v>
      </c>
      <c r="B1028" s="48" t="s">
        <v>2116</v>
      </c>
      <c r="C1028" s="49" t="s">
        <v>2066</v>
      </c>
      <c r="D1028" s="50"/>
      <c r="E1028" s="51">
        <v>344250</v>
      </c>
      <c r="F1028" s="52">
        <f t="shared" si="75"/>
        <v>27540</v>
      </c>
      <c r="G1028" s="53">
        <f t="shared" si="74"/>
        <v>371790</v>
      </c>
      <c r="H1028" s="54">
        <v>371790</v>
      </c>
      <c r="I1028" s="55">
        <f t="shared" si="76"/>
        <v>0</v>
      </c>
      <c r="J1028" s="56">
        <v>45796</v>
      </c>
      <c r="K1028" s="57"/>
    </row>
    <row r="1029" spans="1:11" ht="15.75" hidden="1" customHeight="1" x14ac:dyDescent="0.35">
      <c r="A1029" s="47" t="s">
        <v>1582</v>
      </c>
      <c r="B1029" s="48" t="s">
        <v>2116</v>
      </c>
      <c r="C1029" s="49" t="s">
        <v>2067</v>
      </c>
      <c r="D1029" s="50"/>
      <c r="E1029" s="51">
        <v>344250</v>
      </c>
      <c r="F1029" s="52">
        <f t="shared" si="75"/>
        <v>27540</v>
      </c>
      <c r="G1029" s="53">
        <f t="shared" si="74"/>
        <v>371790</v>
      </c>
      <c r="H1029" s="54">
        <v>371790</v>
      </c>
      <c r="I1029" s="55">
        <f t="shared" si="76"/>
        <v>0</v>
      </c>
      <c r="J1029" s="56">
        <v>45918</v>
      </c>
      <c r="K1029" s="57"/>
    </row>
    <row r="1030" spans="1:11" ht="15.75" hidden="1" customHeight="1" x14ac:dyDescent="0.35">
      <c r="A1030" s="47" t="s">
        <v>70</v>
      </c>
      <c r="B1030" s="48" t="s">
        <v>2116</v>
      </c>
      <c r="C1030" s="49" t="s">
        <v>2068</v>
      </c>
      <c r="D1030" s="50"/>
      <c r="E1030" s="51">
        <v>344250</v>
      </c>
      <c r="F1030" s="52">
        <f t="shared" si="75"/>
        <v>27540</v>
      </c>
      <c r="G1030" s="53">
        <f t="shared" si="74"/>
        <v>371790</v>
      </c>
      <c r="H1030" s="54">
        <v>371790</v>
      </c>
      <c r="I1030" s="55">
        <f t="shared" si="76"/>
        <v>0</v>
      </c>
      <c r="J1030" s="56">
        <v>45828</v>
      </c>
      <c r="K1030" s="57"/>
    </row>
    <row r="1031" spans="1:11" ht="15.75" hidden="1" customHeight="1" x14ac:dyDescent="0.35">
      <c r="A1031" s="47" t="s">
        <v>1603</v>
      </c>
      <c r="B1031" s="48" t="s">
        <v>2116</v>
      </c>
      <c r="C1031" s="49" t="s">
        <v>2069</v>
      </c>
      <c r="D1031" s="50"/>
      <c r="E1031" s="51">
        <v>344250</v>
      </c>
      <c r="F1031" s="52">
        <f t="shared" si="75"/>
        <v>27540</v>
      </c>
      <c r="G1031" s="53">
        <f t="shared" si="74"/>
        <v>371790</v>
      </c>
      <c r="H1031" s="54">
        <v>371790</v>
      </c>
      <c r="I1031" s="55">
        <f t="shared" si="76"/>
        <v>0</v>
      </c>
      <c r="J1031" s="56">
        <v>45828</v>
      </c>
      <c r="K1031" s="57"/>
    </row>
    <row r="1032" spans="1:11" ht="15.75" hidden="1" customHeight="1" x14ac:dyDescent="0.35">
      <c r="A1032" s="47" t="s">
        <v>92</v>
      </c>
      <c r="B1032" s="48" t="s">
        <v>2116</v>
      </c>
      <c r="C1032" s="49" t="s">
        <v>2070</v>
      </c>
      <c r="D1032" s="50"/>
      <c r="E1032" s="51">
        <v>344250</v>
      </c>
      <c r="F1032" s="52">
        <f t="shared" si="75"/>
        <v>27540</v>
      </c>
      <c r="G1032" s="53">
        <f t="shared" si="74"/>
        <v>371790</v>
      </c>
      <c r="H1032" s="54">
        <v>371790</v>
      </c>
      <c r="I1032" s="55">
        <f t="shared" si="76"/>
        <v>0</v>
      </c>
      <c r="J1032" s="56">
        <v>45828</v>
      </c>
      <c r="K1032" s="57"/>
    </row>
    <row r="1033" spans="1:11" ht="15.75" hidden="1" customHeight="1" x14ac:dyDescent="0.35">
      <c r="A1033" s="47" t="s">
        <v>45</v>
      </c>
      <c r="B1033" s="48" t="s">
        <v>2116</v>
      </c>
      <c r="C1033" s="49" t="s">
        <v>2071</v>
      </c>
      <c r="D1033" s="50"/>
      <c r="E1033" s="51">
        <v>344250</v>
      </c>
      <c r="F1033" s="52">
        <f t="shared" si="75"/>
        <v>27540</v>
      </c>
      <c r="G1033" s="53">
        <f t="shared" si="74"/>
        <v>371790</v>
      </c>
      <c r="H1033" s="54">
        <v>371790</v>
      </c>
      <c r="I1033" s="55">
        <f t="shared" si="76"/>
        <v>0</v>
      </c>
      <c r="J1033" s="56">
        <v>45828</v>
      </c>
      <c r="K1033" s="57"/>
    </row>
    <row r="1034" spans="1:11" ht="15.75" customHeight="1" x14ac:dyDescent="0.35">
      <c r="A1034" s="47" t="s">
        <v>188</v>
      </c>
      <c r="B1034" s="48" t="s">
        <v>2116</v>
      </c>
      <c r="C1034" s="49" t="s">
        <v>2072</v>
      </c>
      <c r="D1034" s="50"/>
      <c r="E1034" s="51">
        <v>344250</v>
      </c>
      <c r="F1034" s="52">
        <f t="shared" si="75"/>
        <v>27540</v>
      </c>
      <c r="G1034" s="53">
        <f t="shared" si="74"/>
        <v>371790</v>
      </c>
      <c r="H1034" s="54">
        <v>371790</v>
      </c>
      <c r="I1034" s="55">
        <f t="shared" si="76"/>
        <v>0</v>
      </c>
      <c r="J1034" s="56">
        <v>46254</v>
      </c>
      <c r="K1034" s="57" t="s">
        <v>3387</v>
      </c>
    </row>
    <row r="1035" spans="1:11" ht="15.75" hidden="1" customHeight="1" x14ac:dyDescent="0.35">
      <c r="A1035" s="47" t="s">
        <v>146</v>
      </c>
      <c r="B1035" s="48" t="s">
        <v>2116</v>
      </c>
      <c r="C1035" s="49" t="s">
        <v>2073</v>
      </c>
      <c r="D1035" s="50"/>
      <c r="E1035" s="51">
        <v>344250</v>
      </c>
      <c r="F1035" s="52">
        <f t="shared" si="75"/>
        <v>27540</v>
      </c>
      <c r="G1035" s="53">
        <f t="shared" si="74"/>
        <v>371790</v>
      </c>
      <c r="H1035" s="54">
        <v>371790</v>
      </c>
      <c r="I1035" s="55">
        <f t="shared" si="76"/>
        <v>0</v>
      </c>
      <c r="J1035" s="56">
        <v>45918</v>
      </c>
      <c r="K1035" s="57"/>
    </row>
    <row r="1036" spans="1:11" ht="15.75" hidden="1" customHeight="1" x14ac:dyDescent="0.35">
      <c r="A1036" s="47" t="s">
        <v>156</v>
      </c>
      <c r="B1036" s="48" t="s">
        <v>2116</v>
      </c>
      <c r="C1036" s="49" t="s">
        <v>2074</v>
      </c>
      <c r="D1036" s="50"/>
      <c r="E1036" s="51">
        <v>344250</v>
      </c>
      <c r="F1036" s="52">
        <f t="shared" si="75"/>
        <v>27540</v>
      </c>
      <c r="G1036" s="53">
        <f t="shared" si="74"/>
        <v>371790</v>
      </c>
      <c r="H1036" s="54">
        <v>371790</v>
      </c>
      <c r="I1036" s="55">
        <f t="shared" si="76"/>
        <v>0</v>
      </c>
      <c r="J1036" s="56">
        <v>45918</v>
      </c>
      <c r="K1036" s="57"/>
    </row>
    <row r="1037" spans="1:11" ht="15.75" hidden="1" customHeight="1" x14ac:dyDescent="0.35">
      <c r="A1037" s="47" t="s">
        <v>269</v>
      </c>
      <c r="B1037" s="48" t="s">
        <v>2116</v>
      </c>
      <c r="C1037" s="49" t="s">
        <v>2075</v>
      </c>
      <c r="D1037" s="50"/>
      <c r="E1037" s="51">
        <v>344250</v>
      </c>
      <c r="F1037" s="52">
        <f t="shared" si="75"/>
        <v>27540</v>
      </c>
      <c r="G1037" s="53">
        <f t="shared" si="74"/>
        <v>371790</v>
      </c>
      <c r="H1037" s="54">
        <v>371790</v>
      </c>
      <c r="I1037" s="55">
        <f t="shared" si="76"/>
        <v>0</v>
      </c>
      <c r="J1037" s="56">
        <v>45918</v>
      </c>
      <c r="K1037" s="57"/>
    </row>
    <row r="1038" spans="1:11" ht="15.75" hidden="1" customHeight="1" x14ac:dyDescent="0.35">
      <c r="A1038" s="47" t="s">
        <v>88</v>
      </c>
      <c r="B1038" s="48" t="s">
        <v>2116</v>
      </c>
      <c r="C1038" s="49" t="s">
        <v>2076</v>
      </c>
      <c r="D1038" s="50"/>
      <c r="E1038" s="51">
        <v>344250</v>
      </c>
      <c r="F1038" s="52">
        <f t="shared" si="75"/>
        <v>27540</v>
      </c>
      <c r="G1038" s="53">
        <f t="shared" si="74"/>
        <v>371790</v>
      </c>
      <c r="H1038" s="54">
        <v>371790</v>
      </c>
      <c r="I1038" s="55">
        <f t="shared" si="76"/>
        <v>0</v>
      </c>
      <c r="J1038" s="56">
        <v>45918</v>
      </c>
      <c r="K1038" s="57"/>
    </row>
    <row r="1039" spans="1:11" ht="15.75" hidden="1" customHeight="1" x14ac:dyDescent="0.35">
      <c r="A1039" s="47" t="s">
        <v>155</v>
      </c>
      <c r="B1039" s="48" t="s">
        <v>2116</v>
      </c>
      <c r="C1039" s="49" t="s">
        <v>2077</v>
      </c>
      <c r="D1039" s="50"/>
      <c r="E1039" s="51">
        <v>344250</v>
      </c>
      <c r="F1039" s="52">
        <f t="shared" si="75"/>
        <v>27540</v>
      </c>
      <c r="G1039" s="53">
        <f t="shared" si="74"/>
        <v>371790</v>
      </c>
      <c r="H1039" s="54">
        <v>371790</v>
      </c>
      <c r="I1039" s="55">
        <f t="shared" si="76"/>
        <v>0</v>
      </c>
      <c r="J1039" s="56">
        <v>45918</v>
      </c>
      <c r="K1039" s="57"/>
    </row>
    <row r="1040" spans="1:11" ht="15.75" hidden="1" customHeight="1" x14ac:dyDescent="0.35">
      <c r="A1040" s="47" t="s">
        <v>134</v>
      </c>
      <c r="B1040" s="48" t="s">
        <v>2116</v>
      </c>
      <c r="C1040" s="49" t="s">
        <v>2078</v>
      </c>
      <c r="D1040" s="50"/>
      <c r="E1040" s="51">
        <v>344250</v>
      </c>
      <c r="F1040" s="52">
        <f t="shared" si="75"/>
        <v>27540</v>
      </c>
      <c r="G1040" s="53">
        <f t="shared" si="74"/>
        <v>371790</v>
      </c>
      <c r="H1040" s="54">
        <v>371790</v>
      </c>
      <c r="I1040" s="55">
        <f t="shared" si="76"/>
        <v>0</v>
      </c>
      <c r="J1040" s="56">
        <v>45918</v>
      </c>
      <c r="K1040" s="57"/>
    </row>
    <row r="1041" spans="1:11" ht="15.75" hidden="1" customHeight="1" x14ac:dyDescent="0.35">
      <c r="A1041" s="47" t="s">
        <v>163</v>
      </c>
      <c r="B1041" s="48" t="s">
        <v>2116</v>
      </c>
      <c r="C1041" s="49" t="s">
        <v>2079</v>
      </c>
      <c r="D1041" s="50"/>
      <c r="E1041" s="51">
        <v>344250</v>
      </c>
      <c r="F1041" s="52">
        <f t="shared" si="75"/>
        <v>27540</v>
      </c>
      <c r="G1041" s="53">
        <f t="shared" si="74"/>
        <v>371790</v>
      </c>
      <c r="H1041" s="54">
        <v>371790</v>
      </c>
      <c r="I1041" s="55">
        <f t="shared" si="76"/>
        <v>0</v>
      </c>
      <c r="J1041" s="56">
        <v>45918</v>
      </c>
      <c r="K1041" s="57"/>
    </row>
    <row r="1042" spans="1:11" ht="15.75" hidden="1" customHeight="1" x14ac:dyDescent="0.35">
      <c r="A1042" s="47" t="s">
        <v>86</v>
      </c>
      <c r="B1042" s="48" t="s">
        <v>2116</v>
      </c>
      <c r="C1042" s="49" t="s">
        <v>2080</v>
      </c>
      <c r="D1042" s="50"/>
      <c r="E1042" s="51">
        <v>344250</v>
      </c>
      <c r="F1042" s="52">
        <f t="shared" si="75"/>
        <v>27540</v>
      </c>
      <c r="G1042" s="53">
        <f t="shared" si="74"/>
        <v>371790</v>
      </c>
      <c r="H1042" s="54">
        <v>371790</v>
      </c>
      <c r="I1042" s="55">
        <f t="shared" si="76"/>
        <v>0</v>
      </c>
      <c r="J1042" s="56">
        <v>45918</v>
      </c>
      <c r="K1042" s="57"/>
    </row>
    <row r="1043" spans="1:11" ht="15.75" hidden="1" customHeight="1" x14ac:dyDescent="0.35">
      <c r="A1043" s="47" t="s">
        <v>90</v>
      </c>
      <c r="B1043" s="48" t="s">
        <v>2116</v>
      </c>
      <c r="C1043" s="49" t="s">
        <v>2081</v>
      </c>
      <c r="D1043" s="50"/>
      <c r="E1043" s="51">
        <v>344250</v>
      </c>
      <c r="F1043" s="52">
        <f t="shared" si="75"/>
        <v>27540</v>
      </c>
      <c r="G1043" s="53">
        <f t="shared" si="74"/>
        <v>371790</v>
      </c>
      <c r="H1043" s="54">
        <v>371790</v>
      </c>
      <c r="I1043" s="55">
        <f t="shared" si="76"/>
        <v>0</v>
      </c>
      <c r="J1043" s="56">
        <v>45918</v>
      </c>
      <c r="K1043" s="57"/>
    </row>
    <row r="1044" spans="1:11" ht="15.75" hidden="1" customHeight="1" x14ac:dyDescent="0.35">
      <c r="A1044" s="47" t="s">
        <v>121</v>
      </c>
      <c r="B1044" s="48" t="s">
        <v>2116</v>
      </c>
      <c r="C1044" s="49" t="s">
        <v>2082</v>
      </c>
      <c r="D1044" s="50"/>
      <c r="E1044" s="51">
        <v>344250</v>
      </c>
      <c r="F1044" s="52">
        <f t="shared" si="75"/>
        <v>27540</v>
      </c>
      <c r="G1044" s="53">
        <f t="shared" si="74"/>
        <v>371790</v>
      </c>
      <c r="H1044" s="54">
        <v>371790</v>
      </c>
      <c r="I1044" s="55">
        <f t="shared" si="76"/>
        <v>0</v>
      </c>
      <c r="J1044" s="56">
        <v>45918</v>
      </c>
      <c r="K1044" s="57"/>
    </row>
    <row r="1045" spans="1:11" ht="15.75" hidden="1" customHeight="1" x14ac:dyDescent="0.35">
      <c r="A1045" s="47" t="s">
        <v>126</v>
      </c>
      <c r="B1045" s="48" t="s">
        <v>2116</v>
      </c>
      <c r="C1045" s="49" t="s">
        <v>2083</v>
      </c>
      <c r="D1045" s="50"/>
      <c r="E1045" s="51">
        <v>344250</v>
      </c>
      <c r="F1045" s="52">
        <f t="shared" si="75"/>
        <v>27540</v>
      </c>
      <c r="G1045" s="53">
        <f t="shared" si="74"/>
        <v>371790</v>
      </c>
      <c r="H1045" s="54">
        <v>371790</v>
      </c>
      <c r="I1045" s="55">
        <f t="shared" si="76"/>
        <v>0</v>
      </c>
      <c r="J1045" s="56">
        <v>45918</v>
      </c>
      <c r="K1045" s="57"/>
    </row>
    <row r="1046" spans="1:11" ht="15.75" hidden="1" customHeight="1" x14ac:dyDescent="0.35">
      <c r="A1046" s="47" t="s">
        <v>148</v>
      </c>
      <c r="B1046" s="48" t="s">
        <v>2116</v>
      </c>
      <c r="C1046" s="49" t="s">
        <v>2084</v>
      </c>
      <c r="D1046" s="50"/>
      <c r="E1046" s="51">
        <v>344250</v>
      </c>
      <c r="F1046" s="52">
        <f t="shared" si="75"/>
        <v>27540</v>
      </c>
      <c r="G1046" s="53">
        <f t="shared" si="74"/>
        <v>371790</v>
      </c>
      <c r="H1046" s="54">
        <v>371790</v>
      </c>
      <c r="I1046" s="55">
        <f t="shared" si="76"/>
        <v>0</v>
      </c>
      <c r="J1046" s="56">
        <v>46008</v>
      </c>
      <c r="K1046" s="57"/>
    </row>
    <row r="1047" spans="1:11" ht="15.75" hidden="1" customHeight="1" x14ac:dyDescent="0.35">
      <c r="A1047" s="47" t="s">
        <v>15</v>
      </c>
      <c r="B1047" s="48" t="s">
        <v>2116</v>
      </c>
      <c r="C1047" s="49" t="s">
        <v>2085</v>
      </c>
      <c r="D1047" s="50"/>
      <c r="E1047" s="51">
        <v>344250</v>
      </c>
      <c r="F1047" s="52">
        <f t="shared" si="75"/>
        <v>27540</v>
      </c>
      <c r="G1047" s="53">
        <f t="shared" si="74"/>
        <v>371790</v>
      </c>
      <c r="H1047" s="54">
        <v>371790</v>
      </c>
      <c r="I1047" s="55">
        <f t="shared" si="76"/>
        <v>0</v>
      </c>
      <c r="J1047" s="56">
        <v>45796</v>
      </c>
      <c r="K1047" s="57"/>
    </row>
    <row r="1048" spans="1:11" ht="15.75" hidden="1" customHeight="1" x14ac:dyDescent="0.35">
      <c r="A1048" s="47" t="s">
        <v>1600</v>
      </c>
      <c r="B1048" s="48" t="s">
        <v>2116</v>
      </c>
      <c r="C1048" s="49" t="s">
        <v>2086</v>
      </c>
      <c r="D1048" s="50"/>
      <c r="E1048" s="51">
        <v>344250</v>
      </c>
      <c r="F1048" s="52">
        <f t="shared" si="75"/>
        <v>27540</v>
      </c>
      <c r="G1048" s="53">
        <f t="shared" si="74"/>
        <v>371790</v>
      </c>
      <c r="H1048" s="54">
        <v>371790</v>
      </c>
      <c r="I1048" s="55">
        <f t="shared" si="76"/>
        <v>0</v>
      </c>
      <c r="J1048" s="56">
        <v>45863</v>
      </c>
      <c r="K1048" s="57"/>
    </row>
    <row r="1049" spans="1:11" ht="15.75" hidden="1" customHeight="1" x14ac:dyDescent="0.35">
      <c r="A1049" s="47" t="s">
        <v>153</v>
      </c>
      <c r="B1049" s="48" t="s">
        <v>2116</v>
      </c>
      <c r="C1049" s="49" t="s">
        <v>2087</v>
      </c>
      <c r="D1049" s="50"/>
      <c r="E1049" s="51">
        <v>344250</v>
      </c>
      <c r="F1049" s="52">
        <f t="shared" si="75"/>
        <v>27540</v>
      </c>
      <c r="G1049" s="53">
        <f t="shared" si="74"/>
        <v>371790</v>
      </c>
      <c r="H1049" s="54">
        <v>371790</v>
      </c>
      <c r="I1049" s="55">
        <f t="shared" si="76"/>
        <v>0</v>
      </c>
      <c r="J1049" s="56">
        <v>45863</v>
      </c>
      <c r="K1049" s="57"/>
    </row>
    <row r="1050" spans="1:11" ht="15.75" hidden="1" customHeight="1" x14ac:dyDescent="0.35">
      <c r="A1050" s="47" t="s">
        <v>1591</v>
      </c>
      <c r="B1050" s="48" t="s">
        <v>2116</v>
      </c>
      <c r="C1050" s="49" t="s">
        <v>2088</v>
      </c>
      <c r="D1050" s="50"/>
      <c r="E1050" s="51">
        <v>344250</v>
      </c>
      <c r="F1050" s="52">
        <f t="shared" si="75"/>
        <v>27540</v>
      </c>
      <c r="G1050" s="53">
        <f t="shared" si="74"/>
        <v>371790</v>
      </c>
      <c r="H1050" s="54">
        <v>371790</v>
      </c>
      <c r="I1050" s="55">
        <f t="shared" si="76"/>
        <v>0</v>
      </c>
      <c r="J1050" s="56">
        <v>45863</v>
      </c>
      <c r="K1050" s="57"/>
    </row>
    <row r="1051" spans="1:11" ht="15.75" hidden="1" customHeight="1" x14ac:dyDescent="0.35">
      <c r="A1051" s="47" t="s">
        <v>120</v>
      </c>
      <c r="B1051" s="48" t="s">
        <v>2116</v>
      </c>
      <c r="C1051" s="49" t="s">
        <v>2089</v>
      </c>
      <c r="D1051" s="50"/>
      <c r="E1051" s="51">
        <v>344250</v>
      </c>
      <c r="F1051" s="52">
        <f t="shared" si="75"/>
        <v>27540</v>
      </c>
      <c r="G1051" s="53">
        <f t="shared" si="74"/>
        <v>371790</v>
      </c>
      <c r="H1051" s="54">
        <v>371790</v>
      </c>
      <c r="I1051" s="55">
        <f t="shared" si="76"/>
        <v>0</v>
      </c>
      <c r="J1051" s="56">
        <v>45828</v>
      </c>
      <c r="K1051" s="57"/>
    </row>
    <row r="1052" spans="1:11" ht="15.75" hidden="1" customHeight="1" x14ac:dyDescent="0.35">
      <c r="A1052" s="47" t="s">
        <v>1590</v>
      </c>
      <c r="B1052" s="48" t="s">
        <v>2116</v>
      </c>
      <c r="C1052" s="49" t="s">
        <v>2090</v>
      </c>
      <c r="D1052" s="50"/>
      <c r="E1052" s="51">
        <v>344250</v>
      </c>
      <c r="F1052" s="52">
        <f t="shared" si="75"/>
        <v>27540</v>
      </c>
      <c r="G1052" s="53">
        <f t="shared" si="74"/>
        <v>371790</v>
      </c>
      <c r="H1052" s="54">
        <v>371790</v>
      </c>
      <c r="I1052" s="55">
        <f t="shared" si="76"/>
        <v>0</v>
      </c>
      <c r="J1052" s="56">
        <v>45828</v>
      </c>
      <c r="K1052" s="57"/>
    </row>
    <row r="1053" spans="1:11" ht="15.75" hidden="1" customHeight="1" x14ac:dyDescent="0.35">
      <c r="A1053" s="47" t="s">
        <v>119</v>
      </c>
      <c r="B1053" s="48" t="s">
        <v>2116</v>
      </c>
      <c r="C1053" s="49" t="s">
        <v>2091</v>
      </c>
      <c r="D1053" s="50"/>
      <c r="E1053" s="51">
        <v>344250</v>
      </c>
      <c r="F1053" s="52">
        <f t="shared" si="75"/>
        <v>27540</v>
      </c>
      <c r="G1053" s="53">
        <f t="shared" si="74"/>
        <v>371790</v>
      </c>
      <c r="H1053" s="54">
        <v>371790</v>
      </c>
      <c r="I1053" s="55">
        <f t="shared" si="76"/>
        <v>0</v>
      </c>
      <c r="J1053" s="56">
        <v>45918</v>
      </c>
      <c r="K1053" s="57"/>
    </row>
    <row r="1054" spans="1:11" ht="15.75" hidden="1" customHeight="1" x14ac:dyDescent="0.35">
      <c r="A1054" s="47" t="s">
        <v>105</v>
      </c>
      <c r="B1054" s="48" t="s">
        <v>2116</v>
      </c>
      <c r="C1054" s="49" t="s">
        <v>2092</v>
      </c>
      <c r="D1054" s="50"/>
      <c r="E1054" s="51">
        <v>344250</v>
      </c>
      <c r="F1054" s="52">
        <f t="shared" si="75"/>
        <v>27540</v>
      </c>
      <c r="G1054" s="53">
        <f t="shared" si="74"/>
        <v>371790</v>
      </c>
      <c r="H1054" s="54">
        <v>371790</v>
      </c>
      <c r="I1054" s="55">
        <f t="shared" si="76"/>
        <v>0</v>
      </c>
      <c r="J1054" s="56">
        <v>45828</v>
      </c>
      <c r="K1054" s="57"/>
    </row>
    <row r="1055" spans="1:11" ht="15.75" hidden="1" customHeight="1" x14ac:dyDescent="0.35">
      <c r="A1055" s="47" t="s">
        <v>1599</v>
      </c>
      <c r="B1055" s="48" t="s">
        <v>2116</v>
      </c>
      <c r="C1055" s="49" t="s">
        <v>2093</v>
      </c>
      <c r="D1055" s="50"/>
      <c r="E1055" s="51">
        <v>344250</v>
      </c>
      <c r="F1055" s="52">
        <f t="shared" si="75"/>
        <v>27540</v>
      </c>
      <c r="G1055" s="53">
        <f t="shared" si="74"/>
        <v>371790</v>
      </c>
      <c r="H1055" s="54">
        <v>371790</v>
      </c>
      <c r="I1055" s="55">
        <f t="shared" si="76"/>
        <v>0</v>
      </c>
      <c r="J1055" s="56">
        <v>45828</v>
      </c>
      <c r="K1055" s="57"/>
    </row>
    <row r="1056" spans="1:11" ht="15.75" hidden="1" customHeight="1" x14ac:dyDescent="0.35">
      <c r="A1056" s="47" t="s">
        <v>1598</v>
      </c>
      <c r="B1056" s="48" t="s">
        <v>2116</v>
      </c>
      <c r="C1056" s="49" t="s">
        <v>2094</v>
      </c>
      <c r="D1056" s="50"/>
      <c r="E1056" s="51">
        <v>344250</v>
      </c>
      <c r="F1056" s="52">
        <f t="shared" si="75"/>
        <v>27540</v>
      </c>
      <c r="G1056" s="53">
        <f t="shared" si="74"/>
        <v>371790</v>
      </c>
      <c r="H1056" s="54">
        <v>371790</v>
      </c>
      <c r="I1056" s="55">
        <f t="shared" si="76"/>
        <v>0</v>
      </c>
      <c r="J1056" s="56">
        <v>45828</v>
      </c>
      <c r="K1056" s="57"/>
    </row>
    <row r="1057" spans="1:11" ht="15.75" hidden="1" customHeight="1" x14ac:dyDescent="0.35">
      <c r="A1057" s="47" t="s">
        <v>1595</v>
      </c>
      <c r="B1057" s="48" t="s">
        <v>2116</v>
      </c>
      <c r="C1057" s="49" t="s">
        <v>2095</v>
      </c>
      <c r="D1057" s="50"/>
      <c r="E1057" s="51">
        <v>344250</v>
      </c>
      <c r="F1057" s="52">
        <f t="shared" si="75"/>
        <v>27540</v>
      </c>
      <c r="G1057" s="53">
        <f t="shared" si="74"/>
        <v>371790</v>
      </c>
      <c r="H1057" s="54">
        <v>371790</v>
      </c>
      <c r="I1057" s="55">
        <f t="shared" si="76"/>
        <v>0</v>
      </c>
      <c r="J1057" s="56">
        <v>45828</v>
      </c>
      <c r="K1057" s="57"/>
    </row>
    <row r="1058" spans="1:11" ht="15.75" hidden="1" customHeight="1" x14ac:dyDescent="0.35">
      <c r="A1058" s="47" t="s">
        <v>1413</v>
      </c>
      <c r="B1058" s="48" t="s">
        <v>2116</v>
      </c>
      <c r="C1058" s="49" t="s">
        <v>2096</v>
      </c>
      <c r="D1058" s="50"/>
      <c r="E1058" s="51">
        <v>344250</v>
      </c>
      <c r="F1058" s="52">
        <f t="shared" si="75"/>
        <v>27540</v>
      </c>
      <c r="G1058" s="53">
        <f t="shared" si="74"/>
        <v>371790</v>
      </c>
      <c r="H1058" s="54">
        <v>371790</v>
      </c>
      <c r="I1058" s="55">
        <f t="shared" si="76"/>
        <v>0</v>
      </c>
      <c r="J1058" s="56">
        <v>45796</v>
      </c>
      <c r="K1058" s="57"/>
    </row>
    <row r="1059" spans="1:11" ht="15.75" hidden="1" customHeight="1" x14ac:dyDescent="0.35">
      <c r="A1059" s="47" t="s">
        <v>100</v>
      </c>
      <c r="B1059" s="48" t="s">
        <v>2116</v>
      </c>
      <c r="C1059" s="49" t="s">
        <v>2097</v>
      </c>
      <c r="D1059" s="50"/>
      <c r="E1059" s="51">
        <v>344250</v>
      </c>
      <c r="F1059" s="52">
        <f t="shared" si="75"/>
        <v>27540</v>
      </c>
      <c r="G1059" s="53">
        <f t="shared" si="74"/>
        <v>371790</v>
      </c>
      <c r="H1059" s="54">
        <v>371790</v>
      </c>
      <c r="I1059" s="55">
        <f t="shared" si="76"/>
        <v>0</v>
      </c>
      <c r="J1059" s="56">
        <v>45828</v>
      </c>
      <c r="K1059" s="57"/>
    </row>
    <row r="1060" spans="1:11" ht="15.75" hidden="1" customHeight="1" x14ac:dyDescent="0.35">
      <c r="A1060" s="47" t="s">
        <v>770</v>
      </c>
      <c r="B1060" s="48" t="s">
        <v>2116</v>
      </c>
      <c r="C1060" s="49" t="s">
        <v>2098</v>
      </c>
      <c r="D1060" s="50"/>
      <c r="E1060" s="51">
        <v>344250</v>
      </c>
      <c r="F1060" s="52">
        <f t="shared" si="75"/>
        <v>27540</v>
      </c>
      <c r="G1060" s="53">
        <f t="shared" si="74"/>
        <v>371790</v>
      </c>
      <c r="H1060" s="54">
        <v>371790</v>
      </c>
      <c r="I1060" s="55">
        <f t="shared" si="76"/>
        <v>0</v>
      </c>
      <c r="J1060" s="56">
        <v>45828</v>
      </c>
      <c r="K1060" s="57"/>
    </row>
    <row r="1061" spans="1:11" ht="15.75" hidden="1" customHeight="1" x14ac:dyDescent="0.35">
      <c r="A1061" s="47" t="s">
        <v>1414</v>
      </c>
      <c r="B1061" s="48" t="s">
        <v>2116</v>
      </c>
      <c r="C1061" s="50" t="s">
        <v>2099</v>
      </c>
      <c r="D1061" s="50"/>
      <c r="E1061" s="51">
        <v>344250</v>
      </c>
      <c r="F1061" s="52">
        <f t="shared" si="75"/>
        <v>27540</v>
      </c>
      <c r="G1061" s="53">
        <f t="shared" si="74"/>
        <v>371790</v>
      </c>
      <c r="H1061" s="54">
        <v>371790</v>
      </c>
      <c r="I1061" s="55">
        <f t="shared" si="76"/>
        <v>0</v>
      </c>
      <c r="J1061" s="56">
        <v>45796</v>
      </c>
      <c r="K1061" s="57"/>
    </row>
    <row r="1062" spans="1:11" ht="15.75" hidden="1" customHeight="1" x14ac:dyDescent="0.35">
      <c r="A1062" s="47" t="s">
        <v>55</v>
      </c>
      <c r="B1062" s="48" t="s">
        <v>2116</v>
      </c>
      <c r="C1062" s="49" t="s">
        <v>2100</v>
      </c>
      <c r="D1062" s="50"/>
      <c r="E1062" s="51">
        <v>344250</v>
      </c>
      <c r="F1062" s="52">
        <f t="shared" si="75"/>
        <v>27540</v>
      </c>
      <c r="G1062" s="53">
        <f t="shared" si="74"/>
        <v>371790</v>
      </c>
      <c r="H1062" s="54">
        <v>371790</v>
      </c>
      <c r="I1062" s="55">
        <f t="shared" si="76"/>
        <v>0</v>
      </c>
      <c r="J1062" s="56">
        <v>45796</v>
      </c>
      <c r="K1062" s="57"/>
    </row>
    <row r="1063" spans="1:11" ht="15.75" hidden="1" customHeight="1" x14ac:dyDescent="0.35">
      <c r="A1063" s="47" t="s">
        <v>24</v>
      </c>
      <c r="B1063" s="48" t="s">
        <v>2116</v>
      </c>
      <c r="C1063" s="50" t="s">
        <v>207</v>
      </c>
      <c r="D1063" s="50"/>
      <c r="E1063" s="51">
        <v>344250</v>
      </c>
      <c r="F1063" s="52">
        <f t="shared" si="75"/>
        <v>27540</v>
      </c>
      <c r="G1063" s="53">
        <f t="shared" si="74"/>
        <v>371790</v>
      </c>
      <c r="H1063" s="54">
        <v>371790</v>
      </c>
      <c r="I1063" s="55">
        <f t="shared" si="76"/>
        <v>0</v>
      </c>
      <c r="J1063" s="56">
        <v>45796</v>
      </c>
      <c r="K1063" s="57"/>
    </row>
    <row r="1064" spans="1:11" ht="15.75" hidden="1" customHeight="1" x14ac:dyDescent="0.35">
      <c r="A1064" s="47" t="s">
        <v>1589</v>
      </c>
      <c r="B1064" s="48" t="s">
        <v>2116</v>
      </c>
      <c r="C1064" s="49" t="s">
        <v>208</v>
      </c>
      <c r="D1064" s="50"/>
      <c r="E1064" s="51">
        <v>344250</v>
      </c>
      <c r="F1064" s="52">
        <f t="shared" si="75"/>
        <v>27540</v>
      </c>
      <c r="G1064" s="53">
        <f t="shared" si="74"/>
        <v>371790</v>
      </c>
      <c r="H1064" s="54">
        <v>371790</v>
      </c>
      <c r="I1064" s="55">
        <f t="shared" si="76"/>
        <v>0</v>
      </c>
      <c r="J1064" s="56">
        <v>45796</v>
      </c>
      <c r="K1064" s="57"/>
    </row>
    <row r="1065" spans="1:11" ht="15.75" hidden="1" customHeight="1" x14ac:dyDescent="0.35">
      <c r="A1065" s="47" t="s">
        <v>212</v>
      </c>
      <c r="B1065" s="48" t="s">
        <v>2116</v>
      </c>
      <c r="C1065" s="49" t="s">
        <v>209</v>
      </c>
      <c r="D1065" s="50"/>
      <c r="E1065" s="51">
        <v>344250</v>
      </c>
      <c r="F1065" s="52">
        <f t="shared" si="75"/>
        <v>27540</v>
      </c>
      <c r="G1065" s="53">
        <f t="shared" si="74"/>
        <v>371790</v>
      </c>
      <c r="H1065" s="54">
        <v>371790</v>
      </c>
      <c r="I1065" s="55">
        <f t="shared" si="76"/>
        <v>0</v>
      </c>
      <c r="J1065" s="56">
        <v>45918</v>
      </c>
      <c r="K1065" s="57"/>
    </row>
    <row r="1066" spans="1:11" ht="15.75" hidden="1" customHeight="1" x14ac:dyDescent="0.35">
      <c r="A1066" s="47" t="s">
        <v>1594</v>
      </c>
      <c r="B1066" s="48" t="s">
        <v>2116</v>
      </c>
      <c r="C1066" s="49" t="s">
        <v>2101</v>
      </c>
      <c r="D1066" s="50"/>
      <c r="E1066" s="51">
        <v>344250</v>
      </c>
      <c r="F1066" s="52">
        <f t="shared" si="75"/>
        <v>27540</v>
      </c>
      <c r="G1066" s="53">
        <f t="shared" si="74"/>
        <v>371790</v>
      </c>
      <c r="H1066" s="54">
        <v>371790</v>
      </c>
      <c r="I1066" s="55">
        <f t="shared" si="76"/>
        <v>0</v>
      </c>
      <c r="J1066" s="56">
        <v>45796</v>
      </c>
      <c r="K1066" s="57"/>
    </row>
    <row r="1067" spans="1:11" ht="15.75" hidden="1" customHeight="1" x14ac:dyDescent="0.35">
      <c r="A1067" s="47" t="s">
        <v>31</v>
      </c>
      <c r="B1067" s="48" t="s">
        <v>2117</v>
      </c>
      <c r="C1067" s="49" t="s">
        <v>2102</v>
      </c>
      <c r="D1067" s="50"/>
      <c r="E1067" s="51">
        <v>1296250</v>
      </c>
      <c r="F1067" s="52">
        <f t="shared" si="75"/>
        <v>103700</v>
      </c>
      <c r="G1067" s="53">
        <f t="shared" si="74"/>
        <v>1399950</v>
      </c>
      <c r="H1067" s="54">
        <v>1399950</v>
      </c>
      <c r="I1067" s="55">
        <f t="shared" si="76"/>
        <v>0</v>
      </c>
      <c r="J1067" s="56">
        <v>45796</v>
      </c>
      <c r="K1067" s="57"/>
    </row>
    <row r="1068" spans="1:11" ht="15.75" hidden="1" customHeight="1" x14ac:dyDescent="0.35">
      <c r="A1068" s="47" t="s">
        <v>19</v>
      </c>
      <c r="B1068" s="48" t="s">
        <v>2117</v>
      </c>
      <c r="C1068" s="49" t="s">
        <v>2103</v>
      </c>
      <c r="D1068" s="50"/>
      <c r="E1068" s="51">
        <v>3476500</v>
      </c>
      <c r="F1068" s="52">
        <f t="shared" si="75"/>
        <v>278120</v>
      </c>
      <c r="G1068" s="53">
        <f t="shared" si="74"/>
        <v>3754620</v>
      </c>
      <c r="H1068" s="54">
        <v>3754620</v>
      </c>
      <c r="I1068" s="55">
        <f t="shared" si="76"/>
        <v>0</v>
      </c>
      <c r="J1068" s="56">
        <v>45796</v>
      </c>
      <c r="K1068" s="57"/>
    </row>
    <row r="1069" spans="1:11" ht="15.75" hidden="1" customHeight="1" x14ac:dyDescent="0.35">
      <c r="A1069" s="47" t="s">
        <v>47</v>
      </c>
      <c r="B1069" s="48" t="s">
        <v>2117</v>
      </c>
      <c r="C1069" s="49" t="s">
        <v>2104</v>
      </c>
      <c r="D1069" s="50"/>
      <c r="E1069" s="51">
        <v>884000</v>
      </c>
      <c r="F1069" s="52">
        <f t="shared" si="75"/>
        <v>70720</v>
      </c>
      <c r="G1069" s="53">
        <f t="shared" si="74"/>
        <v>954720</v>
      </c>
      <c r="H1069" s="54">
        <v>954720</v>
      </c>
      <c r="I1069" s="55">
        <f t="shared" si="76"/>
        <v>0</v>
      </c>
      <c r="J1069" s="56">
        <v>45796</v>
      </c>
      <c r="K1069" s="57"/>
    </row>
    <row r="1070" spans="1:11" ht="15.75" hidden="1" customHeight="1" x14ac:dyDescent="0.35">
      <c r="A1070" s="47" t="s">
        <v>148</v>
      </c>
      <c r="B1070" s="48" t="s">
        <v>2117</v>
      </c>
      <c r="C1070" s="49" t="s">
        <v>2105</v>
      </c>
      <c r="D1070" s="50"/>
      <c r="E1070" s="51">
        <v>344250</v>
      </c>
      <c r="F1070" s="52">
        <f t="shared" si="75"/>
        <v>27540</v>
      </c>
      <c r="G1070" s="53">
        <f t="shared" si="74"/>
        <v>371790</v>
      </c>
      <c r="H1070" s="54">
        <v>371790</v>
      </c>
      <c r="I1070" s="55">
        <f t="shared" si="76"/>
        <v>0</v>
      </c>
      <c r="J1070" s="56">
        <v>46008</v>
      </c>
      <c r="K1070" s="57"/>
    </row>
    <row r="1071" spans="1:11" ht="15.75" hidden="1" customHeight="1" x14ac:dyDescent="0.35">
      <c r="A1071" s="47" t="s">
        <v>104</v>
      </c>
      <c r="B1071" s="48" t="s">
        <v>2117</v>
      </c>
      <c r="C1071" s="49" t="s">
        <v>2106</v>
      </c>
      <c r="D1071" s="50"/>
      <c r="E1071" s="51">
        <v>884000</v>
      </c>
      <c r="F1071" s="52">
        <f t="shared" si="75"/>
        <v>70720</v>
      </c>
      <c r="G1071" s="53">
        <f t="shared" si="74"/>
        <v>954720</v>
      </c>
      <c r="H1071" s="54">
        <v>954720</v>
      </c>
      <c r="I1071" s="55">
        <f t="shared" si="76"/>
        <v>0</v>
      </c>
      <c r="J1071" s="56">
        <v>45796</v>
      </c>
      <c r="K1071" s="57"/>
    </row>
    <row r="1072" spans="1:11" ht="15.75" hidden="1" customHeight="1" x14ac:dyDescent="0.35">
      <c r="A1072" s="47" t="s">
        <v>16</v>
      </c>
      <c r="B1072" s="48" t="s">
        <v>2117</v>
      </c>
      <c r="C1072" s="49" t="s">
        <v>2107</v>
      </c>
      <c r="D1072" s="50"/>
      <c r="E1072" s="51">
        <v>1738250</v>
      </c>
      <c r="F1072" s="52">
        <f t="shared" si="75"/>
        <v>139060</v>
      </c>
      <c r="G1072" s="53">
        <f t="shared" si="74"/>
        <v>1877310</v>
      </c>
      <c r="H1072" s="54">
        <v>1877310</v>
      </c>
      <c r="I1072" s="55">
        <f t="shared" si="76"/>
        <v>0</v>
      </c>
      <c r="J1072" s="56">
        <v>45796</v>
      </c>
      <c r="K1072" s="57"/>
    </row>
    <row r="1073" spans="1:11" ht="15.75" hidden="1" customHeight="1" x14ac:dyDescent="0.35">
      <c r="A1073" s="47" t="s">
        <v>39</v>
      </c>
      <c r="B1073" s="48" t="s">
        <v>2117</v>
      </c>
      <c r="C1073" s="50" t="s">
        <v>2108</v>
      </c>
      <c r="D1073" s="50"/>
      <c r="E1073" s="51">
        <v>854250</v>
      </c>
      <c r="F1073" s="52">
        <f t="shared" si="75"/>
        <v>68340</v>
      </c>
      <c r="G1073" s="53">
        <f t="shared" si="74"/>
        <v>922590</v>
      </c>
      <c r="H1073" s="54">
        <v>922590</v>
      </c>
      <c r="I1073" s="55">
        <f t="shared" si="76"/>
        <v>0</v>
      </c>
      <c r="J1073" s="56">
        <v>45796</v>
      </c>
      <c r="K1073" s="57"/>
    </row>
    <row r="1074" spans="1:11" ht="15.75" hidden="1" customHeight="1" x14ac:dyDescent="0.35">
      <c r="A1074" s="47" t="s">
        <v>56</v>
      </c>
      <c r="B1074" s="48" t="s">
        <v>2117</v>
      </c>
      <c r="C1074" s="49" t="s">
        <v>2109</v>
      </c>
      <c r="D1074" s="50"/>
      <c r="E1074" s="51">
        <v>1213375</v>
      </c>
      <c r="F1074" s="52">
        <f t="shared" si="75"/>
        <v>97070</v>
      </c>
      <c r="G1074" s="53">
        <f t="shared" si="74"/>
        <v>1310445</v>
      </c>
      <c r="H1074" s="54">
        <v>1310445</v>
      </c>
      <c r="I1074" s="55">
        <f t="shared" si="76"/>
        <v>0</v>
      </c>
      <c r="J1074" s="56">
        <v>45796</v>
      </c>
      <c r="K1074" s="57"/>
    </row>
    <row r="1075" spans="1:11" ht="15.75" hidden="1" customHeight="1" x14ac:dyDescent="0.35">
      <c r="A1075" s="47" t="s">
        <v>78</v>
      </c>
      <c r="B1075" s="48" t="s">
        <v>2117</v>
      </c>
      <c r="C1075" s="49" t="s">
        <v>2110</v>
      </c>
      <c r="D1075" s="50"/>
      <c r="E1075" s="51">
        <v>854250</v>
      </c>
      <c r="F1075" s="52">
        <f t="shared" si="75"/>
        <v>68340</v>
      </c>
      <c r="G1075" s="53">
        <f t="shared" si="74"/>
        <v>922590</v>
      </c>
      <c r="H1075" s="54">
        <v>922590</v>
      </c>
      <c r="I1075" s="55">
        <f t="shared" si="76"/>
        <v>0</v>
      </c>
      <c r="J1075" s="56">
        <v>45918</v>
      </c>
      <c r="K1075" s="57"/>
    </row>
    <row r="1076" spans="1:11" ht="15.75" hidden="1" customHeight="1" x14ac:dyDescent="0.35">
      <c r="A1076" s="47" t="s">
        <v>105</v>
      </c>
      <c r="B1076" s="48" t="s">
        <v>2117</v>
      </c>
      <c r="C1076" s="49" t="s">
        <v>2111</v>
      </c>
      <c r="D1076" s="50"/>
      <c r="E1076" s="51">
        <v>1738250</v>
      </c>
      <c r="F1076" s="52">
        <f t="shared" si="75"/>
        <v>139060</v>
      </c>
      <c r="G1076" s="53">
        <f t="shared" si="74"/>
        <v>1877310</v>
      </c>
      <c r="H1076" s="54">
        <v>1877310</v>
      </c>
      <c r="I1076" s="55">
        <f t="shared" si="76"/>
        <v>0</v>
      </c>
      <c r="J1076" s="56">
        <v>45828</v>
      </c>
      <c r="K1076" s="57"/>
    </row>
    <row r="1077" spans="1:11" ht="15.75" hidden="1" customHeight="1" x14ac:dyDescent="0.35">
      <c r="A1077" s="47" t="s">
        <v>71</v>
      </c>
      <c r="B1077" s="48" t="s">
        <v>2118</v>
      </c>
      <c r="C1077" s="49" t="s">
        <v>2112</v>
      </c>
      <c r="D1077" s="50"/>
      <c r="E1077" s="51">
        <v>2426750</v>
      </c>
      <c r="F1077" s="52">
        <f t="shared" si="75"/>
        <v>194140</v>
      </c>
      <c r="G1077" s="53">
        <f t="shared" si="74"/>
        <v>2620890</v>
      </c>
      <c r="H1077" s="54">
        <v>2620890</v>
      </c>
      <c r="I1077" s="55">
        <f t="shared" si="76"/>
        <v>0</v>
      </c>
      <c r="J1077" s="56">
        <v>45918</v>
      </c>
      <c r="K1077" s="57"/>
    </row>
    <row r="1078" spans="1:11" ht="15.75" hidden="1" customHeight="1" x14ac:dyDescent="0.35">
      <c r="A1078" s="47" t="s">
        <v>1592</v>
      </c>
      <c r="B1078" s="48" t="s">
        <v>2118</v>
      </c>
      <c r="C1078" s="49" t="s">
        <v>594</v>
      </c>
      <c r="D1078" s="50"/>
      <c r="E1078" s="51">
        <v>1738250</v>
      </c>
      <c r="F1078" s="52">
        <f t="shared" si="75"/>
        <v>139060</v>
      </c>
      <c r="G1078" s="53">
        <f t="shared" si="74"/>
        <v>1877310</v>
      </c>
      <c r="H1078" s="54">
        <v>1877310</v>
      </c>
      <c r="I1078" s="55">
        <f t="shared" si="76"/>
        <v>0</v>
      </c>
      <c r="J1078" s="56">
        <v>45796</v>
      </c>
      <c r="K1078" s="57"/>
    </row>
    <row r="1079" spans="1:11" ht="15.75" hidden="1" customHeight="1" x14ac:dyDescent="0.35">
      <c r="A1079" s="47" t="s">
        <v>18</v>
      </c>
      <c r="B1079" s="48" t="s">
        <v>2119</v>
      </c>
      <c r="C1079" s="49" t="s">
        <v>2113</v>
      </c>
      <c r="D1079" s="50"/>
      <c r="E1079" s="51">
        <v>1738250</v>
      </c>
      <c r="F1079" s="52">
        <f t="shared" si="75"/>
        <v>139060</v>
      </c>
      <c r="G1079" s="53">
        <f t="shared" ref="G1079:G1142" si="77">E1079+F1079</f>
        <v>1877310</v>
      </c>
      <c r="H1079" s="54">
        <v>1877310</v>
      </c>
      <c r="I1079" s="55">
        <f t="shared" si="76"/>
        <v>0</v>
      </c>
      <c r="J1079" s="56">
        <v>45828</v>
      </c>
      <c r="K1079" s="57"/>
    </row>
    <row r="1080" spans="1:11" ht="15.75" hidden="1" customHeight="1" x14ac:dyDescent="0.35">
      <c r="A1080" s="47" t="s">
        <v>167</v>
      </c>
      <c r="B1080" s="48" t="s">
        <v>2119</v>
      </c>
      <c r="C1080" s="49" t="s">
        <v>2114</v>
      </c>
      <c r="D1080" s="50"/>
      <c r="E1080" s="51">
        <v>884000</v>
      </c>
      <c r="F1080" s="52">
        <f t="shared" ref="F1080:F1143" si="78">+E1080*0.08</f>
        <v>70720</v>
      </c>
      <c r="G1080" s="53">
        <f t="shared" si="77"/>
        <v>954720</v>
      </c>
      <c r="H1080" s="54">
        <v>954720</v>
      </c>
      <c r="I1080" s="55">
        <f t="shared" ref="I1080:I1143" si="79">G1080-H1080</f>
        <v>0</v>
      </c>
      <c r="J1080" s="56">
        <v>45978</v>
      </c>
      <c r="K1080" s="57"/>
    </row>
    <row r="1081" spans="1:11" ht="15.75" hidden="1" customHeight="1" x14ac:dyDescent="0.35">
      <c r="A1081" s="47" t="s">
        <v>83</v>
      </c>
      <c r="B1081" s="48" t="s">
        <v>2133</v>
      </c>
      <c r="C1081" s="49" t="s">
        <v>606</v>
      </c>
      <c r="D1081" s="50"/>
      <c r="E1081" s="51">
        <v>854250</v>
      </c>
      <c r="F1081" s="52">
        <f t="shared" si="78"/>
        <v>68340</v>
      </c>
      <c r="G1081" s="53">
        <f t="shared" si="77"/>
        <v>922590</v>
      </c>
      <c r="H1081" s="54">
        <v>922590</v>
      </c>
      <c r="I1081" s="55">
        <f t="shared" si="79"/>
        <v>0</v>
      </c>
      <c r="J1081" s="56">
        <v>45918</v>
      </c>
      <c r="K1081" s="57"/>
    </row>
    <row r="1082" spans="1:11" ht="15.75" hidden="1" customHeight="1" x14ac:dyDescent="0.35">
      <c r="A1082" s="47" t="s">
        <v>1597</v>
      </c>
      <c r="B1082" s="48" t="s">
        <v>2133</v>
      </c>
      <c r="C1082" s="50" t="s">
        <v>607</v>
      </c>
      <c r="D1082" s="50"/>
      <c r="E1082" s="51">
        <v>1213375</v>
      </c>
      <c r="F1082" s="52">
        <f t="shared" si="78"/>
        <v>97070</v>
      </c>
      <c r="G1082" s="53">
        <f t="shared" si="77"/>
        <v>1310445</v>
      </c>
      <c r="H1082" s="54">
        <v>1310445</v>
      </c>
      <c r="I1082" s="55">
        <f t="shared" si="79"/>
        <v>0</v>
      </c>
      <c r="J1082" s="56">
        <v>45918</v>
      </c>
      <c r="K1082" s="57"/>
    </row>
    <row r="1083" spans="1:11" ht="15.75" hidden="1" customHeight="1" x14ac:dyDescent="0.35">
      <c r="A1083" s="47" t="s">
        <v>20</v>
      </c>
      <c r="B1083" s="48" t="s">
        <v>2133</v>
      </c>
      <c r="C1083" s="49" t="s">
        <v>2134</v>
      </c>
      <c r="D1083" s="50"/>
      <c r="E1083" s="51">
        <v>1738250</v>
      </c>
      <c r="F1083" s="52">
        <f t="shared" si="78"/>
        <v>139060</v>
      </c>
      <c r="G1083" s="53">
        <f t="shared" si="77"/>
        <v>1877310</v>
      </c>
      <c r="H1083" s="54">
        <v>1877310</v>
      </c>
      <c r="I1083" s="55">
        <f t="shared" si="79"/>
        <v>0</v>
      </c>
      <c r="J1083" s="56">
        <v>45796</v>
      </c>
      <c r="K1083" s="57"/>
    </row>
    <row r="1084" spans="1:11" ht="15.75" hidden="1" customHeight="1" x14ac:dyDescent="0.35">
      <c r="A1084" s="47" t="s">
        <v>1601</v>
      </c>
      <c r="B1084" s="48" t="s">
        <v>2133</v>
      </c>
      <c r="C1084" s="49" t="s">
        <v>2135</v>
      </c>
      <c r="D1084" s="50"/>
      <c r="E1084" s="51">
        <v>869125</v>
      </c>
      <c r="F1084" s="52">
        <f t="shared" si="78"/>
        <v>69530</v>
      </c>
      <c r="G1084" s="53">
        <f t="shared" si="77"/>
        <v>938655</v>
      </c>
      <c r="H1084" s="54">
        <v>938655</v>
      </c>
      <c r="I1084" s="55">
        <f t="shared" si="79"/>
        <v>0</v>
      </c>
      <c r="J1084" s="56">
        <v>45918</v>
      </c>
      <c r="K1084" s="57"/>
    </row>
    <row r="1085" spans="1:11" ht="15.75" hidden="1" customHeight="1" x14ac:dyDescent="0.35">
      <c r="A1085" s="47" t="s">
        <v>86</v>
      </c>
      <c r="B1085" s="48" t="s">
        <v>2133</v>
      </c>
      <c r="C1085" s="49" t="s">
        <v>2136</v>
      </c>
      <c r="D1085" s="50"/>
      <c r="E1085" s="51">
        <v>1213375</v>
      </c>
      <c r="F1085" s="52">
        <f t="shared" si="78"/>
        <v>97070</v>
      </c>
      <c r="G1085" s="53">
        <f t="shared" si="77"/>
        <v>1310445</v>
      </c>
      <c r="H1085" s="54">
        <v>1310445</v>
      </c>
      <c r="I1085" s="55">
        <f t="shared" si="79"/>
        <v>0</v>
      </c>
      <c r="J1085" s="56">
        <v>45918</v>
      </c>
      <c r="K1085" s="57"/>
    </row>
    <row r="1086" spans="1:11" ht="15.75" hidden="1" customHeight="1" x14ac:dyDescent="0.35">
      <c r="A1086" s="47" t="s">
        <v>52</v>
      </c>
      <c r="B1086" s="48">
        <v>45758</v>
      </c>
      <c r="C1086" s="49" t="s">
        <v>2140</v>
      </c>
      <c r="D1086" s="50"/>
      <c r="E1086" s="51">
        <v>1738250</v>
      </c>
      <c r="F1086" s="52">
        <f t="shared" si="78"/>
        <v>139060</v>
      </c>
      <c r="G1086" s="53">
        <f t="shared" si="77"/>
        <v>1877310</v>
      </c>
      <c r="H1086" s="54">
        <v>1877310</v>
      </c>
      <c r="I1086" s="55">
        <f t="shared" si="79"/>
        <v>0</v>
      </c>
      <c r="J1086" s="56">
        <v>45796</v>
      </c>
      <c r="K1086" s="57"/>
    </row>
    <row r="1087" spans="1:11" ht="15.75" hidden="1" customHeight="1" x14ac:dyDescent="0.35">
      <c r="A1087" s="47" t="s">
        <v>47</v>
      </c>
      <c r="B1087" s="48">
        <v>45758</v>
      </c>
      <c r="C1087" s="49" t="s">
        <v>2141</v>
      </c>
      <c r="D1087" s="50"/>
      <c r="E1087" s="51">
        <v>1768000</v>
      </c>
      <c r="F1087" s="52">
        <f t="shared" si="78"/>
        <v>141440</v>
      </c>
      <c r="G1087" s="53">
        <f t="shared" si="77"/>
        <v>1909440</v>
      </c>
      <c r="H1087" s="54">
        <v>1909440</v>
      </c>
      <c r="I1087" s="55">
        <f t="shared" si="79"/>
        <v>0</v>
      </c>
      <c r="J1087" s="56">
        <v>45796</v>
      </c>
      <c r="K1087" s="57"/>
    </row>
    <row r="1088" spans="1:11" ht="15.75" hidden="1" customHeight="1" x14ac:dyDescent="0.35">
      <c r="A1088" s="47" t="s">
        <v>20</v>
      </c>
      <c r="B1088" s="48">
        <v>45759</v>
      </c>
      <c r="C1088" s="49" t="s">
        <v>2142</v>
      </c>
      <c r="D1088" s="50"/>
      <c r="E1088" s="51">
        <v>1738250</v>
      </c>
      <c r="F1088" s="52">
        <f t="shared" si="78"/>
        <v>139060</v>
      </c>
      <c r="G1088" s="53">
        <f t="shared" si="77"/>
        <v>1877310</v>
      </c>
      <c r="H1088" s="54">
        <v>1877310</v>
      </c>
      <c r="I1088" s="55">
        <f t="shared" si="79"/>
        <v>0</v>
      </c>
      <c r="J1088" s="56">
        <v>45796</v>
      </c>
      <c r="K1088" s="57"/>
    </row>
    <row r="1089" spans="1:11" ht="15.75" hidden="1" customHeight="1" x14ac:dyDescent="0.35">
      <c r="A1089" s="47" t="s">
        <v>127</v>
      </c>
      <c r="B1089" s="48" t="s">
        <v>2157</v>
      </c>
      <c r="C1089" s="50" t="s">
        <v>2143</v>
      </c>
      <c r="D1089" s="50"/>
      <c r="E1089" s="51">
        <v>1738250</v>
      </c>
      <c r="F1089" s="52">
        <f t="shared" si="78"/>
        <v>139060</v>
      </c>
      <c r="G1089" s="53">
        <f t="shared" si="77"/>
        <v>1877310</v>
      </c>
      <c r="H1089" s="54">
        <v>1877310</v>
      </c>
      <c r="I1089" s="55">
        <f t="shared" si="79"/>
        <v>0</v>
      </c>
      <c r="J1089" s="56">
        <v>45796</v>
      </c>
      <c r="K1089" s="57"/>
    </row>
    <row r="1090" spans="1:11" ht="15.75" hidden="1" customHeight="1" x14ac:dyDescent="0.35">
      <c r="A1090" s="47" t="s">
        <v>1597</v>
      </c>
      <c r="B1090" s="48" t="s">
        <v>2158</v>
      </c>
      <c r="C1090" s="49" t="s">
        <v>2144</v>
      </c>
      <c r="D1090" s="50"/>
      <c r="E1090" s="51">
        <v>1296250</v>
      </c>
      <c r="F1090" s="52">
        <f t="shared" si="78"/>
        <v>103700</v>
      </c>
      <c r="G1090" s="53">
        <f t="shared" si="77"/>
        <v>1399950</v>
      </c>
      <c r="H1090" s="54">
        <v>1399950</v>
      </c>
      <c r="I1090" s="55">
        <f t="shared" si="79"/>
        <v>0</v>
      </c>
      <c r="J1090" s="56">
        <v>45918</v>
      </c>
      <c r="K1090" s="57"/>
    </row>
    <row r="1091" spans="1:11" ht="15.75" hidden="1" customHeight="1" x14ac:dyDescent="0.35">
      <c r="A1091" s="47" t="s">
        <v>24</v>
      </c>
      <c r="B1091" s="48" t="s">
        <v>2158</v>
      </c>
      <c r="C1091" s="49" t="s">
        <v>2145</v>
      </c>
      <c r="D1091" s="50"/>
      <c r="E1091" s="51">
        <v>1708500</v>
      </c>
      <c r="F1091" s="52">
        <f t="shared" si="78"/>
        <v>136680</v>
      </c>
      <c r="G1091" s="53">
        <f t="shared" si="77"/>
        <v>1845180</v>
      </c>
      <c r="H1091" s="54">
        <v>1845180</v>
      </c>
      <c r="I1091" s="55">
        <f t="shared" si="79"/>
        <v>0</v>
      </c>
      <c r="J1091" s="56">
        <v>45796</v>
      </c>
      <c r="K1091" s="57"/>
    </row>
    <row r="1092" spans="1:11" ht="15.75" hidden="1" customHeight="1" x14ac:dyDescent="0.35">
      <c r="A1092" s="47" t="s">
        <v>47</v>
      </c>
      <c r="B1092" s="48">
        <v>45770</v>
      </c>
      <c r="C1092" s="50" t="s">
        <v>2146</v>
      </c>
      <c r="D1092" s="49" t="s">
        <v>2162</v>
      </c>
      <c r="E1092" s="51">
        <v>1252900</v>
      </c>
      <c r="F1092" s="52">
        <f t="shared" si="78"/>
        <v>100232</v>
      </c>
      <c r="G1092" s="53">
        <f t="shared" si="77"/>
        <v>1353132</v>
      </c>
      <c r="H1092" s="54">
        <v>1353132</v>
      </c>
      <c r="I1092" s="55">
        <f t="shared" si="79"/>
        <v>0</v>
      </c>
      <c r="J1092" s="56">
        <v>45796</v>
      </c>
      <c r="K1092" s="57"/>
    </row>
    <row r="1093" spans="1:11" ht="15.75" hidden="1" customHeight="1" x14ac:dyDescent="0.35">
      <c r="A1093" s="47" t="s">
        <v>1590</v>
      </c>
      <c r="B1093" s="48" t="s">
        <v>2159</v>
      </c>
      <c r="C1093" s="49" t="s">
        <v>2147</v>
      </c>
      <c r="D1093" s="50"/>
      <c r="E1093" s="51">
        <v>1542750</v>
      </c>
      <c r="F1093" s="52">
        <f t="shared" si="78"/>
        <v>123420</v>
      </c>
      <c r="G1093" s="53">
        <f t="shared" si="77"/>
        <v>1666170</v>
      </c>
      <c r="H1093" s="54">
        <v>1666170</v>
      </c>
      <c r="I1093" s="55">
        <f t="shared" si="79"/>
        <v>0</v>
      </c>
      <c r="J1093" s="56">
        <v>45828</v>
      </c>
      <c r="K1093" s="57"/>
    </row>
    <row r="1094" spans="1:11" ht="15.75" hidden="1" customHeight="1" x14ac:dyDescent="0.35">
      <c r="A1094" s="47" t="s">
        <v>37</v>
      </c>
      <c r="B1094" s="48" t="s">
        <v>2160</v>
      </c>
      <c r="C1094" s="50" t="s">
        <v>2148</v>
      </c>
      <c r="D1094" s="50"/>
      <c r="E1094" s="51">
        <v>1542750</v>
      </c>
      <c r="F1094" s="52">
        <f t="shared" si="78"/>
        <v>123420</v>
      </c>
      <c r="G1094" s="53">
        <f t="shared" si="77"/>
        <v>1666170</v>
      </c>
      <c r="H1094" s="54">
        <v>1666170</v>
      </c>
      <c r="I1094" s="55">
        <f t="shared" si="79"/>
        <v>0</v>
      </c>
      <c r="J1094" s="56">
        <v>45828</v>
      </c>
      <c r="K1094" s="57"/>
    </row>
    <row r="1095" spans="1:11" ht="15.75" hidden="1" customHeight="1" x14ac:dyDescent="0.35">
      <c r="A1095" s="47" t="s">
        <v>19</v>
      </c>
      <c r="B1095" s="48" t="s">
        <v>2160</v>
      </c>
      <c r="C1095" s="49" t="s">
        <v>2149</v>
      </c>
      <c r="D1095" s="50"/>
      <c r="E1095" s="51">
        <v>2919750</v>
      </c>
      <c r="F1095" s="52">
        <f t="shared" si="78"/>
        <v>233580</v>
      </c>
      <c r="G1095" s="53">
        <f t="shared" si="77"/>
        <v>3153330</v>
      </c>
      <c r="H1095" s="54">
        <v>3153330</v>
      </c>
      <c r="I1095" s="55">
        <f t="shared" si="79"/>
        <v>0</v>
      </c>
      <c r="J1095" s="56">
        <v>45796</v>
      </c>
      <c r="K1095" s="57"/>
    </row>
    <row r="1096" spans="1:11" ht="15.75" hidden="1" customHeight="1" x14ac:dyDescent="0.35">
      <c r="A1096" s="47" t="s">
        <v>52</v>
      </c>
      <c r="B1096" s="48" t="s">
        <v>2160</v>
      </c>
      <c r="C1096" s="50" t="s">
        <v>2150</v>
      </c>
      <c r="D1096" s="50"/>
      <c r="E1096" s="51">
        <v>2426750</v>
      </c>
      <c r="F1096" s="52">
        <f t="shared" si="78"/>
        <v>194140</v>
      </c>
      <c r="G1096" s="53">
        <f t="shared" si="77"/>
        <v>2620890</v>
      </c>
      <c r="H1096" s="54">
        <v>2620890</v>
      </c>
      <c r="I1096" s="55">
        <f t="shared" si="79"/>
        <v>0</v>
      </c>
      <c r="J1096" s="56">
        <v>45796</v>
      </c>
      <c r="K1096" s="57"/>
    </row>
    <row r="1097" spans="1:11" ht="15.75" hidden="1" customHeight="1" x14ac:dyDescent="0.35">
      <c r="A1097" s="47" t="s">
        <v>134</v>
      </c>
      <c r="B1097" s="48" t="s">
        <v>2160</v>
      </c>
      <c r="C1097" s="49" t="s">
        <v>2151</v>
      </c>
      <c r="D1097" s="50"/>
      <c r="E1097" s="51">
        <v>869125</v>
      </c>
      <c r="F1097" s="52">
        <f t="shared" si="78"/>
        <v>69530</v>
      </c>
      <c r="G1097" s="53">
        <f t="shared" si="77"/>
        <v>938655</v>
      </c>
      <c r="H1097" s="54">
        <v>938655</v>
      </c>
      <c r="I1097" s="55">
        <f t="shared" si="79"/>
        <v>0</v>
      </c>
      <c r="J1097" s="56">
        <v>45918</v>
      </c>
      <c r="K1097" s="57"/>
    </row>
    <row r="1098" spans="1:11" ht="15.75" hidden="1" customHeight="1" x14ac:dyDescent="0.35">
      <c r="A1098" s="47" t="s">
        <v>53</v>
      </c>
      <c r="B1098" s="48" t="s">
        <v>2160</v>
      </c>
      <c r="C1098" s="50" t="s">
        <v>638</v>
      </c>
      <c r="D1098" s="50"/>
      <c r="E1098" s="51">
        <v>884000</v>
      </c>
      <c r="F1098" s="52">
        <f t="shared" si="78"/>
        <v>70720</v>
      </c>
      <c r="G1098" s="53">
        <f t="shared" si="77"/>
        <v>954720</v>
      </c>
      <c r="H1098" s="54">
        <v>954720</v>
      </c>
      <c r="I1098" s="55">
        <f t="shared" si="79"/>
        <v>0</v>
      </c>
      <c r="J1098" s="56">
        <v>45894</v>
      </c>
      <c r="K1098" s="57"/>
    </row>
    <row r="1099" spans="1:11" ht="15.75" hidden="1" customHeight="1" x14ac:dyDescent="0.35">
      <c r="A1099" s="47" t="s">
        <v>104</v>
      </c>
      <c r="B1099" s="48" t="s">
        <v>2161</v>
      </c>
      <c r="C1099" s="50" t="s">
        <v>2152</v>
      </c>
      <c r="D1099" s="50"/>
      <c r="E1099" s="51">
        <v>2456500</v>
      </c>
      <c r="F1099" s="52">
        <f t="shared" si="78"/>
        <v>196520</v>
      </c>
      <c r="G1099" s="53">
        <f t="shared" si="77"/>
        <v>2653020</v>
      </c>
      <c r="H1099" s="54">
        <v>2653020</v>
      </c>
      <c r="I1099" s="55">
        <f t="shared" si="79"/>
        <v>0</v>
      </c>
      <c r="J1099" s="56">
        <v>45796</v>
      </c>
      <c r="K1099" s="57"/>
    </row>
    <row r="1100" spans="1:11" ht="15.75" hidden="1" customHeight="1" x14ac:dyDescent="0.35">
      <c r="A1100" s="47" t="s">
        <v>44</v>
      </c>
      <c r="B1100" s="48" t="s">
        <v>2161</v>
      </c>
      <c r="C1100" s="50" t="s">
        <v>2153</v>
      </c>
      <c r="D1100" s="50"/>
      <c r="E1100" s="51">
        <v>869125</v>
      </c>
      <c r="F1100" s="52">
        <f t="shared" si="78"/>
        <v>69530</v>
      </c>
      <c r="G1100" s="53">
        <f t="shared" si="77"/>
        <v>938655</v>
      </c>
      <c r="H1100" s="54">
        <v>938655</v>
      </c>
      <c r="I1100" s="55">
        <f t="shared" si="79"/>
        <v>0</v>
      </c>
      <c r="J1100" s="56">
        <v>45796</v>
      </c>
      <c r="K1100" s="57"/>
    </row>
    <row r="1101" spans="1:11" ht="15.75" hidden="1" customHeight="1" x14ac:dyDescent="0.35">
      <c r="A1101" s="47" t="s">
        <v>308</v>
      </c>
      <c r="B1101" s="48" t="s">
        <v>2161</v>
      </c>
      <c r="C1101" s="50" t="s">
        <v>2154</v>
      </c>
      <c r="D1101" s="50"/>
      <c r="E1101" s="51">
        <v>771375</v>
      </c>
      <c r="F1101" s="52">
        <f t="shared" si="78"/>
        <v>61710</v>
      </c>
      <c r="G1101" s="53">
        <f t="shared" si="77"/>
        <v>833085</v>
      </c>
      <c r="H1101" s="54">
        <v>833085</v>
      </c>
      <c r="I1101" s="55">
        <f t="shared" si="79"/>
        <v>0</v>
      </c>
      <c r="J1101" s="56">
        <v>45918</v>
      </c>
      <c r="K1101" s="57"/>
    </row>
    <row r="1102" spans="1:11" ht="15.75" hidden="1" customHeight="1" x14ac:dyDescent="0.35">
      <c r="A1102" s="47" t="s">
        <v>16</v>
      </c>
      <c r="B1102" s="48" t="s">
        <v>2161</v>
      </c>
      <c r="C1102" s="50" t="s">
        <v>2155</v>
      </c>
      <c r="D1102" s="50"/>
      <c r="E1102" s="51">
        <v>884000</v>
      </c>
      <c r="F1102" s="52">
        <f t="shared" si="78"/>
        <v>70720</v>
      </c>
      <c r="G1102" s="53">
        <f t="shared" si="77"/>
        <v>954720</v>
      </c>
      <c r="H1102" s="54">
        <v>954720</v>
      </c>
      <c r="I1102" s="55">
        <f t="shared" si="79"/>
        <v>0</v>
      </c>
      <c r="J1102" s="56">
        <v>45796</v>
      </c>
      <c r="K1102" s="57"/>
    </row>
    <row r="1103" spans="1:11" ht="15.75" hidden="1" customHeight="1" x14ac:dyDescent="0.35">
      <c r="A1103" s="47" t="s">
        <v>32</v>
      </c>
      <c r="B1103" s="48" t="s">
        <v>2161</v>
      </c>
      <c r="C1103" s="49" t="s">
        <v>2156</v>
      </c>
      <c r="D1103" s="50"/>
      <c r="E1103" s="51">
        <v>1738250</v>
      </c>
      <c r="F1103" s="52">
        <f t="shared" si="78"/>
        <v>139060</v>
      </c>
      <c r="G1103" s="53">
        <f t="shared" si="77"/>
        <v>1877310</v>
      </c>
      <c r="H1103" s="54">
        <v>1877310</v>
      </c>
      <c r="I1103" s="55">
        <f t="shared" si="79"/>
        <v>0</v>
      </c>
      <c r="J1103" s="56">
        <v>45796</v>
      </c>
      <c r="K1103" s="57"/>
    </row>
    <row r="1104" spans="1:11" ht="15.75" hidden="1" customHeight="1" x14ac:dyDescent="0.35">
      <c r="A1104" s="47" t="s">
        <v>126</v>
      </c>
      <c r="B1104" s="48" t="s">
        <v>2179</v>
      </c>
      <c r="C1104" s="50" t="s">
        <v>2164</v>
      </c>
      <c r="D1104" s="50"/>
      <c r="E1104" s="51">
        <v>1738250</v>
      </c>
      <c r="F1104" s="52">
        <f t="shared" si="78"/>
        <v>139060</v>
      </c>
      <c r="G1104" s="53">
        <f t="shared" si="77"/>
        <v>1877310</v>
      </c>
      <c r="H1104" s="54">
        <v>1877310</v>
      </c>
      <c r="I1104" s="55">
        <f t="shared" si="79"/>
        <v>0</v>
      </c>
      <c r="J1104" s="56">
        <v>45918</v>
      </c>
      <c r="K1104" s="57"/>
    </row>
    <row r="1105" spans="1:11" ht="15.75" hidden="1" customHeight="1" x14ac:dyDescent="0.35">
      <c r="A1105" s="47" t="s">
        <v>82</v>
      </c>
      <c r="B1105" s="48" t="s">
        <v>2179</v>
      </c>
      <c r="C1105" s="50" t="s">
        <v>640</v>
      </c>
      <c r="D1105" s="50"/>
      <c r="E1105" s="51">
        <v>1738250</v>
      </c>
      <c r="F1105" s="52">
        <f t="shared" si="78"/>
        <v>139060</v>
      </c>
      <c r="G1105" s="53">
        <f t="shared" si="77"/>
        <v>1877310</v>
      </c>
      <c r="H1105" s="54">
        <v>1877310</v>
      </c>
      <c r="I1105" s="55">
        <f t="shared" si="79"/>
        <v>0</v>
      </c>
      <c r="J1105" s="56">
        <v>45918</v>
      </c>
      <c r="K1105" s="57"/>
    </row>
    <row r="1106" spans="1:11" ht="15.75" hidden="1" customHeight="1" x14ac:dyDescent="0.35">
      <c r="A1106" s="47" t="s">
        <v>54</v>
      </c>
      <c r="B1106" s="48" t="s">
        <v>2179</v>
      </c>
      <c r="C1106" s="50" t="s">
        <v>132</v>
      </c>
      <c r="D1106" s="50"/>
      <c r="E1106" s="51">
        <v>1198500</v>
      </c>
      <c r="F1106" s="52">
        <f t="shared" si="78"/>
        <v>95880</v>
      </c>
      <c r="G1106" s="53">
        <f t="shared" si="77"/>
        <v>1294380</v>
      </c>
      <c r="H1106" s="54">
        <v>1294380</v>
      </c>
      <c r="I1106" s="55">
        <f t="shared" si="79"/>
        <v>0</v>
      </c>
      <c r="J1106" s="56">
        <v>45828</v>
      </c>
      <c r="K1106" s="57"/>
    </row>
    <row r="1107" spans="1:11" ht="15.75" hidden="1" customHeight="1" x14ac:dyDescent="0.35">
      <c r="A1107" s="47" t="s">
        <v>164</v>
      </c>
      <c r="B1107" s="48" t="s">
        <v>2179</v>
      </c>
      <c r="C1107" s="50" t="s">
        <v>2165</v>
      </c>
      <c r="D1107" s="50"/>
      <c r="E1107" s="51">
        <v>884000</v>
      </c>
      <c r="F1107" s="52">
        <f t="shared" si="78"/>
        <v>70720</v>
      </c>
      <c r="G1107" s="53">
        <f t="shared" si="77"/>
        <v>954720</v>
      </c>
      <c r="H1107" s="54">
        <v>954720</v>
      </c>
      <c r="I1107" s="55">
        <f t="shared" si="79"/>
        <v>0</v>
      </c>
      <c r="J1107" s="56">
        <v>45978</v>
      </c>
      <c r="K1107" s="57"/>
    </row>
    <row r="1108" spans="1:11" ht="15.75" hidden="1" customHeight="1" x14ac:dyDescent="0.35">
      <c r="A1108" s="47" t="s">
        <v>56</v>
      </c>
      <c r="B1108" s="48" t="s">
        <v>2179</v>
      </c>
      <c r="C1108" s="50" t="s">
        <v>2166</v>
      </c>
      <c r="D1108" s="50"/>
      <c r="E1108" s="51">
        <v>1738250</v>
      </c>
      <c r="F1108" s="52">
        <f t="shared" si="78"/>
        <v>139060</v>
      </c>
      <c r="G1108" s="53">
        <f t="shared" si="77"/>
        <v>1877310</v>
      </c>
      <c r="H1108" s="54">
        <v>1877310</v>
      </c>
      <c r="I1108" s="55">
        <f t="shared" si="79"/>
        <v>0</v>
      </c>
      <c r="J1108" s="56">
        <v>45828</v>
      </c>
      <c r="K1108" s="57"/>
    </row>
    <row r="1109" spans="1:11" ht="15.75" hidden="1" customHeight="1" x14ac:dyDescent="0.35">
      <c r="A1109" s="47" t="s">
        <v>70</v>
      </c>
      <c r="B1109" s="48" t="s">
        <v>2180</v>
      </c>
      <c r="C1109" s="50" t="s">
        <v>139</v>
      </c>
      <c r="D1109" s="50"/>
      <c r="E1109" s="51">
        <v>442000</v>
      </c>
      <c r="F1109" s="52">
        <f t="shared" si="78"/>
        <v>35360</v>
      </c>
      <c r="G1109" s="53">
        <f t="shared" si="77"/>
        <v>477360</v>
      </c>
      <c r="H1109" s="54">
        <v>477360</v>
      </c>
      <c r="I1109" s="55">
        <f t="shared" si="79"/>
        <v>0</v>
      </c>
      <c r="J1109" s="56">
        <v>45828</v>
      </c>
      <c r="K1109" s="57"/>
    </row>
    <row r="1110" spans="1:11" ht="15.75" hidden="1" customHeight="1" x14ac:dyDescent="0.35">
      <c r="A1110" s="47" t="s">
        <v>20</v>
      </c>
      <c r="B1110" s="48" t="s">
        <v>2180</v>
      </c>
      <c r="C1110" s="50" t="s">
        <v>2167</v>
      </c>
      <c r="D1110" s="50"/>
      <c r="E1110" s="51">
        <v>1542750</v>
      </c>
      <c r="F1110" s="52">
        <f t="shared" si="78"/>
        <v>123420</v>
      </c>
      <c r="G1110" s="53">
        <f t="shared" si="77"/>
        <v>1666170</v>
      </c>
      <c r="H1110" s="54">
        <v>1666170</v>
      </c>
      <c r="I1110" s="55">
        <f t="shared" si="79"/>
        <v>0</v>
      </c>
      <c r="J1110" s="56">
        <v>45796</v>
      </c>
      <c r="K1110" s="57"/>
    </row>
    <row r="1111" spans="1:11" ht="15.75" hidden="1" customHeight="1" x14ac:dyDescent="0.35">
      <c r="A1111" s="47" t="s">
        <v>31</v>
      </c>
      <c r="B1111" s="48" t="s">
        <v>2180</v>
      </c>
      <c r="C1111" s="50" t="s">
        <v>2168</v>
      </c>
      <c r="D1111" s="50"/>
      <c r="E1111" s="51">
        <v>1738250</v>
      </c>
      <c r="F1111" s="52">
        <f t="shared" si="78"/>
        <v>139060</v>
      </c>
      <c r="G1111" s="53">
        <f t="shared" si="77"/>
        <v>1877310</v>
      </c>
      <c r="H1111" s="54">
        <v>1877310</v>
      </c>
      <c r="I1111" s="55">
        <f t="shared" si="79"/>
        <v>0</v>
      </c>
      <c r="J1111" s="56">
        <v>45796</v>
      </c>
      <c r="K1111" s="57"/>
    </row>
    <row r="1112" spans="1:11" ht="15.75" hidden="1" customHeight="1" x14ac:dyDescent="0.35">
      <c r="A1112" s="47" t="s">
        <v>53</v>
      </c>
      <c r="B1112" s="48" t="s">
        <v>2180</v>
      </c>
      <c r="C1112" s="50" t="s">
        <v>2169</v>
      </c>
      <c r="D1112" s="50"/>
      <c r="E1112" s="51">
        <v>1738250</v>
      </c>
      <c r="F1112" s="52">
        <f t="shared" si="78"/>
        <v>139060</v>
      </c>
      <c r="G1112" s="53">
        <f t="shared" si="77"/>
        <v>1877310</v>
      </c>
      <c r="H1112" s="54">
        <v>1877310</v>
      </c>
      <c r="I1112" s="55">
        <f t="shared" si="79"/>
        <v>0</v>
      </c>
      <c r="J1112" s="56">
        <v>45894</v>
      </c>
      <c r="K1112" s="57"/>
    </row>
    <row r="1113" spans="1:11" ht="15.75" hidden="1" customHeight="1" x14ac:dyDescent="0.35">
      <c r="A1113" s="47" t="s">
        <v>16</v>
      </c>
      <c r="B1113" s="48" t="s">
        <v>2180</v>
      </c>
      <c r="C1113" s="50" t="s">
        <v>2170</v>
      </c>
      <c r="D1113" s="50"/>
      <c r="E1113" s="51">
        <v>1542750</v>
      </c>
      <c r="F1113" s="52">
        <f t="shared" si="78"/>
        <v>123420</v>
      </c>
      <c r="G1113" s="53">
        <f t="shared" si="77"/>
        <v>1666170</v>
      </c>
      <c r="H1113" s="54">
        <v>1666170</v>
      </c>
      <c r="I1113" s="55">
        <f t="shared" si="79"/>
        <v>0</v>
      </c>
      <c r="J1113" s="56">
        <v>45796</v>
      </c>
      <c r="K1113" s="57"/>
    </row>
    <row r="1114" spans="1:11" ht="15.75" hidden="1" customHeight="1" x14ac:dyDescent="0.35">
      <c r="A1114" s="47" t="s">
        <v>127</v>
      </c>
      <c r="B1114" s="48" t="s">
        <v>2180</v>
      </c>
      <c r="C1114" s="50" t="s">
        <v>2171</v>
      </c>
      <c r="D1114" s="50"/>
      <c r="E1114" s="51">
        <v>688500</v>
      </c>
      <c r="F1114" s="52">
        <f t="shared" si="78"/>
        <v>55080</v>
      </c>
      <c r="G1114" s="53">
        <f t="shared" si="77"/>
        <v>743580</v>
      </c>
      <c r="H1114" s="54">
        <v>743580</v>
      </c>
      <c r="I1114" s="55">
        <f t="shared" si="79"/>
        <v>0</v>
      </c>
      <c r="J1114" s="56">
        <v>45796</v>
      </c>
      <c r="K1114" s="57"/>
    </row>
    <row r="1115" spans="1:11" ht="15.75" hidden="1" customHeight="1" x14ac:dyDescent="0.35">
      <c r="A1115" s="47" t="s">
        <v>1593</v>
      </c>
      <c r="B1115" s="48" t="s">
        <v>2180</v>
      </c>
      <c r="C1115" s="50" t="s">
        <v>2172</v>
      </c>
      <c r="D1115" s="50"/>
      <c r="E1115" s="51">
        <v>854250</v>
      </c>
      <c r="F1115" s="52">
        <f t="shared" si="78"/>
        <v>68340</v>
      </c>
      <c r="G1115" s="53">
        <f t="shared" si="77"/>
        <v>922590</v>
      </c>
      <c r="H1115" s="54">
        <v>922590</v>
      </c>
      <c r="I1115" s="55">
        <f t="shared" si="79"/>
        <v>0</v>
      </c>
      <c r="J1115" s="56">
        <v>45796</v>
      </c>
      <c r="K1115" s="57"/>
    </row>
    <row r="1116" spans="1:11" ht="15.75" hidden="1" customHeight="1" x14ac:dyDescent="0.35">
      <c r="A1116" s="47" t="s">
        <v>19</v>
      </c>
      <c r="B1116" s="48" t="s">
        <v>2181</v>
      </c>
      <c r="C1116" s="50" t="s">
        <v>2173</v>
      </c>
      <c r="D1116" s="50"/>
      <c r="E1116" s="51">
        <v>3476500</v>
      </c>
      <c r="F1116" s="52">
        <f t="shared" si="78"/>
        <v>278120</v>
      </c>
      <c r="G1116" s="53">
        <f t="shared" si="77"/>
        <v>3754620</v>
      </c>
      <c r="H1116" s="54">
        <v>3754620</v>
      </c>
      <c r="I1116" s="55">
        <f t="shared" si="79"/>
        <v>0</v>
      </c>
      <c r="J1116" s="56">
        <v>45828</v>
      </c>
      <c r="K1116" s="57"/>
    </row>
    <row r="1117" spans="1:11" ht="15.75" hidden="1" customHeight="1" x14ac:dyDescent="0.35">
      <c r="A1117" s="47" t="s">
        <v>100</v>
      </c>
      <c r="B1117" s="48" t="s">
        <v>2181</v>
      </c>
      <c r="C1117" s="50" t="s">
        <v>2174</v>
      </c>
      <c r="D1117" s="50"/>
      <c r="E1117" s="51">
        <v>2082500</v>
      </c>
      <c r="F1117" s="52">
        <f t="shared" si="78"/>
        <v>166600</v>
      </c>
      <c r="G1117" s="53">
        <f t="shared" si="77"/>
        <v>2249100</v>
      </c>
      <c r="H1117" s="54">
        <v>2249100</v>
      </c>
      <c r="I1117" s="55">
        <f t="shared" si="79"/>
        <v>0</v>
      </c>
      <c r="J1117" s="56">
        <v>45828</v>
      </c>
      <c r="K1117" s="57"/>
    </row>
    <row r="1118" spans="1:11" ht="15.75" hidden="1" customHeight="1" x14ac:dyDescent="0.35">
      <c r="A1118" s="47" t="s">
        <v>54</v>
      </c>
      <c r="B1118" s="48" t="s">
        <v>2181</v>
      </c>
      <c r="C1118" s="50" t="s">
        <v>2175</v>
      </c>
      <c r="D1118" s="50"/>
      <c r="E1118" s="51">
        <v>884000</v>
      </c>
      <c r="F1118" s="52">
        <f t="shared" si="78"/>
        <v>70720</v>
      </c>
      <c r="G1118" s="53">
        <f t="shared" si="77"/>
        <v>954720</v>
      </c>
      <c r="H1118" s="54">
        <v>954720</v>
      </c>
      <c r="I1118" s="55">
        <f t="shared" si="79"/>
        <v>0</v>
      </c>
      <c r="J1118" s="56">
        <v>45828</v>
      </c>
      <c r="K1118" s="57"/>
    </row>
    <row r="1119" spans="1:11" ht="15.75" hidden="1" customHeight="1" x14ac:dyDescent="0.35">
      <c r="A1119" s="47" t="s">
        <v>90</v>
      </c>
      <c r="B1119" s="48" t="s">
        <v>2181</v>
      </c>
      <c r="C1119" s="50" t="s">
        <v>2176</v>
      </c>
      <c r="D1119" s="50"/>
      <c r="E1119" s="51">
        <v>1572500</v>
      </c>
      <c r="F1119" s="52">
        <f t="shared" si="78"/>
        <v>125800</v>
      </c>
      <c r="G1119" s="53">
        <f t="shared" si="77"/>
        <v>1698300</v>
      </c>
      <c r="H1119" s="54">
        <v>1698300</v>
      </c>
      <c r="I1119" s="55">
        <f t="shared" si="79"/>
        <v>0</v>
      </c>
      <c r="J1119" s="56">
        <v>45918</v>
      </c>
      <c r="K1119" s="57"/>
    </row>
    <row r="1120" spans="1:11" ht="15.75" hidden="1" customHeight="1" x14ac:dyDescent="0.35">
      <c r="A1120" s="47" t="s">
        <v>24</v>
      </c>
      <c r="B1120" s="48" t="s">
        <v>2181</v>
      </c>
      <c r="C1120" s="50" t="s">
        <v>2177</v>
      </c>
      <c r="D1120" s="50"/>
      <c r="E1120" s="51">
        <v>1572500</v>
      </c>
      <c r="F1120" s="52">
        <f t="shared" si="78"/>
        <v>125800</v>
      </c>
      <c r="G1120" s="53">
        <f t="shared" si="77"/>
        <v>1698300</v>
      </c>
      <c r="H1120" s="54">
        <v>1698300</v>
      </c>
      <c r="I1120" s="55">
        <f t="shared" si="79"/>
        <v>0</v>
      </c>
      <c r="J1120" s="56">
        <v>45828</v>
      </c>
      <c r="K1120" s="57"/>
    </row>
    <row r="1121" spans="1:11" ht="15.75" hidden="1" customHeight="1" x14ac:dyDescent="0.35">
      <c r="A1121" s="47" t="s">
        <v>47</v>
      </c>
      <c r="B1121" s="48" t="s">
        <v>2181</v>
      </c>
      <c r="C1121" s="50" t="s">
        <v>2178</v>
      </c>
      <c r="D1121" s="50"/>
      <c r="E1121" s="51">
        <v>884000</v>
      </c>
      <c r="F1121" s="52">
        <f t="shared" si="78"/>
        <v>70720</v>
      </c>
      <c r="G1121" s="53">
        <f t="shared" si="77"/>
        <v>954720</v>
      </c>
      <c r="H1121" s="54">
        <v>954720</v>
      </c>
      <c r="I1121" s="55">
        <f t="shared" si="79"/>
        <v>0</v>
      </c>
      <c r="J1121" s="56">
        <v>45828</v>
      </c>
      <c r="K1121" s="57"/>
    </row>
    <row r="1122" spans="1:11" ht="15.75" hidden="1" customHeight="1" x14ac:dyDescent="0.35">
      <c r="A1122" s="47" t="s">
        <v>53</v>
      </c>
      <c r="B1122" s="48" t="s">
        <v>2571</v>
      </c>
      <c r="C1122" s="50" t="s">
        <v>2182</v>
      </c>
      <c r="D1122" s="50"/>
      <c r="E1122" s="51">
        <v>854250</v>
      </c>
      <c r="F1122" s="52">
        <f t="shared" si="78"/>
        <v>68340</v>
      </c>
      <c r="G1122" s="53">
        <f t="shared" si="77"/>
        <v>922590</v>
      </c>
      <c r="H1122" s="54">
        <v>922590</v>
      </c>
      <c r="I1122" s="55">
        <f t="shared" si="79"/>
        <v>0</v>
      </c>
      <c r="J1122" s="56">
        <v>45894</v>
      </c>
      <c r="K1122" s="57"/>
    </row>
    <row r="1123" spans="1:11" ht="15.75" hidden="1" customHeight="1" x14ac:dyDescent="0.35">
      <c r="A1123" s="47" t="s">
        <v>127</v>
      </c>
      <c r="B1123" s="48" t="s">
        <v>2571</v>
      </c>
      <c r="C1123" s="50" t="s">
        <v>154</v>
      </c>
      <c r="D1123" s="50"/>
      <c r="E1123" s="51">
        <v>854250</v>
      </c>
      <c r="F1123" s="52">
        <f t="shared" si="78"/>
        <v>68340</v>
      </c>
      <c r="G1123" s="53">
        <f t="shared" si="77"/>
        <v>922590</v>
      </c>
      <c r="H1123" s="54">
        <v>922590</v>
      </c>
      <c r="I1123" s="55">
        <f t="shared" si="79"/>
        <v>0</v>
      </c>
      <c r="J1123" s="56">
        <v>45828</v>
      </c>
      <c r="K1123" s="57"/>
    </row>
    <row r="1124" spans="1:11" ht="15.75" hidden="1" customHeight="1" x14ac:dyDescent="0.35">
      <c r="A1124" s="47" t="s">
        <v>110</v>
      </c>
      <c r="B1124" s="48" t="s">
        <v>2571</v>
      </c>
      <c r="C1124" s="50" t="s">
        <v>2183</v>
      </c>
      <c r="D1124" s="50"/>
      <c r="E1124" s="51">
        <v>344250</v>
      </c>
      <c r="F1124" s="52">
        <f t="shared" si="78"/>
        <v>27540</v>
      </c>
      <c r="G1124" s="53">
        <f t="shared" si="77"/>
        <v>371790</v>
      </c>
      <c r="H1124" s="54">
        <v>371790</v>
      </c>
      <c r="I1124" s="55">
        <f t="shared" si="79"/>
        <v>0</v>
      </c>
      <c r="J1124" s="56">
        <v>45918</v>
      </c>
      <c r="K1124" s="57"/>
    </row>
    <row r="1125" spans="1:11" ht="15.75" hidden="1" customHeight="1" x14ac:dyDescent="0.35">
      <c r="A1125" s="47" t="s">
        <v>15</v>
      </c>
      <c r="B1125" s="48" t="s">
        <v>2571</v>
      </c>
      <c r="C1125" s="50" t="s">
        <v>158</v>
      </c>
      <c r="D1125" s="50"/>
      <c r="E1125" s="51">
        <v>1738250</v>
      </c>
      <c r="F1125" s="52">
        <f t="shared" si="78"/>
        <v>139060</v>
      </c>
      <c r="G1125" s="53">
        <f t="shared" si="77"/>
        <v>1877310</v>
      </c>
      <c r="H1125" s="54">
        <v>1877310</v>
      </c>
      <c r="I1125" s="55">
        <f t="shared" si="79"/>
        <v>0</v>
      </c>
      <c r="J1125" s="56">
        <v>45828</v>
      </c>
      <c r="K1125" s="57"/>
    </row>
    <row r="1126" spans="1:11" ht="15.75" hidden="1" customHeight="1" x14ac:dyDescent="0.35">
      <c r="A1126" s="47" t="s">
        <v>47</v>
      </c>
      <c r="B1126" s="48" t="s">
        <v>2571</v>
      </c>
      <c r="C1126" s="50" t="s">
        <v>2184</v>
      </c>
      <c r="D1126" s="50"/>
      <c r="E1126" s="51">
        <v>2592500</v>
      </c>
      <c r="F1126" s="52">
        <f t="shared" si="78"/>
        <v>207400</v>
      </c>
      <c r="G1126" s="53">
        <f t="shared" si="77"/>
        <v>2799900</v>
      </c>
      <c r="H1126" s="54">
        <v>2799900</v>
      </c>
      <c r="I1126" s="55">
        <f t="shared" si="79"/>
        <v>0</v>
      </c>
      <c r="J1126" s="56">
        <v>45828</v>
      </c>
      <c r="K1126" s="57"/>
    </row>
    <row r="1127" spans="1:11" ht="15.75" hidden="1" customHeight="1" x14ac:dyDescent="0.35">
      <c r="A1127" s="47" t="s">
        <v>18</v>
      </c>
      <c r="B1127" s="48" t="s">
        <v>2571</v>
      </c>
      <c r="C1127" s="50" t="s">
        <v>2185</v>
      </c>
      <c r="D1127" s="50"/>
      <c r="E1127" s="51">
        <v>854250</v>
      </c>
      <c r="F1127" s="52">
        <f t="shared" si="78"/>
        <v>68340</v>
      </c>
      <c r="G1127" s="53">
        <f t="shared" si="77"/>
        <v>922590</v>
      </c>
      <c r="H1127" s="54">
        <v>922590</v>
      </c>
      <c r="I1127" s="55">
        <f t="shared" si="79"/>
        <v>0</v>
      </c>
      <c r="J1127" s="56">
        <v>45828</v>
      </c>
      <c r="K1127" s="57"/>
    </row>
    <row r="1128" spans="1:11" ht="15.75" hidden="1" customHeight="1" x14ac:dyDescent="0.35">
      <c r="A1128" s="47" t="s">
        <v>167</v>
      </c>
      <c r="B1128" s="48" t="s">
        <v>2572</v>
      </c>
      <c r="C1128" s="50" t="s">
        <v>2186</v>
      </c>
      <c r="D1128" s="50"/>
      <c r="E1128" s="51">
        <v>854250</v>
      </c>
      <c r="F1128" s="52">
        <f t="shared" si="78"/>
        <v>68340</v>
      </c>
      <c r="G1128" s="53">
        <f t="shared" si="77"/>
        <v>922590</v>
      </c>
      <c r="H1128" s="54">
        <v>922590</v>
      </c>
      <c r="I1128" s="55">
        <f t="shared" si="79"/>
        <v>0</v>
      </c>
      <c r="J1128" s="56">
        <v>45978</v>
      </c>
      <c r="K1128" s="57"/>
    </row>
    <row r="1129" spans="1:11" ht="15.75" hidden="1" customHeight="1" x14ac:dyDescent="0.35">
      <c r="A1129" s="47" t="s">
        <v>39</v>
      </c>
      <c r="B1129" s="48" t="s">
        <v>2572</v>
      </c>
      <c r="C1129" s="50" t="s">
        <v>2187</v>
      </c>
      <c r="D1129" s="50"/>
      <c r="E1129" s="51">
        <v>1738250</v>
      </c>
      <c r="F1129" s="52">
        <f t="shared" si="78"/>
        <v>139060</v>
      </c>
      <c r="G1129" s="53">
        <f t="shared" si="77"/>
        <v>1877310</v>
      </c>
      <c r="H1129" s="54">
        <v>1877310</v>
      </c>
      <c r="I1129" s="55">
        <f t="shared" si="79"/>
        <v>0</v>
      </c>
      <c r="J1129" s="56">
        <v>45828</v>
      </c>
      <c r="K1129" s="57"/>
    </row>
    <row r="1130" spans="1:11" ht="15.75" hidden="1" customHeight="1" x14ac:dyDescent="0.35">
      <c r="A1130" s="47" t="s">
        <v>20</v>
      </c>
      <c r="B1130" s="48" t="s">
        <v>2573</v>
      </c>
      <c r="C1130" s="50" t="s">
        <v>2188</v>
      </c>
      <c r="D1130" s="50"/>
      <c r="E1130" s="51">
        <v>1542750</v>
      </c>
      <c r="F1130" s="52">
        <f t="shared" si="78"/>
        <v>123420</v>
      </c>
      <c r="G1130" s="53">
        <f t="shared" si="77"/>
        <v>1666170</v>
      </c>
      <c r="H1130" s="54">
        <v>1666170</v>
      </c>
      <c r="I1130" s="55">
        <f t="shared" si="79"/>
        <v>0</v>
      </c>
      <c r="J1130" s="56">
        <v>45828</v>
      </c>
      <c r="K1130" s="57"/>
    </row>
    <row r="1131" spans="1:11" ht="15.75" hidden="1" customHeight="1" x14ac:dyDescent="0.35">
      <c r="A1131" s="47" t="s">
        <v>32</v>
      </c>
      <c r="B1131" s="48" t="s">
        <v>2573</v>
      </c>
      <c r="C1131" s="50" t="s">
        <v>2189</v>
      </c>
      <c r="D1131" s="50"/>
      <c r="E1131" s="51">
        <v>854250</v>
      </c>
      <c r="F1131" s="52">
        <f t="shared" si="78"/>
        <v>68340</v>
      </c>
      <c r="G1131" s="53">
        <f t="shared" si="77"/>
        <v>922590</v>
      </c>
      <c r="H1131" s="54">
        <v>922590</v>
      </c>
      <c r="I1131" s="55">
        <f t="shared" si="79"/>
        <v>0</v>
      </c>
      <c r="J1131" s="56">
        <v>45828</v>
      </c>
      <c r="K1131" s="57"/>
    </row>
    <row r="1132" spans="1:11" ht="15.75" hidden="1" customHeight="1" x14ac:dyDescent="0.35">
      <c r="A1132" s="47" t="s">
        <v>52</v>
      </c>
      <c r="B1132" s="48" t="s">
        <v>2573</v>
      </c>
      <c r="C1132" s="50" t="s">
        <v>2190</v>
      </c>
      <c r="D1132" s="50"/>
      <c r="E1132" s="51">
        <v>2426750</v>
      </c>
      <c r="F1132" s="52">
        <f t="shared" si="78"/>
        <v>194140</v>
      </c>
      <c r="G1132" s="53">
        <f t="shared" si="77"/>
        <v>2620890</v>
      </c>
      <c r="H1132" s="54">
        <v>2620890</v>
      </c>
      <c r="I1132" s="55">
        <f t="shared" si="79"/>
        <v>0</v>
      </c>
      <c r="J1132" s="56">
        <v>45828</v>
      </c>
      <c r="K1132" s="57"/>
    </row>
    <row r="1133" spans="1:11" ht="15.75" hidden="1" customHeight="1" x14ac:dyDescent="0.35">
      <c r="A1133" s="47" t="s">
        <v>86</v>
      </c>
      <c r="B1133" s="48" t="s">
        <v>2573</v>
      </c>
      <c r="C1133" s="50" t="s">
        <v>175</v>
      </c>
      <c r="D1133" s="50"/>
      <c r="E1133" s="51">
        <v>1296250</v>
      </c>
      <c r="F1133" s="52">
        <f t="shared" si="78"/>
        <v>103700</v>
      </c>
      <c r="G1133" s="53">
        <f t="shared" si="77"/>
        <v>1399950</v>
      </c>
      <c r="H1133" s="54">
        <v>1399950</v>
      </c>
      <c r="I1133" s="55">
        <f t="shared" si="79"/>
        <v>0</v>
      </c>
      <c r="J1133" s="56">
        <v>45918</v>
      </c>
      <c r="K1133" s="57"/>
    </row>
    <row r="1134" spans="1:11" ht="15.75" hidden="1" customHeight="1" x14ac:dyDescent="0.35">
      <c r="A1134" s="47" t="s">
        <v>93</v>
      </c>
      <c r="B1134" s="48" t="s">
        <v>2574</v>
      </c>
      <c r="C1134" s="50" t="s">
        <v>2191</v>
      </c>
      <c r="D1134" s="50"/>
      <c r="E1134" s="51">
        <v>688500</v>
      </c>
      <c r="F1134" s="52">
        <f t="shared" si="78"/>
        <v>55080</v>
      </c>
      <c r="G1134" s="53">
        <f t="shared" si="77"/>
        <v>743580</v>
      </c>
      <c r="H1134" s="54">
        <v>743580</v>
      </c>
      <c r="I1134" s="55">
        <f t="shared" si="79"/>
        <v>0</v>
      </c>
      <c r="J1134" s="56">
        <v>45828</v>
      </c>
      <c r="K1134" s="57"/>
    </row>
    <row r="1135" spans="1:11" ht="15.75" hidden="1" customHeight="1" x14ac:dyDescent="0.35">
      <c r="A1135" s="47" t="s">
        <v>26</v>
      </c>
      <c r="B1135" s="48" t="s">
        <v>2574</v>
      </c>
      <c r="C1135" s="50" t="s">
        <v>2192</v>
      </c>
      <c r="D1135" s="50"/>
      <c r="E1135" s="51">
        <v>459000</v>
      </c>
      <c r="F1135" s="52">
        <f t="shared" si="78"/>
        <v>36720</v>
      </c>
      <c r="G1135" s="53">
        <f t="shared" si="77"/>
        <v>495720</v>
      </c>
      <c r="H1135" s="54">
        <v>495720</v>
      </c>
      <c r="I1135" s="55">
        <f t="shared" si="79"/>
        <v>0</v>
      </c>
      <c r="J1135" s="56">
        <v>45828</v>
      </c>
      <c r="K1135" s="57"/>
    </row>
    <row r="1136" spans="1:11" ht="15.75" hidden="1" customHeight="1" x14ac:dyDescent="0.35">
      <c r="A1136" s="47" t="s">
        <v>47</v>
      </c>
      <c r="B1136" s="48" t="s">
        <v>2575</v>
      </c>
      <c r="C1136" s="50" t="s">
        <v>2193</v>
      </c>
      <c r="D1136" s="50"/>
      <c r="E1136" s="51">
        <v>884000</v>
      </c>
      <c r="F1136" s="52">
        <f t="shared" si="78"/>
        <v>70720</v>
      </c>
      <c r="G1136" s="53">
        <f t="shared" si="77"/>
        <v>954720</v>
      </c>
      <c r="H1136" s="54">
        <v>954720</v>
      </c>
      <c r="I1136" s="55">
        <f t="shared" si="79"/>
        <v>0</v>
      </c>
      <c r="J1136" s="56">
        <v>45828</v>
      </c>
      <c r="K1136" s="57"/>
    </row>
    <row r="1137" spans="1:11" ht="15.75" hidden="1" customHeight="1" x14ac:dyDescent="0.35">
      <c r="A1137" s="47" t="s">
        <v>22</v>
      </c>
      <c r="B1137" s="48" t="s">
        <v>2575</v>
      </c>
      <c r="C1137" s="50" t="s">
        <v>2194</v>
      </c>
      <c r="D1137" s="50"/>
      <c r="E1137" s="51">
        <v>884000</v>
      </c>
      <c r="F1137" s="52">
        <f t="shared" si="78"/>
        <v>70720</v>
      </c>
      <c r="G1137" s="53">
        <f t="shared" si="77"/>
        <v>954720</v>
      </c>
      <c r="H1137" s="54">
        <v>954720</v>
      </c>
      <c r="I1137" s="55">
        <f t="shared" si="79"/>
        <v>0</v>
      </c>
      <c r="J1137" s="56">
        <v>45828</v>
      </c>
      <c r="K1137" s="57"/>
    </row>
    <row r="1138" spans="1:11" ht="15.75" hidden="1" customHeight="1" x14ac:dyDescent="0.35">
      <c r="A1138" s="47" t="s">
        <v>78</v>
      </c>
      <c r="B1138" s="48" t="s">
        <v>2575</v>
      </c>
      <c r="C1138" s="50" t="s">
        <v>2195</v>
      </c>
      <c r="D1138" s="50"/>
      <c r="E1138" s="51">
        <v>854250</v>
      </c>
      <c r="F1138" s="52">
        <f t="shared" si="78"/>
        <v>68340</v>
      </c>
      <c r="G1138" s="53">
        <f t="shared" si="77"/>
        <v>922590</v>
      </c>
      <c r="H1138" s="54">
        <v>922590</v>
      </c>
      <c r="I1138" s="55">
        <f t="shared" si="79"/>
        <v>0</v>
      </c>
      <c r="J1138" s="56">
        <v>45918</v>
      </c>
      <c r="K1138" s="57"/>
    </row>
    <row r="1139" spans="1:11" ht="15.75" hidden="1" customHeight="1" x14ac:dyDescent="0.35">
      <c r="A1139" s="47" t="s">
        <v>106</v>
      </c>
      <c r="B1139" s="48" t="s">
        <v>2575</v>
      </c>
      <c r="C1139" s="50" t="s">
        <v>2196</v>
      </c>
      <c r="D1139" s="50"/>
      <c r="E1139" s="51">
        <v>5214750</v>
      </c>
      <c r="F1139" s="52">
        <f t="shared" si="78"/>
        <v>417180</v>
      </c>
      <c r="G1139" s="53">
        <f t="shared" si="77"/>
        <v>5631930</v>
      </c>
      <c r="H1139" s="54">
        <v>5631930</v>
      </c>
      <c r="I1139" s="55">
        <f t="shared" si="79"/>
        <v>0</v>
      </c>
      <c r="J1139" s="56">
        <v>45828</v>
      </c>
      <c r="K1139" s="57"/>
    </row>
    <row r="1140" spans="1:11" ht="15.75" hidden="1" customHeight="1" x14ac:dyDescent="0.35">
      <c r="A1140" s="47" t="s">
        <v>125</v>
      </c>
      <c r="B1140" s="48" t="s">
        <v>2575</v>
      </c>
      <c r="C1140" s="50" t="s">
        <v>2197</v>
      </c>
      <c r="D1140" s="50"/>
      <c r="E1140" s="51">
        <v>2426750</v>
      </c>
      <c r="F1140" s="52">
        <f t="shared" si="78"/>
        <v>194140</v>
      </c>
      <c r="G1140" s="53">
        <f t="shared" si="77"/>
        <v>2620890</v>
      </c>
      <c r="H1140" s="54">
        <v>2620890</v>
      </c>
      <c r="I1140" s="55">
        <f t="shared" si="79"/>
        <v>0</v>
      </c>
      <c r="J1140" s="56">
        <v>45828</v>
      </c>
      <c r="K1140" s="57"/>
    </row>
    <row r="1141" spans="1:11" ht="15.75" hidden="1" customHeight="1" x14ac:dyDescent="0.35">
      <c r="A1141" s="47" t="s">
        <v>61</v>
      </c>
      <c r="B1141" s="48" t="s">
        <v>2576</v>
      </c>
      <c r="C1141" s="50" t="s">
        <v>2198</v>
      </c>
      <c r="D1141" s="50"/>
      <c r="E1141" s="51">
        <v>854250</v>
      </c>
      <c r="F1141" s="52">
        <f t="shared" si="78"/>
        <v>68340</v>
      </c>
      <c r="G1141" s="53">
        <f t="shared" si="77"/>
        <v>922590</v>
      </c>
      <c r="H1141" s="54">
        <v>922590</v>
      </c>
      <c r="I1141" s="55">
        <f t="shared" si="79"/>
        <v>0</v>
      </c>
      <c r="J1141" s="56">
        <v>45918</v>
      </c>
      <c r="K1141" s="57"/>
    </row>
    <row r="1142" spans="1:11" ht="15.75" hidden="1" customHeight="1" x14ac:dyDescent="0.35">
      <c r="A1142" s="47" t="s">
        <v>105</v>
      </c>
      <c r="B1142" s="48" t="s">
        <v>2576</v>
      </c>
      <c r="C1142" s="50" t="s">
        <v>2199</v>
      </c>
      <c r="D1142" s="50"/>
      <c r="E1142" s="51">
        <v>3310750</v>
      </c>
      <c r="F1142" s="52">
        <f t="shared" si="78"/>
        <v>264860</v>
      </c>
      <c r="G1142" s="53">
        <f t="shared" si="77"/>
        <v>3575610</v>
      </c>
      <c r="H1142" s="54">
        <v>3575610</v>
      </c>
      <c r="I1142" s="55">
        <f t="shared" si="79"/>
        <v>0</v>
      </c>
      <c r="J1142" s="56">
        <v>45828</v>
      </c>
      <c r="K1142" s="57"/>
    </row>
    <row r="1143" spans="1:11" ht="15.75" hidden="1" customHeight="1" x14ac:dyDescent="0.35">
      <c r="A1143" s="47" t="s">
        <v>54</v>
      </c>
      <c r="B1143" s="48" t="s">
        <v>2576</v>
      </c>
      <c r="C1143" s="50" t="s">
        <v>2200</v>
      </c>
      <c r="D1143" s="50"/>
      <c r="E1143" s="51">
        <v>688500</v>
      </c>
      <c r="F1143" s="52">
        <f t="shared" si="78"/>
        <v>55080</v>
      </c>
      <c r="G1143" s="53">
        <f t="shared" ref="G1143:G1206" si="80">E1143+F1143</f>
        <v>743580</v>
      </c>
      <c r="H1143" s="54">
        <v>743580</v>
      </c>
      <c r="I1143" s="55">
        <f t="shared" si="79"/>
        <v>0</v>
      </c>
      <c r="J1143" s="56">
        <v>45828</v>
      </c>
      <c r="K1143" s="57"/>
    </row>
    <row r="1144" spans="1:11" ht="15.75" hidden="1" customHeight="1" x14ac:dyDescent="0.35">
      <c r="A1144" s="47" t="s">
        <v>134</v>
      </c>
      <c r="B1144" s="48" t="s">
        <v>2576</v>
      </c>
      <c r="C1144" s="50" t="s">
        <v>2201</v>
      </c>
      <c r="D1144" s="50"/>
      <c r="E1144" s="51">
        <v>1640500</v>
      </c>
      <c r="F1144" s="52">
        <f t="shared" ref="F1144:F1207" si="81">+E1144*0.08</f>
        <v>131240</v>
      </c>
      <c r="G1144" s="53">
        <f t="shared" si="80"/>
        <v>1771740</v>
      </c>
      <c r="H1144" s="54">
        <v>1771740</v>
      </c>
      <c r="I1144" s="55">
        <f t="shared" ref="I1144:I1207" si="82">G1144-H1144</f>
        <v>0</v>
      </c>
      <c r="J1144" s="56">
        <v>45918</v>
      </c>
      <c r="K1144" s="57"/>
    </row>
    <row r="1145" spans="1:11" ht="15.75" hidden="1" customHeight="1" x14ac:dyDescent="0.35">
      <c r="A1145" s="47" t="s">
        <v>32</v>
      </c>
      <c r="B1145" s="48" t="s">
        <v>2577</v>
      </c>
      <c r="C1145" s="50" t="s">
        <v>2202</v>
      </c>
      <c r="D1145" s="50"/>
      <c r="E1145" s="51">
        <v>688500</v>
      </c>
      <c r="F1145" s="52">
        <f t="shared" si="81"/>
        <v>55080</v>
      </c>
      <c r="G1145" s="53">
        <f t="shared" si="80"/>
        <v>743580</v>
      </c>
      <c r="H1145" s="54">
        <v>743580</v>
      </c>
      <c r="I1145" s="55">
        <f t="shared" si="82"/>
        <v>0</v>
      </c>
      <c r="J1145" s="56">
        <v>45828</v>
      </c>
      <c r="K1145" s="57"/>
    </row>
    <row r="1146" spans="1:11" ht="15.75" hidden="1" customHeight="1" x14ac:dyDescent="0.35">
      <c r="A1146" s="47" t="s">
        <v>126</v>
      </c>
      <c r="B1146" s="48" t="s">
        <v>2577</v>
      </c>
      <c r="C1146" s="50" t="s">
        <v>671</v>
      </c>
      <c r="D1146" s="50"/>
      <c r="E1146" s="51">
        <v>869125</v>
      </c>
      <c r="F1146" s="52">
        <f t="shared" si="81"/>
        <v>69530</v>
      </c>
      <c r="G1146" s="53">
        <f t="shared" si="80"/>
        <v>938655</v>
      </c>
      <c r="H1146" s="54">
        <v>938655</v>
      </c>
      <c r="I1146" s="55">
        <f t="shared" si="82"/>
        <v>0</v>
      </c>
      <c r="J1146" s="56">
        <v>45918</v>
      </c>
      <c r="K1146" s="57"/>
    </row>
    <row r="1147" spans="1:11" ht="15.75" hidden="1" customHeight="1" x14ac:dyDescent="0.35">
      <c r="A1147" s="47" t="s">
        <v>2677</v>
      </c>
      <c r="B1147" s="48">
        <v>45798</v>
      </c>
      <c r="C1147" s="50" t="s">
        <v>2203</v>
      </c>
      <c r="D1147" s="50" t="s">
        <v>2789</v>
      </c>
      <c r="E1147" s="51">
        <v>344250</v>
      </c>
      <c r="F1147" s="52">
        <f t="shared" si="81"/>
        <v>27540</v>
      </c>
      <c r="G1147" s="53">
        <f t="shared" si="80"/>
        <v>371790</v>
      </c>
      <c r="H1147" s="54">
        <v>371790</v>
      </c>
      <c r="I1147" s="55">
        <f t="shared" si="82"/>
        <v>0</v>
      </c>
      <c r="J1147" s="56">
        <v>45828</v>
      </c>
      <c r="K1147" s="57"/>
    </row>
    <row r="1148" spans="1:11" ht="15.75" hidden="1" customHeight="1" x14ac:dyDescent="0.35">
      <c r="A1148" s="47" t="s">
        <v>47</v>
      </c>
      <c r="B1148" s="48" t="s">
        <v>2578</v>
      </c>
      <c r="C1148" s="50" t="s">
        <v>2204</v>
      </c>
      <c r="D1148" s="50"/>
      <c r="E1148" s="51">
        <v>688500</v>
      </c>
      <c r="F1148" s="52">
        <f t="shared" si="81"/>
        <v>55080</v>
      </c>
      <c r="G1148" s="53">
        <f t="shared" si="80"/>
        <v>743580</v>
      </c>
      <c r="H1148" s="54">
        <v>743580</v>
      </c>
      <c r="I1148" s="55">
        <f t="shared" si="82"/>
        <v>0</v>
      </c>
      <c r="J1148" s="56">
        <v>45828</v>
      </c>
      <c r="K1148" s="57"/>
    </row>
    <row r="1149" spans="1:11" ht="15.75" hidden="1" customHeight="1" x14ac:dyDescent="0.35">
      <c r="A1149" s="47" t="s">
        <v>19</v>
      </c>
      <c r="B1149" s="48" t="s">
        <v>2578</v>
      </c>
      <c r="C1149" s="50" t="s">
        <v>2205</v>
      </c>
      <c r="D1149" s="50"/>
      <c r="E1149" s="51">
        <v>3476500</v>
      </c>
      <c r="F1149" s="52">
        <f t="shared" si="81"/>
        <v>278120</v>
      </c>
      <c r="G1149" s="53">
        <f t="shared" si="80"/>
        <v>3754620</v>
      </c>
      <c r="H1149" s="54">
        <v>3754620</v>
      </c>
      <c r="I1149" s="55">
        <f t="shared" si="82"/>
        <v>0</v>
      </c>
      <c r="J1149" s="56">
        <v>45828</v>
      </c>
      <c r="K1149" s="57"/>
    </row>
    <row r="1150" spans="1:11" ht="15.75" hidden="1" customHeight="1" x14ac:dyDescent="0.35">
      <c r="A1150" s="47" t="s">
        <v>1594</v>
      </c>
      <c r="B1150" s="48" t="s">
        <v>2579</v>
      </c>
      <c r="C1150" s="50" t="s">
        <v>2206</v>
      </c>
      <c r="D1150" s="50"/>
      <c r="E1150" s="51">
        <v>2082500</v>
      </c>
      <c r="F1150" s="52">
        <f t="shared" si="81"/>
        <v>166600</v>
      </c>
      <c r="G1150" s="53">
        <f t="shared" si="80"/>
        <v>2249100</v>
      </c>
      <c r="H1150" s="54">
        <v>2249100</v>
      </c>
      <c r="I1150" s="55">
        <f t="shared" si="82"/>
        <v>0</v>
      </c>
      <c r="J1150" s="56">
        <v>45828</v>
      </c>
      <c r="K1150" s="57"/>
    </row>
    <row r="1151" spans="1:11" ht="15.75" hidden="1" customHeight="1" x14ac:dyDescent="0.35">
      <c r="A1151" s="47" t="s">
        <v>147</v>
      </c>
      <c r="B1151" s="48" t="s">
        <v>2579</v>
      </c>
      <c r="C1151" s="50" t="s">
        <v>2207</v>
      </c>
      <c r="D1151" s="50"/>
      <c r="E1151" s="51">
        <v>688500</v>
      </c>
      <c r="F1151" s="52">
        <f t="shared" si="81"/>
        <v>55080</v>
      </c>
      <c r="G1151" s="53">
        <f t="shared" si="80"/>
        <v>743580</v>
      </c>
      <c r="H1151" s="54">
        <v>743580</v>
      </c>
      <c r="I1151" s="55">
        <f t="shared" si="82"/>
        <v>0</v>
      </c>
      <c r="J1151" s="56">
        <v>45828</v>
      </c>
      <c r="K1151" s="57"/>
    </row>
    <row r="1152" spans="1:11" ht="15.75" hidden="1" customHeight="1" x14ac:dyDescent="0.35">
      <c r="A1152" s="47" t="s">
        <v>104</v>
      </c>
      <c r="B1152" s="48" t="s">
        <v>2579</v>
      </c>
      <c r="C1152" s="50" t="s">
        <v>677</v>
      </c>
      <c r="D1152" s="50"/>
      <c r="E1152" s="51">
        <v>1377000</v>
      </c>
      <c r="F1152" s="52">
        <f t="shared" si="81"/>
        <v>110160</v>
      </c>
      <c r="G1152" s="53">
        <f t="shared" si="80"/>
        <v>1487160</v>
      </c>
      <c r="H1152" s="54">
        <v>1487160</v>
      </c>
      <c r="I1152" s="55">
        <f t="shared" si="82"/>
        <v>0</v>
      </c>
      <c r="J1152" s="56">
        <v>45828</v>
      </c>
      <c r="K1152" s="57"/>
    </row>
    <row r="1153" spans="1:11" ht="15.75" hidden="1" customHeight="1" x14ac:dyDescent="0.35">
      <c r="A1153" s="47" t="s">
        <v>31</v>
      </c>
      <c r="B1153" s="48" t="s">
        <v>2579</v>
      </c>
      <c r="C1153" s="50" t="s">
        <v>2208</v>
      </c>
      <c r="D1153" s="50"/>
      <c r="E1153" s="51">
        <v>1228250</v>
      </c>
      <c r="F1153" s="52">
        <f t="shared" si="81"/>
        <v>98260</v>
      </c>
      <c r="G1153" s="53">
        <f t="shared" si="80"/>
        <v>1326510</v>
      </c>
      <c r="H1153" s="54">
        <v>1326510</v>
      </c>
      <c r="I1153" s="55">
        <f t="shared" si="82"/>
        <v>0</v>
      </c>
      <c r="J1153" s="56">
        <v>45828</v>
      </c>
      <c r="K1153" s="57"/>
    </row>
    <row r="1154" spans="1:11" ht="15.75" hidden="1" customHeight="1" x14ac:dyDescent="0.35">
      <c r="A1154" s="47" t="s">
        <v>83</v>
      </c>
      <c r="B1154" s="48" t="s">
        <v>2580</v>
      </c>
      <c r="C1154" s="50" t="s">
        <v>2209</v>
      </c>
      <c r="D1154" s="50"/>
      <c r="E1154" s="51">
        <v>1738250</v>
      </c>
      <c r="F1154" s="52">
        <f t="shared" si="81"/>
        <v>139060</v>
      </c>
      <c r="G1154" s="53">
        <f t="shared" si="80"/>
        <v>1877310</v>
      </c>
      <c r="H1154" s="54">
        <v>1877310</v>
      </c>
      <c r="I1154" s="55">
        <f t="shared" si="82"/>
        <v>0</v>
      </c>
      <c r="J1154" s="56">
        <v>45918</v>
      </c>
      <c r="K1154" s="57"/>
    </row>
    <row r="1155" spans="1:11" ht="15.75" customHeight="1" x14ac:dyDescent="0.35">
      <c r="A1155" s="47" t="s">
        <v>188</v>
      </c>
      <c r="B1155" s="48" t="s">
        <v>2580</v>
      </c>
      <c r="C1155" s="49" t="s">
        <v>2210</v>
      </c>
      <c r="D1155" s="50"/>
      <c r="E1155" s="51">
        <v>1213375</v>
      </c>
      <c r="F1155" s="52">
        <f t="shared" si="81"/>
        <v>97070</v>
      </c>
      <c r="G1155" s="53">
        <f t="shared" si="80"/>
        <v>1310445</v>
      </c>
      <c r="H1155" s="54">
        <v>1310445</v>
      </c>
      <c r="I1155" s="55">
        <f t="shared" si="82"/>
        <v>0</v>
      </c>
      <c r="J1155" s="56">
        <v>46254</v>
      </c>
      <c r="K1155" s="57" t="s">
        <v>3387</v>
      </c>
    </row>
    <row r="1156" spans="1:11" ht="15.75" hidden="1" customHeight="1" x14ac:dyDescent="0.35">
      <c r="A1156" s="47" t="s">
        <v>24</v>
      </c>
      <c r="B1156" s="48" t="s">
        <v>2580</v>
      </c>
      <c r="C1156" s="50" t="s">
        <v>2211</v>
      </c>
      <c r="D1156" s="50"/>
      <c r="E1156" s="51">
        <v>1738250</v>
      </c>
      <c r="F1156" s="52">
        <f t="shared" si="81"/>
        <v>139060</v>
      </c>
      <c r="G1156" s="53">
        <f t="shared" si="80"/>
        <v>1877310</v>
      </c>
      <c r="H1156" s="54">
        <v>1877310</v>
      </c>
      <c r="I1156" s="55">
        <f t="shared" si="82"/>
        <v>0</v>
      </c>
      <c r="J1156" s="56">
        <v>45828</v>
      </c>
      <c r="K1156" s="57"/>
    </row>
    <row r="1157" spans="1:11" ht="15.75" hidden="1" customHeight="1" x14ac:dyDescent="0.35">
      <c r="A1157" s="47" t="s">
        <v>18</v>
      </c>
      <c r="B1157" s="48" t="s">
        <v>2580</v>
      </c>
      <c r="C1157" s="50" t="s">
        <v>2212</v>
      </c>
      <c r="D1157" s="50"/>
      <c r="E1157" s="51">
        <v>1738250</v>
      </c>
      <c r="F1157" s="52">
        <f t="shared" si="81"/>
        <v>139060</v>
      </c>
      <c r="G1157" s="53">
        <f t="shared" si="80"/>
        <v>1877310</v>
      </c>
      <c r="H1157" s="54">
        <v>1877310</v>
      </c>
      <c r="I1157" s="55">
        <f t="shared" si="82"/>
        <v>0</v>
      </c>
      <c r="J1157" s="56">
        <v>45828</v>
      </c>
      <c r="K1157" s="57"/>
    </row>
    <row r="1158" spans="1:11" ht="15.75" hidden="1" customHeight="1" x14ac:dyDescent="0.35">
      <c r="A1158" s="47" t="s">
        <v>78</v>
      </c>
      <c r="B1158" s="48" t="s">
        <v>2580</v>
      </c>
      <c r="C1158" s="50" t="s">
        <v>2213</v>
      </c>
      <c r="D1158" s="50"/>
      <c r="E1158" s="51">
        <v>884000</v>
      </c>
      <c r="F1158" s="52">
        <f t="shared" si="81"/>
        <v>70720</v>
      </c>
      <c r="G1158" s="53">
        <f t="shared" si="80"/>
        <v>954720</v>
      </c>
      <c r="H1158" s="54">
        <v>954720</v>
      </c>
      <c r="I1158" s="55">
        <f t="shared" si="82"/>
        <v>0</v>
      </c>
      <c r="J1158" s="56">
        <v>45918</v>
      </c>
      <c r="K1158" s="57"/>
    </row>
    <row r="1159" spans="1:11" ht="15.75" hidden="1" customHeight="1" x14ac:dyDescent="0.35">
      <c r="A1159" s="47" t="s">
        <v>52</v>
      </c>
      <c r="B1159" s="48">
        <v>45801</v>
      </c>
      <c r="C1159" s="50" t="s">
        <v>2214</v>
      </c>
      <c r="D1159" s="50" t="s">
        <v>2788</v>
      </c>
      <c r="E1159" s="51">
        <v>2900200</v>
      </c>
      <c r="F1159" s="52">
        <f t="shared" si="81"/>
        <v>232016</v>
      </c>
      <c r="G1159" s="53">
        <f t="shared" si="80"/>
        <v>3132216</v>
      </c>
      <c r="H1159" s="54">
        <v>3132216</v>
      </c>
      <c r="I1159" s="55">
        <f t="shared" si="82"/>
        <v>0</v>
      </c>
      <c r="J1159" s="56">
        <v>45828</v>
      </c>
      <c r="K1159" s="57"/>
    </row>
    <row r="1160" spans="1:11" ht="15.75" hidden="1" customHeight="1" x14ac:dyDescent="0.35">
      <c r="A1160" s="47" t="s">
        <v>21</v>
      </c>
      <c r="B1160" s="48" t="s">
        <v>2580</v>
      </c>
      <c r="C1160" s="50" t="s">
        <v>2215</v>
      </c>
      <c r="D1160" s="50"/>
      <c r="E1160" s="51">
        <v>1198500</v>
      </c>
      <c r="F1160" s="52">
        <f t="shared" si="81"/>
        <v>95880</v>
      </c>
      <c r="G1160" s="53">
        <f t="shared" si="80"/>
        <v>1294380</v>
      </c>
      <c r="H1160" s="54">
        <v>1294380</v>
      </c>
      <c r="I1160" s="55">
        <f t="shared" si="82"/>
        <v>0</v>
      </c>
      <c r="J1160" s="56">
        <v>45828</v>
      </c>
      <c r="K1160" s="57"/>
    </row>
    <row r="1161" spans="1:11" ht="15.75" hidden="1" customHeight="1" x14ac:dyDescent="0.35">
      <c r="A1161" s="47" t="s">
        <v>16</v>
      </c>
      <c r="B1161" s="48" t="s">
        <v>2580</v>
      </c>
      <c r="C1161" s="50" t="s">
        <v>2216</v>
      </c>
      <c r="D1161" s="50"/>
      <c r="E1161" s="51">
        <v>1738250</v>
      </c>
      <c r="F1161" s="52">
        <f t="shared" si="81"/>
        <v>139060</v>
      </c>
      <c r="G1161" s="53">
        <f t="shared" si="80"/>
        <v>1877310</v>
      </c>
      <c r="H1161" s="54">
        <v>1877310</v>
      </c>
      <c r="I1161" s="55">
        <f t="shared" si="82"/>
        <v>0</v>
      </c>
      <c r="J1161" s="56">
        <v>45828</v>
      </c>
      <c r="K1161" s="57"/>
    </row>
    <row r="1162" spans="1:11" ht="15.75" hidden="1" customHeight="1" x14ac:dyDescent="0.35">
      <c r="A1162" s="47" t="s">
        <v>19</v>
      </c>
      <c r="B1162" s="48" t="s">
        <v>2580</v>
      </c>
      <c r="C1162" s="50" t="s">
        <v>2217</v>
      </c>
      <c r="D1162" s="50"/>
      <c r="E1162" s="51">
        <v>1377000</v>
      </c>
      <c r="F1162" s="52">
        <f t="shared" si="81"/>
        <v>110160</v>
      </c>
      <c r="G1162" s="53">
        <f t="shared" si="80"/>
        <v>1487160</v>
      </c>
      <c r="H1162" s="54">
        <v>1487160</v>
      </c>
      <c r="I1162" s="55">
        <f t="shared" si="82"/>
        <v>0</v>
      </c>
      <c r="J1162" s="56">
        <v>45828</v>
      </c>
      <c r="K1162" s="57"/>
    </row>
    <row r="1163" spans="1:11" ht="15.75" hidden="1" customHeight="1" x14ac:dyDescent="0.35">
      <c r="A1163" s="47" t="s">
        <v>120</v>
      </c>
      <c r="B1163" s="48" t="s">
        <v>2581</v>
      </c>
      <c r="C1163" s="50" t="s">
        <v>2218</v>
      </c>
      <c r="D1163" s="50"/>
      <c r="E1163" s="51">
        <v>2426750</v>
      </c>
      <c r="F1163" s="52">
        <f t="shared" si="81"/>
        <v>194140</v>
      </c>
      <c r="G1163" s="53">
        <f t="shared" si="80"/>
        <v>2620890</v>
      </c>
      <c r="H1163" s="54">
        <v>2620890</v>
      </c>
      <c r="I1163" s="55">
        <f t="shared" si="82"/>
        <v>0</v>
      </c>
      <c r="J1163" s="56">
        <v>45828</v>
      </c>
      <c r="K1163" s="57"/>
    </row>
    <row r="1164" spans="1:11" ht="15.75" hidden="1" customHeight="1" x14ac:dyDescent="0.35">
      <c r="A1164" s="47" t="s">
        <v>44</v>
      </c>
      <c r="B1164" s="48" t="s">
        <v>2581</v>
      </c>
      <c r="C1164" s="50" t="s">
        <v>2219</v>
      </c>
      <c r="D1164" s="50"/>
      <c r="E1164" s="51">
        <v>869125</v>
      </c>
      <c r="F1164" s="52">
        <f t="shared" si="81"/>
        <v>69530</v>
      </c>
      <c r="G1164" s="53">
        <f t="shared" si="80"/>
        <v>938655</v>
      </c>
      <c r="H1164" s="54">
        <v>938655</v>
      </c>
      <c r="I1164" s="55">
        <f t="shared" si="82"/>
        <v>0</v>
      </c>
      <c r="J1164" s="56">
        <v>45828</v>
      </c>
      <c r="K1164" s="57"/>
    </row>
    <row r="1165" spans="1:11" ht="15.75" hidden="1" customHeight="1" x14ac:dyDescent="0.35">
      <c r="A1165" s="47" t="s">
        <v>23</v>
      </c>
      <c r="B1165" s="48" t="s">
        <v>2581</v>
      </c>
      <c r="C1165" s="50" t="s">
        <v>2220</v>
      </c>
      <c r="D1165" s="50"/>
      <c r="E1165" s="51">
        <v>1213375</v>
      </c>
      <c r="F1165" s="52">
        <f t="shared" si="81"/>
        <v>97070</v>
      </c>
      <c r="G1165" s="53">
        <f t="shared" si="80"/>
        <v>1310445</v>
      </c>
      <c r="H1165" s="54">
        <v>1310445</v>
      </c>
      <c r="I1165" s="55">
        <f t="shared" si="82"/>
        <v>0</v>
      </c>
      <c r="J1165" s="56">
        <v>45828</v>
      </c>
      <c r="K1165" s="57"/>
    </row>
    <row r="1166" spans="1:11" ht="15.75" hidden="1" customHeight="1" x14ac:dyDescent="0.35">
      <c r="A1166" s="47" t="s">
        <v>54</v>
      </c>
      <c r="B1166" s="48" t="s">
        <v>2581</v>
      </c>
      <c r="C1166" s="50" t="s">
        <v>2221</v>
      </c>
      <c r="D1166" s="50"/>
      <c r="E1166" s="51">
        <v>1738250</v>
      </c>
      <c r="F1166" s="52">
        <f t="shared" si="81"/>
        <v>139060</v>
      </c>
      <c r="G1166" s="53">
        <f t="shared" si="80"/>
        <v>1877310</v>
      </c>
      <c r="H1166" s="54">
        <v>1877310</v>
      </c>
      <c r="I1166" s="55">
        <f t="shared" si="82"/>
        <v>0</v>
      </c>
      <c r="J1166" s="56">
        <v>45828</v>
      </c>
      <c r="K1166" s="57"/>
    </row>
    <row r="1167" spans="1:11" ht="15.75" hidden="1" customHeight="1" x14ac:dyDescent="0.35">
      <c r="A1167" s="47" t="s">
        <v>35</v>
      </c>
      <c r="B1167" s="48" t="s">
        <v>2582</v>
      </c>
      <c r="C1167" s="50" t="s">
        <v>2222</v>
      </c>
      <c r="D1167" s="50"/>
      <c r="E1167" s="51">
        <v>2397000</v>
      </c>
      <c r="F1167" s="52">
        <f t="shared" si="81"/>
        <v>191760</v>
      </c>
      <c r="G1167" s="53">
        <f t="shared" si="80"/>
        <v>2588760</v>
      </c>
      <c r="H1167" s="54">
        <v>2588760</v>
      </c>
      <c r="I1167" s="55">
        <f t="shared" si="82"/>
        <v>0</v>
      </c>
      <c r="J1167" s="56">
        <v>45828</v>
      </c>
      <c r="K1167" s="57"/>
    </row>
    <row r="1168" spans="1:11" ht="15.75" hidden="1" customHeight="1" x14ac:dyDescent="0.35">
      <c r="A1168" s="47" t="s">
        <v>32</v>
      </c>
      <c r="B1168" s="48" t="s">
        <v>2582</v>
      </c>
      <c r="C1168" s="50" t="s">
        <v>2223</v>
      </c>
      <c r="D1168" s="50"/>
      <c r="E1168" s="51">
        <v>884000</v>
      </c>
      <c r="F1168" s="52">
        <f t="shared" si="81"/>
        <v>70720</v>
      </c>
      <c r="G1168" s="53">
        <f t="shared" si="80"/>
        <v>954720</v>
      </c>
      <c r="H1168" s="54">
        <v>954720</v>
      </c>
      <c r="I1168" s="55">
        <f t="shared" si="82"/>
        <v>0</v>
      </c>
      <c r="J1168" s="56">
        <v>45828</v>
      </c>
      <c r="K1168" s="57"/>
    </row>
    <row r="1169" spans="1:11" ht="15.75" hidden="1" customHeight="1" x14ac:dyDescent="0.35">
      <c r="A1169" s="47" t="s">
        <v>28</v>
      </c>
      <c r="B1169" s="48" t="s">
        <v>2582</v>
      </c>
      <c r="C1169" s="50" t="s">
        <v>2224</v>
      </c>
      <c r="D1169" s="50"/>
      <c r="E1169" s="51">
        <v>1572500</v>
      </c>
      <c r="F1169" s="52">
        <f t="shared" si="81"/>
        <v>125800</v>
      </c>
      <c r="G1169" s="53">
        <f t="shared" si="80"/>
        <v>1698300</v>
      </c>
      <c r="H1169" s="54">
        <v>1698300</v>
      </c>
      <c r="I1169" s="55">
        <f t="shared" si="82"/>
        <v>0</v>
      </c>
      <c r="J1169" s="56">
        <v>45828</v>
      </c>
      <c r="K1169" s="57"/>
    </row>
    <row r="1170" spans="1:11" ht="15.75" hidden="1" customHeight="1" x14ac:dyDescent="0.35">
      <c r="A1170" s="47" t="s">
        <v>145</v>
      </c>
      <c r="B1170" s="48" t="s">
        <v>2582</v>
      </c>
      <c r="C1170" s="50" t="s">
        <v>2225</v>
      </c>
      <c r="D1170" s="50"/>
      <c r="E1170" s="51">
        <v>1041250</v>
      </c>
      <c r="F1170" s="52">
        <f t="shared" si="81"/>
        <v>83300</v>
      </c>
      <c r="G1170" s="53">
        <f t="shared" si="80"/>
        <v>1124550</v>
      </c>
      <c r="H1170" s="54">
        <v>1124550</v>
      </c>
      <c r="I1170" s="55">
        <f t="shared" si="82"/>
        <v>0</v>
      </c>
      <c r="J1170" s="56">
        <v>45918</v>
      </c>
      <c r="K1170" s="57"/>
    </row>
    <row r="1171" spans="1:11" ht="15.75" hidden="1" customHeight="1" x14ac:dyDescent="0.35">
      <c r="A1171" s="47" t="s">
        <v>47</v>
      </c>
      <c r="B1171" s="48" t="s">
        <v>2583</v>
      </c>
      <c r="C1171" s="50" t="s">
        <v>701</v>
      </c>
      <c r="D1171" s="50"/>
      <c r="E1171" s="51">
        <v>2592500</v>
      </c>
      <c r="F1171" s="52">
        <f t="shared" si="81"/>
        <v>207400</v>
      </c>
      <c r="G1171" s="53">
        <f t="shared" si="80"/>
        <v>2799900</v>
      </c>
      <c r="H1171" s="54">
        <v>2799900</v>
      </c>
      <c r="I1171" s="55">
        <f t="shared" si="82"/>
        <v>0</v>
      </c>
      <c r="J1171" s="56">
        <v>45828</v>
      </c>
      <c r="K1171" s="57"/>
    </row>
    <row r="1172" spans="1:11" ht="15.75" hidden="1" customHeight="1" x14ac:dyDescent="0.35">
      <c r="A1172" s="47" t="s">
        <v>1599</v>
      </c>
      <c r="B1172" s="48" t="s">
        <v>2583</v>
      </c>
      <c r="C1172" s="50" t="s">
        <v>702</v>
      </c>
      <c r="D1172" s="50"/>
      <c r="E1172" s="51">
        <v>688500</v>
      </c>
      <c r="F1172" s="52">
        <f t="shared" si="81"/>
        <v>55080</v>
      </c>
      <c r="G1172" s="53">
        <f t="shared" si="80"/>
        <v>743580</v>
      </c>
      <c r="H1172" s="54">
        <v>743580</v>
      </c>
      <c r="I1172" s="55">
        <f t="shared" si="82"/>
        <v>0</v>
      </c>
      <c r="J1172" s="56">
        <v>45828</v>
      </c>
      <c r="K1172" s="57"/>
    </row>
    <row r="1173" spans="1:11" ht="15.75" hidden="1" customHeight="1" x14ac:dyDescent="0.35">
      <c r="A1173" s="47" t="s">
        <v>19</v>
      </c>
      <c r="B1173" s="48" t="s">
        <v>2584</v>
      </c>
      <c r="C1173" s="50" t="s">
        <v>2226</v>
      </c>
      <c r="D1173" s="50"/>
      <c r="E1173" s="51">
        <v>2231250</v>
      </c>
      <c r="F1173" s="52">
        <f t="shared" si="81"/>
        <v>178500</v>
      </c>
      <c r="G1173" s="53">
        <f t="shared" si="80"/>
        <v>2409750</v>
      </c>
      <c r="H1173" s="54">
        <v>2409750</v>
      </c>
      <c r="I1173" s="55">
        <f t="shared" si="82"/>
        <v>0</v>
      </c>
      <c r="J1173" s="56">
        <v>45828</v>
      </c>
      <c r="K1173" s="57"/>
    </row>
    <row r="1174" spans="1:11" ht="15.75" hidden="1" customHeight="1" x14ac:dyDescent="0.35">
      <c r="A1174" s="47" t="s">
        <v>1597</v>
      </c>
      <c r="B1174" s="48">
        <v>45810</v>
      </c>
      <c r="C1174" s="50" t="s">
        <v>2227</v>
      </c>
      <c r="D1174" s="49" t="s">
        <v>2792</v>
      </c>
      <c r="E1174" s="51">
        <v>854250</v>
      </c>
      <c r="F1174" s="52">
        <f t="shared" si="81"/>
        <v>68340</v>
      </c>
      <c r="G1174" s="53">
        <f t="shared" si="80"/>
        <v>922590</v>
      </c>
      <c r="H1174" s="54">
        <v>922590</v>
      </c>
      <c r="I1174" s="55">
        <f t="shared" si="82"/>
        <v>0</v>
      </c>
      <c r="J1174" s="56">
        <v>45918</v>
      </c>
      <c r="K1174" s="57"/>
    </row>
    <row r="1175" spans="1:11" ht="15.75" hidden="1" customHeight="1" x14ac:dyDescent="0.35">
      <c r="A1175" s="47" t="s">
        <v>100</v>
      </c>
      <c r="B1175" s="48" t="s">
        <v>2585</v>
      </c>
      <c r="C1175" s="50" t="s">
        <v>2228</v>
      </c>
      <c r="D1175" s="50"/>
      <c r="E1175" s="51">
        <v>2426750</v>
      </c>
      <c r="F1175" s="52">
        <f t="shared" si="81"/>
        <v>194140</v>
      </c>
      <c r="G1175" s="53">
        <f t="shared" si="80"/>
        <v>2620890</v>
      </c>
      <c r="H1175" s="54">
        <v>2620890</v>
      </c>
      <c r="I1175" s="55">
        <f t="shared" si="82"/>
        <v>0</v>
      </c>
      <c r="J1175" s="56">
        <v>45828</v>
      </c>
      <c r="K1175" s="57"/>
    </row>
    <row r="1176" spans="1:11" ht="15.75" hidden="1" customHeight="1" x14ac:dyDescent="0.35">
      <c r="A1176" s="47" t="s">
        <v>104</v>
      </c>
      <c r="B1176" s="48" t="s">
        <v>2585</v>
      </c>
      <c r="C1176" s="50" t="s">
        <v>2229</v>
      </c>
      <c r="D1176" s="50"/>
      <c r="E1176" s="51">
        <v>1572500</v>
      </c>
      <c r="F1176" s="52">
        <f t="shared" si="81"/>
        <v>125800</v>
      </c>
      <c r="G1176" s="53">
        <f t="shared" si="80"/>
        <v>1698300</v>
      </c>
      <c r="H1176" s="54">
        <v>1698300</v>
      </c>
      <c r="I1176" s="55">
        <f t="shared" si="82"/>
        <v>0</v>
      </c>
      <c r="J1176" s="56">
        <v>45828</v>
      </c>
      <c r="K1176" s="57"/>
    </row>
    <row r="1177" spans="1:11" ht="15.75" hidden="1" customHeight="1" x14ac:dyDescent="0.35">
      <c r="A1177" s="47" t="s">
        <v>24</v>
      </c>
      <c r="B1177" s="48">
        <v>45810</v>
      </c>
      <c r="C1177" s="50" t="s">
        <v>2230</v>
      </c>
      <c r="D1177" s="50" t="s">
        <v>2791</v>
      </c>
      <c r="E1177" s="51">
        <v>1542750</v>
      </c>
      <c r="F1177" s="52">
        <f t="shared" si="81"/>
        <v>123420</v>
      </c>
      <c r="G1177" s="53">
        <f t="shared" si="80"/>
        <v>1666170</v>
      </c>
      <c r="H1177" s="54">
        <v>1666170</v>
      </c>
      <c r="I1177" s="55">
        <f t="shared" si="82"/>
        <v>0</v>
      </c>
      <c r="J1177" s="56">
        <v>45863</v>
      </c>
      <c r="K1177" s="57"/>
    </row>
    <row r="1178" spans="1:11" ht="15.75" hidden="1" customHeight="1" x14ac:dyDescent="0.35">
      <c r="A1178" s="47" t="s">
        <v>31</v>
      </c>
      <c r="B1178" s="48">
        <v>45805</v>
      </c>
      <c r="C1178" s="50" t="s">
        <v>2231</v>
      </c>
      <c r="D1178" s="50" t="s">
        <v>2790</v>
      </c>
      <c r="E1178" s="51">
        <v>1716150</v>
      </c>
      <c r="F1178" s="52">
        <f t="shared" si="81"/>
        <v>137292</v>
      </c>
      <c r="G1178" s="53">
        <f t="shared" si="80"/>
        <v>1853442</v>
      </c>
      <c r="H1178" s="54">
        <v>1853442</v>
      </c>
      <c r="I1178" s="55">
        <f t="shared" si="82"/>
        <v>0</v>
      </c>
      <c r="J1178" s="56">
        <v>45828</v>
      </c>
      <c r="K1178" s="57"/>
    </row>
    <row r="1179" spans="1:11" ht="15.75" hidden="1" customHeight="1" x14ac:dyDescent="0.35">
      <c r="A1179" s="47" t="s">
        <v>143</v>
      </c>
      <c r="B1179" s="48" t="s">
        <v>2585</v>
      </c>
      <c r="C1179" s="50" t="s">
        <v>2232</v>
      </c>
      <c r="D1179" s="50"/>
      <c r="E1179" s="51">
        <v>869125</v>
      </c>
      <c r="F1179" s="52">
        <f t="shared" si="81"/>
        <v>69530</v>
      </c>
      <c r="G1179" s="53">
        <f t="shared" si="80"/>
        <v>938655</v>
      </c>
      <c r="H1179" s="54">
        <v>938655</v>
      </c>
      <c r="I1179" s="55">
        <f t="shared" si="82"/>
        <v>0</v>
      </c>
      <c r="J1179" s="56">
        <v>45918</v>
      </c>
      <c r="K1179" s="57"/>
    </row>
    <row r="1180" spans="1:11" ht="15.75" hidden="1" customHeight="1" x14ac:dyDescent="0.35">
      <c r="A1180" s="47" t="s">
        <v>53</v>
      </c>
      <c r="B1180" s="48" t="s">
        <v>2586</v>
      </c>
      <c r="C1180" s="50" t="s">
        <v>743</v>
      </c>
      <c r="D1180" s="50"/>
      <c r="E1180" s="51">
        <v>2622250</v>
      </c>
      <c r="F1180" s="52">
        <f t="shared" si="81"/>
        <v>209780</v>
      </c>
      <c r="G1180" s="53">
        <f t="shared" si="80"/>
        <v>2832030</v>
      </c>
      <c r="H1180" s="54">
        <v>2832030</v>
      </c>
      <c r="I1180" s="55">
        <f t="shared" si="82"/>
        <v>0</v>
      </c>
      <c r="J1180" s="56">
        <v>45894</v>
      </c>
      <c r="K1180" s="57"/>
    </row>
    <row r="1181" spans="1:11" ht="15.75" hidden="1" customHeight="1" x14ac:dyDescent="0.35">
      <c r="A1181" s="47" t="s">
        <v>147</v>
      </c>
      <c r="B1181" s="48" t="s">
        <v>2586</v>
      </c>
      <c r="C1181" s="50" t="s">
        <v>2233</v>
      </c>
      <c r="D1181" s="50"/>
      <c r="E1181" s="51">
        <v>1620000</v>
      </c>
      <c r="F1181" s="52">
        <f t="shared" si="81"/>
        <v>129600</v>
      </c>
      <c r="G1181" s="53">
        <f t="shared" si="80"/>
        <v>1749600</v>
      </c>
      <c r="H1181" s="54">
        <v>1749600</v>
      </c>
      <c r="I1181" s="55">
        <f t="shared" si="82"/>
        <v>0</v>
      </c>
      <c r="J1181" s="56">
        <v>45863</v>
      </c>
      <c r="K1181" s="57"/>
    </row>
    <row r="1182" spans="1:11" ht="15.75" hidden="1" customHeight="1" x14ac:dyDescent="0.35">
      <c r="A1182" s="47" t="s">
        <v>167</v>
      </c>
      <c r="B1182" s="48" t="s">
        <v>2586</v>
      </c>
      <c r="C1182" s="50" t="s">
        <v>2234</v>
      </c>
      <c r="D1182" s="50"/>
      <c r="E1182" s="51">
        <v>1640500</v>
      </c>
      <c r="F1182" s="52">
        <f t="shared" si="81"/>
        <v>131240</v>
      </c>
      <c r="G1182" s="53">
        <f t="shared" si="80"/>
        <v>1771740</v>
      </c>
      <c r="H1182" s="54">
        <v>1771740</v>
      </c>
      <c r="I1182" s="55">
        <f t="shared" si="82"/>
        <v>0</v>
      </c>
      <c r="J1182" s="56">
        <v>45978</v>
      </c>
      <c r="K1182" s="57"/>
    </row>
    <row r="1183" spans="1:11" ht="15.75" hidden="1" customHeight="1" x14ac:dyDescent="0.35">
      <c r="A1183" s="47" t="s">
        <v>127</v>
      </c>
      <c r="B1183" s="48" t="s">
        <v>2586</v>
      </c>
      <c r="C1183" s="50" t="s">
        <v>744</v>
      </c>
      <c r="D1183" s="50"/>
      <c r="E1183" s="51">
        <v>1738250</v>
      </c>
      <c r="F1183" s="52">
        <f t="shared" si="81"/>
        <v>139060</v>
      </c>
      <c r="G1183" s="53">
        <f t="shared" si="80"/>
        <v>1877310</v>
      </c>
      <c r="H1183" s="54">
        <v>1877310</v>
      </c>
      <c r="I1183" s="55">
        <f t="shared" si="82"/>
        <v>0</v>
      </c>
      <c r="J1183" s="56">
        <v>45863</v>
      </c>
      <c r="K1183" s="57"/>
    </row>
    <row r="1184" spans="1:11" ht="15.75" hidden="1" customHeight="1" x14ac:dyDescent="0.35">
      <c r="A1184" s="47" t="s">
        <v>309</v>
      </c>
      <c r="B1184" s="48" t="s">
        <v>2586</v>
      </c>
      <c r="C1184" s="50" t="s">
        <v>2235</v>
      </c>
      <c r="D1184" s="50"/>
      <c r="E1184" s="51">
        <v>1738250</v>
      </c>
      <c r="F1184" s="52">
        <f t="shared" si="81"/>
        <v>139060</v>
      </c>
      <c r="G1184" s="53">
        <f t="shared" si="80"/>
        <v>1877310</v>
      </c>
      <c r="H1184" s="54">
        <v>1877310</v>
      </c>
      <c r="I1184" s="55">
        <f t="shared" si="82"/>
        <v>0</v>
      </c>
      <c r="J1184" s="56">
        <v>45863</v>
      </c>
      <c r="K1184" s="57"/>
    </row>
    <row r="1185" spans="1:11" ht="15.75" hidden="1" customHeight="1" x14ac:dyDescent="0.35">
      <c r="A1185" s="47" t="s">
        <v>26</v>
      </c>
      <c r="B1185" s="48" t="s">
        <v>2586</v>
      </c>
      <c r="C1185" s="50" t="s">
        <v>2236</v>
      </c>
      <c r="D1185" s="50"/>
      <c r="E1185" s="51">
        <v>405000</v>
      </c>
      <c r="F1185" s="52">
        <f t="shared" si="81"/>
        <v>32400</v>
      </c>
      <c r="G1185" s="53">
        <f t="shared" si="80"/>
        <v>437400</v>
      </c>
      <c r="H1185" s="54">
        <v>437400</v>
      </c>
      <c r="I1185" s="55">
        <f t="shared" si="82"/>
        <v>0</v>
      </c>
      <c r="J1185" s="56">
        <v>45863</v>
      </c>
      <c r="K1185" s="57"/>
    </row>
    <row r="1186" spans="1:11" ht="15.75" hidden="1" customHeight="1" x14ac:dyDescent="0.35">
      <c r="A1186" s="47" t="s">
        <v>105</v>
      </c>
      <c r="B1186" s="48" t="s">
        <v>2586</v>
      </c>
      <c r="C1186" s="50" t="s">
        <v>2237</v>
      </c>
      <c r="D1186" s="50"/>
      <c r="E1186" s="51">
        <v>4090000</v>
      </c>
      <c r="F1186" s="52">
        <f t="shared" si="81"/>
        <v>327200</v>
      </c>
      <c r="G1186" s="53">
        <f t="shared" si="80"/>
        <v>4417200</v>
      </c>
      <c r="H1186" s="54">
        <v>4417200</v>
      </c>
      <c r="I1186" s="55">
        <f t="shared" si="82"/>
        <v>0</v>
      </c>
      <c r="J1186" s="56">
        <v>45863</v>
      </c>
      <c r="K1186" s="57"/>
    </row>
    <row r="1187" spans="1:11" ht="15.75" hidden="1" customHeight="1" x14ac:dyDescent="0.35">
      <c r="A1187" s="47" t="s">
        <v>18</v>
      </c>
      <c r="B1187" s="48" t="s">
        <v>2586</v>
      </c>
      <c r="C1187" s="50" t="s">
        <v>2238</v>
      </c>
      <c r="D1187" s="50"/>
      <c r="E1187" s="51">
        <v>1005000</v>
      </c>
      <c r="F1187" s="52">
        <f t="shared" si="81"/>
        <v>80400</v>
      </c>
      <c r="G1187" s="53">
        <f t="shared" si="80"/>
        <v>1085400</v>
      </c>
      <c r="H1187" s="54">
        <v>1085400</v>
      </c>
      <c r="I1187" s="55">
        <f t="shared" si="82"/>
        <v>0</v>
      </c>
      <c r="J1187" s="56">
        <v>45863</v>
      </c>
      <c r="K1187" s="57"/>
    </row>
    <row r="1188" spans="1:11" ht="15.75" hidden="1" customHeight="1" x14ac:dyDescent="0.35">
      <c r="A1188" s="47" t="s">
        <v>47</v>
      </c>
      <c r="B1188" s="48" t="s">
        <v>2586</v>
      </c>
      <c r="C1188" s="50" t="s">
        <v>2239</v>
      </c>
      <c r="D1188" s="50"/>
      <c r="E1188" s="51">
        <v>2080000</v>
      </c>
      <c r="F1188" s="52">
        <f t="shared" si="81"/>
        <v>166400</v>
      </c>
      <c r="G1188" s="53">
        <f t="shared" si="80"/>
        <v>2246400</v>
      </c>
      <c r="H1188" s="54">
        <v>2246400</v>
      </c>
      <c r="I1188" s="55">
        <f t="shared" si="82"/>
        <v>0</v>
      </c>
      <c r="J1188" s="56">
        <v>45863</v>
      </c>
      <c r="K1188" s="57"/>
    </row>
    <row r="1189" spans="1:11" ht="15.75" hidden="1" customHeight="1" x14ac:dyDescent="0.35">
      <c r="A1189" s="47" t="s">
        <v>32</v>
      </c>
      <c r="B1189" s="48" t="s">
        <v>2586</v>
      </c>
      <c r="C1189" s="50" t="s">
        <v>2240</v>
      </c>
      <c r="D1189" s="50"/>
      <c r="E1189" s="51">
        <v>1005000</v>
      </c>
      <c r="F1189" s="52">
        <f t="shared" si="81"/>
        <v>80400</v>
      </c>
      <c r="G1189" s="53">
        <f t="shared" si="80"/>
        <v>1085400</v>
      </c>
      <c r="H1189" s="54">
        <v>1085400</v>
      </c>
      <c r="I1189" s="55">
        <f t="shared" si="82"/>
        <v>0</v>
      </c>
      <c r="J1189" s="56">
        <v>45863</v>
      </c>
      <c r="K1189" s="57"/>
    </row>
    <row r="1190" spans="1:11" ht="15.75" hidden="1" customHeight="1" x14ac:dyDescent="0.35">
      <c r="A1190" s="47" t="s">
        <v>1590</v>
      </c>
      <c r="B1190" s="48" t="s">
        <v>2586</v>
      </c>
      <c r="C1190" s="50" t="s">
        <v>2241</v>
      </c>
      <c r="D1190" s="50"/>
      <c r="E1190" s="51">
        <v>1005000</v>
      </c>
      <c r="F1190" s="52">
        <f t="shared" si="81"/>
        <v>80400</v>
      </c>
      <c r="G1190" s="53">
        <f t="shared" si="80"/>
        <v>1085400</v>
      </c>
      <c r="H1190" s="54">
        <v>1085400</v>
      </c>
      <c r="I1190" s="55">
        <f t="shared" si="82"/>
        <v>0</v>
      </c>
      <c r="J1190" s="56">
        <v>45863</v>
      </c>
      <c r="K1190" s="57"/>
    </row>
    <row r="1191" spans="1:11" ht="15.75" hidden="1" customHeight="1" x14ac:dyDescent="0.35">
      <c r="A1191" s="47" t="s">
        <v>19</v>
      </c>
      <c r="B1191" s="48" t="s">
        <v>2587</v>
      </c>
      <c r="C1191" s="50" t="s">
        <v>2242</v>
      </c>
      <c r="D1191" s="50"/>
      <c r="E1191" s="51">
        <v>4090000</v>
      </c>
      <c r="F1191" s="52">
        <f t="shared" si="81"/>
        <v>327200</v>
      </c>
      <c r="G1191" s="53">
        <f t="shared" si="80"/>
        <v>4417200</v>
      </c>
      <c r="H1191" s="54">
        <v>4417200</v>
      </c>
      <c r="I1191" s="55">
        <f t="shared" si="82"/>
        <v>0</v>
      </c>
      <c r="J1191" s="56">
        <v>45863</v>
      </c>
      <c r="K1191" s="57"/>
    </row>
    <row r="1192" spans="1:11" ht="15.75" hidden="1" customHeight="1" x14ac:dyDescent="0.35">
      <c r="A1192" s="47" t="s">
        <v>308</v>
      </c>
      <c r="B1192" s="48" t="s">
        <v>2588</v>
      </c>
      <c r="C1192" s="50" t="s">
        <v>2243</v>
      </c>
      <c r="D1192" s="50"/>
      <c r="E1192" s="51">
        <v>1022500</v>
      </c>
      <c r="F1192" s="52">
        <f t="shared" si="81"/>
        <v>81800</v>
      </c>
      <c r="G1192" s="53">
        <f t="shared" si="80"/>
        <v>1104300</v>
      </c>
      <c r="H1192" s="54">
        <v>1104300</v>
      </c>
      <c r="I1192" s="55">
        <f t="shared" si="82"/>
        <v>0</v>
      </c>
      <c r="J1192" s="56">
        <v>45894</v>
      </c>
      <c r="K1192" s="57"/>
    </row>
    <row r="1193" spans="1:11" ht="15.75" hidden="1" customHeight="1" x14ac:dyDescent="0.35">
      <c r="A1193" s="47" t="s">
        <v>54</v>
      </c>
      <c r="B1193" s="48" t="s">
        <v>2588</v>
      </c>
      <c r="C1193" s="49" t="s">
        <v>2244</v>
      </c>
      <c r="D1193" s="50"/>
      <c r="E1193" s="51">
        <v>1410000</v>
      </c>
      <c r="F1193" s="52"/>
      <c r="G1193" s="53"/>
      <c r="H1193" s="54"/>
      <c r="I1193" s="55">
        <f t="shared" si="82"/>
        <v>0</v>
      </c>
      <c r="J1193" s="56"/>
      <c r="K1193" s="57"/>
    </row>
    <row r="1194" spans="1:11" ht="15.75" hidden="1" customHeight="1" x14ac:dyDescent="0.35">
      <c r="A1194" s="47" t="s">
        <v>54</v>
      </c>
      <c r="B1194" s="48">
        <v>45832</v>
      </c>
      <c r="C1194" s="50" t="s">
        <v>2245</v>
      </c>
      <c r="D1194" s="50" t="s">
        <v>2793</v>
      </c>
      <c r="E1194" s="51">
        <v>1410000</v>
      </c>
      <c r="F1194" s="52"/>
      <c r="G1194" s="53"/>
      <c r="H1194" s="54"/>
      <c r="I1194" s="55">
        <f t="shared" si="82"/>
        <v>0</v>
      </c>
      <c r="J1194" s="56"/>
      <c r="K1194" s="57"/>
    </row>
    <row r="1195" spans="1:11" ht="15.75" hidden="1" customHeight="1" x14ac:dyDescent="0.35">
      <c r="A1195" s="47" t="s">
        <v>1602</v>
      </c>
      <c r="B1195" s="48" t="s">
        <v>2588</v>
      </c>
      <c r="C1195" s="50" t="s">
        <v>2246</v>
      </c>
      <c r="D1195" s="50"/>
      <c r="E1195" s="51">
        <v>2045000</v>
      </c>
      <c r="F1195" s="52">
        <f t="shared" si="81"/>
        <v>163600</v>
      </c>
      <c r="G1195" s="53">
        <f t="shared" si="80"/>
        <v>2208600</v>
      </c>
      <c r="H1195" s="54">
        <v>2208600</v>
      </c>
      <c r="I1195" s="55">
        <f t="shared" si="82"/>
        <v>0</v>
      </c>
      <c r="J1195" s="56">
        <v>45918</v>
      </c>
      <c r="K1195" s="57"/>
    </row>
    <row r="1196" spans="1:11" ht="15.75" hidden="1" customHeight="1" x14ac:dyDescent="0.35">
      <c r="A1196" s="47" t="s">
        <v>1593</v>
      </c>
      <c r="B1196" s="48" t="s">
        <v>2588</v>
      </c>
      <c r="C1196" s="50" t="s">
        <v>2247</v>
      </c>
      <c r="D1196" s="50"/>
      <c r="E1196" s="51">
        <v>502500</v>
      </c>
      <c r="F1196" s="52">
        <f t="shared" si="81"/>
        <v>40200</v>
      </c>
      <c r="G1196" s="53">
        <f t="shared" si="80"/>
        <v>542700</v>
      </c>
      <c r="H1196" s="54">
        <v>542700</v>
      </c>
      <c r="I1196" s="55">
        <f t="shared" si="82"/>
        <v>0</v>
      </c>
      <c r="J1196" s="56">
        <v>45863</v>
      </c>
      <c r="K1196" s="57"/>
    </row>
    <row r="1197" spans="1:11" ht="15.75" hidden="1" customHeight="1" x14ac:dyDescent="0.35">
      <c r="A1197" s="47" t="s">
        <v>126</v>
      </c>
      <c r="B1197" s="48" t="s">
        <v>2588</v>
      </c>
      <c r="C1197" s="50" t="s">
        <v>2248</v>
      </c>
      <c r="D1197" s="50"/>
      <c r="E1197" s="51">
        <v>1022500</v>
      </c>
      <c r="F1197" s="52">
        <f t="shared" si="81"/>
        <v>81800</v>
      </c>
      <c r="G1197" s="53">
        <f t="shared" si="80"/>
        <v>1104300</v>
      </c>
      <c r="H1197" s="54">
        <v>1104300</v>
      </c>
      <c r="I1197" s="55">
        <f t="shared" si="82"/>
        <v>0</v>
      </c>
      <c r="J1197" s="56">
        <v>45918</v>
      </c>
      <c r="K1197" s="57"/>
    </row>
    <row r="1198" spans="1:11" ht="15.75" hidden="1" customHeight="1" x14ac:dyDescent="0.35">
      <c r="A1198" s="47" t="s">
        <v>23</v>
      </c>
      <c r="B1198" s="48" t="s">
        <v>2588</v>
      </c>
      <c r="C1198" s="50" t="s">
        <v>2249</v>
      </c>
      <c r="D1198" s="50"/>
      <c r="E1198" s="51">
        <v>1005000</v>
      </c>
      <c r="F1198" s="52">
        <f t="shared" si="81"/>
        <v>80400</v>
      </c>
      <c r="G1198" s="53">
        <f t="shared" si="80"/>
        <v>1085400</v>
      </c>
      <c r="H1198" s="54">
        <v>1085400</v>
      </c>
      <c r="I1198" s="55">
        <f t="shared" si="82"/>
        <v>0</v>
      </c>
      <c r="J1198" s="56">
        <v>45863</v>
      </c>
      <c r="K1198" s="57"/>
    </row>
    <row r="1199" spans="1:11" ht="15.75" hidden="1" customHeight="1" x14ac:dyDescent="0.35">
      <c r="A1199" s="47" t="s">
        <v>20</v>
      </c>
      <c r="B1199" s="48" t="s">
        <v>2589</v>
      </c>
      <c r="C1199" s="50" t="s">
        <v>2250</v>
      </c>
      <c r="D1199" s="50"/>
      <c r="E1199" s="51">
        <v>925000</v>
      </c>
      <c r="F1199" s="52">
        <f t="shared" si="81"/>
        <v>74000</v>
      </c>
      <c r="G1199" s="53">
        <f t="shared" si="80"/>
        <v>999000</v>
      </c>
      <c r="H1199" s="54">
        <v>999000</v>
      </c>
      <c r="I1199" s="55">
        <f t="shared" si="82"/>
        <v>0</v>
      </c>
      <c r="J1199" s="56">
        <v>45863</v>
      </c>
      <c r="K1199" s="57"/>
    </row>
    <row r="1200" spans="1:11" ht="15.75" hidden="1" customHeight="1" x14ac:dyDescent="0.35">
      <c r="A1200" s="47" t="s">
        <v>1413</v>
      </c>
      <c r="B1200" s="48" t="s">
        <v>2589</v>
      </c>
      <c r="C1200" s="50" t="s">
        <v>2251</v>
      </c>
      <c r="D1200" s="50"/>
      <c r="E1200" s="51">
        <v>810000</v>
      </c>
      <c r="F1200" s="52">
        <f t="shared" si="81"/>
        <v>64800</v>
      </c>
      <c r="G1200" s="53">
        <f t="shared" si="80"/>
        <v>874800</v>
      </c>
      <c r="H1200" s="54">
        <v>874800</v>
      </c>
      <c r="I1200" s="55">
        <f t="shared" si="82"/>
        <v>0</v>
      </c>
      <c r="J1200" s="56">
        <v>45863</v>
      </c>
      <c r="K1200" s="57"/>
    </row>
    <row r="1201" spans="1:11" ht="15.75" hidden="1" customHeight="1" x14ac:dyDescent="0.35">
      <c r="A1201" s="47" t="s">
        <v>148</v>
      </c>
      <c r="B1201" s="48" t="s">
        <v>2590</v>
      </c>
      <c r="C1201" s="49" t="s">
        <v>2252</v>
      </c>
      <c r="D1201" s="50"/>
      <c r="E1201" s="51">
        <v>1022500</v>
      </c>
      <c r="F1201" s="52">
        <f t="shared" si="81"/>
        <v>81800</v>
      </c>
      <c r="G1201" s="53">
        <f t="shared" si="80"/>
        <v>1104300</v>
      </c>
      <c r="H1201" s="54">
        <v>1104300</v>
      </c>
      <c r="I1201" s="55">
        <f t="shared" si="82"/>
        <v>0</v>
      </c>
      <c r="J1201" s="56">
        <v>46008</v>
      </c>
      <c r="K1201" s="57"/>
    </row>
    <row r="1202" spans="1:11" ht="15.75" hidden="1" customHeight="1" x14ac:dyDescent="0.35">
      <c r="A1202" s="47" t="s">
        <v>69</v>
      </c>
      <c r="B1202" s="48" t="s">
        <v>2590</v>
      </c>
      <c r="C1202" s="50" t="s">
        <v>2253</v>
      </c>
      <c r="D1202" s="50"/>
      <c r="E1202" s="51">
        <v>2045000</v>
      </c>
      <c r="F1202" s="52">
        <f t="shared" si="81"/>
        <v>163600</v>
      </c>
      <c r="G1202" s="53">
        <f t="shared" si="80"/>
        <v>2208600</v>
      </c>
      <c r="H1202" s="54">
        <v>2208600</v>
      </c>
      <c r="I1202" s="55">
        <f t="shared" si="82"/>
        <v>0</v>
      </c>
      <c r="J1202" s="56">
        <v>45918</v>
      </c>
      <c r="K1202" s="57"/>
    </row>
    <row r="1203" spans="1:11" ht="15.75" hidden="1" customHeight="1" x14ac:dyDescent="0.35">
      <c r="A1203" s="47" t="s">
        <v>61</v>
      </c>
      <c r="B1203" s="48" t="s">
        <v>2590</v>
      </c>
      <c r="C1203" s="50" t="s">
        <v>2254</v>
      </c>
      <c r="D1203" s="50"/>
      <c r="E1203" s="51">
        <v>2045000</v>
      </c>
      <c r="F1203" s="52">
        <f t="shared" si="81"/>
        <v>163600</v>
      </c>
      <c r="G1203" s="53">
        <f t="shared" si="80"/>
        <v>2208600</v>
      </c>
      <c r="H1203" s="54">
        <v>2208600</v>
      </c>
      <c r="I1203" s="55">
        <f t="shared" si="82"/>
        <v>0</v>
      </c>
      <c r="J1203" s="56">
        <v>45894</v>
      </c>
      <c r="K1203" s="57"/>
    </row>
    <row r="1204" spans="1:11" ht="15.75" hidden="1" customHeight="1" x14ac:dyDescent="0.35">
      <c r="A1204" s="47" t="s">
        <v>86</v>
      </c>
      <c r="B1204" s="48" t="s">
        <v>2590</v>
      </c>
      <c r="C1204" s="50" t="s">
        <v>186</v>
      </c>
      <c r="D1204" s="50"/>
      <c r="E1204" s="51">
        <v>1427500</v>
      </c>
      <c r="F1204" s="52">
        <f t="shared" si="81"/>
        <v>114200</v>
      </c>
      <c r="G1204" s="53">
        <f t="shared" si="80"/>
        <v>1541700</v>
      </c>
      <c r="H1204" s="54">
        <v>1541700</v>
      </c>
      <c r="I1204" s="55">
        <f t="shared" si="82"/>
        <v>0</v>
      </c>
      <c r="J1204" s="56">
        <v>45918</v>
      </c>
      <c r="K1204" s="57"/>
    </row>
    <row r="1205" spans="1:11" ht="15.75" hidden="1" customHeight="1" x14ac:dyDescent="0.35">
      <c r="A1205" s="47" t="s">
        <v>41</v>
      </c>
      <c r="B1205" s="48" t="s">
        <v>2590</v>
      </c>
      <c r="C1205" s="50" t="s">
        <v>2255</v>
      </c>
      <c r="D1205" s="50"/>
      <c r="E1205" s="51">
        <v>810000</v>
      </c>
      <c r="F1205" s="52">
        <f t="shared" si="81"/>
        <v>64800</v>
      </c>
      <c r="G1205" s="53">
        <f t="shared" si="80"/>
        <v>874800</v>
      </c>
      <c r="H1205" s="54">
        <v>874800</v>
      </c>
      <c r="I1205" s="55">
        <f t="shared" si="82"/>
        <v>0</v>
      </c>
      <c r="J1205" s="56">
        <v>45918</v>
      </c>
      <c r="K1205" s="57"/>
    </row>
    <row r="1206" spans="1:11" ht="15.75" hidden="1" customHeight="1" x14ac:dyDescent="0.35">
      <c r="A1206" s="47" t="s">
        <v>72</v>
      </c>
      <c r="B1206" s="48" t="s">
        <v>2591</v>
      </c>
      <c r="C1206" s="50" t="s">
        <v>2256</v>
      </c>
      <c r="D1206" s="50"/>
      <c r="E1206" s="51">
        <v>810000</v>
      </c>
      <c r="F1206" s="52">
        <f t="shared" si="81"/>
        <v>64800</v>
      </c>
      <c r="G1206" s="53">
        <f t="shared" si="80"/>
        <v>874800</v>
      </c>
      <c r="H1206" s="54">
        <v>874800</v>
      </c>
      <c r="I1206" s="55">
        <f t="shared" si="82"/>
        <v>0</v>
      </c>
      <c r="J1206" s="56">
        <v>45918</v>
      </c>
      <c r="K1206" s="57"/>
    </row>
    <row r="1207" spans="1:11" ht="15.75" hidden="1" customHeight="1" x14ac:dyDescent="0.35">
      <c r="A1207" s="47" t="s">
        <v>78</v>
      </c>
      <c r="B1207" s="48" t="s">
        <v>2591</v>
      </c>
      <c r="C1207" s="50" t="s">
        <v>762</v>
      </c>
      <c r="D1207" s="50"/>
      <c r="E1207" s="51">
        <v>1005000</v>
      </c>
      <c r="F1207" s="52">
        <f t="shared" si="81"/>
        <v>80400</v>
      </c>
      <c r="G1207" s="53">
        <f t="shared" ref="G1207:G1270" si="83">E1207+F1207</f>
        <v>1085400</v>
      </c>
      <c r="H1207" s="54">
        <v>1085400</v>
      </c>
      <c r="I1207" s="55">
        <f t="shared" si="82"/>
        <v>0</v>
      </c>
      <c r="J1207" s="56">
        <v>45918</v>
      </c>
      <c r="K1207" s="57"/>
    </row>
    <row r="1208" spans="1:11" ht="15.75" hidden="1" customHeight="1" x14ac:dyDescent="0.35">
      <c r="A1208" s="47" t="s">
        <v>47</v>
      </c>
      <c r="B1208" s="48" t="s">
        <v>2591</v>
      </c>
      <c r="C1208" s="50" t="s">
        <v>2257</v>
      </c>
      <c r="D1208" s="50"/>
      <c r="E1208" s="51">
        <v>810000</v>
      </c>
      <c r="F1208" s="52">
        <f t="shared" ref="F1208:F1271" si="84">+E1208*0.08</f>
        <v>64800</v>
      </c>
      <c r="G1208" s="53">
        <f t="shared" si="83"/>
        <v>874800</v>
      </c>
      <c r="H1208" s="54">
        <v>874800</v>
      </c>
      <c r="I1208" s="55">
        <f t="shared" ref="I1208:I1271" si="85">G1208-H1208</f>
        <v>0</v>
      </c>
      <c r="J1208" s="56">
        <v>45863</v>
      </c>
      <c r="K1208" s="57"/>
    </row>
    <row r="1209" spans="1:11" ht="15.75" hidden="1" customHeight="1" x14ac:dyDescent="0.35">
      <c r="A1209" s="47" t="s">
        <v>47</v>
      </c>
      <c r="B1209" s="48" t="s">
        <v>2591</v>
      </c>
      <c r="C1209" s="50" t="s">
        <v>763</v>
      </c>
      <c r="D1209" s="50"/>
      <c r="E1209" s="51">
        <v>2045000</v>
      </c>
      <c r="F1209" s="52">
        <f t="shared" si="84"/>
        <v>163600</v>
      </c>
      <c r="G1209" s="53">
        <f t="shared" si="83"/>
        <v>2208600</v>
      </c>
      <c r="H1209" s="54">
        <v>2208600</v>
      </c>
      <c r="I1209" s="55">
        <f t="shared" si="85"/>
        <v>0</v>
      </c>
      <c r="J1209" s="56">
        <v>45863</v>
      </c>
      <c r="K1209" s="57"/>
    </row>
    <row r="1210" spans="1:11" ht="15.75" hidden="1" customHeight="1" x14ac:dyDescent="0.35">
      <c r="A1210" s="47" t="s">
        <v>31</v>
      </c>
      <c r="B1210" s="48" t="s">
        <v>2591</v>
      </c>
      <c r="C1210" s="50" t="s">
        <v>187</v>
      </c>
      <c r="D1210" s="50"/>
      <c r="E1210" s="51">
        <v>2450000</v>
      </c>
      <c r="F1210" s="52">
        <f t="shared" si="84"/>
        <v>196000</v>
      </c>
      <c r="G1210" s="53">
        <f t="shared" si="83"/>
        <v>2646000</v>
      </c>
      <c r="H1210" s="54">
        <v>2646000</v>
      </c>
      <c r="I1210" s="55">
        <f t="shared" si="85"/>
        <v>0</v>
      </c>
      <c r="J1210" s="56">
        <v>45863</v>
      </c>
      <c r="K1210" s="57"/>
    </row>
    <row r="1211" spans="1:11" ht="15.75" hidden="1" customHeight="1" x14ac:dyDescent="0.35">
      <c r="A1211" s="47" t="s">
        <v>54</v>
      </c>
      <c r="B1211" s="48" t="s">
        <v>2592</v>
      </c>
      <c r="C1211" s="50" t="s">
        <v>2258</v>
      </c>
      <c r="D1211" s="50"/>
      <c r="E1211" s="51">
        <v>1410000</v>
      </c>
      <c r="F1211" s="52">
        <f t="shared" si="84"/>
        <v>112800</v>
      </c>
      <c r="G1211" s="53">
        <f t="shared" si="83"/>
        <v>1522800</v>
      </c>
      <c r="H1211" s="54">
        <v>1522800</v>
      </c>
      <c r="I1211" s="55">
        <f t="shared" si="85"/>
        <v>0</v>
      </c>
      <c r="J1211" s="56">
        <v>45863</v>
      </c>
      <c r="K1211" s="57"/>
    </row>
    <row r="1212" spans="1:11" ht="15.75" hidden="1" customHeight="1" x14ac:dyDescent="0.35">
      <c r="A1212" s="47" t="s">
        <v>21</v>
      </c>
      <c r="B1212" s="48" t="s">
        <v>2593</v>
      </c>
      <c r="C1212" s="50" t="s">
        <v>2259</v>
      </c>
      <c r="D1212" s="50"/>
      <c r="E1212" s="51">
        <v>2045000</v>
      </c>
      <c r="F1212" s="52">
        <f t="shared" si="84"/>
        <v>163600</v>
      </c>
      <c r="G1212" s="53">
        <f t="shared" si="83"/>
        <v>2208600</v>
      </c>
      <c r="H1212" s="54">
        <v>2208600</v>
      </c>
      <c r="I1212" s="55">
        <f t="shared" si="85"/>
        <v>0</v>
      </c>
      <c r="J1212" s="56">
        <v>45863</v>
      </c>
      <c r="K1212" s="57"/>
    </row>
    <row r="1213" spans="1:11" ht="15.75" hidden="1" customHeight="1" x14ac:dyDescent="0.35">
      <c r="A1213" s="47" t="s">
        <v>1597</v>
      </c>
      <c r="B1213" s="48" t="s">
        <v>2593</v>
      </c>
      <c r="C1213" s="50" t="s">
        <v>2260</v>
      </c>
      <c r="D1213" s="50"/>
      <c r="E1213" s="51">
        <v>520000</v>
      </c>
      <c r="F1213" s="52">
        <f t="shared" si="84"/>
        <v>41600</v>
      </c>
      <c r="G1213" s="53">
        <f t="shared" si="83"/>
        <v>561600</v>
      </c>
      <c r="H1213" s="54">
        <v>561600</v>
      </c>
      <c r="I1213" s="55">
        <f t="shared" si="85"/>
        <v>0</v>
      </c>
      <c r="J1213" s="56">
        <v>45918</v>
      </c>
      <c r="K1213" s="57"/>
    </row>
    <row r="1214" spans="1:11" ht="15.75" hidden="1" customHeight="1" x14ac:dyDescent="0.35">
      <c r="A1214" s="47" t="s">
        <v>54</v>
      </c>
      <c r="B1214" s="48" t="s">
        <v>2593</v>
      </c>
      <c r="C1214" s="50" t="s">
        <v>2261</v>
      </c>
      <c r="D1214" s="50"/>
      <c r="E1214" s="51">
        <v>1005000</v>
      </c>
      <c r="F1214" s="52">
        <f t="shared" si="84"/>
        <v>80400</v>
      </c>
      <c r="G1214" s="53">
        <f t="shared" si="83"/>
        <v>1085400</v>
      </c>
      <c r="H1214" s="54">
        <v>1085400</v>
      </c>
      <c r="I1214" s="55">
        <f t="shared" si="85"/>
        <v>0</v>
      </c>
      <c r="J1214" s="56">
        <v>45863</v>
      </c>
      <c r="K1214" s="57"/>
    </row>
    <row r="1215" spans="1:11" ht="15.75" hidden="1" customHeight="1" x14ac:dyDescent="0.35">
      <c r="A1215" s="47" t="s">
        <v>1593</v>
      </c>
      <c r="B1215" s="48" t="s">
        <v>2593</v>
      </c>
      <c r="C1215" s="50" t="s">
        <v>2262</v>
      </c>
      <c r="D1215" s="50"/>
      <c r="E1215" s="51">
        <v>1005000</v>
      </c>
      <c r="F1215" s="52">
        <f t="shared" si="84"/>
        <v>80400</v>
      </c>
      <c r="G1215" s="53">
        <f t="shared" si="83"/>
        <v>1085400</v>
      </c>
      <c r="H1215" s="54">
        <v>1085400</v>
      </c>
      <c r="I1215" s="55">
        <f t="shared" si="85"/>
        <v>0</v>
      </c>
      <c r="J1215" s="56">
        <v>45863</v>
      </c>
      <c r="K1215" s="57"/>
    </row>
    <row r="1216" spans="1:11" ht="15.75" hidden="1" customHeight="1" x14ac:dyDescent="0.35">
      <c r="A1216" s="47" t="s">
        <v>52</v>
      </c>
      <c r="B1216" s="48" t="s">
        <v>2594</v>
      </c>
      <c r="C1216" s="50" t="s">
        <v>2263</v>
      </c>
      <c r="D1216" s="50"/>
      <c r="E1216" s="51">
        <v>1005000</v>
      </c>
      <c r="F1216" s="52">
        <f t="shared" si="84"/>
        <v>80400</v>
      </c>
      <c r="G1216" s="53">
        <f t="shared" si="83"/>
        <v>1085400</v>
      </c>
      <c r="H1216" s="54">
        <v>1085400</v>
      </c>
      <c r="I1216" s="55">
        <f t="shared" si="85"/>
        <v>0</v>
      </c>
      <c r="J1216" s="56">
        <v>45863</v>
      </c>
      <c r="K1216" s="57"/>
    </row>
    <row r="1217" spans="1:11" ht="15.75" hidden="1" customHeight="1" x14ac:dyDescent="0.35">
      <c r="A1217" s="47" t="s">
        <v>1597</v>
      </c>
      <c r="B1217" s="48" t="s">
        <v>2595</v>
      </c>
      <c r="C1217" s="50" t="s">
        <v>2264</v>
      </c>
      <c r="D1217" s="50"/>
      <c r="E1217" s="51">
        <v>1040000</v>
      </c>
      <c r="F1217" s="52">
        <f t="shared" si="84"/>
        <v>83200</v>
      </c>
      <c r="G1217" s="53">
        <f t="shared" si="83"/>
        <v>1123200</v>
      </c>
      <c r="H1217" s="54">
        <v>1123200</v>
      </c>
      <c r="I1217" s="55">
        <f t="shared" si="85"/>
        <v>0</v>
      </c>
      <c r="J1217" s="56">
        <v>45918</v>
      </c>
      <c r="K1217" s="57"/>
    </row>
    <row r="1218" spans="1:11" ht="15.75" hidden="1" customHeight="1" x14ac:dyDescent="0.35">
      <c r="A1218" s="47" t="s">
        <v>1587</v>
      </c>
      <c r="B1218" s="48" t="s">
        <v>2595</v>
      </c>
      <c r="C1218" s="50" t="s">
        <v>2265</v>
      </c>
      <c r="D1218" s="50"/>
      <c r="E1218" s="51">
        <v>810000</v>
      </c>
      <c r="F1218" s="52">
        <f t="shared" si="84"/>
        <v>64800</v>
      </c>
      <c r="G1218" s="53">
        <f t="shared" si="83"/>
        <v>874800</v>
      </c>
      <c r="H1218" s="54">
        <v>874800</v>
      </c>
      <c r="I1218" s="55">
        <f t="shared" si="85"/>
        <v>0</v>
      </c>
      <c r="J1218" s="56">
        <v>45918</v>
      </c>
      <c r="K1218" s="57"/>
    </row>
    <row r="1219" spans="1:11" ht="15.75" hidden="1" customHeight="1" x14ac:dyDescent="0.35">
      <c r="A1219" s="47" t="s">
        <v>24</v>
      </c>
      <c r="B1219" s="48" t="s">
        <v>2595</v>
      </c>
      <c r="C1219" s="50" t="s">
        <v>2266</v>
      </c>
      <c r="D1219" s="50"/>
      <c r="E1219" s="51">
        <v>2045000</v>
      </c>
      <c r="F1219" s="52">
        <f t="shared" si="84"/>
        <v>163600</v>
      </c>
      <c r="G1219" s="53">
        <f t="shared" si="83"/>
        <v>2208600</v>
      </c>
      <c r="H1219" s="54">
        <v>2208600</v>
      </c>
      <c r="I1219" s="55">
        <f t="shared" si="85"/>
        <v>0</v>
      </c>
      <c r="J1219" s="56">
        <v>45863</v>
      </c>
      <c r="K1219" s="57"/>
    </row>
    <row r="1220" spans="1:11" ht="15.75" hidden="1" customHeight="1" x14ac:dyDescent="0.35">
      <c r="A1220" s="47" t="s">
        <v>164</v>
      </c>
      <c r="B1220" s="48" t="s">
        <v>2595</v>
      </c>
      <c r="C1220" s="50" t="s">
        <v>2267</v>
      </c>
      <c r="D1220" s="50"/>
      <c r="E1220" s="51">
        <v>502500</v>
      </c>
      <c r="F1220" s="52">
        <f t="shared" si="84"/>
        <v>40200</v>
      </c>
      <c r="G1220" s="53">
        <f t="shared" si="83"/>
        <v>542700</v>
      </c>
      <c r="H1220" s="54">
        <v>542700</v>
      </c>
      <c r="I1220" s="55">
        <f t="shared" si="85"/>
        <v>0</v>
      </c>
      <c r="J1220" s="56">
        <v>45978</v>
      </c>
      <c r="K1220" s="57"/>
    </row>
    <row r="1221" spans="1:11" ht="15.75" hidden="1" customHeight="1" x14ac:dyDescent="0.35">
      <c r="A1221" s="47" t="s">
        <v>39</v>
      </c>
      <c r="B1221" s="48" t="s">
        <v>2595</v>
      </c>
      <c r="C1221" s="50" t="s">
        <v>2268</v>
      </c>
      <c r="D1221" s="50"/>
      <c r="E1221" s="51">
        <v>1040000</v>
      </c>
      <c r="F1221" s="52">
        <f t="shared" si="84"/>
        <v>83200</v>
      </c>
      <c r="G1221" s="53">
        <f t="shared" si="83"/>
        <v>1123200</v>
      </c>
      <c r="H1221" s="54">
        <v>1123200</v>
      </c>
      <c r="I1221" s="55">
        <f t="shared" si="85"/>
        <v>0</v>
      </c>
      <c r="J1221" s="56">
        <v>45863</v>
      </c>
      <c r="K1221" s="57"/>
    </row>
    <row r="1222" spans="1:11" ht="15.75" hidden="1" customHeight="1" x14ac:dyDescent="0.35">
      <c r="A1222" s="47" t="s">
        <v>44</v>
      </c>
      <c r="B1222" s="48" t="s">
        <v>2595</v>
      </c>
      <c r="C1222" s="50" t="s">
        <v>2269</v>
      </c>
      <c r="D1222" s="50"/>
      <c r="E1222" s="51">
        <v>1005000</v>
      </c>
      <c r="F1222" s="52">
        <f t="shared" si="84"/>
        <v>80400</v>
      </c>
      <c r="G1222" s="53">
        <f t="shared" si="83"/>
        <v>1085400</v>
      </c>
      <c r="H1222" s="54">
        <v>1085400</v>
      </c>
      <c r="I1222" s="55">
        <f t="shared" si="85"/>
        <v>0</v>
      </c>
      <c r="J1222" s="56">
        <v>45863</v>
      </c>
      <c r="K1222" s="57"/>
    </row>
    <row r="1223" spans="1:11" ht="15.75" hidden="1" customHeight="1" x14ac:dyDescent="0.35">
      <c r="A1223" s="47" t="s">
        <v>20</v>
      </c>
      <c r="B1223" s="48" t="s">
        <v>2595</v>
      </c>
      <c r="C1223" s="50" t="s">
        <v>2270</v>
      </c>
      <c r="D1223" s="50"/>
      <c r="E1223" s="51">
        <v>925000</v>
      </c>
      <c r="F1223" s="52">
        <f t="shared" si="84"/>
        <v>74000</v>
      </c>
      <c r="G1223" s="53">
        <f t="shared" si="83"/>
        <v>999000</v>
      </c>
      <c r="H1223" s="54">
        <v>999000</v>
      </c>
      <c r="I1223" s="55">
        <f t="shared" si="85"/>
        <v>0</v>
      </c>
      <c r="J1223" s="56">
        <v>45863</v>
      </c>
      <c r="K1223" s="57"/>
    </row>
    <row r="1224" spans="1:11" ht="15.75" hidden="1" customHeight="1" x14ac:dyDescent="0.35">
      <c r="A1224" s="47" t="s">
        <v>134</v>
      </c>
      <c r="B1224" s="48" t="s">
        <v>2595</v>
      </c>
      <c r="C1224" s="50" t="s">
        <v>228</v>
      </c>
      <c r="D1224" s="50"/>
      <c r="E1224" s="51">
        <v>2045000</v>
      </c>
      <c r="F1224" s="52">
        <f t="shared" si="84"/>
        <v>163600</v>
      </c>
      <c r="G1224" s="53">
        <f t="shared" si="83"/>
        <v>2208600</v>
      </c>
      <c r="H1224" s="54">
        <v>2208600</v>
      </c>
      <c r="I1224" s="55">
        <f t="shared" si="85"/>
        <v>0</v>
      </c>
      <c r="J1224" s="56">
        <v>45918</v>
      </c>
      <c r="K1224" s="57"/>
    </row>
    <row r="1225" spans="1:11" ht="15.75" hidden="1" customHeight="1" x14ac:dyDescent="0.35">
      <c r="A1225" s="47" t="s">
        <v>70</v>
      </c>
      <c r="B1225" s="48" t="s">
        <v>2595</v>
      </c>
      <c r="C1225" s="50" t="s">
        <v>784</v>
      </c>
      <c r="D1225" s="50"/>
      <c r="E1225" s="51">
        <v>520000</v>
      </c>
      <c r="F1225" s="52">
        <f t="shared" si="84"/>
        <v>41600</v>
      </c>
      <c r="G1225" s="53">
        <f t="shared" si="83"/>
        <v>561600</v>
      </c>
      <c r="H1225" s="54">
        <v>561600</v>
      </c>
      <c r="I1225" s="55">
        <f t="shared" si="85"/>
        <v>0</v>
      </c>
      <c r="J1225" s="56">
        <v>45863</v>
      </c>
      <c r="K1225" s="57"/>
    </row>
    <row r="1226" spans="1:11" ht="15.75" hidden="1" customHeight="1" x14ac:dyDescent="0.35">
      <c r="A1226" s="47" t="s">
        <v>19</v>
      </c>
      <c r="B1226" s="48" t="s">
        <v>2595</v>
      </c>
      <c r="C1226" s="50" t="s">
        <v>785</v>
      </c>
      <c r="D1226" s="50"/>
      <c r="E1226" s="51">
        <v>6135000</v>
      </c>
      <c r="F1226" s="52">
        <f t="shared" si="84"/>
        <v>490800</v>
      </c>
      <c r="G1226" s="53">
        <f t="shared" si="83"/>
        <v>6625800</v>
      </c>
      <c r="H1226" s="54">
        <v>6625800</v>
      </c>
      <c r="I1226" s="55">
        <f t="shared" si="85"/>
        <v>0</v>
      </c>
      <c r="J1226" s="56">
        <v>45863</v>
      </c>
      <c r="K1226" s="57"/>
    </row>
    <row r="1227" spans="1:11" ht="15.75" hidden="1" customHeight="1" x14ac:dyDescent="0.35">
      <c r="A1227" s="47" t="s">
        <v>1601</v>
      </c>
      <c r="B1227" s="48" t="s">
        <v>2595</v>
      </c>
      <c r="C1227" s="50" t="s">
        <v>2271</v>
      </c>
      <c r="D1227" s="50"/>
      <c r="E1227" s="51">
        <v>717500</v>
      </c>
      <c r="F1227" s="52">
        <f t="shared" si="84"/>
        <v>57400</v>
      </c>
      <c r="G1227" s="53">
        <f t="shared" si="83"/>
        <v>774900</v>
      </c>
      <c r="H1227" s="54">
        <v>774900</v>
      </c>
      <c r="I1227" s="55">
        <f t="shared" si="85"/>
        <v>0</v>
      </c>
      <c r="J1227" s="56">
        <v>45918</v>
      </c>
      <c r="K1227" s="57"/>
    </row>
    <row r="1228" spans="1:11" ht="15.75" hidden="1" customHeight="1" x14ac:dyDescent="0.35">
      <c r="A1228" s="47" t="s">
        <v>1590</v>
      </c>
      <c r="B1228" s="48" t="s">
        <v>2596</v>
      </c>
      <c r="C1228" s="50" t="s">
        <v>2272</v>
      </c>
      <c r="D1228" s="50"/>
      <c r="E1228" s="51">
        <v>1265500</v>
      </c>
      <c r="F1228" s="52">
        <f t="shared" si="84"/>
        <v>101240</v>
      </c>
      <c r="G1228" s="53">
        <f t="shared" si="83"/>
        <v>1366740</v>
      </c>
      <c r="H1228" s="54">
        <v>1366740</v>
      </c>
      <c r="I1228" s="55">
        <f t="shared" si="85"/>
        <v>0</v>
      </c>
      <c r="J1228" s="56">
        <v>45863</v>
      </c>
      <c r="K1228" s="57"/>
    </row>
    <row r="1229" spans="1:11" ht="15.75" hidden="1" customHeight="1" x14ac:dyDescent="0.35">
      <c r="A1229" s="47" t="s">
        <v>1594</v>
      </c>
      <c r="B1229" s="48" t="s">
        <v>2596</v>
      </c>
      <c r="C1229" s="50" t="s">
        <v>790</v>
      </c>
      <c r="D1229" s="50"/>
      <c r="E1229" s="51">
        <v>2855000</v>
      </c>
      <c r="F1229" s="52">
        <f t="shared" si="84"/>
        <v>228400</v>
      </c>
      <c r="G1229" s="53">
        <f t="shared" si="83"/>
        <v>3083400</v>
      </c>
      <c r="H1229" s="54">
        <v>3083400</v>
      </c>
      <c r="I1229" s="55">
        <f t="shared" si="85"/>
        <v>0</v>
      </c>
      <c r="J1229" s="56">
        <v>45863</v>
      </c>
      <c r="K1229" s="57"/>
    </row>
    <row r="1230" spans="1:11" ht="15.75" hidden="1" customHeight="1" x14ac:dyDescent="0.35">
      <c r="A1230" s="47" t="s">
        <v>56</v>
      </c>
      <c r="B1230" s="48" t="s">
        <v>2596</v>
      </c>
      <c r="C1230" s="50" t="s">
        <v>2273</v>
      </c>
      <c r="D1230" s="50"/>
      <c r="E1230" s="51">
        <v>2450000</v>
      </c>
      <c r="F1230" s="52">
        <f t="shared" si="84"/>
        <v>196000</v>
      </c>
      <c r="G1230" s="53">
        <f t="shared" si="83"/>
        <v>2646000</v>
      </c>
      <c r="H1230" s="54">
        <v>2646000</v>
      </c>
      <c r="I1230" s="55">
        <f t="shared" si="85"/>
        <v>0</v>
      </c>
      <c r="J1230" s="56">
        <v>45863</v>
      </c>
      <c r="K1230" s="57"/>
    </row>
    <row r="1231" spans="1:11" ht="15.75" hidden="1" customHeight="1" x14ac:dyDescent="0.35">
      <c r="A1231" s="47" t="s">
        <v>19</v>
      </c>
      <c r="B1231" s="48" t="s">
        <v>2596</v>
      </c>
      <c r="C1231" s="50" t="s">
        <v>791</v>
      </c>
      <c r="D1231" s="50"/>
      <c r="E1231" s="51">
        <v>4090000</v>
      </c>
      <c r="F1231" s="52">
        <f t="shared" si="84"/>
        <v>327200</v>
      </c>
      <c r="G1231" s="53">
        <f t="shared" si="83"/>
        <v>4417200</v>
      </c>
      <c r="H1231" s="54">
        <v>4417200</v>
      </c>
      <c r="I1231" s="55">
        <f t="shared" si="85"/>
        <v>0</v>
      </c>
      <c r="J1231" s="56">
        <v>45863</v>
      </c>
      <c r="K1231" s="57"/>
    </row>
    <row r="1232" spans="1:11" ht="15.75" hidden="1" customHeight="1" x14ac:dyDescent="0.35">
      <c r="A1232" s="47" t="s">
        <v>212</v>
      </c>
      <c r="B1232" s="48" t="s">
        <v>2596</v>
      </c>
      <c r="C1232" s="50" t="s">
        <v>2274</v>
      </c>
      <c r="D1232" s="50"/>
      <c r="E1232" s="51">
        <v>810000</v>
      </c>
      <c r="F1232" s="52">
        <f t="shared" si="84"/>
        <v>64800</v>
      </c>
      <c r="G1232" s="53">
        <f t="shared" si="83"/>
        <v>874800</v>
      </c>
      <c r="H1232" s="54">
        <v>874800</v>
      </c>
      <c r="I1232" s="55">
        <f t="shared" si="85"/>
        <v>0</v>
      </c>
      <c r="J1232" s="56">
        <v>45918</v>
      </c>
      <c r="K1232" s="57"/>
    </row>
    <row r="1233" spans="1:11" ht="15.75" hidden="1" customHeight="1" x14ac:dyDescent="0.35">
      <c r="A1233" s="47" t="s">
        <v>15</v>
      </c>
      <c r="B1233" s="48" t="s">
        <v>2597</v>
      </c>
      <c r="C1233" s="50" t="s">
        <v>2275</v>
      </c>
      <c r="D1233" s="50"/>
      <c r="E1233" s="51">
        <v>1840500</v>
      </c>
      <c r="F1233" s="52">
        <f t="shared" si="84"/>
        <v>147240</v>
      </c>
      <c r="G1233" s="53">
        <f t="shared" si="83"/>
        <v>1987740</v>
      </c>
      <c r="H1233" s="54">
        <v>1987740</v>
      </c>
      <c r="I1233" s="55">
        <f t="shared" si="85"/>
        <v>0</v>
      </c>
      <c r="J1233" s="56">
        <v>45863</v>
      </c>
      <c r="K1233" s="57"/>
    </row>
    <row r="1234" spans="1:11" ht="15.75" hidden="1" customHeight="1" x14ac:dyDescent="0.35">
      <c r="A1234" s="47" t="s">
        <v>16</v>
      </c>
      <c r="B1234" s="48" t="s">
        <v>2597</v>
      </c>
      <c r="C1234" s="50" t="s">
        <v>2276</v>
      </c>
      <c r="D1234" s="50"/>
      <c r="E1234" s="51">
        <v>904500</v>
      </c>
      <c r="F1234" s="52">
        <f t="shared" si="84"/>
        <v>72360</v>
      </c>
      <c r="G1234" s="53">
        <f t="shared" si="83"/>
        <v>976860</v>
      </c>
      <c r="H1234" s="54">
        <v>976860</v>
      </c>
      <c r="I1234" s="55">
        <f t="shared" si="85"/>
        <v>0</v>
      </c>
      <c r="J1234" s="56">
        <v>45863</v>
      </c>
      <c r="K1234" s="57"/>
    </row>
    <row r="1235" spans="1:11" ht="15.75" hidden="1" customHeight="1" x14ac:dyDescent="0.35">
      <c r="A1235" s="47" t="s">
        <v>47</v>
      </c>
      <c r="B1235" s="48" t="s">
        <v>2598</v>
      </c>
      <c r="C1235" s="50" t="s">
        <v>2277</v>
      </c>
      <c r="D1235" s="50"/>
      <c r="E1235" s="51">
        <v>1840500</v>
      </c>
      <c r="F1235" s="52">
        <f t="shared" si="84"/>
        <v>147240</v>
      </c>
      <c r="G1235" s="53">
        <f t="shared" si="83"/>
        <v>1987740</v>
      </c>
      <c r="H1235" s="54">
        <v>1987740</v>
      </c>
      <c r="I1235" s="55">
        <f t="shared" si="85"/>
        <v>0</v>
      </c>
      <c r="J1235" s="56">
        <v>45863</v>
      </c>
      <c r="K1235" s="57"/>
    </row>
    <row r="1236" spans="1:11" ht="15.75" hidden="1" customHeight="1" x14ac:dyDescent="0.35">
      <c r="A1236" s="47" t="s">
        <v>22</v>
      </c>
      <c r="B1236" s="48" t="s">
        <v>2598</v>
      </c>
      <c r="C1236" s="50" t="s">
        <v>2278</v>
      </c>
      <c r="D1236" s="50"/>
      <c r="E1236" s="51">
        <v>2569500</v>
      </c>
      <c r="F1236" s="52">
        <f t="shared" si="84"/>
        <v>205560</v>
      </c>
      <c r="G1236" s="53">
        <f t="shared" si="83"/>
        <v>2775060</v>
      </c>
      <c r="H1236" s="54">
        <v>2775060</v>
      </c>
      <c r="I1236" s="55">
        <f t="shared" si="85"/>
        <v>0</v>
      </c>
      <c r="J1236" s="56">
        <v>45863</v>
      </c>
      <c r="K1236" s="57"/>
    </row>
    <row r="1237" spans="1:11" ht="15.75" hidden="1" customHeight="1" x14ac:dyDescent="0.35">
      <c r="A1237" s="47" t="s">
        <v>126</v>
      </c>
      <c r="B1237" s="48" t="s">
        <v>2598</v>
      </c>
      <c r="C1237" s="50" t="s">
        <v>2279</v>
      </c>
      <c r="D1237" s="50"/>
      <c r="E1237" s="51">
        <v>1284750</v>
      </c>
      <c r="F1237" s="52">
        <f t="shared" si="84"/>
        <v>102780</v>
      </c>
      <c r="G1237" s="53">
        <f t="shared" si="83"/>
        <v>1387530</v>
      </c>
      <c r="H1237" s="54">
        <v>1387530</v>
      </c>
      <c r="I1237" s="55">
        <f t="shared" si="85"/>
        <v>0</v>
      </c>
      <c r="J1237" s="56">
        <v>45918</v>
      </c>
      <c r="K1237" s="57"/>
    </row>
    <row r="1238" spans="1:11" ht="15.75" hidden="1" customHeight="1" x14ac:dyDescent="0.35">
      <c r="A1238" s="47" t="s">
        <v>23</v>
      </c>
      <c r="B1238" s="48" t="s">
        <v>2598</v>
      </c>
      <c r="C1238" s="50" t="s">
        <v>2280</v>
      </c>
      <c r="D1238" s="50"/>
      <c r="E1238" s="51">
        <v>1284750</v>
      </c>
      <c r="F1238" s="52">
        <f t="shared" si="84"/>
        <v>102780</v>
      </c>
      <c r="G1238" s="53">
        <f t="shared" si="83"/>
        <v>1387530</v>
      </c>
      <c r="H1238" s="54">
        <v>1387530</v>
      </c>
      <c r="I1238" s="55">
        <f t="shared" si="85"/>
        <v>0</v>
      </c>
      <c r="J1238" s="56">
        <v>45863</v>
      </c>
      <c r="K1238" s="57"/>
    </row>
    <row r="1239" spans="1:11" ht="15.75" hidden="1" customHeight="1" x14ac:dyDescent="0.35">
      <c r="A1239" s="47" t="s">
        <v>29</v>
      </c>
      <c r="B1239" s="48" t="s">
        <v>2598</v>
      </c>
      <c r="C1239" s="50" t="s">
        <v>2281</v>
      </c>
      <c r="D1239" s="50"/>
      <c r="E1239" s="51">
        <v>832500</v>
      </c>
      <c r="F1239" s="52">
        <f t="shared" si="84"/>
        <v>66600</v>
      </c>
      <c r="G1239" s="53">
        <f t="shared" si="83"/>
        <v>899100</v>
      </c>
      <c r="H1239" s="54">
        <v>899100</v>
      </c>
      <c r="I1239" s="55">
        <f t="shared" si="85"/>
        <v>0</v>
      </c>
      <c r="J1239" s="56">
        <v>45863</v>
      </c>
      <c r="K1239" s="57"/>
    </row>
    <row r="1240" spans="1:11" ht="15.75" hidden="1" customHeight="1" x14ac:dyDescent="0.35">
      <c r="A1240" s="47" t="s">
        <v>53</v>
      </c>
      <c r="B1240" s="48" t="s">
        <v>2598</v>
      </c>
      <c r="C1240" s="50" t="s">
        <v>2282</v>
      </c>
      <c r="D1240" s="50"/>
      <c r="E1240" s="51">
        <v>904500</v>
      </c>
      <c r="F1240" s="52">
        <f t="shared" si="84"/>
        <v>72360</v>
      </c>
      <c r="G1240" s="53">
        <f t="shared" si="83"/>
        <v>976860</v>
      </c>
      <c r="H1240" s="54">
        <v>976860</v>
      </c>
      <c r="I1240" s="55">
        <f t="shared" si="85"/>
        <v>0</v>
      </c>
      <c r="J1240" s="56">
        <v>45894</v>
      </c>
      <c r="K1240" s="57"/>
    </row>
    <row r="1241" spans="1:11" ht="15.75" hidden="1" customHeight="1" x14ac:dyDescent="0.35">
      <c r="A1241" s="47" t="s">
        <v>212</v>
      </c>
      <c r="B1241" s="48" t="s">
        <v>2598</v>
      </c>
      <c r="C1241" s="50" t="s">
        <v>2283</v>
      </c>
      <c r="D1241" s="50"/>
      <c r="E1241" s="51">
        <v>1840500</v>
      </c>
      <c r="F1241" s="52">
        <f t="shared" si="84"/>
        <v>147240</v>
      </c>
      <c r="G1241" s="53">
        <f t="shared" si="83"/>
        <v>1987740</v>
      </c>
      <c r="H1241" s="54">
        <v>1987740</v>
      </c>
      <c r="I1241" s="55">
        <f t="shared" si="85"/>
        <v>0</v>
      </c>
      <c r="J1241" s="56">
        <v>45918</v>
      </c>
      <c r="K1241" s="57"/>
    </row>
    <row r="1242" spans="1:11" ht="15.75" hidden="1" customHeight="1" x14ac:dyDescent="0.35">
      <c r="A1242" s="47" t="s">
        <v>31</v>
      </c>
      <c r="B1242" s="48" t="s">
        <v>2598</v>
      </c>
      <c r="C1242" s="50" t="s">
        <v>2284</v>
      </c>
      <c r="D1242" s="50"/>
      <c r="E1242" s="51">
        <v>2569500</v>
      </c>
      <c r="F1242" s="52">
        <f t="shared" si="84"/>
        <v>205560</v>
      </c>
      <c r="G1242" s="53">
        <f t="shared" si="83"/>
        <v>2775060</v>
      </c>
      <c r="H1242" s="54">
        <v>2775060</v>
      </c>
      <c r="I1242" s="55">
        <f t="shared" si="85"/>
        <v>0</v>
      </c>
      <c r="J1242" s="56">
        <v>45863</v>
      </c>
      <c r="K1242" s="57"/>
    </row>
    <row r="1243" spans="1:11" ht="15.75" hidden="1" customHeight="1" x14ac:dyDescent="0.35">
      <c r="A1243" s="47" t="s">
        <v>105</v>
      </c>
      <c r="B1243" s="48" t="s">
        <v>2599</v>
      </c>
      <c r="C1243" s="50" t="s">
        <v>802</v>
      </c>
      <c r="D1243" s="50"/>
      <c r="E1243" s="51">
        <v>3681000</v>
      </c>
      <c r="F1243" s="52">
        <f t="shared" si="84"/>
        <v>294480</v>
      </c>
      <c r="G1243" s="53">
        <f t="shared" si="83"/>
        <v>3975480</v>
      </c>
      <c r="H1243" s="54">
        <v>3975480</v>
      </c>
      <c r="I1243" s="55">
        <f t="shared" si="85"/>
        <v>0</v>
      </c>
      <c r="J1243" s="56">
        <v>45863</v>
      </c>
      <c r="K1243" s="57"/>
    </row>
    <row r="1244" spans="1:11" ht="15.75" hidden="1" customHeight="1" x14ac:dyDescent="0.35">
      <c r="A1244" s="47" t="s">
        <v>26</v>
      </c>
      <c r="B1244" s="48" t="s">
        <v>2599</v>
      </c>
      <c r="C1244" s="50" t="s">
        <v>2285</v>
      </c>
      <c r="D1244" s="50"/>
      <c r="E1244" s="51">
        <v>437400</v>
      </c>
      <c r="F1244" s="52">
        <f t="shared" si="84"/>
        <v>34992</v>
      </c>
      <c r="G1244" s="53">
        <f t="shared" si="83"/>
        <v>472392</v>
      </c>
      <c r="H1244" s="54">
        <v>472392</v>
      </c>
      <c r="I1244" s="55">
        <f t="shared" si="85"/>
        <v>0</v>
      </c>
      <c r="J1244" s="56">
        <v>45863</v>
      </c>
      <c r="K1244" s="57"/>
    </row>
    <row r="1245" spans="1:11" ht="15.75" hidden="1" customHeight="1" x14ac:dyDescent="0.35">
      <c r="A1245" s="47" t="s">
        <v>32</v>
      </c>
      <c r="B1245" s="48" t="s">
        <v>2599</v>
      </c>
      <c r="C1245" s="50" t="s">
        <v>2286</v>
      </c>
      <c r="D1245" s="50"/>
      <c r="E1245" s="51">
        <v>2569500</v>
      </c>
      <c r="F1245" s="52">
        <f t="shared" si="84"/>
        <v>205560</v>
      </c>
      <c r="G1245" s="53">
        <f t="shared" si="83"/>
        <v>2775060</v>
      </c>
      <c r="H1245" s="54">
        <v>2775060</v>
      </c>
      <c r="I1245" s="55">
        <f t="shared" si="85"/>
        <v>0</v>
      </c>
      <c r="J1245" s="56">
        <v>45863</v>
      </c>
      <c r="K1245" s="57"/>
    </row>
    <row r="1246" spans="1:11" ht="15.75" hidden="1" customHeight="1" x14ac:dyDescent="0.35">
      <c r="A1246" s="47" t="s">
        <v>1413</v>
      </c>
      <c r="B1246" s="48" t="s">
        <v>2599</v>
      </c>
      <c r="C1246" s="50" t="s">
        <v>2287</v>
      </c>
      <c r="D1246" s="50"/>
      <c r="E1246" s="51">
        <v>729000</v>
      </c>
      <c r="F1246" s="52">
        <f t="shared" si="84"/>
        <v>58320</v>
      </c>
      <c r="G1246" s="53">
        <f t="shared" si="83"/>
        <v>787320</v>
      </c>
      <c r="H1246" s="54">
        <v>787320</v>
      </c>
      <c r="I1246" s="55">
        <f t="shared" si="85"/>
        <v>0</v>
      </c>
      <c r="J1246" s="56">
        <v>45863</v>
      </c>
      <c r="K1246" s="57"/>
    </row>
    <row r="1247" spans="1:11" ht="15.75" hidden="1" customHeight="1" x14ac:dyDescent="0.35">
      <c r="A1247" s="47" t="s">
        <v>52</v>
      </c>
      <c r="B1247" s="48" t="s">
        <v>2599</v>
      </c>
      <c r="C1247" s="50" t="s">
        <v>2288</v>
      </c>
      <c r="D1247" s="50"/>
      <c r="E1247" s="51">
        <v>3474000</v>
      </c>
      <c r="F1247" s="52">
        <f t="shared" si="84"/>
        <v>277920</v>
      </c>
      <c r="G1247" s="53">
        <f t="shared" si="83"/>
        <v>3751920</v>
      </c>
      <c r="H1247" s="54">
        <v>3751920</v>
      </c>
      <c r="I1247" s="55">
        <f t="shared" si="85"/>
        <v>0</v>
      </c>
      <c r="J1247" s="56">
        <v>45863</v>
      </c>
      <c r="K1247" s="57"/>
    </row>
    <row r="1248" spans="1:11" ht="15.75" hidden="1" customHeight="1" x14ac:dyDescent="0.35">
      <c r="A1248" s="47" t="s">
        <v>86</v>
      </c>
      <c r="B1248" s="48" t="s">
        <v>2599</v>
      </c>
      <c r="C1248" s="50" t="s">
        <v>2289</v>
      </c>
      <c r="D1248" s="50"/>
      <c r="E1248" s="51">
        <v>1284750</v>
      </c>
      <c r="F1248" s="52">
        <f t="shared" si="84"/>
        <v>102780</v>
      </c>
      <c r="G1248" s="53">
        <f t="shared" si="83"/>
        <v>1387530</v>
      </c>
      <c r="H1248" s="54">
        <v>1387530</v>
      </c>
      <c r="I1248" s="55">
        <f t="shared" si="85"/>
        <v>0</v>
      </c>
      <c r="J1248" s="56">
        <v>45918</v>
      </c>
      <c r="K1248" s="57"/>
    </row>
    <row r="1249" spans="1:11" ht="15.75" hidden="1" customHeight="1" x14ac:dyDescent="0.35">
      <c r="A1249" s="47" t="s">
        <v>1592</v>
      </c>
      <c r="B1249" s="48" t="s">
        <v>2599</v>
      </c>
      <c r="C1249" s="50" t="s">
        <v>2290</v>
      </c>
      <c r="D1249" s="50"/>
      <c r="E1249" s="51">
        <v>2569500</v>
      </c>
      <c r="F1249" s="52">
        <f t="shared" si="84"/>
        <v>205560</v>
      </c>
      <c r="G1249" s="53">
        <f t="shared" si="83"/>
        <v>2775060</v>
      </c>
      <c r="H1249" s="54">
        <v>2775060</v>
      </c>
      <c r="I1249" s="55">
        <f t="shared" si="85"/>
        <v>0</v>
      </c>
      <c r="J1249" s="56">
        <v>45863</v>
      </c>
      <c r="K1249" s="57"/>
    </row>
    <row r="1250" spans="1:11" ht="15.75" hidden="1" customHeight="1" x14ac:dyDescent="0.35">
      <c r="A1250" s="47" t="s">
        <v>35</v>
      </c>
      <c r="B1250" s="48" t="s">
        <v>2599</v>
      </c>
      <c r="C1250" s="50" t="s">
        <v>2291</v>
      </c>
      <c r="D1250" s="50"/>
      <c r="E1250" s="51">
        <v>4203000</v>
      </c>
      <c r="F1250" s="52">
        <f t="shared" si="84"/>
        <v>336240</v>
      </c>
      <c r="G1250" s="53">
        <f t="shared" si="83"/>
        <v>4539240</v>
      </c>
      <c r="H1250" s="54">
        <v>4539240</v>
      </c>
      <c r="I1250" s="55">
        <f t="shared" si="85"/>
        <v>0</v>
      </c>
      <c r="J1250" s="56">
        <v>45863</v>
      </c>
      <c r="K1250" s="57"/>
    </row>
    <row r="1251" spans="1:11" ht="15.75" hidden="1" customHeight="1" x14ac:dyDescent="0.35">
      <c r="A1251" s="47" t="s">
        <v>84</v>
      </c>
      <c r="B1251" s="48" t="s">
        <v>2599</v>
      </c>
      <c r="C1251" s="50" t="s">
        <v>2292</v>
      </c>
      <c r="D1251" s="50"/>
      <c r="E1251" s="51">
        <v>2569500</v>
      </c>
      <c r="F1251" s="52">
        <f t="shared" si="84"/>
        <v>205560</v>
      </c>
      <c r="G1251" s="53">
        <f t="shared" si="83"/>
        <v>2775060</v>
      </c>
      <c r="H1251" s="54">
        <v>2775060</v>
      </c>
      <c r="I1251" s="55">
        <f t="shared" si="85"/>
        <v>0</v>
      </c>
      <c r="J1251" s="56">
        <v>45863</v>
      </c>
      <c r="K1251" s="57"/>
    </row>
    <row r="1252" spans="1:11" ht="15.75" hidden="1" customHeight="1" x14ac:dyDescent="0.35">
      <c r="A1252" s="47" t="s">
        <v>125</v>
      </c>
      <c r="B1252" s="48" t="s">
        <v>2599</v>
      </c>
      <c r="C1252" s="50" t="s">
        <v>2293</v>
      </c>
      <c r="D1252" s="50"/>
      <c r="E1252" s="51">
        <v>904500</v>
      </c>
      <c r="F1252" s="52">
        <f t="shared" si="84"/>
        <v>72360</v>
      </c>
      <c r="G1252" s="53">
        <f t="shared" si="83"/>
        <v>976860</v>
      </c>
      <c r="H1252" s="54">
        <v>976860</v>
      </c>
      <c r="I1252" s="55">
        <f t="shared" si="85"/>
        <v>0</v>
      </c>
      <c r="J1252" s="56">
        <v>45863</v>
      </c>
      <c r="K1252" s="57"/>
    </row>
    <row r="1253" spans="1:11" ht="15.75" hidden="1" customHeight="1" x14ac:dyDescent="0.35">
      <c r="A1253" s="47" t="s">
        <v>127</v>
      </c>
      <c r="B1253" s="48" t="s">
        <v>2599</v>
      </c>
      <c r="C1253" s="50" t="s">
        <v>2294</v>
      </c>
      <c r="D1253" s="50"/>
      <c r="E1253" s="51">
        <v>2569500</v>
      </c>
      <c r="F1253" s="52">
        <f t="shared" si="84"/>
        <v>205560</v>
      </c>
      <c r="G1253" s="53">
        <f t="shared" si="83"/>
        <v>2775060</v>
      </c>
      <c r="H1253" s="54">
        <v>2775060</v>
      </c>
      <c r="I1253" s="55">
        <f t="shared" si="85"/>
        <v>0</v>
      </c>
      <c r="J1253" s="56">
        <v>45863</v>
      </c>
      <c r="K1253" s="57"/>
    </row>
    <row r="1254" spans="1:11" ht="15.75" hidden="1" customHeight="1" x14ac:dyDescent="0.35">
      <c r="A1254" s="47" t="s">
        <v>54</v>
      </c>
      <c r="B1254" s="48">
        <v>45832</v>
      </c>
      <c r="C1254" s="50" t="s">
        <v>2295</v>
      </c>
      <c r="D1254" s="50" t="s">
        <v>2794</v>
      </c>
      <c r="E1254" s="51">
        <v>0</v>
      </c>
      <c r="F1254" s="52">
        <f t="shared" si="84"/>
        <v>0</v>
      </c>
      <c r="G1254" s="53">
        <f t="shared" si="83"/>
        <v>0</v>
      </c>
      <c r="H1254" s="54"/>
      <c r="I1254" s="55">
        <f t="shared" si="85"/>
        <v>0</v>
      </c>
      <c r="J1254" s="56"/>
      <c r="K1254" s="57"/>
    </row>
    <row r="1255" spans="1:11" ht="15.75" hidden="1" customHeight="1" x14ac:dyDescent="0.35">
      <c r="A1255" s="47" t="s">
        <v>20</v>
      </c>
      <c r="B1255" s="48" t="s">
        <v>2600</v>
      </c>
      <c r="C1255" s="50" t="s">
        <v>2296</v>
      </c>
      <c r="D1255" s="50"/>
      <c r="E1255" s="51">
        <v>936000</v>
      </c>
      <c r="F1255" s="52">
        <f t="shared" si="84"/>
        <v>74880</v>
      </c>
      <c r="G1255" s="53">
        <f t="shared" si="83"/>
        <v>1010880</v>
      </c>
      <c r="H1255" s="54">
        <v>1010880</v>
      </c>
      <c r="I1255" s="55">
        <f t="shared" si="85"/>
        <v>0</v>
      </c>
      <c r="J1255" s="56">
        <v>45863</v>
      </c>
      <c r="K1255" s="57"/>
    </row>
    <row r="1256" spans="1:11" ht="15.75" hidden="1" customHeight="1" x14ac:dyDescent="0.35">
      <c r="A1256" s="47" t="s">
        <v>104</v>
      </c>
      <c r="B1256" s="48" t="s">
        <v>2600</v>
      </c>
      <c r="C1256" s="50" t="s">
        <v>2297</v>
      </c>
      <c r="D1256" s="50"/>
      <c r="E1256" s="51">
        <v>2569500</v>
      </c>
      <c r="F1256" s="52">
        <f t="shared" si="84"/>
        <v>205560</v>
      </c>
      <c r="G1256" s="53">
        <f t="shared" si="83"/>
        <v>2775060</v>
      </c>
      <c r="H1256" s="54">
        <v>2775060</v>
      </c>
      <c r="I1256" s="55">
        <f t="shared" si="85"/>
        <v>0</v>
      </c>
      <c r="J1256" s="56">
        <v>45863</v>
      </c>
      <c r="K1256" s="57"/>
    </row>
    <row r="1257" spans="1:11" ht="15.75" hidden="1" customHeight="1" x14ac:dyDescent="0.35">
      <c r="A1257" s="47" t="s">
        <v>49</v>
      </c>
      <c r="B1257" s="48" t="s">
        <v>2601</v>
      </c>
      <c r="C1257" s="50" t="s">
        <v>2298</v>
      </c>
      <c r="D1257" s="50"/>
      <c r="E1257" s="51">
        <v>5139000</v>
      </c>
      <c r="F1257" s="52">
        <f t="shared" si="84"/>
        <v>411120</v>
      </c>
      <c r="G1257" s="53">
        <f t="shared" si="83"/>
        <v>5550120</v>
      </c>
      <c r="H1257" s="54">
        <v>5550120</v>
      </c>
      <c r="I1257" s="55">
        <f t="shared" si="85"/>
        <v>0</v>
      </c>
      <c r="J1257" s="56">
        <v>45863</v>
      </c>
      <c r="K1257" s="57"/>
    </row>
    <row r="1258" spans="1:11" ht="15.75" hidden="1" customHeight="1" x14ac:dyDescent="0.35">
      <c r="A1258" s="47" t="s">
        <v>153</v>
      </c>
      <c r="B1258" s="48" t="s">
        <v>2602</v>
      </c>
      <c r="C1258" s="50" t="s">
        <v>2299</v>
      </c>
      <c r="D1258" s="50"/>
      <c r="E1258" s="51">
        <v>2205000</v>
      </c>
      <c r="F1258" s="52">
        <f t="shared" si="84"/>
        <v>176400</v>
      </c>
      <c r="G1258" s="53">
        <f t="shared" si="83"/>
        <v>2381400</v>
      </c>
      <c r="H1258" s="54">
        <v>2381400</v>
      </c>
      <c r="I1258" s="55">
        <f t="shared" si="85"/>
        <v>0</v>
      </c>
      <c r="J1258" s="56">
        <v>45918</v>
      </c>
      <c r="K1258" s="57"/>
    </row>
    <row r="1259" spans="1:11" ht="15.75" hidden="1" customHeight="1" x14ac:dyDescent="0.35">
      <c r="A1259" s="47" t="s">
        <v>36</v>
      </c>
      <c r="B1259" s="48" t="s">
        <v>2602</v>
      </c>
      <c r="C1259" s="50" t="s">
        <v>249</v>
      </c>
      <c r="D1259" s="50"/>
      <c r="E1259" s="51">
        <v>3474000</v>
      </c>
      <c r="F1259" s="52">
        <f t="shared" si="84"/>
        <v>277920</v>
      </c>
      <c r="G1259" s="53">
        <f t="shared" si="83"/>
        <v>3751920</v>
      </c>
      <c r="H1259" s="54">
        <v>3751920</v>
      </c>
      <c r="I1259" s="55">
        <f t="shared" si="85"/>
        <v>0</v>
      </c>
      <c r="J1259" s="56">
        <v>45894</v>
      </c>
      <c r="K1259" s="57"/>
    </row>
    <row r="1260" spans="1:11" ht="15.75" hidden="1" customHeight="1" x14ac:dyDescent="0.35">
      <c r="A1260" s="47" t="s">
        <v>55</v>
      </c>
      <c r="B1260" s="48" t="s">
        <v>2602</v>
      </c>
      <c r="C1260" s="50" t="s">
        <v>2300</v>
      </c>
      <c r="D1260" s="50"/>
      <c r="E1260" s="51">
        <v>2205000</v>
      </c>
      <c r="F1260" s="52">
        <f t="shared" si="84"/>
        <v>176400</v>
      </c>
      <c r="G1260" s="53">
        <f t="shared" si="83"/>
        <v>2381400</v>
      </c>
      <c r="H1260" s="54">
        <v>2381400</v>
      </c>
      <c r="I1260" s="55">
        <f t="shared" si="85"/>
        <v>0</v>
      </c>
      <c r="J1260" s="56">
        <v>45894</v>
      </c>
      <c r="K1260" s="57"/>
    </row>
    <row r="1261" spans="1:11" ht="15.75" hidden="1" customHeight="1" x14ac:dyDescent="0.35">
      <c r="A1261" s="47" t="s">
        <v>118</v>
      </c>
      <c r="B1261" s="48" t="s">
        <v>2602</v>
      </c>
      <c r="C1261" s="49" t="s">
        <v>255</v>
      </c>
      <c r="D1261" s="50"/>
      <c r="E1261" s="51">
        <v>2205000</v>
      </c>
      <c r="F1261" s="52">
        <f t="shared" si="84"/>
        <v>176400</v>
      </c>
      <c r="G1261" s="53">
        <f t="shared" si="83"/>
        <v>2381400</v>
      </c>
      <c r="H1261" s="54">
        <v>2381400</v>
      </c>
      <c r="I1261" s="55">
        <f t="shared" si="85"/>
        <v>0</v>
      </c>
      <c r="J1261" s="56">
        <v>46105</v>
      </c>
      <c r="K1261" s="57" t="s">
        <v>3387</v>
      </c>
    </row>
    <row r="1262" spans="1:11" ht="15.75" hidden="1" customHeight="1" x14ac:dyDescent="0.35">
      <c r="A1262" s="47" t="s">
        <v>106</v>
      </c>
      <c r="B1262" s="48" t="s">
        <v>2602</v>
      </c>
      <c r="C1262" s="50" t="s">
        <v>2301</v>
      </c>
      <c r="D1262" s="50"/>
      <c r="E1262" s="51">
        <v>1633500</v>
      </c>
      <c r="F1262" s="52">
        <f t="shared" si="84"/>
        <v>130680</v>
      </c>
      <c r="G1262" s="53">
        <f t="shared" si="83"/>
        <v>1764180</v>
      </c>
      <c r="H1262" s="54">
        <v>1764180</v>
      </c>
      <c r="I1262" s="55">
        <f t="shared" si="85"/>
        <v>0</v>
      </c>
      <c r="J1262" s="56">
        <v>45894</v>
      </c>
      <c r="K1262" s="57"/>
    </row>
    <row r="1263" spans="1:11" ht="15.75" hidden="1" customHeight="1" x14ac:dyDescent="0.35">
      <c r="A1263" s="47" t="s">
        <v>22</v>
      </c>
      <c r="B1263" s="48" t="s">
        <v>2602</v>
      </c>
      <c r="C1263" s="50" t="s">
        <v>2302</v>
      </c>
      <c r="D1263" s="50"/>
      <c r="E1263" s="51">
        <v>2569500</v>
      </c>
      <c r="F1263" s="52">
        <f t="shared" si="84"/>
        <v>205560</v>
      </c>
      <c r="G1263" s="53">
        <f t="shared" si="83"/>
        <v>2775060</v>
      </c>
      <c r="H1263" s="54">
        <v>2775060</v>
      </c>
      <c r="I1263" s="55">
        <f t="shared" si="85"/>
        <v>0</v>
      </c>
      <c r="J1263" s="56">
        <v>45918</v>
      </c>
      <c r="K1263" s="57"/>
    </row>
    <row r="1264" spans="1:11" ht="15.75" hidden="1" customHeight="1" x14ac:dyDescent="0.35">
      <c r="A1264" s="47" t="s">
        <v>47</v>
      </c>
      <c r="B1264" s="48" t="s">
        <v>2602</v>
      </c>
      <c r="C1264" s="50" t="s">
        <v>2303</v>
      </c>
      <c r="D1264" s="50"/>
      <c r="E1264" s="51">
        <v>1872000</v>
      </c>
      <c r="F1264" s="52">
        <f t="shared" si="84"/>
        <v>149760</v>
      </c>
      <c r="G1264" s="53">
        <f t="shared" si="83"/>
        <v>2021760</v>
      </c>
      <c r="H1264" s="54">
        <v>2021760</v>
      </c>
      <c r="I1264" s="55">
        <f t="shared" si="85"/>
        <v>0</v>
      </c>
      <c r="J1264" s="56">
        <v>45894</v>
      </c>
      <c r="K1264" s="57"/>
    </row>
    <row r="1265" spans="1:11" ht="15.75" hidden="1" customHeight="1" x14ac:dyDescent="0.35">
      <c r="A1265" s="47" t="s">
        <v>2677</v>
      </c>
      <c r="B1265" s="48" t="s">
        <v>2602</v>
      </c>
      <c r="C1265" s="50" t="s">
        <v>2304</v>
      </c>
      <c r="D1265" s="50"/>
      <c r="E1265" s="51">
        <v>920250</v>
      </c>
      <c r="F1265" s="52">
        <f t="shared" si="84"/>
        <v>73620</v>
      </c>
      <c r="G1265" s="53">
        <f t="shared" si="83"/>
        <v>993870</v>
      </c>
      <c r="H1265" s="54">
        <v>993870</v>
      </c>
      <c r="I1265" s="55">
        <f t="shared" si="85"/>
        <v>0</v>
      </c>
      <c r="J1265" s="56">
        <v>45918</v>
      </c>
      <c r="K1265" s="57"/>
    </row>
    <row r="1266" spans="1:11" ht="15.75" hidden="1" customHeight="1" x14ac:dyDescent="0.35">
      <c r="A1266" s="47" t="s">
        <v>20</v>
      </c>
      <c r="B1266" s="48" t="s">
        <v>2602</v>
      </c>
      <c r="C1266" s="50" t="s">
        <v>2305</v>
      </c>
      <c r="D1266" s="50"/>
      <c r="E1266" s="51">
        <v>2569500</v>
      </c>
      <c r="F1266" s="52">
        <f t="shared" si="84"/>
        <v>205560</v>
      </c>
      <c r="G1266" s="53">
        <f t="shared" si="83"/>
        <v>2775060</v>
      </c>
      <c r="H1266" s="54">
        <v>2775060</v>
      </c>
      <c r="I1266" s="55">
        <f t="shared" si="85"/>
        <v>0</v>
      </c>
      <c r="J1266" s="56">
        <v>45894</v>
      </c>
      <c r="K1266" s="57"/>
    </row>
    <row r="1267" spans="1:11" ht="15.75" hidden="1" customHeight="1" x14ac:dyDescent="0.35">
      <c r="A1267" s="47" t="s">
        <v>1600</v>
      </c>
      <c r="B1267" s="48" t="s">
        <v>2602</v>
      </c>
      <c r="C1267" s="50" t="s">
        <v>2306</v>
      </c>
      <c r="D1267" s="50"/>
      <c r="E1267" s="51">
        <v>2569500</v>
      </c>
      <c r="F1267" s="52">
        <f t="shared" si="84"/>
        <v>205560</v>
      </c>
      <c r="G1267" s="53">
        <f t="shared" si="83"/>
        <v>2775060</v>
      </c>
      <c r="H1267" s="54">
        <v>2775060</v>
      </c>
      <c r="I1267" s="55">
        <f t="shared" si="85"/>
        <v>0</v>
      </c>
      <c r="J1267" s="56">
        <v>45918</v>
      </c>
      <c r="K1267" s="57"/>
    </row>
    <row r="1268" spans="1:11" ht="15.75" hidden="1" customHeight="1" x14ac:dyDescent="0.35">
      <c r="A1268" s="47" t="s">
        <v>167</v>
      </c>
      <c r="B1268" s="48" t="s">
        <v>2602</v>
      </c>
      <c r="C1268" s="50" t="s">
        <v>2307</v>
      </c>
      <c r="D1268" s="50"/>
      <c r="E1268" s="51">
        <v>1372500</v>
      </c>
      <c r="F1268" s="52">
        <f t="shared" si="84"/>
        <v>109800</v>
      </c>
      <c r="G1268" s="53">
        <f t="shared" si="83"/>
        <v>1482300</v>
      </c>
      <c r="H1268" s="54">
        <v>1482300</v>
      </c>
      <c r="I1268" s="55">
        <f t="shared" si="85"/>
        <v>0</v>
      </c>
      <c r="J1268" s="56">
        <v>45978</v>
      </c>
      <c r="K1268" s="57"/>
    </row>
    <row r="1269" spans="1:11" ht="15.75" hidden="1" customHeight="1" x14ac:dyDescent="0.35">
      <c r="A1269" s="47" t="s">
        <v>30</v>
      </c>
      <c r="B1269" s="48" t="s">
        <v>2602</v>
      </c>
      <c r="C1269" s="50" t="s">
        <v>2308</v>
      </c>
      <c r="D1269" s="50"/>
      <c r="E1269" s="51">
        <v>1284750</v>
      </c>
      <c r="F1269" s="52">
        <f t="shared" si="84"/>
        <v>102780</v>
      </c>
      <c r="G1269" s="53">
        <f t="shared" si="83"/>
        <v>1387530</v>
      </c>
      <c r="H1269" s="54">
        <v>1387530</v>
      </c>
      <c r="I1269" s="55">
        <f t="shared" si="85"/>
        <v>0</v>
      </c>
      <c r="J1269" s="56">
        <v>45918</v>
      </c>
      <c r="K1269" s="57"/>
    </row>
    <row r="1270" spans="1:11" ht="15.75" hidden="1" customHeight="1" x14ac:dyDescent="0.35">
      <c r="A1270" s="47" t="s">
        <v>88</v>
      </c>
      <c r="B1270" s="48" t="s">
        <v>2602</v>
      </c>
      <c r="C1270" s="50" t="s">
        <v>2309</v>
      </c>
      <c r="D1270" s="50"/>
      <c r="E1270" s="51">
        <v>2569500</v>
      </c>
      <c r="F1270" s="52">
        <f t="shared" si="84"/>
        <v>205560</v>
      </c>
      <c r="G1270" s="53">
        <f t="shared" si="83"/>
        <v>2775060</v>
      </c>
      <c r="H1270" s="54">
        <v>2775060</v>
      </c>
      <c r="I1270" s="55">
        <f t="shared" si="85"/>
        <v>0</v>
      </c>
      <c r="J1270" s="56">
        <v>45918</v>
      </c>
      <c r="K1270" s="57"/>
    </row>
    <row r="1271" spans="1:11" ht="15.75" hidden="1" customHeight="1" x14ac:dyDescent="0.35">
      <c r="A1271" s="47" t="s">
        <v>350</v>
      </c>
      <c r="B1271" s="48" t="s">
        <v>2602</v>
      </c>
      <c r="C1271" s="50" t="s">
        <v>2310</v>
      </c>
      <c r="D1271" s="50"/>
      <c r="E1271" s="51">
        <v>468000</v>
      </c>
      <c r="F1271" s="52">
        <f t="shared" si="84"/>
        <v>37440</v>
      </c>
      <c r="G1271" s="53">
        <f t="shared" ref="G1271:G1334" si="86">E1271+F1271</f>
        <v>505440</v>
      </c>
      <c r="H1271" s="54">
        <v>505440</v>
      </c>
      <c r="I1271" s="55">
        <f t="shared" si="85"/>
        <v>0</v>
      </c>
      <c r="J1271" s="56">
        <v>45918</v>
      </c>
      <c r="K1271" s="57"/>
    </row>
    <row r="1272" spans="1:11" ht="15.75" hidden="1" customHeight="1" x14ac:dyDescent="0.35">
      <c r="A1272" s="47" t="s">
        <v>50</v>
      </c>
      <c r="B1272" s="48" t="s">
        <v>2602</v>
      </c>
      <c r="C1272" s="50" t="s">
        <v>2311</v>
      </c>
      <c r="D1272" s="50"/>
      <c r="E1272" s="51">
        <v>2205000</v>
      </c>
      <c r="F1272" s="52">
        <f t="shared" ref="F1272:F1335" si="87">+E1272*0.08</f>
        <v>176400</v>
      </c>
      <c r="G1272" s="53">
        <f t="shared" si="86"/>
        <v>2381400</v>
      </c>
      <c r="H1272" s="54">
        <v>2381400</v>
      </c>
      <c r="I1272" s="55">
        <f t="shared" ref="I1272:I1335" si="88">G1272-H1272</f>
        <v>0</v>
      </c>
      <c r="J1272" s="56">
        <v>45918</v>
      </c>
      <c r="K1272" s="57"/>
    </row>
    <row r="1273" spans="1:11" ht="15.75" hidden="1" customHeight="1" x14ac:dyDescent="0.35">
      <c r="A1273" s="47" t="s">
        <v>163</v>
      </c>
      <c r="B1273" s="48" t="s">
        <v>2603</v>
      </c>
      <c r="C1273" s="50" t="s">
        <v>2312</v>
      </c>
      <c r="D1273" s="50"/>
      <c r="E1273" s="51">
        <v>920250</v>
      </c>
      <c r="F1273" s="52">
        <f t="shared" si="87"/>
        <v>73620</v>
      </c>
      <c r="G1273" s="53">
        <f t="shared" si="86"/>
        <v>993870</v>
      </c>
      <c r="H1273" s="54">
        <v>993870</v>
      </c>
      <c r="I1273" s="55">
        <f t="shared" si="88"/>
        <v>0</v>
      </c>
      <c r="J1273" s="56">
        <v>45918</v>
      </c>
      <c r="K1273" s="57"/>
    </row>
    <row r="1274" spans="1:11" ht="15.75" hidden="1" customHeight="1" x14ac:dyDescent="0.35">
      <c r="A1274" s="47" t="s">
        <v>2678</v>
      </c>
      <c r="B1274" s="48" t="s">
        <v>2604</v>
      </c>
      <c r="C1274" s="50" t="s">
        <v>261</v>
      </c>
      <c r="D1274" s="50"/>
      <c r="E1274" s="51">
        <v>657000</v>
      </c>
      <c r="F1274" s="52">
        <f t="shared" si="87"/>
        <v>52560</v>
      </c>
      <c r="G1274" s="53">
        <f t="shared" si="86"/>
        <v>709560</v>
      </c>
      <c r="H1274" s="54">
        <v>709560</v>
      </c>
      <c r="I1274" s="55">
        <f t="shared" si="88"/>
        <v>0</v>
      </c>
      <c r="J1274" s="56">
        <v>45918</v>
      </c>
      <c r="K1274" s="57"/>
    </row>
    <row r="1275" spans="1:11" ht="15.75" hidden="1" customHeight="1" x14ac:dyDescent="0.35">
      <c r="A1275" s="47" t="s">
        <v>35</v>
      </c>
      <c r="B1275" s="48" t="s">
        <v>2604</v>
      </c>
      <c r="C1275" s="50" t="s">
        <v>262</v>
      </c>
      <c r="D1275" s="50"/>
      <c r="E1275" s="51">
        <v>4410000</v>
      </c>
      <c r="F1275" s="52">
        <f t="shared" si="87"/>
        <v>352800</v>
      </c>
      <c r="G1275" s="53">
        <f t="shared" si="86"/>
        <v>4762800</v>
      </c>
      <c r="H1275" s="53">
        <v>4762800</v>
      </c>
      <c r="I1275" s="55">
        <f t="shared" si="88"/>
        <v>0</v>
      </c>
      <c r="J1275" s="56">
        <v>45894</v>
      </c>
      <c r="K1275" s="57"/>
    </row>
    <row r="1276" spans="1:11" ht="15.75" customHeight="1" x14ac:dyDescent="0.35">
      <c r="A1276" s="47" t="s">
        <v>188</v>
      </c>
      <c r="B1276" s="48" t="s">
        <v>2604</v>
      </c>
      <c r="C1276" s="49" t="s">
        <v>2313</v>
      </c>
      <c r="D1276" s="50"/>
      <c r="E1276" s="51">
        <v>1269000</v>
      </c>
      <c r="F1276" s="52">
        <f t="shared" si="87"/>
        <v>101520</v>
      </c>
      <c r="G1276" s="53">
        <f t="shared" si="86"/>
        <v>1370520</v>
      </c>
      <c r="H1276" s="54">
        <v>1370520</v>
      </c>
      <c r="I1276" s="55">
        <f t="shared" si="88"/>
        <v>0</v>
      </c>
      <c r="J1276" s="56">
        <v>46254</v>
      </c>
      <c r="K1276" s="57" t="s">
        <v>3387</v>
      </c>
    </row>
    <row r="1277" spans="1:11" ht="15.75" hidden="1" customHeight="1" x14ac:dyDescent="0.35">
      <c r="A1277" s="47" t="s">
        <v>2679</v>
      </c>
      <c r="B1277" s="48" t="s">
        <v>2604</v>
      </c>
      <c r="C1277" s="50" t="s">
        <v>267</v>
      </c>
      <c r="D1277" s="50"/>
      <c r="E1277" s="51">
        <v>1840500</v>
      </c>
      <c r="F1277" s="52">
        <f t="shared" si="87"/>
        <v>147240</v>
      </c>
      <c r="G1277" s="53">
        <f t="shared" si="86"/>
        <v>1987740</v>
      </c>
      <c r="H1277" s="54">
        <v>1987740</v>
      </c>
      <c r="I1277" s="55">
        <f t="shared" si="88"/>
        <v>0</v>
      </c>
      <c r="J1277" s="56">
        <v>45918</v>
      </c>
      <c r="K1277" s="57"/>
    </row>
    <row r="1278" spans="1:11" ht="15.75" hidden="1" customHeight="1" x14ac:dyDescent="0.35">
      <c r="A1278" s="47" t="s">
        <v>19</v>
      </c>
      <c r="B1278" s="48" t="s">
        <v>2604</v>
      </c>
      <c r="C1278" s="50" t="s">
        <v>2314</v>
      </c>
      <c r="D1278" s="50"/>
      <c r="E1278" s="51">
        <v>5139000</v>
      </c>
      <c r="F1278" s="52">
        <f t="shared" si="87"/>
        <v>411120</v>
      </c>
      <c r="G1278" s="53">
        <f t="shared" si="86"/>
        <v>5550120</v>
      </c>
      <c r="H1278" s="54">
        <v>5550120</v>
      </c>
      <c r="I1278" s="55">
        <f t="shared" si="88"/>
        <v>0</v>
      </c>
      <c r="J1278" s="56">
        <v>45894</v>
      </c>
      <c r="K1278" s="57"/>
    </row>
    <row r="1279" spans="1:11" ht="15.75" hidden="1" customHeight="1" x14ac:dyDescent="0.35">
      <c r="A1279" s="47" t="s">
        <v>2680</v>
      </c>
      <c r="B1279" s="48" t="s">
        <v>2604</v>
      </c>
      <c r="C1279" s="50" t="s">
        <v>268</v>
      </c>
      <c r="D1279" s="50"/>
      <c r="E1279" s="51">
        <v>936000</v>
      </c>
      <c r="F1279" s="52">
        <f t="shared" si="87"/>
        <v>74880</v>
      </c>
      <c r="G1279" s="53">
        <f t="shared" si="86"/>
        <v>1010880</v>
      </c>
      <c r="H1279" s="54">
        <v>1010880</v>
      </c>
      <c r="I1279" s="55">
        <f t="shared" si="88"/>
        <v>0</v>
      </c>
      <c r="J1279" s="56">
        <v>45918</v>
      </c>
      <c r="K1279" s="57"/>
    </row>
    <row r="1280" spans="1:11" ht="15.75" hidden="1" customHeight="1" x14ac:dyDescent="0.35">
      <c r="A1280" s="47" t="s">
        <v>26</v>
      </c>
      <c r="B1280" s="48" t="s">
        <v>2604</v>
      </c>
      <c r="C1280" s="50" t="s">
        <v>2315</v>
      </c>
      <c r="D1280" s="50"/>
      <c r="E1280" s="51">
        <v>920250</v>
      </c>
      <c r="F1280" s="52">
        <f t="shared" si="87"/>
        <v>73620</v>
      </c>
      <c r="G1280" s="53">
        <f t="shared" si="86"/>
        <v>993870</v>
      </c>
      <c r="H1280" s="54">
        <v>993870</v>
      </c>
      <c r="I1280" s="55">
        <f t="shared" si="88"/>
        <v>0</v>
      </c>
      <c r="J1280" s="56">
        <v>45894</v>
      </c>
      <c r="K1280" s="57"/>
    </row>
    <row r="1281" spans="1:11" ht="15.75" hidden="1" customHeight="1" x14ac:dyDescent="0.35">
      <c r="A1281" s="47" t="s">
        <v>770</v>
      </c>
      <c r="B1281" s="48" t="s">
        <v>2604</v>
      </c>
      <c r="C1281" s="50" t="s">
        <v>2316</v>
      </c>
      <c r="D1281" s="50"/>
      <c r="E1281" s="51">
        <v>2205000</v>
      </c>
      <c r="F1281" s="52">
        <f t="shared" si="87"/>
        <v>176400</v>
      </c>
      <c r="G1281" s="53">
        <f t="shared" si="86"/>
        <v>2381400</v>
      </c>
      <c r="H1281" s="54">
        <v>2381400</v>
      </c>
      <c r="I1281" s="55">
        <f t="shared" si="88"/>
        <v>0</v>
      </c>
      <c r="J1281" s="56">
        <v>45894</v>
      </c>
      <c r="K1281" s="57"/>
    </row>
    <row r="1282" spans="1:11" ht="15.75" hidden="1" customHeight="1" x14ac:dyDescent="0.35">
      <c r="A1282" s="47" t="s">
        <v>1414</v>
      </c>
      <c r="B1282" s="48" t="s">
        <v>2604</v>
      </c>
      <c r="C1282" s="50" t="s">
        <v>275</v>
      </c>
      <c r="D1282" s="50"/>
      <c r="E1282" s="51">
        <v>832500</v>
      </c>
      <c r="F1282" s="52">
        <f t="shared" si="87"/>
        <v>66600</v>
      </c>
      <c r="G1282" s="53">
        <f t="shared" si="86"/>
        <v>899100</v>
      </c>
      <c r="H1282" s="54">
        <v>899100</v>
      </c>
      <c r="I1282" s="55">
        <f t="shared" si="88"/>
        <v>0</v>
      </c>
      <c r="J1282" s="56">
        <v>45894</v>
      </c>
      <c r="K1282" s="57"/>
    </row>
    <row r="1283" spans="1:11" ht="15.75" hidden="1" customHeight="1" x14ac:dyDescent="0.35">
      <c r="A1283" s="47" t="s">
        <v>28</v>
      </c>
      <c r="B1283" s="48" t="s">
        <v>2605</v>
      </c>
      <c r="C1283" s="50" t="s">
        <v>289</v>
      </c>
      <c r="D1283" s="50"/>
      <c r="E1283" s="51">
        <v>904500</v>
      </c>
      <c r="F1283" s="52">
        <f t="shared" si="87"/>
        <v>72360</v>
      </c>
      <c r="G1283" s="53">
        <f t="shared" si="86"/>
        <v>976860</v>
      </c>
      <c r="H1283" s="54">
        <v>976860</v>
      </c>
      <c r="I1283" s="55">
        <f t="shared" si="88"/>
        <v>0</v>
      </c>
      <c r="J1283" s="56">
        <v>45918</v>
      </c>
      <c r="K1283" s="57"/>
    </row>
    <row r="1284" spans="1:11" ht="15.75" hidden="1" customHeight="1" x14ac:dyDescent="0.35">
      <c r="A1284" s="47" t="s">
        <v>20</v>
      </c>
      <c r="B1284" s="48" t="s">
        <v>2605</v>
      </c>
      <c r="C1284" s="50" t="s">
        <v>2317</v>
      </c>
      <c r="D1284" s="50"/>
      <c r="E1284" s="51">
        <v>5139000</v>
      </c>
      <c r="F1284" s="52">
        <f t="shared" si="87"/>
        <v>411120</v>
      </c>
      <c r="G1284" s="53">
        <f t="shared" si="86"/>
        <v>5550120</v>
      </c>
      <c r="H1284" s="54">
        <v>5550120</v>
      </c>
      <c r="I1284" s="55">
        <f t="shared" si="88"/>
        <v>0</v>
      </c>
      <c r="J1284" s="56">
        <v>45894</v>
      </c>
      <c r="K1284" s="57"/>
    </row>
    <row r="1285" spans="1:11" ht="15.75" hidden="1" customHeight="1" x14ac:dyDescent="0.35">
      <c r="A1285" s="47" t="s">
        <v>1586</v>
      </c>
      <c r="B1285" s="48" t="s">
        <v>2605</v>
      </c>
      <c r="C1285" s="50" t="s">
        <v>292</v>
      </c>
      <c r="D1285" s="50"/>
      <c r="E1285" s="51">
        <v>1284750</v>
      </c>
      <c r="F1285" s="52">
        <f t="shared" si="87"/>
        <v>102780</v>
      </c>
      <c r="G1285" s="53">
        <f t="shared" si="86"/>
        <v>1387530</v>
      </c>
      <c r="H1285" s="54">
        <v>1387530</v>
      </c>
      <c r="I1285" s="55">
        <f t="shared" si="88"/>
        <v>0</v>
      </c>
      <c r="J1285" s="56">
        <v>45894</v>
      </c>
      <c r="K1285" s="57"/>
    </row>
    <row r="1286" spans="1:11" ht="15.75" hidden="1" customHeight="1" x14ac:dyDescent="0.35">
      <c r="A1286" s="47" t="s">
        <v>47</v>
      </c>
      <c r="B1286" s="48" t="s">
        <v>2605</v>
      </c>
      <c r="C1286" s="50" t="s">
        <v>294</v>
      </c>
      <c r="D1286" s="50"/>
      <c r="E1286" s="51">
        <v>729000</v>
      </c>
      <c r="F1286" s="52">
        <f t="shared" si="87"/>
        <v>58320</v>
      </c>
      <c r="G1286" s="53">
        <f t="shared" si="86"/>
        <v>787320</v>
      </c>
      <c r="H1286" s="54">
        <v>787320</v>
      </c>
      <c r="I1286" s="55">
        <f t="shared" si="88"/>
        <v>0</v>
      </c>
      <c r="J1286" s="56">
        <v>45894</v>
      </c>
      <c r="K1286" s="57"/>
    </row>
    <row r="1287" spans="1:11" ht="15.75" hidden="1" customHeight="1" x14ac:dyDescent="0.35">
      <c r="A1287" s="47" t="s">
        <v>308</v>
      </c>
      <c r="B1287" s="48" t="s">
        <v>2605</v>
      </c>
      <c r="C1287" s="50" t="s">
        <v>2318</v>
      </c>
      <c r="D1287" s="50"/>
      <c r="E1287" s="51">
        <v>904500</v>
      </c>
      <c r="F1287" s="52">
        <f t="shared" si="87"/>
        <v>72360</v>
      </c>
      <c r="G1287" s="53">
        <f t="shared" si="86"/>
        <v>976860</v>
      </c>
      <c r="H1287" s="54">
        <v>976860</v>
      </c>
      <c r="I1287" s="55">
        <f t="shared" si="88"/>
        <v>0</v>
      </c>
      <c r="J1287" s="56">
        <v>45894</v>
      </c>
      <c r="K1287" s="57"/>
    </row>
    <row r="1288" spans="1:11" ht="15.75" hidden="1" customHeight="1" x14ac:dyDescent="0.35">
      <c r="A1288" s="47" t="s">
        <v>2681</v>
      </c>
      <c r="B1288" s="48" t="s">
        <v>2605</v>
      </c>
      <c r="C1288" s="49" t="s">
        <v>318</v>
      </c>
      <c r="D1288" s="50"/>
      <c r="E1288" s="51">
        <v>666000</v>
      </c>
      <c r="F1288" s="52">
        <f t="shared" si="87"/>
        <v>53280</v>
      </c>
      <c r="G1288" s="53">
        <f t="shared" si="86"/>
        <v>719280</v>
      </c>
      <c r="H1288" s="54">
        <v>719280</v>
      </c>
      <c r="I1288" s="55">
        <f t="shared" si="88"/>
        <v>0</v>
      </c>
      <c r="J1288" s="56">
        <v>46008</v>
      </c>
      <c r="K1288" s="57"/>
    </row>
    <row r="1289" spans="1:11" ht="15.75" hidden="1" customHeight="1" x14ac:dyDescent="0.35">
      <c r="A1289" s="47" t="s">
        <v>2682</v>
      </c>
      <c r="B1289" s="48" t="s">
        <v>2606</v>
      </c>
      <c r="C1289" s="50" t="s">
        <v>330</v>
      </c>
      <c r="D1289" s="50"/>
      <c r="E1289" s="51">
        <v>1840500</v>
      </c>
      <c r="F1289" s="52">
        <f t="shared" si="87"/>
        <v>147240</v>
      </c>
      <c r="G1289" s="53">
        <f t="shared" si="86"/>
        <v>1987740</v>
      </c>
      <c r="H1289" s="53">
        <v>1987740</v>
      </c>
      <c r="I1289" s="55">
        <f t="shared" si="88"/>
        <v>0</v>
      </c>
      <c r="J1289" s="56">
        <v>45918</v>
      </c>
      <c r="K1289" s="57"/>
    </row>
    <row r="1290" spans="1:11" ht="15.75" hidden="1" customHeight="1" x14ac:dyDescent="0.35">
      <c r="A1290" s="47" t="s">
        <v>24</v>
      </c>
      <c r="B1290" s="48" t="s">
        <v>2606</v>
      </c>
      <c r="C1290" s="50" t="s">
        <v>331</v>
      </c>
      <c r="D1290" s="50"/>
      <c r="E1290" s="51">
        <v>2205000</v>
      </c>
      <c r="F1290" s="52">
        <f t="shared" si="87"/>
        <v>176400</v>
      </c>
      <c r="G1290" s="53">
        <f t="shared" si="86"/>
        <v>2381400</v>
      </c>
      <c r="H1290" s="54">
        <v>2381400</v>
      </c>
      <c r="I1290" s="55">
        <f t="shared" si="88"/>
        <v>0</v>
      </c>
      <c r="J1290" s="56">
        <v>45894</v>
      </c>
      <c r="K1290" s="57"/>
    </row>
    <row r="1291" spans="1:11" ht="15.75" hidden="1" customHeight="1" x14ac:dyDescent="0.35">
      <c r="A1291" s="47" t="s">
        <v>47</v>
      </c>
      <c r="B1291" s="48" t="s">
        <v>2606</v>
      </c>
      <c r="C1291" s="50" t="s">
        <v>332</v>
      </c>
      <c r="D1291" s="50"/>
      <c r="E1291" s="51">
        <v>1809000</v>
      </c>
      <c r="F1291" s="52">
        <f t="shared" si="87"/>
        <v>144720</v>
      </c>
      <c r="G1291" s="53">
        <f t="shared" si="86"/>
        <v>1953720</v>
      </c>
      <c r="H1291" s="54">
        <v>1953720</v>
      </c>
      <c r="I1291" s="55">
        <f t="shared" si="88"/>
        <v>0</v>
      </c>
      <c r="J1291" s="56">
        <v>45894</v>
      </c>
      <c r="K1291" s="57"/>
    </row>
    <row r="1292" spans="1:11" ht="15.75" hidden="1" customHeight="1" x14ac:dyDescent="0.35">
      <c r="A1292" s="47" t="s">
        <v>18</v>
      </c>
      <c r="B1292" s="48" t="s">
        <v>2606</v>
      </c>
      <c r="C1292" s="50" t="s">
        <v>2319</v>
      </c>
      <c r="D1292" s="50"/>
      <c r="E1292" s="51">
        <v>1737000</v>
      </c>
      <c r="F1292" s="52">
        <f t="shared" si="87"/>
        <v>138960</v>
      </c>
      <c r="G1292" s="53">
        <f t="shared" si="86"/>
        <v>1875960</v>
      </c>
      <c r="H1292" s="54">
        <v>1875960</v>
      </c>
      <c r="I1292" s="55">
        <f t="shared" si="88"/>
        <v>0</v>
      </c>
      <c r="J1292" s="56">
        <v>45894</v>
      </c>
      <c r="K1292" s="57"/>
    </row>
    <row r="1293" spans="1:11" ht="15.75" hidden="1" customHeight="1" x14ac:dyDescent="0.35">
      <c r="A1293" s="47" t="s">
        <v>90</v>
      </c>
      <c r="B1293" s="48" t="s">
        <v>2606</v>
      </c>
      <c r="C1293" s="49" t="s">
        <v>2320</v>
      </c>
      <c r="D1293" s="50"/>
      <c r="E1293" s="51">
        <v>1840500</v>
      </c>
      <c r="F1293" s="52">
        <f t="shared" si="87"/>
        <v>147240</v>
      </c>
      <c r="G1293" s="53">
        <f t="shared" si="86"/>
        <v>1987740</v>
      </c>
      <c r="H1293" s="54">
        <v>1987740</v>
      </c>
      <c r="I1293" s="55">
        <f t="shared" si="88"/>
        <v>0</v>
      </c>
      <c r="J1293" s="56">
        <v>45918</v>
      </c>
      <c r="K1293" s="107"/>
    </row>
    <row r="1294" spans="1:11" ht="15.75" hidden="1" customHeight="1" x14ac:dyDescent="0.35">
      <c r="A1294" s="47" t="s">
        <v>1597</v>
      </c>
      <c r="B1294" s="48" t="s">
        <v>2606</v>
      </c>
      <c r="C1294" s="50" t="s">
        <v>2321</v>
      </c>
      <c r="D1294" s="50"/>
      <c r="E1294" s="51">
        <v>1269000</v>
      </c>
      <c r="F1294" s="52">
        <f t="shared" si="87"/>
        <v>101520</v>
      </c>
      <c r="G1294" s="53">
        <f t="shared" si="86"/>
        <v>1370520</v>
      </c>
      <c r="H1294" s="54">
        <v>1370520</v>
      </c>
      <c r="I1294" s="55">
        <f t="shared" si="88"/>
        <v>0</v>
      </c>
      <c r="J1294" s="56">
        <v>45918</v>
      </c>
      <c r="K1294" s="57"/>
    </row>
    <row r="1295" spans="1:11" ht="15.75" hidden="1" customHeight="1" x14ac:dyDescent="0.35">
      <c r="A1295" s="47" t="s">
        <v>143</v>
      </c>
      <c r="B1295" s="48" t="s">
        <v>2606</v>
      </c>
      <c r="C1295" s="50" t="s">
        <v>336</v>
      </c>
      <c r="D1295" s="50"/>
      <c r="E1295" s="51">
        <v>904500</v>
      </c>
      <c r="F1295" s="52">
        <f t="shared" si="87"/>
        <v>72360</v>
      </c>
      <c r="G1295" s="53">
        <f t="shared" si="86"/>
        <v>976860</v>
      </c>
      <c r="H1295" s="54">
        <v>976860</v>
      </c>
      <c r="I1295" s="55">
        <f t="shared" si="88"/>
        <v>0</v>
      </c>
      <c r="J1295" s="56">
        <v>45918</v>
      </c>
      <c r="K1295" s="57"/>
    </row>
    <row r="1296" spans="1:11" ht="15.75" hidden="1" customHeight="1" x14ac:dyDescent="0.35">
      <c r="A1296" s="47" t="s">
        <v>86</v>
      </c>
      <c r="B1296" s="48" t="s">
        <v>2606</v>
      </c>
      <c r="C1296" s="50" t="s">
        <v>2322</v>
      </c>
      <c r="D1296" s="50"/>
      <c r="E1296" s="51">
        <v>1737000</v>
      </c>
      <c r="F1296" s="52">
        <f t="shared" si="87"/>
        <v>138960</v>
      </c>
      <c r="G1296" s="53">
        <f t="shared" si="86"/>
        <v>1875960</v>
      </c>
      <c r="H1296" s="54">
        <v>1875960</v>
      </c>
      <c r="I1296" s="55">
        <f t="shared" si="88"/>
        <v>0</v>
      </c>
      <c r="J1296" s="56">
        <v>45918</v>
      </c>
      <c r="K1296" s="57"/>
    </row>
    <row r="1297" spans="1:11" ht="15.75" hidden="1" customHeight="1" x14ac:dyDescent="0.35">
      <c r="A1297" s="47" t="s">
        <v>1585</v>
      </c>
      <c r="B1297" s="48" t="s">
        <v>2606</v>
      </c>
      <c r="C1297" s="50" t="s">
        <v>2323</v>
      </c>
      <c r="D1297" s="50"/>
      <c r="E1297" s="51">
        <v>1737000</v>
      </c>
      <c r="F1297" s="52">
        <f t="shared" si="87"/>
        <v>138960</v>
      </c>
      <c r="G1297" s="53">
        <f t="shared" si="86"/>
        <v>1875960</v>
      </c>
      <c r="H1297" s="54">
        <v>1875960</v>
      </c>
      <c r="I1297" s="55">
        <f t="shared" si="88"/>
        <v>0</v>
      </c>
      <c r="J1297" s="56">
        <v>45894</v>
      </c>
      <c r="K1297" s="57"/>
    </row>
    <row r="1298" spans="1:11" ht="15.75" hidden="1" customHeight="1" x14ac:dyDescent="0.35">
      <c r="A1298" s="47" t="s">
        <v>20</v>
      </c>
      <c r="B1298" s="48" t="s">
        <v>2606</v>
      </c>
      <c r="C1298" s="50" t="s">
        <v>2324</v>
      </c>
      <c r="D1298" s="50"/>
      <c r="E1298" s="51">
        <v>2713500</v>
      </c>
      <c r="F1298" s="52">
        <f t="shared" si="87"/>
        <v>217080</v>
      </c>
      <c r="G1298" s="53">
        <f t="shared" si="86"/>
        <v>2930580</v>
      </c>
      <c r="H1298" s="54">
        <v>2930580</v>
      </c>
      <c r="I1298" s="55">
        <f t="shared" si="88"/>
        <v>0</v>
      </c>
      <c r="J1298" s="56">
        <v>45894</v>
      </c>
      <c r="K1298" s="57"/>
    </row>
    <row r="1299" spans="1:11" ht="15.75" hidden="1" customHeight="1" x14ac:dyDescent="0.35">
      <c r="A1299" s="47" t="s">
        <v>84</v>
      </c>
      <c r="B1299" s="48" t="s">
        <v>2606</v>
      </c>
      <c r="C1299" s="49" t="s">
        <v>2325</v>
      </c>
      <c r="D1299" s="50"/>
      <c r="E1299" s="51">
        <v>904500</v>
      </c>
      <c r="F1299" s="52">
        <f t="shared" si="87"/>
        <v>72360</v>
      </c>
      <c r="G1299" s="53">
        <f t="shared" si="86"/>
        <v>976860</v>
      </c>
      <c r="H1299" s="54">
        <v>976860</v>
      </c>
      <c r="I1299" s="55">
        <f t="shared" si="88"/>
        <v>0</v>
      </c>
      <c r="J1299" s="56">
        <v>45918</v>
      </c>
      <c r="K1299" s="107"/>
    </row>
    <row r="1300" spans="1:11" ht="15.75" hidden="1" customHeight="1" x14ac:dyDescent="0.35">
      <c r="A1300" s="47" t="s">
        <v>53</v>
      </c>
      <c r="B1300" s="48" t="s">
        <v>2606</v>
      </c>
      <c r="C1300" s="50" t="s">
        <v>2326</v>
      </c>
      <c r="D1300" s="50"/>
      <c r="E1300" s="51">
        <v>936000</v>
      </c>
      <c r="F1300" s="52">
        <f t="shared" si="87"/>
        <v>74880</v>
      </c>
      <c r="G1300" s="53">
        <f t="shared" si="86"/>
        <v>1010880</v>
      </c>
      <c r="H1300" s="54">
        <v>1010880</v>
      </c>
      <c r="I1300" s="55">
        <f t="shared" si="88"/>
        <v>0</v>
      </c>
      <c r="J1300" s="56">
        <v>45918</v>
      </c>
      <c r="K1300" s="57"/>
    </row>
    <row r="1301" spans="1:11" ht="15.75" hidden="1" customHeight="1" x14ac:dyDescent="0.35">
      <c r="A1301" s="47" t="s">
        <v>137</v>
      </c>
      <c r="B1301" s="48" t="s">
        <v>2606</v>
      </c>
      <c r="C1301" s="50" t="s">
        <v>2327</v>
      </c>
      <c r="D1301" s="50"/>
      <c r="E1301" s="51">
        <v>1284750</v>
      </c>
      <c r="F1301" s="52">
        <f t="shared" si="87"/>
        <v>102780</v>
      </c>
      <c r="G1301" s="53">
        <f t="shared" si="86"/>
        <v>1387530</v>
      </c>
      <c r="H1301" s="54">
        <v>1387530</v>
      </c>
      <c r="I1301" s="55">
        <f t="shared" si="88"/>
        <v>0</v>
      </c>
      <c r="J1301" s="56">
        <v>45918</v>
      </c>
      <c r="K1301" s="57"/>
    </row>
    <row r="1302" spans="1:11" ht="15.75" hidden="1" customHeight="1" x14ac:dyDescent="0.35">
      <c r="A1302" s="47" t="s">
        <v>46</v>
      </c>
      <c r="B1302" s="48" t="s">
        <v>2606</v>
      </c>
      <c r="C1302" s="50" t="s">
        <v>2328</v>
      </c>
      <c r="D1302" s="50"/>
      <c r="E1302" s="51">
        <v>2569500</v>
      </c>
      <c r="F1302" s="52">
        <f t="shared" si="87"/>
        <v>205560</v>
      </c>
      <c r="G1302" s="53">
        <f t="shared" si="86"/>
        <v>2775060</v>
      </c>
      <c r="H1302" s="54">
        <v>2775060</v>
      </c>
      <c r="I1302" s="55">
        <f t="shared" si="88"/>
        <v>0</v>
      </c>
      <c r="J1302" s="56">
        <v>45918</v>
      </c>
      <c r="K1302" s="57"/>
    </row>
    <row r="1303" spans="1:11" ht="15.75" hidden="1" customHeight="1" x14ac:dyDescent="0.35">
      <c r="A1303" s="47" t="s">
        <v>1413</v>
      </c>
      <c r="B1303" s="48" t="s">
        <v>2606</v>
      </c>
      <c r="C1303" s="50" t="s">
        <v>2329</v>
      </c>
      <c r="D1303" s="50"/>
      <c r="E1303" s="51">
        <v>1458000</v>
      </c>
      <c r="F1303" s="52">
        <f t="shared" si="87"/>
        <v>116640</v>
      </c>
      <c r="G1303" s="53">
        <f t="shared" si="86"/>
        <v>1574640</v>
      </c>
      <c r="H1303" s="54">
        <v>1574640</v>
      </c>
      <c r="I1303" s="55">
        <f t="shared" si="88"/>
        <v>0</v>
      </c>
      <c r="J1303" s="56">
        <v>45918</v>
      </c>
      <c r="K1303" s="57"/>
    </row>
    <row r="1304" spans="1:11" ht="15.75" hidden="1" customHeight="1" x14ac:dyDescent="0.35">
      <c r="A1304" s="47" t="s">
        <v>52</v>
      </c>
      <c r="B1304" s="48" t="s">
        <v>2607</v>
      </c>
      <c r="C1304" s="50" t="s">
        <v>2330</v>
      </c>
      <c r="D1304" s="50"/>
      <c r="E1304" s="51">
        <v>5139000</v>
      </c>
      <c r="F1304" s="52">
        <f t="shared" si="87"/>
        <v>411120</v>
      </c>
      <c r="G1304" s="53">
        <f t="shared" si="86"/>
        <v>5550120</v>
      </c>
      <c r="H1304" s="54">
        <v>5550120</v>
      </c>
      <c r="I1304" s="55">
        <f t="shared" si="88"/>
        <v>0</v>
      </c>
      <c r="J1304" s="56">
        <v>45894</v>
      </c>
      <c r="K1304" s="57"/>
    </row>
    <row r="1305" spans="1:11" ht="15.75" hidden="1" customHeight="1" x14ac:dyDescent="0.35">
      <c r="A1305" s="47" t="s">
        <v>2680</v>
      </c>
      <c r="B1305" s="48" t="s">
        <v>2607</v>
      </c>
      <c r="C1305" s="50" t="s">
        <v>2331</v>
      </c>
      <c r="D1305" s="50"/>
      <c r="E1305" s="51">
        <v>2569500</v>
      </c>
      <c r="F1305" s="52">
        <f t="shared" si="87"/>
        <v>205560</v>
      </c>
      <c r="G1305" s="53">
        <f t="shared" si="86"/>
        <v>2775060</v>
      </c>
      <c r="H1305" s="54">
        <v>2775060</v>
      </c>
      <c r="I1305" s="55">
        <f t="shared" si="88"/>
        <v>0</v>
      </c>
      <c r="J1305" s="56">
        <v>45918</v>
      </c>
      <c r="K1305" s="57"/>
    </row>
    <row r="1306" spans="1:11" ht="15.75" hidden="1" customHeight="1" x14ac:dyDescent="0.35">
      <c r="A1306" s="47" t="s">
        <v>21</v>
      </c>
      <c r="B1306" s="48" t="s">
        <v>2607</v>
      </c>
      <c r="C1306" s="50" t="s">
        <v>2332</v>
      </c>
      <c r="D1306" s="50"/>
      <c r="E1306" s="51">
        <v>729000</v>
      </c>
      <c r="F1306" s="52">
        <f t="shared" si="87"/>
        <v>58320</v>
      </c>
      <c r="G1306" s="53">
        <f t="shared" si="86"/>
        <v>787320</v>
      </c>
      <c r="H1306" s="54">
        <v>787320</v>
      </c>
      <c r="I1306" s="55">
        <f t="shared" si="88"/>
        <v>0</v>
      </c>
      <c r="J1306" s="56">
        <v>45918</v>
      </c>
      <c r="K1306" s="57"/>
    </row>
    <row r="1307" spans="1:11" ht="15.75" hidden="1" customHeight="1" x14ac:dyDescent="0.35">
      <c r="A1307" s="47" t="s">
        <v>55</v>
      </c>
      <c r="B1307" s="48" t="s">
        <v>2607</v>
      </c>
      <c r="C1307" s="50" t="s">
        <v>2333</v>
      </c>
      <c r="D1307" s="50"/>
      <c r="E1307" s="51">
        <v>2569500</v>
      </c>
      <c r="F1307" s="52">
        <f t="shared" si="87"/>
        <v>205560</v>
      </c>
      <c r="G1307" s="53">
        <f t="shared" si="86"/>
        <v>2775060</v>
      </c>
      <c r="H1307" s="54">
        <v>2775060</v>
      </c>
      <c r="I1307" s="55">
        <f t="shared" si="88"/>
        <v>0</v>
      </c>
      <c r="J1307" s="56">
        <v>45894</v>
      </c>
      <c r="K1307" s="57"/>
    </row>
    <row r="1308" spans="1:11" ht="15.75" hidden="1" customHeight="1" x14ac:dyDescent="0.35">
      <c r="A1308" s="47" t="s">
        <v>44</v>
      </c>
      <c r="B1308" s="48" t="s">
        <v>2607</v>
      </c>
      <c r="C1308" s="50" t="s">
        <v>843</v>
      </c>
      <c r="D1308" s="50"/>
      <c r="E1308" s="51">
        <v>2569500</v>
      </c>
      <c r="F1308" s="52">
        <f t="shared" si="87"/>
        <v>205560</v>
      </c>
      <c r="G1308" s="53">
        <f t="shared" si="86"/>
        <v>2775060</v>
      </c>
      <c r="H1308" s="54">
        <v>2775060</v>
      </c>
      <c r="I1308" s="55">
        <f t="shared" si="88"/>
        <v>0</v>
      </c>
      <c r="J1308" s="56">
        <v>45918</v>
      </c>
      <c r="K1308" s="57"/>
    </row>
    <row r="1309" spans="1:11" ht="15.75" hidden="1" customHeight="1" x14ac:dyDescent="0.35">
      <c r="A1309" s="47" t="s">
        <v>38</v>
      </c>
      <c r="B1309" s="48" t="s">
        <v>2607</v>
      </c>
      <c r="C1309" s="50" t="s">
        <v>2334</v>
      </c>
      <c r="D1309" s="50"/>
      <c r="E1309" s="51">
        <v>2569500</v>
      </c>
      <c r="F1309" s="52">
        <f t="shared" si="87"/>
        <v>205560</v>
      </c>
      <c r="G1309" s="53">
        <f t="shared" si="86"/>
        <v>2775060</v>
      </c>
      <c r="H1309" s="54">
        <v>2775060</v>
      </c>
      <c r="I1309" s="55">
        <f t="shared" si="88"/>
        <v>0</v>
      </c>
      <c r="J1309" s="56">
        <v>45918</v>
      </c>
      <c r="K1309" s="57"/>
    </row>
    <row r="1310" spans="1:11" ht="15.75" hidden="1" customHeight="1" x14ac:dyDescent="0.35">
      <c r="A1310" s="47" t="s">
        <v>37</v>
      </c>
      <c r="B1310" s="48" t="s">
        <v>2607</v>
      </c>
      <c r="C1310" s="50" t="s">
        <v>2335</v>
      </c>
      <c r="D1310" s="50"/>
      <c r="E1310" s="51">
        <v>1633500</v>
      </c>
      <c r="F1310" s="52">
        <f t="shared" si="87"/>
        <v>130680</v>
      </c>
      <c r="G1310" s="53">
        <f t="shared" si="86"/>
        <v>1764180</v>
      </c>
      <c r="H1310" s="54">
        <v>1764180</v>
      </c>
      <c r="I1310" s="55">
        <f t="shared" si="88"/>
        <v>0</v>
      </c>
      <c r="J1310" s="56">
        <v>45918</v>
      </c>
      <c r="K1310" s="57"/>
    </row>
    <row r="1311" spans="1:11" ht="15.75" hidden="1" customHeight="1" x14ac:dyDescent="0.35">
      <c r="A1311" s="47" t="s">
        <v>127</v>
      </c>
      <c r="B1311" s="48" t="s">
        <v>2608</v>
      </c>
      <c r="C1311" s="50" t="s">
        <v>2336</v>
      </c>
      <c r="D1311" s="50"/>
      <c r="E1311" s="51">
        <v>3474000</v>
      </c>
      <c r="F1311" s="52">
        <f t="shared" si="87"/>
        <v>277920</v>
      </c>
      <c r="G1311" s="53">
        <f t="shared" si="86"/>
        <v>3751920</v>
      </c>
      <c r="H1311" s="54">
        <v>3751920</v>
      </c>
      <c r="I1311" s="55">
        <f t="shared" si="88"/>
        <v>0</v>
      </c>
      <c r="J1311" s="56">
        <v>45894</v>
      </c>
      <c r="K1311" s="57"/>
    </row>
    <row r="1312" spans="1:11" ht="15.75" hidden="1" customHeight="1" x14ac:dyDescent="0.35">
      <c r="A1312" s="47" t="s">
        <v>19</v>
      </c>
      <c r="B1312" s="48" t="s">
        <v>2608</v>
      </c>
      <c r="C1312" s="50" t="s">
        <v>2337</v>
      </c>
      <c r="D1312" s="50"/>
      <c r="E1312" s="51">
        <v>4410000</v>
      </c>
      <c r="F1312" s="52">
        <f t="shared" si="87"/>
        <v>352800</v>
      </c>
      <c r="G1312" s="53">
        <f t="shared" si="86"/>
        <v>4762800</v>
      </c>
      <c r="H1312" s="54">
        <v>4762800</v>
      </c>
      <c r="I1312" s="55">
        <f t="shared" si="88"/>
        <v>0</v>
      </c>
      <c r="J1312" s="56">
        <v>45894</v>
      </c>
      <c r="K1312" s="57"/>
    </row>
    <row r="1313" spans="1:11" ht="15.75" hidden="1" customHeight="1" x14ac:dyDescent="0.35">
      <c r="A1313" s="47" t="s">
        <v>41</v>
      </c>
      <c r="B1313" s="48" t="s">
        <v>2608</v>
      </c>
      <c r="C1313" s="50" t="s">
        <v>2338</v>
      </c>
      <c r="D1313" s="50"/>
      <c r="E1313" s="51">
        <v>1840500</v>
      </c>
      <c r="F1313" s="52">
        <f t="shared" si="87"/>
        <v>147240</v>
      </c>
      <c r="G1313" s="53">
        <f t="shared" si="86"/>
        <v>1987740</v>
      </c>
      <c r="H1313" s="54">
        <v>1987740</v>
      </c>
      <c r="I1313" s="55">
        <f t="shared" si="88"/>
        <v>0</v>
      </c>
      <c r="J1313" s="56">
        <v>45918</v>
      </c>
      <c r="K1313" s="57"/>
    </row>
    <row r="1314" spans="1:11" ht="15.75" hidden="1" customHeight="1" x14ac:dyDescent="0.35">
      <c r="A1314" s="47" t="s">
        <v>2683</v>
      </c>
      <c r="B1314" s="48" t="s">
        <v>2608</v>
      </c>
      <c r="C1314" s="50" t="s">
        <v>2339</v>
      </c>
      <c r="D1314" s="50"/>
      <c r="E1314" s="51">
        <v>2745000</v>
      </c>
      <c r="F1314" s="52">
        <f t="shared" si="87"/>
        <v>219600</v>
      </c>
      <c r="G1314" s="53">
        <f t="shared" si="86"/>
        <v>2964600</v>
      </c>
      <c r="H1314" s="54">
        <v>2964600</v>
      </c>
      <c r="I1314" s="55">
        <f t="shared" si="88"/>
        <v>0</v>
      </c>
      <c r="J1314" s="56">
        <v>45918</v>
      </c>
      <c r="K1314" s="57"/>
    </row>
    <row r="1315" spans="1:11" ht="15.75" hidden="1" customHeight="1" x14ac:dyDescent="0.35">
      <c r="A1315" s="47" t="s">
        <v>2684</v>
      </c>
      <c r="B1315" s="48" t="s">
        <v>2608</v>
      </c>
      <c r="C1315" s="50" t="s">
        <v>2340</v>
      </c>
      <c r="D1315" s="50"/>
      <c r="E1315" s="51">
        <v>1840500</v>
      </c>
      <c r="F1315" s="52">
        <f t="shared" si="87"/>
        <v>147240</v>
      </c>
      <c r="G1315" s="53">
        <f t="shared" si="86"/>
        <v>1987740</v>
      </c>
      <c r="H1315" s="54">
        <v>1987740</v>
      </c>
      <c r="I1315" s="55">
        <f t="shared" si="88"/>
        <v>0</v>
      </c>
      <c r="J1315" s="56">
        <v>45918</v>
      </c>
      <c r="K1315" s="57"/>
    </row>
    <row r="1316" spans="1:11" ht="15.75" hidden="1" customHeight="1" x14ac:dyDescent="0.35">
      <c r="A1316" s="47" t="s">
        <v>2685</v>
      </c>
      <c r="B1316" s="48" t="s">
        <v>2608</v>
      </c>
      <c r="C1316" s="50" t="s">
        <v>2341</v>
      </c>
      <c r="D1316" s="50"/>
      <c r="E1316" s="51">
        <v>904500</v>
      </c>
      <c r="F1316" s="52">
        <f t="shared" si="87"/>
        <v>72360</v>
      </c>
      <c r="G1316" s="53">
        <f t="shared" si="86"/>
        <v>976860</v>
      </c>
      <c r="H1316" s="53">
        <v>976860</v>
      </c>
      <c r="I1316" s="55">
        <f t="shared" si="88"/>
        <v>0</v>
      </c>
      <c r="J1316" s="56">
        <v>45918</v>
      </c>
      <c r="K1316" s="57"/>
    </row>
    <row r="1317" spans="1:11" ht="15.75" hidden="1" customHeight="1" x14ac:dyDescent="0.35">
      <c r="A1317" s="47" t="s">
        <v>100</v>
      </c>
      <c r="B1317" s="48" t="s">
        <v>2608</v>
      </c>
      <c r="C1317" s="50" t="s">
        <v>2342</v>
      </c>
      <c r="D1317" s="50"/>
      <c r="E1317" s="51">
        <v>1633500</v>
      </c>
      <c r="F1317" s="52">
        <f t="shared" si="87"/>
        <v>130680</v>
      </c>
      <c r="G1317" s="53">
        <f t="shared" si="86"/>
        <v>1764180</v>
      </c>
      <c r="H1317" s="54">
        <v>1764180</v>
      </c>
      <c r="I1317" s="55">
        <f t="shared" si="88"/>
        <v>0</v>
      </c>
      <c r="J1317" s="56">
        <v>45918</v>
      </c>
      <c r="K1317" s="57"/>
    </row>
    <row r="1318" spans="1:11" ht="15.75" hidden="1" customHeight="1" x14ac:dyDescent="0.35">
      <c r="A1318" s="47" t="s">
        <v>2686</v>
      </c>
      <c r="B1318" s="48" t="s">
        <v>2608</v>
      </c>
      <c r="C1318" s="50" t="s">
        <v>2343</v>
      </c>
      <c r="D1318" s="50"/>
      <c r="E1318" s="51">
        <v>1284750</v>
      </c>
      <c r="F1318" s="52">
        <f t="shared" si="87"/>
        <v>102780</v>
      </c>
      <c r="G1318" s="53">
        <f t="shared" si="86"/>
        <v>1387530</v>
      </c>
      <c r="H1318" s="54">
        <v>1387530</v>
      </c>
      <c r="I1318" s="55">
        <f t="shared" si="88"/>
        <v>0</v>
      </c>
      <c r="J1318" s="56">
        <v>45918</v>
      </c>
      <c r="K1318" s="57"/>
    </row>
    <row r="1319" spans="1:11" ht="15.75" hidden="1" customHeight="1" x14ac:dyDescent="0.35">
      <c r="A1319" s="47" t="s">
        <v>56</v>
      </c>
      <c r="B1319" s="48" t="s">
        <v>2608</v>
      </c>
      <c r="C1319" s="50" t="s">
        <v>2344</v>
      </c>
      <c r="D1319" s="50"/>
      <c r="E1319" s="51">
        <v>1840500</v>
      </c>
      <c r="F1319" s="52">
        <f t="shared" si="87"/>
        <v>147240</v>
      </c>
      <c r="G1319" s="53">
        <f t="shared" si="86"/>
        <v>1987740</v>
      </c>
      <c r="H1319" s="54">
        <v>1987740</v>
      </c>
      <c r="I1319" s="55">
        <f t="shared" si="88"/>
        <v>0</v>
      </c>
      <c r="J1319" s="56">
        <v>45918</v>
      </c>
      <c r="K1319" s="57"/>
    </row>
    <row r="1320" spans="1:11" ht="15.75" hidden="1" customHeight="1" x14ac:dyDescent="0.35">
      <c r="A1320" s="47" t="s">
        <v>2687</v>
      </c>
      <c r="B1320" s="48" t="s">
        <v>2609</v>
      </c>
      <c r="C1320" s="50" t="s">
        <v>347</v>
      </c>
      <c r="D1320" s="50"/>
      <c r="E1320" s="51">
        <v>904500</v>
      </c>
      <c r="F1320" s="52">
        <f t="shared" si="87"/>
        <v>72360</v>
      </c>
      <c r="G1320" s="53">
        <f t="shared" si="86"/>
        <v>976860</v>
      </c>
      <c r="H1320" s="54">
        <v>976860</v>
      </c>
      <c r="I1320" s="55">
        <f t="shared" si="88"/>
        <v>0</v>
      </c>
      <c r="J1320" s="56">
        <v>45918</v>
      </c>
      <c r="K1320" s="57"/>
    </row>
    <row r="1321" spans="1:11" ht="15.75" hidden="1" customHeight="1" x14ac:dyDescent="0.35">
      <c r="A1321" s="47" t="s">
        <v>54</v>
      </c>
      <c r="B1321" s="48" t="s">
        <v>2609</v>
      </c>
      <c r="C1321" s="50" t="s">
        <v>357</v>
      </c>
      <c r="D1321" s="50"/>
      <c r="E1321" s="51">
        <v>1665000</v>
      </c>
      <c r="F1321" s="52">
        <f t="shared" si="87"/>
        <v>133200</v>
      </c>
      <c r="G1321" s="53">
        <f t="shared" si="86"/>
        <v>1798200</v>
      </c>
      <c r="H1321" s="54">
        <v>1798200</v>
      </c>
      <c r="I1321" s="55">
        <f t="shared" si="88"/>
        <v>0</v>
      </c>
      <c r="J1321" s="56">
        <v>45894</v>
      </c>
      <c r="K1321" s="57"/>
    </row>
    <row r="1322" spans="1:11" ht="15.75" hidden="1" customHeight="1" x14ac:dyDescent="0.35">
      <c r="A1322" s="47" t="s">
        <v>2688</v>
      </c>
      <c r="B1322" s="48" t="s">
        <v>2609</v>
      </c>
      <c r="C1322" s="50" t="s">
        <v>2345</v>
      </c>
      <c r="D1322" s="50"/>
      <c r="E1322" s="51">
        <v>1809000</v>
      </c>
      <c r="F1322" s="52">
        <f t="shared" si="87"/>
        <v>144720</v>
      </c>
      <c r="G1322" s="53">
        <f t="shared" si="86"/>
        <v>1953720</v>
      </c>
      <c r="H1322" s="54">
        <v>1953720</v>
      </c>
      <c r="I1322" s="55">
        <f t="shared" si="88"/>
        <v>0</v>
      </c>
      <c r="J1322" s="56">
        <v>45894</v>
      </c>
      <c r="K1322" s="57"/>
    </row>
    <row r="1323" spans="1:11" ht="15.75" hidden="1" customHeight="1" x14ac:dyDescent="0.35">
      <c r="A1323" s="47" t="s">
        <v>2688</v>
      </c>
      <c r="B1323" s="48" t="s">
        <v>2610</v>
      </c>
      <c r="C1323" s="50" t="s">
        <v>850</v>
      </c>
      <c r="D1323" s="50"/>
      <c r="E1323" s="51">
        <v>1872000</v>
      </c>
      <c r="F1323" s="52">
        <f t="shared" si="87"/>
        <v>149760</v>
      </c>
      <c r="G1323" s="53">
        <f t="shared" si="86"/>
        <v>2021760</v>
      </c>
      <c r="H1323" s="54">
        <v>2021760</v>
      </c>
      <c r="I1323" s="55">
        <f t="shared" si="88"/>
        <v>0</v>
      </c>
      <c r="J1323" s="56">
        <v>45894</v>
      </c>
      <c r="K1323" s="57"/>
    </row>
    <row r="1324" spans="1:11" ht="15.75" hidden="1" customHeight="1" x14ac:dyDescent="0.35">
      <c r="A1324" s="47" t="s">
        <v>83</v>
      </c>
      <c r="B1324" s="48" t="s">
        <v>2610</v>
      </c>
      <c r="C1324" s="50" t="s">
        <v>2346</v>
      </c>
      <c r="D1324" s="50"/>
      <c r="E1324" s="51">
        <v>1840500</v>
      </c>
      <c r="F1324" s="52">
        <f t="shared" si="87"/>
        <v>147240</v>
      </c>
      <c r="G1324" s="53">
        <f t="shared" si="86"/>
        <v>1987740</v>
      </c>
      <c r="H1324" s="54">
        <v>1987740</v>
      </c>
      <c r="I1324" s="55">
        <f t="shared" si="88"/>
        <v>0</v>
      </c>
      <c r="J1324" s="56">
        <v>45918</v>
      </c>
      <c r="K1324" s="57"/>
    </row>
    <row r="1325" spans="1:11" ht="15.75" hidden="1" customHeight="1" x14ac:dyDescent="0.35">
      <c r="A1325" s="47" t="s">
        <v>2689</v>
      </c>
      <c r="B1325" s="48" t="s">
        <v>2610</v>
      </c>
      <c r="C1325" s="50" t="s">
        <v>2347</v>
      </c>
      <c r="D1325" s="50"/>
      <c r="E1325" s="51">
        <v>904500</v>
      </c>
      <c r="F1325" s="52">
        <f t="shared" si="87"/>
        <v>72360</v>
      </c>
      <c r="G1325" s="53">
        <f t="shared" si="86"/>
        <v>976860</v>
      </c>
      <c r="H1325" s="54">
        <v>976860</v>
      </c>
      <c r="I1325" s="55">
        <f t="shared" si="88"/>
        <v>0</v>
      </c>
      <c r="J1325" s="56">
        <v>45918</v>
      </c>
      <c r="K1325" s="57"/>
    </row>
    <row r="1326" spans="1:11" ht="15.75" hidden="1" customHeight="1" x14ac:dyDescent="0.35">
      <c r="A1326" s="47" t="s">
        <v>2690</v>
      </c>
      <c r="B1326" s="48" t="s">
        <v>2610</v>
      </c>
      <c r="C1326" s="50" t="s">
        <v>2348</v>
      </c>
      <c r="D1326" s="50"/>
      <c r="E1326" s="51">
        <v>1633500</v>
      </c>
      <c r="F1326" s="52">
        <f t="shared" si="87"/>
        <v>130680</v>
      </c>
      <c r="G1326" s="53">
        <f t="shared" si="86"/>
        <v>1764180</v>
      </c>
      <c r="H1326" s="54">
        <v>1764180</v>
      </c>
      <c r="I1326" s="55">
        <f t="shared" si="88"/>
        <v>0</v>
      </c>
      <c r="J1326" s="56">
        <v>45918</v>
      </c>
      <c r="K1326" s="57"/>
    </row>
    <row r="1327" spans="1:11" ht="15.75" hidden="1" customHeight="1" x14ac:dyDescent="0.35">
      <c r="A1327" s="47" t="s">
        <v>2691</v>
      </c>
      <c r="B1327" s="48" t="s">
        <v>2610</v>
      </c>
      <c r="C1327" s="50" t="s">
        <v>2349</v>
      </c>
      <c r="D1327" s="50"/>
      <c r="E1327" s="51">
        <v>1284750</v>
      </c>
      <c r="F1327" s="52">
        <f t="shared" si="87"/>
        <v>102780</v>
      </c>
      <c r="G1327" s="53">
        <f t="shared" si="86"/>
        <v>1387530</v>
      </c>
      <c r="H1327" s="54">
        <v>1387530</v>
      </c>
      <c r="I1327" s="55">
        <f t="shared" si="88"/>
        <v>0</v>
      </c>
      <c r="J1327" s="56">
        <v>45918</v>
      </c>
      <c r="K1327" s="57"/>
    </row>
    <row r="1328" spans="1:11" ht="15.75" hidden="1" customHeight="1" x14ac:dyDescent="0.35">
      <c r="A1328" s="47" t="s">
        <v>212</v>
      </c>
      <c r="B1328" s="48" t="s">
        <v>2610</v>
      </c>
      <c r="C1328" s="50" t="s">
        <v>2350</v>
      </c>
      <c r="D1328" s="50"/>
      <c r="E1328" s="51">
        <v>1372500</v>
      </c>
      <c r="F1328" s="52">
        <f t="shared" si="87"/>
        <v>109800</v>
      </c>
      <c r="G1328" s="53">
        <f t="shared" si="86"/>
        <v>1482300</v>
      </c>
      <c r="H1328" s="54">
        <v>1482300</v>
      </c>
      <c r="I1328" s="55">
        <f t="shared" si="88"/>
        <v>0</v>
      </c>
      <c r="J1328" s="56">
        <v>45894</v>
      </c>
      <c r="K1328" s="57"/>
    </row>
    <row r="1329" spans="1:11" ht="15.75" hidden="1" customHeight="1" x14ac:dyDescent="0.35">
      <c r="A1329" s="47" t="s">
        <v>49</v>
      </c>
      <c r="B1329" s="48" t="s">
        <v>2611</v>
      </c>
      <c r="C1329" s="50" t="s">
        <v>2351</v>
      </c>
      <c r="D1329" s="50"/>
      <c r="E1329" s="51">
        <v>9517500</v>
      </c>
      <c r="F1329" s="52">
        <f t="shared" si="87"/>
        <v>761400</v>
      </c>
      <c r="G1329" s="53">
        <f t="shared" si="86"/>
        <v>10278900</v>
      </c>
      <c r="H1329" s="54">
        <v>10278900</v>
      </c>
      <c r="I1329" s="55">
        <f t="shared" si="88"/>
        <v>0</v>
      </c>
      <c r="J1329" s="56">
        <v>45894</v>
      </c>
      <c r="K1329" s="57"/>
    </row>
    <row r="1330" spans="1:11" ht="15.75" hidden="1" customHeight="1" x14ac:dyDescent="0.35">
      <c r="A1330" s="47" t="s">
        <v>2692</v>
      </c>
      <c r="B1330" s="48" t="s">
        <v>2611</v>
      </c>
      <c r="C1330" s="49" t="s">
        <v>2352</v>
      </c>
      <c r="D1330" s="50"/>
      <c r="E1330" s="51">
        <v>1840500</v>
      </c>
      <c r="F1330" s="52">
        <f t="shared" si="87"/>
        <v>147240</v>
      </c>
      <c r="G1330" s="53">
        <f t="shared" si="86"/>
        <v>1987740</v>
      </c>
      <c r="H1330" s="54">
        <v>1987740</v>
      </c>
      <c r="I1330" s="55">
        <f t="shared" si="88"/>
        <v>0</v>
      </c>
      <c r="J1330" s="56">
        <v>45918</v>
      </c>
      <c r="K1330" s="57"/>
    </row>
    <row r="1331" spans="1:11" ht="15.75" hidden="1" customHeight="1" x14ac:dyDescent="0.35">
      <c r="A1331" s="47" t="s">
        <v>2693</v>
      </c>
      <c r="B1331" s="48" t="s">
        <v>2611</v>
      </c>
      <c r="C1331" s="50" t="s">
        <v>855</v>
      </c>
      <c r="D1331" s="50"/>
      <c r="E1331" s="51">
        <v>920250</v>
      </c>
      <c r="F1331" s="52">
        <f t="shared" si="87"/>
        <v>73620</v>
      </c>
      <c r="G1331" s="53">
        <f t="shared" si="86"/>
        <v>993870</v>
      </c>
      <c r="H1331" s="54">
        <v>993870</v>
      </c>
      <c r="I1331" s="55">
        <f t="shared" si="88"/>
        <v>0</v>
      </c>
      <c r="J1331" s="56">
        <v>45918</v>
      </c>
      <c r="K1331" s="57"/>
    </row>
    <row r="1332" spans="1:11" ht="15.75" hidden="1" customHeight="1" x14ac:dyDescent="0.35">
      <c r="A1332" s="47" t="s">
        <v>2694</v>
      </c>
      <c r="B1332" s="48" t="s">
        <v>2611</v>
      </c>
      <c r="C1332" s="50" t="s">
        <v>2353</v>
      </c>
      <c r="D1332" s="50"/>
      <c r="E1332" s="51">
        <v>1269000</v>
      </c>
      <c r="F1332" s="52">
        <f t="shared" si="87"/>
        <v>101520</v>
      </c>
      <c r="G1332" s="53">
        <f t="shared" si="86"/>
        <v>1370520</v>
      </c>
      <c r="H1332" s="54">
        <v>1370520</v>
      </c>
      <c r="I1332" s="55">
        <f t="shared" si="88"/>
        <v>0</v>
      </c>
      <c r="J1332" s="56">
        <v>45978</v>
      </c>
      <c r="K1332" s="57"/>
    </row>
    <row r="1333" spans="1:11" ht="15.75" hidden="1" customHeight="1" x14ac:dyDescent="0.35">
      <c r="A1333" s="47" t="s">
        <v>2695</v>
      </c>
      <c r="B1333" s="48" t="s">
        <v>2612</v>
      </c>
      <c r="C1333" s="50" t="s">
        <v>2354</v>
      </c>
      <c r="D1333" s="50"/>
      <c r="E1333" s="51">
        <v>4410000</v>
      </c>
      <c r="F1333" s="52">
        <f t="shared" si="87"/>
        <v>352800</v>
      </c>
      <c r="G1333" s="53">
        <f t="shared" si="86"/>
        <v>4762800</v>
      </c>
      <c r="H1333" s="54">
        <v>4762800</v>
      </c>
      <c r="I1333" s="55">
        <f t="shared" si="88"/>
        <v>0</v>
      </c>
      <c r="J1333" s="56">
        <v>45894</v>
      </c>
      <c r="K1333" s="57"/>
    </row>
    <row r="1334" spans="1:11" ht="15.75" hidden="1" customHeight="1" x14ac:dyDescent="0.35">
      <c r="A1334" s="47" t="s">
        <v>2696</v>
      </c>
      <c r="B1334" s="48" t="s">
        <v>2612</v>
      </c>
      <c r="C1334" s="50" t="s">
        <v>2355</v>
      </c>
      <c r="D1334" s="50"/>
      <c r="E1334" s="51">
        <v>920250</v>
      </c>
      <c r="F1334" s="52">
        <f t="shared" si="87"/>
        <v>73620</v>
      </c>
      <c r="G1334" s="53">
        <f t="shared" si="86"/>
        <v>993870</v>
      </c>
      <c r="H1334" s="54">
        <v>993870</v>
      </c>
      <c r="I1334" s="55">
        <f t="shared" si="88"/>
        <v>0</v>
      </c>
      <c r="J1334" s="56">
        <v>45978</v>
      </c>
      <c r="K1334" s="57"/>
    </row>
    <row r="1335" spans="1:11" ht="15.75" hidden="1" customHeight="1" x14ac:dyDescent="0.35">
      <c r="A1335" s="47" t="s">
        <v>2697</v>
      </c>
      <c r="B1335" s="48" t="s">
        <v>2612</v>
      </c>
      <c r="C1335" s="50" t="s">
        <v>2356</v>
      </c>
      <c r="D1335" s="50"/>
      <c r="E1335" s="51">
        <v>2569500</v>
      </c>
      <c r="F1335" s="52">
        <f t="shared" si="87"/>
        <v>205560</v>
      </c>
      <c r="G1335" s="53">
        <f t="shared" ref="G1335:G1398" si="89">E1335+F1335</f>
        <v>2775060</v>
      </c>
      <c r="H1335" s="54">
        <v>2775060</v>
      </c>
      <c r="I1335" s="55">
        <f t="shared" si="88"/>
        <v>0</v>
      </c>
      <c r="J1335" s="56">
        <v>45918</v>
      </c>
      <c r="K1335" s="57"/>
    </row>
    <row r="1336" spans="1:11" ht="15.75" hidden="1" customHeight="1" x14ac:dyDescent="0.35">
      <c r="A1336" s="47" t="s">
        <v>2698</v>
      </c>
      <c r="B1336" s="48" t="s">
        <v>2613</v>
      </c>
      <c r="C1336" s="50" t="s">
        <v>2357</v>
      </c>
      <c r="D1336" s="50"/>
      <c r="E1336" s="51">
        <v>810000</v>
      </c>
      <c r="F1336" s="52">
        <f t="shared" ref="F1336:F1399" si="90">+E1336*0.08</f>
        <v>64800</v>
      </c>
      <c r="G1336" s="53">
        <f t="shared" si="89"/>
        <v>874800</v>
      </c>
      <c r="H1336" s="54">
        <v>874800</v>
      </c>
      <c r="I1336" s="55">
        <f t="shared" ref="I1336:I1399" si="91">G1336-H1336</f>
        <v>0</v>
      </c>
      <c r="J1336" s="56">
        <v>45918</v>
      </c>
      <c r="K1336" s="57"/>
    </row>
    <row r="1337" spans="1:11" ht="15.75" hidden="1" customHeight="1" x14ac:dyDescent="0.35">
      <c r="A1337" s="47" t="s">
        <v>2699</v>
      </c>
      <c r="B1337" s="48" t="s">
        <v>2613</v>
      </c>
      <c r="C1337" s="50" t="s">
        <v>2358</v>
      </c>
      <c r="D1337" s="50"/>
      <c r="E1337" s="51">
        <v>3505500</v>
      </c>
      <c r="F1337" s="52">
        <f t="shared" si="90"/>
        <v>280440</v>
      </c>
      <c r="G1337" s="53">
        <f t="shared" si="89"/>
        <v>3785940</v>
      </c>
      <c r="H1337" s="54">
        <v>3785940</v>
      </c>
      <c r="I1337" s="55">
        <f t="shared" si="91"/>
        <v>0</v>
      </c>
      <c r="J1337" s="56">
        <v>45894</v>
      </c>
      <c r="K1337" s="57"/>
    </row>
    <row r="1338" spans="1:11" ht="15.75" hidden="1" customHeight="1" x14ac:dyDescent="0.35">
      <c r="A1338" s="47" t="s">
        <v>24</v>
      </c>
      <c r="B1338" s="48" t="s">
        <v>2614</v>
      </c>
      <c r="C1338" s="50" t="s">
        <v>2359</v>
      </c>
      <c r="D1338" s="50"/>
      <c r="E1338" s="51">
        <v>1005000</v>
      </c>
      <c r="F1338" s="52">
        <f t="shared" si="90"/>
        <v>80400</v>
      </c>
      <c r="G1338" s="53">
        <f t="shared" si="89"/>
        <v>1085400</v>
      </c>
      <c r="H1338" s="54">
        <v>1085400</v>
      </c>
      <c r="I1338" s="55">
        <f t="shared" si="91"/>
        <v>0</v>
      </c>
      <c r="J1338" s="56">
        <v>45894</v>
      </c>
      <c r="K1338" s="57"/>
    </row>
    <row r="1339" spans="1:11" ht="15.75" hidden="1" customHeight="1" x14ac:dyDescent="0.35">
      <c r="A1339" s="47" t="s">
        <v>2691</v>
      </c>
      <c r="B1339" s="48" t="s">
        <v>2614</v>
      </c>
      <c r="C1339" s="50" t="s">
        <v>2360</v>
      </c>
      <c r="D1339" s="50"/>
      <c r="E1339" s="51">
        <v>1225000</v>
      </c>
      <c r="F1339" s="52">
        <f t="shared" si="90"/>
        <v>98000</v>
      </c>
      <c r="G1339" s="53">
        <f t="shared" si="89"/>
        <v>1323000</v>
      </c>
      <c r="H1339" s="54">
        <v>1323000</v>
      </c>
      <c r="I1339" s="55">
        <f t="shared" si="91"/>
        <v>0</v>
      </c>
      <c r="J1339" s="56">
        <v>45918</v>
      </c>
      <c r="K1339" s="57"/>
    </row>
    <row r="1340" spans="1:11" ht="15.75" hidden="1" customHeight="1" x14ac:dyDescent="0.35">
      <c r="A1340" s="47" t="s">
        <v>2678</v>
      </c>
      <c r="B1340" s="48" t="s">
        <v>2614</v>
      </c>
      <c r="C1340" s="50" t="s">
        <v>2361</v>
      </c>
      <c r="D1340" s="50"/>
      <c r="E1340" s="51">
        <v>1427500</v>
      </c>
      <c r="F1340" s="52">
        <f t="shared" si="90"/>
        <v>114200</v>
      </c>
      <c r="G1340" s="53">
        <f t="shared" si="89"/>
        <v>1541700</v>
      </c>
      <c r="H1340" s="54">
        <v>1541700</v>
      </c>
      <c r="I1340" s="55">
        <f t="shared" si="91"/>
        <v>0</v>
      </c>
      <c r="J1340" s="56">
        <v>45918</v>
      </c>
      <c r="K1340" s="57"/>
    </row>
    <row r="1341" spans="1:11" ht="15.75" hidden="1" customHeight="1" x14ac:dyDescent="0.35">
      <c r="A1341" s="47" t="s">
        <v>2700</v>
      </c>
      <c r="B1341" s="48" t="s">
        <v>2614</v>
      </c>
      <c r="C1341" s="50" t="s">
        <v>2362</v>
      </c>
      <c r="D1341" s="50"/>
      <c r="E1341" s="51">
        <v>520000</v>
      </c>
      <c r="F1341" s="52">
        <f t="shared" si="90"/>
        <v>41600</v>
      </c>
      <c r="G1341" s="53">
        <f t="shared" si="89"/>
        <v>561600</v>
      </c>
      <c r="H1341" s="54">
        <v>561600</v>
      </c>
      <c r="I1341" s="55">
        <f t="shared" si="91"/>
        <v>0</v>
      </c>
      <c r="J1341" s="56">
        <v>45918</v>
      </c>
      <c r="K1341" s="57"/>
    </row>
    <row r="1342" spans="1:11" ht="15.75" hidden="1" customHeight="1" x14ac:dyDescent="0.35">
      <c r="A1342" s="47" t="s">
        <v>2701</v>
      </c>
      <c r="B1342" s="48" t="s">
        <v>2614</v>
      </c>
      <c r="C1342" s="50" t="s">
        <v>2363</v>
      </c>
      <c r="D1342" s="50"/>
      <c r="E1342" s="51">
        <v>405000</v>
      </c>
      <c r="F1342" s="52">
        <f t="shared" si="90"/>
        <v>32400</v>
      </c>
      <c r="G1342" s="53">
        <f t="shared" si="89"/>
        <v>437400</v>
      </c>
      <c r="H1342" s="54">
        <v>437400</v>
      </c>
      <c r="I1342" s="55">
        <f t="shared" si="91"/>
        <v>0</v>
      </c>
      <c r="J1342" s="56">
        <v>45894</v>
      </c>
      <c r="K1342" s="57"/>
    </row>
    <row r="1343" spans="1:11" ht="15.75" hidden="1" customHeight="1" x14ac:dyDescent="0.35">
      <c r="A1343" s="47" t="s">
        <v>2702</v>
      </c>
      <c r="B1343" s="48" t="s">
        <v>2615</v>
      </c>
      <c r="C1343" s="50" t="s">
        <v>2364</v>
      </c>
      <c r="D1343" s="50"/>
      <c r="E1343" s="51">
        <v>810000</v>
      </c>
      <c r="F1343" s="52">
        <f t="shared" si="90"/>
        <v>64800</v>
      </c>
      <c r="G1343" s="53">
        <f t="shared" si="89"/>
        <v>874800</v>
      </c>
      <c r="H1343" s="54">
        <v>874800</v>
      </c>
      <c r="I1343" s="55">
        <f t="shared" si="91"/>
        <v>0</v>
      </c>
      <c r="J1343" s="56">
        <v>45918</v>
      </c>
      <c r="K1343" s="57"/>
    </row>
    <row r="1344" spans="1:11" ht="15.75" hidden="1" customHeight="1" x14ac:dyDescent="0.35">
      <c r="A1344" s="47" t="s">
        <v>2703</v>
      </c>
      <c r="B1344" s="48" t="s">
        <v>2615</v>
      </c>
      <c r="C1344" s="50" t="s">
        <v>2365</v>
      </c>
      <c r="D1344" s="50"/>
      <c r="E1344" s="51">
        <v>502500</v>
      </c>
      <c r="F1344" s="52">
        <f t="shared" si="90"/>
        <v>40200</v>
      </c>
      <c r="G1344" s="53">
        <f t="shared" si="89"/>
        <v>542700</v>
      </c>
      <c r="H1344" s="54">
        <v>542700</v>
      </c>
      <c r="I1344" s="55">
        <f t="shared" si="91"/>
        <v>0</v>
      </c>
      <c r="J1344" s="56">
        <v>45918</v>
      </c>
      <c r="K1344" s="57"/>
    </row>
    <row r="1345" spans="1:11" ht="15.75" hidden="1" customHeight="1" x14ac:dyDescent="0.35">
      <c r="A1345" s="47" t="s">
        <v>2704</v>
      </c>
      <c r="B1345" s="48" t="s">
        <v>2615</v>
      </c>
      <c r="C1345" s="50" t="s">
        <v>2366</v>
      </c>
      <c r="D1345" s="50"/>
      <c r="E1345" s="51">
        <v>2010000</v>
      </c>
      <c r="F1345" s="52">
        <f t="shared" si="90"/>
        <v>160800</v>
      </c>
      <c r="G1345" s="53">
        <f t="shared" si="89"/>
        <v>2170800</v>
      </c>
      <c r="H1345" s="54">
        <v>2170800</v>
      </c>
      <c r="I1345" s="55">
        <f t="shared" si="91"/>
        <v>0</v>
      </c>
      <c r="J1345" s="56">
        <v>45894</v>
      </c>
      <c r="K1345" s="57"/>
    </row>
    <row r="1346" spans="1:11" ht="15.75" hidden="1" customHeight="1" x14ac:dyDescent="0.35">
      <c r="A1346" s="47" t="s">
        <v>2705</v>
      </c>
      <c r="B1346" s="48" t="s">
        <v>2615</v>
      </c>
      <c r="C1346" s="50" t="s">
        <v>2367</v>
      </c>
      <c r="D1346" s="50"/>
      <c r="E1346" s="51">
        <v>1005000</v>
      </c>
      <c r="F1346" s="52">
        <f t="shared" si="90"/>
        <v>80400</v>
      </c>
      <c r="G1346" s="53">
        <f t="shared" si="89"/>
        <v>1085400</v>
      </c>
      <c r="H1346" s="54">
        <v>1085400</v>
      </c>
      <c r="I1346" s="55">
        <f t="shared" si="91"/>
        <v>0</v>
      </c>
      <c r="J1346" s="56">
        <v>45894</v>
      </c>
      <c r="K1346" s="57"/>
    </row>
    <row r="1347" spans="1:11" ht="15.75" hidden="1" customHeight="1" x14ac:dyDescent="0.35">
      <c r="A1347" s="47" t="s">
        <v>2706</v>
      </c>
      <c r="B1347" s="48" t="s">
        <v>2615</v>
      </c>
      <c r="C1347" s="50" t="s">
        <v>2368</v>
      </c>
      <c r="D1347" s="50"/>
      <c r="E1347" s="51">
        <v>2045000</v>
      </c>
      <c r="F1347" s="52">
        <f t="shared" si="90"/>
        <v>163600</v>
      </c>
      <c r="G1347" s="53">
        <f t="shared" si="89"/>
        <v>2208600</v>
      </c>
      <c r="H1347" s="54">
        <v>2208600</v>
      </c>
      <c r="I1347" s="55">
        <f t="shared" si="91"/>
        <v>0</v>
      </c>
      <c r="J1347" s="56">
        <v>45894</v>
      </c>
      <c r="K1347" s="57"/>
    </row>
    <row r="1348" spans="1:11" ht="15.75" hidden="1" customHeight="1" x14ac:dyDescent="0.35">
      <c r="A1348" s="47" t="s">
        <v>2681</v>
      </c>
      <c r="B1348" s="48" t="s">
        <v>2615</v>
      </c>
      <c r="C1348" s="49" t="s">
        <v>2369</v>
      </c>
      <c r="D1348" s="50"/>
      <c r="E1348" s="51">
        <v>1460000</v>
      </c>
      <c r="F1348" s="52">
        <f t="shared" si="90"/>
        <v>116800</v>
      </c>
      <c r="G1348" s="53">
        <f t="shared" si="89"/>
        <v>1576800</v>
      </c>
      <c r="H1348" s="54">
        <v>1576800</v>
      </c>
      <c r="I1348" s="55">
        <f t="shared" si="91"/>
        <v>0</v>
      </c>
      <c r="J1348" s="56">
        <v>46008</v>
      </c>
      <c r="K1348" s="57"/>
    </row>
    <row r="1349" spans="1:11" ht="15.75" hidden="1" customHeight="1" x14ac:dyDescent="0.35">
      <c r="A1349" s="47" t="s">
        <v>2707</v>
      </c>
      <c r="B1349" s="48" t="s">
        <v>2615</v>
      </c>
      <c r="C1349" s="50" t="s">
        <v>2370</v>
      </c>
      <c r="D1349" s="50"/>
      <c r="E1349" s="51">
        <v>1850000</v>
      </c>
      <c r="F1349" s="52">
        <f t="shared" si="90"/>
        <v>148000</v>
      </c>
      <c r="G1349" s="53">
        <f t="shared" si="89"/>
        <v>1998000</v>
      </c>
      <c r="H1349" s="54">
        <v>1998000</v>
      </c>
      <c r="I1349" s="55">
        <f t="shared" si="91"/>
        <v>0</v>
      </c>
      <c r="J1349" s="56">
        <v>45918</v>
      </c>
      <c r="K1349" s="57"/>
    </row>
    <row r="1350" spans="1:11" ht="15.75" hidden="1" customHeight="1" x14ac:dyDescent="0.35">
      <c r="A1350" s="47" t="s">
        <v>1586</v>
      </c>
      <c r="B1350" s="48" t="s">
        <v>2615</v>
      </c>
      <c r="C1350" s="50" t="s">
        <v>2371</v>
      </c>
      <c r="D1350" s="50"/>
      <c r="E1350" s="51">
        <v>2010000</v>
      </c>
      <c r="F1350" s="52">
        <f t="shared" si="90"/>
        <v>160800</v>
      </c>
      <c r="G1350" s="53">
        <f t="shared" si="89"/>
        <v>2170800</v>
      </c>
      <c r="H1350" s="54">
        <v>2170800</v>
      </c>
      <c r="I1350" s="55">
        <f t="shared" si="91"/>
        <v>0</v>
      </c>
      <c r="J1350" s="56">
        <v>45894</v>
      </c>
      <c r="K1350" s="57"/>
    </row>
    <row r="1351" spans="1:11" ht="15.75" hidden="1" customHeight="1" x14ac:dyDescent="0.35">
      <c r="A1351" s="47" t="s">
        <v>2688</v>
      </c>
      <c r="B1351" s="48" t="s">
        <v>2616</v>
      </c>
      <c r="C1351" s="50" t="s">
        <v>388</v>
      </c>
      <c r="D1351" s="50"/>
      <c r="E1351" s="51">
        <v>2820000</v>
      </c>
      <c r="F1351" s="52">
        <f t="shared" si="90"/>
        <v>225600</v>
      </c>
      <c r="G1351" s="53">
        <f t="shared" si="89"/>
        <v>3045600</v>
      </c>
      <c r="H1351" s="53">
        <v>3045600</v>
      </c>
      <c r="I1351" s="55">
        <f t="shared" si="91"/>
        <v>0</v>
      </c>
      <c r="J1351" s="56">
        <v>45894</v>
      </c>
      <c r="K1351" s="57"/>
    </row>
    <row r="1352" spans="1:11" ht="15.75" hidden="1" customHeight="1" x14ac:dyDescent="0.35">
      <c r="A1352" s="47" t="s">
        <v>308</v>
      </c>
      <c r="B1352" s="48" t="s">
        <v>2617</v>
      </c>
      <c r="C1352" s="50" t="s">
        <v>2372</v>
      </c>
      <c r="D1352" s="50"/>
      <c r="E1352" s="51">
        <v>1427500</v>
      </c>
      <c r="F1352" s="52">
        <f t="shared" si="90"/>
        <v>114200</v>
      </c>
      <c r="G1352" s="53">
        <f t="shared" si="89"/>
        <v>1541700</v>
      </c>
      <c r="H1352" s="54">
        <v>1541700</v>
      </c>
      <c r="I1352" s="55">
        <f t="shared" si="91"/>
        <v>0</v>
      </c>
      <c r="J1352" s="56">
        <v>45894</v>
      </c>
      <c r="K1352" s="57"/>
    </row>
    <row r="1353" spans="1:11" ht="15.75" hidden="1" customHeight="1" x14ac:dyDescent="0.35">
      <c r="A1353" s="47" t="s">
        <v>2708</v>
      </c>
      <c r="B1353" s="48" t="s">
        <v>2618</v>
      </c>
      <c r="C1353" s="50" t="s">
        <v>2373</v>
      </c>
      <c r="D1353" s="50"/>
      <c r="E1353" s="51">
        <v>520000</v>
      </c>
      <c r="F1353" s="52">
        <f t="shared" si="90"/>
        <v>41600</v>
      </c>
      <c r="G1353" s="53">
        <f t="shared" si="89"/>
        <v>561600</v>
      </c>
      <c r="H1353" s="54">
        <v>561600</v>
      </c>
      <c r="I1353" s="55">
        <f t="shared" si="91"/>
        <v>0</v>
      </c>
      <c r="J1353" s="56">
        <v>45918</v>
      </c>
      <c r="K1353" s="57"/>
    </row>
    <row r="1354" spans="1:11" ht="15.75" hidden="1" customHeight="1" x14ac:dyDescent="0.35">
      <c r="A1354" s="47" t="s">
        <v>2709</v>
      </c>
      <c r="B1354" s="48" t="s">
        <v>2618</v>
      </c>
      <c r="C1354" s="50" t="s">
        <v>2374</v>
      </c>
      <c r="D1354" s="50"/>
      <c r="E1354" s="51">
        <v>907500</v>
      </c>
      <c r="F1354" s="52">
        <f t="shared" si="90"/>
        <v>72600</v>
      </c>
      <c r="G1354" s="53">
        <f t="shared" si="89"/>
        <v>980100</v>
      </c>
      <c r="H1354" s="54">
        <v>980100</v>
      </c>
      <c r="I1354" s="55">
        <f t="shared" si="91"/>
        <v>0</v>
      </c>
      <c r="J1354" s="56">
        <v>45918</v>
      </c>
      <c r="K1354" s="57"/>
    </row>
    <row r="1355" spans="1:11" ht="15.75" hidden="1" customHeight="1" x14ac:dyDescent="0.35">
      <c r="A1355" s="47" t="s">
        <v>2710</v>
      </c>
      <c r="B1355" s="48" t="s">
        <v>2618</v>
      </c>
      <c r="C1355" s="50" t="s">
        <v>1387</v>
      </c>
      <c r="D1355" s="50"/>
      <c r="E1355" s="51">
        <v>925000</v>
      </c>
      <c r="F1355" s="52">
        <f t="shared" si="90"/>
        <v>74000</v>
      </c>
      <c r="G1355" s="53">
        <f t="shared" si="89"/>
        <v>999000</v>
      </c>
      <c r="H1355" s="54">
        <v>999000</v>
      </c>
      <c r="I1355" s="55">
        <f t="shared" si="91"/>
        <v>0</v>
      </c>
      <c r="J1355" s="56">
        <v>45918</v>
      </c>
      <c r="K1355" s="57"/>
    </row>
    <row r="1356" spans="1:11" ht="15.75" hidden="1" customHeight="1" x14ac:dyDescent="0.35">
      <c r="A1356" s="47" t="s">
        <v>2685</v>
      </c>
      <c r="B1356" s="48" t="s">
        <v>2619</v>
      </c>
      <c r="C1356" s="50" t="s">
        <v>2375</v>
      </c>
      <c r="D1356" s="50"/>
      <c r="E1356" s="51">
        <v>1410000</v>
      </c>
      <c r="F1356" s="52">
        <f t="shared" si="90"/>
        <v>112800</v>
      </c>
      <c r="G1356" s="53">
        <f t="shared" si="89"/>
        <v>1522800</v>
      </c>
      <c r="H1356" s="54">
        <v>1522800</v>
      </c>
      <c r="I1356" s="55">
        <f t="shared" si="91"/>
        <v>0</v>
      </c>
      <c r="J1356" s="56">
        <v>45918</v>
      </c>
      <c r="K1356" s="57"/>
    </row>
    <row r="1357" spans="1:11" ht="15.75" hidden="1" customHeight="1" x14ac:dyDescent="0.35">
      <c r="A1357" s="47" t="s">
        <v>2688</v>
      </c>
      <c r="B1357" s="48" t="s">
        <v>2620</v>
      </c>
      <c r="C1357" s="50" t="s">
        <v>2376</v>
      </c>
      <c r="D1357" s="50"/>
      <c r="E1357" s="51">
        <v>2080000</v>
      </c>
      <c r="F1357" s="52">
        <f t="shared" si="90"/>
        <v>166400</v>
      </c>
      <c r="G1357" s="53">
        <f t="shared" si="89"/>
        <v>2246400</v>
      </c>
      <c r="H1357" s="54">
        <v>2246400</v>
      </c>
      <c r="I1357" s="55">
        <f t="shared" si="91"/>
        <v>0</v>
      </c>
      <c r="J1357" s="56">
        <v>45918</v>
      </c>
      <c r="K1357" s="57"/>
    </row>
    <row r="1358" spans="1:11" ht="15.75" hidden="1" customHeight="1" x14ac:dyDescent="0.35">
      <c r="A1358" s="47" t="s">
        <v>2688</v>
      </c>
      <c r="B1358" s="48" t="s">
        <v>2620</v>
      </c>
      <c r="C1358" s="50" t="s">
        <v>2377</v>
      </c>
      <c r="D1358" s="50"/>
      <c r="E1358" s="51">
        <v>3860000</v>
      </c>
      <c r="F1358" s="52">
        <f t="shared" si="90"/>
        <v>308800</v>
      </c>
      <c r="G1358" s="53">
        <f t="shared" si="89"/>
        <v>4168800</v>
      </c>
      <c r="H1358" s="54">
        <v>4168800</v>
      </c>
      <c r="I1358" s="55">
        <f t="shared" si="91"/>
        <v>0</v>
      </c>
      <c r="J1358" s="56">
        <v>45918</v>
      </c>
      <c r="K1358" s="57"/>
    </row>
    <row r="1359" spans="1:11" ht="15.75" hidden="1" customHeight="1" x14ac:dyDescent="0.35">
      <c r="A1359" s="47" t="s">
        <v>24</v>
      </c>
      <c r="B1359" s="48" t="s">
        <v>2620</v>
      </c>
      <c r="C1359" s="50" t="s">
        <v>2378</v>
      </c>
      <c r="D1359" s="50"/>
      <c r="E1359" s="51">
        <v>2855000</v>
      </c>
      <c r="F1359" s="52">
        <f t="shared" si="90"/>
        <v>228400</v>
      </c>
      <c r="G1359" s="53">
        <f t="shared" si="89"/>
        <v>3083400</v>
      </c>
      <c r="H1359" s="54">
        <v>3083400</v>
      </c>
      <c r="I1359" s="55">
        <f t="shared" si="91"/>
        <v>0</v>
      </c>
      <c r="J1359" s="56">
        <v>45918</v>
      </c>
      <c r="K1359" s="57"/>
    </row>
    <row r="1360" spans="1:11" ht="15.75" hidden="1" customHeight="1" x14ac:dyDescent="0.35">
      <c r="A1360" s="47" t="s">
        <v>2711</v>
      </c>
      <c r="B1360" s="48" t="s">
        <v>2620</v>
      </c>
      <c r="C1360" s="50" t="s">
        <v>2379</v>
      </c>
      <c r="D1360" s="50"/>
      <c r="E1360" s="51">
        <v>1525000</v>
      </c>
      <c r="F1360" s="52">
        <f t="shared" si="90"/>
        <v>122000</v>
      </c>
      <c r="G1360" s="53">
        <f t="shared" si="89"/>
        <v>1647000</v>
      </c>
      <c r="H1360" s="54">
        <v>1647000</v>
      </c>
      <c r="I1360" s="55">
        <f t="shared" si="91"/>
        <v>0</v>
      </c>
      <c r="J1360" s="56">
        <v>45918</v>
      </c>
      <c r="K1360" s="57"/>
    </row>
    <row r="1361" spans="1:11" ht="15.75" hidden="1" customHeight="1" x14ac:dyDescent="0.35">
      <c r="A1361" s="47" t="s">
        <v>2712</v>
      </c>
      <c r="B1361" s="48" t="s">
        <v>2620</v>
      </c>
      <c r="C1361" s="50" t="s">
        <v>2380</v>
      </c>
      <c r="D1361" s="50"/>
      <c r="E1361" s="51">
        <v>502500</v>
      </c>
      <c r="F1361" s="52">
        <f t="shared" si="90"/>
        <v>40200</v>
      </c>
      <c r="G1361" s="53">
        <f t="shared" si="89"/>
        <v>542700</v>
      </c>
      <c r="H1361" s="54">
        <v>542700</v>
      </c>
      <c r="I1361" s="55">
        <f t="shared" si="91"/>
        <v>0</v>
      </c>
      <c r="J1361" s="56">
        <v>45918</v>
      </c>
      <c r="K1361" s="57"/>
    </row>
    <row r="1362" spans="1:11" ht="15.75" hidden="1" customHeight="1" x14ac:dyDescent="0.35">
      <c r="A1362" s="47" t="s">
        <v>770</v>
      </c>
      <c r="B1362" s="48" t="s">
        <v>2620</v>
      </c>
      <c r="C1362" s="50" t="s">
        <v>2381</v>
      </c>
      <c r="D1362" s="50"/>
      <c r="E1362" s="51">
        <v>2450000</v>
      </c>
      <c r="F1362" s="52">
        <f t="shared" si="90"/>
        <v>196000</v>
      </c>
      <c r="G1362" s="53">
        <f t="shared" si="89"/>
        <v>2646000</v>
      </c>
      <c r="H1362" s="54">
        <v>2646000</v>
      </c>
      <c r="I1362" s="55">
        <f t="shared" si="91"/>
        <v>0</v>
      </c>
      <c r="J1362" s="56">
        <v>45918</v>
      </c>
      <c r="K1362" s="57"/>
    </row>
    <row r="1363" spans="1:11" ht="15.75" hidden="1" customHeight="1" x14ac:dyDescent="0.35">
      <c r="A1363" s="47" t="s">
        <v>2689</v>
      </c>
      <c r="B1363" s="48" t="s">
        <v>2620</v>
      </c>
      <c r="C1363" s="50" t="s">
        <v>2382</v>
      </c>
      <c r="D1363" s="50"/>
      <c r="E1363" s="51">
        <v>1005000</v>
      </c>
      <c r="F1363" s="52">
        <f t="shared" si="90"/>
        <v>80400</v>
      </c>
      <c r="G1363" s="53">
        <f t="shared" si="89"/>
        <v>1085400</v>
      </c>
      <c r="H1363" s="54">
        <v>1085400</v>
      </c>
      <c r="I1363" s="55">
        <f t="shared" si="91"/>
        <v>0</v>
      </c>
      <c r="J1363" s="56">
        <v>45918</v>
      </c>
      <c r="K1363" s="57"/>
    </row>
    <row r="1364" spans="1:11" ht="15.75" hidden="1" customHeight="1" x14ac:dyDescent="0.35">
      <c r="A1364" s="47" t="s">
        <v>2713</v>
      </c>
      <c r="B1364" s="48" t="s">
        <v>2620</v>
      </c>
      <c r="C1364" s="50" t="s">
        <v>2383</v>
      </c>
      <c r="D1364" s="50"/>
      <c r="E1364" s="51">
        <v>2045000</v>
      </c>
      <c r="F1364" s="52">
        <f t="shared" si="90"/>
        <v>163600</v>
      </c>
      <c r="G1364" s="53">
        <f t="shared" si="89"/>
        <v>2208600</v>
      </c>
      <c r="H1364" s="54">
        <v>2208600</v>
      </c>
      <c r="I1364" s="55">
        <f t="shared" si="91"/>
        <v>0</v>
      </c>
      <c r="J1364" s="56">
        <v>45918</v>
      </c>
      <c r="K1364" s="57"/>
    </row>
    <row r="1365" spans="1:11" ht="15.75" hidden="1" customHeight="1" x14ac:dyDescent="0.35">
      <c r="A1365" s="47" t="s">
        <v>2714</v>
      </c>
      <c r="B1365" s="48" t="s">
        <v>2620</v>
      </c>
      <c r="C1365" s="50" t="s">
        <v>2384</v>
      </c>
      <c r="D1365" s="50"/>
      <c r="E1365" s="51">
        <v>1060000</v>
      </c>
      <c r="F1365" s="52">
        <f t="shared" si="90"/>
        <v>84800</v>
      </c>
      <c r="G1365" s="53">
        <f t="shared" si="89"/>
        <v>1144800</v>
      </c>
      <c r="H1365" s="54">
        <v>1144800</v>
      </c>
      <c r="I1365" s="55">
        <f t="shared" si="91"/>
        <v>0</v>
      </c>
      <c r="J1365" s="56">
        <v>45918</v>
      </c>
      <c r="K1365" s="57"/>
    </row>
    <row r="1366" spans="1:11" ht="15.75" hidden="1" customHeight="1" x14ac:dyDescent="0.35">
      <c r="A1366" s="47" t="s">
        <v>2715</v>
      </c>
      <c r="B1366" s="48" t="s">
        <v>2620</v>
      </c>
      <c r="C1366" s="50" t="s">
        <v>2385</v>
      </c>
      <c r="D1366" s="50"/>
      <c r="E1366" s="51">
        <v>1225000</v>
      </c>
      <c r="F1366" s="52">
        <f t="shared" si="90"/>
        <v>98000</v>
      </c>
      <c r="G1366" s="53">
        <f t="shared" si="89"/>
        <v>1323000</v>
      </c>
      <c r="H1366" s="54">
        <v>1323000</v>
      </c>
      <c r="I1366" s="55">
        <f t="shared" si="91"/>
        <v>0</v>
      </c>
      <c r="J1366" s="56">
        <v>45918</v>
      </c>
      <c r="K1366" s="57"/>
    </row>
    <row r="1367" spans="1:11" ht="15.75" hidden="1" customHeight="1" x14ac:dyDescent="0.35">
      <c r="A1367" s="47" t="s">
        <v>56</v>
      </c>
      <c r="B1367" s="48" t="s">
        <v>2620</v>
      </c>
      <c r="C1367" s="50" t="s">
        <v>2386</v>
      </c>
      <c r="D1367" s="50"/>
      <c r="E1367" s="51">
        <v>1005000</v>
      </c>
      <c r="F1367" s="52">
        <f t="shared" si="90"/>
        <v>80400</v>
      </c>
      <c r="G1367" s="53">
        <f t="shared" si="89"/>
        <v>1085400</v>
      </c>
      <c r="H1367" s="54">
        <v>1085400</v>
      </c>
      <c r="I1367" s="55">
        <f t="shared" si="91"/>
        <v>0</v>
      </c>
      <c r="J1367" s="56">
        <v>45918</v>
      </c>
      <c r="K1367" s="57"/>
    </row>
    <row r="1368" spans="1:11" ht="15.75" hidden="1" customHeight="1" x14ac:dyDescent="0.35">
      <c r="A1368" s="47" t="s">
        <v>2716</v>
      </c>
      <c r="B1368" s="48" t="s">
        <v>2620</v>
      </c>
      <c r="C1368" s="50" t="s">
        <v>2387</v>
      </c>
      <c r="D1368" s="50"/>
      <c r="E1368" s="51">
        <v>1815000</v>
      </c>
      <c r="F1368" s="52">
        <f t="shared" si="90"/>
        <v>145200</v>
      </c>
      <c r="G1368" s="53">
        <f t="shared" si="89"/>
        <v>1960200</v>
      </c>
      <c r="H1368" s="54">
        <v>1960200</v>
      </c>
      <c r="I1368" s="55">
        <f t="shared" si="91"/>
        <v>0</v>
      </c>
      <c r="J1368" s="56">
        <v>45918</v>
      </c>
      <c r="K1368" s="57"/>
    </row>
    <row r="1369" spans="1:11" ht="15.75" hidden="1" customHeight="1" x14ac:dyDescent="0.35">
      <c r="A1369" s="47" t="s">
        <v>2717</v>
      </c>
      <c r="B1369" s="48" t="s">
        <v>2620</v>
      </c>
      <c r="C1369" s="50" t="s">
        <v>1408</v>
      </c>
      <c r="D1369" s="50"/>
      <c r="E1369" s="51">
        <v>2045000</v>
      </c>
      <c r="F1369" s="52">
        <f t="shared" si="90"/>
        <v>163600</v>
      </c>
      <c r="G1369" s="53">
        <f t="shared" si="89"/>
        <v>2208600</v>
      </c>
      <c r="H1369" s="54">
        <v>2208600</v>
      </c>
      <c r="I1369" s="55">
        <f t="shared" si="91"/>
        <v>0</v>
      </c>
      <c r="J1369" s="56">
        <v>45918</v>
      </c>
      <c r="K1369" s="57"/>
    </row>
    <row r="1370" spans="1:11" ht="15.75" hidden="1" customHeight="1" x14ac:dyDescent="0.35">
      <c r="A1370" s="47" t="s">
        <v>2703</v>
      </c>
      <c r="B1370" s="48" t="s">
        <v>2621</v>
      </c>
      <c r="C1370" s="50" t="s">
        <v>2388</v>
      </c>
      <c r="D1370" s="50"/>
      <c r="E1370" s="51">
        <v>520000</v>
      </c>
      <c r="F1370" s="52">
        <f t="shared" si="90"/>
        <v>41600</v>
      </c>
      <c r="G1370" s="53">
        <f t="shared" si="89"/>
        <v>561600</v>
      </c>
      <c r="H1370" s="54">
        <v>561600</v>
      </c>
      <c r="I1370" s="55">
        <f t="shared" si="91"/>
        <v>0</v>
      </c>
      <c r="J1370" s="56">
        <v>45918</v>
      </c>
      <c r="K1370" s="57"/>
    </row>
    <row r="1371" spans="1:11" ht="15.75" hidden="1" customHeight="1" x14ac:dyDescent="0.35">
      <c r="A1371" s="47" t="s">
        <v>2684</v>
      </c>
      <c r="B1371" s="48" t="s">
        <v>2622</v>
      </c>
      <c r="C1371" s="50" t="s">
        <v>2389</v>
      </c>
      <c r="D1371" s="50"/>
      <c r="E1371" s="51">
        <v>2010000</v>
      </c>
      <c r="F1371" s="52">
        <f t="shared" si="90"/>
        <v>160800</v>
      </c>
      <c r="G1371" s="53">
        <f t="shared" si="89"/>
        <v>2170800</v>
      </c>
      <c r="H1371" s="54">
        <v>2170800</v>
      </c>
      <c r="I1371" s="55">
        <f t="shared" si="91"/>
        <v>0</v>
      </c>
      <c r="J1371" s="56">
        <v>45918</v>
      </c>
      <c r="K1371" s="57"/>
    </row>
    <row r="1372" spans="1:11" ht="15.75" hidden="1" customHeight="1" x14ac:dyDescent="0.35">
      <c r="A1372" s="47" t="s">
        <v>2718</v>
      </c>
      <c r="B1372" s="48" t="s">
        <v>2622</v>
      </c>
      <c r="C1372" s="50" t="s">
        <v>2390</v>
      </c>
      <c r="D1372" s="50"/>
      <c r="E1372" s="51">
        <v>1005000</v>
      </c>
      <c r="F1372" s="52">
        <f t="shared" si="90"/>
        <v>80400</v>
      </c>
      <c r="G1372" s="53">
        <f t="shared" si="89"/>
        <v>1085400</v>
      </c>
      <c r="H1372" s="54">
        <v>1085400</v>
      </c>
      <c r="I1372" s="55">
        <f t="shared" si="91"/>
        <v>0</v>
      </c>
      <c r="J1372" s="56">
        <v>45918</v>
      </c>
      <c r="K1372" s="57"/>
    </row>
    <row r="1373" spans="1:11" ht="15.75" hidden="1" customHeight="1" x14ac:dyDescent="0.35">
      <c r="A1373" s="47" t="s">
        <v>2712</v>
      </c>
      <c r="B1373" s="48" t="s">
        <v>2622</v>
      </c>
      <c r="C1373" s="50" t="s">
        <v>2391</v>
      </c>
      <c r="D1373" s="50"/>
      <c r="E1373" s="51">
        <v>405000</v>
      </c>
      <c r="F1373" s="52">
        <f t="shared" si="90"/>
        <v>32400</v>
      </c>
      <c r="G1373" s="53">
        <f t="shared" si="89"/>
        <v>437400</v>
      </c>
      <c r="H1373" s="54">
        <v>437400</v>
      </c>
      <c r="I1373" s="55">
        <f t="shared" si="91"/>
        <v>0</v>
      </c>
      <c r="J1373" s="56">
        <v>45918</v>
      </c>
      <c r="K1373" s="57"/>
    </row>
    <row r="1374" spans="1:11" ht="15.75" hidden="1" customHeight="1" x14ac:dyDescent="0.35">
      <c r="A1374" s="47" t="s">
        <v>2719</v>
      </c>
      <c r="B1374" s="48" t="s">
        <v>2622</v>
      </c>
      <c r="C1374" s="50" t="s">
        <v>2392</v>
      </c>
      <c r="D1374" s="50"/>
      <c r="E1374" s="51">
        <v>1620000</v>
      </c>
      <c r="F1374" s="52">
        <f t="shared" si="90"/>
        <v>129600</v>
      </c>
      <c r="G1374" s="53">
        <f t="shared" si="89"/>
        <v>1749600</v>
      </c>
      <c r="H1374" s="54">
        <v>1749600</v>
      </c>
      <c r="I1374" s="55">
        <f t="shared" si="91"/>
        <v>0</v>
      </c>
      <c r="J1374" s="56">
        <v>45918</v>
      </c>
      <c r="K1374" s="57"/>
    </row>
    <row r="1375" spans="1:11" ht="15.75" hidden="1" customHeight="1" x14ac:dyDescent="0.35">
      <c r="A1375" s="47" t="s">
        <v>2720</v>
      </c>
      <c r="B1375" s="48" t="s">
        <v>2622</v>
      </c>
      <c r="C1375" s="50" t="s">
        <v>2393</v>
      </c>
      <c r="D1375" s="50"/>
      <c r="E1375" s="51">
        <v>1005000</v>
      </c>
      <c r="F1375" s="52">
        <f t="shared" si="90"/>
        <v>80400</v>
      </c>
      <c r="G1375" s="53">
        <f t="shared" si="89"/>
        <v>1085400</v>
      </c>
      <c r="H1375" s="54">
        <v>1085400</v>
      </c>
      <c r="I1375" s="55">
        <f t="shared" si="91"/>
        <v>0</v>
      </c>
      <c r="J1375" s="56">
        <v>45918</v>
      </c>
      <c r="K1375" s="57"/>
    </row>
    <row r="1376" spans="1:11" ht="15.75" hidden="1" customHeight="1" x14ac:dyDescent="0.35">
      <c r="A1376" s="47" t="s">
        <v>2695</v>
      </c>
      <c r="B1376" s="48" t="s">
        <v>2623</v>
      </c>
      <c r="C1376" s="50" t="s">
        <v>2394</v>
      </c>
      <c r="D1376" s="50"/>
      <c r="E1376" s="51">
        <v>4090000</v>
      </c>
      <c r="F1376" s="52">
        <f t="shared" si="90"/>
        <v>327200</v>
      </c>
      <c r="G1376" s="53">
        <f t="shared" si="89"/>
        <v>4417200</v>
      </c>
      <c r="H1376" s="54">
        <v>4417200</v>
      </c>
      <c r="I1376" s="55">
        <f t="shared" si="91"/>
        <v>0</v>
      </c>
      <c r="J1376" s="56">
        <v>45918</v>
      </c>
      <c r="K1376" s="57"/>
    </row>
    <row r="1377" spans="1:11" ht="15.75" hidden="1" customHeight="1" x14ac:dyDescent="0.35">
      <c r="A1377" s="47" t="s">
        <v>2721</v>
      </c>
      <c r="B1377" s="48" t="s">
        <v>2623</v>
      </c>
      <c r="C1377" s="50" t="s">
        <v>2395</v>
      </c>
      <c r="D1377" s="50"/>
      <c r="E1377" s="51">
        <v>1525000</v>
      </c>
      <c r="F1377" s="52">
        <f t="shared" si="90"/>
        <v>122000</v>
      </c>
      <c r="G1377" s="53">
        <f t="shared" si="89"/>
        <v>1647000</v>
      </c>
      <c r="H1377" s="54">
        <v>1647000</v>
      </c>
      <c r="I1377" s="55">
        <f t="shared" si="91"/>
        <v>0</v>
      </c>
      <c r="J1377" s="56">
        <v>45918</v>
      </c>
      <c r="K1377" s="57"/>
    </row>
    <row r="1378" spans="1:11" ht="15.75" hidden="1" customHeight="1" x14ac:dyDescent="0.35">
      <c r="A1378" s="47" t="s">
        <v>2722</v>
      </c>
      <c r="B1378" s="48" t="s">
        <v>2623</v>
      </c>
      <c r="C1378" s="50" t="s">
        <v>2396</v>
      </c>
      <c r="D1378" s="50"/>
      <c r="E1378" s="51">
        <v>1620000</v>
      </c>
      <c r="F1378" s="52">
        <f t="shared" si="90"/>
        <v>129600</v>
      </c>
      <c r="G1378" s="53">
        <f t="shared" si="89"/>
        <v>1749600</v>
      </c>
      <c r="H1378" s="54">
        <v>1749600</v>
      </c>
      <c r="I1378" s="55">
        <f t="shared" si="91"/>
        <v>0</v>
      </c>
      <c r="J1378" s="56">
        <v>45918</v>
      </c>
      <c r="K1378" s="57"/>
    </row>
    <row r="1379" spans="1:11" ht="15.75" hidden="1" customHeight="1" x14ac:dyDescent="0.35">
      <c r="A1379" s="47" t="s">
        <v>2684</v>
      </c>
      <c r="B1379" s="48" t="s">
        <v>2623</v>
      </c>
      <c r="C1379" s="50" t="s">
        <v>2397</v>
      </c>
      <c r="D1379" s="50"/>
      <c r="E1379" s="51">
        <v>405000</v>
      </c>
      <c r="F1379" s="52">
        <f t="shared" si="90"/>
        <v>32400</v>
      </c>
      <c r="G1379" s="53">
        <f t="shared" si="89"/>
        <v>437400</v>
      </c>
      <c r="H1379" s="54">
        <v>437400</v>
      </c>
      <c r="I1379" s="55">
        <f t="shared" si="91"/>
        <v>0</v>
      </c>
      <c r="J1379" s="56">
        <v>45918</v>
      </c>
      <c r="K1379" s="57"/>
    </row>
    <row r="1380" spans="1:11" ht="15.75" hidden="1" customHeight="1" x14ac:dyDescent="0.35">
      <c r="A1380" s="47" t="s">
        <v>2693</v>
      </c>
      <c r="B1380" s="48" t="s">
        <v>2623</v>
      </c>
      <c r="C1380" s="50" t="s">
        <v>2398</v>
      </c>
      <c r="D1380" s="50"/>
      <c r="E1380" s="51">
        <v>502500</v>
      </c>
      <c r="F1380" s="52">
        <f t="shared" si="90"/>
        <v>40200</v>
      </c>
      <c r="G1380" s="53">
        <f t="shared" si="89"/>
        <v>542700</v>
      </c>
      <c r="H1380" s="54">
        <v>542700</v>
      </c>
      <c r="I1380" s="55">
        <f t="shared" si="91"/>
        <v>0</v>
      </c>
      <c r="J1380" s="56">
        <v>45918</v>
      </c>
      <c r="K1380" s="57"/>
    </row>
    <row r="1381" spans="1:11" ht="15.75" hidden="1" customHeight="1" x14ac:dyDescent="0.35">
      <c r="A1381" s="47" t="s">
        <v>55</v>
      </c>
      <c r="B1381" s="48" t="s">
        <v>2623</v>
      </c>
      <c r="C1381" s="50" t="s">
        <v>2399</v>
      </c>
      <c r="D1381" s="50"/>
      <c r="E1381" s="51">
        <v>2855000</v>
      </c>
      <c r="F1381" s="52">
        <f t="shared" si="90"/>
        <v>228400</v>
      </c>
      <c r="G1381" s="53">
        <f t="shared" si="89"/>
        <v>3083400</v>
      </c>
      <c r="H1381" s="54">
        <v>3083400</v>
      </c>
      <c r="I1381" s="55">
        <f t="shared" si="91"/>
        <v>0</v>
      </c>
      <c r="J1381" s="56">
        <v>45918</v>
      </c>
      <c r="K1381" s="57"/>
    </row>
    <row r="1382" spans="1:11" ht="15.75" hidden="1" customHeight="1" x14ac:dyDescent="0.35">
      <c r="A1382" s="47" t="s">
        <v>2723</v>
      </c>
      <c r="B1382" s="48" t="s">
        <v>2624</v>
      </c>
      <c r="C1382" s="50" t="s">
        <v>2400</v>
      </c>
      <c r="D1382" s="50"/>
      <c r="E1382" s="51">
        <v>2855000</v>
      </c>
      <c r="F1382" s="52">
        <f t="shared" si="90"/>
        <v>228400</v>
      </c>
      <c r="G1382" s="53">
        <f t="shared" si="89"/>
        <v>3083400</v>
      </c>
      <c r="H1382" s="54">
        <v>3083400</v>
      </c>
      <c r="I1382" s="55">
        <f t="shared" si="91"/>
        <v>0</v>
      </c>
      <c r="J1382" s="56">
        <v>45918</v>
      </c>
      <c r="K1382" s="57"/>
    </row>
    <row r="1383" spans="1:11" ht="15.75" hidden="1" customHeight="1" x14ac:dyDescent="0.35">
      <c r="A1383" s="47" t="s">
        <v>2724</v>
      </c>
      <c r="B1383" s="48" t="s">
        <v>2624</v>
      </c>
      <c r="C1383" s="50" t="s">
        <v>2401</v>
      </c>
      <c r="D1383" s="50"/>
      <c r="E1383" s="51">
        <v>1022500</v>
      </c>
      <c r="F1383" s="52">
        <f t="shared" si="90"/>
        <v>81800</v>
      </c>
      <c r="G1383" s="53">
        <f t="shared" si="89"/>
        <v>1104300</v>
      </c>
      <c r="H1383" s="54">
        <v>1104300</v>
      </c>
      <c r="I1383" s="55">
        <f t="shared" si="91"/>
        <v>0</v>
      </c>
      <c r="J1383" s="56">
        <v>45918</v>
      </c>
      <c r="K1383" s="57"/>
    </row>
    <row r="1384" spans="1:11" ht="15.75" hidden="1" customHeight="1" x14ac:dyDescent="0.35">
      <c r="A1384" s="47" t="s">
        <v>2683</v>
      </c>
      <c r="B1384" s="48" t="s">
        <v>2624</v>
      </c>
      <c r="C1384" s="50" t="s">
        <v>2402</v>
      </c>
      <c r="D1384" s="50"/>
      <c r="E1384" s="51">
        <v>1040000</v>
      </c>
      <c r="F1384" s="52">
        <f t="shared" si="90"/>
        <v>83200</v>
      </c>
      <c r="G1384" s="53">
        <f t="shared" si="89"/>
        <v>1123200</v>
      </c>
      <c r="H1384" s="54">
        <v>1123200</v>
      </c>
      <c r="I1384" s="55">
        <f t="shared" si="91"/>
        <v>0</v>
      </c>
      <c r="J1384" s="56">
        <v>45918</v>
      </c>
      <c r="K1384" s="57"/>
    </row>
    <row r="1385" spans="1:11" ht="15.75" hidden="1" customHeight="1" x14ac:dyDescent="0.35">
      <c r="A1385" s="47" t="s">
        <v>2717</v>
      </c>
      <c r="B1385" s="48" t="s">
        <v>2625</v>
      </c>
      <c r="C1385" s="50" t="s">
        <v>2403</v>
      </c>
      <c r="D1385" s="50"/>
      <c r="E1385" s="51">
        <v>2045000</v>
      </c>
      <c r="F1385" s="52">
        <f t="shared" si="90"/>
        <v>163600</v>
      </c>
      <c r="G1385" s="53">
        <f t="shared" si="89"/>
        <v>2208600</v>
      </c>
      <c r="H1385" s="54">
        <v>2208600</v>
      </c>
      <c r="I1385" s="55">
        <f t="shared" si="91"/>
        <v>0</v>
      </c>
      <c r="J1385" s="56">
        <v>45918</v>
      </c>
      <c r="K1385" s="57"/>
    </row>
    <row r="1386" spans="1:11" ht="15.75" hidden="1" customHeight="1" x14ac:dyDescent="0.35">
      <c r="A1386" s="47" t="s">
        <v>2691</v>
      </c>
      <c r="B1386" s="48" t="s">
        <v>2625</v>
      </c>
      <c r="C1386" s="50" t="s">
        <v>2404</v>
      </c>
      <c r="D1386" s="50"/>
      <c r="E1386" s="51">
        <v>1022500</v>
      </c>
      <c r="F1386" s="52">
        <f t="shared" si="90"/>
        <v>81800</v>
      </c>
      <c r="G1386" s="53">
        <f t="shared" si="89"/>
        <v>1104300</v>
      </c>
      <c r="H1386" s="54">
        <v>1104300</v>
      </c>
      <c r="I1386" s="55">
        <f t="shared" si="91"/>
        <v>0</v>
      </c>
      <c r="J1386" s="56">
        <v>45918</v>
      </c>
      <c r="K1386" s="57"/>
    </row>
    <row r="1387" spans="1:11" ht="15.75" hidden="1" customHeight="1" x14ac:dyDescent="0.35">
      <c r="A1387" s="47" t="s">
        <v>2725</v>
      </c>
      <c r="B1387" s="48" t="s">
        <v>2626</v>
      </c>
      <c r="C1387" s="50" t="s">
        <v>2405</v>
      </c>
      <c r="D1387" s="50"/>
      <c r="E1387" s="51">
        <v>2855000</v>
      </c>
      <c r="F1387" s="52">
        <f t="shared" si="90"/>
        <v>228400</v>
      </c>
      <c r="G1387" s="53">
        <f t="shared" si="89"/>
        <v>3083400</v>
      </c>
      <c r="H1387" s="54">
        <v>3083400</v>
      </c>
      <c r="I1387" s="55">
        <f t="shared" si="91"/>
        <v>0</v>
      </c>
      <c r="J1387" s="56">
        <v>45918</v>
      </c>
      <c r="K1387" s="57"/>
    </row>
    <row r="1388" spans="1:11" ht="15.75" hidden="1" customHeight="1" x14ac:dyDescent="0.35">
      <c r="A1388" s="47" t="s">
        <v>2726</v>
      </c>
      <c r="B1388" s="48" t="s">
        <v>2627</v>
      </c>
      <c r="C1388" s="50" t="s">
        <v>2406</v>
      </c>
      <c r="D1388" s="50"/>
      <c r="E1388" s="51">
        <v>2855000</v>
      </c>
      <c r="F1388" s="52">
        <f t="shared" si="90"/>
        <v>228400</v>
      </c>
      <c r="G1388" s="53">
        <f t="shared" si="89"/>
        <v>3083400</v>
      </c>
      <c r="H1388" s="54">
        <v>3083400</v>
      </c>
      <c r="I1388" s="55">
        <f t="shared" si="91"/>
        <v>0</v>
      </c>
      <c r="J1388" s="56">
        <v>45918</v>
      </c>
      <c r="K1388" s="57"/>
    </row>
    <row r="1389" spans="1:11" ht="15.75" hidden="1" customHeight="1" x14ac:dyDescent="0.35">
      <c r="A1389" s="47" t="s">
        <v>2704</v>
      </c>
      <c r="B1389" s="48" t="s">
        <v>2627</v>
      </c>
      <c r="C1389" s="50" t="s">
        <v>2407</v>
      </c>
      <c r="D1389" s="50"/>
      <c r="E1389" s="51">
        <v>4090000</v>
      </c>
      <c r="F1389" s="52">
        <f t="shared" si="90"/>
        <v>327200</v>
      </c>
      <c r="G1389" s="53">
        <f t="shared" si="89"/>
        <v>4417200</v>
      </c>
      <c r="H1389" s="54">
        <v>4417200</v>
      </c>
      <c r="I1389" s="55">
        <f t="shared" si="91"/>
        <v>0</v>
      </c>
      <c r="J1389" s="56">
        <v>45918</v>
      </c>
      <c r="K1389" s="57"/>
    </row>
    <row r="1390" spans="1:11" ht="15.75" hidden="1" customHeight="1" x14ac:dyDescent="0.35">
      <c r="A1390" s="47" t="s">
        <v>56</v>
      </c>
      <c r="B1390" s="48" t="s">
        <v>2627</v>
      </c>
      <c r="C1390" s="50" t="s">
        <v>1430</v>
      </c>
      <c r="D1390" s="50"/>
      <c r="E1390" s="51">
        <v>1040000</v>
      </c>
      <c r="F1390" s="52">
        <f t="shared" si="90"/>
        <v>83200</v>
      </c>
      <c r="G1390" s="53">
        <f t="shared" si="89"/>
        <v>1123200</v>
      </c>
      <c r="H1390" s="54">
        <v>1123200</v>
      </c>
      <c r="I1390" s="55">
        <f t="shared" si="91"/>
        <v>0</v>
      </c>
      <c r="J1390" s="56">
        <v>45918</v>
      </c>
      <c r="K1390" s="57"/>
    </row>
    <row r="1391" spans="1:11" ht="15.75" hidden="1" customHeight="1" x14ac:dyDescent="0.35">
      <c r="A1391" s="47" t="s">
        <v>2727</v>
      </c>
      <c r="B1391" s="48" t="s">
        <v>2627</v>
      </c>
      <c r="C1391" s="50" t="s">
        <v>1431</v>
      </c>
      <c r="D1391" s="50"/>
      <c r="E1391" s="51">
        <v>2010000</v>
      </c>
      <c r="F1391" s="52">
        <f t="shared" si="90"/>
        <v>160800</v>
      </c>
      <c r="G1391" s="53">
        <f t="shared" si="89"/>
        <v>2170800</v>
      </c>
      <c r="H1391" s="54">
        <v>2170800</v>
      </c>
      <c r="I1391" s="55">
        <f t="shared" si="91"/>
        <v>0</v>
      </c>
      <c r="J1391" s="56">
        <v>45918</v>
      </c>
      <c r="K1391" s="57"/>
    </row>
    <row r="1392" spans="1:11" ht="15.75" hidden="1" customHeight="1" x14ac:dyDescent="0.35">
      <c r="A1392" s="47" t="s">
        <v>2692</v>
      </c>
      <c r="B1392" s="48" t="s">
        <v>2627</v>
      </c>
      <c r="C1392" s="50" t="s">
        <v>2408</v>
      </c>
      <c r="D1392" s="50"/>
      <c r="E1392" s="51">
        <v>1005000</v>
      </c>
      <c r="F1392" s="52">
        <f t="shared" si="90"/>
        <v>80400</v>
      </c>
      <c r="G1392" s="53">
        <f t="shared" si="89"/>
        <v>1085400</v>
      </c>
      <c r="H1392" s="54">
        <v>1085400</v>
      </c>
      <c r="I1392" s="55">
        <f t="shared" si="91"/>
        <v>0</v>
      </c>
      <c r="J1392" s="56">
        <v>45918</v>
      </c>
      <c r="K1392" s="57"/>
    </row>
    <row r="1393" spans="1:11" ht="15.75" hidden="1" customHeight="1" x14ac:dyDescent="0.35">
      <c r="A1393" s="47" t="s">
        <v>2728</v>
      </c>
      <c r="B1393" s="48" t="s">
        <v>2628</v>
      </c>
      <c r="C1393" s="50" t="s">
        <v>2409</v>
      </c>
      <c r="D1393" s="50"/>
      <c r="E1393" s="51">
        <v>1005000</v>
      </c>
      <c r="F1393" s="52">
        <f t="shared" si="90"/>
        <v>80400</v>
      </c>
      <c r="G1393" s="53">
        <f t="shared" si="89"/>
        <v>1085400</v>
      </c>
      <c r="H1393" s="54">
        <v>1085400</v>
      </c>
      <c r="I1393" s="55">
        <f t="shared" si="91"/>
        <v>0</v>
      </c>
      <c r="J1393" s="56">
        <v>45918</v>
      </c>
      <c r="K1393" s="57"/>
    </row>
    <row r="1394" spans="1:11" ht="15.75" hidden="1" customHeight="1" x14ac:dyDescent="0.35">
      <c r="A1394" s="47" t="s">
        <v>2729</v>
      </c>
      <c r="B1394" s="48" t="s">
        <v>2629</v>
      </c>
      <c r="C1394" s="50" t="s">
        <v>2410</v>
      </c>
      <c r="D1394" s="50"/>
      <c r="E1394" s="51">
        <v>2045000</v>
      </c>
      <c r="F1394" s="52">
        <f t="shared" si="90"/>
        <v>163600</v>
      </c>
      <c r="G1394" s="53">
        <f t="shared" si="89"/>
        <v>2208600</v>
      </c>
      <c r="H1394" s="54">
        <v>2208600</v>
      </c>
      <c r="I1394" s="55">
        <f t="shared" si="91"/>
        <v>0</v>
      </c>
      <c r="J1394" s="56">
        <v>45918</v>
      </c>
      <c r="K1394" s="57"/>
    </row>
    <row r="1395" spans="1:11" ht="15.75" hidden="1" customHeight="1" x14ac:dyDescent="0.35">
      <c r="A1395" s="47" t="s">
        <v>1586</v>
      </c>
      <c r="B1395" s="48" t="s">
        <v>2630</v>
      </c>
      <c r="C1395" s="50" t="s">
        <v>2411</v>
      </c>
      <c r="D1395" s="50"/>
      <c r="E1395" s="51">
        <v>810000</v>
      </c>
      <c r="F1395" s="52">
        <f t="shared" si="90"/>
        <v>64800</v>
      </c>
      <c r="G1395" s="53">
        <f t="shared" si="89"/>
        <v>874800</v>
      </c>
      <c r="H1395" s="54">
        <v>874800</v>
      </c>
      <c r="I1395" s="55">
        <f t="shared" si="91"/>
        <v>0</v>
      </c>
      <c r="J1395" s="56">
        <v>45918</v>
      </c>
      <c r="K1395" s="57"/>
    </row>
    <row r="1396" spans="1:11" ht="15.75" hidden="1" customHeight="1" x14ac:dyDescent="0.35">
      <c r="A1396" s="47" t="s">
        <v>2703</v>
      </c>
      <c r="B1396" s="48" t="s">
        <v>2630</v>
      </c>
      <c r="C1396" s="50" t="s">
        <v>2412</v>
      </c>
      <c r="D1396" s="50"/>
      <c r="E1396" s="51">
        <v>502500</v>
      </c>
      <c r="F1396" s="52">
        <f t="shared" si="90"/>
        <v>40200</v>
      </c>
      <c r="G1396" s="53">
        <f t="shared" si="89"/>
        <v>542700</v>
      </c>
      <c r="H1396" s="54">
        <v>542700</v>
      </c>
      <c r="I1396" s="55">
        <f t="shared" si="91"/>
        <v>0</v>
      </c>
      <c r="J1396" s="56">
        <v>45918</v>
      </c>
      <c r="K1396" s="57"/>
    </row>
    <row r="1397" spans="1:11" ht="15.75" hidden="1" customHeight="1" x14ac:dyDescent="0.35">
      <c r="A1397" s="47" t="s">
        <v>2730</v>
      </c>
      <c r="B1397" s="48" t="s">
        <v>2630</v>
      </c>
      <c r="C1397" s="50" t="s">
        <v>2413</v>
      </c>
      <c r="D1397" s="50"/>
      <c r="E1397" s="51">
        <v>2010000</v>
      </c>
      <c r="F1397" s="52">
        <f t="shared" si="90"/>
        <v>160800</v>
      </c>
      <c r="G1397" s="53">
        <f t="shared" si="89"/>
        <v>2170800</v>
      </c>
      <c r="H1397" s="54">
        <v>2170800</v>
      </c>
      <c r="I1397" s="55">
        <f t="shared" si="91"/>
        <v>0</v>
      </c>
      <c r="J1397" s="56">
        <v>45918</v>
      </c>
      <c r="K1397" s="57"/>
    </row>
    <row r="1398" spans="1:11" ht="15.75" hidden="1" customHeight="1" x14ac:dyDescent="0.35">
      <c r="A1398" s="47" t="s">
        <v>24</v>
      </c>
      <c r="B1398" s="48" t="s">
        <v>2631</v>
      </c>
      <c r="C1398" s="50" t="s">
        <v>1470</v>
      </c>
      <c r="D1398" s="50"/>
      <c r="E1398" s="51">
        <v>4410000</v>
      </c>
      <c r="F1398" s="52">
        <f t="shared" si="90"/>
        <v>352800</v>
      </c>
      <c r="G1398" s="53">
        <f t="shared" si="89"/>
        <v>4762800</v>
      </c>
      <c r="H1398" s="54">
        <v>4762800</v>
      </c>
      <c r="I1398" s="55">
        <f t="shared" si="91"/>
        <v>0</v>
      </c>
      <c r="J1398" s="56">
        <v>45918</v>
      </c>
      <c r="K1398" s="57"/>
    </row>
    <row r="1399" spans="1:11" ht="15.75" hidden="1" customHeight="1" x14ac:dyDescent="0.35">
      <c r="A1399" s="47" t="s">
        <v>2706</v>
      </c>
      <c r="B1399" s="48" t="s">
        <v>2631</v>
      </c>
      <c r="C1399" s="50" t="s">
        <v>1471</v>
      </c>
      <c r="D1399" s="50"/>
      <c r="E1399" s="51">
        <v>1840500</v>
      </c>
      <c r="F1399" s="52">
        <f t="shared" si="90"/>
        <v>147240</v>
      </c>
      <c r="G1399" s="53">
        <f t="shared" ref="G1399:G1462" si="92">E1399+F1399</f>
        <v>1987740</v>
      </c>
      <c r="H1399" s="54">
        <v>1987740</v>
      </c>
      <c r="I1399" s="55">
        <f t="shared" si="91"/>
        <v>0</v>
      </c>
      <c r="J1399" s="56">
        <v>45918</v>
      </c>
      <c r="K1399" s="57"/>
    </row>
    <row r="1400" spans="1:11" ht="15.75" hidden="1" customHeight="1" x14ac:dyDescent="0.35">
      <c r="A1400" s="47" t="s">
        <v>2696</v>
      </c>
      <c r="B1400" s="48" t="s">
        <v>2631</v>
      </c>
      <c r="C1400" s="50" t="s">
        <v>1473</v>
      </c>
      <c r="D1400" s="50"/>
      <c r="E1400" s="51">
        <v>920250</v>
      </c>
      <c r="F1400" s="52">
        <f t="shared" ref="F1400:F1463" si="93">+E1400*0.08</f>
        <v>73620</v>
      </c>
      <c r="G1400" s="53">
        <f t="shared" si="92"/>
        <v>993870</v>
      </c>
      <c r="H1400" s="54">
        <v>993870</v>
      </c>
      <c r="I1400" s="55">
        <f t="shared" ref="I1400:I1463" si="94">G1400-H1400</f>
        <v>0</v>
      </c>
      <c r="J1400" s="56">
        <v>45978</v>
      </c>
      <c r="K1400" s="57"/>
    </row>
    <row r="1401" spans="1:11" ht="15.75" hidden="1" customHeight="1" x14ac:dyDescent="0.35">
      <c r="A1401" s="47" t="s">
        <v>2688</v>
      </c>
      <c r="B1401" s="48" t="s">
        <v>2631</v>
      </c>
      <c r="C1401" s="50" t="s">
        <v>1474</v>
      </c>
      <c r="D1401" s="50"/>
      <c r="E1401" s="51">
        <v>1872000</v>
      </c>
      <c r="F1401" s="52">
        <f t="shared" si="93"/>
        <v>149760</v>
      </c>
      <c r="G1401" s="53">
        <f t="shared" si="92"/>
        <v>2021760</v>
      </c>
      <c r="H1401" s="54">
        <v>2021760</v>
      </c>
      <c r="I1401" s="55">
        <f t="shared" si="94"/>
        <v>0</v>
      </c>
      <c r="J1401" s="56">
        <v>45918</v>
      </c>
      <c r="K1401" s="57"/>
    </row>
    <row r="1402" spans="1:11" ht="15.75" hidden="1" customHeight="1" x14ac:dyDescent="0.35">
      <c r="A1402" s="47" t="s">
        <v>2731</v>
      </c>
      <c r="B1402" s="48" t="s">
        <v>2631</v>
      </c>
      <c r="C1402" s="50" t="s">
        <v>1475</v>
      </c>
      <c r="D1402" s="50"/>
      <c r="E1402" s="51">
        <v>904500</v>
      </c>
      <c r="F1402" s="52">
        <f t="shared" si="93"/>
        <v>72360</v>
      </c>
      <c r="G1402" s="53">
        <f t="shared" si="92"/>
        <v>976860</v>
      </c>
      <c r="H1402" s="54">
        <v>976860</v>
      </c>
      <c r="I1402" s="55">
        <f t="shared" si="94"/>
        <v>0</v>
      </c>
      <c r="J1402" s="56">
        <v>45918</v>
      </c>
      <c r="K1402" s="57"/>
    </row>
    <row r="1403" spans="1:11" ht="15.75" hidden="1" customHeight="1" x14ac:dyDescent="0.35">
      <c r="A1403" s="47" t="s">
        <v>2680</v>
      </c>
      <c r="B1403" s="48" t="s">
        <v>2631</v>
      </c>
      <c r="C1403" s="50" t="s">
        <v>1476</v>
      </c>
      <c r="D1403" s="50"/>
      <c r="E1403" s="51">
        <v>904500</v>
      </c>
      <c r="F1403" s="52">
        <f t="shared" si="93"/>
        <v>72360</v>
      </c>
      <c r="G1403" s="53">
        <f t="shared" si="92"/>
        <v>976860</v>
      </c>
      <c r="H1403" s="54">
        <v>976860</v>
      </c>
      <c r="I1403" s="55">
        <f t="shared" si="94"/>
        <v>0</v>
      </c>
      <c r="J1403" s="56">
        <v>45918</v>
      </c>
      <c r="K1403" s="57"/>
    </row>
    <row r="1404" spans="1:11" ht="15.75" hidden="1" customHeight="1" x14ac:dyDescent="0.35">
      <c r="A1404" s="47" t="s">
        <v>2713</v>
      </c>
      <c r="B1404" s="48" t="s">
        <v>2631</v>
      </c>
      <c r="C1404" s="50" t="s">
        <v>2414</v>
      </c>
      <c r="D1404" s="50"/>
      <c r="E1404" s="51">
        <v>1840500</v>
      </c>
      <c r="F1404" s="52">
        <f t="shared" si="93"/>
        <v>147240</v>
      </c>
      <c r="G1404" s="53">
        <f t="shared" si="92"/>
        <v>1987740</v>
      </c>
      <c r="H1404" s="54">
        <v>1987740</v>
      </c>
      <c r="I1404" s="55">
        <f t="shared" si="94"/>
        <v>0</v>
      </c>
      <c r="J1404" s="56">
        <v>45918</v>
      </c>
      <c r="K1404" s="57"/>
    </row>
    <row r="1405" spans="1:11" ht="15.75" hidden="1" customHeight="1" x14ac:dyDescent="0.35">
      <c r="A1405" s="47" t="s">
        <v>2702</v>
      </c>
      <c r="B1405" s="48" t="s">
        <v>2632</v>
      </c>
      <c r="C1405" s="50" t="s">
        <v>2415</v>
      </c>
      <c r="D1405" s="50"/>
      <c r="E1405" s="51">
        <v>729000</v>
      </c>
      <c r="F1405" s="52">
        <f t="shared" si="93"/>
        <v>58320</v>
      </c>
      <c r="G1405" s="53">
        <f t="shared" si="92"/>
        <v>787320</v>
      </c>
      <c r="H1405" s="54">
        <v>787320</v>
      </c>
      <c r="I1405" s="55">
        <f t="shared" si="94"/>
        <v>0</v>
      </c>
      <c r="J1405" s="56">
        <v>45918</v>
      </c>
      <c r="K1405" s="57"/>
    </row>
    <row r="1406" spans="1:11" ht="15.75" hidden="1" customHeight="1" x14ac:dyDescent="0.35">
      <c r="A1406" s="47" t="s">
        <v>2683</v>
      </c>
      <c r="B1406" s="48" t="s">
        <v>2632</v>
      </c>
      <c r="C1406" s="50" t="s">
        <v>1484</v>
      </c>
      <c r="D1406" s="50"/>
      <c r="E1406" s="51">
        <v>1840500</v>
      </c>
      <c r="F1406" s="52">
        <f t="shared" si="93"/>
        <v>147240</v>
      </c>
      <c r="G1406" s="53">
        <f t="shared" si="92"/>
        <v>1987740</v>
      </c>
      <c r="H1406" s="54">
        <v>1987740</v>
      </c>
      <c r="I1406" s="55">
        <f t="shared" si="94"/>
        <v>0</v>
      </c>
      <c r="J1406" s="56">
        <v>45918</v>
      </c>
      <c r="K1406" s="57"/>
    </row>
    <row r="1407" spans="1:11" ht="15.75" hidden="1" customHeight="1" x14ac:dyDescent="0.35">
      <c r="A1407" s="47" t="s">
        <v>2699</v>
      </c>
      <c r="B1407" s="48" t="s">
        <v>2632</v>
      </c>
      <c r="C1407" s="50" t="s">
        <v>1485</v>
      </c>
      <c r="D1407" s="50"/>
      <c r="E1407" s="51">
        <v>3442500</v>
      </c>
      <c r="F1407" s="52">
        <f t="shared" si="93"/>
        <v>275400</v>
      </c>
      <c r="G1407" s="53">
        <f t="shared" si="92"/>
        <v>3717900</v>
      </c>
      <c r="H1407" s="54">
        <v>3717900</v>
      </c>
      <c r="I1407" s="55">
        <f t="shared" si="94"/>
        <v>0</v>
      </c>
      <c r="J1407" s="56">
        <v>45918</v>
      </c>
      <c r="K1407" s="57"/>
    </row>
    <row r="1408" spans="1:11" ht="15.75" hidden="1" customHeight="1" x14ac:dyDescent="0.35">
      <c r="A1408" s="47" t="s">
        <v>2694</v>
      </c>
      <c r="B1408" s="48" t="s">
        <v>2632</v>
      </c>
      <c r="C1408" s="50" t="s">
        <v>1486</v>
      </c>
      <c r="D1408" s="50"/>
      <c r="E1408" s="51">
        <v>1372500</v>
      </c>
      <c r="F1408" s="52">
        <f t="shared" si="93"/>
        <v>109800</v>
      </c>
      <c r="G1408" s="53">
        <f t="shared" si="92"/>
        <v>1482300</v>
      </c>
      <c r="H1408" s="54">
        <v>1482300</v>
      </c>
      <c r="I1408" s="55">
        <f t="shared" si="94"/>
        <v>0</v>
      </c>
      <c r="J1408" s="56">
        <v>45978</v>
      </c>
      <c r="K1408" s="57"/>
    </row>
    <row r="1409" spans="1:11" ht="15.75" hidden="1" customHeight="1" x14ac:dyDescent="0.35">
      <c r="A1409" s="47" t="s">
        <v>2695</v>
      </c>
      <c r="B1409" s="48" t="s">
        <v>2632</v>
      </c>
      <c r="C1409" s="50" t="s">
        <v>1492</v>
      </c>
      <c r="D1409" s="50"/>
      <c r="E1409" s="51">
        <v>6250500</v>
      </c>
      <c r="F1409" s="52">
        <f t="shared" si="93"/>
        <v>500040</v>
      </c>
      <c r="G1409" s="53">
        <f t="shared" si="92"/>
        <v>6750540</v>
      </c>
      <c r="H1409" s="54">
        <v>6750540</v>
      </c>
      <c r="I1409" s="55">
        <f t="shared" si="94"/>
        <v>0</v>
      </c>
      <c r="J1409" s="56">
        <v>45918</v>
      </c>
      <c r="K1409" s="57"/>
    </row>
    <row r="1410" spans="1:11" ht="15.75" hidden="1" customHeight="1" x14ac:dyDescent="0.35">
      <c r="A1410" s="47" t="s">
        <v>56</v>
      </c>
      <c r="B1410" s="48" t="s">
        <v>2633</v>
      </c>
      <c r="C1410" s="50" t="s">
        <v>1503</v>
      </c>
      <c r="D1410" s="50"/>
      <c r="E1410" s="51">
        <v>1633500</v>
      </c>
      <c r="F1410" s="52">
        <f t="shared" si="93"/>
        <v>130680</v>
      </c>
      <c r="G1410" s="53">
        <f t="shared" si="92"/>
        <v>1764180</v>
      </c>
      <c r="H1410" s="54">
        <v>1764180</v>
      </c>
      <c r="I1410" s="55">
        <f t="shared" si="94"/>
        <v>0</v>
      </c>
      <c r="J1410" s="56">
        <v>45918</v>
      </c>
      <c r="K1410" s="57"/>
    </row>
    <row r="1411" spans="1:11" ht="15.75" hidden="1" customHeight="1" x14ac:dyDescent="0.35">
      <c r="A1411" s="47" t="s">
        <v>2728</v>
      </c>
      <c r="B1411" s="48" t="s">
        <v>2633</v>
      </c>
      <c r="C1411" s="50" t="s">
        <v>1506</v>
      </c>
      <c r="D1411" s="50"/>
      <c r="E1411" s="51">
        <v>904500</v>
      </c>
      <c r="F1411" s="52">
        <f t="shared" si="93"/>
        <v>72360</v>
      </c>
      <c r="G1411" s="53">
        <f t="shared" si="92"/>
        <v>976860</v>
      </c>
      <c r="H1411" s="54">
        <v>976860</v>
      </c>
      <c r="I1411" s="55">
        <f t="shared" si="94"/>
        <v>0</v>
      </c>
      <c r="J1411" s="56">
        <v>45918</v>
      </c>
      <c r="K1411" s="57"/>
    </row>
    <row r="1412" spans="1:11" ht="15.75" hidden="1" customHeight="1" x14ac:dyDescent="0.35">
      <c r="A1412" s="47" t="s">
        <v>2685</v>
      </c>
      <c r="B1412" s="48" t="s">
        <v>2633</v>
      </c>
      <c r="C1412" s="50" t="s">
        <v>1509</v>
      </c>
      <c r="D1412" s="50"/>
      <c r="E1412" s="51">
        <v>1840500</v>
      </c>
      <c r="F1412" s="52">
        <f t="shared" si="93"/>
        <v>147240</v>
      </c>
      <c r="G1412" s="53">
        <f t="shared" si="92"/>
        <v>1987740</v>
      </c>
      <c r="H1412" s="54">
        <v>1987740</v>
      </c>
      <c r="I1412" s="55">
        <f t="shared" si="94"/>
        <v>0</v>
      </c>
      <c r="J1412" s="56">
        <v>45918</v>
      </c>
      <c r="K1412" s="57"/>
    </row>
    <row r="1413" spans="1:11" ht="15.75" hidden="1" customHeight="1" x14ac:dyDescent="0.35">
      <c r="A1413" s="47" t="s">
        <v>2693</v>
      </c>
      <c r="B1413" s="48" t="s">
        <v>2633</v>
      </c>
      <c r="C1413" s="50" t="s">
        <v>1510</v>
      </c>
      <c r="D1413" s="50"/>
      <c r="E1413" s="51">
        <v>468000</v>
      </c>
      <c r="F1413" s="52">
        <f t="shared" si="93"/>
        <v>37440</v>
      </c>
      <c r="G1413" s="53">
        <f t="shared" si="92"/>
        <v>505440</v>
      </c>
      <c r="H1413" s="54">
        <v>505440</v>
      </c>
      <c r="I1413" s="55">
        <f t="shared" si="94"/>
        <v>0</v>
      </c>
      <c r="J1413" s="56">
        <v>45918</v>
      </c>
      <c r="K1413" s="57"/>
    </row>
    <row r="1414" spans="1:11" ht="15.75" hidden="1" customHeight="1" x14ac:dyDescent="0.35">
      <c r="A1414" s="47" t="s">
        <v>2732</v>
      </c>
      <c r="B1414" s="48" t="s">
        <v>2634</v>
      </c>
      <c r="C1414" s="50" t="s">
        <v>2416</v>
      </c>
      <c r="D1414" s="50"/>
      <c r="E1414" s="51">
        <v>468000</v>
      </c>
      <c r="F1414" s="52">
        <f t="shared" si="93"/>
        <v>37440</v>
      </c>
      <c r="G1414" s="53">
        <f t="shared" si="92"/>
        <v>505440</v>
      </c>
      <c r="H1414" s="54">
        <v>505440</v>
      </c>
      <c r="I1414" s="55">
        <f t="shared" si="94"/>
        <v>0</v>
      </c>
      <c r="J1414" s="56">
        <v>45918</v>
      </c>
      <c r="K1414" s="57"/>
    </row>
    <row r="1415" spans="1:11" ht="15.75" hidden="1" customHeight="1" x14ac:dyDescent="0.35">
      <c r="A1415" s="47" t="s">
        <v>2733</v>
      </c>
      <c r="B1415" s="48" t="s">
        <v>2634</v>
      </c>
      <c r="C1415" s="50" t="s">
        <v>1526</v>
      </c>
      <c r="D1415" s="50"/>
      <c r="E1415" s="51">
        <v>2713500</v>
      </c>
      <c r="F1415" s="52">
        <f t="shared" si="93"/>
        <v>217080</v>
      </c>
      <c r="G1415" s="53">
        <f t="shared" si="92"/>
        <v>2930580</v>
      </c>
      <c r="H1415" s="54">
        <v>2930580</v>
      </c>
      <c r="I1415" s="55">
        <f t="shared" si="94"/>
        <v>0</v>
      </c>
      <c r="J1415" s="56">
        <v>45918</v>
      </c>
      <c r="K1415" s="57"/>
    </row>
    <row r="1416" spans="1:11" ht="15.75" hidden="1" customHeight="1" x14ac:dyDescent="0.35">
      <c r="A1416" s="47" t="s">
        <v>2691</v>
      </c>
      <c r="B1416" s="48" t="s">
        <v>2634</v>
      </c>
      <c r="C1416" s="50" t="s">
        <v>1527</v>
      </c>
      <c r="D1416" s="50"/>
      <c r="E1416" s="51">
        <v>1840500</v>
      </c>
      <c r="F1416" s="52">
        <f t="shared" si="93"/>
        <v>147240</v>
      </c>
      <c r="G1416" s="53">
        <f t="shared" si="92"/>
        <v>1987740</v>
      </c>
      <c r="H1416" s="54">
        <v>1987740</v>
      </c>
      <c r="I1416" s="55">
        <f t="shared" si="94"/>
        <v>0</v>
      </c>
      <c r="J1416" s="56">
        <v>45918</v>
      </c>
      <c r="K1416" s="57"/>
    </row>
    <row r="1417" spans="1:11" ht="15.75" hidden="1" customHeight="1" x14ac:dyDescent="0.35">
      <c r="A1417" s="47" t="s">
        <v>2734</v>
      </c>
      <c r="B1417" s="48" t="s">
        <v>2634</v>
      </c>
      <c r="C1417" s="50" t="s">
        <v>1535</v>
      </c>
      <c r="D1417" s="50"/>
      <c r="E1417" s="51">
        <v>2569500</v>
      </c>
      <c r="F1417" s="52">
        <f t="shared" si="93"/>
        <v>205560</v>
      </c>
      <c r="G1417" s="53">
        <f t="shared" si="92"/>
        <v>2775060</v>
      </c>
      <c r="H1417" s="54">
        <v>2775060</v>
      </c>
      <c r="I1417" s="55">
        <f t="shared" si="94"/>
        <v>0</v>
      </c>
      <c r="J1417" s="56">
        <v>45918</v>
      </c>
      <c r="K1417" s="57"/>
    </row>
    <row r="1418" spans="1:11" ht="15.75" hidden="1" customHeight="1" x14ac:dyDescent="0.35">
      <c r="A1418" s="47" t="s">
        <v>55</v>
      </c>
      <c r="B1418" s="48" t="s">
        <v>2635</v>
      </c>
      <c r="C1418" s="50" t="s">
        <v>2417</v>
      </c>
      <c r="D1418" s="50"/>
      <c r="E1418" s="51">
        <v>5139000</v>
      </c>
      <c r="F1418" s="52">
        <f t="shared" si="93"/>
        <v>411120</v>
      </c>
      <c r="G1418" s="53">
        <f t="shared" si="92"/>
        <v>5550120</v>
      </c>
      <c r="H1418" s="54">
        <v>5550120</v>
      </c>
      <c r="I1418" s="55">
        <f t="shared" si="94"/>
        <v>0</v>
      </c>
      <c r="J1418" s="56">
        <v>45918</v>
      </c>
      <c r="K1418" s="57"/>
    </row>
    <row r="1419" spans="1:11" ht="15.75" hidden="1" customHeight="1" x14ac:dyDescent="0.35">
      <c r="A1419" s="47" t="s">
        <v>2720</v>
      </c>
      <c r="B1419" s="48" t="s">
        <v>2635</v>
      </c>
      <c r="C1419" s="50" t="s">
        <v>2418</v>
      </c>
      <c r="D1419" s="50"/>
      <c r="E1419" s="51">
        <v>936000</v>
      </c>
      <c r="F1419" s="52">
        <f t="shared" si="93"/>
        <v>74880</v>
      </c>
      <c r="G1419" s="53">
        <f t="shared" si="92"/>
        <v>1010880</v>
      </c>
      <c r="H1419" s="54">
        <v>1010880</v>
      </c>
      <c r="I1419" s="55">
        <f t="shared" si="94"/>
        <v>0</v>
      </c>
      <c r="J1419" s="56">
        <v>45918</v>
      </c>
      <c r="K1419" s="57"/>
    </row>
    <row r="1420" spans="1:11" ht="15.75" hidden="1" customHeight="1" x14ac:dyDescent="0.35">
      <c r="A1420" s="47" t="s">
        <v>2688</v>
      </c>
      <c r="B1420" s="48" t="s">
        <v>2635</v>
      </c>
      <c r="C1420" s="50" t="s">
        <v>2419</v>
      </c>
      <c r="D1420" s="50"/>
      <c r="E1420" s="51">
        <v>1809000</v>
      </c>
      <c r="F1420" s="52">
        <f t="shared" si="93"/>
        <v>144720</v>
      </c>
      <c r="G1420" s="53">
        <f t="shared" si="92"/>
        <v>1953720</v>
      </c>
      <c r="H1420" s="54">
        <v>1953720</v>
      </c>
      <c r="I1420" s="55">
        <f t="shared" si="94"/>
        <v>0</v>
      </c>
      <c r="J1420" s="56">
        <v>45918</v>
      </c>
      <c r="K1420" s="57"/>
    </row>
    <row r="1421" spans="1:11" ht="15.75" hidden="1" customHeight="1" x14ac:dyDescent="0.35">
      <c r="A1421" s="47" t="s">
        <v>2722</v>
      </c>
      <c r="B1421" s="48" t="s">
        <v>2635</v>
      </c>
      <c r="C1421" s="50" t="s">
        <v>2420</v>
      </c>
      <c r="D1421" s="50"/>
      <c r="E1421" s="51">
        <v>936000</v>
      </c>
      <c r="F1421" s="52">
        <f t="shared" si="93"/>
        <v>74880</v>
      </c>
      <c r="G1421" s="53">
        <f t="shared" si="92"/>
        <v>1010880</v>
      </c>
      <c r="H1421" s="54">
        <v>1010880</v>
      </c>
      <c r="I1421" s="55">
        <f t="shared" si="94"/>
        <v>0</v>
      </c>
      <c r="J1421" s="56">
        <v>45918</v>
      </c>
      <c r="K1421" s="57"/>
    </row>
    <row r="1422" spans="1:11" ht="15.75" hidden="1" customHeight="1" x14ac:dyDescent="0.35">
      <c r="A1422" s="47" t="s">
        <v>2689</v>
      </c>
      <c r="B1422" s="48" t="s">
        <v>2635</v>
      </c>
      <c r="C1422" s="50" t="s">
        <v>2421</v>
      </c>
      <c r="D1422" s="50"/>
      <c r="E1422" s="51">
        <v>2776500</v>
      </c>
      <c r="F1422" s="52">
        <f t="shared" si="93"/>
        <v>222120</v>
      </c>
      <c r="G1422" s="53">
        <f t="shared" si="92"/>
        <v>2998620</v>
      </c>
      <c r="H1422" s="54">
        <v>2998620</v>
      </c>
      <c r="I1422" s="55">
        <f t="shared" si="94"/>
        <v>0</v>
      </c>
      <c r="J1422" s="56">
        <v>45918</v>
      </c>
      <c r="K1422" s="57"/>
    </row>
    <row r="1423" spans="1:11" ht="15.75" hidden="1" customHeight="1" x14ac:dyDescent="0.35">
      <c r="A1423" s="47" t="s">
        <v>2723</v>
      </c>
      <c r="B1423" s="48" t="s">
        <v>2635</v>
      </c>
      <c r="C1423" s="50" t="s">
        <v>2422</v>
      </c>
      <c r="D1423" s="50"/>
      <c r="E1423" s="51">
        <v>729000</v>
      </c>
      <c r="F1423" s="52">
        <f t="shared" si="93"/>
        <v>58320</v>
      </c>
      <c r="G1423" s="53">
        <f t="shared" si="92"/>
        <v>787320</v>
      </c>
      <c r="H1423" s="54">
        <v>787320</v>
      </c>
      <c r="I1423" s="55">
        <f t="shared" si="94"/>
        <v>0</v>
      </c>
      <c r="J1423" s="56">
        <v>45918</v>
      </c>
      <c r="K1423" s="57"/>
    </row>
    <row r="1424" spans="1:11" ht="15.75" hidden="1" customHeight="1" x14ac:dyDescent="0.35">
      <c r="A1424" s="47" t="s">
        <v>2735</v>
      </c>
      <c r="B1424" s="48" t="s">
        <v>2635</v>
      </c>
      <c r="C1424" s="50" t="s">
        <v>2423</v>
      </c>
      <c r="D1424" s="50"/>
      <c r="E1424" s="51">
        <v>904500</v>
      </c>
      <c r="F1424" s="52">
        <f t="shared" si="93"/>
        <v>72360</v>
      </c>
      <c r="G1424" s="53">
        <f t="shared" si="92"/>
        <v>976860</v>
      </c>
      <c r="H1424" s="54">
        <v>976860</v>
      </c>
      <c r="I1424" s="55">
        <f t="shared" si="94"/>
        <v>0</v>
      </c>
      <c r="J1424" s="56">
        <v>45918</v>
      </c>
      <c r="K1424" s="57"/>
    </row>
    <row r="1425" spans="1:11" ht="15.75" hidden="1" customHeight="1" x14ac:dyDescent="0.35">
      <c r="A1425" s="47" t="s">
        <v>2727</v>
      </c>
      <c r="B1425" s="48" t="s">
        <v>2636</v>
      </c>
      <c r="C1425" s="50" t="s">
        <v>2424</v>
      </c>
      <c r="D1425" s="50"/>
      <c r="E1425" s="51">
        <v>2776500</v>
      </c>
      <c r="F1425" s="52">
        <f t="shared" si="93"/>
        <v>222120</v>
      </c>
      <c r="G1425" s="53">
        <f t="shared" si="92"/>
        <v>2998620</v>
      </c>
      <c r="H1425" s="54">
        <v>2998620</v>
      </c>
      <c r="I1425" s="55">
        <f t="shared" si="94"/>
        <v>0</v>
      </c>
      <c r="J1425" s="56">
        <v>45918</v>
      </c>
      <c r="K1425" s="57"/>
    </row>
    <row r="1426" spans="1:11" ht="15.75" hidden="1" customHeight="1" x14ac:dyDescent="0.35">
      <c r="A1426" s="47" t="s">
        <v>1586</v>
      </c>
      <c r="B1426" s="48" t="s">
        <v>2637</v>
      </c>
      <c r="C1426" s="50" t="s">
        <v>2425</v>
      </c>
      <c r="D1426" s="50"/>
      <c r="E1426" s="51">
        <v>936000</v>
      </c>
      <c r="F1426" s="52">
        <f t="shared" si="93"/>
        <v>74880</v>
      </c>
      <c r="G1426" s="53">
        <f t="shared" si="92"/>
        <v>1010880</v>
      </c>
      <c r="H1426" s="54">
        <v>1010880</v>
      </c>
      <c r="I1426" s="55">
        <f t="shared" si="94"/>
        <v>0</v>
      </c>
      <c r="J1426" s="56">
        <v>45918</v>
      </c>
      <c r="K1426" s="57"/>
    </row>
    <row r="1427" spans="1:11" ht="15.75" hidden="1" customHeight="1" x14ac:dyDescent="0.35">
      <c r="A1427" s="47" t="s">
        <v>2736</v>
      </c>
      <c r="B1427" s="48" t="s">
        <v>2637</v>
      </c>
      <c r="C1427" s="50" t="s">
        <v>2426</v>
      </c>
      <c r="D1427" s="50"/>
      <c r="E1427" s="51">
        <v>1284750</v>
      </c>
      <c r="F1427" s="52">
        <f t="shared" si="93"/>
        <v>102780</v>
      </c>
      <c r="G1427" s="53">
        <f t="shared" si="92"/>
        <v>1387530</v>
      </c>
      <c r="H1427" s="54">
        <v>1387530</v>
      </c>
      <c r="I1427" s="55">
        <f t="shared" si="94"/>
        <v>0</v>
      </c>
      <c r="J1427" s="56">
        <v>45918</v>
      </c>
      <c r="K1427" s="57"/>
    </row>
    <row r="1428" spans="1:11" ht="15.75" hidden="1" customHeight="1" x14ac:dyDescent="0.35">
      <c r="A1428" s="47" t="s">
        <v>55</v>
      </c>
      <c r="B1428" s="48" t="s">
        <v>2637</v>
      </c>
      <c r="C1428" s="50" t="s">
        <v>2427</v>
      </c>
      <c r="D1428" s="50"/>
      <c r="E1428" s="51">
        <v>1633500</v>
      </c>
      <c r="F1428" s="52">
        <f t="shared" si="93"/>
        <v>130680</v>
      </c>
      <c r="G1428" s="53">
        <f t="shared" si="92"/>
        <v>1764180</v>
      </c>
      <c r="H1428" s="54">
        <v>1764180</v>
      </c>
      <c r="I1428" s="55">
        <f t="shared" si="94"/>
        <v>0</v>
      </c>
      <c r="J1428" s="56">
        <v>45918</v>
      </c>
      <c r="K1428" s="57"/>
    </row>
    <row r="1429" spans="1:11" ht="15.75" hidden="1" customHeight="1" x14ac:dyDescent="0.35">
      <c r="A1429" s="47" t="s">
        <v>2737</v>
      </c>
      <c r="B1429" s="48" t="s">
        <v>2638</v>
      </c>
      <c r="C1429" s="50" t="s">
        <v>2428</v>
      </c>
      <c r="D1429" s="50"/>
      <c r="E1429" s="51">
        <v>1300500</v>
      </c>
      <c r="F1429" s="52">
        <f t="shared" si="93"/>
        <v>104040</v>
      </c>
      <c r="G1429" s="53">
        <f t="shared" si="92"/>
        <v>1404540</v>
      </c>
      <c r="H1429" s="54">
        <v>1404540</v>
      </c>
      <c r="I1429" s="55">
        <f t="shared" si="94"/>
        <v>0</v>
      </c>
      <c r="J1429" s="56">
        <v>45978</v>
      </c>
      <c r="K1429" s="57"/>
    </row>
    <row r="1430" spans="1:11" ht="15.75" hidden="1" customHeight="1" x14ac:dyDescent="0.35">
      <c r="A1430" s="47" t="s">
        <v>2738</v>
      </c>
      <c r="B1430" s="48" t="s">
        <v>2638</v>
      </c>
      <c r="C1430" s="50" t="s">
        <v>2429</v>
      </c>
      <c r="D1430" s="50"/>
      <c r="E1430" s="51">
        <v>1840500</v>
      </c>
      <c r="F1430" s="52">
        <f t="shared" si="93"/>
        <v>147240</v>
      </c>
      <c r="G1430" s="53">
        <f t="shared" si="92"/>
        <v>1987740</v>
      </c>
      <c r="H1430" s="54">
        <v>1987740</v>
      </c>
      <c r="I1430" s="55">
        <f t="shared" si="94"/>
        <v>0</v>
      </c>
      <c r="J1430" s="56">
        <v>45978</v>
      </c>
      <c r="K1430" s="57"/>
    </row>
    <row r="1431" spans="1:11" ht="15.75" hidden="1" customHeight="1" x14ac:dyDescent="0.35">
      <c r="A1431" s="47" t="s">
        <v>2728</v>
      </c>
      <c r="B1431" s="48" t="s">
        <v>2638</v>
      </c>
      <c r="C1431" s="50" t="s">
        <v>2430</v>
      </c>
      <c r="D1431" s="50"/>
      <c r="E1431" s="51">
        <v>1633500</v>
      </c>
      <c r="F1431" s="52">
        <f t="shared" si="93"/>
        <v>130680</v>
      </c>
      <c r="G1431" s="53">
        <f t="shared" si="92"/>
        <v>1764180</v>
      </c>
      <c r="H1431" s="54">
        <v>1764180</v>
      </c>
      <c r="I1431" s="55">
        <f t="shared" si="94"/>
        <v>0</v>
      </c>
      <c r="J1431" s="56">
        <v>45950</v>
      </c>
      <c r="K1431" s="57"/>
    </row>
    <row r="1432" spans="1:11" ht="15.75" hidden="1" customHeight="1" x14ac:dyDescent="0.35">
      <c r="A1432" s="47" t="s">
        <v>2686</v>
      </c>
      <c r="B1432" s="48" t="s">
        <v>2638</v>
      </c>
      <c r="C1432" s="50" t="s">
        <v>2431</v>
      </c>
      <c r="D1432" s="50"/>
      <c r="E1432" s="51">
        <v>1284750</v>
      </c>
      <c r="F1432" s="52">
        <f t="shared" si="93"/>
        <v>102780</v>
      </c>
      <c r="G1432" s="53">
        <f t="shared" si="92"/>
        <v>1387530</v>
      </c>
      <c r="H1432" s="54">
        <v>1387530</v>
      </c>
      <c r="I1432" s="55">
        <f t="shared" si="94"/>
        <v>0</v>
      </c>
      <c r="J1432" s="56">
        <v>45978</v>
      </c>
      <c r="K1432" s="57"/>
    </row>
    <row r="1433" spans="1:11" ht="15.75" hidden="1" customHeight="1" x14ac:dyDescent="0.35">
      <c r="A1433" s="47" t="s">
        <v>2721</v>
      </c>
      <c r="B1433" s="48" t="s">
        <v>2638</v>
      </c>
      <c r="C1433" s="50" t="s">
        <v>2432</v>
      </c>
      <c r="D1433" s="50"/>
      <c r="E1433" s="51">
        <v>2569500</v>
      </c>
      <c r="F1433" s="52">
        <f t="shared" si="93"/>
        <v>205560</v>
      </c>
      <c r="G1433" s="53">
        <f t="shared" si="92"/>
        <v>2775060</v>
      </c>
      <c r="H1433" s="54">
        <v>2775060</v>
      </c>
      <c r="I1433" s="55">
        <f t="shared" si="94"/>
        <v>0</v>
      </c>
      <c r="J1433" s="56">
        <v>45950</v>
      </c>
      <c r="K1433" s="57"/>
    </row>
    <row r="1434" spans="1:11" ht="15.75" hidden="1" customHeight="1" x14ac:dyDescent="0.35">
      <c r="A1434" s="47" t="s">
        <v>2684</v>
      </c>
      <c r="B1434" s="48" t="s">
        <v>2638</v>
      </c>
      <c r="C1434" s="50" t="s">
        <v>2433</v>
      </c>
      <c r="D1434" s="50"/>
      <c r="E1434" s="51">
        <v>1633500</v>
      </c>
      <c r="F1434" s="52">
        <f t="shared" si="93"/>
        <v>130680</v>
      </c>
      <c r="G1434" s="53">
        <f t="shared" si="92"/>
        <v>1764180</v>
      </c>
      <c r="H1434" s="54">
        <v>1764180</v>
      </c>
      <c r="I1434" s="55">
        <f t="shared" si="94"/>
        <v>0</v>
      </c>
      <c r="J1434" s="56">
        <v>45950</v>
      </c>
      <c r="K1434" s="57"/>
    </row>
    <row r="1435" spans="1:11" ht="15.75" hidden="1" customHeight="1" x14ac:dyDescent="0.35">
      <c r="A1435" s="47" t="s">
        <v>2694</v>
      </c>
      <c r="B1435" s="48" t="s">
        <v>2638</v>
      </c>
      <c r="C1435" s="50" t="s">
        <v>2434</v>
      </c>
      <c r="D1435" s="50"/>
      <c r="E1435" s="51">
        <v>364500</v>
      </c>
      <c r="F1435" s="52">
        <f t="shared" si="93"/>
        <v>29160</v>
      </c>
      <c r="G1435" s="53">
        <f t="shared" si="92"/>
        <v>393660</v>
      </c>
      <c r="H1435" s="54">
        <v>393660</v>
      </c>
      <c r="I1435" s="55">
        <f t="shared" si="94"/>
        <v>0</v>
      </c>
      <c r="J1435" s="56">
        <v>45978</v>
      </c>
      <c r="K1435" s="57"/>
    </row>
    <row r="1436" spans="1:11" ht="15.75" hidden="1" customHeight="1" x14ac:dyDescent="0.35">
      <c r="A1436" s="47" t="s">
        <v>2730</v>
      </c>
      <c r="B1436" s="48" t="s">
        <v>2638</v>
      </c>
      <c r="C1436" s="50" t="s">
        <v>2435</v>
      </c>
      <c r="D1436" s="50"/>
      <c r="E1436" s="51">
        <v>1665000</v>
      </c>
      <c r="F1436" s="52">
        <f t="shared" si="93"/>
        <v>133200</v>
      </c>
      <c r="G1436" s="53">
        <f t="shared" si="92"/>
        <v>1798200</v>
      </c>
      <c r="H1436" s="54">
        <v>1798200</v>
      </c>
      <c r="I1436" s="55">
        <f t="shared" si="94"/>
        <v>0</v>
      </c>
      <c r="J1436" s="56">
        <v>45950</v>
      </c>
      <c r="K1436" s="57"/>
    </row>
    <row r="1437" spans="1:11" ht="15.75" hidden="1" customHeight="1" x14ac:dyDescent="0.35">
      <c r="A1437" s="47" t="s">
        <v>2685</v>
      </c>
      <c r="B1437" s="48" t="s">
        <v>2638</v>
      </c>
      <c r="C1437" s="50" t="s">
        <v>2436</v>
      </c>
      <c r="D1437" s="50"/>
      <c r="E1437" s="51">
        <v>2538000</v>
      </c>
      <c r="F1437" s="52">
        <f t="shared" si="93"/>
        <v>203040</v>
      </c>
      <c r="G1437" s="53">
        <f t="shared" si="92"/>
        <v>2741040</v>
      </c>
      <c r="H1437" s="54">
        <v>2741040</v>
      </c>
      <c r="I1437" s="55">
        <f t="shared" si="94"/>
        <v>0</v>
      </c>
      <c r="J1437" s="56">
        <v>45950</v>
      </c>
      <c r="K1437" s="57"/>
    </row>
    <row r="1438" spans="1:11" ht="15.75" hidden="1" customHeight="1" x14ac:dyDescent="0.35">
      <c r="A1438" s="47" t="s">
        <v>2739</v>
      </c>
      <c r="B1438" s="48" t="s">
        <v>2638</v>
      </c>
      <c r="C1438" s="50" t="s">
        <v>2437</v>
      </c>
      <c r="D1438" s="50"/>
      <c r="E1438" s="51">
        <v>468000</v>
      </c>
      <c r="F1438" s="52">
        <f t="shared" si="93"/>
        <v>37440</v>
      </c>
      <c r="G1438" s="53">
        <f t="shared" si="92"/>
        <v>505440</v>
      </c>
      <c r="H1438" s="54">
        <v>505440</v>
      </c>
      <c r="I1438" s="55">
        <f t="shared" si="94"/>
        <v>0</v>
      </c>
      <c r="J1438" s="56">
        <v>45978</v>
      </c>
      <c r="K1438" s="57"/>
    </row>
    <row r="1439" spans="1:11" ht="15.75" hidden="1" customHeight="1" x14ac:dyDescent="0.35">
      <c r="A1439" s="47" t="s">
        <v>2740</v>
      </c>
      <c r="B1439" s="48" t="s">
        <v>2638</v>
      </c>
      <c r="C1439" s="50" t="s">
        <v>2438</v>
      </c>
      <c r="D1439" s="50"/>
      <c r="E1439" s="51">
        <v>1840500</v>
      </c>
      <c r="F1439" s="52">
        <f t="shared" si="93"/>
        <v>147240</v>
      </c>
      <c r="G1439" s="53">
        <f t="shared" si="92"/>
        <v>1987740</v>
      </c>
      <c r="H1439" s="54">
        <v>1987740</v>
      </c>
      <c r="I1439" s="55">
        <f t="shared" si="94"/>
        <v>0</v>
      </c>
      <c r="J1439" s="56">
        <v>45950</v>
      </c>
      <c r="K1439" s="57"/>
    </row>
    <row r="1440" spans="1:11" ht="15.75" hidden="1" customHeight="1" x14ac:dyDescent="0.35">
      <c r="A1440" s="47" t="s">
        <v>2741</v>
      </c>
      <c r="B1440" s="48" t="s">
        <v>2638</v>
      </c>
      <c r="C1440" s="49" t="s">
        <v>2439</v>
      </c>
      <c r="D1440" s="50"/>
      <c r="E1440" s="51">
        <v>452250</v>
      </c>
      <c r="F1440" s="52">
        <f t="shared" si="93"/>
        <v>36180</v>
      </c>
      <c r="G1440" s="53">
        <f t="shared" si="92"/>
        <v>488430</v>
      </c>
      <c r="H1440" s="54">
        <v>488430</v>
      </c>
      <c r="I1440" s="55">
        <f t="shared" si="94"/>
        <v>0</v>
      </c>
      <c r="J1440" s="56">
        <v>46008</v>
      </c>
      <c r="K1440" s="57"/>
    </row>
    <row r="1441" spans="1:11" ht="15.75" hidden="1" customHeight="1" x14ac:dyDescent="0.35">
      <c r="A1441" s="47" t="s">
        <v>2698</v>
      </c>
      <c r="B1441" s="48" t="s">
        <v>2638</v>
      </c>
      <c r="C1441" s="50" t="s">
        <v>2440</v>
      </c>
      <c r="D1441" s="50"/>
      <c r="E1441" s="51">
        <v>729000</v>
      </c>
      <c r="F1441" s="52">
        <f t="shared" si="93"/>
        <v>58320</v>
      </c>
      <c r="G1441" s="53">
        <f t="shared" si="92"/>
        <v>787320</v>
      </c>
      <c r="H1441" s="54">
        <v>787320</v>
      </c>
      <c r="I1441" s="55">
        <f t="shared" si="94"/>
        <v>0</v>
      </c>
      <c r="J1441" s="56">
        <v>45978</v>
      </c>
      <c r="K1441" s="57"/>
    </row>
    <row r="1442" spans="1:11" ht="15.75" hidden="1" customHeight="1" x14ac:dyDescent="0.35">
      <c r="A1442" s="47" t="s">
        <v>2742</v>
      </c>
      <c r="B1442" s="48" t="s">
        <v>2638</v>
      </c>
      <c r="C1442" s="50" t="s">
        <v>2441</v>
      </c>
      <c r="D1442" s="50"/>
      <c r="E1442" s="51">
        <v>904500</v>
      </c>
      <c r="F1442" s="52">
        <f t="shared" si="93"/>
        <v>72360</v>
      </c>
      <c r="G1442" s="53">
        <f t="shared" si="92"/>
        <v>976860</v>
      </c>
      <c r="H1442" s="54">
        <v>976860</v>
      </c>
      <c r="I1442" s="55">
        <f t="shared" si="94"/>
        <v>0</v>
      </c>
      <c r="J1442" s="56">
        <v>45950</v>
      </c>
      <c r="K1442" s="57"/>
    </row>
    <row r="1443" spans="1:11" ht="15.75" hidden="1" customHeight="1" x14ac:dyDescent="0.35">
      <c r="A1443" s="47" t="s">
        <v>2679</v>
      </c>
      <c r="B1443" s="48" t="s">
        <v>2638</v>
      </c>
      <c r="C1443" s="50" t="s">
        <v>2442</v>
      </c>
      <c r="D1443" s="50"/>
      <c r="E1443" s="51">
        <v>1649250</v>
      </c>
      <c r="F1443" s="52">
        <f t="shared" si="93"/>
        <v>131940</v>
      </c>
      <c r="G1443" s="53">
        <f t="shared" si="92"/>
        <v>1781190</v>
      </c>
      <c r="H1443" s="54">
        <v>1781190</v>
      </c>
      <c r="I1443" s="55">
        <f t="shared" si="94"/>
        <v>0</v>
      </c>
      <c r="J1443" s="56">
        <v>45978</v>
      </c>
      <c r="K1443" s="57"/>
    </row>
    <row r="1444" spans="1:11" ht="15.75" hidden="1" customHeight="1" x14ac:dyDescent="0.35">
      <c r="A1444" s="47" t="s">
        <v>2743</v>
      </c>
      <c r="B1444" s="48" t="s">
        <v>2638</v>
      </c>
      <c r="C1444" s="50" t="s">
        <v>2443</v>
      </c>
      <c r="D1444" s="50"/>
      <c r="E1444" s="51">
        <v>2569500</v>
      </c>
      <c r="F1444" s="52">
        <f t="shared" si="93"/>
        <v>205560</v>
      </c>
      <c r="G1444" s="53">
        <f t="shared" si="92"/>
        <v>2775060</v>
      </c>
      <c r="H1444" s="54">
        <v>2775060</v>
      </c>
      <c r="I1444" s="55">
        <f t="shared" si="94"/>
        <v>0</v>
      </c>
      <c r="J1444" s="56">
        <v>45950</v>
      </c>
      <c r="K1444" s="57"/>
    </row>
    <row r="1445" spans="1:11" ht="15.75" hidden="1" customHeight="1" x14ac:dyDescent="0.35">
      <c r="A1445" s="47" t="s">
        <v>2688</v>
      </c>
      <c r="B1445" s="48" t="s">
        <v>2639</v>
      </c>
      <c r="C1445" s="50" t="s">
        <v>2444</v>
      </c>
      <c r="D1445" s="50"/>
      <c r="E1445" s="51">
        <v>4585500</v>
      </c>
      <c r="F1445" s="52">
        <f t="shared" si="93"/>
        <v>366840</v>
      </c>
      <c r="G1445" s="53">
        <f t="shared" si="92"/>
        <v>4952340</v>
      </c>
      <c r="H1445" s="54">
        <v>4952340</v>
      </c>
      <c r="I1445" s="55">
        <f t="shared" si="94"/>
        <v>0</v>
      </c>
      <c r="J1445" s="56">
        <v>45950</v>
      </c>
      <c r="K1445" s="57"/>
    </row>
    <row r="1446" spans="1:11" ht="15.75" hidden="1" customHeight="1" x14ac:dyDescent="0.35">
      <c r="A1446" s="47" t="s">
        <v>24</v>
      </c>
      <c r="B1446" s="48" t="s">
        <v>2639</v>
      </c>
      <c r="C1446" s="50" t="s">
        <v>2445</v>
      </c>
      <c r="D1446" s="50"/>
      <c r="E1446" s="51">
        <v>1809000</v>
      </c>
      <c r="F1446" s="52">
        <f t="shared" si="93"/>
        <v>144720</v>
      </c>
      <c r="G1446" s="53">
        <f t="shared" si="92"/>
        <v>1953720</v>
      </c>
      <c r="H1446" s="54">
        <v>1953720</v>
      </c>
      <c r="I1446" s="55">
        <f t="shared" si="94"/>
        <v>0</v>
      </c>
      <c r="J1446" s="56">
        <v>45950</v>
      </c>
      <c r="K1446" s="57"/>
    </row>
    <row r="1447" spans="1:11" ht="15.75" hidden="1" customHeight="1" x14ac:dyDescent="0.35">
      <c r="A1447" s="47" t="s">
        <v>2729</v>
      </c>
      <c r="B1447" s="48" t="s">
        <v>2639</v>
      </c>
      <c r="C1447" s="50" t="s">
        <v>2446</v>
      </c>
      <c r="D1447" s="50"/>
      <c r="E1447" s="51">
        <v>904500</v>
      </c>
      <c r="F1447" s="52">
        <f t="shared" si="93"/>
        <v>72360</v>
      </c>
      <c r="G1447" s="53">
        <f t="shared" si="92"/>
        <v>976860</v>
      </c>
      <c r="H1447" s="54">
        <v>976860</v>
      </c>
      <c r="I1447" s="55">
        <f t="shared" si="94"/>
        <v>0</v>
      </c>
      <c r="J1447" s="56">
        <v>45950</v>
      </c>
      <c r="K1447" s="57"/>
    </row>
    <row r="1448" spans="1:11" ht="15.75" hidden="1" customHeight="1" x14ac:dyDescent="0.35">
      <c r="A1448" s="47" t="s">
        <v>2741</v>
      </c>
      <c r="B1448" s="48" t="s">
        <v>2639</v>
      </c>
      <c r="C1448" s="49" t="s">
        <v>2447</v>
      </c>
      <c r="D1448" s="50"/>
      <c r="E1448" s="51">
        <v>452250</v>
      </c>
      <c r="F1448" s="52">
        <f t="shared" si="93"/>
        <v>36180</v>
      </c>
      <c r="G1448" s="53">
        <f t="shared" si="92"/>
        <v>488430</v>
      </c>
      <c r="H1448" s="54">
        <v>488430</v>
      </c>
      <c r="I1448" s="55">
        <f t="shared" si="94"/>
        <v>0</v>
      </c>
      <c r="J1448" s="56">
        <v>46008</v>
      </c>
      <c r="K1448" s="57"/>
    </row>
    <row r="1449" spans="1:11" ht="15.75" hidden="1" customHeight="1" x14ac:dyDescent="0.35">
      <c r="A1449" s="47" t="s">
        <v>2681</v>
      </c>
      <c r="B1449" s="48" t="s">
        <v>2639</v>
      </c>
      <c r="C1449" s="49" t="s">
        <v>2448</v>
      </c>
      <c r="D1449" s="50"/>
      <c r="E1449" s="51">
        <v>1532250</v>
      </c>
      <c r="F1449" s="52">
        <f t="shared" si="93"/>
        <v>122580</v>
      </c>
      <c r="G1449" s="53">
        <f t="shared" si="92"/>
        <v>1654830</v>
      </c>
      <c r="H1449" s="54">
        <v>1654830</v>
      </c>
      <c r="I1449" s="55">
        <f t="shared" si="94"/>
        <v>0</v>
      </c>
      <c r="J1449" s="56">
        <v>46008</v>
      </c>
      <c r="K1449" s="57"/>
    </row>
    <row r="1450" spans="1:11" ht="15.75" hidden="1" customHeight="1" x14ac:dyDescent="0.35">
      <c r="A1450" s="47" t="s">
        <v>2730</v>
      </c>
      <c r="B1450" s="48" t="s">
        <v>2640</v>
      </c>
      <c r="C1450" s="50" t="s">
        <v>2449</v>
      </c>
      <c r="D1450" s="50"/>
      <c r="E1450" s="51">
        <v>5139000</v>
      </c>
      <c r="F1450" s="52">
        <f t="shared" si="93"/>
        <v>411120</v>
      </c>
      <c r="G1450" s="53">
        <f t="shared" si="92"/>
        <v>5550120</v>
      </c>
      <c r="H1450" s="54">
        <v>5550120</v>
      </c>
      <c r="I1450" s="55">
        <f t="shared" si="94"/>
        <v>0</v>
      </c>
      <c r="J1450" s="56">
        <v>45950</v>
      </c>
      <c r="K1450" s="57"/>
    </row>
    <row r="1451" spans="1:11" ht="15.75" hidden="1" customHeight="1" x14ac:dyDescent="0.35">
      <c r="A1451" s="47" t="s">
        <v>2744</v>
      </c>
      <c r="B1451" s="48" t="s">
        <v>2640</v>
      </c>
      <c r="C1451" s="50" t="s">
        <v>2450</v>
      </c>
      <c r="D1451" s="50"/>
      <c r="E1451" s="51">
        <v>1840500</v>
      </c>
      <c r="F1451" s="52">
        <f t="shared" si="93"/>
        <v>147240</v>
      </c>
      <c r="G1451" s="53">
        <f t="shared" si="92"/>
        <v>1987740</v>
      </c>
      <c r="H1451" s="54">
        <v>1987740</v>
      </c>
      <c r="I1451" s="55">
        <f t="shared" si="94"/>
        <v>0</v>
      </c>
      <c r="J1451" s="56">
        <v>45978</v>
      </c>
      <c r="K1451" s="57"/>
    </row>
    <row r="1452" spans="1:11" ht="15.75" hidden="1" customHeight="1" x14ac:dyDescent="0.35">
      <c r="A1452" s="47" t="s">
        <v>2728</v>
      </c>
      <c r="B1452" s="48" t="s">
        <v>2640</v>
      </c>
      <c r="C1452" s="50" t="s">
        <v>2451</v>
      </c>
      <c r="D1452" s="50"/>
      <c r="E1452" s="51">
        <v>936000</v>
      </c>
      <c r="F1452" s="52">
        <f t="shared" si="93"/>
        <v>74880</v>
      </c>
      <c r="G1452" s="53">
        <f t="shared" si="92"/>
        <v>1010880</v>
      </c>
      <c r="H1452" s="54">
        <v>1010880</v>
      </c>
      <c r="I1452" s="55">
        <f t="shared" si="94"/>
        <v>0</v>
      </c>
      <c r="J1452" s="56">
        <v>45950</v>
      </c>
      <c r="K1452" s="57"/>
    </row>
    <row r="1453" spans="1:11" ht="15.75" hidden="1" customHeight="1" x14ac:dyDescent="0.35">
      <c r="A1453" s="47" t="s">
        <v>2688</v>
      </c>
      <c r="B1453" s="48" t="s">
        <v>2640</v>
      </c>
      <c r="C1453" s="50" t="s">
        <v>2452</v>
      </c>
      <c r="D1453" s="50"/>
      <c r="E1453" s="51">
        <v>1458000</v>
      </c>
      <c r="F1453" s="52">
        <f t="shared" si="93"/>
        <v>116640</v>
      </c>
      <c r="G1453" s="53">
        <f t="shared" si="92"/>
        <v>1574640</v>
      </c>
      <c r="H1453" s="54">
        <v>1574640</v>
      </c>
      <c r="I1453" s="55">
        <f t="shared" si="94"/>
        <v>0</v>
      </c>
      <c r="J1453" s="56">
        <v>45950</v>
      </c>
      <c r="K1453" s="57"/>
    </row>
    <row r="1454" spans="1:11" ht="15.75" hidden="1" customHeight="1" x14ac:dyDescent="0.35">
      <c r="A1454" s="47" t="s">
        <v>2745</v>
      </c>
      <c r="B1454" s="48" t="s">
        <v>2640</v>
      </c>
      <c r="C1454" s="50" t="s">
        <v>2453</v>
      </c>
      <c r="D1454" s="50"/>
      <c r="E1454" s="51">
        <v>904500</v>
      </c>
      <c r="F1454" s="52">
        <f t="shared" si="93"/>
        <v>72360</v>
      </c>
      <c r="G1454" s="53">
        <f t="shared" si="92"/>
        <v>976860</v>
      </c>
      <c r="H1454" s="54">
        <v>976860</v>
      </c>
      <c r="I1454" s="55">
        <f t="shared" si="94"/>
        <v>0</v>
      </c>
      <c r="J1454" s="56">
        <v>45978</v>
      </c>
      <c r="K1454" s="57"/>
    </row>
    <row r="1455" spans="1:11" ht="15.75" hidden="1" customHeight="1" x14ac:dyDescent="0.35">
      <c r="A1455" s="47" t="s">
        <v>2707</v>
      </c>
      <c r="B1455" s="48" t="s">
        <v>2641</v>
      </c>
      <c r="C1455" s="50" t="s">
        <v>2454</v>
      </c>
      <c r="D1455" s="50"/>
      <c r="E1455" s="51">
        <v>1840500</v>
      </c>
      <c r="F1455" s="52">
        <f t="shared" si="93"/>
        <v>147240</v>
      </c>
      <c r="G1455" s="53">
        <f t="shared" si="92"/>
        <v>1987740</v>
      </c>
      <c r="H1455" s="54">
        <v>1987740</v>
      </c>
      <c r="I1455" s="55">
        <f t="shared" si="94"/>
        <v>0</v>
      </c>
      <c r="J1455" s="56">
        <v>45978</v>
      </c>
      <c r="K1455" s="57"/>
    </row>
    <row r="1456" spans="1:11" ht="15.75" hidden="1" customHeight="1" x14ac:dyDescent="0.35">
      <c r="A1456" s="47" t="s">
        <v>1594</v>
      </c>
      <c r="B1456" s="48" t="s">
        <v>2641</v>
      </c>
      <c r="C1456" s="50" t="s">
        <v>2455</v>
      </c>
      <c r="D1456" s="50"/>
      <c r="E1456" s="51">
        <v>2205000</v>
      </c>
      <c r="F1456" s="52">
        <f t="shared" si="93"/>
        <v>176400</v>
      </c>
      <c r="G1456" s="53">
        <f t="shared" si="92"/>
        <v>2381400</v>
      </c>
      <c r="H1456" s="54">
        <v>2381400</v>
      </c>
      <c r="I1456" s="55">
        <f t="shared" si="94"/>
        <v>0</v>
      </c>
      <c r="J1456" s="56">
        <v>45950</v>
      </c>
      <c r="K1456" s="57"/>
    </row>
    <row r="1457" spans="1:11" ht="15.75" hidden="1" customHeight="1" x14ac:dyDescent="0.35">
      <c r="A1457" s="47" t="s">
        <v>2731</v>
      </c>
      <c r="B1457" s="48" t="s">
        <v>2641</v>
      </c>
      <c r="C1457" s="50" t="s">
        <v>2456</v>
      </c>
      <c r="D1457" s="50"/>
      <c r="E1457" s="51">
        <v>904500</v>
      </c>
      <c r="F1457" s="52">
        <f t="shared" si="93"/>
        <v>72360</v>
      </c>
      <c r="G1457" s="53">
        <f t="shared" si="92"/>
        <v>976860</v>
      </c>
      <c r="H1457" s="54">
        <v>976860</v>
      </c>
      <c r="I1457" s="55">
        <f t="shared" si="94"/>
        <v>0</v>
      </c>
      <c r="J1457" s="56">
        <v>45978</v>
      </c>
      <c r="K1457" s="57"/>
    </row>
    <row r="1458" spans="1:11" ht="15.75" hidden="1" customHeight="1" x14ac:dyDescent="0.35">
      <c r="A1458" s="47" t="s">
        <v>2689</v>
      </c>
      <c r="B1458" s="48" t="s">
        <v>2641</v>
      </c>
      <c r="C1458" s="50" t="s">
        <v>2457</v>
      </c>
      <c r="D1458" s="50"/>
      <c r="E1458" s="51">
        <v>1840500</v>
      </c>
      <c r="F1458" s="52">
        <f t="shared" si="93"/>
        <v>147240</v>
      </c>
      <c r="G1458" s="53">
        <f t="shared" si="92"/>
        <v>1987740</v>
      </c>
      <c r="H1458" s="54">
        <v>1987740</v>
      </c>
      <c r="I1458" s="55">
        <f t="shared" si="94"/>
        <v>0</v>
      </c>
      <c r="J1458" s="56">
        <v>45978</v>
      </c>
      <c r="K1458" s="57"/>
    </row>
    <row r="1459" spans="1:11" ht="15.75" hidden="1" customHeight="1" x14ac:dyDescent="0.35">
      <c r="A1459" s="47" t="s">
        <v>2732</v>
      </c>
      <c r="B1459" s="48" t="s">
        <v>2641</v>
      </c>
      <c r="C1459" s="50" t="s">
        <v>2458</v>
      </c>
      <c r="D1459" s="50"/>
      <c r="E1459" s="51">
        <v>1269000</v>
      </c>
      <c r="F1459" s="52">
        <f t="shared" si="93"/>
        <v>101520</v>
      </c>
      <c r="G1459" s="53">
        <f t="shared" si="92"/>
        <v>1370520</v>
      </c>
      <c r="H1459" s="54">
        <v>1370520</v>
      </c>
      <c r="I1459" s="55">
        <f t="shared" si="94"/>
        <v>0</v>
      </c>
      <c r="J1459" s="56">
        <v>45978</v>
      </c>
      <c r="K1459" s="57"/>
    </row>
    <row r="1460" spans="1:11" ht="15.75" hidden="1" customHeight="1" x14ac:dyDescent="0.35">
      <c r="A1460" s="47" t="s">
        <v>2695</v>
      </c>
      <c r="B1460" s="48" t="s">
        <v>2641</v>
      </c>
      <c r="C1460" s="50" t="s">
        <v>2459</v>
      </c>
      <c r="D1460" s="50"/>
      <c r="E1460" s="51">
        <v>5521500</v>
      </c>
      <c r="F1460" s="52">
        <f t="shared" si="93"/>
        <v>441720</v>
      </c>
      <c r="G1460" s="53">
        <f t="shared" si="92"/>
        <v>5963220</v>
      </c>
      <c r="H1460" s="54">
        <v>5963220</v>
      </c>
      <c r="I1460" s="55">
        <f t="shared" si="94"/>
        <v>0</v>
      </c>
      <c r="J1460" s="56">
        <v>45950</v>
      </c>
      <c r="K1460" s="57"/>
    </row>
    <row r="1461" spans="1:11" ht="15.75" hidden="1" customHeight="1" x14ac:dyDescent="0.35">
      <c r="A1461" s="47" t="s">
        <v>2729</v>
      </c>
      <c r="B1461" s="48" t="s">
        <v>2642</v>
      </c>
      <c r="C1461" s="50" t="s">
        <v>2460</v>
      </c>
      <c r="D1461" s="50"/>
      <c r="E1461" s="51">
        <v>1840500</v>
      </c>
      <c r="F1461" s="52">
        <f t="shared" si="93"/>
        <v>147240</v>
      </c>
      <c r="G1461" s="53">
        <f t="shared" si="92"/>
        <v>1987740</v>
      </c>
      <c r="H1461" s="54">
        <v>1987740</v>
      </c>
      <c r="I1461" s="55">
        <f t="shared" si="94"/>
        <v>0</v>
      </c>
      <c r="J1461" s="56">
        <v>45950</v>
      </c>
      <c r="K1461" s="57"/>
    </row>
    <row r="1462" spans="1:11" ht="15.75" hidden="1" customHeight="1" x14ac:dyDescent="0.35">
      <c r="A1462" s="47" t="s">
        <v>2725</v>
      </c>
      <c r="B1462" s="48" t="s">
        <v>2642</v>
      </c>
      <c r="C1462" s="50" t="s">
        <v>2461</v>
      </c>
      <c r="D1462" s="50"/>
      <c r="E1462" s="51">
        <v>1633500</v>
      </c>
      <c r="F1462" s="52">
        <f t="shared" si="93"/>
        <v>130680</v>
      </c>
      <c r="G1462" s="53">
        <f t="shared" si="92"/>
        <v>1764180</v>
      </c>
      <c r="H1462" s="54">
        <v>1764180</v>
      </c>
      <c r="I1462" s="55">
        <f t="shared" si="94"/>
        <v>0</v>
      </c>
      <c r="J1462" s="56">
        <v>45978</v>
      </c>
      <c r="K1462" s="57"/>
    </row>
    <row r="1463" spans="1:11" ht="15.75" hidden="1" customHeight="1" x14ac:dyDescent="0.35">
      <c r="A1463" s="47" t="s">
        <v>2687</v>
      </c>
      <c r="B1463" s="48" t="s">
        <v>2642</v>
      </c>
      <c r="C1463" s="50" t="s">
        <v>2462</v>
      </c>
      <c r="D1463" s="50"/>
      <c r="E1463" s="51">
        <v>832500</v>
      </c>
      <c r="F1463" s="52">
        <f t="shared" si="93"/>
        <v>66600</v>
      </c>
      <c r="G1463" s="53">
        <f t="shared" ref="G1463:G1526" si="95">E1463+F1463</f>
        <v>899100</v>
      </c>
      <c r="H1463" s="54">
        <v>899100</v>
      </c>
      <c r="I1463" s="55">
        <f t="shared" si="94"/>
        <v>0</v>
      </c>
      <c r="J1463" s="56">
        <v>45978</v>
      </c>
      <c r="K1463" s="57"/>
    </row>
    <row r="1464" spans="1:11" ht="15.75" hidden="1" customHeight="1" x14ac:dyDescent="0.35">
      <c r="A1464" s="47" t="s">
        <v>2746</v>
      </c>
      <c r="B1464" s="48" t="s">
        <v>2642</v>
      </c>
      <c r="C1464" s="50" t="s">
        <v>2463</v>
      </c>
      <c r="D1464" s="50"/>
      <c r="E1464" s="51">
        <v>4625100</v>
      </c>
      <c r="F1464" s="52">
        <f t="shared" ref="F1464:F1527" si="96">+E1464*0.08</f>
        <v>370008</v>
      </c>
      <c r="G1464" s="53">
        <f t="shared" si="95"/>
        <v>4995108</v>
      </c>
      <c r="H1464" s="54">
        <v>4995108</v>
      </c>
      <c r="I1464" s="55">
        <f t="shared" ref="I1464:I1527" si="97">G1464-H1464</f>
        <v>0</v>
      </c>
      <c r="J1464" s="56">
        <v>45978</v>
      </c>
      <c r="K1464" s="57"/>
    </row>
    <row r="1465" spans="1:11" ht="15.75" hidden="1" customHeight="1" x14ac:dyDescent="0.35">
      <c r="A1465" s="47" t="s">
        <v>2691</v>
      </c>
      <c r="B1465" s="48" t="s">
        <v>2643</v>
      </c>
      <c r="C1465" s="50" t="s">
        <v>2464</v>
      </c>
      <c r="D1465" s="50"/>
      <c r="E1465" s="51">
        <v>1284750</v>
      </c>
      <c r="F1465" s="52">
        <f t="shared" si="96"/>
        <v>102780</v>
      </c>
      <c r="G1465" s="53">
        <f t="shared" si="95"/>
        <v>1387530</v>
      </c>
      <c r="H1465" s="54">
        <v>1387530</v>
      </c>
      <c r="I1465" s="55">
        <f t="shared" si="97"/>
        <v>0</v>
      </c>
      <c r="J1465" s="56">
        <v>45978</v>
      </c>
      <c r="K1465" s="57"/>
    </row>
    <row r="1466" spans="1:11" ht="15.75" hidden="1" customHeight="1" x14ac:dyDescent="0.35">
      <c r="A1466" s="47" t="s">
        <v>2703</v>
      </c>
      <c r="B1466" s="48" t="s">
        <v>2643</v>
      </c>
      <c r="C1466" s="50" t="s">
        <v>2465</v>
      </c>
      <c r="D1466" s="50"/>
      <c r="E1466" s="51">
        <v>1372500</v>
      </c>
      <c r="F1466" s="52">
        <f t="shared" si="96"/>
        <v>109800</v>
      </c>
      <c r="G1466" s="53">
        <f t="shared" si="95"/>
        <v>1482300</v>
      </c>
      <c r="H1466" s="54">
        <v>1482300</v>
      </c>
      <c r="I1466" s="55">
        <f t="shared" si="97"/>
        <v>0</v>
      </c>
      <c r="J1466" s="56">
        <v>45978</v>
      </c>
      <c r="K1466" s="57"/>
    </row>
    <row r="1467" spans="1:11" ht="15.75" hidden="1" customHeight="1" x14ac:dyDescent="0.35">
      <c r="A1467" s="47" t="s">
        <v>2719</v>
      </c>
      <c r="B1467" s="48" t="s">
        <v>2643</v>
      </c>
      <c r="C1467" s="50" t="s">
        <v>2466</v>
      </c>
      <c r="D1467" s="50"/>
      <c r="E1467" s="51">
        <v>1458000</v>
      </c>
      <c r="F1467" s="52">
        <f t="shared" si="96"/>
        <v>116640</v>
      </c>
      <c r="G1467" s="53">
        <f t="shared" si="95"/>
        <v>1574640</v>
      </c>
      <c r="H1467" s="54">
        <v>1574640</v>
      </c>
      <c r="I1467" s="55">
        <f t="shared" si="97"/>
        <v>0</v>
      </c>
      <c r="J1467" s="56">
        <v>45978</v>
      </c>
      <c r="K1467" s="57"/>
    </row>
    <row r="1468" spans="1:11" ht="15.75" hidden="1" customHeight="1" x14ac:dyDescent="0.35">
      <c r="A1468" s="47" t="s">
        <v>2710</v>
      </c>
      <c r="B1468" s="48" t="s">
        <v>2643</v>
      </c>
      <c r="C1468" s="50" t="s">
        <v>2467</v>
      </c>
      <c r="D1468" s="50"/>
      <c r="E1468" s="51">
        <v>468000</v>
      </c>
      <c r="F1468" s="52">
        <f t="shared" si="96"/>
        <v>37440</v>
      </c>
      <c r="G1468" s="53">
        <f t="shared" si="95"/>
        <v>505440</v>
      </c>
      <c r="H1468" s="54">
        <v>505440</v>
      </c>
      <c r="I1468" s="55">
        <f t="shared" si="97"/>
        <v>0</v>
      </c>
      <c r="J1468" s="56">
        <v>45950</v>
      </c>
      <c r="K1468" s="57"/>
    </row>
    <row r="1469" spans="1:11" ht="15.75" hidden="1" customHeight="1" x14ac:dyDescent="0.35">
      <c r="A1469" s="47" t="s">
        <v>2690</v>
      </c>
      <c r="B1469" s="48" t="s">
        <v>2643</v>
      </c>
      <c r="C1469" s="50" t="s">
        <v>2468</v>
      </c>
      <c r="D1469" s="50"/>
      <c r="E1469" s="51">
        <v>2569500</v>
      </c>
      <c r="F1469" s="52">
        <f t="shared" si="96"/>
        <v>205560</v>
      </c>
      <c r="G1469" s="53">
        <f t="shared" si="95"/>
        <v>2775060</v>
      </c>
      <c r="H1469" s="54">
        <v>2775060</v>
      </c>
      <c r="I1469" s="55">
        <f t="shared" si="97"/>
        <v>0</v>
      </c>
      <c r="J1469" s="56">
        <v>45978</v>
      </c>
      <c r="K1469" s="57"/>
    </row>
    <row r="1470" spans="1:11" ht="15.75" hidden="1" customHeight="1" x14ac:dyDescent="0.35">
      <c r="A1470" s="47" t="s">
        <v>2704</v>
      </c>
      <c r="B1470" s="48" t="s">
        <v>2643</v>
      </c>
      <c r="C1470" s="49" t="s">
        <v>2469</v>
      </c>
      <c r="D1470" s="50"/>
      <c r="E1470" s="51">
        <v>3681000</v>
      </c>
      <c r="F1470" s="52">
        <f t="shared" si="96"/>
        <v>294480</v>
      </c>
      <c r="G1470" s="53">
        <f t="shared" si="95"/>
        <v>3975480</v>
      </c>
      <c r="H1470" s="54">
        <v>3975480</v>
      </c>
      <c r="I1470" s="55">
        <f t="shared" si="97"/>
        <v>0</v>
      </c>
      <c r="J1470" s="56">
        <v>45950</v>
      </c>
      <c r="K1470" s="57"/>
    </row>
    <row r="1471" spans="1:11" ht="15.75" hidden="1" customHeight="1" x14ac:dyDescent="0.35">
      <c r="A1471" s="47" t="s">
        <v>770</v>
      </c>
      <c r="B1471" s="48" t="s">
        <v>2643</v>
      </c>
      <c r="C1471" s="50" t="s">
        <v>2470</v>
      </c>
      <c r="D1471" s="50"/>
      <c r="E1471" s="51">
        <v>2205000</v>
      </c>
      <c r="F1471" s="52">
        <f t="shared" si="96"/>
        <v>176400</v>
      </c>
      <c r="G1471" s="53">
        <f t="shared" si="95"/>
        <v>2381400</v>
      </c>
      <c r="H1471" s="54">
        <v>2381400</v>
      </c>
      <c r="I1471" s="55">
        <f t="shared" si="97"/>
        <v>0</v>
      </c>
      <c r="J1471" s="56">
        <v>45950</v>
      </c>
      <c r="K1471" s="57"/>
    </row>
    <row r="1472" spans="1:11" ht="15.75" hidden="1" customHeight="1" x14ac:dyDescent="0.35">
      <c r="A1472" s="47" t="s">
        <v>2693</v>
      </c>
      <c r="B1472" s="48" t="s">
        <v>2644</v>
      </c>
      <c r="C1472" s="50" t="s">
        <v>2471</v>
      </c>
      <c r="D1472" s="50"/>
      <c r="E1472" s="51">
        <v>1372500</v>
      </c>
      <c r="F1472" s="52">
        <f t="shared" si="96"/>
        <v>109800</v>
      </c>
      <c r="G1472" s="53">
        <f t="shared" si="95"/>
        <v>1482300</v>
      </c>
      <c r="H1472" s="54">
        <v>1482300</v>
      </c>
      <c r="I1472" s="55">
        <f t="shared" si="97"/>
        <v>0</v>
      </c>
      <c r="J1472" s="56">
        <v>45978</v>
      </c>
      <c r="K1472" s="57"/>
    </row>
    <row r="1473" spans="1:11" ht="15.75" hidden="1" customHeight="1" x14ac:dyDescent="0.35">
      <c r="A1473" s="47" t="s">
        <v>2740</v>
      </c>
      <c r="B1473" s="48" t="s">
        <v>2644</v>
      </c>
      <c r="C1473" s="50" t="s">
        <v>2472</v>
      </c>
      <c r="D1473" s="50"/>
      <c r="E1473" s="51">
        <v>1809000</v>
      </c>
      <c r="F1473" s="52">
        <f t="shared" si="96"/>
        <v>144720</v>
      </c>
      <c r="G1473" s="53">
        <f t="shared" si="95"/>
        <v>1953720</v>
      </c>
      <c r="H1473" s="54">
        <v>1953720</v>
      </c>
      <c r="I1473" s="55">
        <f t="shared" si="97"/>
        <v>0</v>
      </c>
      <c r="J1473" s="56">
        <v>45950</v>
      </c>
      <c r="K1473" s="57"/>
    </row>
    <row r="1474" spans="1:11" ht="15.75" hidden="1" customHeight="1" x14ac:dyDescent="0.35">
      <c r="A1474" s="47" t="s">
        <v>2712</v>
      </c>
      <c r="B1474" s="48" t="s">
        <v>2645</v>
      </c>
      <c r="C1474" s="50" t="s">
        <v>1671</v>
      </c>
      <c r="D1474" s="50"/>
      <c r="E1474" s="51">
        <v>1372500</v>
      </c>
      <c r="F1474" s="52">
        <f t="shared" si="96"/>
        <v>109800</v>
      </c>
      <c r="G1474" s="53">
        <f t="shared" si="95"/>
        <v>1482300</v>
      </c>
      <c r="H1474" s="54">
        <v>1482300</v>
      </c>
      <c r="I1474" s="55">
        <f t="shared" si="97"/>
        <v>0</v>
      </c>
      <c r="J1474" s="56">
        <v>45950</v>
      </c>
      <c r="K1474" s="57"/>
    </row>
    <row r="1475" spans="1:11" ht="15.75" hidden="1" customHeight="1" x14ac:dyDescent="0.35">
      <c r="A1475" s="47" t="s">
        <v>2720</v>
      </c>
      <c r="B1475" s="48" t="s">
        <v>2645</v>
      </c>
      <c r="C1475" s="50" t="s">
        <v>2473</v>
      </c>
      <c r="D1475" s="50"/>
      <c r="E1475" s="51">
        <v>1633500</v>
      </c>
      <c r="F1475" s="52">
        <f t="shared" si="96"/>
        <v>130680</v>
      </c>
      <c r="G1475" s="53">
        <f t="shared" si="95"/>
        <v>1764180</v>
      </c>
      <c r="H1475" s="54">
        <v>1764180</v>
      </c>
      <c r="I1475" s="55">
        <f t="shared" si="97"/>
        <v>0</v>
      </c>
      <c r="J1475" s="56">
        <v>45950</v>
      </c>
      <c r="K1475" s="57"/>
    </row>
    <row r="1476" spans="1:11" ht="15.75" hidden="1" customHeight="1" x14ac:dyDescent="0.35">
      <c r="A1476" s="47" t="s">
        <v>2709</v>
      </c>
      <c r="B1476" s="48" t="s">
        <v>2645</v>
      </c>
      <c r="C1476" s="50" t="s">
        <v>2474</v>
      </c>
      <c r="D1476" s="50"/>
      <c r="E1476" s="51">
        <v>920250</v>
      </c>
      <c r="F1476" s="52">
        <f t="shared" si="96"/>
        <v>73620</v>
      </c>
      <c r="G1476" s="53">
        <f t="shared" si="95"/>
        <v>993870</v>
      </c>
      <c r="H1476" s="54">
        <v>993870</v>
      </c>
      <c r="I1476" s="55">
        <f t="shared" si="97"/>
        <v>0</v>
      </c>
      <c r="J1476" s="56">
        <v>45978</v>
      </c>
      <c r="K1476" s="57"/>
    </row>
    <row r="1477" spans="1:11" ht="15.75" hidden="1" customHeight="1" x14ac:dyDescent="0.35">
      <c r="A1477" s="47" t="s">
        <v>2715</v>
      </c>
      <c r="B1477" s="48" t="s">
        <v>2645</v>
      </c>
      <c r="C1477" s="50" t="s">
        <v>2475</v>
      </c>
      <c r="D1477" s="50"/>
      <c r="E1477" s="51">
        <v>1284750</v>
      </c>
      <c r="F1477" s="52">
        <f t="shared" si="96"/>
        <v>102780</v>
      </c>
      <c r="G1477" s="53">
        <f t="shared" si="95"/>
        <v>1387530</v>
      </c>
      <c r="H1477" s="54">
        <v>1387530</v>
      </c>
      <c r="I1477" s="55">
        <f t="shared" si="97"/>
        <v>0</v>
      </c>
      <c r="J1477" s="56">
        <v>45978</v>
      </c>
      <c r="K1477" s="57"/>
    </row>
    <row r="1478" spans="1:11" ht="15.75" hidden="1" customHeight="1" x14ac:dyDescent="0.35">
      <c r="A1478" s="47" t="s">
        <v>2718</v>
      </c>
      <c r="B1478" s="48" t="s">
        <v>2645</v>
      </c>
      <c r="C1478" s="50" t="s">
        <v>2476</v>
      </c>
      <c r="D1478" s="50"/>
      <c r="E1478" s="51">
        <v>2569500</v>
      </c>
      <c r="F1478" s="52">
        <f t="shared" si="96"/>
        <v>205560</v>
      </c>
      <c r="G1478" s="53">
        <f t="shared" si="95"/>
        <v>2775060</v>
      </c>
      <c r="H1478" s="54">
        <v>2775060</v>
      </c>
      <c r="I1478" s="55">
        <f t="shared" si="97"/>
        <v>0</v>
      </c>
      <c r="J1478" s="56">
        <v>45950</v>
      </c>
      <c r="K1478" s="57"/>
    </row>
    <row r="1479" spans="1:11" ht="15.75" hidden="1" customHeight="1" x14ac:dyDescent="0.35">
      <c r="A1479" s="47" t="s">
        <v>2724</v>
      </c>
      <c r="B1479" s="48" t="s">
        <v>2645</v>
      </c>
      <c r="C1479" s="50" t="s">
        <v>2477</v>
      </c>
      <c r="D1479" s="50"/>
      <c r="E1479" s="51">
        <v>1606500</v>
      </c>
      <c r="F1479" s="52">
        <f t="shared" si="96"/>
        <v>128520</v>
      </c>
      <c r="G1479" s="53">
        <f t="shared" si="95"/>
        <v>1735020</v>
      </c>
      <c r="H1479" s="54">
        <v>1735020</v>
      </c>
      <c r="I1479" s="55">
        <f t="shared" si="97"/>
        <v>0</v>
      </c>
      <c r="J1479" s="56">
        <v>45978</v>
      </c>
      <c r="K1479" s="57"/>
    </row>
    <row r="1480" spans="1:11" ht="15.75" hidden="1" customHeight="1" x14ac:dyDescent="0.35">
      <c r="A1480" s="47" t="s">
        <v>2696</v>
      </c>
      <c r="B1480" s="48" t="s">
        <v>2646</v>
      </c>
      <c r="C1480" s="50" t="s">
        <v>1672</v>
      </c>
      <c r="D1480" s="50"/>
      <c r="E1480" s="51">
        <v>1840500</v>
      </c>
      <c r="F1480" s="52">
        <f t="shared" si="96"/>
        <v>147240</v>
      </c>
      <c r="G1480" s="53">
        <f t="shared" si="95"/>
        <v>1987740</v>
      </c>
      <c r="H1480" s="54">
        <v>1987740</v>
      </c>
      <c r="I1480" s="55">
        <f t="shared" si="97"/>
        <v>0</v>
      </c>
      <c r="J1480" s="56">
        <v>45978</v>
      </c>
      <c r="K1480" s="57"/>
    </row>
    <row r="1481" spans="1:11" ht="15.75" hidden="1" customHeight="1" x14ac:dyDescent="0.35">
      <c r="A1481" s="47" t="s">
        <v>24</v>
      </c>
      <c r="B1481" s="48" t="s">
        <v>2647</v>
      </c>
      <c r="C1481" s="50" t="s">
        <v>2478</v>
      </c>
      <c r="D1481" s="50"/>
      <c r="E1481" s="51">
        <v>5314500</v>
      </c>
      <c r="F1481" s="52">
        <f t="shared" si="96"/>
        <v>425160</v>
      </c>
      <c r="G1481" s="53">
        <f t="shared" si="95"/>
        <v>5739660</v>
      </c>
      <c r="H1481" s="54">
        <v>5739660</v>
      </c>
      <c r="I1481" s="55">
        <f t="shared" si="97"/>
        <v>0</v>
      </c>
      <c r="J1481" s="56">
        <v>45950</v>
      </c>
      <c r="K1481" s="57"/>
    </row>
    <row r="1482" spans="1:11" ht="15.75" hidden="1" customHeight="1" x14ac:dyDescent="0.35">
      <c r="A1482" s="47" t="s">
        <v>2745</v>
      </c>
      <c r="B1482" s="48" t="s">
        <v>2647</v>
      </c>
      <c r="C1482" s="50" t="s">
        <v>2479</v>
      </c>
      <c r="D1482" s="50"/>
      <c r="E1482" s="51">
        <v>936000</v>
      </c>
      <c r="F1482" s="52">
        <f t="shared" si="96"/>
        <v>74880</v>
      </c>
      <c r="G1482" s="53">
        <f t="shared" si="95"/>
        <v>1010880</v>
      </c>
      <c r="H1482" s="54">
        <v>1010880</v>
      </c>
      <c r="I1482" s="55">
        <f t="shared" si="97"/>
        <v>0</v>
      </c>
      <c r="J1482" s="56">
        <v>45978</v>
      </c>
      <c r="K1482" s="57"/>
    </row>
    <row r="1483" spans="1:11" ht="15.75" hidden="1" customHeight="1" x14ac:dyDescent="0.35">
      <c r="A1483" s="47" t="s">
        <v>2736</v>
      </c>
      <c r="B1483" s="48" t="s">
        <v>2647</v>
      </c>
      <c r="C1483" s="50" t="s">
        <v>2480</v>
      </c>
      <c r="D1483" s="50"/>
      <c r="E1483" s="51">
        <v>920250</v>
      </c>
      <c r="F1483" s="52">
        <f t="shared" si="96"/>
        <v>73620</v>
      </c>
      <c r="G1483" s="53">
        <f t="shared" si="95"/>
        <v>993870</v>
      </c>
      <c r="H1483" s="54">
        <v>993870</v>
      </c>
      <c r="I1483" s="55">
        <f t="shared" si="97"/>
        <v>0</v>
      </c>
      <c r="J1483" s="56">
        <v>45950</v>
      </c>
      <c r="K1483" s="57"/>
    </row>
    <row r="1484" spans="1:11" ht="15.75" hidden="1" customHeight="1" x14ac:dyDescent="0.35">
      <c r="A1484" s="47" t="s">
        <v>2688</v>
      </c>
      <c r="B1484" s="48" t="s">
        <v>2648</v>
      </c>
      <c r="C1484" s="50" t="s">
        <v>2481</v>
      </c>
      <c r="D1484" s="50"/>
      <c r="E1484" s="51">
        <v>1872000</v>
      </c>
      <c r="F1484" s="52">
        <f t="shared" si="96"/>
        <v>149760</v>
      </c>
      <c r="G1484" s="53">
        <f t="shared" si="95"/>
        <v>2021760</v>
      </c>
      <c r="H1484" s="54">
        <v>2021760</v>
      </c>
      <c r="I1484" s="55">
        <f t="shared" si="97"/>
        <v>0</v>
      </c>
      <c r="J1484" s="56">
        <v>45950</v>
      </c>
      <c r="K1484" s="57"/>
    </row>
    <row r="1485" spans="1:11" ht="15.75" hidden="1" customHeight="1" x14ac:dyDescent="0.35">
      <c r="A1485" s="47" t="s">
        <v>2683</v>
      </c>
      <c r="B1485" s="48" t="s">
        <v>2648</v>
      </c>
      <c r="C1485" s="50" t="s">
        <v>2482</v>
      </c>
      <c r="D1485" s="50"/>
      <c r="E1485" s="51">
        <v>729000</v>
      </c>
      <c r="F1485" s="52">
        <f t="shared" si="96"/>
        <v>58320</v>
      </c>
      <c r="G1485" s="53">
        <f t="shared" si="95"/>
        <v>787320</v>
      </c>
      <c r="H1485" s="54">
        <v>787320</v>
      </c>
      <c r="I1485" s="55">
        <f t="shared" si="97"/>
        <v>0</v>
      </c>
      <c r="J1485" s="56">
        <v>45978</v>
      </c>
      <c r="K1485" s="57"/>
    </row>
    <row r="1486" spans="1:11" ht="15.75" hidden="1" customHeight="1" x14ac:dyDescent="0.35">
      <c r="A1486" s="47" t="s">
        <v>2716</v>
      </c>
      <c r="B1486" s="48" t="s">
        <v>2648</v>
      </c>
      <c r="C1486" s="50" t="s">
        <v>2483</v>
      </c>
      <c r="D1486" s="50"/>
      <c r="E1486" s="51">
        <v>1633500</v>
      </c>
      <c r="F1486" s="52">
        <f t="shared" si="96"/>
        <v>130680</v>
      </c>
      <c r="G1486" s="53">
        <f t="shared" si="95"/>
        <v>1764180</v>
      </c>
      <c r="H1486" s="54">
        <v>1764180</v>
      </c>
      <c r="I1486" s="55">
        <f t="shared" si="97"/>
        <v>0</v>
      </c>
      <c r="J1486" s="56">
        <v>45978</v>
      </c>
      <c r="K1486" s="57"/>
    </row>
    <row r="1487" spans="1:11" ht="15.75" hidden="1" customHeight="1" x14ac:dyDescent="0.35">
      <c r="A1487" s="47" t="s">
        <v>2747</v>
      </c>
      <c r="B1487" s="48" t="s">
        <v>2648</v>
      </c>
      <c r="C1487" s="50" t="s">
        <v>2484</v>
      </c>
      <c r="D1487" s="50"/>
      <c r="E1487" s="51">
        <v>816750</v>
      </c>
      <c r="F1487" s="52">
        <f t="shared" si="96"/>
        <v>65340</v>
      </c>
      <c r="G1487" s="53">
        <f t="shared" si="95"/>
        <v>882090</v>
      </c>
      <c r="H1487" s="54">
        <v>882090</v>
      </c>
      <c r="I1487" s="55">
        <f t="shared" si="97"/>
        <v>0</v>
      </c>
      <c r="J1487" s="56">
        <v>45978</v>
      </c>
      <c r="K1487" s="57"/>
    </row>
    <row r="1488" spans="1:11" ht="15.75" hidden="1" customHeight="1" x14ac:dyDescent="0.35">
      <c r="A1488" s="47" t="s">
        <v>2687</v>
      </c>
      <c r="B1488" s="48" t="s">
        <v>2648</v>
      </c>
      <c r="C1488" s="50" t="s">
        <v>2485</v>
      </c>
      <c r="D1488" s="50"/>
      <c r="E1488" s="51">
        <v>904500</v>
      </c>
      <c r="F1488" s="52">
        <f t="shared" si="96"/>
        <v>72360</v>
      </c>
      <c r="G1488" s="53">
        <f t="shared" si="95"/>
        <v>976860</v>
      </c>
      <c r="H1488" s="54">
        <v>976860</v>
      </c>
      <c r="I1488" s="55">
        <f t="shared" si="97"/>
        <v>0</v>
      </c>
      <c r="J1488" s="56">
        <v>45978</v>
      </c>
      <c r="K1488" s="57"/>
    </row>
    <row r="1489" spans="1:11" ht="15.75" hidden="1" customHeight="1" x14ac:dyDescent="0.35">
      <c r="A1489" s="47" t="s">
        <v>2680</v>
      </c>
      <c r="B1489" s="48" t="s">
        <v>2649</v>
      </c>
      <c r="C1489" s="50" t="s">
        <v>2486</v>
      </c>
      <c r="D1489" s="50"/>
      <c r="E1489" s="51">
        <v>904500</v>
      </c>
      <c r="F1489" s="52">
        <f t="shared" si="96"/>
        <v>72360</v>
      </c>
      <c r="G1489" s="53">
        <f t="shared" si="95"/>
        <v>976860</v>
      </c>
      <c r="H1489" s="54">
        <v>976860</v>
      </c>
      <c r="I1489" s="55">
        <f t="shared" si="97"/>
        <v>0</v>
      </c>
      <c r="J1489" s="56">
        <v>45978</v>
      </c>
      <c r="K1489" s="57"/>
    </row>
    <row r="1490" spans="1:11" ht="15.75" hidden="1" customHeight="1" x14ac:dyDescent="0.35">
      <c r="A1490" s="47" t="s">
        <v>2748</v>
      </c>
      <c r="B1490" s="48" t="s">
        <v>2649</v>
      </c>
      <c r="C1490" s="50" t="s">
        <v>2487</v>
      </c>
      <c r="D1490" s="50"/>
      <c r="E1490" s="51">
        <v>1284750</v>
      </c>
      <c r="F1490" s="52">
        <f t="shared" si="96"/>
        <v>102780</v>
      </c>
      <c r="G1490" s="53">
        <f t="shared" si="95"/>
        <v>1387530</v>
      </c>
      <c r="H1490" s="54">
        <v>1387530</v>
      </c>
      <c r="I1490" s="55">
        <f t="shared" si="97"/>
        <v>0</v>
      </c>
      <c r="J1490" s="56">
        <v>45978</v>
      </c>
      <c r="K1490" s="57"/>
    </row>
    <row r="1491" spans="1:11" ht="15.75" hidden="1" customHeight="1" x14ac:dyDescent="0.35">
      <c r="A1491" s="47" t="s">
        <v>2729</v>
      </c>
      <c r="B1491" s="48" t="s">
        <v>2649</v>
      </c>
      <c r="C1491" s="50" t="s">
        <v>2488</v>
      </c>
      <c r="D1491" s="50"/>
      <c r="E1491" s="51">
        <v>1840500</v>
      </c>
      <c r="F1491" s="52">
        <f t="shared" si="96"/>
        <v>147240</v>
      </c>
      <c r="G1491" s="53">
        <f t="shared" si="95"/>
        <v>1987740</v>
      </c>
      <c r="H1491" s="54">
        <v>1987740</v>
      </c>
      <c r="I1491" s="55">
        <f t="shared" si="97"/>
        <v>0</v>
      </c>
      <c r="J1491" s="56">
        <v>45950</v>
      </c>
      <c r="K1491" s="57"/>
    </row>
    <row r="1492" spans="1:11" ht="15.75" hidden="1" customHeight="1" x14ac:dyDescent="0.35">
      <c r="A1492" s="47" t="s">
        <v>2695</v>
      </c>
      <c r="B1492" s="48" t="s">
        <v>2649</v>
      </c>
      <c r="C1492" s="50" t="s">
        <v>1686</v>
      </c>
      <c r="D1492" s="50"/>
      <c r="E1492" s="51">
        <v>6250500</v>
      </c>
      <c r="F1492" s="52">
        <f t="shared" si="96"/>
        <v>500040</v>
      </c>
      <c r="G1492" s="53">
        <f t="shared" si="95"/>
        <v>6750540</v>
      </c>
      <c r="H1492" s="54">
        <v>6750540</v>
      </c>
      <c r="I1492" s="55">
        <f t="shared" si="97"/>
        <v>0</v>
      </c>
      <c r="J1492" s="56">
        <v>45950</v>
      </c>
      <c r="K1492" s="57"/>
    </row>
    <row r="1493" spans="1:11" ht="15.75" hidden="1" customHeight="1" x14ac:dyDescent="0.35">
      <c r="A1493" s="47" t="s">
        <v>1586</v>
      </c>
      <c r="B1493" s="48" t="s">
        <v>2650</v>
      </c>
      <c r="C1493" s="50" t="s">
        <v>2489</v>
      </c>
      <c r="D1493" s="50"/>
      <c r="E1493" s="51">
        <v>2101500</v>
      </c>
      <c r="F1493" s="52">
        <f t="shared" si="96"/>
        <v>168120</v>
      </c>
      <c r="G1493" s="53">
        <f t="shared" si="95"/>
        <v>2269620</v>
      </c>
      <c r="H1493" s="54">
        <v>2269620</v>
      </c>
      <c r="I1493" s="55">
        <f t="shared" si="97"/>
        <v>0</v>
      </c>
      <c r="J1493" s="56">
        <v>45950</v>
      </c>
      <c r="K1493" s="57"/>
    </row>
    <row r="1494" spans="1:11" ht="15.75" hidden="1" customHeight="1" x14ac:dyDescent="0.35">
      <c r="A1494" s="47" t="s">
        <v>2728</v>
      </c>
      <c r="B1494" s="48" t="s">
        <v>2650</v>
      </c>
      <c r="C1494" s="50" t="s">
        <v>2490</v>
      </c>
      <c r="D1494" s="50"/>
      <c r="E1494" s="51">
        <v>904500</v>
      </c>
      <c r="F1494" s="52">
        <f t="shared" si="96"/>
        <v>72360</v>
      </c>
      <c r="G1494" s="53">
        <f t="shared" si="95"/>
        <v>976860</v>
      </c>
      <c r="H1494" s="54">
        <v>976860</v>
      </c>
      <c r="I1494" s="55">
        <f t="shared" si="97"/>
        <v>0</v>
      </c>
      <c r="J1494" s="56">
        <v>45950</v>
      </c>
      <c r="K1494" s="57"/>
    </row>
    <row r="1495" spans="1:11" ht="15.75" hidden="1" customHeight="1" x14ac:dyDescent="0.35">
      <c r="A1495" s="47" t="s">
        <v>2706</v>
      </c>
      <c r="B1495" s="48" t="s">
        <v>2650</v>
      </c>
      <c r="C1495" s="50" t="s">
        <v>2491</v>
      </c>
      <c r="D1495" s="50"/>
      <c r="E1495" s="51">
        <v>1840500</v>
      </c>
      <c r="F1495" s="52">
        <f t="shared" si="96"/>
        <v>147240</v>
      </c>
      <c r="G1495" s="53">
        <f t="shared" si="95"/>
        <v>1987740</v>
      </c>
      <c r="H1495" s="54">
        <v>1987740</v>
      </c>
      <c r="I1495" s="55">
        <f t="shared" si="97"/>
        <v>0</v>
      </c>
      <c r="J1495" s="56">
        <v>45950</v>
      </c>
      <c r="K1495" s="57"/>
    </row>
    <row r="1496" spans="1:11" ht="15.75" hidden="1" customHeight="1" x14ac:dyDescent="0.35">
      <c r="A1496" s="47" t="s">
        <v>2738</v>
      </c>
      <c r="B1496" s="48" t="s">
        <v>2650</v>
      </c>
      <c r="C1496" s="50" t="s">
        <v>2492</v>
      </c>
      <c r="D1496" s="50"/>
      <c r="E1496" s="51">
        <v>1840500</v>
      </c>
      <c r="F1496" s="52">
        <f t="shared" si="96"/>
        <v>147240</v>
      </c>
      <c r="G1496" s="53">
        <f t="shared" si="95"/>
        <v>1987740</v>
      </c>
      <c r="H1496" s="54">
        <v>1987740</v>
      </c>
      <c r="I1496" s="55">
        <f t="shared" si="97"/>
        <v>0</v>
      </c>
      <c r="J1496" s="56">
        <v>45978</v>
      </c>
      <c r="K1496" s="57"/>
    </row>
    <row r="1497" spans="1:11" ht="15.75" hidden="1" customHeight="1" x14ac:dyDescent="0.35">
      <c r="A1497" s="47" t="s">
        <v>2733</v>
      </c>
      <c r="B1497" s="48" t="s">
        <v>2650</v>
      </c>
      <c r="C1497" s="50" t="s">
        <v>2493</v>
      </c>
      <c r="D1497" s="50"/>
      <c r="E1497" s="51">
        <v>6043500</v>
      </c>
      <c r="F1497" s="52">
        <f t="shared" si="96"/>
        <v>483480</v>
      </c>
      <c r="G1497" s="53">
        <f t="shared" si="95"/>
        <v>6526980</v>
      </c>
      <c r="H1497" s="54">
        <v>6526980</v>
      </c>
      <c r="I1497" s="55">
        <f t="shared" si="97"/>
        <v>0</v>
      </c>
      <c r="J1497" s="56">
        <v>45950</v>
      </c>
      <c r="K1497" s="57"/>
    </row>
    <row r="1498" spans="1:11" ht="15.75" hidden="1" customHeight="1" x14ac:dyDescent="0.35">
      <c r="A1498" s="47" t="s">
        <v>2735</v>
      </c>
      <c r="B1498" s="48" t="s">
        <v>2650</v>
      </c>
      <c r="C1498" s="50" t="s">
        <v>2494</v>
      </c>
      <c r="D1498" s="50"/>
      <c r="E1498" s="51">
        <v>729000</v>
      </c>
      <c r="F1498" s="52">
        <f t="shared" si="96"/>
        <v>58320</v>
      </c>
      <c r="G1498" s="53">
        <f t="shared" si="95"/>
        <v>787320</v>
      </c>
      <c r="H1498" s="54">
        <v>787320</v>
      </c>
      <c r="I1498" s="55">
        <f t="shared" si="97"/>
        <v>0</v>
      </c>
      <c r="J1498" s="56">
        <v>45978</v>
      </c>
      <c r="K1498" s="57"/>
    </row>
    <row r="1499" spans="1:11" ht="15.75" hidden="1" customHeight="1" x14ac:dyDescent="0.35">
      <c r="A1499" s="47" t="s">
        <v>770</v>
      </c>
      <c r="B1499" s="48" t="s">
        <v>2651</v>
      </c>
      <c r="C1499" s="50" t="s">
        <v>2495</v>
      </c>
      <c r="D1499" s="50"/>
      <c r="E1499" s="51">
        <v>2205000</v>
      </c>
      <c r="F1499" s="52">
        <f t="shared" si="96"/>
        <v>176400</v>
      </c>
      <c r="G1499" s="53">
        <f t="shared" si="95"/>
        <v>2381400</v>
      </c>
      <c r="H1499" s="54">
        <v>2381400</v>
      </c>
      <c r="I1499" s="55">
        <f t="shared" si="97"/>
        <v>0</v>
      </c>
      <c r="J1499" s="56">
        <v>45950</v>
      </c>
      <c r="K1499" s="57"/>
    </row>
    <row r="1500" spans="1:11" ht="15.75" hidden="1" customHeight="1" x14ac:dyDescent="0.35">
      <c r="A1500" s="47" t="s">
        <v>2732</v>
      </c>
      <c r="B1500" s="48" t="s">
        <v>2651</v>
      </c>
      <c r="C1500" s="50" t="s">
        <v>2496</v>
      </c>
      <c r="D1500" s="50"/>
      <c r="E1500" s="51">
        <v>936000</v>
      </c>
      <c r="F1500" s="52">
        <f t="shared" si="96"/>
        <v>74880</v>
      </c>
      <c r="G1500" s="53">
        <f t="shared" si="95"/>
        <v>1010880</v>
      </c>
      <c r="H1500" s="54">
        <v>1010880</v>
      </c>
      <c r="I1500" s="55">
        <f t="shared" si="97"/>
        <v>0</v>
      </c>
      <c r="J1500" s="56">
        <v>45978</v>
      </c>
      <c r="K1500" s="57"/>
    </row>
    <row r="1501" spans="1:11" ht="15.75" hidden="1" customHeight="1" x14ac:dyDescent="0.35">
      <c r="A1501" s="47" t="s">
        <v>2692</v>
      </c>
      <c r="B1501" s="48" t="s">
        <v>2651</v>
      </c>
      <c r="C1501" s="50" t="s">
        <v>2497</v>
      </c>
      <c r="D1501" s="50"/>
      <c r="E1501" s="51">
        <v>2569500</v>
      </c>
      <c r="F1501" s="52">
        <f t="shared" si="96"/>
        <v>205560</v>
      </c>
      <c r="G1501" s="53">
        <f t="shared" si="95"/>
        <v>2775060</v>
      </c>
      <c r="H1501" s="54">
        <v>2775060</v>
      </c>
      <c r="I1501" s="55">
        <f t="shared" si="97"/>
        <v>0</v>
      </c>
      <c r="J1501" s="56">
        <v>45950</v>
      </c>
      <c r="K1501" s="57"/>
    </row>
    <row r="1502" spans="1:11" ht="15.75" hidden="1" customHeight="1" x14ac:dyDescent="0.35">
      <c r="A1502" s="47" t="s">
        <v>2729</v>
      </c>
      <c r="B1502" s="48" t="s">
        <v>2652</v>
      </c>
      <c r="C1502" s="50" t="s">
        <v>2498</v>
      </c>
      <c r="D1502" s="50"/>
      <c r="E1502" s="51">
        <v>904500</v>
      </c>
      <c r="F1502" s="52">
        <f t="shared" si="96"/>
        <v>72360</v>
      </c>
      <c r="G1502" s="53">
        <f t="shared" si="95"/>
        <v>976860</v>
      </c>
      <c r="H1502" s="54">
        <v>976860</v>
      </c>
      <c r="I1502" s="55">
        <f t="shared" si="97"/>
        <v>0</v>
      </c>
      <c r="J1502" s="56">
        <v>45950</v>
      </c>
      <c r="K1502" s="57"/>
    </row>
    <row r="1503" spans="1:11" ht="15.75" hidden="1" customHeight="1" x14ac:dyDescent="0.35">
      <c r="A1503" s="47" t="s">
        <v>2702</v>
      </c>
      <c r="B1503" s="48" t="s">
        <v>2653</v>
      </c>
      <c r="C1503" s="50" t="s">
        <v>2499</v>
      </c>
      <c r="D1503" s="50"/>
      <c r="E1503" s="51">
        <v>729000</v>
      </c>
      <c r="F1503" s="52">
        <f t="shared" si="96"/>
        <v>58320</v>
      </c>
      <c r="G1503" s="53">
        <f t="shared" si="95"/>
        <v>787320</v>
      </c>
      <c r="H1503" s="54">
        <v>787320</v>
      </c>
      <c r="I1503" s="55">
        <f t="shared" si="97"/>
        <v>0</v>
      </c>
      <c r="J1503" s="56">
        <v>45978</v>
      </c>
      <c r="K1503" s="57"/>
    </row>
    <row r="1504" spans="1:11" ht="15.75" hidden="1" customHeight="1" x14ac:dyDescent="0.35">
      <c r="A1504" s="47" t="s">
        <v>2736</v>
      </c>
      <c r="B1504" s="48" t="s">
        <v>2654</v>
      </c>
      <c r="C1504" s="50" t="s">
        <v>2500</v>
      </c>
      <c r="D1504" s="50"/>
      <c r="E1504" s="51">
        <v>364500</v>
      </c>
      <c r="F1504" s="52">
        <f t="shared" si="96"/>
        <v>29160</v>
      </c>
      <c r="G1504" s="53">
        <f t="shared" si="95"/>
        <v>393660</v>
      </c>
      <c r="H1504" s="54">
        <v>393660</v>
      </c>
      <c r="I1504" s="55">
        <f t="shared" si="97"/>
        <v>0</v>
      </c>
      <c r="J1504" s="56">
        <v>45978</v>
      </c>
      <c r="K1504" s="57"/>
    </row>
    <row r="1505" spans="1:11" ht="15.75" hidden="1" customHeight="1" x14ac:dyDescent="0.35">
      <c r="A1505" s="47" t="s">
        <v>2714</v>
      </c>
      <c r="B1505" s="48" t="s">
        <v>2654</v>
      </c>
      <c r="C1505" s="50" t="s">
        <v>2501</v>
      </c>
      <c r="D1505" s="50"/>
      <c r="E1505" s="51">
        <v>2569500</v>
      </c>
      <c r="F1505" s="52">
        <f t="shared" si="96"/>
        <v>205560</v>
      </c>
      <c r="G1505" s="53">
        <f t="shared" si="95"/>
        <v>2775060</v>
      </c>
      <c r="H1505" s="54">
        <v>2775060</v>
      </c>
      <c r="I1505" s="55">
        <f t="shared" si="97"/>
        <v>0</v>
      </c>
      <c r="J1505" s="56">
        <v>45978</v>
      </c>
      <c r="K1505" s="57"/>
    </row>
    <row r="1506" spans="1:11" ht="15.75" hidden="1" customHeight="1" x14ac:dyDescent="0.35">
      <c r="A1506" s="47" t="s">
        <v>2691</v>
      </c>
      <c r="B1506" s="48" t="s">
        <v>2654</v>
      </c>
      <c r="C1506" s="50" t="s">
        <v>2502</v>
      </c>
      <c r="D1506" s="50"/>
      <c r="E1506" s="51">
        <v>904500</v>
      </c>
      <c r="F1506" s="52">
        <f t="shared" si="96"/>
        <v>72360</v>
      </c>
      <c r="G1506" s="53">
        <f t="shared" si="95"/>
        <v>976860</v>
      </c>
      <c r="H1506" s="54">
        <v>976860</v>
      </c>
      <c r="I1506" s="55">
        <f t="shared" si="97"/>
        <v>0</v>
      </c>
      <c r="J1506" s="56">
        <v>45978</v>
      </c>
      <c r="K1506" s="57"/>
    </row>
    <row r="1507" spans="1:11" ht="15.75" hidden="1" customHeight="1" x14ac:dyDescent="0.35">
      <c r="A1507" s="47" t="s">
        <v>2695</v>
      </c>
      <c r="B1507" s="48" t="s">
        <v>2654</v>
      </c>
      <c r="C1507" s="49" t="s">
        <v>2503</v>
      </c>
      <c r="D1507" s="50"/>
      <c r="E1507" s="51">
        <v>6250500</v>
      </c>
      <c r="F1507" s="52">
        <f t="shared" si="96"/>
        <v>500040</v>
      </c>
      <c r="G1507" s="53">
        <f t="shared" si="95"/>
        <v>6750540</v>
      </c>
      <c r="H1507" s="54">
        <v>6750540</v>
      </c>
      <c r="I1507" s="55">
        <f t="shared" si="97"/>
        <v>0</v>
      </c>
      <c r="J1507" s="56">
        <v>45978</v>
      </c>
      <c r="K1507" s="57"/>
    </row>
    <row r="1508" spans="1:11" ht="15.75" hidden="1" customHeight="1" x14ac:dyDescent="0.35">
      <c r="A1508" s="47" t="s">
        <v>2728</v>
      </c>
      <c r="B1508" s="48" t="s">
        <v>2655</v>
      </c>
      <c r="C1508" s="50" t="s">
        <v>2504</v>
      </c>
      <c r="D1508" s="50"/>
      <c r="E1508" s="51">
        <v>648000</v>
      </c>
      <c r="F1508" s="52">
        <f t="shared" si="96"/>
        <v>51840</v>
      </c>
      <c r="G1508" s="53">
        <f t="shared" si="95"/>
        <v>699840</v>
      </c>
      <c r="H1508" s="54">
        <v>699840</v>
      </c>
      <c r="I1508" s="55">
        <f t="shared" si="97"/>
        <v>0</v>
      </c>
      <c r="J1508" s="56">
        <v>45978</v>
      </c>
      <c r="K1508" s="57"/>
    </row>
    <row r="1509" spans="1:11" ht="15.75" hidden="1" customHeight="1" x14ac:dyDescent="0.35">
      <c r="A1509" s="47" t="s">
        <v>2710</v>
      </c>
      <c r="B1509" s="48" t="s">
        <v>2656</v>
      </c>
      <c r="C1509" s="50" t="s">
        <v>2505</v>
      </c>
      <c r="D1509" s="50"/>
      <c r="E1509" s="51">
        <v>2284000</v>
      </c>
      <c r="F1509" s="52">
        <f t="shared" si="96"/>
        <v>182720</v>
      </c>
      <c r="G1509" s="53">
        <f t="shared" si="95"/>
        <v>2466720</v>
      </c>
      <c r="H1509" s="54">
        <v>2466720</v>
      </c>
      <c r="I1509" s="55">
        <f t="shared" si="97"/>
        <v>0</v>
      </c>
      <c r="J1509" s="56">
        <v>45978</v>
      </c>
      <c r="K1509" s="57"/>
    </row>
    <row r="1510" spans="1:11" ht="15.75" hidden="1" customHeight="1" x14ac:dyDescent="0.35">
      <c r="A1510" s="47" t="s">
        <v>2711</v>
      </c>
      <c r="B1510" s="48" t="s">
        <v>2656</v>
      </c>
      <c r="C1510" s="50" t="s">
        <v>2506</v>
      </c>
      <c r="D1510" s="50"/>
      <c r="E1510" s="51">
        <v>804000</v>
      </c>
      <c r="F1510" s="52">
        <f t="shared" si="96"/>
        <v>64320</v>
      </c>
      <c r="G1510" s="53">
        <f t="shared" si="95"/>
        <v>868320</v>
      </c>
      <c r="H1510" s="54">
        <v>868320</v>
      </c>
      <c r="I1510" s="55">
        <f t="shared" si="97"/>
        <v>0</v>
      </c>
      <c r="J1510" s="56">
        <v>45978</v>
      </c>
      <c r="K1510" s="57"/>
    </row>
    <row r="1511" spans="1:11" ht="15.75" hidden="1" customHeight="1" x14ac:dyDescent="0.35">
      <c r="A1511" s="47" t="s">
        <v>2727</v>
      </c>
      <c r="B1511" s="48" t="s">
        <v>2656</v>
      </c>
      <c r="C1511" s="50" t="s">
        <v>2507</v>
      </c>
      <c r="D1511" s="50"/>
      <c r="E1511" s="51">
        <v>1636000</v>
      </c>
      <c r="F1511" s="52">
        <f t="shared" si="96"/>
        <v>130880</v>
      </c>
      <c r="G1511" s="53">
        <f t="shared" si="95"/>
        <v>1766880</v>
      </c>
      <c r="H1511" s="54">
        <v>1766880</v>
      </c>
      <c r="I1511" s="55">
        <f t="shared" si="97"/>
        <v>0</v>
      </c>
      <c r="J1511" s="56">
        <v>45978</v>
      </c>
      <c r="K1511" s="57"/>
    </row>
    <row r="1512" spans="1:11" ht="15.75" hidden="1" customHeight="1" x14ac:dyDescent="0.35">
      <c r="A1512" s="47" t="s">
        <v>2703</v>
      </c>
      <c r="B1512" s="48" t="s">
        <v>2657</v>
      </c>
      <c r="C1512" s="50" t="s">
        <v>1707</v>
      </c>
      <c r="D1512" s="50"/>
      <c r="E1512" s="51">
        <v>1142000</v>
      </c>
      <c r="F1512" s="52">
        <f t="shared" si="96"/>
        <v>91360</v>
      </c>
      <c r="G1512" s="53">
        <f t="shared" si="95"/>
        <v>1233360</v>
      </c>
      <c r="H1512" s="54">
        <v>1233360</v>
      </c>
      <c r="I1512" s="55">
        <f t="shared" si="97"/>
        <v>0</v>
      </c>
      <c r="J1512" s="56">
        <v>45978</v>
      </c>
      <c r="K1512" s="57"/>
    </row>
    <row r="1513" spans="1:11" ht="15.75" hidden="1" customHeight="1" x14ac:dyDescent="0.35">
      <c r="A1513" s="47" t="s">
        <v>2699</v>
      </c>
      <c r="B1513" s="48" t="s">
        <v>2658</v>
      </c>
      <c r="C1513" s="50" t="s">
        <v>2508</v>
      </c>
      <c r="D1513" s="50"/>
      <c r="E1513" s="51">
        <v>832000</v>
      </c>
      <c r="F1513" s="52">
        <f t="shared" si="96"/>
        <v>66560</v>
      </c>
      <c r="G1513" s="53">
        <f t="shared" si="95"/>
        <v>898560</v>
      </c>
      <c r="H1513" s="54">
        <v>898560</v>
      </c>
      <c r="I1513" s="55">
        <f t="shared" si="97"/>
        <v>0</v>
      </c>
      <c r="J1513" s="56">
        <v>45978</v>
      </c>
      <c r="K1513" s="57"/>
    </row>
    <row r="1514" spans="1:11" ht="15.75" hidden="1" customHeight="1" x14ac:dyDescent="0.35">
      <c r="A1514" s="47" t="s">
        <v>2698</v>
      </c>
      <c r="B1514" s="48" t="s">
        <v>2658</v>
      </c>
      <c r="C1514" s="50" t="s">
        <v>2509</v>
      </c>
      <c r="D1514" s="50"/>
      <c r="E1514" s="51">
        <v>648000</v>
      </c>
      <c r="F1514" s="52">
        <f t="shared" si="96"/>
        <v>51840</v>
      </c>
      <c r="G1514" s="53">
        <f t="shared" si="95"/>
        <v>699840</v>
      </c>
      <c r="H1514" s="54">
        <v>699840</v>
      </c>
      <c r="I1514" s="55">
        <f t="shared" si="97"/>
        <v>0</v>
      </c>
      <c r="J1514" s="56">
        <v>45978</v>
      </c>
      <c r="K1514" s="57"/>
    </row>
    <row r="1515" spans="1:11" ht="15.75" hidden="1" customHeight="1" x14ac:dyDescent="0.35">
      <c r="A1515" s="47" t="s">
        <v>2684</v>
      </c>
      <c r="B1515" s="48" t="s">
        <v>2658</v>
      </c>
      <c r="C1515" s="50" t="s">
        <v>2510</v>
      </c>
      <c r="D1515" s="50"/>
      <c r="E1515" s="51">
        <v>2440000</v>
      </c>
      <c r="F1515" s="52">
        <f t="shared" si="96"/>
        <v>195200</v>
      </c>
      <c r="G1515" s="53">
        <f t="shared" si="95"/>
        <v>2635200</v>
      </c>
      <c r="H1515" s="54">
        <v>2635200</v>
      </c>
      <c r="I1515" s="55">
        <f t="shared" si="97"/>
        <v>0</v>
      </c>
      <c r="J1515" s="56">
        <v>45978</v>
      </c>
      <c r="K1515" s="57"/>
    </row>
    <row r="1516" spans="1:11" ht="15.75" hidden="1" customHeight="1" x14ac:dyDescent="0.35">
      <c r="A1516" s="47" t="s">
        <v>2688</v>
      </c>
      <c r="B1516" s="48" t="s">
        <v>2658</v>
      </c>
      <c r="C1516" s="50" t="s">
        <v>1711</v>
      </c>
      <c r="D1516" s="50"/>
      <c r="E1516" s="51">
        <v>1664000</v>
      </c>
      <c r="F1516" s="52">
        <f t="shared" si="96"/>
        <v>133120</v>
      </c>
      <c r="G1516" s="53">
        <f t="shared" si="95"/>
        <v>1797120</v>
      </c>
      <c r="H1516" s="54">
        <v>1797120</v>
      </c>
      <c r="I1516" s="55">
        <f t="shared" si="97"/>
        <v>0</v>
      </c>
      <c r="J1516" s="56">
        <v>45978</v>
      </c>
      <c r="K1516" s="57"/>
    </row>
    <row r="1517" spans="1:11" ht="15.75" hidden="1" customHeight="1" x14ac:dyDescent="0.35">
      <c r="A1517" s="47" t="s">
        <v>2691</v>
      </c>
      <c r="B1517" s="48" t="s">
        <v>2659</v>
      </c>
      <c r="C1517" s="50" t="s">
        <v>2511</v>
      </c>
      <c r="D1517" s="50"/>
      <c r="E1517" s="51">
        <v>1142000</v>
      </c>
      <c r="F1517" s="52">
        <f t="shared" si="96"/>
        <v>91360</v>
      </c>
      <c r="G1517" s="53">
        <f t="shared" si="95"/>
        <v>1233360</v>
      </c>
      <c r="H1517" s="54">
        <v>1233360</v>
      </c>
      <c r="I1517" s="55">
        <f t="shared" si="97"/>
        <v>0</v>
      </c>
      <c r="J1517" s="56">
        <v>45978</v>
      </c>
      <c r="K1517" s="57"/>
    </row>
    <row r="1518" spans="1:11" ht="15.75" hidden="1" customHeight="1" x14ac:dyDescent="0.35">
      <c r="A1518" s="47" t="s">
        <v>2681</v>
      </c>
      <c r="B1518" s="48" t="s">
        <v>2659</v>
      </c>
      <c r="C1518" s="49" t="s">
        <v>2512</v>
      </c>
      <c r="D1518" s="50"/>
      <c r="E1518" s="51">
        <v>1868000</v>
      </c>
      <c r="F1518" s="52">
        <f t="shared" si="96"/>
        <v>149440</v>
      </c>
      <c r="G1518" s="53">
        <f t="shared" si="95"/>
        <v>2017440</v>
      </c>
      <c r="H1518" s="54">
        <v>2017440</v>
      </c>
      <c r="I1518" s="55">
        <f t="shared" si="97"/>
        <v>0</v>
      </c>
      <c r="J1518" s="56">
        <v>46008</v>
      </c>
      <c r="K1518" s="57"/>
    </row>
    <row r="1519" spans="1:11" ht="15.75" hidden="1" customHeight="1" x14ac:dyDescent="0.35">
      <c r="A1519" s="47" t="s">
        <v>24</v>
      </c>
      <c r="B1519" s="48" t="s">
        <v>2659</v>
      </c>
      <c r="C1519" s="50" t="s">
        <v>2513</v>
      </c>
      <c r="D1519" s="50"/>
      <c r="E1519" s="51">
        <v>3088000</v>
      </c>
      <c r="F1519" s="52">
        <f t="shared" si="96"/>
        <v>247040</v>
      </c>
      <c r="G1519" s="53">
        <f t="shared" si="95"/>
        <v>3335040</v>
      </c>
      <c r="H1519" s="54">
        <v>3335040</v>
      </c>
      <c r="I1519" s="55">
        <f t="shared" si="97"/>
        <v>0</v>
      </c>
      <c r="J1519" s="56">
        <v>45978</v>
      </c>
      <c r="K1519" s="57"/>
    </row>
    <row r="1520" spans="1:11" ht="15.75" hidden="1" customHeight="1" x14ac:dyDescent="0.35">
      <c r="A1520" s="47" t="s">
        <v>2749</v>
      </c>
      <c r="B1520" s="48" t="s">
        <v>2660</v>
      </c>
      <c r="C1520" s="50" t="s">
        <v>2514</v>
      </c>
      <c r="D1520" s="50"/>
      <c r="E1520" s="51">
        <v>804000</v>
      </c>
      <c r="F1520" s="52">
        <f t="shared" si="96"/>
        <v>64320</v>
      </c>
      <c r="G1520" s="53">
        <f t="shared" si="95"/>
        <v>868320</v>
      </c>
      <c r="H1520" s="54">
        <v>868320</v>
      </c>
      <c r="I1520" s="55">
        <f t="shared" si="97"/>
        <v>0</v>
      </c>
      <c r="J1520" s="56">
        <v>45978</v>
      </c>
      <c r="K1520" s="57"/>
    </row>
    <row r="1521" spans="1:11" ht="15.75" hidden="1" customHeight="1" x14ac:dyDescent="0.35">
      <c r="A1521" s="47" t="s">
        <v>55</v>
      </c>
      <c r="B1521" s="48" t="s">
        <v>2660</v>
      </c>
      <c r="C1521" s="50" t="s">
        <v>2515</v>
      </c>
      <c r="D1521" s="50"/>
      <c r="E1521" s="51">
        <v>804000</v>
      </c>
      <c r="F1521" s="52">
        <f t="shared" si="96"/>
        <v>64320</v>
      </c>
      <c r="G1521" s="53">
        <f t="shared" si="95"/>
        <v>868320</v>
      </c>
      <c r="H1521" s="54">
        <v>868320</v>
      </c>
      <c r="I1521" s="55">
        <f t="shared" si="97"/>
        <v>0</v>
      </c>
      <c r="J1521" s="56">
        <v>45978</v>
      </c>
      <c r="K1521" s="57"/>
    </row>
    <row r="1522" spans="1:11" ht="15.75" hidden="1" customHeight="1" x14ac:dyDescent="0.35">
      <c r="A1522" s="47" t="s">
        <v>2717</v>
      </c>
      <c r="B1522" s="48" t="s">
        <v>2661</v>
      </c>
      <c r="C1522" s="50" t="s">
        <v>2516</v>
      </c>
      <c r="D1522" s="50"/>
      <c r="E1522" s="51">
        <v>2284000</v>
      </c>
      <c r="F1522" s="52">
        <f t="shared" si="96"/>
        <v>182720</v>
      </c>
      <c r="G1522" s="53">
        <f t="shared" si="95"/>
        <v>2466720</v>
      </c>
      <c r="H1522" s="54">
        <v>2466720</v>
      </c>
      <c r="I1522" s="55">
        <f t="shared" si="97"/>
        <v>0</v>
      </c>
      <c r="J1522" s="56">
        <v>45978</v>
      </c>
      <c r="K1522" s="57"/>
    </row>
    <row r="1523" spans="1:11" ht="15.75" hidden="1" customHeight="1" x14ac:dyDescent="0.35">
      <c r="A1523" s="47" t="s">
        <v>2695</v>
      </c>
      <c r="B1523" s="48">
        <v>45986</v>
      </c>
      <c r="C1523" s="50" t="s">
        <v>1745</v>
      </c>
      <c r="D1523" s="50" t="s">
        <v>2795</v>
      </c>
      <c r="E1523" s="51">
        <v>0</v>
      </c>
      <c r="F1523" s="52">
        <f t="shared" si="96"/>
        <v>0</v>
      </c>
      <c r="G1523" s="53">
        <f t="shared" si="95"/>
        <v>0</v>
      </c>
      <c r="H1523" s="54"/>
      <c r="I1523" s="55">
        <f t="shared" si="97"/>
        <v>0</v>
      </c>
      <c r="J1523" s="56"/>
      <c r="K1523" s="57"/>
    </row>
    <row r="1524" spans="1:11" ht="15.75" hidden="1" customHeight="1" x14ac:dyDescent="0.35">
      <c r="A1524" s="47" t="s">
        <v>2704</v>
      </c>
      <c r="B1524" s="48" t="s">
        <v>2661</v>
      </c>
      <c r="C1524" s="50" t="s">
        <v>2517</v>
      </c>
      <c r="D1524" s="50"/>
      <c r="E1524" s="51">
        <v>2284000</v>
      </c>
      <c r="F1524" s="52">
        <f t="shared" si="96"/>
        <v>182720</v>
      </c>
      <c r="G1524" s="53">
        <f t="shared" si="95"/>
        <v>2466720</v>
      </c>
      <c r="H1524" s="54">
        <v>2466720</v>
      </c>
      <c r="I1524" s="55">
        <f t="shared" si="97"/>
        <v>0</v>
      </c>
      <c r="J1524" s="56">
        <v>45978</v>
      </c>
      <c r="K1524" s="57"/>
    </row>
    <row r="1525" spans="1:11" ht="15.75" hidden="1" customHeight="1" x14ac:dyDescent="0.35">
      <c r="A1525" s="47" t="s">
        <v>2741</v>
      </c>
      <c r="B1525" s="48" t="s">
        <v>2661</v>
      </c>
      <c r="C1525" s="50" t="s">
        <v>2518</v>
      </c>
      <c r="D1525" s="50"/>
      <c r="E1525" s="51">
        <v>402000</v>
      </c>
      <c r="F1525" s="52">
        <f t="shared" si="96"/>
        <v>32160</v>
      </c>
      <c r="G1525" s="53">
        <f t="shared" si="95"/>
        <v>434160</v>
      </c>
      <c r="H1525" s="54">
        <v>434160</v>
      </c>
      <c r="I1525" s="55">
        <f t="shared" si="97"/>
        <v>0</v>
      </c>
      <c r="J1525" s="56">
        <v>45978</v>
      </c>
      <c r="K1525" s="57"/>
    </row>
    <row r="1526" spans="1:11" ht="15.75" hidden="1" customHeight="1" x14ac:dyDescent="0.35">
      <c r="A1526" s="47" t="s">
        <v>2689</v>
      </c>
      <c r="B1526" s="48" t="s">
        <v>2661</v>
      </c>
      <c r="C1526" s="50" t="s">
        <v>2519</v>
      </c>
      <c r="D1526" s="50"/>
      <c r="E1526" s="51">
        <v>1636000</v>
      </c>
      <c r="F1526" s="52">
        <f t="shared" si="96"/>
        <v>130880</v>
      </c>
      <c r="G1526" s="53">
        <f t="shared" si="95"/>
        <v>1766880</v>
      </c>
      <c r="H1526" s="54">
        <v>1766880</v>
      </c>
      <c r="I1526" s="55">
        <f t="shared" si="97"/>
        <v>0</v>
      </c>
      <c r="J1526" s="56">
        <v>45978</v>
      </c>
      <c r="K1526" s="57"/>
    </row>
    <row r="1527" spans="1:11" ht="15.75" hidden="1" customHeight="1" x14ac:dyDescent="0.35">
      <c r="A1527" s="47" t="s">
        <v>2740</v>
      </c>
      <c r="B1527" s="48" t="s">
        <v>2661</v>
      </c>
      <c r="C1527" s="50" t="s">
        <v>2520</v>
      </c>
      <c r="D1527" s="50"/>
      <c r="E1527" s="51">
        <v>1960000</v>
      </c>
      <c r="F1527" s="52">
        <f t="shared" si="96"/>
        <v>156800</v>
      </c>
      <c r="G1527" s="53">
        <f t="shared" ref="G1527:G1590" si="98">E1527+F1527</f>
        <v>2116800</v>
      </c>
      <c r="H1527" s="54">
        <v>2116800</v>
      </c>
      <c r="I1527" s="55">
        <f t="shared" si="97"/>
        <v>0</v>
      </c>
      <c r="J1527" s="56">
        <v>45978</v>
      </c>
      <c r="K1527" s="57"/>
    </row>
    <row r="1528" spans="1:11" ht="15.75" hidden="1" customHeight="1" x14ac:dyDescent="0.35">
      <c r="A1528" s="47" t="s">
        <v>56</v>
      </c>
      <c r="B1528" s="48" t="s">
        <v>2662</v>
      </c>
      <c r="C1528" s="50" t="s">
        <v>2521</v>
      </c>
      <c r="D1528" s="50"/>
      <c r="E1528" s="51">
        <v>1636000</v>
      </c>
      <c r="F1528" s="52">
        <f t="shared" ref="F1528:F1591" si="99">+E1528*0.08</f>
        <v>130880</v>
      </c>
      <c r="G1528" s="53">
        <f t="shared" si="98"/>
        <v>1766880</v>
      </c>
      <c r="H1528" s="54">
        <v>1766880</v>
      </c>
      <c r="I1528" s="55">
        <f t="shared" ref="I1528:I1591" si="100">G1528-H1528</f>
        <v>0</v>
      </c>
      <c r="J1528" s="56">
        <v>45978</v>
      </c>
      <c r="K1528" s="57"/>
    </row>
    <row r="1529" spans="1:11" ht="15.75" hidden="1" customHeight="1" x14ac:dyDescent="0.35">
      <c r="A1529" s="47" t="s">
        <v>2680</v>
      </c>
      <c r="B1529" s="48" t="s">
        <v>2662</v>
      </c>
      <c r="C1529" s="50" t="s">
        <v>2522</v>
      </c>
      <c r="D1529" s="50"/>
      <c r="E1529" s="51">
        <v>832000</v>
      </c>
      <c r="F1529" s="52">
        <f t="shared" si="99"/>
        <v>66560</v>
      </c>
      <c r="G1529" s="53">
        <f t="shared" si="98"/>
        <v>898560</v>
      </c>
      <c r="H1529" s="54">
        <v>898560</v>
      </c>
      <c r="I1529" s="55">
        <f t="shared" si="100"/>
        <v>0</v>
      </c>
      <c r="J1529" s="56">
        <v>45978</v>
      </c>
      <c r="K1529" s="57"/>
    </row>
    <row r="1530" spans="1:11" ht="15.75" hidden="1" customHeight="1" x14ac:dyDescent="0.35">
      <c r="A1530" s="47" t="s">
        <v>2738</v>
      </c>
      <c r="B1530" s="48" t="s">
        <v>2662</v>
      </c>
      <c r="C1530" s="50" t="s">
        <v>2523</v>
      </c>
      <c r="D1530" s="50"/>
      <c r="E1530" s="51">
        <v>772000</v>
      </c>
      <c r="F1530" s="52">
        <f t="shared" si="99"/>
        <v>61760</v>
      </c>
      <c r="G1530" s="53">
        <f t="shared" si="98"/>
        <v>833760</v>
      </c>
      <c r="H1530" s="54">
        <v>833760</v>
      </c>
      <c r="I1530" s="55">
        <f t="shared" si="100"/>
        <v>0</v>
      </c>
      <c r="J1530" s="56">
        <v>45978</v>
      </c>
      <c r="K1530" s="57"/>
    </row>
    <row r="1531" spans="1:11" ht="15.75" hidden="1" customHeight="1" x14ac:dyDescent="0.35">
      <c r="A1531" s="47" t="s">
        <v>2688</v>
      </c>
      <c r="B1531" s="48" t="s">
        <v>2662</v>
      </c>
      <c r="C1531" s="50" t="s">
        <v>2524</v>
      </c>
      <c r="D1531" s="50"/>
      <c r="E1531" s="51">
        <v>2412000</v>
      </c>
      <c r="F1531" s="52">
        <f t="shared" si="99"/>
        <v>192960</v>
      </c>
      <c r="G1531" s="53">
        <f t="shared" si="98"/>
        <v>2604960</v>
      </c>
      <c r="H1531" s="54">
        <v>2604960</v>
      </c>
      <c r="I1531" s="55">
        <f t="shared" si="100"/>
        <v>0</v>
      </c>
      <c r="J1531" s="56">
        <v>45978</v>
      </c>
      <c r="K1531" s="57"/>
    </row>
    <row r="1532" spans="1:11" ht="15.75" hidden="1" customHeight="1" x14ac:dyDescent="0.35">
      <c r="A1532" s="47" t="s">
        <v>2728</v>
      </c>
      <c r="B1532" s="48" t="s">
        <v>2663</v>
      </c>
      <c r="C1532" s="50" t="s">
        <v>2525</v>
      </c>
      <c r="D1532" s="50"/>
      <c r="E1532" s="51">
        <v>804000</v>
      </c>
      <c r="F1532" s="52">
        <f t="shared" si="99"/>
        <v>64320</v>
      </c>
      <c r="G1532" s="53">
        <f t="shared" si="98"/>
        <v>868320</v>
      </c>
      <c r="H1532" s="54">
        <v>868320</v>
      </c>
      <c r="I1532" s="55">
        <f t="shared" si="100"/>
        <v>0</v>
      </c>
      <c r="J1532" s="56">
        <v>45978</v>
      </c>
      <c r="K1532" s="57"/>
    </row>
    <row r="1533" spans="1:11" ht="15.75" hidden="1" customHeight="1" x14ac:dyDescent="0.35">
      <c r="A1533" s="47" t="s">
        <v>2688</v>
      </c>
      <c r="B1533" s="48" t="s">
        <v>2663</v>
      </c>
      <c r="C1533" s="50" t="s">
        <v>2526</v>
      </c>
      <c r="D1533" s="50"/>
      <c r="E1533" s="51">
        <v>1296000</v>
      </c>
      <c r="F1533" s="52">
        <f t="shared" si="99"/>
        <v>103680</v>
      </c>
      <c r="G1533" s="53">
        <f t="shared" si="98"/>
        <v>1399680</v>
      </c>
      <c r="H1533" s="54">
        <v>1399680</v>
      </c>
      <c r="I1533" s="55">
        <f t="shared" si="100"/>
        <v>0</v>
      </c>
      <c r="J1533" s="56">
        <v>45978</v>
      </c>
      <c r="K1533" s="57"/>
    </row>
    <row r="1534" spans="1:11" ht="15.75" hidden="1" customHeight="1" x14ac:dyDescent="0.35">
      <c r="A1534" s="47" t="s">
        <v>2732</v>
      </c>
      <c r="B1534" s="48" t="s">
        <v>2663</v>
      </c>
      <c r="C1534" s="50" t="s">
        <v>2527</v>
      </c>
      <c r="D1534" s="50"/>
      <c r="E1534" s="51">
        <v>804000</v>
      </c>
      <c r="F1534" s="52">
        <f t="shared" si="99"/>
        <v>64320</v>
      </c>
      <c r="G1534" s="53">
        <f t="shared" si="98"/>
        <v>868320</v>
      </c>
      <c r="H1534" s="54">
        <v>868320</v>
      </c>
      <c r="I1534" s="55">
        <f t="shared" si="100"/>
        <v>0</v>
      </c>
      <c r="J1534" s="56">
        <v>45978</v>
      </c>
      <c r="K1534" s="57"/>
    </row>
    <row r="1535" spans="1:11" ht="15.75" hidden="1" customHeight="1" x14ac:dyDescent="0.35">
      <c r="A1535" s="47" t="s">
        <v>2717</v>
      </c>
      <c r="B1535" s="48" t="s">
        <v>2663</v>
      </c>
      <c r="C1535" s="50" t="s">
        <v>2528</v>
      </c>
      <c r="D1535" s="50"/>
      <c r="E1535" s="51">
        <v>2284000</v>
      </c>
      <c r="F1535" s="52">
        <f t="shared" si="99"/>
        <v>182720</v>
      </c>
      <c r="G1535" s="53">
        <f t="shared" si="98"/>
        <v>2466720</v>
      </c>
      <c r="H1535" s="54">
        <v>2466720</v>
      </c>
      <c r="I1535" s="55">
        <f t="shared" si="100"/>
        <v>0</v>
      </c>
      <c r="J1535" s="56">
        <v>45978</v>
      </c>
      <c r="K1535" s="57"/>
    </row>
    <row r="1536" spans="1:11" ht="15.75" hidden="1" customHeight="1" x14ac:dyDescent="0.35">
      <c r="A1536" s="47" t="s">
        <v>2729</v>
      </c>
      <c r="B1536" s="48" t="s">
        <v>2663</v>
      </c>
      <c r="C1536" s="50" t="s">
        <v>2529</v>
      </c>
      <c r="D1536" s="50"/>
      <c r="E1536" s="51">
        <v>740000</v>
      </c>
      <c r="F1536" s="52">
        <f t="shared" si="99"/>
        <v>59200</v>
      </c>
      <c r="G1536" s="53">
        <f t="shared" si="98"/>
        <v>799200</v>
      </c>
      <c r="H1536" s="54">
        <v>799200</v>
      </c>
      <c r="I1536" s="55">
        <f t="shared" si="100"/>
        <v>0</v>
      </c>
      <c r="J1536" s="56">
        <v>45978</v>
      </c>
      <c r="K1536" s="57"/>
    </row>
    <row r="1537" spans="1:11" ht="15.75" hidden="1" customHeight="1" x14ac:dyDescent="0.35">
      <c r="A1537" s="47" t="s">
        <v>2730</v>
      </c>
      <c r="B1537" s="48" t="s">
        <v>2663</v>
      </c>
      <c r="C1537" s="50" t="s">
        <v>2530</v>
      </c>
      <c r="D1537" s="50"/>
      <c r="E1537" s="51">
        <v>3244000</v>
      </c>
      <c r="F1537" s="52">
        <f t="shared" si="99"/>
        <v>259520</v>
      </c>
      <c r="G1537" s="53">
        <f t="shared" si="98"/>
        <v>3503520</v>
      </c>
      <c r="H1537" s="54">
        <v>3503520</v>
      </c>
      <c r="I1537" s="55">
        <f t="shared" si="100"/>
        <v>0</v>
      </c>
      <c r="J1537" s="56">
        <v>45978</v>
      </c>
      <c r="K1537" s="57"/>
    </row>
    <row r="1538" spans="1:11" ht="15.75" hidden="1" customHeight="1" x14ac:dyDescent="0.35">
      <c r="A1538" s="47" t="s">
        <v>2723</v>
      </c>
      <c r="B1538" s="48" t="s">
        <v>2664</v>
      </c>
      <c r="C1538" s="50" t="s">
        <v>1766</v>
      </c>
      <c r="D1538" s="50"/>
      <c r="E1538" s="51">
        <v>832000</v>
      </c>
      <c r="F1538" s="52">
        <f t="shared" si="99"/>
        <v>66560</v>
      </c>
      <c r="G1538" s="53">
        <f t="shared" si="98"/>
        <v>898560</v>
      </c>
      <c r="H1538" s="54">
        <v>898560</v>
      </c>
      <c r="I1538" s="55">
        <f t="shared" si="100"/>
        <v>0</v>
      </c>
      <c r="J1538" s="56">
        <v>45978</v>
      </c>
      <c r="K1538" s="57"/>
    </row>
    <row r="1539" spans="1:11" ht="15.75" hidden="1" customHeight="1" x14ac:dyDescent="0.35">
      <c r="A1539" s="47" t="s">
        <v>2683</v>
      </c>
      <c r="B1539" s="48" t="s">
        <v>2664</v>
      </c>
      <c r="C1539" s="50" t="s">
        <v>1767</v>
      </c>
      <c r="D1539" s="50"/>
      <c r="E1539" s="51">
        <v>1636000</v>
      </c>
      <c r="F1539" s="52">
        <f t="shared" si="99"/>
        <v>130880</v>
      </c>
      <c r="G1539" s="53">
        <f t="shared" si="98"/>
        <v>1766880</v>
      </c>
      <c r="H1539" s="54">
        <v>1766880</v>
      </c>
      <c r="I1539" s="55">
        <f t="shared" si="100"/>
        <v>0</v>
      </c>
      <c r="J1539" s="56">
        <v>45978</v>
      </c>
      <c r="K1539" s="57"/>
    </row>
    <row r="1540" spans="1:11" ht="15.75" hidden="1" customHeight="1" x14ac:dyDescent="0.35">
      <c r="A1540" s="47" t="s">
        <v>770</v>
      </c>
      <c r="B1540" s="48" t="s">
        <v>2664</v>
      </c>
      <c r="C1540" s="50" t="s">
        <v>2531</v>
      </c>
      <c r="D1540" s="50"/>
      <c r="E1540" s="51">
        <v>1128000</v>
      </c>
      <c r="F1540" s="52">
        <f t="shared" si="99"/>
        <v>90240</v>
      </c>
      <c r="G1540" s="53">
        <f t="shared" si="98"/>
        <v>1218240</v>
      </c>
      <c r="H1540" s="54">
        <v>1218240</v>
      </c>
      <c r="I1540" s="55">
        <f t="shared" si="100"/>
        <v>0</v>
      </c>
      <c r="J1540" s="56">
        <v>45978</v>
      </c>
      <c r="K1540" s="57"/>
    </row>
    <row r="1541" spans="1:11" ht="15.75" hidden="1" customHeight="1" x14ac:dyDescent="0.35">
      <c r="A1541" s="47" t="s">
        <v>2688</v>
      </c>
      <c r="B1541" s="48" t="s">
        <v>2664</v>
      </c>
      <c r="C1541" s="50" t="s">
        <v>2532</v>
      </c>
      <c r="D1541" s="50"/>
      <c r="E1541" s="51">
        <v>1664000</v>
      </c>
      <c r="F1541" s="52">
        <f t="shared" si="99"/>
        <v>133120</v>
      </c>
      <c r="G1541" s="53">
        <f t="shared" si="98"/>
        <v>1797120</v>
      </c>
      <c r="H1541" s="54">
        <v>1797120</v>
      </c>
      <c r="I1541" s="55">
        <f t="shared" si="100"/>
        <v>0</v>
      </c>
      <c r="J1541" s="56">
        <v>45978</v>
      </c>
      <c r="K1541" s="57"/>
    </row>
    <row r="1542" spans="1:11" ht="15.75" hidden="1" customHeight="1" x14ac:dyDescent="0.35">
      <c r="A1542" s="47" t="s">
        <v>2721</v>
      </c>
      <c r="B1542" s="48" t="s">
        <v>2665</v>
      </c>
      <c r="C1542" s="50" t="s">
        <v>2533</v>
      </c>
      <c r="D1542" s="50"/>
      <c r="E1542" s="51">
        <v>818000</v>
      </c>
      <c r="F1542" s="52">
        <f t="shared" si="99"/>
        <v>65440</v>
      </c>
      <c r="G1542" s="53">
        <f t="shared" si="98"/>
        <v>883440</v>
      </c>
      <c r="H1542" s="54">
        <v>883440</v>
      </c>
      <c r="I1542" s="55">
        <f t="shared" si="100"/>
        <v>0</v>
      </c>
      <c r="J1542" s="56">
        <v>45978</v>
      </c>
      <c r="K1542" s="57"/>
    </row>
    <row r="1543" spans="1:11" ht="15.75" hidden="1" customHeight="1" x14ac:dyDescent="0.35">
      <c r="A1543" s="47" t="s">
        <v>2720</v>
      </c>
      <c r="B1543" s="48" t="s">
        <v>2665</v>
      </c>
      <c r="C1543" s="50" t="s">
        <v>2534</v>
      </c>
      <c r="D1543" s="50"/>
      <c r="E1543" s="51">
        <v>818000</v>
      </c>
      <c r="F1543" s="52">
        <f t="shared" si="99"/>
        <v>65440</v>
      </c>
      <c r="G1543" s="53">
        <f t="shared" si="98"/>
        <v>883440</v>
      </c>
      <c r="H1543" s="54">
        <v>883440</v>
      </c>
      <c r="I1543" s="55">
        <f t="shared" si="100"/>
        <v>0</v>
      </c>
      <c r="J1543" s="56">
        <v>45978</v>
      </c>
      <c r="K1543" s="57"/>
    </row>
    <row r="1544" spans="1:11" ht="15.75" hidden="1" customHeight="1" x14ac:dyDescent="0.35">
      <c r="A1544" s="47" t="s">
        <v>2747</v>
      </c>
      <c r="B1544" s="48" t="s">
        <v>2665</v>
      </c>
      <c r="C1544" s="50" t="s">
        <v>2535</v>
      </c>
      <c r="D1544" s="50"/>
      <c r="E1544" s="51">
        <v>2284000</v>
      </c>
      <c r="F1544" s="52">
        <f t="shared" si="99"/>
        <v>182720</v>
      </c>
      <c r="G1544" s="53">
        <f t="shared" si="98"/>
        <v>2466720</v>
      </c>
      <c r="H1544" s="54">
        <v>2466720</v>
      </c>
      <c r="I1544" s="55">
        <f t="shared" si="100"/>
        <v>0</v>
      </c>
      <c r="J1544" s="56">
        <v>45978</v>
      </c>
      <c r="K1544" s="57"/>
    </row>
    <row r="1545" spans="1:11" ht="15.75" hidden="1" customHeight="1" x14ac:dyDescent="0.35">
      <c r="A1545" s="47" t="s">
        <v>2701</v>
      </c>
      <c r="B1545" s="48" t="s">
        <v>2665</v>
      </c>
      <c r="C1545" s="50" t="s">
        <v>2536</v>
      </c>
      <c r="D1545" s="50"/>
      <c r="E1545" s="51">
        <v>324000</v>
      </c>
      <c r="F1545" s="52">
        <f t="shared" si="99"/>
        <v>25920</v>
      </c>
      <c r="G1545" s="53">
        <f t="shared" si="98"/>
        <v>349920</v>
      </c>
      <c r="H1545" s="54">
        <v>349920</v>
      </c>
      <c r="I1545" s="55">
        <f t="shared" si="100"/>
        <v>0</v>
      </c>
      <c r="J1545" s="56">
        <v>45978</v>
      </c>
      <c r="K1545" s="57"/>
    </row>
    <row r="1546" spans="1:11" ht="15.75" hidden="1" customHeight="1" x14ac:dyDescent="0.35">
      <c r="A1546" s="47" t="s">
        <v>2695</v>
      </c>
      <c r="B1546" s="48" t="s">
        <v>2665</v>
      </c>
      <c r="C1546" s="50" t="s">
        <v>2537</v>
      </c>
      <c r="D1546" s="50"/>
      <c r="E1546" s="51">
        <v>5556000</v>
      </c>
      <c r="F1546" s="52">
        <f t="shared" si="99"/>
        <v>444480</v>
      </c>
      <c r="G1546" s="53">
        <f t="shared" si="98"/>
        <v>6000480</v>
      </c>
      <c r="H1546" s="54">
        <v>6000480</v>
      </c>
      <c r="I1546" s="55">
        <f t="shared" si="100"/>
        <v>0</v>
      </c>
      <c r="J1546" s="56">
        <v>45978</v>
      </c>
      <c r="K1546" s="57"/>
    </row>
    <row r="1547" spans="1:11" ht="15.75" hidden="1" customHeight="1" x14ac:dyDescent="0.35">
      <c r="A1547" s="47" t="s">
        <v>2694</v>
      </c>
      <c r="B1547" s="48" t="s">
        <v>2666</v>
      </c>
      <c r="C1547" s="50" t="s">
        <v>2538</v>
      </c>
      <c r="D1547" s="50"/>
      <c r="E1547" s="51">
        <v>1636000</v>
      </c>
      <c r="F1547" s="52">
        <f t="shared" si="99"/>
        <v>130880</v>
      </c>
      <c r="G1547" s="53">
        <f t="shared" si="98"/>
        <v>1766880</v>
      </c>
      <c r="H1547" s="54">
        <v>1766880</v>
      </c>
      <c r="I1547" s="55">
        <f t="shared" si="100"/>
        <v>0</v>
      </c>
      <c r="J1547" s="56">
        <v>45978</v>
      </c>
      <c r="K1547" s="57"/>
    </row>
    <row r="1548" spans="1:11" ht="15.75" hidden="1" customHeight="1" x14ac:dyDescent="0.35">
      <c r="A1548" s="47" t="s">
        <v>2685</v>
      </c>
      <c r="B1548" s="48" t="s">
        <v>2666</v>
      </c>
      <c r="C1548" s="50" t="s">
        <v>2539</v>
      </c>
      <c r="D1548" s="50"/>
      <c r="E1548" s="51">
        <v>1636000</v>
      </c>
      <c r="F1548" s="52">
        <f t="shared" si="99"/>
        <v>130880</v>
      </c>
      <c r="G1548" s="53">
        <f t="shared" si="98"/>
        <v>1766880</v>
      </c>
      <c r="H1548" s="54">
        <v>1766880</v>
      </c>
      <c r="I1548" s="55">
        <f t="shared" si="100"/>
        <v>0</v>
      </c>
      <c r="J1548" s="56">
        <v>45978</v>
      </c>
      <c r="K1548" s="57"/>
    </row>
    <row r="1549" spans="1:11" ht="15.75" hidden="1" customHeight="1" x14ac:dyDescent="0.35">
      <c r="A1549" s="47" t="s">
        <v>2680</v>
      </c>
      <c r="B1549" s="48" t="s">
        <v>2666</v>
      </c>
      <c r="C1549" s="50" t="s">
        <v>2540</v>
      </c>
      <c r="D1549" s="50"/>
      <c r="E1549" s="51">
        <v>1452000</v>
      </c>
      <c r="F1549" s="52">
        <f t="shared" si="99"/>
        <v>116160</v>
      </c>
      <c r="G1549" s="53">
        <f t="shared" si="98"/>
        <v>1568160</v>
      </c>
      <c r="H1549" s="54">
        <v>1568160</v>
      </c>
      <c r="I1549" s="55">
        <f t="shared" si="100"/>
        <v>0</v>
      </c>
      <c r="J1549" s="56">
        <v>45978</v>
      </c>
      <c r="K1549" s="57"/>
    </row>
    <row r="1550" spans="1:11" ht="15.75" hidden="1" customHeight="1" x14ac:dyDescent="0.35">
      <c r="A1550" s="47" t="s">
        <v>55</v>
      </c>
      <c r="B1550" s="48" t="s">
        <v>2666</v>
      </c>
      <c r="C1550" s="50" t="s">
        <v>2541</v>
      </c>
      <c r="D1550" s="50"/>
      <c r="E1550" s="51">
        <v>832000</v>
      </c>
      <c r="F1550" s="52">
        <f t="shared" si="99"/>
        <v>66560</v>
      </c>
      <c r="G1550" s="53">
        <f t="shared" si="98"/>
        <v>898560</v>
      </c>
      <c r="H1550" s="54">
        <v>898560</v>
      </c>
      <c r="I1550" s="55">
        <f t="shared" si="100"/>
        <v>0</v>
      </c>
      <c r="J1550" s="56">
        <v>45978</v>
      </c>
      <c r="K1550" s="57"/>
    </row>
    <row r="1551" spans="1:11" ht="15.75" hidden="1" customHeight="1" x14ac:dyDescent="0.35">
      <c r="A1551" s="47" t="s">
        <v>2687</v>
      </c>
      <c r="B1551" s="48" t="s">
        <v>2666</v>
      </c>
      <c r="C1551" s="50" t="s">
        <v>2542</v>
      </c>
      <c r="D1551" s="50"/>
      <c r="E1551" s="51">
        <v>804000</v>
      </c>
      <c r="F1551" s="52">
        <f t="shared" si="99"/>
        <v>64320</v>
      </c>
      <c r="G1551" s="53">
        <f t="shared" si="98"/>
        <v>868320</v>
      </c>
      <c r="H1551" s="54">
        <v>868320</v>
      </c>
      <c r="I1551" s="55">
        <f t="shared" si="100"/>
        <v>0</v>
      </c>
      <c r="J1551" s="56">
        <v>45978</v>
      </c>
      <c r="K1551" s="57"/>
    </row>
    <row r="1552" spans="1:11" ht="15.75" hidden="1" customHeight="1" x14ac:dyDescent="0.35">
      <c r="A1552" s="47" t="s">
        <v>2703</v>
      </c>
      <c r="B1552" s="48" t="s">
        <v>2667</v>
      </c>
      <c r="C1552" s="50" t="s">
        <v>2543</v>
      </c>
      <c r="D1552" s="50"/>
      <c r="E1552" s="51">
        <v>402000</v>
      </c>
      <c r="F1552" s="52">
        <f t="shared" si="99"/>
        <v>32160</v>
      </c>
      <c r="G1552" s="53">
        <f t="shared" si="98"/>
        <v>434160</v>
      </c>
      <c r="H1552" s="54">
        <v>434160</v>
      </c>
      <c r="I1552" s="55">
        <f t="shared" si="100"/>
        <v>0</v>
      </c>
      <c r="J1552" s="56">
        <v>45978</v>
      </c>
      <c r="K1552" s="57"/>
    </row>
    <row r="1553" spans="1:11" ht="15.75" hidden="1" customHeight="1" x14ac:dyDescent="0.35">
      <c r="A1553" s="47" t="s">
        <v>2706</v>
      </c>
      <c r="B1553" s="48" t="s">
        <v>2667</v>
      </c>
      <c r="C1553" s="50" t="s">
        <v>2544</v>
      </c>
      <c r="D1553" s="50"/>
      <c r="E1553" s="51">
        <v>1636000</v>
      </c>
      <c r="F1553" s="52">
        <f t="shared" si="99"/>
        <v>130880</v>
      </c>
      <c r="G1553" s="53">
        <f t="shared" si="98"/>
        <v>1766880</v>
      </c>
      <c r="H1553" s="54">
        <v>1766880</v>
      </c>
      <c r="I1553" s="55">
        <f t="shared" si="100"/>
        <v>0</v>
      </c>
      <c r="J1553" s="56">
        <v>45978</v>
      </c>
      <c r="K1553" s="57"/>
    </row>
    <row r="1554" spans="1:11" ht="15.75" hidden="1" customHeight="1" x14ac:dyDescent="0.35">
      <c r="A1554" s="47" t="s">
        <v>55</v>
      </c>
      <c r="B1554" s="48" t="s">
        <v>2668</v>
      </c>
      <c r="C1554" s="50" t="s">
        <v>2545</v>
      </c>
      <c r="D1554" s="50"/>
      <c r="E1554" s="51">
        <v>648000</v>
      </c>
      <c r="F1554" s="52">
        <f t="shared" si="99"/>
        <v>51840</v>
      </c>
      <c r="G1554" s="53">
        <f t="shared" si="98"/>
        <v>699840</v>
      </c>
      <c r="H1554" s="54">
        <v>699840</v>
      </c>
      <c r="I1554" s="55">
        <f t="shared" si="100"/>
        <v>0</v>
      </c>
      <c r="J1554" s="56">
        <v>45978</v>
      </c>
      <c r="K1554" s="57"/>
    </row>
    <row r="1555" spans="1:11" ht="15.75" hidden="1" customHeight="1" x14ac:dyDescent="0.35">
      <c r="A1555" s="47" t="s">
        <v>2715</v>
      </c>
      <c r="B1555" s="48" t="s">
        <v>2668</v>
      </c>
      <c r="C1555" s="49" t="s">
        <v>2546</v>
      </c>
      <c r="D1555" s="50"/>
      <c r="E1555" s="51">
        <v>818000</v>
      </c>
      <c r="F1555" s="52">
        <f t="shared" si="99"/>
        <v>65440</v>
      </c>
      <c r="G1555" s="53">
        <f t="shared" si="98"/>
        <v>883440</v>
      </c>
      <c r="H1555" s="54">
        <v>883440</v>
      </c>
      <c r="I1555" s="55">
        <f t="shared" si="100"/>
        <v>0</v>
      </c>
      <c r="J1555" s="56">
        <v>45978</v>
      </c>
      <c r="K1555" s="57"/>
    </row>
    <row r="1556" spans="1:11" ht="15.75" hidden="1" customHeight="1" x14ac:dyDescent="0.35">
      <c r="A1556" s="47" t="s">
        <v>2736</v>
      </c>
      <c r="B1556" s="48" t="s">
        <v>2669</v>
      </c>
      <c r="C1556" s="50" t="s">
        <v>2547</v>
      </c>
      <c r="D1556" s="50"/>
      <c r="E1556" s="51">
        <v>818000</v>
      </c>
      <c r="F1556" s="52">
        <f t="shared" si="99"/>
        <v>65440</v>
      </c>
      <c r="G1556" s="53">
        <f t="shared" si="98"/>
        <v>883440</v>
      </c>
      <c r="H1556" s="54">
        <v>883440</v>
      </c>
      <c r="I1556" s="55">
        <f t="shared" si="100"/>
        <v>0</v>
      </c>
      <c r="J1556" s="56">
        <v>45978</v>
      </c>
      <c r="K1556" s="57"/>
    </row>
    <row r="1557" spans="1:11" ht="15.75" hidden="1" customHeight="1" x14ac:dyDescent="0.35">
      <c r="A1557" s="47" t="s">
        <v>770</v>
      </c>
      <c r="B1557" s="48" t="s">
        <v>2669</v>
      </c>
      <c r="C1557" s="50" t="s">
        <v>2548</v>
      </c>
      <c r="D1557" s="50"/>
      <c r="E1557" s="51">
        <v>1558000</v>
      </c>
      <c r="F1557" s="52">
        <f t="shared" si="99"/>
        <v>124640</v>
      </c>
      <c r="G1557" s="53">
        <f t="shared" si="98"/>
        <v>1682640</v>
      </c>
      <c r="H1557" s="54">
        <v>1682640</v>
      </c>
      <c r="I1557" s="55">
        <f t="shared" si="100"/>
        <v>0</v>
      </c>
      <c r="J1557" s="56">
        <v>45978</v>
      </c>
      <c r="K1557" s="57"/>
    </row>
    <row r="1558" spans="1:11" ht="15.75" hidden="1" customHeight="1" x14ac:dyDescent="0.35">
      <c r="A1558" s="47" t="s">
        <v>1586</v>
      </c>
      <c r="B1558" s="48" t="s">
        <v>2669</v>
      </c>
      <c r="C1558" s="50" t="s">
        <v>2549</v>
      </c>
      <c r="D1558" s="50"/>
      <c r="E1558" s="51">
        <v>1636000</v>
      </c>
      <c r="F1558" s="52">
        <f t="shared" si="99"/>
        <v>130880</v>
      </c>
      <c r="G1558" s="53">
        <f t="shared" si="98"/>
        <v>1766880</v>
      </c>
      <c r="H1558" s="54">
        <v>1766880</v>
      </c>
      <c r="I1558" s="55">
        <f t="shared" si="100"/>
        <v>0</v>
      </c>
      <c r="J1558" s="56">
        <v>45978</v>
      </c>
      <c r="K1558" s="57"/>
    </row>
    <row r="1559" spans="1:11" ht="15.75" hidden="1" customHeight="1" x14ac:dyDescent="0.35">
      <c r="A1559" s="47" t="s">
        <v>24</v>
      </c>
      <c r="B1559" s="48" t="s">
        <v>2669</v>
      </c>
      <c r="C1559" s="49" t="s">
        <v>2550</v>
      </c>
      <c r="D1559" s="50"/>
      <c r="E1559" s="51">
        <v>2024000</v>
      </c>
      <c r="F1559" s="52">
        <f t="shared" si="99"/>
        <v>161920</v>
      </c>
      <c r="G1559" s="53">
        <f t="shared" si="98"/>
        <v>2185920</v>
      </c>
      <c r="H1559" s="54">
        <v>2185920</v>
      </c>
      <c r="I1559" s="55">
        <f t="shared" si="100"/>
        <v>0</v>
      </c>
      <c r="J1559" s="56">
        <v>45978</v>
      </c>
      <c r="K1559" s="57"/>
    </row>
    <row r="1560" spans="1:11" ht="15.75" hidden="1" customHeight="1" x14ac:dyDescent="0.35">
      <c r="A1560" s="47" t="s">
        <v>2702</v>
      </c>
      <c r="B1560" s="48" t="s">
        <v>2670</v>
      </c>
      <c r="C1560" s="49" t="s">
        <v>2551</v>
      </c>
      <c r="D1560" s="50"/>
      <c r="E1560" s="51">
        <v>648000</v>
      </c>
      <c r="F1560" s="52">
        <f t="shared" si="99"/>
        <v>51840</v>
      </c>
      <c r="G1560" s="53">
        <f t="shared" si="98"/>
        <v>699840</v>
      </c>
      <c r="H1560" s="54">
        <v>699840</v>
      </c>
      <c r="I1560" s="55">
        <f t="shared" si="100"/>
        <v>0</v>
      </c>
      <c r="J1560" s="56">
        <v>45978</v>
      </c>
      <c r="K1560" s="57"/>
    </row>
    <row r="1561" spans="1:11" ht="15.75" hidden="1" customHeight="1" x14ac:dyDescent="0.35">
      <c r="A1561" s="47" t="s">
        <v>2696</v>
      </c>
      <c r="B1561" s="48" t="s">
        <v>2671</v>
      </c>
      <c r="C1561" s="49" t="s">
        <v>2552</v>
      </c>
      <c r="D1561" s="50"/>
      <c r="E1561" s="51">
        <v>1636000</v>
      </c>
      <c r="F1561" s="52">
        <f t="shared" si="99"/>
        <v>130880</v>
      </c>
      <c r="G1561" s="53">
        <f t="shared" si="98"/>
        <v>1766880</v>
      </c>
      <c r="H1561" s="54">
        <v>1766880</v>
      </c>
      <c r="I1561" s="55">
        <f t="shared" si="100"/>
        <v>0</v>
      </c>
      <c r="J1561" s="56">
        <v>46008</v>
      </c>
      <c r="K1561" s="57"/>
    </row>
    <row r="1562" spans="1:11" ht="15.75" hidden="1" customHeight="1" x14ac:dyDescent="0.35">
      <c r="A1562" s="47" t="s">
        <v>2693</v>
      </c>
      <c r="B1562" s="48" t="s">
        <v>2671</v>
      </c>
      <c r="C1562" s="50" t="s">
        <v>2553</v>
      </c>
      <c r="D1562" s="50"/>
      <c r="E1562" s="51">
        <v>804000</v>
      </c>
      <c r="F1562" s="52">
        <f t="shared" si="99"/>
        <v>64320</v>
      </c>
      <c r="G1562" s="53">
        <f t="shared" si="98"/>
        <v>868320</v>
      </c>
      <c r="H1562" s="54">
        <v>868320</v>
      </c>
      <c r="I1562" s="55">
        <f t="shared" si="100"/>
        <v>0</v>
      </c>
      <c r="J1562" s="56">
        <v>45978</v>
      </c>
      <c r="K1562" s="57"/>
    </row>
    <row r="1563" spans="1:11" ht="15.75" hidden="1" customHeight="1" x14ac:dyDescent="0.35">
      <c r="A1563" s="47" t="s">
        <v>2709</v>
      </c>
      <c r="B1563" s="48" t="s">
        <v>2672</v>
      </c>
      <c r="C1563" s="49" t="s">
        <v>2554</v>
      </c>
      <c r="D1563" s="50"/>
      <c r="E1563" s="51">
        <v>324000</v>
      </c>
      <c r="F1563" s="52">
        <f t="shared" si="99"/>
        <v>25920</v>
      </c>
      <c r="G1563" s="53">
        <f t="shared" si="98"/>
        <v>349920</v>
      </c>
      <c r="H1563" s="54">
        <v>349920</v>
      </c>
      <c r="I1563" s="55">
        <f t="shared" si="100"/>
        <v>0</v>
      </c>
      <c r="J1563" s="56">
        <v>46008</v>
      </c>
      <c r="K1563" s="57"/>
    </row>
    <row r="1564" spans="1:11" ht="15.75" hidden="1" customHeight="1" x14ac:dyDescent="0.35">
      <c r="A1564" s="47" t="s">
        <v>2688</v>
      </c>
      <c r="B1564" s="48" t="s">
        <v>2673</v>
      </c>
      <c r="C1564" s="49" t="s">
        <v>2555</v>
      </c>
      <c r="D1564" s="50"/>
      <c r="E1564" s="51">
        <v>832000</v>
      </c>
      <c r="F1564" s="52">
        <f t="shared" si="99"/>
        <v>66560</v>
      </c>
      <c r="G1564" s="53">
        <f t="shared" si="98"/>
        <v>898560</v>
      </c>
      <c r="H1564" s="54">
        <v>898560</v>
      </c>
      <c r="I1564" s="55">
        <f t="shared" si="100"/>
        <v>0</v>
      </c>
      <c r="J1564" s="56">
        <v>45978</v>
      </c>
      <c r="K1564" s="57"/>
    </row>
    <row r="1565" spans="1:11" ht="15.75" hidden="1" customHeight="1" x14ac:dyDescent="0.35">
      <c r="A1565" s="47" t="s">
        <v>2725</v>
      </c>
      <c r="B1565" s="48" t="s">
        <v>2674</v>
      </c>
      <c r="C1565" s="49" t="s">
        <v>2556</v>
      </c>
      <c r="D1565" s="50"/>
      <c r="E1565" s="51">
        <v>2284000</v>
      </c>
      <c r="F1565" s="52">
        <f t="shared" si="99"/>
        <v>182720</v>
      </c>
      <c r="G1565" s="53">
        <f t="shared" si="98"/>
        <v>2466720</v>
      </c>
      <c r="H1565" s="54">
        <v>2466720</v>
      </c>
      <c r="I1565" s="55">
        <f t="shared" si="100"/>
        <v>0</v>
      </c>
      <c r="J1565" s="56">
        <v>46008</v>
      </c>
      <c r="K1565" s="57"/>
    </row>
    <row r="1566" spans="1:11" ht="15.75" hidden="1" customHeight="1" x14ac:dyDescent="0.35">
      <c r="A1566" s="47" t="s">
        <v>2749</v>
      </c>
      <c r="B1566" s="48" t="s">
        <v>2674</v>
      </c>
      <c r="C1566" s="49" t="s">
        <v>2557</v>
      </c>
      <c r="D1566" s="50"/>
      <c r="E1566" s="51">
        <v>804000</v>
      </c>
      <c r="F1566" s="52">
        <f t="shared" si="99"/>
        <v>64320</v>
      </c>
      <c r="G1566" s="53">
        <f t="shared" si="98"/>
        <v>868320</v>
      </c>
      <c r="H1566" s="54">
        <v>868320</v>
      </c>
      <c r="I1566" s="55">
        <f t="shared" si="100"/>
        <v>0</v>
      </c>
      <c r="J1566" s="56">
        <v>46008</v>
      </c>
      <c r="K1566" s="57"/>
    </row>
    <row r="1567" spans="1:11" ht="15.75" hidden="1" customHeight="1" x14ac:dyDescent="0.35">
      <c r="A1567" s="47" t="s">
        <v>2728</v>
      </c>
      <c r="B1567" s="48">
        <v>45962</v>
      </c>
      <c r="C1567" s="50" t="s">
        <v>2558</v>
      </c>
      <c r="D1567" s="49" t="s">
        <v>2787</v>
      </c>
      <c r="E1567" s="51">
        <v>2284000</v>
      </c>
      <c r="F1567" s="52">
        <f t="shared" si="99"/>
        <v>182720</v>
      </c>
      <c r="G1567" s="53">
        <f t="shared" si="98"/>
        <v>2466720</v>
      </c>
      <c r="H1567" s="54">
        <v>2466720</v>
      </c>
      <c r="I1567" s="55">
        <f t="shared" si="100"/>
        <v>0</v>
      </c>
      <c r="J1567" s="56">
        <v>46008</v>
      </c>
      <c r="K1567" s="57"/>
    </row>
    <row r="1568" spans="1:11" ht="15.75" hidden="1" customHeight="1" x14ac:dyDescent="0.35">
      <c r="A1568" s="47" t="s">
        <v>2728</v>
      </c>
      <c r="B1568" s="48" t="s">
        <v>2675</v>
      </c>
      <c r="C1568" s="50" t="s">
        <v>2559</v>
      </c>
      <c r="D1568" s="50"/>
      <c r="E1568" s="51">
        <v>1636000</v>
      </c>
      <c r="F1568" s="52">
        <f t="shared" si="99"/>
        <v>130880</v>
      </c>
      <c r="G1568" s="53">
        <f t="shared" si="98"/>
        <v>1766880</v>
      </c>
      <c r="H1568" s="54">
        <v>1766880</v>
      </c>
      <c r="I1568" s="55">
        <f t="shared" si="100"/>
        <v>0</v>
      </c>
      <c r="J1568" s="56">
        <v>46008</v>
      </c>
      <c r="K1568" s="57"/>
    </row>
    <row r="1569" spans="1:11" ht="15.75" hidden="1" customHeight="1" x14ac:dyDescent="0.35">
      <c r="A1569" s="47" t="s">
        <v>2740</v>
      </c>
      <c r="B1569" s="48" t="s">
        <v>2675</v>
      </c>
      <c r="C1569" s="49" t="s">
        <v>2560</v>
      </c>
      <c r="D1569" s="50"/>
      <c r="E1569" s="51">
        <v>3116000</v>
      </c>
      <c r="F1569" s="52">
        <f t="shared" si="99"/>
        <v>249280</v>
      </c>
      <c r="G1569" s="53">
        <f t="shared" si="98"/>
        <v>3365280</v>
      </c>
      <c r="H1569" s="54">
        <v>3365280</v>
      </c>
      <c r="I1569" s="55">
        <f t="shared" si="100"/>
        <v>0</v>
      </c>
      <c r="J1569" s="56">
        <v>46008</v>
      </c>
      <c r="K1569" s="57"/>
    </row>
    <row r="1570" spans="1:11" ht="15.75" hidden="1" customHeight="1" x14ac:dyDescent="0.35">
      <c r="A1570" s="47" t="s">
        <v>2714</v>
      </c>
      <c r="B1570" s="48" t="s">
        <v>2675</v>
      </c>
      <c r="C1570" s="49" t="s">
        <v>2561</v>
      </c>
      <c r="D1570" s="50"/>
      <c r="E1570" s="51">
        <v>1636000</v>
      </c>
      <c r="F1570" s="52">
        <f t="shared" si="99"/>
        <v>130880</v>
      </c>
      <c r="G1570" s="53">
        <f t="shared" si="98"/>
        <v>1766880</v>
      </c>
      <c r="H1570" s="54">
        <v>1766880</v>
      </c>
      <c r="I1570" s="55">
        <f t="shared" si="100"/>
        <v>0</v>
      </c>
      <c r="J1570" s="56">
        <v>46008</v>
      </c>
      <c r="K1570" s="57"/>
    </row>
    <row r="1571" spans="1:11" ht="15.75" hidden="1" customHeight="1" x14ac:dyDescent="0.35">
      <c r="A1571" s="47" t="s">
        <v>2729</v>
      </c>
      <c r="B1571" s="48" t="s">
        <v>2675</v>
      </c>
      <c r="C1571" s="50" t="s">
        <v>2562</v>
      </c>
      <c r="D1571" s="50"/>
      <c r="E1571" s="51">
        <v>1012000</v>
      </c>
      <c r="F1571" s="52">
        <f t="shared" si="99"/>
        <v>80960</v>
      </c>
      <c r="G1571" s="53">
        <f t="shared" si="98"/>
        <v>1092960</v>
      </c>
      <c r="H1571" s="54">
        <v>1092960</v>
      </c>
      <c r="I1571" s="55">
        <f t="shared" si="100"/>
        <v>0</v>
      </c>
      <c r="J1571" s="56">
        <v>46008</v>
      </c>
      <c r="K1571" s="57"/>
    </row>
    <row r="1572" spans="1:11" ht="15.75" hidden="1" customHeight="1" x14ac:dyDescent="0.35">
      <c r="A1572" s="47" t="s">
        <v>2691</v>
      </c>
      <c r="B1572" s="48" t="s">
        <v>2676</v>
      </c>
      <c r="C1572" s="50" t="s">
        <v>2563</v>
      </c>
      <c r="D1572" s="50"/>
      <c r="E1572" s="51">
        <v>571000</v>
      </c>
      <c r="F1572" s="52">
        <f t="shared" si="99"/>
        <v>45680</v>
      </c>
      <c r="G1572" s="53">
        <f t="shared" si="98"/>
        <v>616680</v>
      </c>
      <c r="H1572" s="54">
        <v>616680</v>
      </c>
      <c r="I1572" s="55">
        <f t="shared" si="100"/>
        <v>0</v>
      </c>
      <c r="J1572" s="56">
        <v>46008</v>
      </c>
      <c r="K1572" s="57"/>
    </row>
    <row r="1573" spans="1:11" ht="15.75" hidden="1" customHeight="1" x14ac:dyDescent="0.35">
      <c r="A1573" s="47" t="s">
        <v>2678</v>
      </c>
      <c r="B1573" s="48" t="s">
        <v>2676</v>
      </c>
      <c r="C1573" s="49" t="s">
        <v>2564</v>
      </c>
      <c r="D1573" s="50"/>
      <c r="E1573" s="51">
        <v>1260000</v>
      </c>
      <c r="F1573" s="52">
        <f t="shared" si="99"/>
        <v>100800</v>
      </c>
      <c r="G1573" s="53">
        <f t="shared" si="98"/>
        <v>1360800</v>
      </c>
      <c r="H1573" s="54">
        <v>1360800</v>
      </c>
      <c r="I1573" s="55">
        <f t="shared" si="100"/>
        <v>0</v>
      </c>
      <c r="J1573" s="56">
        <v>46008</v>
      </c>
      <c r="K1573" s="57"/>
    </row>
    <row r="1574" spans="1:11" ht="15.75" hidden="1" customHeight="1" x14ac:dyDescent="0.35">
      <c r="A1574" s="47" t="s">
        <v>2707</v>
      </c>
      <c r="B1574" s="48" t="s">
        <v>2676</v>
      </c>
      <c r="C1574" s="49" t="s">
        <v>2565</v>
      </c>
      <c r="D1574" s="50"/>
      <c r="E1574" s="51">
        <v>1815000</v>
      </c>
      <c r="F1574" s="52">
        <f t="shared" si="99"/>
        <v>145200</v>
      </c>
      <c r="G1574" s="53">
        <f t="shared" si="98"/>
        <v>1960200</v>
      </c>
      <c r="H1574" s="54">
        <v>1960200</v>
      </c>
      <c r="I1574" s="55">
        <f t="shared" si="100"/>
        <v>0</v>
      </c>
      <c r="J1574" s="56">
        <v>46008</v>
      </c>
      <c r="K1574" s="57"/>
    </row>
    <row r="1575" spans="1:11" ht="15.75" hidden="1" customHeight="1" x14ac:dyDescent="0.35">
      <c r="A1575" s="47" t="s">
        <v>2724</v>
      </c>
      <c r="B1575" s="48" t="s">
        <v>2676</v>
      </c>
      <c r="C1575" s="49" t="s">
        <v>2566</v>
      </c>
      <c r="D1575" s="50"/>
      <c r="E1575" s="51">
        <v>1427500</v>
      </c>
      <c r="F1575" s="52">
        <f t="shared" si="99"/>
        <v>114200</v>
      </c>
      <c r="G1575" s="53">
        <f t="shared" si="98"/>
        <v>1541700</v>
      </c>
      <c r="H1575" s="54">
        <v>1541700</v>
      </c>
      <c r="I1575" s="55">
        <f t="shared" si="100"/>
        <v>0</v>
      </c>
      <c r="J1575" s="56">
        <v>46008</v>
      </c>
      <c r="K1575" s="57"/>
    </row>
    <row r="1576" spans="1:11" ht="15.75" hidden="1" customHeight="1" x14ac:dyDescent="0.35">
      <c r="A1576" s="47" t="s">
        <v>2713</v>
      </c>
      <c r="B1576" s="48" t="s">
        <v>2676</v>
      </c>
      <c r="C1576" s="49" t="s">
        <v>2567</v>
      </c>
      <c r="D1576" s="50"/>
      <c r="E1576" s="51">
        <v>2045000</v>
      </c>
      <c r="F1576" s="52">
        <f t="shared" si="99"/>
        <v>163600</v>
      </c>
      <c r="G1576" s="53">
        <f t="shared" si="98"/>
        <v>2208600</v>
      </c>
      <c r="H1576" s="54">
        <v>2208600</v>
      </c>
      <c r="I1576" s="55">
        <f t="shared" si="100"/>
        <v>0</v>
      </c>
      <c r="J1576" s="56">
        <v>46008</v>
      </c>
      <c r="K1576" s="57"/>
    </row>
    <row r="1577" spans="1:11" ht="15.75" hidden="1" customHeight="1" x14ac:dyDescent="0.35">
      <c r="A1577" s="47" t="s">
        <v>2711</v>
      </c>
      <c r="B1577" s="48" t="s">
        <v>2676</v>
      </c>
      <c r="C1577" s="49" t="s">
        <v>2568</v>
      </c>
      <c r="D1577" s="50"/>
      <c r="E1577" s="51">
        <v>740000</v>
      </c>
      <c r="F1577" s="52">
        <f t="shared" si="99"/>
        <v>59200</v>
      </c>
      <c r="G1577" s="53">
        <f t="shared" si="98"/>
        <v>799200</v>
      </c>
      <c r="H1577" s="54">
        <v>799200</v>
      </c>
      <c r="I1577" s="55">
        <f t="shared" si="100"/>
        <v>0</v>
      </c>
      <c r="J1577" s="56">
        <v>46008</v>
      </c>
      <c r="K1577" s="57"/>
    </row>
    <row r="1578" spans="1:11" ht="15.75" hidden="1" customHeight="1" x14ac:dyDescent="0.35">
      <c r="A1578" s="47" t="s">
        <v>2706</v>
      </c>
      <c r="B1578" s="48" t="s">
        <v>2676</v>
      </c>
      <c r="C1578" s="49" t="s">
        <v>2569</v>
      </c>
      <c r="D1578" s="50"/>
      <c r="E1578" s="51">
        <v>1005000</v>
      </c>
      <c r="F1578" s="52">
        <f t="shared" si="99"/>
        <v>80400</v>
      </c>
      <c r="G1578" s="53">
        <f t="shared" si="98"/>
        <v>1085400</v>
      </c>
      <c r="H1578" s="54">
        <v>1085400</v>
      </c>
      <c r="I1578" s="55">
        <f t="shared" si="100"/>
        <v>0</v>
      </c>
      <c r="J1578" s="56">
        <v>46008</v>
      </c>
      <c r="K1578" s="57"/>
    </row>
    <row r="1579" spans="1:11" ht="15.75" hidden="1" customHeight="1" x14ac:dyDescent="0.35">
      <c r="A1579" s="47" t="s">
        <v>2687</v>
      </c>
      <c r="B1579" s="48" t="s">
        <v>2676</v>
      </c>
      <c r="C1579" s="49" t="s">
        <v>2570</v>
      </c>
      <c r="D1579" s="50"/>
      <c r="E1579" s="51">
        <v>925000</v>
      </c>
      <c r="F1579" s="52">
        <f t="shared" si="99"/>
        <v>74000</v>
      </c>
      <c r="G1579" s="53">
        <f t="shared" si="98"/>
        <v>999000</v>
      </c>
      <c r="H1579" s="54">
        <v>999000</v>
      </c>
      <c r="I1579" s="55">
        <f t="shared" si="100"/>
        <v>0</v>
      </c>
      <c r="J1579" s="56">
        <v>46008</v>
      </c>
      <c r="K1579" s="57"/>
    </row>
    <row r="1580" spans="1:11" ht="15.75" hidden="1" customHeight="1" x14ac:dyDescent="0.35">
      <c r="A1580" s="47" t="s">
        <v>2695</v>
      </c>
      <c r="B1580" s="48" t="s">
        <v>2779</v>
      </c>
      <c r="C1580" s="50" t="s">
        <v>2750</v>
      </c>
      <c r="D1580" s="50"/>
      <c r="E1580" s="51">
        <v>9765000</v>
      </c>
      <c r="F1580" s="52">
        <f t="shared" si="99"/>
        <v>781200</v>
      </c>
      <c r="G1580" s="53">
        <f t="shared" si="98"/>
        <v>10546200</v>
      </c>
      <c r="H1580" s="54">
        <v>10546200</v>
      </c>
      <c r="I1580" s="55">
        <f t="shared" si="100"/>
        <v>0</v>
      </c>
      <c r="J1580" s="56">
        <v>46008</v>
      </c>
      <c r="K1580" s="57"/>
    </row>
    <row r="1581" spans="1:11" ht="15.75" hidden="1" customHeight="1" x14ac:dyDescent="0.35">
      <c r="A1581" s="47" t="s">
        <v>2698</v>
      </c>
      <c r="B1581" s="48" t="s">
        <v>2779</v>
      </c>
      <c r="C1581" s="49" t="s">
        <v>2751</v>
      </c>
      <c r="D1581" s="50"/>
      <c r="E1581" s="51">
        <v>810000</v>
      </c>
      <c r="F1581" s="52">
        <f t="shared" si="99"/>
        <v>64800</v>
      </c>
      <c r="G1581" s="53">
        <f t="shared" si="98"/>
        <v>874800</v>
      </c>
      <c r="H1581" s="54">
        <v>874800</v>
      </c>
      <c r="I1581" s="55">
        <f t="shared" si="100"/>
        <v>0</v>
      </c>
      <c r="J1581" s="56">
        <v>46008</v>
      </c>
      <c r="K1581" s="57"/>
    </row>
    <row r="1582" spans="1:11" ht="15.75" hidden="1" customHeight="1" x14ac:dyDescent="0.35">
      <c r="A1582" s="47" t="s">
        <v>2699</v>
      </c>
      <c r="B1582" s="48" t="s">
        <v>2780</v>
      </c>
      <c r="C1582" s="49" t="s">
        <v>2752</v>
      </c>
      <c r="D1582" s="50"/>
      <c r="E1582" s="51">
        <v>1525000</v>
      </c>
      <c r="F1582" s="52">
        <f t="shared" si="99"/>
        <v>122000</v>
      </c>
      <c r="G1582" s="53">
        <f t="shared" si="98"/>
        <v>1647000</v>
      </c>
      <c r="H1582" s="54">
        <v>1647000</v>
      </c>
      <c r="I1582" s="55">
        <f t="shared" si="100"/>
        <v>0</v>
      </c>
      <c r="J1582" s="56">
        <v>46008</v>
      </c>
      <c r="K1582" s="57"/>
    </row>
    <row r="1583" spans="1:11" ht="15.75" hidden="1" customHeight="1" x14ac:dyDescent="0.35">
      <c r="A1583" s="47" t="s">
        <v>55</v>
      </c>
      <c r="B1583" s="48" t="s">
        <v>2780</v>
      </c>
      <c r="C1583" s="49" t="s">
        <v>2753</v>
      </c>
      <c r="D1583" s="50"/>
      <c r="E1583" s="51">
        <v>1005000</v>
      </c>
      <c r="F1583" s="52">
        <f t="shared" si="99"/>
        <v>80400</v>
      </c>
      <c r="G1583" s="53">
        <f t="shared" si="98"/>
        <v>1085400</v>
      </c>
      <c r="H1583" s="54">
        <v>1085400</v>
      </c>
      <c r="I1583" s="55">
        <f t="shared" si="100"/>
        <v>0</v>
      </c>
      <c r="J1583" s="56">
        <v>46008</v>
      </c>
      <c r="K1583" s="57"/>
    </row>
    <row r="1584" spans="1:11" ht="15.75" hidden="1" customHeight="1" x14ac:dyDescent="0.35">
      <c r="A1584" s="47" t="s">
        <v>2690</v>
      </c>
      <c r="B1584" s="48" t="s">
        <v>2780</v>
      </c>
      <c r="C1584" s="49" t="s">
        <v>2754</v>
      </c>
      <c r="D1584" s="50"/>
      <c r="E1584" s="51">
        <v>2045000</v>
      </c>
      <c r="F1584" s="52">
        <f t="shared" si="99"/>
        <v>163600</v>
      </c>
      <c r="G1584" s="53">
        <f t="shared" si="98"/>
        <v>2208600</v>
      </c>
      <c r="H1584" s="54">
        <v>2208600</v>
      </c>
      <c r="I1584" s="55">
        <f t="shared" si="100"/>
        <v>0</v>
      </c>
      <c r="J1584" s="56">
        <v>46008</v>
      </c>
      <c r="K1584" s="57"/>
    </row>
    <row r="1585" spans="1:11" ht="15.75" hidden="1" customHeight="1" x14ac:dyDescent="0.35">
      <c r="A1585" s="47" t="s">
        <v>2686</v>
      </c>
      <c r="B1585" s="48" t="s">
        <v>2780</v>
      </c>
      <c r="C1585" s="49" t="s">
        <v>2755</v>
      </c>
      <c r="D1585" s="50"/>
      <c r="E1585" s="51">
        <v>1022500</v>
      </c>
      <c r="F1585" s="52">
        <f t="shared" si="99"/>
        <v>81800</v>
      </c>
      <c r="G1585" s="53">
        <f t="shared" si="98"/>
        <v>1104300</v>
      </c>
      <c r="H1585" s="54">
        <v>1104300</v>
      </c>
      <c r="I1585" s="55">
        <f t="shared" si="100"/>
        <v>0</v>
      </c>
      <c r="J1585" s="56">
        <v>46008</v>
      </c>
      <c r="K1585" s="57"/>
    </row>
    <row r="1586" spans="1:11" ht="15.75" hidden="1" customHeight="1" x14ac:dyDescent="0.35">
      <c r="A1586" s="47" t="s">
        <v>2727</v>
      </c>
      <c r="B1586" s="48" t="s">
        <v>2780</v>
      </c>
      <c r="C1586" s="49" t="s">
        <v>2756</v>
      </c>
      <c r="D1586" s="50"/>
      <c r="E1586" s="51">
        <v>2045000</v>
      </c>
      <c r="F1586" s="52">
        <f t="shared" si="99"/>
        <v>163600</v>
      </c>
      <c r="G1586" s="53">
        <f t="shared" si="98"/>
        <v>2208600</v>
      </c>
      <c r="H1586" s="54">
        <v>2208600</v>
      </c>
      <c r="I1586" s="55">
        <f t="shared" si="100"/>
        <v>0</v>
      </c>
      <c r="J1586" s="56">
        <v>46008</v>
      </c>
      <c r="K1586" s="57"/>
    </row>
    <row r="1587" spans="1:11" ht="15.75" hidden="1" customHeight="1" x14ac:dyDescent="0.35">
      <c r="A1587" s="47" t="s">
        <v>2700</v>
      </c>
      <c r="B1587" s="48" t="s">
        <v>2780</v>
      </c>
      <c r="C1587" s="49" t="s">
        <v>2757</v>
      </c>
      <c r="D1587" s="50"/>
      <c r="E1587" s="51">
        <v>1005000</v>
      </c>
      <c r="F1587" s="52">
        <f t="shared" si="99"/>
        <v>80400</v>
      </c>
      <c r="G1587" s="53">
        <f t="shared" si="98"/>
        <v>1085400</v>
      </c>
      <c r="H1587" s="54">
        <v>1085400</v>
      </c>
      <c r="I1587" s="55">
        <f t="shared" si="100"/>
        <v>0</v>
      </c>
      <c r="J1587" s="56">
        <v>46008</v>
      </c>
      <c r="K1587" s="57"/>
    </row>
    <row r="1588" spans="1:11" ht="15.75" hidden="1" customHeight="1" x14ac:dyDescent="0.35">
      <c r="A1588" s="47" t="s">
        <v>2688</v>
      </c>
      <c r="B1588" s="48" t="s">
        <v>2781</v>
      </c>
      <c r="C1588" s="49" t="s">
        <v>2758</v>
      </c>
      <c r="D1588" s="50"/>
      <c r="E1588" s="51">
        <v>2010000</v>
      </c>
      <c r="F1588" s="52">
        <f t="shared" si="99"/>
        <v>160800</v>
      </c>
      <c r="G1588" s="53">
        <f t="shared" si="98"/>
        <v>2170800</v>
      </c>
      <c r="H1588" s="54">
        <v>2170800</v>
      </c>
      <c r="I1588" s="55">
        <f t="shared" si="100"/>
        <v>0</v>
      </c>
      <c r="J1588" s="56">
        <v>46008</v>
      </c>
      <c r="K1588" s="57"/>
    </row>
    <row r="1589" spans="1:11" ht="15.75" hidden="1" customHeight="1" x14ac:dyDescent="0.35">
      <c r="A1589" s="47" t="s">
        <v>1414</v>
      </c>
      <c r="B1589" s="48" t="s">
        <v>2781</v>
      </c>
      <c r="C1589" s="49" t="s">
        <v>2759</v>
      </c>
      <c r="D1589" s="50"/>
      <c r="E1589" s="51">
        <v>925000</v>
      </c>
      <c r="F1589" s="52">
        <f t="shared" si="99"/>
        <v>74000</v>
      </c>
      <c r="G1589" s="53">
        <f t="shared" si="98"/>
        <v>999000</v>
      </c>
      <c r="H1589" s="54">
        <v>999000</v>
      </c>
      <c r="I1589" s="55">
        <f t="shared" si="100"/>
        <v>0</v>
      </c>
      <c r="J1589" s="56">
        <v>46008</v>
      </c>
      <c r="K1589" s="57"/>
    </row>
    <row r="1590" spans="1:11" ht="15.75" hidden="1" customHeight="1" x14ac:dyDescent="0.35">
      <c r="A1590" s="47" t="s">
        <v>2738</v>
      </c>
      <c r="B1590" s="48" t="s">
        <v>2781</v>
      </c>
      <c r="C1590" s="49" t="s">
        <v>2760</v>
      </c>
      <c r="D1590" s="50"/>
      <c r="E1590" s="51">
        <v>2045000</v>
      </c>
      <c r="F1590" s="52">
        <f t="shared" si="99"/>
        <v>163600</v>
      </c>
      <c r="G1590" s="53">
        <f t="shared" si="98"/>
        <v>2208600</v>
      </c>
      <c r="H1590" s="54">
        <v>2208600</v>
      </c>
      <c r="I1590" s="55">
        <f t="shared" si="100"/>
        <v>0</v>
      </c>
      <c r="J1590" s="56">
        <v>46008</v>
      </c>
      <c r="K1590" s="57"/>
    </row>
    <row r="1591" spans="1:11" ht="15.75" hidden="1" customHeight="1" x14ac:dyDescent="0.35">
      <c r="A1591" s="47" t="s">
        <v>2710</v>
      </c>
      <c r="B1591" s="48" t="s">
        <v>2781</v>
      </c>
      <c r="C1591" s="49" t="s">
        <v>2761</v>
      </c>
      <c r="D1591" s="50"/>
      <c r="E1591" s="51">
        <v>1005000</v>
      </c>
      <c r="F1591" s="52">
        <f t="shared" si="99"/>
        <v>80400</v>
      </c>
      <c r="G1591" s="53">
        <f t="shared" ref="G1591:G1654" si="101">E1591+F1591</f>
        <v>1085400</v>
      </c>
      <c r="H1591" s="54">
        <v>1085400</v>
      </c>
      <c r="I1591" s="55">
        <f t="shared" si="100"/>
        <v>0</v>
      </c>
      <c r="J1591" s="56">
        <v>46008</v>
      </c>
      <c r="K1591" s="57"/>
    </row>
    <row r="1592" spans="1:11" ht="15.75" hidden="1" customHeight="1" x14ac:dyDescent="0.35">
      <c r="A1592" s="47" t="s">
        <v>2735</v>
      </c>
      <c r="B1592" s="48" t="s">
        <v>2781</v>
      </c>
      <c r="C1592" s="49" t="s">
        <v>2762</v>
      </c>
      <c r="D1592" s="50"/>
      <c r="E1592" s="51">
        <v>2855000</v>
      </c>
      <c r="F1592" s="52">
        <f t="shared" ref="F1592:F1655" si="102">+E1592*0.08</f>
        <v>228400</v>
      </c>
      <c r="G1592" s="53">
        <f t="shared" si="101"/>
        <v>3083400</v>
      </c>
      <c r="H1592" s="54">
        <v>3083400</v>
      </c>
      <c r="I1592" s="55">
        <f t="shared" ref="I1592:I1655" si="103">G1592-H1592</f>
        <v>0</v>
      </c>
      <c r="J1592" s="56">
        <v>46008</v>
      </c>
      <c r="K1592" s="57"/>
    </row>
    <row r="1593" spans="1:11" ht="15.75" hidden="1" customHeight="1" x14ac:dyDescent="0.35">
      <c r="A1593" s="47" t="s">
        <v>2715</v>
      </c>
      <c r="B1593" s="48" t="s">
        <v>2782</v>
      </c>
      <c r="C1593" s="49" t="s">
        <v>2763</v>
      </c>
      <c r="D1593" s="50"/>
      <c r="E1593" s="51">
        <v>925000</v>
      </c>
      <c r="F1593" s="52">
        <f t="shared" si="102"/>
        <v>74000</v>
      </c>
      <c r="G1593" s="53">
        <f t="shared" si="101"/>
        <v>999000</v>
      </c>
      <c r="H1593" s="54">
        <v>999000</v>
      </c>
      <c r="I1593" s="55">
        <f t="shared" si="103"/>
        <v>0</v>
      </c>
      <c r="J1593" s="56">
        <v>46008</v>
      </c>
      <c r="K1593" s="57"/>
    </row>
    <row r="1594" spans="1:11" ht="15.75" hidden="1" customHeight="1" x14ac:dyDescent="0.35">
      <c r="A1594" s="47" t="s">
        <v>2688</v>
      </c>
      <c r="B1594" s="48" t="s">
        <v>2782</v>
      </c>
      <c r="C1594" s="49" t="s">
        <v>2764</v>
      </c>
      <c r="D1594" s="50"/>
      <c r="E1594" s="51">
        <v>2080000</v>
      </c>
      <c r="F1594" s="52">
        <f t="shared" si="102"/>
        <v>166400</v>
      </c>
      <c r="G1594" s="53">
        <f t="shared" si="101"/>
        <v>2246400</v>
      </c>
      <c r="H1594" s="54">
        <v>2246400</v>
      </c>
      <c r="I1594" s="55">
        <f t="shared" si="103"/>
        <v>0</v>
      </c>
      <c r="J1594" s="56">
        <v>46008</v>
      </c>
      <c r="K1594" s="57"/>
    </row>
    <row r="1595" spans="1:11" ht="15.75" hidden="1" customHeight="1" x14ac:dyDescent="0.35">
      <c r="A1595" s="47" t="s">
        <v>2711</v>
      </c>
      <c r="B1595" s="48" t="s">
        <v>2782</v>
      </c>
      <c r="C1595" s="49" t="s">
        <v>2765</v>
      </c>
      <c r="D1595" s="50"/>
      <c r="E1595" s="51">
        <v>1324000</v>
      </c>
      <c r="F1595" s="52">
        <f t="shared" si="102"/>
        <v>105920</v>
      </c>
      <c r="G1595" s="53">
        <f t="shared" si="101"/>
        <v>1429920</v>
      </c>
      <c r="H1595" s="54">
        <v>1429920</v>
      </c>
      <c r="I1595" s="55">
        <f t="shared" si="103"/>
        <v>0</v>
      </c>
      <c r="J1595" s="56">
        <v>46008</v>
      </c>
      <c r="K1595" s="57"/>
    </row>
    <row r="1596" spans="1:11" ht="15.75" hidden="1" customHeight="1" x14ac:dyDescent="0.35">
      <c r="A1596" s="47" t="s">
        <v>2684</v>
      </c>
      <c r="B1596" s="48" t="s">
        <v>2783</v>
      </c>
      <c r="C1596" s="49" t="s">
        <v>2766</v>
      </c>
      <c r="D1596" s="50"/>
      <c r="E1596" s="51">
        <v>2855000</v>
      </c>
      <c r="F1596" s="52">
        <f t="shared" si="102"/>
        <v>228400</v>
      </c>
      <c r="G1596" s="53">
        <f t="shared" si="101"/>
        <v>3083400</v>
      </c>
      <c r="H1596" s="54">
        <v>3083400</v>
      </c>
      <c r="I1596" s="55">
        <f t="shared" si="103"/>
        <v>0</v>
      </c>
      <c r="J1596" s="56">
        <v>46008</v>
      </c>
      <c r="K1596" s="57"/>
    </row>
    <row r="1597" spans="1:11" ht="15.75" hidden="1" customHeight="1" x14ac:dyDescent="0.35">
      <c r="A1597" s="47" t="s">
        <v>2728</v>
      </c>
      <c r="B1597" s="48" t="s">
        <v>2783</v>
      </c>
      <c r="C1597" s="49" t="s">
        <v>2767</v>
      </c>
      <c r="D1597" s="50"/>
      <c r="E1597" s="51">
        <v>810000</v>
      </c>
      <c r="F1597" s="52">
        <f t="shared" si="102"/>
        <v>64800</v>
      </c>
      <c r="G1597" s="53">
        <f t="shared" si="101"/>
        <v>874800</v>
      </c>
      <c r="H1597" s="54">
        <v>874800</v>
      </c>
      <c r="I1597" s="55">
        <f t="shared" si="103"/>
        <v>0</v>
      </c>
      <c r="J1597" s="56">
        <v>46008</v>
      </c>
      <c r="K1597" s="57"/>
    </row>
    <row r="1598" spans="1:11" ht="15.75" hidden="1" customHeight="1" x14ac:dyDescent="0.35">
      <c r="A1598" s="47" t="s">
        <v>2681</v>
      </c>
      <c r="B1598" s="48" t="s">
        <v>2784</v>
      </c>
      <c r="C1598" s="49" t="s">
        <v>2768</v>
      </c>
      <c r="D1598" s="50"/>
      <c r="E1598" s="51">
        <v>1542500</v>
      </c>
      <c r="F1598" s="52">
        <f t="shared" si="102"/>
        <v>123400</v>
      </c>
      <c r="G1598" s="53">
        <f t="shared" si="101"/>
        <v>1665900</v>
      </c>
      <c r="H1598" s="54">
        <v>1665900</v>
      </c>
      <c r="I1598" s="55">
        <f t="shared" si="103"/>
        <v>0</v>
      </c>
      <c r="J1598" s="56">
        <v>46008</v>
      </c>
      <c r="K1598" s="57"/>
    </row>
    <row r="1599" spans="1:11" ht="15.75" hidden="1" customHeight="1" x14ac:dyDescent="0.35">
      <c r="A1599" s="47" t="s">
        <v>2736</v>
      </c>
      <c r="B1599" s="48" t="s">
        <v>2784</v>
      </c>
      <c r="C1599" s="49" t="s">
        <v>2769</v>
      </c>
      <c r="D1599" s="50"/>
      <c r="E1599" s="51">
        <v>1427500</v>
      </c>
      <c r="F1599" s="52">
        <f t="shared" si="102"/>
        <v>114200</v>
      </c>
      <c r="G1599" s="53">
        <f t="shared" si="101"/>
        <v>1541700</v>
      </c>
      <c r="H1599" s="54">
        <v>1541700</v>
      </c>
      <c r="I1599" s="55">
        <f t="shared" si="103"/>
        <v>0</v>
      </c>
      <c r="J1599" s="56">
        <v>46008</v>
      </c>
      <c r="K1599" s="57"/>
    </row>
    <row r="1600" spans="1:11" ht="15.75" hidden="1" customHeight="1" x14ac:dyDescent="0.35">
      <c r="A1600" s="47" t="s">
        <v>2689</v>
      </c>
      <c r="B1600" s="48" t="s">
        <v>2784</v>
      </c>
      <c r="C1600" s="50" t="s">
        <v>2770</v>
      </c>
      <c r="D1600" s="50"/>
      <c r="E1600" s="51">
        <v>1005000</v>
      </c>
      <c r="F1600" s="52">
        <f t="shared" si="102"/>
        <v>80400</v>
      </c>
      <c r="G1600" s="53">
        <f t="shared" si="101"/>
        <v>1085400</v>
      </c>
      <c r="H1600" s="54">
        <v>1085400</v>
      </c>
      <c r="I1600" s="55">
        <f t="shared" si="103"/>
        <v>0</v>
      </c>
      <c r="J1600" s="56">
        <v>46008</v>
      </c>
      <c r="K1600" s="57"/>
    </row>
    <row r="1601" spans="1:11" ht="15.75" hidden="1" customHeight="1" x14ac:dyDescent="0.35">
      <c r="A1601" s="47" t="s">
        <v>2786</v>
      </c>
      <c r="B1601" s="48" t="s">
        <v>2784</v>
      </c>
      <c r="C1601" s="49" t="s">
        <v>2771</v>
      </c>
      <c r="D1601" s="50"/>
      <c r="E1601" s="51">
        <v>2855000</v>
      </c>
      <c r="F1601" s="52">
        <f t="shared" si="102"/>
        <v>228400</v>
      </c>
      <c r="G1601" s="53">
        <f t="shared" si="101"/>
        <v>3083400</v>
      </c>
      <c r="H1601" s="54">
        <v>3083400</v>
      </c>
      <c r="I1601" s="55">
        <f t="shared" si="103"/>
        <v>0</v>
      </c>
      <c r="J1601" s="56">
        <v>46008</v>
      </c>
      <c r="K1601" s="57"/>
    </row>
    <row r="1602" spans="1:11" ht="15.75" hidden="1" customHeight="1" x14ac:dyDescent="0.35">
      <c r="A1602" s="47" t="s">
        <v>2720</v>
      </c>
      <c r="B1602" s="48" t="s">
        <v>2784</v>
      </c>
      <c r="C1602" s="49" t="s">
        <v>2772</v>
      </c>
      <c r="D1602" s="50"/>
      <c r="E1602" s="51">
        <v>1005000</v>
      </c>
      <c r="F1602" s="52">
        <f t="shared" si="102"/>
        <v>80400</v>
      </c>
      <c r="G1602" s="53">
        <f t="shared" si="101"/>
        <v>1085400</v>
      </c>
      <c r="H1602" s="54">
        <v>1085400</v>
      </c>
      <c r="I1602" s="55">
        <f t="shared" si="103"/>
        <v>0</v>
      </c>
      <c r="J1602" s="56">
        <v>46008</v>
      </c>
      <c r="K1602" s="57"/>
    </row>
    <row r="1603" spans="1:11" ht="15.75" hidden="1" customHeight="1" x14ac:dyDescent="0.35">
      <c r="A1603" s="47" t="s">
        <v>2712</v>
      </c>
      <c r="B1603" s="48" t="s">
        <v>2784</v>
      </c>
      <c r="C1603" s="50" t="s">
        <v>2773</v>
      </c>
      <c r="D1603" s="50"/>
      <c r="E1603" s="51">
        <v>1410000</v>
      </c>
      <c r="F1603" s="52">
        <f t="shared" si="102"/>
        <v>112800</v>
      </c>
      <c r="G1603" s="53">
        <f t="shared" si="101"/>
        <v>1522800</v>
      </c>
      <c r="H1603" s="54">
        <v>1522800</v>
      </c>
      <c r="I1603" s="55">
        <f t="shared" si="103"/>
        <v>0</v>
      </c>
      <c r="J1603" s="56">
        <v>46008</v>
      </c>
      <c r="K1603" s="57"/>
    </row>
    <row r="1604" spans="1:11" ht="15.75" hidden="1" customHeight="1" x14ac:dyDescent="0.35">
      <c r="A1604" s="47" t="s">
        <v>2740</v>
      </c>
      <c r="B1604" s="48" t="s">
        <v>2785</v>
      </c>
      <c r="C1604" s="49" t="s">
        <v>2774</v>
      </c>
      <c r="D1604" s="50"/>
      <c r="E1604" s="51">
        <v>2855000</v>
      </c>
      <c r="F1604" s="52">
        <f t="shared" si="102"/>
        <v>228400</v>
      </c>
      <c r="G1604" s="53">
        <f t="shared" si="101"/>
        <v>3083400</v>
      </c>
      <c r="H1604" s="54">
        <v>3083400</v>
      </c>
      <c r="I1604" s="55">
        <f t="shared" si="103"/>
        <v>0</v>
      </c>
      <c r="J1604" s="56">
        <v>46008</v>
      </c>
      <c r="K1604" s="57"/>
    </row>
    <row r="1605" spans="1:11" ht="15.75" hidden="1" customHeight="1" x14ac:dyDescent="0.35">
      <c r="A1605" s="47" t="s">
        <v>24</v>
      </c>
      <c r="B1605" s="48" t="s">
        <v>2785</v>
      </c>
      <c r="C1605" s="50" t="s">
        <v>2775</v>
      </c>
      <c r="D1605" s="50"/>
      <c r="E1605" s="51">
        <v>1040000</v>
      </c>
      <c r="F1605" s="52">
        <f t="shared" si="102"/>
        <v>83200</v>
      </c>
      <c r="G1605" s="53">
        <f t="shared" si="101"/>
        <v>1123200</v>
      </c>
      <c r="H1605" s="54">
        <v>1123200</v>
      </c>
      <c r="I1605" s="55">
        <f t="shared" si="103"/>
        <v>0</v>
      </c>
      <c r="J1605" s="56">
        <v>46008</v>
      </c>
      <c r="K1605" s="57"/>
    </row>
    <row r="1606" spans="1:11" ht="15.75" hidden="1" customHeight="1" x14ac:dyDescent="0.35">
      <c r="A1606" s="47" t="s">
        <v>2721</v>
      </c>
      <c r="B1606" s="48" t="s">
        <v>2785</v>
      </c>
      <c r="C1606" s="50" t="s">
        <v>2776</v>
      </c>
      <c r="D1606" s="50"/>
      <c r="E1606" s="51">
        <v>1005000</v>
      </c>
      <c r="F1606" s="52">
        <f t="shared" si="102"/>
        <v>80400</v>
      </c>
      <c r="G1606" s="53">
        <f t="shared" si="101"/>
        <v>1085400</v>
      </c>
      <c r="H1606" s="54">
        <v>1085400</v>
      </c>
      <c r="I1606" s="55">
        <f t="shared" si="103"/>
        <v>0</v>
      </c>
      <c r="J1606" s="56">
        <v>46008</v>
      </c>
      <c r="K1606" s="57"/>
    </row>
    <row r="1607" spans="1:11" ht="15.75" hidden="1" customHeight="1" x14ac:dyDescent="0.35">
      <c r="A1607" s="47" t="s">
        <v>2679</v>
      </c>
      <c r="B1607" s="48" t="s">
        <v>2785</v>
      </c>
      <c r="C1607" s="49" t="s">
        <v>2777</v>
      </c>
      <c r="D1607" s="50"/>
      <c r="E1607" s="51">
        <v>2855000</v>
      </c>
      <c r="F1607" s="52">
        <f t="shared" si="102"/>
        <v>228400</v>
      </c>
      <c r="G1607" s="53">
        <f t="shared" si="101"/>
        <v>3083400</v>
      </c>
      <c r="H1607" s="54">
        <v>3083400</v>
      </c>
      <c r="I1607" s="55">
        <f t="shared" si="103"/>
        <v>0</v>
      </c>
      <c r="J1607" s="56">
        <v>46008</v>
      </c>
      <c r="K1607" s="57"/>
    </row>
    <row r="1608" spans="1:11" ht="15.75" hidden="1" customHeight="1" x14ac:dyDescent="0.35">
      <c r="A1608" s="47" t="s">
        <v>2745</v>
      </c>
      <c r="B1608" s="48" t="s">
        <v>2785</v>
      </c>
      <c r="C1608" s="49" t="s">
        <v>2778</v>
      </c>
      <c r="D1608" s="50"/>
      <c r="E1608" s="51">
        <v>2045000</v>
      </c>
      <c r="F1608" s="52">
        <f t="shared" si="102"/>
        <v>163600</v>
      </c>
      <c r="G1608" s="53">
        <f t="shared" si="101"/>
        <v>2208600</v>
      </c>
      <c r="H1608" s="54">
        <v>2208600</v>
      </c>
      <c r="I1608" s="55">
        <f t="shared" si="103"/>
        <v>0</v>
      </c>
      <c r="J1608" s="56">
        <v>46008</v>
      </c>
      <c r="K1608" s="57"/>
    </row>
    <row r="1609" spans="1:11" ht="15.75" hidden="1" customHeight="1" x14ac:dyDescent="0.35">
      <c r="A1609" s="47" t="s">
        <v>2692</v>
      </c>
      <c r="B1609" s="48" t="s">
        <v>2825</v>
      </c>
      <c r="C1609" s="50" t="s">
        <v>2796</v>
      </c>
      <c r="D1609" s="50"/>
      <c r="E1609" s="51">
        <v>2855000</v>
      </c>
      <c r="F1609" s="52">
        <f t="shared" si="102"/>
        <v>228400</v>
      </c>
      <c r="G1609" s="53">
        <f t="shared" si="101"/>
        <v>3083400</v>
      </c>
      <c r="H1609" s="54">
        <v>3083400</v>
      </c>
      <c r="I1609" s="55">
        <f t="shared" si="103"/>
        <v>0</v>
      </c>
      <c r="J1609" s="56">
        <v>46008</v>
      </c>
      <c r="K1609" s="57"/>
    </row>
    <row r="1610" spans="1:11" ht="15.75" hidden="1" customHeight="1" x14ac:dyDescent="0.35">
      <c r="A1610" s="47" t="s">
        <v>55</v>
      </c>
      <c r="B1610" s="48" t="s">
        <v>2826</v>
      </c>
      <c r="C1610" s="49" t="s">
        <v>2797</v>
      </c>
      <c r="D1610" s="50"/>
      <c r="E1610" s="51">
        <v>925000</v>
      </c>
      <c r="F1610" s="52">
        <f t="shared" si="102"/>
        <v>74000</v>
      </c>
      <c r="G1610" s="53">
        <f t="shared" si="101"/>
        <v>999000</v>
      </c>
      <c r="H1610" s="54">
        <v>999000</v>
      </c>
      <c r="I1610" s="55">
        <f t="shared" si="103"/>
        <v>0</v>
      </c>
      <c r="J1610" s="56">
        <v>46008</v>
      </c>
      <c r="K1610" s="57"/>
    </row>
    <row r="1611" spans="1:11" ht="15.75" hidden="1" customHeight="1" x14ac:dyDescent="0.35">
      <c r="A1611" s="47" t="s">
        <v>1586</v>
      </c>
      <c r="B1611" s="48" t="s">
        <v>2826</v>
      </c>
      <c r="C1611" s="49" t="s">
        <v>2798</v>
      </c>
      <c r="D1611" s="50"/>
      <c r="E1611" s="51">
        <v>1005000</v>
      </c>
      <c r="F1611" s="52">
        <f t="shared" si="102"/>
        <v>80400</v>
      </c>
      <c r="G1611" s="53">
        <f t="shared" si="101"/>
        <v>1085400</v>
      </c>
      <c r="H1611" s="54">
        <v>1085400</v>
      </c>
      <c r="I1611" s="55">
        <f t="shared" si="103"/>
        <v>0</v>
      </c>
      <c r="J1611" s="56">
        <v>46008</v>
      </c>
      <c r="K1611" s="57"/>
    </row>
    <row r="1612" spans="1:11" ht="15.75" hidden="1" customHeight="1" x14ac:dyDescent="0.35">
      <c r="A1612" s="47" t="s">
        <v>2689</v>
      </c>
      <c r="B1612" s="48" t="s">
        <v>2826</v>
      </c>
      <c r="C1612" s="49" t="s">
        <v>2799</v>
      </c>
      <c r="D1612" s="50"/>
      <c r="E1612" s="51">
        <v>1040000</v>
      </c>
      <c r="F1612" s="52">
        <f t="shared" si="102"/>
        <v>83200</v>
      </c>
      <c r="G1612" s="53">
        <f t="shared" si="101"/>
        <v>1123200</v>
      </c>
      <c r="H1612" s="54">
        <v>1123200</v>
      </c>
      <c r="I1612" s="55">
        <f t="shared" si="103"/>
        <v>0</v>
      </c>
      <c r="J1612" s="56">
        <v>46008</v>
      </c>
      <c r="K1612" s="57"/>
    </row>
    <row r="1613" spans="1:11" ht="15.75" hidden="1" customHeight="1" x14ac:dyDescent="0.35">
      <c r="A1613" s="47" t="s">
        <v>2685</v>
      </c>
      <c r="B1613" s="48" t="s">
        <v>2827</v>
      </c>
      <c r="C1613" s="50" t="s">
        <v>2800</v>
      </c>
      <c r="D1613" s="50"/>
      <c r="E1613" s="51">
        <v>2450000</v>
      </c>
      <c r="F1613" s="52">
        <f t="shared" si="102"/>
        <v>196000</v>
      </c>
      <c r="G1613" s="53">
        <f t="shared" si="101"/>
        <v>2646000</v>
      </c>
      <c r="H1613" s="54">
        <v>2646000</v>
      </c>
      <c r="I1613" s="55">
        <f t="shared" si="103"/>
        <v>0</v>
      </c>
      <c r="J1613" s="56">
        <v>46008</v>
      </c>
      <c r="K1613" s="57"/>
    </row>
    <row r="1614" spans="1:11" ht="15.75" hidden="1" customHeight="1" x14ac:dyDescent="0.35">
      <c r="A1614" s="47" t="s">
        <v>770</v>
      </c>
      <c r="B1614" s="48" t="s">
        <v>2827</v>
      </c>
      <c r="C1614" s="49" t="s">
        <v>2801</v>
      </c>
      <c r="D1614" s="50"/>
      <c r="E1614" s="51">
        <v>3455000</v>
      </c>
      <c r="F1614" s="52">
        <f t="shared" si="102"/>
        <v>276400</v>
      </c>
      <c r="G1614" s="53">
        <f t="shared" si="101"/>
        <v>3731400</v>
      </c>
      <c r="H1614" s="54">
        <v>3731400</v>
      </c>
      <c r="I1614" s="55">
        <f t="shared" si="103"/>
        <v>0</v>
      </c>
      <c r="J1614" s="56">
        <v>46008</v>
      </c>
      <c r="K1614" s="57"/>
    </row>
    <row r="1615" spans="1:11" ht="15.75" hidden="1" customHeight="1" x14ac:dyDescent="0.35">
      <c r="A1615" s="47" t="s">
        <v>2720</v>
      </c>
      <c r="B1615" s="48" t="s">
        <v>2827</v>
      </c>
      <c r="C1615" s="49" t="s">
        <v>2802</v>
      </c>
      <c r="D1615" s="50"/>
      <c r="E1615" s="51">
        <v>520000</v>
      </c>
      <c r="F1615" s="52">
        <f t="shared" si="102"/>
        <v>41600</v>
      </c>
      <c r="G1615" s="53">
        <f t="shared" si="101"/>
        <v>561600</v>
      </c>
      <c r="H1615" s="54">
        <v>561600</v>
      </c>
      <c r="I1615" s="55">
        <f t="shared" si="103"/>
        <v>0</v>
      </c>
      <c r="J1615" s="56">
        <v>46008</v>
      </c>
      <c r="K1615" s="57"/>
    </row>
    <row r="1616" spans="1:11" ht="15.75" hidden="1" customHeight="1" x14ac:dyDescent="0.35">
      <c r="A1616" s="47" t="s">
        <v>2695</v>
      </c>
      <c r="B1616" s="48" t="s">
        <v>2828</v>
      </c>
      <c r="C1616" s="49" t="s">
        <v>2803</v>
      </c>
      <c r="D1616" s="50"/>
      <c r="E1616" s="51">
        <v>7175000</v>
      </c>
      <c r="F1616" s="52">
        <f t="shared" si="102"/>
        <v>574000</v>
      </c>
      <c r="G1616" s="53">
        <f t="shared" si="101"/>
        <v>7749000</v>
      </c>
      <c r="H1616" s="54">
        <v>7749000</v>
      </c>
      <c r="I1616" s="55">
        <f t="shared" si="103"/>
        <v>0</v>
      </c>
      <c r="J1616" s="56">
        <v>46008</v>
      </c>
      <c r="K1616" s="57"/>
    </row>
    <row r="1617" spans="1:11" ht="15.75" hidden="1" customHeight="1" x14ac:dyDescent="0.35">
      <c r="A1617" s="47" t="s">
        <v>2703</v>
      </c>
      <c r="B1617" s="48" t="s">
        <v>2828</v>
      </c>
      <c r="C1617" s="49" t="s">
        <v>2804</v>
      </c>
      <c r="D1617" s="50"/>
      <c r="E1617" s="51">
        <v>1022500</v>
      </c>
      <c r="F1617" s="52">
        <f t="shared" si="102"/>
        <v>81800</v>
      </c>
      <c r="G1617" s="53">
        <f t="shared" si="101"/>
        <v>1104300</v>
      </c>
      <c r="H1617" s="54">
        <v>1104300</v>
      </c>
      <c r="I1617" s="55">
        <f t="shared" si="103"/>
        <v>0</v>
      </c>
      <c r="J1617" s="56">
        <v>46008</v>
      </c>
      <c r="K1617" s="57"/>
    </row>
    <row r="1618" spans="1:11" ht="15.75" hidden="1" customHeight="1" x14ac:dyDescent="0.35">
      <c r="A1618" s="47" t="s">
        <v>2693</v>
      </c>
      <c r="B1618" s="48" t="s">
        <v>2828</v>
      </c>
      <c r="C1618" s="49" t="s">
        <v>2805</v>
      </c>
      <c r="D1618" s="50"/>
      <c r="E1618" s="51">
        <v>1040000</v>
      </c>
      <c r="F1618" s="52">
        <f t="shared" si="102"/>
        <v>83200</v>
      </c>
      <c r="G1618" s="53">
        <f t="shared" si="101"/>
        <v>1123200</v>
      </c>
      <c r="H1618" s="54">
        <v>1123200</v>
      </c>
      <c r="I1618" s="55">
        <f t="shared" si="103"/>
        <v>0</v>
      </c>
      <c r="J1618" s="56">
        <v>46008</v>
      </c>
      <c r="K1618" s="57"/>
    </row>
    <row r="1619" spans="1:11" ht="15.75" hidden="1" customHeight="1" x14ac:dyDescent="0.35">
      <c r="A1619" s="47" t="s">
        <v>2729</v>
      </c>
      <c r="B1619" s="48" t="s">
        <v>2828</v>
      </c>
      <c r="C1619" s="49" t="s">
        <v>2806</v>
      </c>
      <c r="D1619" s="50"/>
      <c r="E1619" s="51">
        <v>1022500</v>
      </c>
      <c r="F1619" s="52">
        <f t="shared" si="102"/>
        <v>81800</v>
      </c>
      <c r="G1619" s="53">
        <f t="shared" si="101"/>
        <v>1104300</v>
      </c>
      <c r="H1619" s="54">
        <v>1104300</v>
      </c>
      <c r="I1619" s="55">
        <f t="shared" si="103"/>
        <v>0</v>
      </c>
      <c r="J1619" s="56">
        <v>46008</v>
      </c>
      <c r="K1619" s="57"/>
    </row>
    <row r="1620" spans="1:11" ht="15.75" hidden="1" customHeight="1" x14ac:dyDescent="0.35">
      <c r="A1620" s="47" t="s">
        <v>2694</v>
      </c>
      <c r="B1620" s="48" t="s">
        <v>2828</v>
      </c>
      <c r="C1620" s="49" t="s">
        <v>2807</v>
      </c>
      <c r="D1620" s="50"/>
      <c r="E1620" s="51">
        <v>810000</v>
      </c>
      <c r="F1620" s="52">
        <f t="shared" si="102"/>
        <v>64800</v>
      </c>
      <c r="G1620" s="53">
        <f t="shared" si="101"/>
        <v>874800</v>
      </c>
      <c r="H1620" s="54">
        <v>874800</v>
      </c>
      <c r="I1620" s="55">
        <f t="shared" si="103"/>
        <v>0</v>
      </c>
      <c r="J1620" s="56">
        <v>46008</v>
      </c>
      <c r="K1620" s="57"/>
    </row>
    <row r="1621" spans="1:11" ht="15.75" hidden="1" customHeight="1" x14ac:dyDescent="0.35">
      <c r="A1621" s="47" t="s">
        <v>2691</v>
      </c>
      <c r="B1621" s="48" t="s">
        <v>2828</v>
      </c>
      <c r="C1621" s="49" t="s">
        <v>2808</v>
      </c>
      <c r="D1621" s="50"/>
      <c r="E1621" s="51">
        <v>2855000</v>
      </c>
      <c r="F1621" s="52">
        <f t="shared" si="102"/>
        <v>228400</v>
      </c>
      <c r="G1621" s="53">
        <f t="shared" si="101"/>
        <v>3083400</v>
      </c>
      <c r="H1621" s="54">
        <v>3083400</v>
      </c>
      <c r="I1621" s="55">
        <f t="shared" si="103"/>
        <v>0</v>
      </c>
      <c r="J1621" s="56">
        <v>46008</v>
      </c>
      <c r="K1621" s="57"/>
    </row>
    <row r="1622" spans="1:11" ht="15.75" hidden="1" customHeight="1" x14ac:dyDescent="0.35">
      <c r="A1622" s="47" t="s">
        <v>2836</v>
      </c>
      <c r="B1622" s="48" t="s">
        <v>2829</v>
      </c>
      <c r="C1622" s="49" t="s">
        <v>2809</v>
      </c>
      <c r="D1622" s="50"/>
      <c r="E1622" s="51">
        <v>405000</v>
      </c>
      <c r="F1622" s="52">
        <f t="shared" si="102"/>
        <v>32400</v>
      </c>
      <c r="G1622" s="53">
        <f t="shared" si="101"/>
        <v>437400</v>
      </c>
      <c r="H1622" s="54">
        <v>437400</v>
      </c>
      <c r="I1622" s="55">
        <f t="shared" si="103"/>
        <v>0</v>
      </c>
      <c r="J1622" s="56">
        <v>46008</v>
      </c>
      <c r="K1622" s="57"/>
    </row>
    <row r="1623" spans="1:11" ht="15.75" hidden="1" customHeight="1" x14ac:dyDescent="0.35">
      <c r="A1623" s="47" t="s">
        <v>2696</v>
      </c>
      <c r="B1623" s="48" t="s">
        <v>2829</v>
      </c>
      <c r="C1623" s="49" t="s">
        <v>2810</v>
      </c>
      <c r="D1623" s="50"/>
      <c r="E1623" s="51">
        <v>1005000</v>
      </c>
      <c r="F1623" s="52">
        <f t="shared" si="102"/>
        <v>80400</v>
      </c>
      <c r="G1623" s="53">
        <f t="shared" si="101"/>
        <v>1085400</v>
      </c>
      <c r="H1623" s="54">
        <v>1085400</v>
      </c>
      <c r="I1623" s="55">
        <f t="shared" si="103"/>
        <v>0</v>
      </c>
      <c r="J1623" s="56">
        <v>46008</v>
      </c>
      <c r="K1623" s="57"/>
    </row>
    <row r="1624" spans="1:11" ht="15.75" hidden="1" customHeight="1" x14ac:dyDescent="0.35">
      <c r="A1624" s="47" t="s">
        <v>2688</v>
      </c>
      <c r="B1624" s="48" t="s">
        <v>2830</v>
      </c>
      <c r="C1624" s="49" t="s">
        <v>2811</v>
      </c>
      <c r="D1624" s="50"/>
      <c r="E1624" s="51">
        <v>2010000</v>
      </c>
      <c r="F1624" s="52">
        <f t="shared" si="102"/>
        <v>160800</v>
      </c>
      <c r="G1624" s="53">
        <f t="shared" si="101"/>
        <v>2170800</v>
      </c>
      <c r="H1624" s="54">
        <v>2170800</v>
      </c>
      <c r="I1624" s="55">
        <f t="shared" si="103"/>
        <v>0</v>
      </c>
      <c r="J1624" s="56">
        <v>46008</v>
      </c>
      <c r="K1624" s="57"/>
    </row>
    <row r="1625" spans="1:11" ht="15.75" hidden="1" customHeight="1" x14ac:dyDescent="0.35">
      <c r="A1625" s="47" t="s">
        <v>2732</v>
      </c>
      <c r="B1625" s="48" t="s">
        <v>2830</v>
      </c>
      <c r="C1625" s="49" t="s">
        <v>2812</v>
      </c>
      <c r="D1625" s="50"/>
      <c r="E1625" s="51">
        <v>2450000</v>
      </c>
      <c r="F1625" s="52">
        <f t="shared" si="102"/>
        <v>196000</v>
      </c>
      <c r="G1625" s="53">
        <f t="shared" si="101"/>
        <v>2646000</v>
      </c>
      <c r="H1625" s="54">
        <v>2646000</v>
      </c>
      <c r="I1625" s="55">
        <f t="shared" si="103"/>
        <v>0</v>
      </c>
      <c r="J1625" s="56">
        <v>46008</v>
      </c>
      <c r="K1625" s="57"/>
    </row>
    <row r="1626" spans="1:11" ht="15.75" hidden="1" customHeight="1" x14ac:dyDescent="0.35">
      <c r="A1626" s="47" t="s">
        <v>2837</v>
      </c>
      <c r="B1626" s="48" t="s">
        <v>2830</v>
      </c>
      <c r="C1626" s="49" t="s">
        <v>2813</v>
      </c>
      <c r="D1626" s="50"/>
      <c r="E1626" s="51">
        <v>1022500</v>
      </c>
      <c r="F1626" s="52">
        <f t="shared" si="102"/>
        <v>81800</v>
      </c>
      <c r="G1626" s="53">
        <f t="shared" si="101"/>
        <v>1104300</v>
      </c>
      <c r="H1626" s="54">
        <v>1104300</v>
      </c>
      <c r="I1626" s="55">
        <f t="shared" si="103"/>
        <v>0</v>
      </c>
      <c r="J1626" s="56">
        <v>46008</v>
      </c>
      <c r="K1626" s="57"/>
    </row>
    <row r="1627" spans="1:11" ht="15.75" hidden="1" customHeight="1" x14ac:dyDescent="0.35">
      <c r="A1627" s="47" t="s">
        <v>2748</v>
      </c>
      <c r="B1627" s="48" t="s">
        <v>2831</v>
      </c>
      <c r="C1627" s="49" t="s">
        <v>2814</v>
      </c>
      <c r="D1627" s="50"/>
      <c r="E1627" s="51">
        <v>1930000</v>
      </c>
      <c r="F1627" s="52">
        <f t="shared" si="102"/>
        <v>154400</v>
      </c>
      <c r="G1627" s="53">
        <f t="shared" si="101"/>
        <v>2084400</v>
      </c>
      <c r="H1627" s="54">
        <v>2084400</v>
      </c>
      <c r="I1627" s="55">
        <f t="shared" si="103"/>
        <v>0</v>
      </c>
      <c r="J1627" s="56">
        <v>46008</v>
      </c>
      <c r="K1627" s="57"/>
    </row>
    <row r="1628" spans="1:11" ht="15.75" hidden="1" customHeight="1" x14ac:dyDescent="0.35">
      <c r="A1628" s="47" t="s">
        <v>2838</v>
      </c>
      <c r="B1628" s="48" t="s">
        <v>2831</v>
      </c>
      <c r="C1628" s="49" t="s">
        <v>2815</v>
      </c>
      <c r="D1628" s="50"/>
      <c r="E1628" s="51">
        <v>1005000</v>
      </c>
      <c r="F1628" s="52">
        <f t="shared" si="102"/>
        <v>80400</v>
      </c>
      <c r="G1628" s="53">
        <f t="shared" si="101"/>
        <v>1085400</v>
      </c>
      <c r="H1628" s="54">
        <v>1085400</v>
      </c>
      <c r="I1628" s="55">
        <f t="shared" si="103"/>
        <v>0</v>
      </c>
      <c r="J1628" s="56">
        <v>46008</v>
      </c>
      <c r="K1628" s="57"/>
    </row>
    <row r="1629" spans="1:11" ht="15.75" hidden="1" customHeight="1" x14ac:dyDescent="0.35">
      <c r="A1629" s="47" t="s">
        <v>2718</v>
      </c>
      <c r="B1629" s="48" t="s">
        <v>2832</v>
      </c>
      <c r="C1629" s="49" t="s">
        <v>2816</v>
      </c>
      <c r="D1629" s="50"/>
      <c r="E1629" s="51">
        <v>1850000</v>
      </c>
      <c r="F1629" s="52">
        <f t="shared" si="102"/>
        <v>148000</v>
      </c>
      <c r="G1629" s="53">
        <f t="shared" si="101"/>
        <v>1998000</v>
      </c>
      <c r="H1629" s="54">
        <v>1998000</v>
      </c>
      <c r="I1629" s="55">
        <f t="shared" si="103"/>
        <v>0</v>
      </c>
      <c r="J1629" s="56">
        <v>46008</v>
      </c>
      <c r="K1629" s="57"/>
    </row>
    <row r="1630" spans="1:11" ht="15.75" hidden="1" customHeight="1" x14ac:dyDescent="0.35">
      <c r="A1630" s="47" t="s">
        <v>2689</v>
      </c>
      <c r="B1630" s="48" t="s">
        <v>2832</v>
      </c>
      <c r="C1630" s="49" t="s">
        <v>2817</v>
      </c>
      <c r="D1630" s="50"/>
      <c r="E1630" s="51">
        <v>1005000</v>
      </c>
      <c r="F1630" s="52">
        <f t="shared" si="102"/>
        <v>80400</v>
      </c>
      <c r="G1630" s="53">
        <f t="shared" si="101"/>
        <v>1085400</v>
      </c>
      <c r="H1630" s="54">
        <v>1085400</v>
      </c>
      <c r="I1630" s="55">
        <f t="shared" si="103"/>
        <v>0</v>
      </c>
      <c r="J1630" s="56">
        <v>46008</v>
      </c>
      <c r="K1630" s="57"/>
    </row>
    <row r="1631" spans="1:11" ht="15.75" hidden="1" customHeight="1" x14ac:dyDescent="0.35">
      <c r="A1631" s="47" t="s">
        <v>2688</v>
      </c>
      <c r="B1631" s="48" t="s">
        <v>2833</v>
      </c>
      <c r="C1631" s="49" t="s">
        <v>2818</v>
      </c>
      <c r="D1631" s="50"/>
      <c r="E1631" s="51">
        <v>4900000</v>
      </c>
      <c r="F1631" s="52">
        <f t="shared" si="102"/>
        <v>392000</v>
      </c>
      <c r="G1631" s="53">
        <f t="shared" si="101"/>
        <v>5292000</v>
      </c>
      <c r="H1631" s="54">
        <v>5292000</v>
      </c>
      <c r="I1631" s="55">
        <f t="shared" si="103"/>
        <v>0</v>
      </c>
      <c r="J1631" s="56">
        <v>46008</v>
      </c>
      <c r="K1631" s="57"/>
    </row>
    <row r="1632" spans="1:11" ht="15.75" hidden="1" customHeight="1" x14ac:dyDescent="0.35">
      <c r="A1632" s="47" t="s">
        <v>2786</v>
      </c>
      <c r="B1632" s="48">
        <v>45993</v>
      </c>
      <c r="C1632" s="50" t="s">
        <v>2819</v>
      </c>
      <c r="D1632" s="49" t="s">
        <v>3056</v>
      </c>
      <c r="E1632" s="51">
        <v>1005000</v>
      </c>
      <c r="F1632" s="52">
        <f t="shared" si="102"/>
        <v>80400</v>
      </c>
      <c r="G1632" s="53">
        <f t="shared" si="101"/>
        <v>1085400</v>
      </c>
      <c r="H1632" s="54">
        <v>1085400</v>
      </c>
      <c r="I1632" s="55">
        <f t="shared" si="103"/>
        <v>0</v>
      </c>
      <c r="J1632" s="56">
        <v>46042</v>
      </c>
      <c r="K1632" s="57" t="s">
        <v>3387</v>
      </c>
    </row>
    <row r="1633" spans="1:11" ht="15.75" hidden="1" customHeight="1" x14ac:dyDescent="0.35">
      <c r="A1633" s="47" t="s">
        <v>2723</v>
      </c>
      <c r="B1633" s="48" t="s">
        <v>2833</v>
      </c>
      <c r="C1633" s="49" t="s">
        <v>2820</v>
      </c>
      <c r="D1633" s="50"/>
      <c r="E1633" s="51">
        <v>810000</v>
      </c>
      <c r="F1633" s="52">
        <f t="shared" si="102"/>
        <v>64800</v>
      </c>
      <c r="G1633" s="53">
        <f t="shared" si="101"/>
        <v>874800</v>
      </c>
      <c r="H1633" s="54">
        <v>874800</v>
      </c>
      <c r="I1633" s="55">
        <f t="shared" si="103"/>
        <v>0</v>
      </c>
      <c r="J1633" s="56">
        <v>46008</v>
      </c>
      <c r="K1633" s="57"/>
    </row>
    <row r="1634" spans="1:11" ht="15.75" hidden="1" customHeight="1" x14ac:dyDescent="0.35">
      <c r="A1634" s="47" t="s">
        <v>2712</v>
      </c>
      <c r="B1634" s="48" t="s">
        <v>2833</v>
      </c>
      <c r="C1634" s="49" t="s">
        <v>2821</v>
      </c>
      <c r="D1634" s="50"/>
      <c r="E1634" s="51">
        <v>1040000</v>
      </c>
      <c r="F1634" s="52">
        <f t="shared" si="102"/>
        <v>83200</v>
      </c>
      <c r="G1634" s="53">
        <f t="shared" si="101"/>
        <v>1123200</v>
      </c>
      <c r="H1634" s="54">
        <v>1123200</v>
      </c>
      <c r="I1634" s="55">
        <f t="shared" si="103"/>
        <v>0</v>
      </c>
      <c r="J1634" s="56">
        <v>46008</v>
      </c>
      <c r="K1634" s="57"/>
    </row>
    <row r="1635" spans="1:11" ht="15.75" hidden="1" customHeight="1" x14ac:dyDescent="0.35">
      <c r="A1635" s="47" t="s">
        <v>2727</v>
      </c>
      <c r="B1635" s="48" t="s">
        <v>2833</v>
      </c>
      <c r="C1635" s="49" t="s">
        <v>2822</v>
      </c>
      <c r="D1635" s="50"/>
      <c r="E1635" s="51">
        <v>2045000</v>
      </c>
      <c r="F1635" s="52">
        <f t="shared" si="102"/>
        <v>163600</v>
      </c>
      <c r="G1635" s="53">
        <f t="shared" si="101"/>
        <v>2208600</v>
      </c>
      <c r="H1635" s="54">
        <v>2208600</v>
      </c>
      <c r="I1635" s="55">
        <f t="shared" si="103"/>
        <v>0</v>
      </c>
      <c r="J1635" s="56">
        <v>46008</v>
      </c>
      <c r="K1635" s="57"/>
    </row>
    <row r="1636" spans="1:11" ht="15.75" hidden="1" customHeight="1" x14ac:dyDescent="0.35">
      <c r="A1636" s="47" t="s">
        <v>2695</v>
      </c>
      <c r="B1636" s="48" t="s">
        <v>2834</v>
      </c>
      <c r="C1636" s="49" t="s">
        <v>2823</v>
      </c>
      <c r="D1636" s="50"/>
      <c r="E1636" s="51">
        <v>6135000</v>
      </c>
      <c r="F1636" s="52">
        <f t="shared" si="102"/>
        <v>490800</v>
      </c>
      <c r="G1636" s="53">
        <f t="shared" si="101"/>
        <v>6625800</v>
      </c>
      <c r="H1636" s="54">
        <v>6625800</v>
      </c>
      <c r="I1636" s="55">
        <f t="shared" si="103"/>
        <v>0</v>
      </c>
      <c r="J1636" s="56">
        <v>46008</v>
      </c>
      <c r="K1636" s="57"/>
    </row>
    <row r="1637" spans="1:11" ht="15.75" hidden="1" customHeight="1" x14ac:dyDescent="0.35">
      <c r="A1637" s="47" t="s">
        <v>2706</v>
      </c>
      <c r="B1637" s="48" t="s">
        <v>2835</v>
      </c>
      <c r="C1637" s="49" t="s">
        <v>2824</v>
      </c>
      <c r="D1637" s="50"/>
      <c r="E1637" s="51">
        <v>1005000</v>
      </c>
      <c r="F1637" s="52">
        <f t="shared" si="102"/>
        <v>80400</v>
      </c>
      <c r="G1637" s="53">
        <f t="shared" si="101"/>
        <v>1085400</v>
      </c>
      <c r="H1637" s="54">
        <v>1085400</v>
      </c>
      <c r="I1637" s="55">
        <f t="shared" si="103"/>
        <v>0</v>
      </c>
      <c r="J1637" s="56">
        <v>46008</v>
      </c>
      <c r="K1637" s="57"/>
    </row>
    <row r="1638" spans="1:11" ht="15.75" hidden="1" customHeight="1" x14ac:dyDescent="0.35">
      <c r="A1638" s="47" t="s">
        <v>2689</v>
      </c>
      <c r="B1638" s="48" t="s">
        <v>3004</v>
      </c>
      <c r="C1638" s="49" t="s">
        <v>2839</v>
      </c>
      <c r="D1638" s="50"/>
      <c r="E1638" s="51">
        <v>1040000</v>
      </c>
      <c r="F1638" s="52">
        <f t="shared" si="102"/>
        <v>83200</v>
      </c>
      <c r="G1638" s="53">
        <f t="shared" si="101"/>
        <v>1123200</v>
      </c>
      <c r="H1638" s="54">
        <v>1123200</v>
      </c>
      <c r="I1638" s="55">
        <f t="shared" si="103"/>
        <v>0</v>
      </c>
      <c r="J1638" s="56">
        <v>46135</v>
      </c>
      <c r="K1638" s="57" t="s">
        <v>3387</v>
      </c>
    </row>
    <row r="1639" spans="1:11" ht="15.75" hidden="1" customHeight="1" x14ac:dyDescent="0.35">
      <c r="A1639" s="47" t="s">
        <v>3016</v>
      </c>
      <c r="B1639" s="48" t="s">
        <v>3004</v>
      </c>
      <c r="C1639" s="49" t="s">
        <v>2840</v>
      </c>
      <c r="D1639" s="50"/>
      <c r="E1639" s="51">
        <v>2855000</v>
      </c>
      <c r="F1639" s="52">
        <f t="shared" si="102"/>
        <v>228400</v>
      </c>
      <c r="G1639" s="53">
        <f t="shared" si="101"/>
        <v>3083400</v>
      </c>
      <c r="H1639" s="54">
        <v>3083400</v>
      </c>
      <c r="I1639" s="55">
        <f t="shared" si="103"/>
        <v>0</v>
      </c>
      <c r="J1639" s="56">
        <v>46042</v>
      </c>
      <c r="K1639" s="57" t="s">
        <v>3387</v>
      </c>
    </row>
    <row r="1640" spans="1:11" ht="15.75" hidden="1" customHeight="1" x14ac:dyDescent="0.35">
      <c r="A1640" s="47" t="s">
        <v>24</v>
      </c>
      <c r="B1640" s="48" t="s">
        <v>3004</v>
      </c>
      <c r="C1640" s="49" t="s">
        <v>2841</v>
      </c>
      <c r="D1640" s="50"/>
      <c r="E1640" s="51">
        <v>1005000</v>
      </c>
      <c r="F1640" s="52">
        <f t="shared" si="102"/>
        <v>80400</v>
      </c>
      <c r="G1640" s="53">
        <f t="shared" si="101"/>
        <v>1085400</v>
      </c>
      <c r="H1640" s="54">
        <v>1085400</v>
      </c>
      <c r="I1640" s="55">
        <f t="shared" si="103"/>
        <v>0</v>
      </c>
      <c r="J1640" s="56">
        <v>46042</v>
      </c>
      <c r="K1640" s="57" t="s">
        <v>3387</v>
      </c>
    </row>
    <row r="1641" spans="1:11" ht="15.75" hidden="1" customHeight="1" x14ac:dyDescent="0.35">
      <c r="A1641" s="47" t="s">
        <v>2695</v>
      </c>
      <c r="B1641" s="48" t="s">
        <v>3004</v>
      </c>
      <c r="C1641" s="49" t="s">
        <v>2842</v>
      </c>
      <c r="D1641" s="50"/>
      <c r="E1641" s="51">
        <v>5130000</v>
      </c>
      <c r="F1641" s="52">
        <f t="shared" si="102"/>
        <v>410400</v>
      </c>
      <c r="G1641" s="53">
        <f t="shared" si="101"/>
        <v>5540400</v>
      </c>
      <c r="H1641" s="54">
        <v>5540400</v>
      </c>
      <c r="I1641" s="55">
        <f t="shared" si="103"/>
        <v>0</v>
      </c>
      <c r="J1641" s="56">
        <v>46042</v>
      </c>
      <c r="K1641" s="57" t="s">
        <v>3387</v>
      </c>
    </row>
    <row r="1642" spans="1:11" ht="15.75" hidden="1" customHeight="1" x14ac:dyDescent="0.35">
      <c r="A1642" s="47" t="s">
        <v>55</v>
      </c>
      <c r="B1642" s="48" t="s">
        <v>3004</v>
      </c>
      <c r="C1642" s="49" t="s">
        <v>2843</v>
      </c>
      <c r="D1642" s="50"/>
      <c r="E1642" s="51">
        <v>1265000</v>
      </c>
      <c r="F1642" s="52">
        <f t="shared" si="102"/>
        <v>101200</v>
      </c>
      <c r="G1642" s="53">
        <f t="shared" si="101"/>
        <v>1366200</v>
      </c>
      <c r="H1642" s="54">
        <v>1366200</v>
      </c>
      <c r="I1642" s="55">
        <f t="shared" si="103"/>
        <v>0</v>
      </c>
      <c r="J1642" s="56">
        <v>46042</v>
      </c>
      <c r="K1642" s="57" t="s">
        <v>3387</v>
      </c>
    </row>
    <row r="1643" spans="1:11" ht="15.75" hidden="1" customHeight="1" x14ac:dyDescent="0.35">
      <c r="A1643" s="47" t="s">
        <v>2740</v>
      </c>
      <c r="B1643" s="48" t="s">
        <v>3004</v>
      </c>
      <c r="C1643" s="49" t="s">
        <v>2844</v>
      </c>
      <c r="D1643" s="50"/>
      <c r="E1643" s="51">
        <v>2010000</v>
      </c>
      <c r="F1643" s="52">
        <f t="shared" si="102"/>
        <v>160800</v>
      </c>
      <c r="G1643" s="53">
        <f t="shared" si="101"/>
        <v>2170800</v>
      </c>
      <c r="H1643" s="54">
        <v>2170800</v>
      </c>
      <c r="I1643" s="55">
        <f t="shared" si="103"/>
        <v>0</v>
      </c>
      <c r="J1643" s="56">
        <v>46042</v>
      </c>
      <c r="K1643" s="57" t="s">
        <v>3387</v>
      </c>
    </row>
    <row r="1644" spans="1:11" ht="15.75" hidden="1" customHeight="1" x14ac:dyDescent="0.35">
      <c r="A1644" s="47" t="s">
        <v>2721</v>
      </c>
      <c r="B1644" s="48" t="s">
        <v>3004</v>
      </c>
      <c r="C1644" s="49" t="s">
        <v>2845</v>
      </c>
      <c r="D1644" s="50"/>
      <c r="E1644" s="51">
        <v>925000</v>
      </c>
      <c r="F1644" s="52">
        <f t="shared" si="102"/>
        <v>74000</v>
      </c>
      <c r="G1644" s="53">
        <f t="shared" si="101"/>
        <v>999000</v>
      </c>
      <c r="H1644" s="54">
        <v>999000</v>
      </c>
      <c r="I1644" s="55">
        <f t="shared" si="103"/>
        <v>0</v>
      </c>
      <c r="J1644" s="56">
        <v>46042</v>
      </c>
      <c r="K1644" s="57" t="s">
        <v>3387</v>
      </c>
    </row>
    <row r="1645" spans="1:11" ht="15.75" hidden="1" customHeight="1" x14ac:dyDescent="0.35">
      <c r="A1645" s="47" t="s">
        <v>2681</v>
      </c>
      <c r="B1645" s="48" t="s">
        <v>3004</v>
      </c>
      <c r="C1645" s="49" t="s">
        <v>2846</v>
      </c>
      <c r="D1645" s="50"/>
      <c r="E1645" s="51">
        <v>45203000</v>
      </c>
      <c r="F1645" s="52">
        <f t="shared" si="102"/>
        <v>3616240</v>
      </c>
      <c r="G1645" s="53">
        <f t="shared" si="101"/>
        <v>48819240</v>
      </c>
      <c r="H1645" s="54">
        <v>48819240</v>
      </c>
      <c r="I1645" s="55">
        <f t="shared" si="103"/>
        <v>0</v>
      </c>
      <c r="J1645" s="56">
        <v>46196</v>
      </c>
      <c r="K1645" s="57" t="s">
        <v>3387</v>
      </c>
    </row>
    <row r="1646" spans="1:11" ht="15.75" hidden="1" customHeight="1" x14ac:dyDescent="0.35">
      <c r="A1646" s="47" t="s">
        <v>2680</v>
      </c>
      <c r="B1646" s="48" t="s">
        <v>3005</v>
      </c>
      <c r="C1646" s="49" t="s">
        <v>2847</v>
      </c>
      <c r="D1646" s="50"/>
      <c r="E1646" s="51">
        <v>1815000</v>
      </c>
      <c r="F1646" s="52">
        <f t="shared" si="102"/>
        <v>145200</v>
      </c>
      <c r="G1646" s="53">
        <f t="shared" si="101"/>
        <v>1960200</v>
      </c>
      <c r="H1646" s="54">
        <v>1960200</v>
      </c>
      <c r="I1646" s="55">
        <f t="shared" si="103"/>
        <v>0</v>
      </c>
      <c r="J1646" s="56">
        <v>46210</v>
      </c>
      <c r="K1646" s="57" t="s">
        <v>3387</v>
      </c>
    </row>
    <row r="1647" spans="1:11" ht="15.75" hidden="1" customHeight="1" x14ac:dyDescent="0.35">
      <c r="A1647" s="47" t="s">
        <v>2688</v>
      </c>
      <c r="B1647" s="48" t="s">
        <v>3005</v>
      </c>
      <c r="C1647" s="49" t="s">
        <v>2848</v>
      </c>
      <c r="D1647" s="50"/>
      <c r="E1647" s="51">
        <v>2820000</v>
      </c>
      <c r="F1647" s="52">
        <f t="shared" si="102"/>
        <v>225600</v>
      </c>
      <c r="G1647" s="53">
        <f t="shared" si="101"/>
        <v>3045600</v>
      </c>
      <c r="H1647" s="54">
        <v>3045600</v>
      </c>
      <c r="I1647" s="55">
        <f t="shared" si="103"/>
        <v>0</v>
      </c>
      <c r="J1647" s="56">
        <v>46042</v>
      </c>
      <c r="K1647" s="57" t="s">
        <v>3387</v>
      </c>
    </row>
    <row r="1648" spans="1:11" ht="15.75" hidden="1" customHeight="1" x14ac:dyDescent="0.35">
      <c r="A1648" s="47" t="s">
        <v>2703</v>
      </c>
      <c r="B1648" s="48" t="s">
        <v>3006</v>
      </c>
      <c r="C1648" s="50" t="s">
        <v>2849</v>
      </c>
      <c r="D1648" s="50"/>
      <c r="E1648" s="51">
        <v>1005000</v>
      </c>
      <c r="F1648" s="52">
        <f t="shared" si="102"/>
        <v>80400</v>
      </c>
      <c r="G1648" s="53">
        <f t="shared" si="101"/>
        <v>1085400</v>
      </c>
      <c r="H1648" s="54">
        <v>1085400</v>
      </c>
      <c r="I1648" s="55">
        <f t="shared" si="103"/>
        <v>0</v>
      </c>
      <c r="J1648" s="56">
        <v>46105</v>
      </c>
      <c r="K1648" s="57" t="s">
        <v>3387</v>
      </c>
    </row>
    <row r="1649" spans="1:11" ht="15.75" hidden="1" customHeight="1" x14ac:dyDescent="0.35">
      <c r="A1649" s="47" t="s">
        <v>308</v>
      </c>
      <c r="B1649" s="48" t="s">
        <v>3006</v>
      </c>
      <c r="C1649" s="49" t="s">
        <v>2850</v>
      </c>
      <c r="D1649" s="50"/>
      <c r="E1649" s="51">
        <v>1022500</v>
      </c>
      <c r="F1649" s="52">
        <f t="shared" si="102"/>
        <v>81800</v>
      </c>
      <c r="G1649" s="53">
        <f t="shared" si="101"/>
        <v>1104300</v>
      </c>
      <c r="H1649" s="54">
        <v>1104300</v>
      </c>
      <c r="I1649" s="55">
        <f t="shared" si="103"/>
        <v>0</v>
      </c>
      <c r="J1649" s="56">
        <v>46076</v>
      </c>
      <c r="K1649" s="57" t="s">
        <v>3387</v>
      </c>
    </row>
    <row r="1650" spans="1:11" ht="15.75" hidden="1" customHeight="1" x14ac:dyDescent="0.35">
      <c r="A1650" s="47" t="s">
        <v>1586</v>
      </c>
      <c r="B1650" s="48" t="s">
        <v>3007</v>
      </c>
      <c r="C1650" s="49" t="s">
        <v>2851</v>
      </c>
      <c r="D1650" s="50"/>
      <c r="E1650" s="51">
        <v>2820000</v>
      </c>
      <c r="F1650" s="52">
        <f t="shared" si="102"/>
        <v>225600</v>
      </c>
      <c r="G1650" s="53">
        <f t="shared" si="101"/>
        <v>3045600</v>
      </c>
      <c r="H1650" s="54">
        <v>3045600</v>
      </c>
      <c r="I1650" s="55">
        <f t="shared" si="103"/>
        <v>0</v>
      </c>
      <c r="J1650" s="56">
        <v>46042</v>
      </c>
      <c r="K1650" s="57" t="s">
        <v>3387</v>
      </c>
    </row>
    <row r="1651" spans="1:11" ht="15.75" hidden="1" customHeight="1" x14ac:dyDescent="0.35">
      <c r="A1651" s="47" t="s">
        <v>2698</v>
      </c>
      <c r="B1651" s="48" t="s">
        <v>3007</v>
      </c>
      <c r="C1651" s="49" t="s">
        <v>2852</v>
      </c>
      <c r="D1651" s="50"/>
      <c r="E1651" s="51">
        <v>810000</v>
      </c>
      <c r="F1651" s="52">
        <f t="shared" si="102"/>
        <v>64800</v>
      </c>
      <c r="G1651" s="53">
        <f t="shared" si="101"/>
        <v>874800</v>
      </c>
      <c r="H1651" s="54">
        <v>874800</v>
      </c>
      <c r="I1651" s="55">
        <f t="shared" si="103"/>
        <v>0</v>
      </c>
      <c r="J1651" s="56">
        <v>46135</v>
      </c>
      <c r="K1651" s="57" t="s">
        <v>3387</v>
      </c>
    </row>
    <row r="1652" spans="1:11" ht="15.75" hidden="1" customHeight="1" x14ac:dyDescent="0.35">
      <c r="A1652" s="47" t="s">
        <v>2722</v>
      </c>
      <c r="B1652" s="48" t="s">
        <v>3007</v>
      </c>
      <c r="C1652" s="49" t="s">
        <v>2853</v>
      </c>
      <c r="D1652" s="50"/>
      <c r="E1652" s="51">
        <v>2045000</v>
      </c>
      <c r="F1652" s="52">
        <f t="shared" si="102"/>
        <v>163600</v>
      </c>
      <c r="G1652" s="53">
        <f t="shared" si="101"/>
        <v>2208600</v>
      </c>
      <c r="H1652" s="54">
        <v>2208600</v>
      </c>
      <c r="I1652" s="55">
        <f t="shared" si="103"/>
        <v>0</v>
      </c>
      <c r="J1652" s="56">
        <v>46135</v>
      </c>
      <c r="K1652" s="57" t="s">
        <v>3387</v>
      </c>
    </row>
    <row r="1653" spans="1:11" ht="15.75" hidden="1" customHeight="1" x14ac:dyDescent="0.35">
      <c r="A1653" s="47" t="s">
        <v>2730</v>
      </c>
      <c r="B1653" s="48" t="s">
        <v>3008</v>
      </c>
      <c r="C1653" s="49" t="s">
        <v>2854</v>
      </c>
      <c r="D1653" s="50"/>
      <c r="E1653" s="51">
        <v>8760000</v>
      </c>
      <c r="F1653" s="52">
        <f t="shared" si="102"/>
        <v>700800</v>
      </c>
      <c r="G1653" s="53">
        <f t="shared" si="101"/>
        <v>9460800</v>
      </c>
      <c r="H1653" s="54">
        <v>9460800</v>
      </c>
      <c r="I1653" s="55">
        <f t="shared" si="103"/>
        <v>0</v>
      </c>
      <c r="J1653" s="56">
        <v>46042</v>
      </c>
      <c r="K1653" s="57" t="s">
        <v>3387</v>
      </c>
    </row>
    <row r="1654" spans="1:11" ht="15.75" hidden="1" customHeight="1" x14ac:dyDescent="0.35">
      <c r="A1654" s="47" t="s">
        <v>3017</v>
      </c>
      <c r="B1654" s="48" t="s">
        <v>3009</v>
      </c>
      <c r="C1654" s="49" t="s">
        <v>2855</v>
      </c>
      <c r="D1654" s="50"/>
      <c r="E1654" s="51">
        <v>37708700</v>
      </c>
      <c r="F1654" s="52">
        <f t="shared" si="102"/>
        <v>3016696</v>
      </c>
      <c r="G1654" s="53">
        <f t="shared" si="101"/>
        <v>40725396</v>
      </c>
      <c r="H1654" s="54">
        <v>40725396</v>
      </c>
      <c r="I1654" s="55">
        <f t="shared" si="103"/>
        <v>0</v>
      </c>
      <c r="J1654" s="56">
        <v>46135</v>
      </c>
      <c r="K1654" s="57" t="s">
        <v>3387</v>
      </c>
    </row>
    <row r="1655" spans="1:11" ht="15.75" hidden="1" customHeight="1" x14ac:dyDescent="0.35">
      <c r="A1655" s="47" t="s">
        <v>3018</v>
      </c>
      <c r="B1655" s="48" t="s">
        <v>3009</v>
      </c>
      <c r="C1655" s="49" t="s">
        <v>2856</v>
      </c>
      <c r="D1655" s="50"/>
      <c r="E1655" s="51">
        <v>40105500</v>
      </c>
      <c r="F1655" s="52">
        <f t="shared" si="102"/>
        <v>3208440</v>
      </c>
      <c r="G1655" s="53">
        <f t="shared" ref="G1655:G1718" si="104">E1655+F1655</f>
        <v>43313940</v>
      </c>
      <c r="H1655" s="54">
        <v>43313940</v>
      </c>
      <c r="I1655" s="55">
        <f t="shared" si="103"/>
        <v>0</v>
      </c>
      <c r="J1655" s="56">
        <v>46076</v>
      </c>
      <c r="K1655" s="57" t="s">
        <v>3387</v>
      </c>
    </row>
    <row r="1656" spans="1:11" ht="15.75" hidden="1" customHeight="1" x14ac:dyDescent="0.35">
      <c r="A1656" s="47" t="s">
        <v>120</v>
      </c>
      <c r="B1656" s="48" t="s">
        <v>3009</v>
      </c>
      <c r="C1656" s="49" t="s">
        <v>2857</v>
      </c>
      <c r="D1656" s="50"/>
      <c r="E1656" s="51">
        <v>37708700</v>
      </c>
      <c r="F1656" s="52">
        <f t="shared" ref="F1656:F1719" si="105">+E1656*0.08</f>
        <v>3016696</v>
      </c>
      <c r="G1656" s="53">
        <f t="shared" si="104"/>
        <v>40725396</v>
      </c>
      <c r="H1656" s="54">
        <v>40725396</v>
      </c>
      <c r="I1656" s="55">
        <f t="shared" ref="I1656:I1719" si="106">G1656-H1656</f>
        <v>0</v>
      </c>
      <c r="J1656" s="56">
        <v>46105</v>
      </c>
      <c r="K1656" s="57" t="s">
        <v>3387</v>
      </c>
    </row>
    <row r="1657" spans="1:11" ht="15.75" hidden="1" customHeight="1" x14ac:dyDescent="0.35">
      <c r="A1657" s="47" t="s">
        <v>2707</v>
      </c>
      <c r="B1657" s="48" t="s">
        <v>3009</v>
      </c>
      <c r="C1657" s="50" t="s">
        <v>2858</v>
      </c>
      <c r="D1657" s="50"/>
      <c r="E1657" s="51">
        <v>37708700</v>
      </c>
      <c r="F1657" s="52">
        <f t="shared" si="105"/>
        <v>3016696</v>
      </c>
      <c r="G1657" s="53">
        <f t="shared" si="104"/>
        <v>40725396</v>
      </c>
      <c r="H1657" s="54">
        <v>40725396</v>
      </c>
      <c r="I1657" s="55">
        <f t="shared" si="106"/>
        <v>0</v>
      </c>
      <c r="J1657" s="56">
        <v>46196</v>
      </c>
      <c r="K1657" s="57" t="s">
        <v>3387</v>
      </c>
    </row>
    <row r="1658" spans="1:11" ht="15.75" hidden="1" customHeight="1" x14ac:dyDescent="0.35">
      <c r="A1658" s="47" t="s">
        <v>2715</v>
      </c>
      <c r="B1658" s="48" t="s">
        <v>3009</v>
      </c>
      <c r="C1658" s="49" t="s">
        <v>2859</v>
      </c>
      <c r="D1658" s="50"/>
      <c r="E1658" s="51">
        <v>24086700</v>
      </c>
      <c r="F1658" s="52">
        <f t="shared" si="105"/>
        <v>1926936</v>
      </c>
      <c r="G1658" s="53">
        <f t="shared" si="104"/>
        <v>26013636</v>
      </c>
      <c r="H1658" s="54">
        <v>26013636</v>
      </c>
      <c r="I1658" s="55">
        <f t="shared" si="106"/>
        <v>0</v>
      </c>
      <c r="J1658" s="56">
        <v>46210</v>
      </c>
      <c r="K1658" s="57" t="s">
        <v>3387</v>
      </c>
    </row>
    <row r="1659" spans="1:11" ht="15.75" hidden="1" customHeight="1" x14ac:dyDescent="0.35">
      <c r="A1659" s="47" t="s">
        <v>2724</v>
      </c>
      <c r="B1659" s="48" t="s">
        <v>3009</v>
      </c>
      <c r="C1659" s="49" t="s">
        <v>2860</v>
      </c>
      <c r="D1659" s="50"/>
      <c r="E1659" s="51">
        <v>37708700</v>
      </c>
      <c r="F1659" s="52">
        <f t="shared" si="105"/>
        <v>3016696</v>
      </c>
      <c r="G1659" s="53">
        <f t="shared" si="104"/>
        <v>40725396</v>
      </c>
      <c r="H1659" s="54">
        <v>40725396</v>
      </c>
      <c r="I1659" s="55">
        <f t="shared" si="106"/>
        <v>0</v>
      </c>
      <c r="J1659" s="56">
        <v>46196</v>
      </c>
      <c r="K1659" s="57" t="s">
        <v>3387</v>
      </c>
    </row>
    <row r="1660" spans="1:11" ht="15.75" hidden="1" customHeight="1" x14ac:dyDescent="0.35">
      <c r="A1660" s="47" t="s">
        <v>2682</v>
      </c>
      <c r="B1660" s="48" t="s">
        <v>3009</v>
      </c>
      <c r="C1660" s="50" t="s">
        <v>2861</v>
      </c>
      <c r="D1660" s="50"/>
      <c r="E1660" s="51">
        <v>65230700</v>
      </c>
      <c r="F1660" s="52">
        <f t="shared" si="105"/>
        <v>5218456</v>
      </c>
      <c r="G1660" s="53">
        <f t="shared" si="104"/>
        <v>70449156</v>
      </c>
      <c r="H1660" s="54">
        <v>70449156</v>
      </c>
      <c r="I1660" s="55">
        <f t="shared" si="106"/>
        <v>0</v>
      </c>
      <c r="J1660" s="56">
        <v>46196</v>
      </c>
      <c r="K1660" s="57" t="s">
        <v>3387</v>
      </c>
    </row>
    <row r="1661" spans="1:11" ht="15.75" hidden="1" customHeight="1" x14ac:dyDescent="0.35">
      <c r="A1661" s="47" t="s">
        <v>2749</v>
      </c>
      <c r="B1661" s="48" t="s">
        <v>3009</v>
      </c>
      <c r="C1661" s="50" t="s">
        <v>2862</v>
      </c>
      <c r="D1661" s="50"/>
      <c r="E1661" s="51">
        <v>37708700</v>
      </c>
      <c r="F1661" s="52">
        <f t="shared" si="105"/>
        <v>3016696</v>
      </c>
      <c r="G1661" s="53">
        <f t="shared" si="104"/>
        <v>40725396</v>
      </c>
      <c r="H1661" s="54">
        <v>40725396</v>
      </c>
      <c r="I1661" s="55">
        <f t="shared" si="106"/>
        <v>0</v>
      </c>
      <c r="J1661" s="56">
        <v>46196</v>
      </c>
      <c r="K1661" s="57" t="s">
        <v>3387</v>
      </c>
    </row>
    <row r="1662" spans="1:11" ht="15.75" hidden="1" customHeight="1" x14ac:dyDescent="0.35">
      <c r="A1662" s="47" t="s">
        <v>2681</v>
      </c>
      <c r="B1662" s="48" t="s">
        <v>3009</v>
      </c>
      <c r="C1662" s="50" t="s">
        <v>2863</v>
      </c>
      <c r="D1662" s="50"/>
      <c r="E1662" s="51">
        <v>6279500</v>
      </c>
      <c r="F1662" s="52">
        <f t="shared" si="105"/>
        <v>502360</v>
      </c>
      <c r="G1662" s="53">
        <f t="shared" si="104"/>
        <v>6781860</v>
      </c>
      <c r="H1662" s="54">
        <v>6781860</v>
      </c>
      <c r="I1662" s="55">
        <f t="shared" si="106"/>
        <v>0</v>
      </c>
      <c r="J1662" s="56">
        <v>46196</v>
      </c>
      <c r="K1662" s="57" t="s">
        <v>3387</v>
      </c>
    </row>
    <row r="1663" spans="1:11" ht="15.75" hidden="1" customHeight="1" x14ac:dyDescent="0.35">
      <c r="A1663" s="47" t="s">
        <v>2690</v>
      </c>
      <c r="B1663" s="48" t="s">
        <v>3009</v>
      </c>
      <c r="C1663" s="50" t="s">
        <v>2864</v>
      </c>
      <c r="D1663" s="50"/>
      <c r="E1663" s="51">
        <v>75920700</v>
      </c>
      <c r="F1663" s="52">
        <f t="shared" si="105"/>
        <v>6073656</v>
      </c>
      <c r="G1663" s="53">
        <f t="shared" si="104"/>
        <v>81994356</v>
      </c>
      <c r="H1663" s="54">
        <v>81994356</v>
      </c>
      <c r="I1663" s="55">
        <f t="shared" si="106"/>
        <v>0</v>
      </c>
      <c r="J1663" s="56">
        <v>46105</v>
      </c>
      <c r="K1663" s="57" t="s">
        <v>3387</v>
      </c>
    </row>
    <row r="1664" spans="1:11" ht="15.75" hidden="1" customHeight="1" x14ac:dyDescent="0.35">
      <c r="A1664" s="47" t="s">
        <v>2713</v>
      </c>
      <c r="B1664" s="48" t="s">
        <v>3009</v>
      </c>
      <c r="C1664" s="50" t="s">
        <v>2865</v>
      </c>
      <c r="D1664" s="50"/>
      <c r="E1664" s="51">
        <v>37708700</v>
      </c>
      <c r="F1664" s="52">
        <f t="shared" si="105"/>
        <v>3016696</v>
      </c>
      <c r="G1664" s="53">
        <f t="shared" si="104"/>
        <v>40725396</v>
      </c>
      <c r="H1664" s="54">
        <v>40725396</v>
      </c>
      <c r="I1664" s="55">
        <f t="shared" si="106"/>
        <v>0</v>
      </c>
      <c r="J1664" s="56">
        <v>46076</v>
      </c>
      <c r="K1664" s="57" t="s">
        <v>3387</v>
      </c>
    </row>
    <row r="1665" spans="1:11" ht="15.75" hidden="1" customHeight="1" x14ac:dyDescent="0.35">
      <c r="A1665" s="47" t="s">
        <v>2694</v>
      </c>
      <c r="B1665" s="48" t="s">
        <v>3009</v>
      </c>
      <c r="C1665" s="50" t="s">
        <v>2866</v>
      </c>
      <c r="D1665" s="50"/>
      <c r="E1665" s="51">
        <v>40544700</v>
      </c>
      <c r="F1665" s="52">
        <f t="shared" si="105"/>
        <v>3243576</v>
      </c>
      <c r="G1665" s="53">
        <f t="shared" si="104"/>
        <v>43788276</v>
      </c>
      <c r="H1665" s="54">
        <v>43788276</v>
      </c>
      <c r="I1665" s="55">
        <f t="shared" si="106"/>
        <v>0</v>
      </c>
      <c r="J1665" s="56">
        <v>46076</v>
      </c>
      <c r="K1665" s="57" t="s">
        <v>3387</v>
      </c>
    </row>
    <row r="1666" spans="1:11" ht="15.75" hidden="1" customHeight="1" x14ac:dyDescent="0.35">
      <c r="A1666" s="47" t="s">
        <v>3019</v>
      </c>
      <c r="B1666" s="48" t="s">
        <v>3009</v>
      </c>
      <c r="C1666" s="50" t="s">
        <v>2867</v>
      </c>
      <c r="D1666" s="50"/>
      <c r="E1666" s="51">
        <v>26995500</v>
      </c>
      <c r="F1666" s="52">
        <f t="shared" si="105"/>
        <v>2159640</v>
      </c>
      <c r="G1666" s="53">
        <f t="shared" si="104"/>
        <v>29155140</v>
      </c>
      <c r="H1666" s="54">
        <v>29155140</v>
      </c>
      <c r="I1666" s="55">
        <f t="shared" si="106"/>
        <v>0</v>
      </c>
      <c r="J1666" s="56">
        <v>46076</v>
      </c>
      <c r="K1666" s="57" t="s">
        <v>3387</v>
      </c>
    </row>
    <row r="1667" spans="1:11" ht="15.75" hidden="1" customHeight="1" x14ac:dyDescent="0.35">
      <c r="A1667" s="47" t="s">
        <v>170</v>
      </c>
      <c r="B1667" s="48" t="s">
        <v>3009</v>
      </c>
      <c r="C1667" s="49" t="s">
        <v>2868</v>
      </c>
      <c r="D1667" s="50"/>
      <c r="E1667" s="51">
        <v>33522700</v>
      </c>
      <c r="F1667" s="52">
        <f t="shared" si="105"/>
        <v>2681816</v>
      </c>
      <c r="G1667" s="53">
        <f t="shared" si="104"/>
        <v>36204516</v>
      </c>
      <c r="H1667" s="54">
        <v>36204516</v>
      </c>
      <c r="I1667" s="55">
        <f t="shared" si="106"/>
        <v>0</v>
      </c>
      <c r="J1667" s="56">
        <v>46196</v>
      </c>
      <c r="K1667" s="57" t="s">
        <v>3387</v>
      </c>
    </row>
    <row r="1668" spans="1:11" ht="15.75" hidden="1" customHeight="1" x14ac:dyDescent="0.35">
      <c r="A1668" s="47" t="s">
        <v>2693</v>
      </c>
      <c r="B1668" s="48" t="s">
        <v>3009</v>
      </c>
      <c r="C1668" s="49" t="s">
        <v>2869</v>
      </c>
      <c r="D1668" s="50"/>
      <c r="E1668" s="51">
        <v>24067500</v>
      </c>
      <c r="F1668" s="52">
        <f t="shared" si="105"/>
        <v>1925400</v>
      </c>
      <c r="G1668" s="53">
        <f t="shared" si="104"/>
        <v>25992900</v>
      </c>
      <c r="H1668" s="54">
        <v>25992900</v>
      </c>
      <c r="I1668" s="55">
        <f t="shared" si="106"/>
        <v>0</v>
      </c>
      <c r="J1668" s="56">
        <v>46135</v>
      </c>
      <c r="K1668" s="57" t="s">
        <v>3387</v>
      </c>
    </row>
    <row r="1669" spans="1:11" ht="15.75" hidden="1" customHeight="1" x14ac:dyDescent="0.35">
      <c r="A1669" s="47" t="s">
        <v>2745</v>
      </c>
      <c r="B1669" s="48" t="s">
        <v>3009</v>
      </c>
      <c r="C1669" s="49" t="s">
        <v>2870</v>
      </c>
      <c r="D1669" s="50"/>
      <c r="E1669" s="51">
        <v>37708700</v>
      </c>
      <c r="F1669" s="52">
        <f t="shared" si="105"/>
        <v>3016696</v>
      </c>
      <c r="G1669" s="53">
        <f t="shared" si="104"/>
        <v>40725396</v>
      </c>
      <c r="H1669" s="54">
        <v>40725396</v>
      </c>
      <c r="I1669" s="55">
        <f t="shared" si="106"/>
        <v>0</v>
      </c>
      <c r="J1669" s="56">
        <v>46135</v>
      </c>
      <c r="K1669" s="57" t="s">
        <v>3387</v>
      </c>
    </row>
    <row r="1670" spans="1:11" ht="15.75" hidden="1" customHeight="1" x14ac:dyDescent="0.35">
      <c r="A1670" s="47" t="s">
        <v>2723</v>
      </c>
      <c r="B1670" s="48" t="s">
        <v>3009</v>
      </c>
      <c r="C1670" s="50" t="s">
        <v>2871</v>
      </c>
      <c r="D1670" s="50"/>
      <c r="E1670" s="51">
        <v>37708700</v>
      </c>
      <c r="F1670" s="52">
        <f t="shared" si="105"/>
        <v>3016696</v>
      </c>
      <c r="G1670" s="53">
        <f t="shared" si="104"/>
        <v>40725396</v>
      </c>
      <c r="H1670" s="54">
        <v>40725396</v>
      </c>
      <c r="I1670" s="55">
        <f t="shared" si="106"/>
        <v>0</v>
      </c>
      <c r="J1670" s="56">
        <v>46076</v>
      </c>
      <c r="K1670" s="57" t="s">
        <v>3387</v>
      </c>
    </row>
    <row r="1671" spans="1:11" ht="15.75" hidden="1" customHeight="1" x14ac:dyDescent="0.35">
      <c r="A1671" s="47" t="s">
        <v>2726</v>
      </c>
      <c r="B1671" s="48" t="s">
        <v>3009</v>
      </c>
      <c r="C1671" s="49" t="s">
        <v>2872</v>
      </c>
      <c r="D1671" s="50"/>
      <c r="E1671" s="51">
        <v>37708700</v>
      </c>
      <c r="F1671" s="52">
        <f t="shared" si="105"/>
        <v>3016696</v>
      </c>
      <c r="G1671" s="53">
        <f t="shared" si="104"/>
        <v>40725396</v>
      </c>
      <c r="H1671" s="54">
        <v>40725396</v>
      </c>
      <c r="I1671" s="55">
        <f t="shared" si="106"/>
        <v>0</v>
      </c>
      <c r="J1671" s="56">
        <v>46196</v>
      </c>
      <c r="K1671" s="57" t="s">
        <v>3387</v>
      </c>
    </row>
    <row r="1672" spans="1:11" ht="15.75" hidden="1" customHeight="1" x14ac:dyDescent="0.35">
      <c r="A1672" s="47" t="s">
        <v>3020</v>
      </c>
      <c r="B1672" s="48" t="s">
        <v>3009</v>
      </c>
      <c r="C1672" s="49" t="s">
        <v>2873</v>
      </c>
      <c r="D1672" s="50"/>
      <c r="E1672" s="51">
        <v>63031500</v>
      </c>
      <c r="F1672" s="52">
        <f t="shared" si="105"/>
        <v>5042520</v>
      </c>
      <c r="G1672" s="53">
        <f t="shared" si="104"/>
        <v>68074020</v>
      </c>
      <c r="H1672" s="54">
        <v>68074020</v>
      </c>
      <c r="I1672" s="55">
        <f t="shared" si="106"/>
        <v>0</v>
      </c>
      <c r="J1672" s="56">
        <v>46105</v>
      </c>
      <c r="K1672" s="57" t="s">
        <v>3387</v>
      </c>
    </row>
    <row r="1673" spans="1:11" ht="15.75" hidden="1" customHeight="1" x14ac:dyDescent="0.35">
      <c r="A1673" s="47" t="s">
        <v>2700</v>
      </c>
      <c r="B1673" s="48" t="s">
        <v>3009</v>
      </c>
      <c r="C1673" s="49" t="s">
        <v>2874</v>
      </c>
      <c r="D1673" s="50"/>
      <c r="E1673" s="51">
        <v>33612700</v>
      </c>
      <c r="F1673" s="52">
        <f t="shared" si="105"/>
        <v>2689016</v>
      </c>
      <c r="G1673" s="53">
        <f t="shared" si="104"/>
        <v>36301716</v>
      </c>
      <c r="H1673" s="54">
        <v>36301716</v>
      </c>
      <c r="I1673" s="55">
        <f t="shared" si="106"/>
        <v>0</v>
      </c>
      <c r="J1673" s="56">
        <v>46076</v>
      </c>
      <c r="K1673" s="57" t="s">
        <v>3387</v>
      </c>
    </row>
    <row r="1674" spans="1:11" ht="15.75" hidden="1" customHeight="1" x14ac:dyDescent="0.35">
      <c r="A1674" s="47" t="s">
        <v>3021</v>
      </c>
      <c r="B1674" s="48" t="s">
        <v>3009</v>
      </c>
      <c r="C1674" s="49" t="s">
        <v>2875</v>
      </c>
      <c r="D1674" s="50"/>
      <c r="E1674" s="51">
        <v>37708700</v>
      </c>
      <c r="F1674" s="52">
        <f t="shared" si="105"/>
        <v>3016696</v>
      </c>
      <c r="G1674" s="53">
        <f t="shared" si="104"/>
        <v>40725396</v>
      </c>
      <c r="H1674" s="54">
        <v>40725396</v>
      </c>
      <c r="I1674" s="55">
        <f t="shared" si="106"/>
        <v>0</v>
      </c>
      <c r="J1674" s="56">
        <v>46076</v>
      </c>
      <c r="K1674" s="57" t="s">
        <v>3387</v>
      </c>
    </row>
    <row r="1675" spans="1:11" ht="15.75" hidden="1" customHeight="1" x14ac:dyDescent="0.35">
      <c r="A1675" s="47" t="s">
        <v>3022</v>
      </c>
      <c r="B1675" s="48" t="s">
        <v>3009</v>
      </c>
      <c r="C1675" s="49" t="s">
        <v>2876</v>
      </c>
      <c r="D1675" s="50"/>
      <c r="E1675" s="51">
        <v>37708700</v>
      </c>
      <c r="F1675" s="52">
        <f t="shared" si="105"/>
        <v>3016696</v>
      </c>
      <c r="G1675" s="53">
        <f t="shared" si="104"/>
        <v>40725396</v>
      </c>
      <c r="H1675" s="54">
        <v>40725396</v>
      </c>
      <c r="I1675" s="55">
        <f t="shared" si="106"/>
        <v>0</v>
      </c>
      <c r="J1675" s="56">
        <v>46076</v>
      </c>
      <c r="K1675" s="57" t="s">
        <v>3387</v>
      </c>
    </row>
    <row r="1676" spans="1:11" ht="15.75" customHeight="1" x14ac:dyDescent="0.35">
      <c r="A1676" s="47" t="s">
        <v>144</v>
      </c>
      <c r="B1676" s="48" t="s">
        <v>3009</v>
      </c>
      <c r="C1676" s="50" t="s">
        <v>2877</v>
      </c>
      <c r="D1676" s="50"/>
      <c r="E1676" s="51">
        <v>6279500</v>
      </c>
      <c r="F1676" s="52">
        <f t="shared" si="105"/>
        <v>502360</v>
      </c>
      <c r="G1676" s="53">
        <f t="shared" si="104"/>
        <v>6781860</v>
      </c>
      <c r="H1676" s="54">
        <v>6781860</v>
      </c>
      <c r="I1676" s="55">
        <f t="shared" si="106"/>
        <v>0</v>
      </c>
      <c r="J1676" s="56">
        <v>46254</v>
      </c>
      <c r="K1676" s="57" t="s">
        <v>3387</v>
      </c>
    </row>
    <row r="1677" spans="1:11" ht="15.75" hidden="1" customHeight="1" x14ac:dyDescent="0.35">
      <c r="A1677" s="47" t="s">
        <v>2711</v>
      </c>
      <c r="B1677" s="48" t="s">
        <v>3009</v>
      </c>
      <c r="C1677" s="49" t="s">
        <v>2878</v>
      </c>
      <c r="D1677" s="50"/>
      <c r="E1677" s="51">
        <v>37708700</v>
      </c>
      <c r="F1677" s="52">
        <f t="shared" si="105"/>
        <v>3016696</v>
      </c>
      <c r="G1677" s="53">
        <f t="shared" si="104"/>
        <v>40725396</v>
      </c>
      <c r="H1677" s="54">
        <v>40725396</v>
      </c>
      <c r="I1677" s="55">
        <f t="shared" si="106"/>
        <v>0</v>
      </c>
      <c r="J1677" s="56">
        <v>46042</v>
      </c>
      <c r="K1677" s="57" t="s">
        <v>3387</v>
      </c>
    </row>
    <row r="1678" spans="1:11" ht="15.75" hidden="1" customHeight="1" x14ac:dyDescent="0.35">
      <c r="A1678" s="47" t="s">
        <v>2712</v>
      </c>
      <c r="B1678" s="48" t="s">
        <v>3009</v>
      </c>
      <c r="C1678" s="49" t="s">
        <v>2879</v>
      </c>
      <c r="D1678" s="50"/>
      <c r="E1678" s="51">
        <v>37708700</v>
      </c>
      <c r="F1678" s="52">
        <f t="shared" si="105"/>
        <v>3016696</v>
      </c>
      <c r="G1678" s="53">
        <f t="shared" si="104"/>
        <v>40725396</v>
      </c>
      <c r="H1678" s="54">
        <v>40725396</v>
      </c>
      <c r="I1678" s="55">
        <f t="shared" si="106"/>
        <v>0</v>
      </c>
      <c r="J1678" s="56">
        <v>46042</v>
      </c>
      <c r="K1678" s="57" t="s">
        <v>3387</v>
      </c>
    </row>
    <row r="1679" spans="1:11" ht="15.75" hidden="1" customHeight="1" x14ac:dyDescent="0.35">
      <c r="A1679" s="47" t="s">
        <v>2709</v>
      </c>
      <c r="B1679" s="48" t="s">
        <v>3009</v>
      </c>
      <c r="C1679" s="49" t="s">
        <v>2880</v>
      </c>
      <c r="D1679" s="50"/>
      <c r="E1679" s="51">
        <v>23976700</v>
      </c>
      <c r="F1679" s="52">
        <f t="shared" si="105"/>
        <v>1918136</v>
      </c>
      <c r="G1679" s="53">
        <f t="shared" si="104"/>
        <v>25894836</v>
      </c>
      <c r="H1679" s="54">
        <v>25894836</v>
      </c>
      <c r="I1679" s="55">
        <f t="shared" si="106"/>
        <v>0</v>
      </c>
      <c r="J1679" s="56">
        <v>46105</v>
      </c>
      <c r="K1679" s="57" t="s">
        <v>3387</v>
      </c>
    </row>
    <row r="1680" spans="1:11" ht="15.75" hidden="1" customHeight="1" x14ac:dyDescent="0.35">
      <c r="A1680" s="47" t="s">
        <v>3023</v>
      </c>
      <c r="B1680" s="48" t="s">
        <v>3009</v>
      </c>
      <c r="C1680" s="49" t="s">
        <v>2881</v>
      </c>
      <c r="D1680" s="50"/>
      <c r="E1680" s="51">
        <v>37708700</v>
      </c>
      <c r="F1680" s="52">
        <f t="shared" si="105"/>
        <v>3016696</v>
      </c>
      <c r="G1680" s="53">
        <f t="shared" si="104"/>
        <v>40725396</v>
      </c>
      <c r="H1680" s="54">
        <v>40725396</v>
      </c>
      <c r="I1680" s="55">
        <f t="shared" si="106"/>
        <v>0</v>
      </c>
      <c r="J1680" s="56">
        <v>46135</v>
      </c>
      <c r="K1680" s="57" t="s">
        <v>3387</v>
      </c>
    </row>
    <row r="1681" spans="1:11" ht="15.75" hidden="1" customHeight="1" x14ac:dyDescent="0.35">
      <c r="A1681" s="47" t="s">
        <v>3024</v>
      </c>
      <c r="B1681" s="48" t="s">
        <v>3009</v>
      </c>
      <c r="C1681" s="49" t="s">
        <v>2882</v>
      </c>
      <c r="D1681" s="50"/>
      <c r="E1681" s="51">
        <v>36108700</v>
      </c>
      <c r="F1681" s="52">
        <f t="shared" si="105"/>
        <v>2888696</v>
      </c>
      <c r="G1681" s="53">
        <f t="shared" si="104"/>
        <v>38997396</v>
      </c>
      <c r="H1681" s="54">
        <v>38997396</v>
      </c>
      <c r="I1681" s="55">
        <f t="shared" si="106"/>
        <v>0</v>
      </c>
      <c r="J1681" s="56">
        <v>46042</v>
      </c>
      <c r="K1681" s="57" t="s">
        <v>3387</v>
      </c>
    </row>
    <row r="1682" spans="1:11" ht="15.75" hidden="1" customHeight="1" x14ac:dyDescent="0.35">
      <c r="A1682" s="47" t="s">
        <v>3025</v>
      </c>
      <c r="B1682" s="48" t="s">
        <v>3009</v>
      </c>
      <c r="C1682" s="50" t="s">
        <v>2883</v>
      </c>
      <c r="D1682" s="50"/>
      <c r="E1682" s="51">
        <v>37708700</v>
      </c>
      <c r="F1682" s="52">
        <f t="shared" si="105"/>
        <v>3016696</v>
      </c>
      <c r="G1682" s="53">
        <f t="shared" si="104"/>
        <v>40725396</v>
      </c>
      <c r="H1682" s="54">
        <v>40725396</v>
      </c>
      <c r="I1682" s="55">
        <f t="shared" si="106"/>
        <v>0</v>
      </c>
      <c r="J1682" s="56">
        <v>46042</v>
      </c>
      <c r="K1682" s="57" t="s">
        <v>3387</v>
      </c>
    </row>
    <row r="1683" spans="1:11" ht="15.75" hidden="1" customHeight="1" x14ac:dyDescent="0.35">
      <c r="A1683" s="47" t="s">
        <v>2722</v>
      </c>
      <c r="B1683" s="48" t="s">
        <v>3009</v>
      </c>
      <c r="C1683" s="49" t="s">
        <v>2884</v>
      </c>
      <c r="D1683" s="50"/>
      <c r="E1683" s="51">
        <v>28259500</v>
      </c>
      <c r="F1683" s="52">
        <f t="shared" si="105"/>
        <v>2260760</v>
      </c>
      <c r="G1683" s="53">
        <f t="shared" si="104"/>
        <v>30520260</v>
      </c>
      <c r="H1683" s="54">
        <v>30520260</v>
      </c>
      <c r="I1683" s="55">
        <f t="shared" si="106"/>
        <v>0</v>
      </c>
      <c r="J1683" s="56">
        <v>46135</v>
      </c>
      <c r="K1683" s="57" t="s">
        <v>3387</v>
      </c>
    </row>
    <row r="1684" spans="1:11" ht="15.75" hidden="1" customHeight="1" x14ac:dyDescent="0.35">
      <c r="A1684" s="47" t="s">
        <v>2695</v>
      </c>
      <c r="B1684" s="48">
        <v>46026</v>
      </c>
      <c r="C1684" s="50" t="s">
        <v>2885</v>
      </c>
      <c r="D1684" s="50" t="s">
        <v>3156</v>
      </c>
      <c r="E1684" s="51">
        <v>6279500</v>
      </c>
      <c r="F1684" s="52"/>
      <c r="G1684" s="53"/>
      <c r="H1684" s="54"/>
      <c r="I1684" s="55">
        <f t="shared" si="106"/>
        <v>0</v>
      </c>
      <c r="J1684" s="56" t="s">
        <v>60</v>
      </c>
      <c r="K1684" s="57"/>
    </row>
    <row r="1685" spans="1:11" ht="15.75" hidden="1" customHeight="1" x14ac:dyDescent="0.35">
      <c r="A1685" s="47" t="s">
        <v>2720</v>
      </c>
      <c r="B1685" s="48" t="s">
        <v>3009</v>
      </c>
      <c r="C1685" s="49" t="s">
        <v>2886</v>
      </c>
      <c r="D1685" s="50"/>
      <c r="E1685" s="51">
        <v>37708700</v>
      </c>
      <c r="F1685" s="52">
        <f t="shared" si="105"/>
        <v>3016696</v>
      </c>
      <c r="G1685" s="53">
        <f t="shared" si="104"/>
        <v>40725396</v>
      </c>
      <c r="H1685" s="54">
        <v>40725396</v>
      </c>
      <c r="I1685" s="55">
        <f t="shared" si="106"/>
        <v>0</v>
      </c>
      <c r="J1685" s="56">
        <v>46042</v>
      </c>
      <c r="K1685" s="57" t="s">
        <v>3387</v>
      </c>
    </row>
    <row r="1686" spans="1:11" ht="15.75" hidden="1" customHeight="1" x14ac:dyDescent="0.35">
      <c r="A1686" s="47" t="s">
        <v>3026</v>
      </c>
      <c r="B1686" s="48" t="s">
        <v>3010</v>
      </c>
      <c r="C1686" s="50" t="s">
        <v>2887</v>
      </c>
      <c r="D1686" s="50"/>
      <c r="E1686" s="51">
        <v>27733900</v>
      </c>
      <c r="F1686" s="52">
        <f t="shared" si="105"/>
        <v>2218712</v>
      </c>
      <c r="G1686" s="53">
        <f t="shared" si="104"/>
        <v>29952612</v>
      </c>
      <c r="H1686" s="54">
        <v>29952612</v>
      </c>
      <c r="I1686" s="55">
        <f t="shared" si="106"/>
        <v>0</v>
      </c>
      <c r="J1686" s="56">
        <v>46076</v>
      </c>
      <c r="K1686" s="57" t="s">
        <v>3387</v>
      </c>
    </row>
    <row r="1687" spans="1:11" ht="15.75" hidden="1" customHeight="1" x14ac:dyDescent="0.35">
      <c r="A1687" s="47" t="s">
        <v>2732</v>
      </c>
      <c r="B1687" s="48" t="s">
        <v>3010</v>
      </c>
      <c r="C1687" s="49" t="s">
        <v>2888</v>
      </c>
      <c r="D1687" s="50"/>
      <c r="E1687" s="51">
        <v>77371900</v>
      </c>
      <c r="F1687" s="52">
        <f t="shared" si="105"/>
        <v>6189752</v>
      </c>
      <c r="G1687" s="53">
        <f t="shared" si="104"/>
        <v>83561652</v>
      </c>
      <c r="H1687" s="54">
        <v>83561652</v>
      </c>
      <c r="I1687" s="55">
        <f t="shared" si="106"/>
        <v>0</v>
      </c>
      <c r="J1687" s="56">
        <v>46105</v>
      </c>
      <c r="K1687" s="57" t="s">
        <v>3387</v>
      </c>
    </row>
    <row r="1688" spans="1:11" ht="15.75" hidden="1" customHeight="1" x14ac:dyDescent="0.35">
      <c r="A1688" s="47" t="s">
        <v>3027</v>
      </c>
      <c r="B1688" s="48" t="s">
        <v>3010</v>
      </c>
      <c r="C1688" s="49" t="s">
        <v>2889</v>
      </c>
      <c r="D1688" s="50"/>
      <c r="E1688" s="51">
        <v>37708700</v>
      </c>
      <c r="F1688" s="52">
        <f t="shared" si="105"/>
        <v>3016696</v>
      </c>
      <c r="G1688" s="53">
        <f t="shared" si="104"/>
        <v>40725396</v>
      </c>
      <c r="H1688" s="54">
        <v>40725396</v>
      </c>
      <c r="I1688" s="55">
        <f t="shared" si="106"/>
        <v>0</v>
      </c>
      <c r="J1688" s="56">
        <v>46196</v>
      </c>
      <c r="K1688" s="57" t="s">
        <v>3387</v>
      </c>
    </row>
    <row r="1689" spans="1:11" ht="15.75" hidden="1" customHeight="1" x14ac:dyDescent="0.35">
      <c r="A1689" s="47" t="s">
        <v>2735</v>
      </c>
      <c r="B1689" s="48" t="s">
        <v>3010</v>
      </c>
      <c r="C1689" s="49" t="s">
        <v>2890</v>
      </c>
      <c r="D1689" s="50"/>
      <c r="E1689" s="51">
        <v>63972700</v>
      </c>
      <c r="F1689" s="52">
        <f t="shared" si="105"/>
        <v>5117816</v>
      </c>
      <c r="G1689" s="53">
        <f t="shared" si="104"/>
        <v>69090516</v>
      </c>
      <c r="H1689" s="54">
        <v>69090516</v>
      </c>
      <c r="I1689" s="55">
        <f t="shared" si="106"/>
        <v>0</v>
      </c>
      <c r="J1689" s="56">
        <v>46135</v>
      </c>
      <c r="K1689" s="57" t="s">
        <v>3387</v>
      </c>
    </row>
    <row r="1690" spans="1:11" ht="15.75" hidden="1" customHeight="1" x14ac:dyDescent="0.35">
      <c r="A1690" s="47" t="s">
        <v>2696</v>
      </c>
      <c r="B1690" s="48" t="s">
        <v>3010</v>
      </c>
      <c r="C1690" s="49" t="s">
        <v>2891</v>
      </c>
      <c r="D1690" s="50"/>
      <c r="E1690" s="51">
        <v>37708700</v>
      </c>
      <c r="F1690" s="52">
        <f t="shared" si="105"/>
        <v>3016696</v>
      </c>
      <c r="G1690" s="53">
        <f t="shared" si="104"/>
        <v>40725396</v>
      </c>
      <c r="H1690" s="54">
        <v>40725396</v>
      </c>
      <c r="I1690" s="55">
        <f t="shared" si="106"/>
        <v>0</v>
      </c>
      <c r="J1690" s="56">
        <v>46076</v>
      </c>
      <c r="K1690" s="57" t="s">
        <v>3387</v>
      </c>
    </row>
    <row r="1691" spans="1:11" ht="15.75" hidden="1" customHeight="1" x14ac:dyDescent="0.35">
      <c r="A1691" s="47" t="s">
        <v>24</v>
      </c>
      <c r="B1691" s="48" t="s">
        <v>3010</v>
      </c>
      <c r="C1691" s="49" t="s">
        <v>2892</v>
      </c>
      <c r="D1691" s="50"/>
      <c r="E1691" s="51">
        <v>405000</v>
      </c>
      <c r="F1691" s="52">
        <f t="shared" si="105"/>
        <v>32400</v>
      </c>
      <c r="G1691" s="53">
        <f t="shared" si="104"/>
        <v>437400</v>
      </c>
      <c r="H1691" s="54">
        <v>437400</v>
      </c>
      <c r="I1691" s="55">
        <f t="shared" si="106"/>
        <v>0</v>
      </c>
      <c r="J1691" s="56">
        <v>46042</v>
      </c>
      <c r="K1691" s="57" t="s">
        <v>3387</v>
      </c>
    </row>
    <row r="1692" spans="1:11" ht="15.75" hidden="1" customHeight="1" x14ac:dyDescent="0.35">
      <c r="A1692" s="47" t="s">
        <v>2720</v>
      </c>
      <c r="B1692" s="48" t="s">
        <v>3010</v>
      </c>
      <c r="C1692" s="49" t="s">
        <v>2893</v>
      </c>
      <c r="D1692" s="50"/>
      <c r="E1692" s="51">
        <v>2045000</v>
      </c>
      <c r="F1692" s="52">
        <f t="shared" si="105"/>
        <v>163600</v>
      </c>
      <c r="G1692" s="53">
        <f t="shared" si="104"/>
        <v>2208600</v>
      </c>
      <c r="H1692" s="54">
        <v>2208600</v>
      </c>
      <c r="I1692" s="55">
        <f t="shared" si="106"/>
        <v>0</v>
      </c>
      <c r="J1692" s="56">
        <v>46042</v>
      </c>
      <c r="K1692" s="57" t="s">
        <v>3387</v>
      </c>
    </row>
    <row r="1693" spans="1:11" ht="15.75" hidden="1" customHeight="1" x14ac:dyDescent="0.35">
      <c r="A1693" s="47" t="s">
        <v>2688</v>
      </c>
      <c r="B1693" s="48" t="s">
        <v>3010</v>
      </c>
      <c r="C1693" s="49" t="s">
        <v>2894</v>
      </c>
      <c r="D1693" s="50"/>
      <c r="E1693" s="51">
        <v>5130000</v>
      </c>
      <c r="F1693" s="52">
        <f t="shared" si="105"/>
        <v>410400</v>
      </c>
      <c r="G1693" s="53">
        <f t="shared" si="104"/>
        <v>5540400</v>
      </c>
      <c r="H1693" s="54">
        <v>5540400</v>
      </c>
      <c r="I1693" s="55">
        <f t="shared" si="106"/>
        <v>0</v>
      </c>
      <c r="J1693" s="56">
        <v>46042</v>
      </c>
      <c r="K1693" s="57" t="s">
        <v>3387</v>
      </c>
    </row>
    <row r="1694" spans="1:11" ht="15.75" hidden="1" customHeight="1" x14ac:dyDescent="0.35">
      <c r="A1694" s="47" t="s">
        <v>2704</v>
      </c>
      <c r="B1694" s="48" t="s">
        <v>3010</v>
      </c>
      <c r="C1694" s="50" t="s">
        <v>2895</v>
      </c>
      <c r="D1694" s="50"/>
      <c r="E1694" s="51">
        <v>4090000</v>
      </c>
      <c r="F1694" s="52">
        <f t="shared" si="105"/>
        <v>327200</v>
      </c>
      <c r="G1694" s="53">
        <f t="shared" si="104"/>
        <v>4417200</v>
      </c>
      <c r="H1694" s="54">
        <v>4417200</v>
      </c>
      <c r="I1694" s="55">
        <f t="shared" si="106"/>
        <v>0</v>
      </c>
      <c r="J1694" s="56">
        <v>46042</v>
      </c>
      <c r="K1694" s="57" t="s">
        <v>3387</v>
      </c>
    </row>
    <row r="1695" spans="1:11" ht="15.75" hidden="1" customHeight="1" x14ac:dyDescent="0.35">
      <c r="A1695" s="47" t="s">
        <v>2686</v>
      </c>
      <c r="B1695" s="48" t="s">
        <v>3010</v>
      </c>
      <c r="C1695" s="49" t="s">
        <v>2896</v>
      </c>
      <c r="D1695" s="50"/>
      <c r="E1695" s="51">
        <v>1410000</v>
      </c>
      <c r="F1695" s="52">
        <f t="shared" si="105"/>
        <v>112800</v>
      </c>
      <c r="G1695" s="53">
        <f t="shared" si="104"/>
        <v>1522800</v>
      </c>
      <c r="H1695" s="54">
        <v>1522800</v>
      </c>
      <c r="I1695" s="55">
        <f t="shared" si="106"/>
        <v>0</v>
      </c>
      <c r="J1695" s="56">
        <v>46135</v>
      </c>
      <c r="K1695" s="57" t="s">
        <v>3387</v>
      </c>
    </row>
    <row r="1696" spans="1:11" ht="15.75" hidden="1" customHeight="1" x14ac:dyDescent="0.35">
      <c r="A1696" s="47" t="s">
        <v>2689</v>
      </c>
      <c r="B1696" s="48">
        <v>46087</v>
      </c>
      <c r="C1696" s="50" t="s">
        <v>2897</v>
      </c>
      <c r="D1696" s="50" t="s">
        <v>3502</v>
      </c>
      <c r="E1696" s="51"/>
      <c r="F1696" s="52">
        <f t="shared" si="105"/>
        <v>0</v>
      </c>
      <c r="G1696" s="53"/>
      <c r="H1696" s="54"/>
      <c r="I1696" s="55">
        <f t="shared" si="106"/>
        <v>0</v>
      </c>
      <c r="J1696" s="56"/>
      <c r="K1696" s="106" t="s">
        <v>75</v>
      </c>
    </row>
    <row r="1697" spans="1:11" ht="15.75" hidden="1" customHeight="1" x14ac:dyDescent="0.35">
      <c r="A1697" s="47" t="s">
        <v>2679</v>
      </c>
      <c r="B1697" s="48" t="s">
        <v>3010</v>
      </c>
      <c r="C1697" s="49" t="s">
        <v>2898</v>
      </c>
      <c r="D1697" s="50"/>
      <c r="E1697" s="51">
        <v>37708700</v>
      </c>
      <c r="F1697" s="52">
        <f t="shared" si="105"/>
        <v>3016696</v>
      </c>
      <c r="G1697" s="53">
        <f t="shared" si="104"/>
        <v>40725396</v>
      </c>
      <c r="H1697" s="54">
        <v>40725396</v>
      </c>
      <c r="I1697" s="55">
        <f t="shared" si="106"/>
        <v>0</v>
      </c>
      <c r="J1697" s="56">
        <v>46135</v>
      </c>
      <c r="K1697" s="57" t="s">
        <v>3387</v>
      </c>
    </row>
    <row r="1698" spans="1:11" ht="15.75" hidden="1" customHeight="1" x14ac:dyDescent="0.35">
      <c r="A1698" s="47" t="s">
        <v>3028</v>
      </c>
      <c r="B1698" s="48">
        <v>46034</v>
      </c>
      <c r="C1698" s="50" t="s">
        <v>2899</v>
      </c>
      <c r="D1698" s="50" t="s">
        <v>1309</v>
      </c>
      <c r="E1698" s="51">
        <v>0</v>
      </c>
      <c r="F1698" s="52">
        <f t="shared" si="105"/>
        <v>0</v>
      </c>
      <c r="G1698" s="53">
        <f t="shared" si="104"/>
        <v>0</v>
      </c>
      <c r="H1698" s="54"/>
      <c r="I1698" s="55">
        <f t="shared" si="106"/>
        <v>0</v>
      </c>
      <c r="J1698" s="56"/>
      <c r="K1698" s="57"/>
    </row>
    <row r="1699" spans="1:11" ht="15.75" hidden="1" customHeight="1" x14ac:dyDescent="0.35">
      <c r="A1699" s="47" t="s">
        <v>3029</v>
      </c>
      <c r="B1699" s="48" t="s">
        <v>3010</v>
      </c>
      <c r="C1699" s="49" t="s">
        <v>2900</v>
      </c>
      <c r="D1699" s="50"/>
      <c r="E1699" s="51">
        <v>37708700</v>
      </c>
      <c r="F1699" s="52">
        <f t="shared" si="105"/>
        <v>3016696</v>
      </c>
      <c r="G1699" s="53">
        <f t="shared" si="104"/>
        <v>40725396</v>
      </c>
      <c r="H1699" s="54">
        <v>40725396</v>
      </c>
      <c r="I1699" s="55">
        <f t="shared" si="106"/>
        <v>0</v>
      </c>
      <c r="J1699" s="56">
        <v>46042</v>
      </c>
      <c r="K1699" s="57" t="s">
        <v>3387</v>
      </c>
    </row>
    <row r="1700" spans="1:11" ht="15.75" hidden="1" customHeight="1" x14ac:dyDescent="0.35">
      <c r="A1700" s="47" t="s">
        <v>2683</v>
      </c>
      <c r="B1700" s="48" t="s">
        <v>3010</v>
      </c>
      <c r="C1700" s="49" t="s">
        <v>2901</v>
      </c>
      <c r="D1700" s="50"/>
      <c r="E1700" s="51">
        <v>37708700</v>
      </c>
      <c r="F1700" s="52">
        <f t="shared" si="105"/>
        <v>3016696</v>
      </c>
      <c r="G1700" s="53">
        <f t="shared" si="104"/>
        <v>40725396</v>
      </c>
      <c r="H1700" s="54">
        <v>40725396</v>
      </c>
      <c r="I1700" s="55">
        <f t="shared" si="106"/>
        <v>0</v>
      </c>
      <c r="J1700" s="56">
        <v>46105</v>
      </c>
      <c r="K1700" s="57" t="s">
        <v>3387</v>
      </c>
    </row>
    <row r="1701" spans="1:11" ht="15.75" hidden="1" customHeight="1" x14ac:dyDescent="0.35">
      <c r="A1701" s="47" t="s">
        <v>2738</v>
      </c>
      <c r="B1701" s="48" t="s">
        <v>3010</v>
      </c>
      <c r="C1701" s="49" t="s">
        <v>2902</v>
      </c>
      <c r="D1701" s="50"/>
      <c r="E1701" s="51">
        <v>46484700</v>
      </c>
      <c r="F1701" s="52">
        <f t="shared" si="105"/>
        <v>3718776</v>
      </c>
      <c r="G1701" s="53">
        <f t="shared" si="104"/>
        <v>50203476</v>
      </c>
      <c r="H1701" s="54">
        <v>50203476</v>
      </c>
      <c r="I1701" s="55">
        <f t="shared" si="106"/>
        <v>0</v>
      </c>
      <c r="J1701" s="56">
        <v>46076</v>
      </c>
      <c r="K1701" s="57" t="s">
        <v>3387</v>
      </c>
    </row>
    <row r="1702" spans="1:11" ht="15.75" hidden="1" customHeight="1" x14ac:dyDescent="0.35">
      <c r="A1702" s="47" t="s">
        <v>3030</v>
      </c>
      <c r="B1702" s="48" t="s">
        <v>3010</v>
      </c>
      <c r="C1702" s="49" t="s">
        <v>2903</v>
      </c>
      <c r="D1702" s="50"/>
      <c r="E1702" s="51">
        <v>37708700</v>
      </c>
      <c r="F1702" s="52">
        <f t="shared" si="105"/>
        <v>3016696</v>
      </c>
      <c r="G1702" s="53">
        <f t="shared" si="104"/>
        <v>40725396</v>
      </c>
      <c r="H1702" s="54">
        <v>40725396</v>
      </c>
      <c r="I1702" s="55">
        <f t="shared" si="106"/>
        <v>0</v>
      </c>
      <c r="J1702" s="56">
        <v>46042</v>
      </c>
      <c r="K1702" s="57" t="s">
        <v>3387</v>
      </c>
    </row>
    <row r="1703" spans="1:11" ht="15.75" hidden="1" customHeight="1" x14ac:dyDescent="0.35">
      <c r="A1703" s="47" t="s">
        <v>2730</v>
      </c>
      <c r="B1703" s="48" t="s">
        <v>3010</v>
      </c>
      <c r="C1703" s="49" t="s">
        <v>2904</v>
      </c>
      <c r="D1703" s="50"/>
      <c r="E1703" s="51">
        <v>57489100</v>
      </c>
      <c r="F1703" s="52">
        <f t="shared" si="105"/>
        <v>4599128</v>
      </c>
      <c r="G1703" s="53">
        <f t="shared" si="104"/>
        <v>62088228</v>
      </c>
      <c r="H1703" s="54">
        <v>62088228</v>
      </c>
      <c r="I1703" s="55">
        <f t="shared" si="106"/>
        <v>0</v>
      </c>
      <c r="J1703" s="56">
        <v>46042</v>
      </c>
      <c r="K1703" s="57" t="s">
        <v>3387</v>
      </c>
    </row>
    <row r="1704" spans="1:11" ht="15.75" hidden="1" customHeight="1" x14ac:dyDescent="0.35">
      <c r="A1704" s="47" t="s">
        <v>2725</v>
      </c>
      <c r="B1704" s="48" t="s">
        <v>3010</v>
      </c>
      <c r="C1704" s="49" t="s">
        <v>2905</v>
      </c>
      <c r="D1704" s="50"/>
      <c r="E1704" s="51">
        <v>37708700</v>
      </c>
      <c r="F1704" s="52">
        <f t="shared" si="105"/>
        <v>3016696</v>
      </c>
      <c r="G1704" s="53">
        <f t="shared" si="104"/>
        <v>40725396</v>
      </c>
      <c r="H1704" s="54">
        <v>40725396</v>
      </c>
      <c r="I1704" s="55">
        <f t="shared" si="106"/>
        <v>0</v>
      </c>
      <c r="J1704" s="56">
        <v>46196</v>
      </c>
      <c r="K1704" s="57" t="s">
        <v>3394</v>
      </c>
    </row>
    <row r="1705" spans="1:11" ht="15.75" hidden="1" customHeight="1" x14ac:dyDescent="0.35">
      <c r="A1705" s="47" t="s">
        <v>2744</v>
      </c>
      <c r="B1705" s="48" t="s">
        <v>3010</v>
      </c>
      <c r="C1705" s="49" t="s">
        <v>2906</v>
      </c>
      <c r="D1705" s="50"/>
      <c r="E1705" s="51">
        <v>35908700</v>
      </c>
      <c r="F1705" s="52">
        <f t="shared" si="105"/>
        <v>2872696</v>
      </c>
      <c r="G1705" s="53">
        <f t="shared" si="104"/>
        <v>38781396</v>
      </c>
      <c r="H1705" s="54">
        <v>38781396</v>
      </c>
      <c r="I1705" s="55">
        <f t="shared" si="106"/>
        <v>0</v>
      </c>
      <c r="J1705" s="56">
        <v>46135</v>
      </c>
      <c r="K1705" s="57" t="s">
        <v>3387</v>
      </c>
    </row>
    <row r="1706" spans="1:11" ht="15.75" hidden="1" customHeight="1" x14ac:dyDescent="0.35">
      <c r="A1706" s="47" t="s">
        <v>3031</v>
      </c>
      <c r="B1706" s="48" t="s">
        <v>3010</v>
      </c>
      <c r="C1706" s="49" t="s">
        <v>2907</v>
      </c>
      <c r="D1706" s="50"/>
      <c r="E1706" s="51">
        <v>25376700</v>
      </c>
      <c r="F1706" s="52">
        <f t="shared" si="105"/>
        <v>2030136</v>
      </c>
      <c r="G1706" s="53">
        <f t="shared" si="104"/>
        <v>27406836</v>
      </c>
      <c r="H1706" s="54">
        <v>27406836</v>
      </c>
      <c r="I1706" s="55">
        <f t="shared" si="106"/>
        <v>0</v>
      </c>
      <c r="J1706" s="56">
        <v>46076</v>
      </c>
      <c r="K1706" s="57" t="s">
        <v>3387</v>
      </c>
    </row>
    <row r="1707" spans="1:11" ht="15.75" hidden="1" customHeight="1" x14ac:dyDescent="0.35">
      <c r="A1707" s="47" t="s">
        <v>3032</v>
      </c>
      <c r="B1707" s="48" t="s">
        <v>3010</v>
      </c>
      <c r="C1707" s="49" t="s">
        <v>2908</v>
      </c>
      <c r="D1707" s="50"/>
      <c r="E1707" s="51">
        <v>27016700</v>
      </c>
      <c r="F1707" s="52">
        <f t="shared" si="105"/>
        <v>2161336</v>
      </c>
      <c r="G1707" s="53">
        <f t="shared" si="104"/>
        <v>29178036</v>
      </c>
      <c r="H1707" s="54">
        <v>29178036</v>
      </c>
      <c r="I1707" s="55">
        <f t="shared" si="106"/>
        <v>0</v>
      </c>
      <c r="J1707" s="56">
        <v>46196</v>
      </c>
      <c r="K1707" s="57" t="s">
        <v>3387</v>
      </c>
    </row>
    <row r="1708" spans="1:11" ht="15.75" hidden="1" customHeight="1" x14ac:dyDescent="0.35">
      <c r="A1708" s="47" t="s">
        <v>3033</v>
      </c>
      <c r="B1708" s="48" t="s">
        <v>3010</v>
      </c>
      <c r="C1708" s="49" t="s">
        <v>2909</v>
      </c>
      <c r="D1708" s="50"/>
      <c r="E1708" s="51">
        <v>37708700</v>
      </c>
      <c r="F1708" s="52">
        <f t="shared" si="105"/>
        <v>3016696</v>
      </c>
      <c r="G1708" s="53">
        <f t="shared" si="104"/>
        <v>40725396</v>
      </c>
      <c r="H1708" s="54">
        <v>40725396</v>
      </c>
      <c r="I1708" s="55">
        <f t="shared" si="106"/>
        <v>0</v>
      </c>
      <c r="J1708" s="56">
        <v>46042</v>
      </c>
      <c r="K1708" s="57" t="s">
        <v>3387</v>
      </c>
    </row>
    <row r="1709" spans="1:11" ht="15.75" hidden="1" customHeight="1" x14ac:dyDescent="0.35">
      <c r="A1709" s="47" t="s">
        <v>3034</v>
      </c>
      <c r="B1709" s="48" t="s">
        <v>3010</v>
      </c>
      <c r="C1709" s="49" t="s">
        <v>2910</v>
      </c>
      <c r="D1709" s="50"/>
      <c r="E1709" s="51">
        <v>41508700</v>
      </c>
      <c r="F1709" s="52">
        <f t="shared" si="105"/>
        <v>3320696</v>
      </c>
      <c r="G1709" s="53">
        <f t="shared" si="104"/>
        <v>44829396</v>
      </c>
      <c r="H1709" s="54">
        <v>44829396</v>
      </c>
      <c r="I1709" s="55">
        <f t="shared" si="106"/>
        <v>0</v>
      </c>
      <c r="J1709" s="56">
        <v>46042</v>
      </c>
      <c r="K1709" s="57" t="s">
        <v>3387</v>
      </c>
    </row>
    <row r="1710" spans="1:11" ht="15.75" hidden="1" customHeight="1" x14ac:dyDescent="0.35">
      <c r="A1710" s="47" t="s">
        <v>2699</v>
      </c>
      <c r="B1710" s="48" t="s">
        <v>3010</v>
      </c>
      <c r="C1710" s="49" t="s">
        <v>2911</v>
      </c>
      <c r="D1710" s="50"/>
      <c r="E1710" s="51">
        <v>37708700</v>
      </c>
      <c r="F1710" s="52">
        <f t="shared" si="105"/>
        <v>3016696</v>
      </c>
      <c r="G1710" s="53">
        <f t="shared" si="104"/>
        <v>40725396</v>
      </c>
      <c r="H1710" s="54">
        <v>40725396</v>
      </c>
      <c r="I1710" s="55">
        <f t="shared" si="106"/>
        <v>0</v>
      </c>
      <c r="J1710" s="56">
        <v>46042</v>
      </c>
      <c r="K1710" s="57" t="s">
        <v>3387</v>
      </c>
    </row>
    <row r="1711" spans="1:11" ht="15.75" hidden="1" customHeight="1" x14ac:dyDescent="0.35">
      <c r="A1711" s="47" t="s">
        <v>38</v>
      </c>
      <c r="B1711" s="48" t="s">
        <v>3010</v>
      </c>
      <c r="C1711" s="49" t="s">
        <v>2912</v>
      </c>
      <c r="D1711" s="50"/>
      <c r="E1711" s="51">
        <v>37708700</v>
      </c>
      <c r="F1711" s="52">
        <f t="shared" si="105"/>
        <v>3016696</v>
      </c>
      <c r="G1711" s="53">
        <f t="shared" si="104"/>
        <v>40725396</v>
      </c>
      <c r="H1711" s="54">
        <v>40725396</v>
      </c>
      <c r="I1711" s="55">
        <f t="shared" si="106"/>
        <v>0</v>
      </c>
      <c r="J1711" s="56">
        <v>46135</v>
      </c>
      <c r="K1711" s="57" t="s">
        <v>3387</v>
      </c>
    </row>
    <row r="1712" spans="1:11" ht="15.75" hidden="1" customHeight="1" x14ac:dyDescent="0.35">
      <c r="A1712" s="47" t="s">
        <v>2740</v>
      </c>
      <c r="B1712" s="48" t="s">
        <v>3010</v>
      </c>
      <c r="C1712" s="49" t="s">
        <v>2913</v>
      </c>
      <c r="D1712" s="50"/>
      <c r="E1712" s="51">
        <v>37708700</v>
      </c>
      <c r="F1712" s="52">
        <f t="shared" si="105"/>
        <v>3016696</v>
      </c>
      <c r="G1712" s="53">
        <f t="shared" si="104"/>
        <v>40725396</v>
      </c>
      <c r="H1712" s="54">
        <v>40725396</v>
      </c>
      <c r="I1712" s="55">
        <f t="shared" si="106"/>
        <v>0</v>
      </c>
      <c r="J1712" s="56">
        <v>46042</v>
      </c>
      <c r="K1712" s="57" t="s">
        <v>3387</v>
      </c>
    </row>
    <row r="1713" spans="1:11" ht="15.75" hidden="1" customHeight="1" x14ac:dyDescent="0.35">
      <c r="A1713" s="47" t="s">
        <v>48</v>
      </c>
      <c r="B1713" s="48" t="s">
        <v>3010</v>
      </c>
      <c r="C1713" s="49" t="s">
        <v>2914</v>
      </c>
      <c r="D1713" s="50"/>
      <c r="E1713" s="51">
        <v>18766700</v>
      </c>
      <c r="F1713" s="52">
        <f t="shared" si="105"/>
        <v>1501336</v>
      </c>
      <c r="G1713" s="53">
        <f t="shared" si="104"/>
        <v>20268036</v>
      </c>
      <c r="H1713" s="54">
        <v>20268036</v>
      </c>
      <c r="I1713" s="55">
        <f t="shared" si="106"/>
        <v>0</v>
      </c>
      <c r="J1713" s="56">
        <v>46135</v>
      </c>
      <c r="K1713" s="57" t="s">
        <v>3387</v>
      </c>
    </row>
    <row r="1714" spans="1:11" ht="15.75" hidden="1" customHeight="1" x14ac:dyDescent="0.35">
      <c r="A1714" s="47" t="s">
        <v>2734</v>
      </c>
      <c r="B1714" s="48" t="s">
        <v>3010</v>
      </c>
      <c r="C1714" s="49" t="s">
        <v>2915</v>
      </c>
      <c r="D1714" s="50"/>
      <c r="E1714" s="51">
        <v>31942700</v>
      </c>
      <c r="F1714" s="52">
        <f t="shared" si="105"/>
        <v>2555416</v>
      </c>
      <c r="G1714" s="53">
        <f t="shared" si="104"/>
        <v>34498116</v>
      </c>
      <c r="H1714" s="54">
        <v>34498116</v>
      </c>
      <c r="I1714" s="55">
        <f t="shared" si="106"/>
        <v>0</v>
      </c>
      <c r="J1714" s="56">
        <v>46210</v>
      </c>
      <c r="K1714" s="57" t="s">
        <v>3387</v>
      </c>
    </row>
    <row r="1715" spans="1:11" ht="15.75" hidden="1" customHeight="1" x14ac:dyDescent="0.35">
      <c r="A1715" s="47" t="s">
        <v>2733</v>
      </c>
      <c r="B1715" s="48" t="s">
        <v>3010</v>
      </c>
      <c r="C1715" s="49" t="s">
        <v>2916</v>
      </c>
      <c r="D1715" s="50"/>
      <c r="E1715" s="51">
        <v>37708700</v>
      </c>
      <c r="F1715" s="52">
        <f t="shared" si="105"/>
        <v>3016696</v>
      </c>
      <c r="G1715" s="53">
        <f t="shared" si="104"/>
        <v>40725396</v>
      </c>
      <c r="H1715" s="54">
        <v>40725396</v>
      </c>
      <c r="I1715" s="55">
        <f t="shared" si="106"/>
        <v>0</v>
      </c>
      <c r="J1715" s="56">
        <v>46042</v>
      </c>
      <c r="K1715" s="57" t="s">
        <v>3387</v>
      </c>
    </row>
    <row r="1716" spans="1:11" ht="15.75" hidden="1" customHeight="1" x14ac:dyDescent="0.35">
      <c r="A1716" s="47" t="s">
        <v>3035</v>
      </c>
      <c r="B1716" s="48" t="s">
        <v>3010</v>
      </c>
      <c r="C1716" s="50" t="s">
        <v>2917</v>
      </c>
      <c r="D1716" s="50"/>
      <c r="E1716" s="51">
        <v>37708700</v>
      </c>
      <c r="F1716" s="52">
        <f t="shared" si="105"/>
        <v>3016696</v>
      </c>
      <c r="G1716" s="53">
        <f t="shared" si="104"/>
        <v>40725396</v>
      </c>
      <c r="H1716" s="54">
        <v>40725396</v>
      </c>
      <c r="I1716" s="55">
        <f t="shared" si="106"/>
        <v>0</v>
      </c>
      <c r="J1716" s="56">
        <v>46042</v>
      </c>
      <c r="K1716" s="57" t="s">
        <v>3387</v>
      </c>
    </row>
    <row r="1717" spans="1:11" ht="15.75" hidden="1" customHeight="1" x14ac:dyDescent="0.35">
      <c r="A1717" s="47" t="s">
        <v>2689</v>
      </c>
      <c r="B1717" s="48" t="s">
        <v>3010</v>
      </c>
      <c r="C1717" s="49" t="s">
        <v>2918</v>
      </c>
      <c r="D1717" s="50"/>
      <c r="E1717" s="51">
        <v>107159100</v>
      </c>
      <c r="F1717" s="52">
        <f t="shared" si="105"/>
        <v>8572728</v>
      </c>
      <c r="G1717" s="53">
        <f t="shared" si="104"/>
        <v>115731828</v>
      </c>
      <c r="H1717" s="54">
        <v>115731828</v>
      </c>
      <c r="I1717" s="55">
        <f t="shared" si="106"/>
        <v>0</v>
      </c>
      <c r="J1717" s="56">
        <v>46135</v>
      </c>
      <c r="K1717" s="57" t="s">
        <v>3387</v>
      </c>
    </row>
    <row r="1718" spans="1:11" ht="15.75" hidden="1" customHeight="1" x14ac:dyDescent="0.35">
      <c r="A1718" s="47" t="s">
        <v>2742</v>
      </c>
      <c r="B1718" s="48" t="s">
        <v>3010</v>
      </c>
      <c r="C1718" s="49" t="s">
        <v>2919</v>
      </c>
      <c r="D1718" s="50"/>
      <c r="E1718" s="51">
        <v>37708700</v>
      </c>
      <c r="F1718" s="52">
        <f t="shared" si="105"/>
        <v>3016696</v>
      </c>
      <c r="G1718" s="53">
        <f t="shared" si="104"/>
        <v>40725396</v>
      </c>
      <c r="H1718" s="54">
        <v>40725396</v>
      </c>
      <c r="I1718" s="55">
        <f t="shared" si="106"/>
        <v>0</v>
      </c>
      <c r="J1718" s="56">
        <v>46042</v>
      </c>
      <c r="K1718" s="57" t="s">
        <v>3387</v>
      </c>
    </row>
    <row r="1719" spans="1:11" ht="15.75" hidden="1" customHeight="1" x14ac:dyDescent="0.35">
      <c r="A1719" s="47" t="s">
        <v>2680</v>
      </c>
      <c r="B1719" s="48" t="s">
        <v>3010</v>
      </c>
      <c r="C1719" s="49" t="s">
        <v>2920</v>
      </c>
      <c r="D1719" s="50"/>
      <c r="E1719" s="51">
        <v>22315500</v>
      </c>
      <c r="F1719" s="52">
        <f t="shared" si="105"/>
        <v>1785240</v>
      </c>
      <c r="G1719" s="53">
        <f t="shared" ref="G1719:G1782" si="107">E1719+F1719</f>
        <v>24100740</v>
      </c>
      <c r="H1719" s="54">
        <v>24100740</v>
      </c>
      <c r="I1719" s="55">
        <f t="shared" si="106"/>
        <v>0</v>
      </c>
      <c r="J1719" s="56">
        <v>46210</v>
      </c>
      <c r="K1719" s="57" t="s">
        <v>3387</v>
      </c>
    </row>
    <row r="1720" spans="1:11" ht="15.75" hidden="1" customHeight="1" x14ac:dyDescent="0.35">
      <c r="A1720" s="47" t="s">
        <v>2743</v>
      </c>
      <c r="B1720" s="48" t="s">
        <v>3010</v>
      </c>
      <c r="C1720" s="50" t="s">
        <v>2921</v>
      </c>
      <c r="D1720" s="50"/>
      <c r="E1720" s="51">
        <v>37708700</v>
      </c>
      <c r="F1720" s="52">
        <f t="shared" ref="F1720:F1783" si="108">+E1720*0.08</f>
        <v>3016696</v>
      </c>
      <c r="G1720" s="53">
        <f t="shared" si="107"/>
        <v>40725396</v>
      </c>
      <c r="H1720" s="54">
        <v>40725396</v>
      </c>
      <c r="I1720" s="55">
        <f t="shared" ref="I1720:I1783" si="109">G1720-H1720</f>
        <v>0</v>
      </c>
      <c r="J1720" s="56">
        <v>46042</v>
      </c>
      <c r="K1720" s="57" t="s">
        <v>3387</v>
      </c>
    </row>
    <row r="1721" spans="1:11" ht="15.75" hidden="1" customHeight="1" x14ac:dyDescent="0.35">
      <c r="A1721" s="47" t="s">
        <v>1584</v>
      </c>
      <c r="B1721" s="48" t="s">
        <v>3010</v>
      </c>
      <c r="C1721" s="49" t="s">
        <v>2922</v>
      </c>
      <c r="D1721" s="50"/>
      <c r="E1721" s="51">
        <v>14145500</v>
      </c>
      <c r="F1721" s="52">
        <f t="shared" si="108"/>
        <v>1131640</v>
      </c>
      <c r="G1721" s="53">
        <f t="shared" si="107"/>
        <v>15277140</v>
      </c>
      <c r="H1721" s="54">
        <v>15277140</v>
      </c>
      <c r="I1721" s="55">
        <f t="shared" si="109"/>
        <v>0</v>
      </c>
      <c r="J1721" s="56">
        <v>46135</v>
      </c>
      <c r="K1721" s="57" t="s">
        <v>3387</v>
      </c>
    </row>
    <row r="1722" spans="1:11" ht="15.75" hidden="1" customHeight="1" x14ac:dyDescent="0.35">
      <c r="A1722" s="47" t="s">
        <v>3036</v>
      </c>
      <c r="B1722" s="48" t="s">
        <v>3010</v>
      </c>
      <c r="C1722" s="49" t="s">
        <v>2923</v>
      </c>
      <c r="D1722" s="50"/>
      <c r="E1722" s="51">
        <v>37708700</v>
      </c>
      <c r="F1722" s="52">
        <f t="shared" si="108"/>
        <v>3016696</v>
      </c>
      <c r="G1722" s="53">
        <f t="shared" si="107"/>
        <v>40725396</v>
      </c>
      <c r="H1722" s="54">
        <v>40725396</v>
      </c>
      <c r="I1722" s="55">
        <f t="shared" si="109"/>
        <v>0</v>
      </c>
      <c r="J1722" s="56">
        <v>46042</v>
      </c>
      <c r="K1722" s="57" t="s">
        <v>3387</v>
      </c>
    </row>
    <row r="1723" spans="1:11" ht="15.75" hidden="1" customHeight="1" x14ac:dyDescent="0.35">
      <c r="A1723" s="47" t="s">
        <v>2692</v>
      </c>
      <c r="B1723" s="48" t="s">
        <v>3010</v>
      </c>
      <c r="C1723" s="50" t="s">
        <v>2924</v>
      </c>
      <c r="D1723" s="50"/>
      <c r="E1723" s="51">
        <v>75905100</v>
      </c>
      <c r="F1723" s="52">
        <f t="shared" si="108"/>
        <v>6072408</v>
      </c>
      <c r="G1723" s="53">
        <f t="shared" si="107"/>
        <v>81977508</v>
      </c>
      <c r="H1723" s="54">
        <v>81977508</v>
      </c>
      <c r="I1723" s="55">
        <f t="shared" si="109"/>
        <v>0</v>
      </c>
      <c r="J1723" s="56">
        <v>46042</v>
      </c>
      <c r="K1723" s="57" t="s">
        <v>3387</v>
      </c>
    </row>
    <row r="1724" spans="1:11" ht="15.75" hidden="1" customHeight="1" x14ac:dyDescent="0.35">
      <c r="A1724" s="47" t="s">
        <v>2703</v>
      </c>
      <c r="B1724" s="48" t="s">
        <v>3010</v>
      </c>
      <c r="C1724" s="49" t="s">
        <v>2925</v>
      </c>
      <c r="D1724" s="50"/>
      <c r="E1724" s="51">
        <v>88277200</v>
      </c>
      <c r="F1724" s="52">
        <f t="shared" si="108"/>
        <v>7062176</v>
      </c>
      <c r="G1724" s="53">
        <f t="shared" si="107"/>
        <v>95339376</v>
      </c>
      <c r="H1724" s="54">
        <v>95339376</v>
      </c>
      <c r="I1724" s="55">
        <f t="shared" si="109"/>
        <v>0</v>
      </c>
      <c r="J1724" s="56">
        <v>46105</v>
      </c>
      <c r="K1724" s="57" t="s">
        <v>3387</v>
      </c>
    </row>
    <row r="1725" spans="1:11" ht="15.75" hidden="1" customHeight="1" x14ac:dyDescent="0.35">
      <c r="A1725" s="47" t="s">
        <v>3037</v>
      </c>
      <c r="B1725" s="48" t="s">
        <v>3010</v>
      </c>
      <c r="C1725" s="49" t="s">
        <v>2926</v>
      </c>
      <c r="D1725" s="50"/>
      <c r="E1725" s="51">
        <v>37708700</v>
      </c>
      <c r="F1725" s="52">
        <f t="shared" si="108"/>
        <v>3016696</v>
      </c>
      <c r="G1725" s="53">
        <f t="shared" si="107"/>
        <v>40725396</v>
      </c>
      <c r="H1725" s="54">
        <v>40725396</v>
      </c>
      <c r="I1725" s="55">
        <f t="shared" si="109"/>
        <v>0</v>
      </c>
      <c r="J1725" s="56">
        <v>46042</v>
      </c>
      <c r="K1725" s="57" t="s">
        <v>3387</v>
      </c>
    </row>
    <row r="1726" spans="1:11" ht="15.75" hidden="1" customHeight="1" x14ac:dyDescent="0.35">
      <c r="A1726" s="47" t="s">
        <v>2686</v>
      </c>
      <c r="B1726" s="48" t="s">
        <v>3010</v>
      </c>
      <c r="C1726" s="49" t="s">
        <v>2927</v>
      </c>
      <c r="D1726" s="50"/>
      <c r="E1726" s="51">
        <v>16593500</v>
      </c>
      <c r="F1726" s="52">
        <f t="shared" si="108"/>
        <v>1327480</v>
      </c>
      <c r="G1726" s="53">
        <f t="shared" si="107"/>
        <v>17920980</v>
      </c>
      <c r="H1726" s="54">
        <v>17920980</v>
      </c>
      <c r="I1726" s="55">
        <f t="shared" si="109"/>
        <v>0</v>
      </c>
      <c r="J1726" s="56">
        <v>46135</v>
      </c>
      <c r="K1726" s="57" t="s">
        <v>3387</v>
      </c>
    </row>
    <row r="1727" spans="1:11" ht="15.75" hidden="1" customHeight="1" x14ac:dyDescent="0.35">
      <c r="A1727" s="47" t="s">
        <v>2702</v>
      </c>
      <c r="B1727" s="48" t="s">
        <v>3010</v>
      </c>
      <c r="C1727" s="49" t="s">
        <v>2928</v>
      </c>
      <c r="D1727" s="50"/>
      <c r="E1727" s="51">
        <v>62037100</v>
      </c>
      <c r="F1727" s="52">
        <f t="shared" si="108"/>
        <v>4962968</v>
      </c>
      <c r="G1727" s="53">
        <f t="shared" si="107"/>
        <v>67000068</v>
      </c>
      <c r="H1727" s="54">
        <v>67000068</v>
      </c>
      <c r="I1727" s="55">
        <f t="shared" si="109"/>
        <v>0</v>
      </c>
      <c r="J1727" s="56">
        <v>46210</v>
      </c>
      <c r="K1727" s="57" t="s">
        <v>3387</v>
      </c>
    </row>
    <row r="1728" spans="1:11" ht="15.75" hidden="1" customHeight="1" x14ac:dyDescent="0.35">
      <c r="A1728" s="47" t="s">
        <v>2684</v>
      </c>
      <c r="B1728" s="48" t="s">
        <v>3010</v>
      </c>
      <c r="C1728" s="49" t="s">
        <v>2929</v>
      </c>
      <c r="D1728" s="50"/>
      <c r="E1728" s="51">
        <v>37708700</v>
      </c>
      <c r="F1728" s="52">
        <f t="shared" si="108"/>
        <v>3016696</v>
      </c>
      <c r="G1728" s="53">
        <f t="shared" si="107"/>
        <v>40725396</v>
      </c>
      <c r="H1728" s="54">
        <v>40725396</v>
      </c>
      <c r="I1728" s="55">
        <f t="shared" si="109"/>
        <v>0</v>
      </c>
      <c r="J1728" s="56">
        <v>46042</v>
      </c>
      <c r="K1728" s="57" t="s">
        <v>3387</v>
      </c>
    </row>
    <row r="1729" spans="1:11" ht="15.75" hidden="1" customHeight="1" x14ac:dyDescent="0.35">
      <c r="A1729" s="47" t="s">
        <v>2721</v>
      </c>
      <c r="B1729" s="48" t="s">
        <v>3010</v>
      </c>
      <c r="C1729" s="49" t="s">
        <v>2930</v>
      </c>
      <c r="D1729" s="50"/>
      <c r="E1729" s="51">
        <v>67011900</v>
      </c>
      <c r="F1729" s="52">
        <f t="shared" si="108"/>
        <v>5360952</v>
      </c>
      <c r="G1729" s="53">
        <f t="shared" si="107"/>
        <v>72372852</v>
      </c>
      <c r="H1729" s="54">
        <v>72372852</v>
      </c>
      <c r="I1729" s="55">
        <f t="shared" si="109"/>
        <v>0</v>
      </c>
      <c r="J1729" s="56">
        <v>46042</v>
      </c>
      <c r="K1729" s="57" t="s">
        <v>3387</v>
      </c>
    </row>
    <row r="1730" spans="1:11" ht="15.75" hidden="1" customHeight="1" x14ac:dyDescent="0.35">
      <c r="A1730" s="47" t="s">
        <v>3038</v>
      </c>
      <c r="B1730" s="48" t="s">
        <v>3010</v>
      </c>
      <c r="C1730" s="49" t="s">
        <v>2931</v>
      </c>
      <c r="D1730" s="50"/>
      <c r="E1730" s="51">
        <v>32752700</v>
      </c>
      <c r="F1730" s="52">
        <f t="shared" si="108"/>
        <v>2620216</v>
      </c>
      <c r="G1730" s="53">
        <f t="shared" si="107"/>
        <v>35372916</v>
      </c>
      <c r="H1730" s="54">
        <v>35372916</v>
      </c>
      <c r="I1730" s="55">
        <f t="shared" si="109"/>
        <v>0</v>
      </c>
      <c r="J1730" s="56">
        <v>46076</v>
      </c>
      <c r="K1730" s="57" t="s">
        <v>3387</v>
      </c>
    </row>
    <row r="1731" spans="1:11" ht="15.75" hidden="1" customHeight="1" x14ac:dyDescent="0.35">
      <c r="A1731" s="47" t="s">
        <v>3016</v>
      </c>
      <c r="B1731" s="48" t="s">
        <v>3010</v>
      </c>
      <c r="C1731" s="49" t="s">
        <v>2932</v>
      </c>
      <c r="D1731" s="50"/>
      <c r="E1731" s="51">
        <v>52184700</v>
      </c>
      <c r="F1731" s="52">
        <f t="shared" si="108"/>
        <v>4174776</v>
      </c>
      <c r="G1731" s="53">
        <f t="shared" si="107"/>
        <v>56359476</v>
      </c>
      <c r="H1731" s="54">
        <v>56359476</v>
      </c>
      <c r="I1731" s="55">
        <f t="shared" si="109"/>
        <v>0</v>
      </c>
      <c r="J1731" s="56">
        <v>46042</v>
      </c>
      <c r="K1731" s="57" t="s">
        <v>3387</v>
      </c>
    </row>
    <row r="1732" spans="1:11" ht="15.75" hidden="1" customHeight="1" x14ac:dyDescent="0.35">
      <c r="A1732" s="47" t="s">
        <v>2745</v>
      </c>
      <c r="B1732" s="48" t="s">
        <v>3011</v>
      </c>
      <c r="C1732" s="49" t="s">
        <v>2933</v>
      </c>
      <c r="D1732" s="50"/>
      <c r="E1732" s="51">
        <v>3380000</v>
      </c>
      <c r="F1732" s="52">
        <f t="shared" si="108"/>
        <v>270400</v>
      </c>
      <c r="G1732" s="53">
        <f t="shared" si="107"/>
        <v>3650400</v>
      </c>
      <c r="H1732" s="54">
        <v>3650400</v>
      </c>
      <c r="I1732" s="55">
        <f t="shared" si="109"/>
        <v>0</v>
      </c>
      <c r="J1732" s="56">
        <v>46135</v>
      </c>
      <c r="K1732" s="57" t="s">
        <v>3387</v>
      </c>
    </row>
    <row r="1733" spans="1:11" ht="15.75" hidden="1" customHeight="1" x14ac:dyDescent="0.35">
      <c r="A1733" s="47" t="s">
        <v>2693</v>
      </c>
      <c r="B1733" s="48" t="s">
        <v>3011</v>
      </c>
      <c r="C1733" s="49" t="s">
        <v>2934</v>
      </c>
      <c r="D1733" s="50"/>
      <c r="E1733" s="51">
        <v>1005000</v>
      </c>
      <c r="F1733" s="52">
        <f t="shared" si="108"/>
        <v>80400</v>
      </c>
      <c r="G1733" s="53">
        <f t="shared" si="107"/>
        <v>1085400</v>
      </c>
      <c r="H1733" s="54">
        <v>1085400</v>
      </c>
      <c r="I1733" s="55">
        <f t="shared" si="109"/>
        <v>0</v>
      </c>
      <c r="J1733" s="56">
        <v>46135</v>
      </c>
      <c r="K1733" s="57" t="s">
        <v>3387</v>
      </c>
    </row>
    <row r="1734" spans="1:11" ht="15.75" hidden="1" customHeight="1" x14ac:dyDescent="0.35">
      <c r="A1734" s="47" t="s">
        <v>2698</v>
      </c>
      <c r="B1734" s="48" t="s">
        <v>3011</v>
      </c>
      <c r="C1734" s="49" t="s">
        <v>2935</v>
      </c>
      <c r="D1734" s="50"/>
      <c r="E1734" s="51">
        <v>37708700</v>
      </c>
      <c r="F1734" s="52">
        <f t="shared" si="108"/>
        <v>3016696</v>
      </c>
      <c r="G1734" s="53">
        <f t="shared" si="107"/>
        <v>40725396</v>
      </c>
      <c r="H1734" s="54">
        <v>40725396</v>
      </c>
      <c r="I1734" s="55">
        <f t="shared" si="109"/>
        <v>0</v>
      </c>
      <c r="J1734" s="56">
        <v>46135</v>
      </c>
      <c r="K1734" s="57" t="s">
        <v>3387</v>
      </c>
    </row>
    <row r="1735" spans="1:11" ht="15.75" hidden="1" customHeight="1" x14ac:dyDescent="0.35">
      <c r="A1735" s="47" t="s">
        <v>770</v>
      </c>
      <c r="B1735" s="48">
        <v>46008</v>
      </c>
      <c r="C1735" s="50" t="s">
        <v>2936</v>
      </c>
      <c r="D1735" s="49" t="s">
        <v>3088</v>
      </c>
      <c r="E1735" s="51">
        <v>37708700</v>
      </c>
      <c r="F1735" s="52">
        <f t="shared" si="108"/>
        <v>3016696</v>
      </c>
      <c r="G1735" s="53">
        <f t="shared" si="107"/>
        <v>40725396</v>
      </c>
      <c r="H1735" s="54">
        <v>40725396</v>
      </c>
      <c r="I1735" s="55">
        <f t="shared" si="109"/>
        <v>0</v>
      </c>
      <c r="J1735" s="56">
        <v>46042</v>
      </c>
      <c r="K1735" s="57" t="s">
        <v>3387</v>
      </c>
    </row>
    <row r="1736" spans="1:11" ht="15.75" hidden="1" customHeight="1" x14ac:dyDescent="0.35">
      <c r="A1736" s="47" t="s">
        <v>1414</v>
      </c>
      <c r="B1736" s="48" t="s">
        <v>3011</v>
      </c>
      <c r="C1736" s="49" t="s">
        <v>2937</v>
      </c>
      <c r="D1736" s="50"/>
      <c r="E1736" s="51">
        <v>30816700</v>
      </c>
      <c r="F1736" s="52">
        <f t="shared" si="108"/>
        <v>2465336</v>
      </c>
      <c r="G1736" s="53">
        <f t="shared" si="107"/>
        <v>33282036</v>
      </c>
      <c r="H1736" s="54">
        <v>33282036</v>
      </c>
      <c r="I1736" s="55">
        <f t="shared" si="109"/>
        <v>0</v>
      </c>
      <c r="J1736" s="56">
        <v>46042</v>
      </c>
      <c r="K1736" s="57" t="s">
        <v>3387</v>
      </c>
    </row>
    <row r="1737" spans="1:11" ht="15.75" hidden="1" customHeight="1" x14ac:dyDescent="0.35">
      <c r="A1737" s="47" t="s">
        <v>2747</v>
      </c>
      <c r="B1737" s="48" t="s">
        <v>3011</v>
      </c>
      <c r="C1737" s="49" t="s">
        <v>2938</v>
      </c>
      <c r="D1737" s="50"/>
      <c r="E1737" s="51">
        <v>45104700</v>
      </c>
      <c r="F1737" s="52">
        <f t="shared" si="108"/>
        <v>3608376</v>
      </c>
      <c r="G1737" s="53">
        <f t="shared" si="107"/>
        <v>48713076</v>
      </c>
      <c r="H1737" s="54">
        <v>48713076</v>
      </c>
      <c r="I1737" s="55">
        <f t="shared" si="109"/>
        <v>0</v>
      </c>
      <c r="J1737" s="56">
        <v>46135</v>
      </c>
      <c r="K1737" s="57" t="s">
        <v>3387</v>
      </c>
    </row>
    <row r="1738" spans="1:11" ht="15.75" hidden="1" customHeight="1" x14ac:dyDescent="0.35">
      <c r="A1738" s="47" t="s">
        <v>2688</v>
      </c>
      <c r="B1738" s="48" t="s">
        <v>3011</v>
      </c>
      <c r="C1738" s="49" t="s">
        <v>2939</v>
      </c>
      <c r="D1738" s="50"/>
      <c r="E1738" s="51">
        <v>32893500</v>
      </c>
      <c r="F1738" s="52">
        <f t="shared" si="108"/>
        <v>2631480</v>
      </c>
      <c r="G1738" s="53">
        <f t="shared" si="107"/>
        <v>35524980</v>
      </c>
      <c r="H1738" s="54">
        <v>35524980</v>
      </c>
      <c r="I1738" s="55">
        <f t="shared" si="109"/>
        <v>0</v>
      </c>
      <c r="J1738" s="56">
        <v>46042</v>
      </c>
      <c r="K1738" s="57" t="s">
        <v>3387</v>
      </c>
    </row>
    <row r="1739" spans="1:11" ht="15.75" hidden="1" customHeight="1" x14ac:dyDescent="0.35">
      <c r="A1739" s="47" t="s">
        <v>2701</v>
      </c>
      <c r="B1739" s="48" t="s">
        <v>3011</v>
      </c>
      <c r="C1739" s="49" t="s">
        <v>2940</v>
      </c>
      <c r="D1739" s="50"/>
      <c r="E1739" s="51">
        <v>21276700</v>
      </c>
      <c r="F1739" s="52">
        <f t="shared" si="108"/>
        <v>1702136</v>
      </c>
      <c r="G1739" s="53">
        <f t="shared" si="107"/>
        <v>22978836</v>
      </c>
      <c r="H1739" s="54">
        <v>22978836</v>
      </c>
      <c r="I1739" s="55">
        <f t="shared" si="109"/>
        <v>0</v>
      </c>
      <c r="J1739" s="56">
        <v>46042</v>
      </c>
      <c r="K1739" s="57" t="s">
        <v>3387</v>
      </c>
    </row>
    <row r="1740" spans="1:11" ht="15.75" hidden="1" customHeight="1" x14ac:dyDescent="0.35">
      <c r="A1740" s="47" t="s">
        <v>3039</v>
      </c>
      <c r="B1740" s="48" t="s">
        <v>3011</v>
      </c>
      <c r="C1740" s="49" t="s">
        <v>2941</v>
      </c>
      <c r="D1740" s="50"/>
      <c r="E1740" s="51">
        <v>37708700</v>
      </c>
      <c r="F1740" s="52">
        <f t="shared" si="108"/>
        <v>3016696</v>
      </c>
      <c r="G1740" s="53">
        <f t="shared" si="107"/>
        <v>40725396</v>
      </c>
      <c r="H1740" s="54">
        <v>40725396</v>
      </c>
      <c r="I1740" s="55">
        <f t="shared" si="109"/>
        <v>0</v>
      </c>
      <c r="J1740" s="56">
        <v>46196</v>
      </c>
      <c r="K1740" s="57" t="s">
        <v>3387</v>
      </c>
    </row>
    <row r="1741" spans="1:11" ht="15.75" hidden="1" customHeight="1" x14ac:dyDescent="0.35">
      <c r="A1741" s="47" t="s">
        <v>2719</v>
      </c>
      <c r="B1741" s="48" t="s">
        <v>3011</v>
      </c>
      <c r="C1741" s="49" t="s">
        <v>2942</v>
      </c>
      <c r="D1741" s="50"/>
      <c r="E1741" s="51">
        <v>28428700</v>
      </c>
      <c r="F1741" s="52">
        <f t="shared" si="108"/>
        <v>2274296</v>
      </c>
      <c r="G1741" s="53">
        <f t="shared" si="107"/>
        <v>30702996</v>
      </c>
      <c r="H1741" s="54">
        <v>30702996</v>
      </c>
      <c r="I1741" s="55">
        <f t="shared" si="109"/>
        <v>0</v>
      </c>
      <c r="J1741" s="56">
        <v>46105</v>
      </c>
      <c r="K1741" s="57" t="s">
        <v>3387</v>
      </c>
    </row>
    <row r="1742" spans="1:11" ht="15.75" hidden="1" customHeight="1" x14ac:dyDescent="0.35">
      <c r="A1742" s="47" t="s">
        <v>3040</v>
      </c>
      <c r="B1742" s="48" t="s">
        <v>3011</v>
      </c>
      <c r="C1742" s="49" t="s">
        <v>2943</v>
      </c>
      <c r="D1742" s="50"/>
      <c r="E1742" s="51">
        <v>17093500</v>
      </c>
      <c r="F1742" s="52">
        <f t="shared" si="108"/>
        <v>1367480</v>
      </c>
      <c r="G1742" s="53">
        <f t="shared" si="107"/>
        <v>18460980</v>
      </c>
      <c r="H1742" s="54">
        <v>18460980</v>
      </c>
      <c r="I1742" s="55">
        <f t="shared" si="109"/>
        <v>0</v>
      </c>
      <c r="J1742" s="56">
        <v>46196</v>
      </c>
      <c r="K1742" s="57" t="s">
        <v>3387</v>
      </c>
    </row>
    <row r="1743" spans="1:11" ht="15.75" hidden="1" customHeight="1" x14ac:dyDescent="0.35">
      <c r="A1743" s="47" t="s">
        <v>2716</v>
      </c>
      <c r="B1743" s="48" t="s">
        <v>3011</v>
      </c>
      <c r="C1743" s="50" t="s">
        <v>2944</v>
      </c>
      <c r="D1743" s="50"/>
      <c r="E1743" s="51">
        <v>37708700</v>
      </c>
      <c r="F1743" s="52">
        <f t="shared" si="108"/>
        <v>3016696</v>
      </c>
      <c r="G1743" s="53">
        <f t="shared" si="107"/>
        <v>40725396</v>
      </c>
      <c r="H1743" s="54">
        <v>40725396</v>
      </c>
      <c r="I1743" s="55">
        <f t="shared" si="109"/>
        <v>0</v>
      </c>
      <c r="J1743" s="56">
        <v>46076</v>
      </c>
      <c r="K1743" s="57" t="s">
        <v>3387</v>
      </c>
    </row>
    <row r="1744" spans="1:11" ht="15.75" hidden="1" customHeight="1" x14ac:dyDescent="0.35">
      <c r="A1744" s="47" t="s">
        <v>2837</v>
      </c>
      <c r="B1744" s="48" t="s">
        <v>3011</v>
      </c>
      <c r="C1744" s="49" t="s">
        <v>2945</v>
      </c>
      <c r="D1744" s="50"/>
      <c r="E1744" s="51">
        <v>36446700</v>
      </c>
      <c r="F1744" s="52">
        <f t="shared" si="108"/>
        <v>2915736</v>
      </c>
      <c r="G1744" s="53">
        <f t="shared" si="107"/>
        <v>39362436</v>
      </c>
      <c r="H1744" s="54">
        <v>39362436</v>
      </c>
      <c r="I1744" s="55">
        <f t="shared" si="109"/>
        <v>0</v>
      </c>
      <c r="J1744" s="56">
        <v>46196</v>
      </c>
      <c r="K1744" s="57" t="s">
        <v>3387</v>
      </c>
    </row>
    <row r="1745" spans="1:11" ht="15.75" hidden="1" customHeight="1" x14ac:dyDescent="0.35">
      <c r="A1745" s="47" t="s">
        <v>2838</v>
      </c>
      <c r="B1745" s="48" t="s">
        <v>3011</v>
      </c>
      <c r="C1745" s="50" t="s">
        <v>2946</v>
      </c>
      <c r="D1745" s="50"/>
      <c r="E1745" s="51">
        <v>36418700</v>
      </c>
      <c r="F1745" s="52">
        <f t="shared" si="108"/>
        <v>2913496</v>
      </c>
      <c r="G1745" s="53">
        <f t="shared" si="107"/>
        <v>39332196</v>
      </c>
      <c r="H1745" s="54">
        <v>39332196</v>
      </c>
      <c r="I1745" s="55">
        <f t="shared" si="109"/>
        <v>0</v>
      </c>
      <c r="J1745" s="56">
        <v>46196</v>
      </c>
      <c r="K1745" s="57" t="s">
        <v>3387</v>
      </c>
    </row>
    <row r="1746" spans="1:11" ht="15.75" hidden="1" customHeight="1" x14ac:dyDescent="0.35">
      <c r="A1746" s="47" t="s">
        <v>2737</v>
      </c>
      <c r="B1746" s="48" t="s">
        <v>3011</v>
      </c>
      <c r="C1746" s="49" t="s">
        <v>2947</v>
      </c>
      <c r="D1746" s="50"/>
      <c r="E1746" s="51">
        <v>37708700</v>
      </c>
      <c r="F1746" s="52">
        <f t="shared" si="108"/>
        <v>3016696</v>
      </c>
      <c r="G1746" s="53">
        <f t="shared" si="107"/>
        <v>40725396</v>
      </c>
      <c r="H1746" s="54">
        <v>40725396</v>
      </c>
      <c r="I1746" s="55">
        <f t="shared" si="109"/>
        <v>0</v>
      </c>
      <c r="J1746" s="56">
        <v>46076</v>
      </c>
      <c r="K1746" s="57" t="s">
        <v>3387</v>
      </c>
    </row>
    <row r="1747" spans="1:11" ht="15.75" hidden="1" customHeight="1" x14ac:dyDescent="0.35">
      <c r="A1747" s="47" t="s">
        <v>176</v>
      </c>
      <c r="B1747" s="48" t="s">
        <v>3011</v>
      </c>
      <c r="C1747" s="50" t="s">
        <v>2948</v>
      </c>
      <c r="D1747" s="50"/>
      <c r="E1747" s="51">
        <v>25259500</v>
      </c>
      <c r="F1747" s="52">
        <f t="shared" si="108"/>
        <v>2020760</v>
      </c>
      <c r="G1747" s="53">
        <f t="shared" si="107"/>
        <v>27280260</v>
      </c>
      <c r="H1747" s="54">
        <v>27280260</v>
      </c>
      <c r="I1747" s="55">
        <f t="shared" si="109"/>
        <v>0</v>
      </c>
      <c r="J1747" s="56">
        <v>46042</v>
      </c>
      <c r="K1747" s="57" t="s">
        <v>3387</v>
      </c>
    </row>
    <row r="1748" spans="1:11" ht="15.75" hidden="1" customHeight="1" x14ac:dyDescent="0.35">
      <c r="A1748" s="47" t="s">
        <v>308</v>
      </c>
      <c r="B1748" s="48" t="s">
        <v>3011</v>
      </c>
      <c r="C1748" s="49" t="s">
        <v>2949</v>
      </c>
      <c r="D1748" s="50"/>
      <c r="E1748" s="51">
        <v>27859500</v>
      </c>
      <c r="F1748" s="52">
        <f t="shared" si="108"/>
        <v>2228760</v>
      </c>
      <c r="G1748" s="53">
        <f t="shared" si="107"/>
        <v>30088260</v>
      </c>
      <c r="H1748" s="54">
        <v>30088260</v>
      </c>
      <c r="I1748" s="55">
        <f t="shared" si="109"/>
        <v>0</v>
      </c>
      <c r="J1748" s="56">
        <v>46076</v>
      </c>
      <c r="K1748" s="57" t="s">
        <v>3387</v>
      </c>
    </row>
    <row r="1749" spans="1:11" ht="15.75" hidden="1" customHeight="1" x14ac:dyDescent="0.35">
      <c r="A1749" s="47" t="s">
        <v>2739</v>
      </c>
      <c r="B1749" s="48" t="s">
        <v>3011</v>
      </c>
      <c r="C1749" s="49" t="s">
        <v>2950</v>
      </c>
      <c r="D1749" s="50"/>
      <c r="E1749" s="51">
        <v>29952700</v>
      </c>
      <c r="F1749" s="52">
        <f t="shared" si="108"/>
        <v>2396216</v>
      </c>
      <c r="G1749" s="53">
        <f t="shared" si="107"/>
        <v>32348916</v>
      </c>
      <c r="H1749" s="54">
        <v>32348916</v>
      </c>
      <c r="I1749" s="55">
        <f t="shared" si="109"/>
        <v>0</v>
      </c>
      <c r="J1749" s="56">
        <v>46076</v>
      </c>
      <c r="K1749" s="57" t="s">
        <v>3387</v>
      </c>
    </row>
    <row r="1750" spans="1:11" ht="15.75" hidden="1" customHeight="1" x14ac:dyDescent="0.35">
      <c r="A1750" s="47" t="s">
        <v>2736</v>
      </c>
      <c r="B1750" s="48" t="s">
        <v>3011</v>
      </c>
      <c r="C1750" s="49" t="s">
        <v>2951</v>
      </c>
      <c r="D1750" s="50"/>
      <c r="E1750" s="51">
        <v>37708700</v>
      </c>
      <c r="F1750" s="52">
        <f t="shared" si="108"/>
        <v>3016696</v>
      </c>
      <c r="G1750" s="53">
        <f t="shared" si="107"/>
        <v>40725396</v>
      </c>
      <c r="H1750" s="54">
        <v>40725396</v>
      </c>
      <c r="I1750" s="55">
        <f t="shared" si="109"/>
        <v>0</v>
      </c>
      <c r="J1750" s="56">
        <v>46042</v>
      </c>
      <c r="K1750" s="57" t="s">
        <v>3387</v>
      </c>
    </row>
    <row r="1751" spans="1:11" ht="15.75" hidden="1" customHeight="1" x14ac:dyDescent="0.35">
      <c r="A1751" s="47" t="s">
        <v>2836</v>
      </c>
      <c r="B1751" s="48" t="s">
        <v>3011</v>
      </c>
      <c r="C1751" s="50" t="s">
        <v>2952</v>
      </c>
      <c r="D1751" s="50"/>
      <c r="E1751" s="51">
        <v>37708700</v>
      </c>
      <c r="F1751" s="52">
        <f t="shared" si="108"/>
        <v>3016696</v>
      </c>
      <c r="G1751" s="53">
        <f t="shared" si="107"/>
        <v>40725396</v>
      </c>
      <c r="H1751" s="54">
        <v>40725396</v>
      </c>
      <c r="I1751" s="55">
        <f t="shared" si="109"/>
        <v>0</v>
      </c>
      <c r="J1751" s="56">
        <v>46042</v>
      </c>
      <c r="K1751" s="57" t="s">
        <v>3387</v>
      </c>
    </row>
    <row r="1752" spans="1:11" ht="15.75" hidden="1" customHeight="1" x14ac:dyDescent="0.35">
      <c r="A1752" s="47" t="s">
        <v>2704</v>
      </c>
      <c r="B1752" s="48" t="s">
        <v>3011</v>
      </c>
      <c r="C1752" s="49" t="s">
        <v>2953</v>
      </c>
      <c r="D1752" s="50"/>
      <c r="E1752" s="51">
        <v>37708700</v>
      </c>
      <c r="F1752" s="52">
        <f t="shared" si="108"/>
        <v>3016696</v>
      </c>
      <c r="G1752" s="53">
        <f t="shared" si="107"/>
        <v>40725396</v>
      </c>
      <c r="H1752" s="54">
        <v>40725396</v>
      </c>
      <c r="I1752" s="55">
        <f t="shared" si="109"/>
        <v>0</v>
      </c>
      <c r="J1752" s="56">
        <v>46042</v>
      </c>
      <c r="K1752" s="57" t="s">
        <v>3387</v>
      </c>
    </row>
    <row r="1753" spans="1:11" ht="15.75" hidden="1" customHeight="1" x14ac:dyDescent="0.35">
      <c r="A1753" s="47" t="s">
        <v>56</v>
      </c>
      <c r="B1753" s="48" t="s">
        <v>3011</v>
      </c>
      <c r="C1753" s="49" t="s">
        <v>2954</v>
      </c>
      <c r="D1753" s="50"/>
      <c r="E1753" s="51">
        <v>37708700</v>
      </c>
      <c r="F1753" s="52">
        <f t="shared" si="108"/>
        <v>3016696</v>
      </c>
      <c r="G1753" s="53">
        <f t="shared" si="107"/>
        <v>40725396</v>
      </c>
      <c r="H1753" s="54">
        <v>40725396</v>
      </c>
      <c r="I1753" s="55">
        <f t="shared" si="109"/>
        <v>0</v>
      </c>
      <c r="J1753" s="56">
        <v>46042</v>
      </c>
      <c r="K1753" s="57" t="s">
        <v>3387</v>
      </c>
    </row>
    <row r="1754" spans="1:11" ht="15.75" hidden="1" customHeight="1" x14ac:dyDescent="0.35">
      <c r="A1754" s="47" t="s">
        <v>2710</v>
      </c>
      <c r="B1754" s="48" t="s">
        <v>3011</v>
      </c>
      <c r="C1754" s="50" t="s">
        <v>2955</v>
      </c>
      <c r="D1754" s="50"/>
      <c r="E1754" s="51">
        <v>55609900</v>
      </c>
      <c r="F1754" s="52">
        <f t="shared" si="108"/>
        <v>4448792</v>
      </c>
      <c r="G1754" s="53">
        <f t="shared" si="107"/>
        <v>60058692</v>
      </c>
      <c r="H1754" s="54">
        <v>60058692</v>
      </c>
      <c r="I1754" s="55">
        <f t="shared" si="109"/>
        <v>0</v>
      </c>
      <c r="J1754" s="56">
        <v>46042</v>
      </c>
      <c r="K1754" s="57" t="s">
        <v>3387</v>
      </c>
    </row>
    <row r="1755" spans="1:11" ht="15.75" hidden="1" customHeight="1" x14ac:dyDescent="0.35">
      <c r="A1755" s="47" t="s">
        <v>3041</v>
      </c>
      <c r="B1755" s="48">
        <v>46000</v>
      </c>
      <c r="C1755" s="50" t="s">
        <v>2956</v>
      </c>
      <c r="D1755" s="49" t="s">
        <v>3057</v>
      </c>
      <c r="E1755" s="51">
        <v>36656700</v>
      </c>
      <c r="F1755" s="52">
        <f t="shared" si="108"/>
        <v>2932536</v>
      </c>
      <c r="G1755" s="53">
        <f t="shared" si="107"/>
        <v>39589236</v>
      </c>
      <c r="H1755" s="54">
        <v>39589236</v>
      </c>
      <c r="I1755" s="55">
        <f t="shared" si="109"/>
        <v>0</v>
      </c>
      <c r="J1755" s="56">
        <v>46076</v>
      </c>
      <c r="K1755" s="57" t="s">
        <v>3387</v>
      </c>
    </row>
    <row r="1756" spans="1:11" ht="15.75" hidden="1" customHeight="1" x14ac:dyDescent="0.35">
      <c r="A1756" s="47" t="s">
        <v>2691</v>
      </c>
      <c r="B1756" s="48" t="s">
        <v>3011</v>
      </c>
      <c r="C1756" s="50" t="s">
        <v>2957</v>
      </c>
      <c r="D1756" s="50"/>
      <c r="E1756" s="51">
        <v>37708700</v>
      </c>
      <c r="F1756" s="52">
        <f t="shared" si="108"/>
        <v>3016696</v>
      </c>
      <c r="G1756" s="53">
        <f t="shared" si="107"/>
        <v>40725396</v>
      </c>
      <c r="H1756" s="54">
        <v>40725396</v>
      </c>
      <c r="I1756" s="55">
        <f t="shared" si="109"/>
        <v>0</v>
      </c>
      <c r="J1756" s="56">
        <v>46196</v>
      </c>
      <c r="K1756" s="57" t="s">
        <v>3387</v>
      </c>
    </row>
    <row r="1757" spans="1:11" ht="15.75" hidden="1" customHeight="1" x14ac:dyDescent="0.35">
      <c r="A1757" s="47" t="s">
        <v>2706</v>
      </c>
      <c r="B1757" s="48" t="s">
        <v>3011</v>
      </c>
      <c r="C1757" s="49" t="s">
        <v>2958</v>
      </c>
      <c r="D1757" s="50"/>
      <c r="E1757" s="51">
        <v>37708700</v>
      </c>
      <c r="F1757" s="52">
        <f t="shared" si="108"/>
        <v>3016696</v>
      </c>
      <c r="G1757" s="53">
        <f t="shared" si="107"/>
        <v>40725396</v>
      </c>
      <c r="H1757" s="54">
        <v>40725396</v>
      </c>
      <c r="I1757" s="55">
        <f t="shared" si="109"/>
        <v>0</v>
      </c>
      <c r="J1757" s="56">
        <v>46042</v>
      </c>
      <c r="K1757" s="57" t="s">
        <v>3387</v>
      </c>
    </row>
    <row r="1758" spans="1:11" ht="15.75" hidden="1" customHeight="1" x14ac:dyDescent="0.35">
      <c r="A1758" s="47" t="s">
        <v>3042</v>
      </c>
      <c r="B1758" s="48" t="s">
        <v>3011</v>
      </c>
      <c r="C1758" s="49" t="s">
        <v>2959</v>
      </c>
      <c r="D1758" s="50"/>
      <c r="E1758" s="51">
        <v>46888700</v>
      </c>
      <c r="F1758" s="52">
        <f t="shared" si="108"/>
        <v>3751096</v>
      </c>
      <c r="G1758" s="53">
        <f t="shared" si="107"/>
        <v>50639796</v>
      </c>
      <c r="H1758" s="54">
        <v>50639796</v>
      </c>
      <c r="I1758" s="55">
        <f t="shared" si="109"/>
        <v>0</v>
      </c>
      <c r="J1758" s="56">
        <v>46042</v>
      </c>
      <c r="K1758" s="57" t="s">
        <v>3387</v>
      </c>
    </row>
    <row r="1759" spans="1:11" ht="15.75" hidden="1" customHeight="1" x14ac:dyDescent="0.35">
      <c r="A1759" s="47" t="s">
        <v>3043</v>
      </c>
      <c r="B1759" s="48" t="s">
        <v>3011</v>
      </c>
      <c r="C1759" s="49" t="s">
        <v>2960</v>
      </c>
      <c r="D1759" s="50"/>
      <c r="E1759" s="51">
        <v>37708700</v>
      </c>
      <c r="F1759" s="52">
        <f t="shared" si="108"/>
        <v>3016696</v>
      </c>
      <c r="G1759" s="53">
        <f t="shared" si="107"/>
        <v>40725396</v>
      </c>
      <c r="H1759" s="54">
        <v>40725396</v>
      </c>
      <c r="I1759" s="55">
        <f t="shared" si="109"/>
        <v>0</v>
      </c>
      <c r="J1759" s="56">
        <v>46076</v>
      </c>
      <c r="K1759" s="57" t="s">
        <v>3387</v>
      </c>
    </row>
    <row r="1760" spans="1:11" ht="15.75" hidden="1" customHeight="1" x14ac:dyDescent="0.35">
      <c r="A1760" s="47" t="s">
        <v>3044</v>
      </c>
      <c r="B1760" s="48" t="s">
        <v>3011</v>
      </c>
      <c r="C1760" s="50" t="s">
        <v>2961</v>
      </c>
      <c r="D1760" s="50"/>
      <c r="E1760" s="51">
        <v>41088700</v>
      </c>
      <c r="F1760" s="52">
        <f t="shared" si="108"/>
        <v>3287096</v>
      </c>
      <c r="G1760" s="53">
        <f t="shared" si="107"/>
        <v>44375796</v>
      </c>
      <c r="H1760" s="54">
        <v>44375796</v>
      </c>
      <c r="I1760" s="55">
        <f t="shared" si="109"/>
        <v>0</v>
      </c>
      <c r="J1760" s="56">
        <v>46135</v>
      </c>
      <c r="K1760" s="57" t="s">
        <v>3387</v>
      </c>
    </row>
    <row r="1761" spans="1:11" ht="15.75" hidden="1" customHeight="1" x14ac:dyDescent="0.35">
      <c r="A1761" s="47" t="s">
        <v>2718</v>
      </c>
      <c r="B1761" s="48" t="s">
        <v>3011</v>
      </c>
      <c r="C1761" s="49" t="s">
        <v>2962</v>
      </c>
      <c r="D1761" s="50"/>
      <c r="E1761" s="51">
        <v>25122700</v>
      </c>
      <c r="F1761" s="52">
        <f t="shared" si="108"/>
        <v>2009816</v>
      </c>
      <c r="G1761" s="53">
        <f t="shared" si="107"/>
        <v>27132516</v>
      </c>
      <c r="H1761" s="54">
        <v>27132516</v>
      </c>
      <c r="I1761" s="55">
        <f t="shared" si="109"/>
        <v>0</v>
      </c>
      <c r="J1761" s="56">
        <v>46042</v>
      </c>
      <c r="K1761" s="57" t="s">
        <v>3387</v>
      </c>
    </row>
    <row r="1762" spans="1:11" ht="15.75" hidden="1" customHeight="1" x14ac:dyDescent="0.35">
      <c r="A1762" s="47" t="s">
        <v>2727</v>
      </c>
      <c r="B1762" s="48" t="s">
        <v>3011</v>
      </c>
      <c r="C1762" s="50" t="s">
        <v>2963</v>
      </c>
      <c r="D1762" s="50"/>
      <c r="E1762" s="51">
        <v>252411100</v>
      </c>
      <c r="F1762" s="52">
        <f t="shared" si="108"/>
        <v>20192888</v>
      </c>
      <c r="G1762" s="53">
        <f t="shared" si="107"/>
        <v>272603988</v>
      </c>
      <c r="H1762" s="54">
        <v>272603988</v>
      </c>
      <c r="I1762" s="55">
        <f t="shared" si="109"/>
        <v>0</v>
      </c>
      <c r="J1762" s="56">
        <v>46135</v>
      </c>
      <c r="K1762" s="57" t="s">
        <v>3387</v>
      </c>
    </row>
    <row r="1763" spans="1:11" ht="15.75" hidden="1" customHeight="1" x14ac:dyDescent="0.35">
      <c r="A1763" s="47" t="s">
        <v>2695</v>
      </c>
      <c r="B1763" s="48" t="s">
        <v>3011</v>
      </c>
      <c r="C1763" s="50" t="s">
        <v>2964</v>
      </c>
      <c r="D1763" s="50"/>
      <c r="E1763" s="51">
        <v>4670000</v>
      </c>
      <c r="F1763" s="52">
        <f t="shared" si="108"/>
        <v>373600</v>
      </c>
      <c r="G1763" s="53">
        <f t="shared" si="107"/>
        <v>5043600</v>
      </c>
      <c r="H1763" s="54">
        <v>5043600</v>
      </c>
      <c r="I1763" s="55">
        <f t="shared" si="109"/>
        <v>0</v>
      </c>
      <c r="J1763" s="56">
        <v>46042</v>
      </c>
      <c r="K1763" s="57" t="s">
        <v>3387</v>
      </c>
    </row>
    <row r="1764" spans="1:11" ht="15.75" hidden="1" customHeight="1" x14ac:dyDescent="0.35">
      <c r="A1764" s="47" t="s">
        <v>55</v>
      </c>
      <c r="B1764" s="48" t="s">
        <v>3011</v>
      </c>
      <c r="C1764" s="50" t="s">
        <v>2965</v>
      </c>
      <c r="D1764" s="50"/>
      <c r="E1764" s="51">
        <v>37708700</v>
      </c>
      <c r="F1764" s="52">
        <f t="shared" si="108"/>
        <v>3016696</v>
      </c>
      <c r="G1764" s="53">
        <f t="shared" si="107"/>
        <v>40725396</v>
      </c>
      <c r="H1764" s="54">
        <v>40725396</v>
      </c>
      <c r="I1764" s="55">
        <f t="shared" si="109"/>
        <v>0</v>
      </c>
      <c r="J1764" s="56">
        <v>46042</v>
      </c>
      <c r="K1764" s="57" t="s">
        <v>3387</v>
      </c>
    </row>
    <row r="1765" spans="1:11" ht="15.75" hidden="1" customHeight="1" x14ac:dyDescent="0.35">
      <c r="A1765" s="47" t="s">
        <v>142</v>
      </c>
      <c r="B1765" s="48" t="s">
        <v>3011</v>
      </c>
      <c r="C1765" s="50" t="s">
        <v>2966</v>
      </c>
      <c r="D1765" s="50"/>
      <c r="E1765" s="51">
        <v>37708700</v>
      </c>
      <c r="F1765" s="52">
        <f t="shared" si="108"/>
        <v>3016696</v>
      </c>
      <c r="G1765" s="53">
        <f t="shared" si="107"/>
        <v>40725396</v>
      </c>
      <c r="H1765" s="54">
        <v>40725396</v>
      </c>
      <c r="I1765" s="55">
        <f t="shared" si="109"/>
        <v>0</v>
      </c>
      <c r="J1765" s="56">
        <v>46042</v>
      </c>
      <c r="K1765" s="57" t="s">
        <v>3387</v>
      </c>
    </row>
    <row r="1766" spans="1:11" ht="15.75" hidden="1" customHeight="1" x14ac:dyDescent="0.35">
      <c r="A1766" s="47" t="s">
        <v>3045</v>
      </c>
      <c r="B1766" s="48" t="s">
        <v>3011</v>
      </c>
      <c r="C1766" s="50" t="s">
        <v>2967</v>
      </c>
      <c r="D1766" s="50"/>
      <c r="E1766" s="51">
        <v>21092700</v>
      </c>
      <c r="F1766" s="52">
        <f t="shared" si="108"/>
        <v>1687416</v>
      </c>
      <c r="G1766" s="53">
        <f t="shared" si="107"/>
        <v>22780116</v>
      </c>
      <c r="H1766" s="54">
        <v>22780116</v>
      </c>
      <c r="I1766" s="55">
        <f t="shared" si="109"/>
        <v>0</v>
      </c>
      <c r="J1766" s="56">
        <v>46076</v>
      </c>
      <c r="K1766" s="57" t="s">
        <v>3387</v>
      </c>
    </row>
    <row r="1767" spans="1:11" ht="15.75" hidden="1" customHeight="1" x14ac:dyDescent="0.35">
      <c r="A1767" s="47" t="s">
        <v>2748</v>
      </c>
      <c r="B1767" s="48" t="s">
        <v>3011</v>
      </c>
      <c r="C1767" s="49" t="s">
        <v>2968</v>
      </c>
      <c r="D1767" s="50"/>
      <c r="E1767" s="51">
        <v>31056700</v>
      </c>
      <c r="F1767" s="52">
        <f t="shared" si="108"/>
        <v>2484536</v>
      </c>
      <c r="G1767" s="53">
        <f t="shared" si="107"/>
        <v>33541236</v>
      </c>
      <c r="H1767" s="54">
        <v>33541236</v>
      </c>
      <c r="I1767" s="55">
        <f t="shared" si="109"/>
        <v>0</v>
      </c>
      <c r="J1767" s="56">
        <v>46076</v>
      </c>
      <c r="K1767" s="57" t="s">
        <v>3387</v>
      </c>
    </row>
    <row r="1768" spans="1:11" ht="15.75" hidden="1" customHeight="1" x14ac:dyDescent="0.35">
      <c r="A1768" s="47" t="s">
        <v>3046</v>
      </c>
      <c r="B1768" s="48" t="s">
        <v>3011</v>
      </c>
      <c r="C1768" s="49" t="s">
        <v>2969</v>
      </c>
      <c r="D1768" s="50"/>
      <c r="E1768" s="51">
        <v>35608700</v>
      </c>
      <c r="F1768" s="52">
        <f t="shared" si="108"/>
        <v>2848696</v>
      </c>
      <c r="G1768" s="53">
        <f t="shared" si="107"/>
        <v>38457396</v>
      </c>
      <c r="H1768" s="54">
        <v>38457396</v>
      </c>
      <c r="I1768" s="55">
        <f t="shared" si="109"/>
        <v>0</v>
      </c>
      <c r="J1768" s="56">
        <v>46076</v>
      </c>
      <c r="K1768" s="57" t="s">
        <v>3387</v>
      </c>
    </row>
    <row r="1769" spans="1:11" ht="15.75" hidden="1" customHeight="1" x14ac:dyDescent="0.35">
      <c r="A1769" s="47" t="s">
        <v>2708</v>
      </c>
      <c r="B1769" s="48" t="s">
        <v>3011</v>
      </c>
      <c r="C1769" s="49" t="s">
        <v>2970</v>
      </c>
      <c r="D1769" s="50"/>
      <c r="E1769" s="51">
        <v>23981500</v>
      </c>
      <c r="F1769" s="52">
        <f t="shared" si="108"/>
        <v>1918520</v>
      </c>
      <c r="G1769" s="53">
        <f t="shared" si="107"/>
        <v>25900020</v>
      </c>
      <c r="H1769" s="54">
        <v>25900020</v>
      </c>
      <c r="I1769" s="55">
        <f t="shared" si="109"/>
        <v>0</v>
      </c>
      <c r="J1769" s="56">
        <v>46076</v>
      </c>
      <c r="K1769" s="57" t="s">
        <v>3387</v>
      </c>
    </row>
    <row r="1770" spans="1:11" ht="15.75" hidden="1" customHeight="1" x14ac:dyDescent="0.35">
      <c r="A1770" s="47" t="s">
        <v>2746</v>
      </c>
      <c r="B1770" s="48" t="s">
        <v>3012</v>
      </c>
      <c r="C1770" s="49" t="s">
        <v>2971</v>
      </c>
      <c r="D1770" s="50"/>
      <c r="E1770" s="51">
        <v>37708700</v>
      </c>
      <c r="F1770" s="52">
        <f t="shared" si="108"/>
        <v>3016696</v>
      </c>
      <c r="G1770" s="53">
        <f t="shared" si="107"/>
        <v>40725396</v>
      </c>
      <c r="H1770" s="54">
        <v>40725396</v>
      </c>
      <c r="I1770" s="55">
        <f t="shared" si="109"/>
        <v>0</v>
      </c>
      <c r="J1770" s="56">
        <v>46076</v>
      </c>
      <c r="K1770" s="57" t="s">
        <v>3387</v>
      </c>
    </row>
    <row r="1771" spans="1:11" ht="15.75" hidden="1" customHeight="1" x14ac:dyDescent="0.35">
      <c r="A1771" s="47" t="s">
        <v>2685</v>
      </c>
      <c r="B1771" s="48" t="s">
        <v>3012</v>
      </c>
      <c r="C1771" s="49" t="s">
        <v>2972</v>
      </c>
      <c r="D1771" s="50"/>
      <c r="E1771" s="51">
        <v>56944700</v>
      </c>
      <c r="F1771" s="52">
        <f t="shared" si="108"/>
        <v>4555576</v>
      </c>
      <c r="G1771" s="53">
        <f t="shared" si="107"/>
        <v>61500276</v>
      </c>
      <c r="H1771" s="54">
        <v>61500276</v>
      </c>
      <c r="I1771" s="55">
        <f t="shared" si="109"/>
        <v>0</v>
      </c>
      <c r="J1771" s="56">
        <v>46042</v>
      </c>
      <c r="K1771" s="57" t="s">
        <v>3387</v>
      </c>
    </row>
    <row r="1772" spans="1:11" ht="15.75" hidden="1" customHeight="1" x14ac:dyDescent="0.35">
      <c r="A1772" s="47" t="s">
        <v>3047</v>
      </c>
      <c r="B1772" s="48" t="s">
        <v>3012</v>
      </c>
      <c r="C1772" s="49" t="s">
        <v>2973</v>
      </c>
      <c r="D1772" s="50"/>
      <c r="E1772" s="51">
        <v>37708700</v>
      </c>
      <c r="F1772" s="52">
        <f t="shared" si="108"/>
        <v>3016696</v>
      </c>
      <c r="G1772" s="53">
        <f t="shared" si="107"/>
        <v>40725396</v>
      </c>
      <c r="H1772" s="54">
        <v>40725396</v>
      </c>
      <c r="I1772" s="55">
        <f t="shared" si="109"/>
        <v>0</v>
      </c>
      <c r="J1772" s="56">
        <v>46210</v>
      </c>
      <c r="K1772" s="57" t="s">
        <v>3387</v>
      </c>
    </row>
    <row r="1773" spans="1:11" ht="15.75" hidden="1" customHeight="1" x14ac:dyDescent="0.35">
      <c r="A1773" s="47" t="s">
        <v>2729</v>
      </c>
      <c r="B1773" s="48" t="s">
        <v>3012</v>
      </c>
      <c r="C1773" s="49" t="s">
        <v>2974</v>
      </c>
      <c r="D1773" s="50"/>
      <c r="E1773" s="51">
        <v>37708700</v>
      </c>
      <c r="F1773" s="52">
        <f t="shared" si="108"/>
        <v>3016696</v>
      </c>
      <c r="G1773" s="53">
        <f t="shared" si="107"/>
        <v>40725396</v>
      </c>
      <c r="H1773" s="54">
        <v>40725396</v>
      </c>
      <c r="I1773" s="55">
        <f t="shared" si="109"/>
        <v>0</v>
      </c>
      <c r="J1773" s="56">
        <v>46042</v>
      </c>
      <c r="K1773" s="57" t="s">
        <v>3387</v>
      </c>
    </row>
    <row r="1774" spans="1:11" ht="15.75" hidden="1" customHeight="1" x14ac:dyDescent="0.35">
      <c r="A1774" s="47" t="s">
        <v>1586</v>
      </c>
      <c r="B1774" s="48" t="s">
        <v>3012</v>
      </c>
      <c r="C1774" s="49" t="s">
        <v>2975</v>
      </c>
      <c r="D1774" s="50"/>
      <c r="E1774" s="51">
        <v>37708700</v>
      </c>
      <c r="F1774" s="52">
        <f t="shared" si="108"/>
        <v>3016696</v>
      </c>
      <c r="G1774" s="53">
        <f t="shared" si="107"/>
        <v>40725396</v>
      </c>
      <c r="H1774" s="54">
        <v>40725396</v>
      </c>
      <c r="I1774" s="55">
        <f t="shared" si="109"/>
        <v>0</v>
      </c>
      <c r="J1774" s="56">
        <v>46042</v>
      </c>
      <c r="K1774" s="57" t="s">
        <v>3387</v>
      </c>
    </row>
    <row r="1775" spans="1:11" ht="15.75" hidden="1" customHeight="1" x14ac:dyDescent="0.35">
      <c r="A1775" s="47" t="s">
        <v>2728</v>
      </c>
      <c r="B1775" s="48" t="s">
        <v>3012</v>
      </c>
      <c r="C1775" s="49" t="s">
        <v>2976</v>
      </c>
      <c r="D1775" s="50"/>
      <c r="E1775" s="51">
        <v>37708700</v>
      </c>
      <c r="F1775" s="52">
        <f t="shared" si="108"/>
        <v>3016696</v>
      </c>
      <c r="G1775" s="53">
        <f t="shared" si="107"/>
        <v>40725396</v>
      </c>
      <c r="H1775" s="54">
        <v>40725396</v>
      </c>
      <c r="I1775" s="55">
        <f t="shared" si="109"/>
        <v>0</v>
      </c>
      <c r="J1775" s="56">
        <v>46042</v>
      </c>
      <c r="K1775" s="57" t="s">
        <v>3387</v>
      </c>
    </row>
    <row r="1776" spans="1:11" ht="15.75" hidden="1" customHeight="1" x14ac:dyDescent="0.35">
      <c r="A1776" s="47" t="s">
        <v>3048</v>
      </c>
      <c r="B1776" s="48" t="s">
        <v>3012</v>
      </c>
      <c r="C1776" s="49" t="s">
        <v>2977</v>
      </c>
      <c r="D1776" s="50"/>
      <c r="E1776" s="51">
        <v>37708700</v>
      </c>
      <c r="F1776" s="52">
        <f t="shared" si="108"/>
        <v>3016696</v>
      </c>
      <c r="G1776" s="53">
        <f t="shared" si="107"/>
        <v>40725396</v>
      </c>
      <c r="H1776" s="54">
        <v>40725396</v>
      </c>
      <c r="I1776" s="55">
        <f t="shared" si="109"/>
        <v>0</v>
      </c>
      <c r="J1776" s="56">
        <v>46042</v>
      </c>
      <c r="K1776" s="57" t="s">
        <v>3387</v>
      </c>
    </row>
    <row r="1777" spans="1:11" ht="15.75" hidden="1" customHeight="1" x14ac:dyDescent="0.35">
      <c r="A1777" s="47" t="s">
        <v>3049</v>
      </c>
      <c r="B1777" s="48" t="s">
        <v>3012</v>
      </c>
      <c r="C1777" s="49" t="s">
        <v>2978</v>
      </c>
      <c r="D1777" s="50"/>
      <c r="E1777" s="51">
        <v>37708700</v>
      </c>
      <c r="F1777" s="52">
        <f t="shared" si="108"/>
        <v>3016696</v>
      </c>
      <c r="G1777" s="53">
        <f t="shared" si="107"/>
        <v>40725396</v>
      </c>
      <c r="H1777" s="54">
        <v>40725396</v>
      </c>
      <c r="I1777" s="55">
        <f t="shared" si="109"/>
        <v>0</v>
      </c>
      <c r="J1777" s="56">
        <v>46042</v>
      </c>
      <c r="K1777" s="57" t="s">
        <v>3387</v>
      </c>
    </row>
    <row r="1778" spans="1:11" ht="15.75" hidden="1" customHeight="1" x14ac:dyDescent="0.35">
      <c r="A1778" s="47" t="s">
        <v>2786</v>
      </c>
      <c r="B1778" s="48" t="s">
        <v>3012</v>
      </c>
      <c r="C1778" s="49" t="s">
        <v>2979</v>
      </c>
      <c r="D1778" s="50"/>
      <c r="E1778" s="51">
        <v>27273900</v>
      </c>
      <c r="F1778" s="52">
        <f t="shared" si="108"/>
        <v>2181912</v>
      </c>
      <c r="G1778" s="53">
        <f t="shared" si="107"/>
        <v>29455812</v>
      </c>
      <c r="H1778" s="54">
        <v>29455812</v>
      </c>
      <c r="I1778" s="55">
        <f t="shared" si="109"/>
        <v>0</v>
      </c>
      <c r="J1778" s="56">
        <v>46042</v>
      </c>
      <c r="K1778" s="57" t="s">
        <v>3387</v>
      </c>
    </row>
    <row r="1779" spans="1:11" ht="15.75" hidden="1" customHeight="1" x14ac:dyDescent="0.35">
      <c r="A1779" s="47" t="s">
        <v>2741</v>
      </c>
      <c r="B1779" s="48" t="s">
        <v>3012</v>
      </c>
      <c r="C1779" s="49" t="s">
        <v>2980</v>
      </c>
      <c r="D1779" s="50"/>
      <c r="E1779" s="51">
        <v>33295500</v>
      </c>
      <c r="F1779" s="52">
        <f t="shared" si="108"/>
        <v>2663640</v>
      </c>
      <c r="G1779" s="53">
        <f t="shared" si="107"/>
        <v>35959140</v>
      </c>
      <c r="H1779" s="54">
        <v>35959140</v>
      </c>
      <c r="I1779" s="55">
        <f t="shared" si="109"/>
        <v>0</v>
      </c>
      <c r="J1779" s="56">
        <v>46196</v>
      </c>
      <c r="K1779" s="57" t="s">
        <v>3387</v>
      </c>
    </row>
    <row r="1780" spans="1:11" ht="15.75" hidden="1" customHeight="1" x14ac:dyDescent="0.35">
      <c r="A1780" s="47" t="s">
        <v>2717</v>
      </c>
      <c r="B1780" s="48" t="s">
        <v>3012</v>
      </c>
      <c r="C1780" s="50" t="s">
        <v>2981</v>
      </c>
      <c r="D1780" s="50"/>
      <c r="E1780" s="51">
        <v>37708700</v>
      </c>
      <c r="F1780" s="52">
        <f t="shared" si="108"/>
        <v>3016696</v>
      </c>
      <c r="G1780" s="53">
        <f t="shared" si="107"/>
        <v>40725396</v>
      </c>
      <c r="H1780" s="54">
        <v>40725396</v>
      </c>
      <c r="I1780" s="55">
        <f t="shared" si="109"/>
        <v>0</v>
      </c>
      <c r="J1780" s="56">
        <v>46042</v>
      </c>
      <c r="K1780" s="57" t="s">
        <v>3387</v>
      </c>
    </row>
    <row r="1781" spans="1:11" ht="15.75" hidden="1" customHeight="1" x14ac:dyDescent="0.35">
      <c r="A1781" s="47" t="s">
        <v>24</v>
      </c>
      <c r="B1781" s="48" t="s">
        <v>3012</v>
      </c>
      <c r="C1781" s="49" t="s">
        <v>2982</v>
      </c>
      <c r="D1781" s="50"/>
      <c r="E1781" s="51">
        <v>41281900</v>
      </c>
      <c r="F1781" s="52">
        <f t="shared" si="108"/>
        <v>3302552</v>
      </c>
      <c r="G1781" s="53">
        <f t="shared" si="107"/>
        <v>44584452</v>
      </c>
      <c r="H1781" s="54">
        <v>44584452</v>
      </c>
      <c r="I1781" s="55">
        <f t="shared" si="109"/>
        <v>0</v>
      </c>
      <c r="J1781" s="56">
        <v>46042</v>
      </c>
      <c r="K1781" s="57" t="s">
        <v>3387</v>
      </c>
    </row>
    <row r="1782" spans="1:11" ht="15.75" hidden="1" customHeight="1" x14ac:dyDescent="0.35">
      <c r="A1782" s="47" t="s">
        <v>3050</v>
      </c>
      <c r="B1782" s="48" t="s">
        <v>3012</v>
      </c>
      <c r="C1782" s="49" t="s">
        <v>2983</v>
      </c>
      <c r="D1782" s="50"/>
      <c r="E1782" s="51">
        <v>70165100</v>
      </c>
      <c r="F1782" s="52">
        <f t="shared" si="108"/>
        <v>5613208</v>
      </c>
      <c r="G1782" s="53">
        <f t="shared" si="107"/>
        <v>75778308</v>
      </c>
      <c r="H1782" s="54">
        <v>75778308</v>
      </c>
      <c r="I1782" s="55">
        <f t="shared" si="109"/>
        <v>0</v>
      </c>
      <c r="J1782" s="56">
        <v>46105</v>
      </c>
      <c r="K1782" s="57" t="s">
        <v>3387</v>
      </c>
    </row>
    <row r="1783" spans="1:11" ht="15.75" hidden="1" customHeight="1" x14ac:dyDescent="0.35">
      <c r="A1783" s="47" t="s">
        <v>3051</v>
      </c>
      <c r="B1783" s="48" t="s">
        <v>3012</v>
      </c>
      <c r="C1783" s="49" t="s">
        <v>2984</v>
      </c>
      <c r="D1783" s="50"/>
      <c r="E1783" s="51">
        <v>29089500</v>
      </c>
      <c r="F1783" s="52">
        <f t="shared" si="108"/>
        <v>2327160</v>
      </c>
      <c r="G1783" s="53">
        <f t="shared" ref="G1783:G1842" si="110">E1783+F1783</f>
        <v>31416660</v>
      </c>
      <c r="H1783" s="54">
        <v>31416660</v>
      </c>
      <c r="I1783" s="55">
        <f t="shared" si="109"/>
        <v>0</v>
      </c>
      <c r="J1783" s="56">
        <v>46196</v>
      </c>
      <c r="K1783" s="57" t="s">
        <v>3387</v>
      </c>
    </row>
    <row r="1784" spans="1:11" ht="15.75" hidden="1" customHeight="1" x14ac:dyDescent="0.35">
      <c r="A1784" s="47" t="s">
        <v>3052</v>
      </c>
      <c r="B1784" s="48" t="s">
        <v>3012</v>
      </c>
      <c r="C1784" s="49" t="s">
        <v>2985</v>
      </c>
      <c r="D1784" s="50"/>
      <c r="E1784" s="51">
        <v>37708700</v>
      </c>
      <c r="F1784" s="52">
        <f t="shared" ref="F1784:F1843" si="111">+E1784*0.08</f>
        <v>3016696</v>
      </c>
      <c r="G1784" s="53">
        <f t="shared" si="110"/>
        <v>40725396</v>
      </c>
      <c r="H1784" s="54">
        <v>40725396</v>
      </c>
      <c r="I1784" s="55">
        <f t="shared" ref="I1784:I1843" si="112">G1784-H1784</f>
        <v>0</v>
      </c>
      <c r="J1784" s="56">
        <v>46135</v>
      </c>
      <c r="K1784" s="57" t="s">
        <v>3387</v>
      </c>
    </row>
    <row r="1785" spans="1:11" ht="15.75" hidden="1" customHeight="1" x14ac:dyDescent="0.35">
      <c r="A1785" s="47" t="s">
        <v>3053</v>
      </c>
      <c r="B1785" s="48" t="s">
        <v>3012</v>
      </c>
      <c r="C1785" s="49" t="s">
        <v>2986</v>
      </c>
      <c r="D1785" s="50"/>
      <c r="E1785" s="51">
        <v>31359500</v>
      </c>
      <c r="F1785" s="52">
        <f t="shared" si="111"/>
        <v>2508760</v>
      </c>
      <c r="G1785" s="53">
        <f t="shared" si="110"/>
        <v>33868260</v>
      </c>
      <c r="H1785" s="54">
        <v>33868260</v>
      </c>
      <c r="I1785" s="55">
        <f t="shared" si="112"/>
        <v>0</v>
      </c>
      <c r="J1785" s="56">
        <v>46076</v>
      </c>
      <c r="K1785" s="57" t="s">
        <v>3387</v>
      </c>
    </row>
    <row r="1786" spans="1:11" ht="15.75" hidden="1" customHeight="1" x14ac:dyDescent="0.35">
      <c r="A1786" s="47" t="s">
        <v>2678</v>
      </c>
      <c r="B1786" s="48" t="s">
        <v>3012</v>
      </c>
      <c r="C1786" s="49" t="s">
        <v>2987</v>
      </c>
      <c r="D1786" s="50"/>
      <c r="E1786" s="51">
        <v>43561100</v>
      </c>
      <c r="F1786" s="52">
        <f t="shared" si="111"/>
        <v>3484888</v>
      </c>
      <c r="G1786" s="53">
        <f t="shared" si="110"/>
        <v>47045988</v>
      </c>
      <c r="H1786" s="54">
        <v>47045988</v>
      </c>
      <c r="I1786" s="55">
        <f t="shared" si="112"/>
        <v>0</v>
      </c>
      <c r="J1786" s="56">
        <v>46196</v>
      </c>
      <c r="K1786" s="57" t="s">
        <v>3387</v>
      </c>
    </row>
    <row r="1787" spans="1:11" ht="15.75" hidden="1" customHeight="1" x14ac:dyDescent="0.35">
      <c r="A1787" s="47" t="s">
        <v>2687</v>
      </c>
      <c r="B1787" s="48" t="s">
        <v>3012</v>
      </c>
      <c r="C1787" s="49" t="s">
        <v>2988</v>
      </c>
      <c r="D1787" s="50"/>
      <c r="E1787" s="51">
        <v>37708700</v>
      </c>
      <c r="F1787" s="52">
        <f t="shared" si="111"/>
        <v>3016696</v>
      </c>
      <c r="G1787" s="53">
        <f t="shared" si="110"/>
        <v>40725396</v>
      </c>
      <c r="H1787" s="54">
        <v>40725396</v>
      </c>
      <c r="I1787" s="55">
        <f t="shared" si="112"/>
        <v>0</v>
      </c>
      <c r="J1787" s="56">
        <v>46076</v>
      </c>
      <c r="K1787" s="57" t="s">
        <v>3387</v>
      </c>
    </row>
    <row r="1788" spans="1:11" ht="15.75" hidden="1" customHeight="1" x14ac:dyDescent="0.35">
      <c r="A1788" s="47" t="s">
        <v>2702</v>
      </c>
      <c r="B1788" s="48" t="s">
        <v>3012</v>
      </c>
      <c r="C1788" s="49" t="s">
        <v>2989</v>
      </c>
      <c r="D1788" s="50"/>
      <c r="E1788" s="51">
        <v>810000</v>
      </c>
      <c r="F1788" s="52">
        <f t="shared" si="111"/>
        <v>64800</v>
      </c>
      <c r="G1788" s="53">
        <f t="shared" si="110"/>
        <v>874800</v>
      </c>
      <c r="H1788" s="54">
        <v>874800</v>
      </c>
      <c r="I1788" s="55">
        <f t="shared" si="112"/>
        <v>0</v>
      </c>
      <c r="J1788" s="56">
        <v>46210</v>
      </c>
      <c r="K1788" s="57" t="s">
        <v>3387</v>
      </c>
    </row>
    <row r="1789" spans="1:11" ht="15.75" hidden="1" customHeight="1" x14ac:dyDescent="0.35">
      <c r="A1789" s="47" t="s">
        <v>2687</v>
      </c>
      <c r="B1789" s="48" t="s">
        <v>3012</v>
      </c>
      <c r="C1789" s="49" t="s">
        <v>2990</v>
      </c>
      <c r="D1789" s="50"/>
      <c r="E1789" s="51">
        <v>1022500</v>
      </c>
      <c r="F1789" s="52">
        <f t="shared" si="111"/>
        <v>81800</v>
      </c>
      <c r="G1789" s="53">
        <f t="shared" si="110"/>
        <v>1104300</v>
      </c>
      <c r="H1789" s="54">
        <v>1104300</v>
      </c>
      <c r="I1789" s="55">
        <f t="shared" si="112"/>
        <v>0</v>
      </c>
      <c r="J1789" s="56">
        <v>46076</v>
      </c>
      <c r="K1789" s="57" t="s">
        <v>3387</v>
      </c>
    </row>
    <row r="1790" spans="1:11" ht="15.75" hidden="1" customHeight="1" x14ac:dyDescent="0.35">
      <c r="A1790" s="47" t="s">
        <v>2683</v>
      </c>
      <c r="B1790" s="48" t="s">
        <v>3012</v>
      </c>
      <c r="C1790" s="49" t="s">
        <v>2991</v>
      </c>
      <c r="D1790" s="50"/>
      <c r="E1790" s="51">
        <v>4090000</v>
      </c>
      <c r="F1790" s="52">
        <f t="shared" si="111"/>
        <v>327200</v>
      </c>
      <c r="G1790" s="53">
        <f t="shared" si="110"/>
        <v>4417200</v>
      </c>
      <c r="H1790" s="54">
        <v>4417200</v>
      </c>
      <c r="I1790" s="55">
        <f t="shared" si="112"/>
        <v>0</v>
      </c>
      <c r="J1790" s="56">
        <v>46105</v>
      </c>
      <c r="K1790" s="57" t="s">
        <v>3387</v>
      </c>
    </row>
    <row r="1791" spans="1:11" ht="15.75" hidden="1" customHeight="1" x14ac:dyDescent="0.35">
      <c r="A1791" s="47" t="s">
        <v>2741</v>
      </c>
      <c r="B1791" s="48" t="s">
        <v>3013</v>
      </c>
      <c r="C1791" s="49" t="s">
        <v>2992</v>
      </c>
      <c r="D1791" s="50"/>
      <c r="E1791" s="51">
        <v>502500</v>
      </c>
      <c r="F1791" s="52">
        <f t="shared" si="111"/>
        <v>40200</v>
      </c>
      <c r="G1791" s="53">
        <f t="shared" si="110"/>
        <v>542700</v>
      </c>
      <c r="H1791" s="54">
        <v>542700</v>
      </c>
      <c r="I1791" s="55">
        <f t="shared" si="112"/>
        <v>0</v>
      </c>
      <c r="J1791" s="56">
        <v>46196</v>
      </c>
      <c r="K1791" s="57" t="s">
        <v>3387</v>
      </c>
    </row>
    <row r="1792" spans="1:11" ht="15.75" hidden="1" customHeight="1" x14ac:dyDescent="0.35">
      <c r="A1792" s="47" t="s">
        <v>2738</v>
      </c>
      <c r="B1792" s="48" t="s">
        <v>3013</v>
      </c>
      <c r="C1792" s="49" t="s">
        <v>2993</v>
      </c>
      <c r="D1792" s="50"/>
      <c r="E1792" s="51">
        <v>2500000</v>
      </c>
      <c r="F1792" s="52">
        <f t="shared" si="111"/>
        <v>200000</v>
      </c>
      <c r="G1792" s="53">
        <f t="shared" si="110"/>
        <v>2700000</v>
      </c>
      <c r="H1792" s="54">
        <v>2700000</v>
      </c>
      <c r="I1792" s="55">
        <f t="shared" si="112"/>
        <v>0</v>
      </c>
      <c r="J1792" s="56">
        <v>46076</v>
      </c>
      <c r="K1792" s="57" t="s">
        <v>3387</v>
      </c>
    </row>
    <row r="1793" spans="1:11" ht="15.75" hidden="1" customHeight="1" x14ac:dyDescent="0.35">
      <c r="A1793" s="47" t="s">
        <v>3054</v>
      </c>
      <c r="B1793" s="48" t="s">
        <v>3013</v>
      </c>
      <c r="C1793" s="49" t="s">
        <v>2994</v>
      </c>
      <c r="D1793" s="50"/>
      <c r="E1793" s="51">
        <v>108815000</v>
      </c>
      <c r="F1793" s="52">
        <f t="shared" si="111"/>
        <v>8705200</v>
      </c>
      <c r="G1793" s="53">
        <f t="shared" si="110"/>
        <v>117520200</v>
      </c>
      <c r="H1793" s="54">
        <v>117520200</v>
      </c>
      <c r="I1793" s="55">
        <f t="shared" si="112"/>
        <v>0</v>
      </c>
      <c r="J1793" s="56">
        <v>46042</v>
      </c>
      <c r="K1793" s="57"/>
    </row>
    <row r="1794" spans="1:11" ht="15.75" hidden="1" customHeight="1" x14ac:dyDescent="0.35">
      <c r="A1794" s="47" t="s">
        <v>2685</v>
      </c>
      <c r="B1794" s="48" t="s">
        <v>3013</v>
      </c>
      <c r="C1794" s="49" t="s">
        <v>2995</v>
      </c>
      <c r="D1794" s="50"/>
      <c r="E1794" s="51">
        <v>1445000</v>
      </c>
      <c r="F1794" s="52">
        <f t="shared" si="111"/>
        <v>115600</v>
      </c>
      <c r="G1794" s="53">
        <f t="shared" si="110"/>
        <v>1560600</v>
      </c>
      <c r="H1794" s="54">
        <v>1560600</v>
      </c>
      <c r="I1794" s="55">
        <f t="shared" si="112"/>
        <v>0</v>
      </c>
      <c r="J1794" s="56">
        <v>46042</v>
      </c>
      <c r="K1794" s="57" t="s">
        <v>3387</v>
      </c>
    </row>
    <row r="1795" spans="1:11" ht="15.75" hidden="1" customHeight="1" x14ac:dyDescent="0.35">
      <c r="A1795" s="47" t="s">
        <v>55</v>
      </c>
      <c r="B1795" s="48" t="s">
        <v>3013</v>
      </c>
      <c r="C1795" s="49" t="s">
        <v>2996</v>
      </c>
      <c r="D1795" s="50"/>
      <c r="E1795" s="51">
        <v>1040000</v>
      </c>
      <c r="F1795" s="52">
        <f t="shared" si="111"/>
        <v>83200</v>
      </c>
      <c r="G1795" s="53">
        <f t="shared" si="110"/>
        <v>1123200</v>
      </c>
      <c r="H1795" s="54">
        <v>1123200</v>
      </c>
      <c r="I1795" s="55">
        <f t="shared" si="112"/>
        <v>0</v>
      </c>
      <c r="J1795" s="56">
        <v>46042</v>
      </c>
      <c r="K1795" s="57" t="s">
        <v>3387</v>
      </c>
    </row>
    <row r="1796" spans="1:11" ht="15.75" hidden="1" customHeight="1" x14ac:dyDescent="0.35">
      <c r="A1796" s="47" t="s">
        <v>770</v>
      </c>
      <c r="B1796" s="48">
        <v>46008</v>
      </c>
      <c r="C1796" s="50" t="s">
        <v>2997</v>
      </c>
      <c r="D1796" s="49" t="s">
        <v>3089</v>
      </c>
      <c r="E1796" s="51">
        <v>2045000</v>
      </c>
      <c r="F1796" s="52">
        <f t="shared" si="111"/>
        <v>163600</v>
      </c>
      <c r="G1796" s="53">
        <f t="shared" si="110"/>
        <v>2208600</v>
      </c>
      <c r="H1796" s="54">
        <v>2208600</v>
      </c>
      <c r="I1796" s="55">
        <f t="shared" si="112"/>
        <v>0</v>
      </c>
      <c r="J1796" s="56">
        <v>46042</v>
      </c>
      <c r="K1796" s="57" t="s">
        <v>3387</v>
      </c>
    </row>
    <row r="1797" spans="1:11" ht="15.75" hidden="1" customHeight="1" x14ac:dyDescent="0.35">
      <c r="A1797" s="47" t="s">
        <v>2715</v>
      </c>
      <c r="B1797" s="48" t="s">
        <v>3013</v>
      </c>
      <c r="C1797" s="49" t="s">
        <v>2998</v>
      </c>
      <c r="D1797" s="50"/>
      <c r="E1797" s="51">
        <v>1005000</v>
      </c>
      <c r="F1797" s="52">
        <f t="shared" si="111"/>
        <v>80400</v>
      </c>
      <c r="G1797" s="53">
        <f t="shared" si="110"/>
        <v>1085400</v>
      </c>
      <c r="H1797" s="54">
        <v>1085400</v>
      </c>
      <c r="I1797" s="55">
        <f t="shared" si="112"/>
        <v>0</v>
      </c>
      <c r="J1797" s="56">
        <v>46210</v>
      </c>
      <c r="K1797" s="57" t="s">
        <v>3387</v>
      </c>
    </row>
    <row r="1798" spans="1:11" ht="15.75" hidden="1" customHeight="1" x14ac:dyDescent="0.35">
      <c r="A1798" s="47" t="s">
        <v>2711</v>
      </c>
      <c r="B1798" s="48" t="s">
        <v>3013</v>
      </c>
      <c r="C1798" s="49" t="s">
        <v>2999</v>
      </c>
      <c r="D1798" s="50"/>
      <c r="E1798" s="51">
        <v>1410000</v>
      </c>
      <c r="F1798" s="52">
        <f t="shared" si="111"/>
        <v>112800</v>
      </c>
      <c r="G1798" s="53">
        <f t="shared" si="110"/>
        <v>1522800</v>
      </c>
      <c r="H1798" s="54">
        <v>1522800</v>
      </c>
      <c r="I1798" s="55">
        <f t="shared" si="112"/>
        <v>0</v>
      </c>
      <c r="J1798" s="56">
        <v>46042</v>
      </c>
      <c r="K1798" s="57" t="s">
        <v>3387</v>
      </c>
    </row>
    <row r="1799" spans="1:11" ht="15.75" hidden="1" customHeight="1" x14ac:dyDescent="0.35">
      <c r="A1799" s="47" t="s">
        <v>120</v>
      </c>
      <c r="B1799" s="48" t="s">
        <v>3014</v>
      </c>
      <c r="C1799" s="49" t="s">
        <v>3000</v>
      </c>
      <c r="D1799" s="50"/>
      <c r="E1799" s="51">
        <v>22260000</v>
      </c>
      <c r="F1799" s="52">
        <f t="shared" si="111"/>
        <v>1780800</v>
      </c>
      <c r="G1799" s="53">
        <f t="shared" si="110"/>
        <v>24040800</v>
      </c>
      <c r="H1799" s="54">
        <v>24040800</v>
      </c>
      <c r="I1799" s="55">
        <f t="shared" si="112"/>
        <v>0</v>
      </c>
      <c r="J1799" s="56">
        <v>46105</v>
      </c>
      <c r="K1799" s="57" t="s">
        <v>3387</v>
      </c>
    </row>
    <row r="1800" spans="1:11" ht="15.75" hidden="1" customHeight="1" x14ac:dyDescent="0.35">
      <c r="A1800" s="47" t="s">
        <v>2689</v>
      </c>
      <c r="B1800" s="48" t="s">
        <v>3015</v>
      </c>
      <c r="C1800" s="49" t="s">
        <v>3001</v>
      </c>
      <c r="D1800" s="50"/>
      <c r="E1800" s="51">
        <v>2045000</v>
      </c>
      <c r="F1800" s="52">
        <f t="shared" si="111"/>
        <v>163600</v>
      </c>
      <c r="G1800" s="53">
        <f t="shared" si="110"/>
        <v>2208600</v>
      </c>
      <c r="H1800" s="54">
        <v>2208600</v>
      </c>
      <c r="I1800" s="55">
        <f t="shared" si="112"/>
        <v>0</v>
      </c>
      <c r="J1800" s="56">
        <v>46135</v>
      </c>
      <c r="K1800" s="57" t="s">
        <v>3387</v>
      </c>
    </row>
    <row r="1801" spans="1:11" ht="15.75" hidden="1" customHeight="1" x14ac:dyDescent="0.35">
      <c r="A1801" s="47" t="s">
        <v>2721</v>
      </c>
      <c r="B1801" s="48" t="s">
        <v>3015</v>
      </c>
      <c r="C1801" s="49" t="s">
        <v>3002</v>
      </c>
      <c r="D1801" s="50"/>
      <c r="E1801" s="51">
        <v>1427500</v>
      </c>
      <c r="F1801" s="52">
        <f t="shared" si="111"/>
        <v>114200</v>
      </c>
      <c r="G1801" s="53">
        <f t="shared" si="110"/>
        <v>1541700</v>
      </c>
      <c r="H1801" s="54">
        <v>1541700</v>
      </c>
      <c r="I1801" s="55">
        <f t="shared" si="112"/>
        <v>0</v>
      </c>
      <c r="J1801" s="56">
        <v>46042</v>
      </c>
      <c r="K1801" s="57" t="s">
        <v>3387</v>
      </c>
    </row>
    <row r="1802" spans="1:11" ht="15.75" hidden="1" customHeight="1" x14ac:dyDescent="0.35">
      <c r="A1802" s="47" t="s">
        <v>3055</v>
      </c>
      <c r="B1802" s="48">
        <v>46006</v>
      </c>
      <c r="C1802" s="50" t="s">
        <v>3003</v>
      </c>
      <c r="D1802" s="49" t="s">
        <v>3087</v>
      </c>
      <c r="E1802" s="51">
        <v>95821400</v>
      </c>
      <c r="F1802" s="52">
        <f t="shared" si="111"/>
        <v>7665712</v>
      </c>
      <c r="G1802" s="53">
        <f t="shared" si="110"/>
        <v>103487112</v>
      </c>
      <c r="H1802" s="54">
        <v>103487112</v>
      </c>
      <c r="I1802" s="55">
        <f t="shared" si="112"/>
        <v>0</v>
      </c>
      <c r="J1802" s="56">
        <v>46042</v>
      </c>
      <c r="K1802" s="57" t="s">
        <v>3387</v>
      </c>
    </row>
    <row r="1803" spans="1:11" ht="15.75" hidden="1" customHeight="1" x14ac:dyDescent="0.35">
      <c r="A1803" s="47" t="s">
        <v>2729</v>
      </c>
      <c r="B1803" s="48" t="s">
        <v>3061</v>
      </c>
      <c r="C1803" s="49" t="s">
        <v>3066</v>
      </c>
      <c r="D1803" s="50"/>
      <c r="E1803" s="51">
        <v>2045000</v>
      </c>
      <c r="F1803" s="52">
        <f t="shared" si="111"/>
        <v>163600</v>
      </c>
      <c r="G1803" s="53">
        <f t="shared" si="110"/>
        <v>2208600</v>
      </c>
      <c r="H1803" s="54">
        <v>2208600</v>
      </c>
      <c r="I1803" s="55">
        <f t="shared" si="112"/>
        <v>0</v>
      </c>
      <c r="J1803" s="56">
        <v>46042</v>
      </c>
      <c r="K1803" s="57" t="s">
        <v>3387</v>
      </c>
    </row>
    <row r="1804" spans="1:11" ht="15.75" hidden="1" customHeight="1" x14ac:dyDescent="0.35">
      <c r="A1804" s="47" t="s">
        <v>2678</v>
      </c>
      <c r="B1804" s="48" t="s">
        <v>3061</v>
      </c>
      <c r="C1804" s="49" t="s">
        <v>3067</v>
      </c>
      <c r="D1804" s="50"/>
      <c r="E1804" s="51">
        <v>2260000</v>
      </c>
      <c r="F1804" s="52">
        <f t="shared" si="111"/>
        <v>180800</v>
      </c>
      <c r="G1804" s="53">
        <f t="shared" si="110"/>
        <v>2440800</v>
      </c>
      <c r="H1804" s="54">
        <v>2440800</v>
      </c>
      <c r="I1804" s="55">
        <f t="shared" si="112"/>
        <v>0</v>
      </c>
      <c r="J1804" s="56">
        <v>46196</v>
      </c>
      <c r="K1804" s="57" t="s">
        <v>3387</v>
      </c>
    </row>
    <row r="1805" spans="1:11" ht="15.75" hidden="1" customHeight="1" x14ac:dyDescent="0.35">
      <c r="A1805" s="47" t="s">
        <v>2712</v>
      </c>
      <c r="B1805" s="48" t="s">
        <v>3061</v>
      </c>
      <c r="C1805" s="49" t="s">
        <v>3068</v>
      </c>
      <c r="D1805" s="50"/>
      <c r="E1805" s="51">
        <v>1005000</v>
      </c>
      <c r="F1805" s="52">
        <f t="shared" si="111"/>
        <v>80400</v>
      </c>
      <c r="G1805" s="53">
        <f t="shared" si="110"/>
        <v>1085400</v>
      </c>
      <c r="H1805" s="54">
        <v>1085400</v>
      </c>
      <c r="I1805" s="55">
        <f t="shared" si="112"/>
        <v>0</v>
      </c>
      <c r="J1805" s="56">
        <v>46042</v>
      </c>
      <c r="K1805" s="57" t="s">
        <v>3387</v>
      </c>
    </row>
    <row r="1806" spans="1:11" ht="15.75" hidden="1" customHeight="1" x14ac:dyDescent="0.35">
      <c r="A1806" s="47" t="s">
        <v>2688</v>
      </c>
      <c r="B1806" s="48" t="s">
        <v>3061</v>
      </c>
      <c r="C1806" s="49" t="s">
        <v>3069</v>
      </c>
      <c r="D1806" s="50"/>
      <c r="E1806" s="51">
        <v>810000</v>
      </c>
      <c r="F1806" s="52">
        <f t="shared" si="111"/>
        <v>64800</v>
      </c>
      <c r="G1806" s="53">
        <f t="shared" si="110"/>
        <v>874800</v>
      </c>
      <c r="H1806" s="54">
        <v>874800</v>
      </c>
      <c r="I1806" s="55">
        <f t="shared" si="112"/>
        <v>0</v>
      </c>
      <c r="J1806" s="56">
        <v>46042</v>
      </c>
      <c r="K1806" s="57" t="s">
        <v>3387</v>
      </c>
    </row>
    <row r="1807" spans="1:11" ht="15.75" hidden="1" customHeight="1" x14ac:dyDescent="0.35">
      <c r="A1807" s="47" t="s">
        <v>2745</v>
      </c>
      <c r="B1807" s="48" t="s">
        <v>3061</v>
      </c>
      <c r="C1807" s="49" t="s">
        <v>3070</v>
      </c>
      <c r="D1807" s="50"/>
      <c r="E1807" s="51">
        <v>3380000</v>
      </c>
      <c r="F1807" s="52">
        <f t="shared" si="111"/>
        <v>270400</v>
      </c>
      <c r="G1807" s="53">
        <f t="shared" si="110"/>
        <v>3650400</v>
      </c>
      <c r="H1807" s="54">
        <v>3650400</v>
      </c>
      <c r="I1807" s="55">
        <f t="shared" si="112"/>
        <v>0</v>
      </c>
      <c r="J1807" s="56">
        <v>46135</v>
      </c>
      <c r="K1807" s="57" t="s">
        <v>3387</v>
      </c>
    </row>
    <row r="1808" spans="1:11" ht="15.75" customHeight="1" x14ac:dyDescent="0.35">
      <c r="A1808" s="47" t="s">
        <v>3058</v>
      </c>
      <c r="B1808" s="48" t="s">
        <v>3061</v>
      </c>
      <c r="C1808" s="49" t="s">
        <v>3071</v>
      </c>
      <c r="D1808" s="50"/>
      <c r="E1808" s="51">
        <v>2160000</v>
      </c>
      <c r="F1808" s="52">
        <f t="shared" si="111"/>
        <v>172800</v>
      </c>
      <c r="G1808" s="53">
        <f t="shared" si="110"/>
        <v>2332800</v>
      </c>
      <c r="H1808" s="54">
        <v>2332800</v>
      </c>
      <c r="I1808" s="55">
        <f t="shared" si="112"/>
        <v>0</v>
      </c>
      <c r="J1808" s="56">
        <v>46254</v>
      </c>
      <c r="K1808" s="106" t="s">
        <v>3393</v>
      </c>
    </row>
    <row r="1809" spans="1:11" ht="15.75" hidden="1" customHeight="1" x14ac:dyDescent="0.35">
      <c r="A1809" s="47" t="s">
        <v>2728</v>
      </c>
      <c r="B1809" s="48" t="s">
        <v>3062</v>
      </c>
      <c r="C1809" s="49" t="s">
        <v>3072</v>
      </c>
      <c r="D1809" s="50"/>
      <c r="E1809" s="51">
        <v>1005000</v>
      </c>
      <c r="F1809" s="52">
        <f t="shared" si="111"/>
        <v>80400</v>
      </c>
      <c r="G1809" s="53">
        <f t="shared" si="110"/>
        <v>1085400</v>
      </c>
      <c r="H1809" s="54">
        <v>1085400</v>
      </c>
      <c r="I1809" s="55">
        <f t="shared" si="112"/>
        <v>0</v>
      </c>
      <c r="J1809" s="56">
        <v>46042</v>
      </c>
      <c r="K1809" s="57" t="s">
        <v>3387</v>
      </c>
    </row>
    <row r="1810" spans="1:11" ht="15.75" hidden="1" customHeight="1" x14ac:dyDescent="0.35">
      <c r="A1810" s="47" t="s">
        <v>2713</v>
      </c>
      <c r="B1810" s="48" t="s">
        <v>3062</v>
      </c>
      <c r="C1810" s="49" t="s">
        <v>3073</v>
      </c>
      <c r="D1810" s="50"/>
      <c r="E1810" s="51">
        <v>4090000</v>
      </c>
      <c r="F1810" s="52">
        <f t="shared" si="111"/>
        <v>327200</v>
      </c>
      <c r="G1810" s="53">
        <f t="shared" si="110"/>
        <v>4417200</v>
      </c>
      <c r="H1810" s="54">
        <v>4417200</v>
      </c>
      <c r="I1810" s="55">
        <f t="shared" si="112"/>
        <v>0</v>
      </c>
      <c r="J1810" s="56">
        <v>46076</v>
      </c>
      <c r="K1810" s="57" t="s">
        <v>3387</v>
      </c>
    </row>
    <row r="1811" spans="1:11" ht="15.75" hidden="1" customHeight="1" x14ac:dyDescent="0.35">
      <c r="A1811" s="47" t="s">
        <v>3016</v>
      </c>
      <c r="B1811" s="48" t="s">
        <v>3062</v>
      </c>
      <c r="C1811" s="49" t="s">
        <v>3074</v>
      </c>
      <c r="D1811" s="50"/>
      <c r="E1811" s="51">
        <v>1620000</v>
      </c>
      <c r="F1811" s="52">
        <f t="shared" si="111"/>
        <v>129600</v>
      </c>
      <c r="G1811" s="53">
        <f t="shared" si="110"/>
        <v>1749600</v>
      </c>
      <c r="H1811" s="54">
        <v>1749600</v>
      </c>
      <c r="I1811" s="55">
        <f t="shared" si="112"/>
        <v>0</v>
      </c>
      <c r="J1811" s="56">
        <v>46042</v>
      </c>
      <c r="K1811" s="57" t="s">
        <v>3387</v>
      </c>
    </row>
    <row r="1812" spans="1:11" ht="15.75" hidden="1" customHeight="1" x14ac:dyDescent="0.35">
      <c r="A1812" s="47" t="s">
        <v>3059</v>
      </c>
      <c r="B1812" s="48" t="s">
        <v>3063</v>
      </c>
      <c r="C1812" s="49" t="s">
        <v>3075</v>
      </c>
      <c r="D1812" s="50"/>
      <c r="E1812" s="51">
        <v>9447200</v>
      </c>
      <c r="F1812" s="52">
        <f t="shared" si="111"/>
        <v>755776</v>
      </c>
      <c r="G1812" s="53">
        <f t="shared" si="110"/>
        <v>10202976</v>
      </c>
      <c r="H1812" s="54">
        <v>10202976</v>
      </c>
      <c r="I1812" s="55">
        <f t="shared" si="112"/>
        <v>0</v>
      </c>
      <c r="J1812" s="56">
        <v>46105</v>
      </c>
      <c r="K1812" s="57" t="s">
        <v>3387</v>
      </c>
    </row>
    <row r="1813" spans="1:11" ht="15.75" hidden="1" customHeight="1" x14ac:dyDescent="0.35">
      <c r="A1813" s="47" t="s">
        <v>3060</v>
      </c>
      <c r="B1813" s="48" t="s">
        <v>3063</v>
      </c>
      <c r="C1813" s="49" t="s">
        <v>3076</v>
      </c>
      <c r="D1813" s="50"/>
      <c r="E1813" s="51">
        <v>17836000</v>
      </c>
      <c r="F1813" s="52">
        <f t="shared" si="111"/>
        <v>1426880</v>
      </c>
      <c r="G1813" s="53">
        <f t="shared" si="110"/>
        <v>19262880</v>
      </c>
      <c r="H1813" s="54">
        <v>19262880</v>
      </c>
      <c r="I1813" s="55">
        <f t="shared" si="112"/>
        <v>0</v>
      </c>
      <c r="J1813" s="56">
        <v>46135</v>
      </c>
      <c r="K1813" s="57" t="s">
        <v>3387</v>
      </c>
    </row>
    <row r="1814" spans="1:11" ht="15.75" hidden="1" customHeight="1" x14ac:dyDescent="0.35">
      <c r="A1814" s="47" t="s">
        <v>2706</v>
      </c>
      <c r="B1814" s="48" t="s">
        <v>3063</v>
      </c>
      <c r="C1814" s="49" t="s">
        <v>3077</v>
      </c>
      <c r="D1814" s="50"/>
      <c r="E1814" s="51">
        <v>2045000</v>
      </c>
      <c r="F1814" s="52">
        <f t="shared" si="111"/>
        <v>163600</v>
      </c>
      <c r="G1814" s="53">
        <f t="shared" si="110"/>
        <v>2208600</v>
      </c>
      <c r="H1814" s="54">
        <v>2208600</v>
      </c>
      <c r="I1814" s="55">
        <f t="shared" si="112"/>
        <v>0</v>
      </c>
      <c r="J1814" s="56">
        <v>46042</v>
      </c>
      <c r="K1814" s="57" t="s">
        <v>3387</v>
      </c>
    </row>
    <row r="1815" spans="1:11" ht="15.75" hidden="1" customHeight="1" x14ac:dyDescent="0.35">
      <c r="A1815" s="47" t="s">
        <v>2703</v>
      </c>
      <c r="B1815" s="48" t="s">
        <v>3063</v>
      </c>
      <c r="C1815" s="50" t="s">
        <v>3078</v>
      </c>
      <c r="D1815" s="50"/>
      <c r="E1815" s="51">
        <v>14100000</v>
      </c>
      <c r="F1815" s="52">
        <f t="shared" si="111"/>
        <v>1128000</v>
      </c>
      <c r="G1815" s="53">
        <f t="shared" si="110"/>
        <v>15228000</v>
      </c>
      <c r="H1815" s="54">
        <v>15228000</v>
      </c>
      <c r="I1815" s="55">
        <f t="shared" si="112"/>
        <v>0</v>
      </c>
      <c r="J1815" s="56">
        <v>46105</v>
      </c>
      <c r="K1815" s="57" t="s">
        <v>3387</v>
      </c>
    </row>
    <row r="1816" spans="1:11" ht="15.75" hidden="1" customHeight="1" x14ac:dyDescent="0.35">
      <c r="A1816" s="47" t="s">
        <v>56</v>
      </c>
      <c r="B1816" s="48" t="s">
        <v>3063</v>
      </c>
      <c r="C1816" s="49" t="s">
        <v>3079</v>
      </c>
      <c r="D1816" s="50"/>
      <c r="E1816" s="51">
        <v>2045000</v>
      </c>
      <c r="F1816" s="52">
        <f t="shared" si="111"/>
        <v>163600</v>
      </c>
      <c r="G1816" s="53">
        <f t="shared" si="110"/>
        <v>2208600</v>
      </c>
      <c r="H1816" s="54">
        <v>2208600</v>
      </c>
      <c r="I1816" s="55">
        <f t="shared" si="112"/>
        <v>0</v>
      </c>
      <c r="J1816" s="56">
        <v>46042</v>
      </c>
      <c r="K1816" s="57" t="s">
        <v>3387</v>
      </c>
    </row>
    <row r="1817" spans="1:11" ht="15.75" hidden="1" customHeight="1" x14ac:dyDescent="0.35">
      <c r="A1817" s="47" t="s">
        <v>3037</v>
      </c>
      <c r="B1817" s="48" t="s">
        <v>3063</v>
      </c>
      <c r="C1817" s="50" t="s">
        <v>3080</v>
      </c>
      <c r="D1817" s="50"/>
      <c r="E1817" s="51">
        <v>210113400</v>
      </c>
      <c r="F1817" s="52">
        <f t="shared" si="111"/>
        <v>16809072</v>
      </c>
      <c r="G1817" s="53">
        <f t="shared" si="110"/>
        <v>226922472</v>
      </c>
      <c r="H1817" s="54">
        <v>226922472</v>
      </c>
      <c r="I1817" s="55">
        <f t="shared" si="112"/>
        <v>0</v>
      </c>
      <c r="J1817" s="56">
        <v>46042</v>
      </c>
      <c r="K1817" s="57" t="s">
        <v>3387</v>
      </c>
    </row>
    <row r="1818" spans="1:11" ht="15.75" hidden="1" customHeight="1" x14ac:dyDescent="0.35">
      <c r="A1818" s="47" t="s">
        <v>2710</v>
      </c>
      <c r="B1818" s="48" t="s">
        <v>3064</v>
      </c>
      <c r="C1818" s="49" t="s">
        <v>3081</v>
      </c>
      <c r="D1818" s="50"/>
      <c r="E1818" s="51">
        <v>2855000</v>
      </c>
      <c r="F1818" s="52">
        <f t="shared" si="111"/>
        <v>228400</v>
      </c>
      <c r="G1818" s="53">
        <f t="shared" si="110"/>
        <v>3083400</v>
      </c>
      <c r="H1818" s="54">
        <v>3083400</v>
      </c>
      <c r="I1818" s="55">
        <f t="shared" si="112"/>
        <v>0</v>
      </c>
      <c r="J1818" s="56">
        <v>46042</v>
      </c>
      <c r="K1818" s="57" t="s">
        <v>3387</v>
      </c>
    </row>
    <row r="1819" spans="1:11" ht="15.75" hidden="1" customHeight="1" x14ac:dyDescent="0.35">
      <c r="A1819" s="47" t="s">
        <v>2698</v>
      </c>
      <c r="B1819" s="48" t="s">
        <v>3064</v>
      </c>
      <c r="C1819" s="49" t="s">
        <v>3082</v>
      </c>
      <c r="D1819" s="50"/>
      <c r="E1819" s="51">
        <v>2610000</v>
      </c>
      <c r="F1819" s="52">
        <f t="shared" si="111"/>
        <v>208800</v>
      </c>
      <c r="G1819" s="53">
        <f t="shared" si="110"/>
        <v>2818800</v>
      </c>
      <c r="H1819" s="54">
        <v>2818800</v>
      </c>
      <c r="I1819" s="55">
        <f t="shared" si="112"/>
        <v>0</v>
      </c>
      <c r="J1819" s="56">
        <v>46135</v>
      </c>
      <c r="K1819" s="57" t="s">
        <v>3387</v>
      </c>
    </row>
    <row r="1820" spans="1:11" ht="15.75" hidden="1" customHeight="1" x14ac:dyDescent="0.35">
      <c r="A1820" s="47" t="s">
        <v>2709</v>
      </c>
      <c r="B1820" s="48" t="s">
        <v>3065</v>
      </c>
      <c r="C1820" s="49" t="s">
        <v>3083</v>
      </c>
      <c r="D1820" s="50"/>
      <c r="E1820" s="51">
        <v>1022500</v>
      </c>
      <c r="F1820" s="52">
        <f t="shared" si="111"/>
        <v>81800</v>
      </c>
      <c r="G1820" s="53">
        <f t="shared" si="110"/>
        <v>1104300</v>
      </c>
      <c r="H1820" s="54">
        <v>1104300</v>
      </c>
      <c r="I1820" s="55">
        <f t="shared" si="112"/>
        <v>0</v>
      </c>
      <c r="J1820" s="56">
        <v>46105</v>
      </c>
      <c r="K1820" s="57" t="s">
        <v>3387</v>
      </c>
    </row>
    <row r="1821" spans="1:11" ht="15.75" hidden="1" customHeight="1" x14ac:dyDescent="0.35">
      <c r="A1821" s="47" t="s">
        <v>2733</v>
      </c>
      <c r="B1821" s="48" t="s">
        <v>3065</v>
      </c>
      <c r="C1821" s="49" t="s">
        <v>3084</v>
      </c>
      <c r="D1821" s="50"/>
      <c r="E1821" s="51">
        <v>141843500</v>
      </c>
      <c r="F1821" s="52">
        <f t="shared" si="111"/>
        <v>11347480</v>
      </c>
      <c r="G1821" s="53">
        <f t="shared" si="110"/>
        <v>153190980</v>
      </c>
      <c r="H1821" s="54">
        <v>153190980</v>
      </c>
      <c r="I1821" s="55">
        <f t="shared" si="112"/>
        <v>0</v>
      </c>
      <c r="J1821" s="56">
        <v>46042</v>
      </c>
      <c r="K1821" s="57" t="s">
        <v>3387</v>
      </c>
    </row>
    <row r="1822" spans="1:11" ht="15.75" hidden="1" customHeight="1" x14ac:dyDescent="0.35">
      <c r="A1822" s="47" t="s">
        <v>2688</v>
      </c>
      <c r="B1822" s="48" t="s">
        <v>3065</v>
      </c>
      <c r="C1822" s="49" t="s">
        <v>3085</v>
      </c>
      <c r="D1822" s="50"/>
      <c r="E1822" s="51">
        <v>4090000</v>
      </c>
      <c r="F1822" s="52">
        <f t="shared" si="111"/>
        <v>327200</v>
      </c>
      <c r="G1822" s="53">
        <f t="shared" si="110"/>
        <v>4417200</v>
      </c>
      <c r="H1822" s="54">
        <v>4417200</v>
      </c>
      <c r="I1822" s="55">
        <f t="shared" si="112"/>
        <v>0</v>
      </c>
      <c r="J1822" s="56">
        <v>46042</v>
      </c>
      <c r="K1822" s="57" t="s">
        <v>3387</v>
      </c>
    </row>
    <row r="1823" spans="1:11" ht="15.75" hidden="1" customHeight="1" x14ac:dyDescent="0.35">
      <c r="A1823" s="47" t="s">
        <v>2729</v>
      </c>
      <c r="B1823" s="48" t="s">
        <v>3065</v>
      </c>
      <c r="C1823" s="49" t="s">
        <v>3086</v>
      </c>
      <c r="D1823" s="50"/>
      <c r="E1823" s="51">
        <v>1022500</v>
      </c>
      <c r="F1823" s="52">
        <f t="shared" si="111"/>
        <v>81800</v>
      </c>
      <c r="G1823" s="53">
        <f t="shared" si="110"/>
        <v>1104300</v>
      </c>
      <c r="H1823" s="54">
        <v>1104300</v>
      </c>
      <c r="I1823" s="55">
        <f t="shared" si="112"/>
        <v>0</v>
      </c>
      <c r="J1823" s="56">
        <v>46042</v>
      </c>
      <c r="K1823" s="57" t="s">
        <v>3387</v>
      </c>
    </row>
    <row r="1824" spans="1:11" ht="15.75" hidden="1" customHeight="1" x14ac:dyDescent="0.35">
      <c r="A1824" s="47" t="s">
        <v>2746</v>
      </c>
      <c r="B1824" s="48" t="s">
        <v>3120</v>
      </c>
      <c r="C1824" s="49" t="s">
        <v>3090</v>
      </c>
      <c r="D1824" s="50"/>
      <c r="E1824" s="51">
        <v>5710000</v>
      </c>
      <c r="F1824" s="52">
        <f t="shared" si="111"/>
        <v>456800</v>
      </c>
      <c r="G1824" s="53">
        <f t="shared" si="110"/>
        <v>6166800</v>
      </c>
      <c r="H1824" s="54">
        <v>6166800</v>
      </c>
      <c r="I1824" s="55">
        <f t="shared" si="112"/>
        <v>0</v>
      </c>
      <c r="J1824" s="56">
        <v>46076</v>
      </c>
      <c r="K1824" s="57" t="s">
        <v>3387</v>
      </c>
    </row>
    <row r="1825" spans="1:11" ht="15.75" hidden="1" customHeight="1" x14ac:dyDescent="0.35">
      <c r="A1825" s="47" t="s">
        <v>3128</v>
      </c>
      <c r="B1825" s="48" t="s">
        <v>3121</v>
      </c>
      <c r="C1825" s="49" t="s">
        <v>3091</v>
      </c>
      <c r="D1825" s="50"/>
      <c r="E1825" s="51">
        <v>13819200</v>
      </c>
      <c r="F1825" s="52">
        <f t="shared" si="111"/>
        <v>1105536</v>
      </c>
      <c r="G1825" s="53">
        <f t="shared" si="110"/>
        <v>14924736</v>
      </c>
      <c r="H1825" s="54">
        <v>14924736</v>
      </c>
      <c r="I1825" s="55">
        <f t="shared" si="112"/>
        <v>0</v>
      </c>
      <c r="J1825" s="56">
        <v>46105</v>
      </c>
      <c r="K1825" s="57" t="s">
        <v>3387</v>
      </c>
    </row>
    <row r="1826" spans="1:11" ht="15.75" hidden="1" customHeight="1" x14ac:dyDescent="0.35">
      <c r="A1826" s="47" t="s">
        <v>2684</v>
      </c>
      <c r="B1826" s="48" t="s">
        <v>3121</v>
      </c>
      <c r="C1826" s="49" t="s">
        <v>3092</v>
      </c>
      <c r="D1826" s="50"/>
      <c r="E1826" s="51">
        <v>27840000</v>
      </c>
      <c r="F1826" s="52">
        <f t="shared" si="111"/>
        <v>2227200</v>
      </c>
      <c r="G1826" s="53">
        <f t="shared" si="110"/>
        <v>30067200</v>
      </c>
      <c r="H1826" s="54">
        <v>30067200</v>
      </c>
      <c r="I1826" s="55">
        <f t="shared" si="112"/>
        <v>0</v>
      </c>
      <c r="J1826" s="56">
        <v>46042</v>
      </c>
      <c r="K1826" s="57" t="s">
        <v>3387</v>
      </c>
    </row>
    <row r="1827" spans="1:11" ht="15.75" hidden="1" customHeight="1" x14ac:dyDescent="0.35">
      <c r="A1827" s="47" t="s">
        <v>2749</v>
      </c>
      <c r="B1827" s="48" t="s">
        <v>3121</v>
      </c>
      <c r="C1827" s="49" t="s">
        <v>3093</v>
      </c>
      <c r="D1827" s="50"/>
      <c r="E1827" s="51">
        <v>1005000</v>
      </c>
      <c r="F1827" s="52">
        <f t="shared" si="111"/>
        <v>80400</v>
      </c>
      <c r="G1827" s="53">
        <f t="shared" si="110"/>
        <v>1085400</v>
      </c>
      <c r="H1827" s="54">
        <v>1085400</v>
      </c>
      <c r="I1827" s="55">
        <f t="shared" si="112"/>
        <v>0</v>
      </c>
      <c r="J1827" s="56">
        <v>46196</v>
      </c>
      <c r="K1827" s="57" t="s">
        <v>3387</v>
      </c>
    </row>
    <row r="1828" spans="1:11" ht="15.75" hidden="1" customHeight="1" x14ac:dyDescent="0.35">
      <c r="A1828" s="47" t="s">
        <v>2702</v>
      </c>
      <c r="B1828" s="48" t="s">
        <v>3122</v>
      </c>
      <c r="C1828" s="49" t="s">
        <v>3094</v>
      </c>
      <c r="D1828" s="50"/>
      <c r="E1828" s="51">
        <v>8062000</v>
      </c>
      <c r="F1828" s="52">
        <f t="shared" si="111"/>
        <v>644960</v>
      </c>
      <c r="G1828" s="53">
        <f t="shared" si="110"/>
        <v>8706960</v>
      </c>
      <c r="H1828" s="54">
        <v>8706960</v>
      </c>
      <c r="I1828" s="55">
        <f t="shared" si="112"/>
        <v>0</v>
      </c>
      <c r="J1828" s="56">
        <v>46210</v>
      </c>
      <c r="K1828" s="57" t="s">
        <v>3387</v>
      </c>
    </row>
    <row r="1829" spans="1:11" ht="15.75" hidden="1" customHeight="1" x14ac:dyDescent="0.35">
      <c r="A1829" s="47" t="s">
        <v>2729</v>
      </c>
      <c r="B1829" s="48" t="s">
        <v>3122</v>
      </c>
      <c r="C1829" s="49" t="s">
        <v>3095</v>
      </c>
      <c r="D1829" s="50"/>
      <c r="E1829" s="51">
        <v>2045000</v>
      </c>
      <c r="F1829" s="52">
        <f t="shared" si="111"/>
        <v>163600</v>
      </c>
      <c r="G1829" s="53">
        <f t="shared" si="110"/>
        <v>2208600</v>
      </c>
      <c r="H1829" s="54">
        <v>2208600</v>
      </c>
      <c r="I1829" s="55">
        <f t="shared" si="112"/>
        <v>0</v>
      </c>
      <c r="J1829" s="56">
        <v>46042</v>
      </c>
      <c r="K1829" s="57" t="s">
        <v>3387</v>
      </c>
    </row>
    <row r="1830" spans="1:11" ht="15.75" hidden="1" customHeight="1" x14ac:dyDescent="0.35">
      <c r="A1830" s="47" t="s">
        <v>2698</v>
      </c>
      <c r="B1830" s="48" t="s">
        <v>3122</v>
      </c>
      <c r="C1830" s="50" t="s">
        <v>3096</v>
      </c>
      <c r="D1830" s="50"/>
      <c r="E1830" s="51">
        <v>31454000</v>
      </c>
      <c r="F1830" s="52">
        <f t="shared" si="111"/>
        <v>2516320</v>
      </c>
      <c r="G1830" s="53">
        <f t="shared" si="110"/>
        <v>33970320</v>
      </c>
      <c r="H1830" s="54">
        <v>33970320</v>
      </c>
      <c r="I1830" s="55">
        <f t="shared" si="112"/>
        <v>0</v>
      </c>
      <c r="J1830" s="56">
        <v>46135</v>
      </c>
      <c r="K1830" s="57" t="s">
        <v>3387</v>
      </c>
    </row>
    <row r="1831" spans="1:11" ht="15.75" hidden="1" customHeight="1" x14ac:dyDescent="0.35">
      <c r="A1831" s="47" t="s">
        <v>3042</v>
      </c>
      <c r="B1831" s="48" t="s">
        <v>3122</v>
      </c>
      <c r="C1831" s="49" t="s">
        <v>3097</v>
      </c>
      <c r="D1831" s="50"/>
      <c r="E1831" s="51">
        <v>6000000</v>
      </c>
      <c r="F1831" s="52">
        <f t="shared" si="111"/>
        <v>480000</v>
      </c>
      <c r="G1831" s="53">
        <f t="shared" si="110"/>
        <v>6480000</v>
      </c>
      <c r="H1831" s="54">
        <v>6480000</v>
      </c>
      <c r="I1831" s="55">
        <f t="shared" si="112"/>
        <v>0</v>
      </c>
      <c r="J1831" s="56">
        <v>46042</v>
      </c>
      <c r="K1831" s="57" t="s">
        <v>3387</v>
      </c>
    </row>
    <row r="1832" spans="1:11" ht="15.75" hidden="1" customHeight="1" x14ac:dyDescent="0.35">
      <c r="A1832" s="47" t="s">
        <v>2740</v>
      </c>
      <c r="B1832" s="48" t="s">
        <v>3122</v>
      </c>
      <c r="C1832" s="50" t="s">
        <v>3098</v>
      </c>
      <c r="D1832" s="50"/>
      <c r="E1832" s="51">
        <v>14572400</v>
      </c>
      <c r="F1832" s="52">
        <f t="shared" si="111"/>
        <v>1165792</v>
      </c>
      <c r="G1832" s="53">
        <f t="shared" si="110"/>
        <v>15738192</v>
      </c>
      <c r="H1832" s="54">
        <v>15738192</v>
      </c>
      <c r="I1832" s="55">
        <f t="shared" si="112"/>
        <v>0</v>
      </c>
      <c r="J1832" s="56">
        <v>46042</v>
      </c>
      <c r="K1832" s="57" t="s">
        <v>3387</v>
      </c>
    </row>
    <row r="1833" spans="1:11" ht="15.75" hidden="1" customHeight="1" x14ac:dyDescent="0.35">
      <c r="A1833" s="47" t="s">
        <v>2786</v>
      </c>
      <c r="B1833" s="48">
        <v>46024</v>
      </c>
      <c r="C1833" s="50" t="s">
        <v>3099</v>
      </c>
      <c r="D1833" s="49" t="s">
        <v>1918</v>
      </c>
      <c r="E1833" s="51">
        <v>1815000</v>
      </c>
      <c r="F1833" s="52">
        <f t="shared" si="111"/>
        <v>145200</v>
      </c>
      <c r="G1833" s="53">
        <f t="shared" si="110"/>
        <v>1960200</v>
      </c>
      <c r="H1833" s="54">
        <v>1960200</v>
      </c>
      <c r="I1833" s="55">
        <f t="shared" si="112"/>
        <v>0</v>
      </c>
      <c r="J1833" s="56">
        <v>46232</v>
      </c>
      <c r="K1833" s="57" t="s">
        <v>3391</v>
      </c>
    </row>
    <row r="1834" spans="1:11" ht="15.75" hidden="1" customHeight="1" x14ac:dyDescent="0.35">
      <c r="A1834" s="47" t="s">
        <v>2729</v>
      </c>
      <c r="B1834" s="48" t="s">
        <v>3122</v>
      </c>
      <c r="C1834" s="50" t="s">
        <v>3100</v>
      </c>
      <c r="D1834" s="49" t="s">
        <v>3374</v>
      </c>
      <c r="E1834" s="51">
        <v>10900000</v>
      </c>
      <c r="F1834" s="52">
        <f t="shared" si="111"/>
        <v>872000</v>
      </c>
      <c r="G1834" s="53">
        <f t="shared" si="110"/>
        <v>11772000</v>
      </c>
      <c r="H1834" s="54">
        <v>11772000</v>
      </c>
      <c r="I1834" s="55">
        <f t="shared" si="112"/>
        <v>0</v>
      </c>
      <c r="J1834" s="56">
        <v>46232</v>
      </c>
      <c r="K1834" s="57" t="s">
        <v>3390</v>
      </c>
    </row>
    <row r="1835" spans="1:11" ht="15.75" hidden="1" customHeight="1" x14ac:dyDescent="0.35">
      <c r="A1835" s="47" t="s">
        <v>3016</v>
      </c>
      <c r="B1835" s="48" t="s">
        <v>3123</v>
      </c>
      <c r="C1835" s="49" t="s">
        <v>3101</v>
      </c>
      <c r="D1835" s="50"/>
      <c r="E1835" s="51">
        <v>2080000</v>
      </c>
      <c r="F1835" s="52">
        <f t="shared" si="111"/>
        <v>166400</v>
      </c>
      <c r="G1835" s="53">
        <f t="shared" si="110"/>
        <v>2246400</v>
      </c>
      <c r="H1835" s="54">
        <v>2246400</v>
      </c>
      <c r="I1835" s="55">
        <f t="shared" si="112"/>
        <v>0</v>
      </c>
      <c r="J1835" s="56">
        <v>46042</v>
      </c>
      <c r="K1835" s="57" t="s">
        <v>3387</v>
      </c>
    </row>
    <row r="1836" spans="1:11" ht="15.75" hidden="1" customHeight="1" x14ac:dyDescent="0.35">
      <c r="A1836" s="47" t="s">
        <v>2685</v>
      </c>
      <c r="B1836" s="48" t="s">
        <v>3123</v>
      </c>
      <c r="C1836" s="49" t="s">
        <v>3102</v>
      </c>
      <c r="D1836" s="50"/>
      <c r="E1836" s="51">
        <v>1005000</v>
      </c>
      <c r="F1836" s="52">
        <f t="shared" si="111"/>
        <v>80400</v>
      </c>
      <c r="G1836" s="53">
        <f t="shared" si="110"/>
        <v>1085400</v>
      </c>
      <c r="H1836" s="54">
        <v>1085400</v>
      </c>
      <c r="I1836" s="55">
        <f t="shared" si="112"/>
        <v>0</v>
      </c>
      <c r="J1836" s="56">
        <v>46042</v>
      </c>
      <c r="K1836" s="57" t="s">
        <v>3387</v>
      </c>
    </row>
    <row r="1837" spans="1:11" ht="15.75" hidden="1" customHeight="1" x14ac:dyDescent="0.35">
      <c r="A1837" s="47" t="s">
        <v>2703</v>
      </c>
      <c r="B1837" s="48" t="s">
        <v>3123</v>
      </c>
      <c r="C1837" s="50" t="s">
        <v>3103</v>
      </c>
      <c r="D1837" s="50"/>
      <c r="E1837" s="51">
        <v>46817500</v>
      </c>
      <c r="F1837" s="52">
        <f t="shared" si="111"/>
        <v>3745400</v>
      </c>
      <c r="G1837" s="53">
        <f t="shared" si="110"/>
        <v>50562900</v>
      </c>
      <c r="H1837" s="54">
        <v>50562900</v>
      </c>
      <c r="I1837" s="55">
        <f t="shared" si="112"/>
        <v>0</v>
      </c>
      <c r="J1837" s="56">
        <v>46105</v>
      </c>
      <c r="K1837" s="57" t="s">
        <v>3387</v>
      </c>
    </row>
    <row r="1838" spans="1:11" ht="15.75" hidden="1" customHeight="1" x14ac:dyDescent="0.35">
      <c r="A1838" s="47" t="s">
        <v>770</v>
      </c>
      <c r="B1838" s="48">
        <v>46024</v>
      </c>
      <c r="C1838" s="50" t="s">
        <v>3104</v>
      </c>
      <c r="D1838" s="49" t="s">
        <v>3242</v>
      </c>
      <c r="E1838" s="51">
        <v>810000</v>
      </c>
      <c r="F1838" s="52">
        <f t="shared" si="111"/>
        <v>64800</v>
      </c>
      <c r="G1838" s="53">
        <f t="shared" si="110"/>
        <v>874800</v>
      </c>
      <c r="H1838" s="54">
        <v>874800</v>
      </c>
      <c r="I1838" s="55">
        <f t="shared" si="112"/>
        <v>0</v>
      </c>
      <c r="J1838" s="56">
        <v>46210</v>
      </c>
      <c r="K1838" s="57" t="s">
        <v>3387</v>
      </c>
    </row>
    <row r="1839" spans="1:11" ht="15.75" hidden="1" customHeight="1" x14ac:dyDescent="0.35">
      <c r="A1839" s="47" t="s">
        <v>2721</v>
      </c>
      <c r="B1839" s="48">
        <v>46024</v>
      </c>
      <c r="C1839" s="50" t="s">
        <v>3105</v>
      </c>
      <c r="D1839" s="49" t="s">
        <v>3243</v>
      </c>
      <c r="E1839" s="51">
        <v>2855000</v>
      </c>
      <c r="F1839" s="52">
        <f t="shared" si="111"/>
        <v>228400</v>
      </c>
      <c r="G1839" s="53">
        <f t="shared" si="110"/>
        <v>3083400</v>
      </c>
      <c r="H1839" s="54">
        <v>3083400</v>
      </c>
      <c r="I1839" s="55">
        <f t="shared" si="112"/>
        <v>0</v>
      </c>
      <c r="J1839" s="56">
        <v>46232</v>
      </c>
      <c r="K1839" s="57" t="s">
        <v>3387</v>
      </c>
    </row>
    <row r="1840" spans="1:11" ht="15.75" hidden="1" customHeight="1" x14ac:dyDescent="0.35">
      <c r="A1840" s="47" t="s">
        <v>2713</v>
      </c>
      <c r="B1840" s="48" t="s">
        <v>3124</v>
      </c>
      <c r="C1840" s="49" t="s">
        <v>3106</v>
      </c>
      <c r="D1840" s="50"/>
      <c r="E1840" s="51">
        <v>34070000</v>
      </c>
      <c r="F1840" s="52">
        <f t="shared" si="111"/>
        <v>2725600</v>
      </c>
      <c r="G1840" s="53">
        <f t="shared" si="110"/>
        <v>36795600</v>
      </c>
      <c r="H1840" s="54">
        <v>36795600</v>
      </c>
      <c r="I1840" s="55">
        <f t="shared" si="112"/>
        <v>0</v>
      </c>
      <c r="J1840" s="56">
        <v>46076</v>
      </c>
      <c r="K1840" s="57" t="s">
        <v>3387</v>
      </c>
    </row>
    <row r="1841" spans="1:11" ht="15.75" hidden="1" customHeight="1" x14ac:dyDescent="0.35">
      <c r="A1841" s="47" t="s">
        <v>55</v>
      </c>
      <c r="B1841" s="48">
        <v>46024</v>
      </c>
      <c r="C1841" s="50" t="s">
        <v>3107</v>
      </c>
      <c r="D1841" s="50" t="s">
        <v>3375</v>
      </c>
      <c r="E1841" s="51">
        <v>123812500</v>
      </c>
      <c r="F1841" s="52">
        <f t="shared" si="111"/>
        <v>9905000</v>
      </c>
      <c r="G1841" s="53">
        <f t="shared" si="110"/>
        <v>133717500</v>
      </c>
      <c r="H1841" s="54">
        <v>133717500</v>
      </c>
      <c r="I1841" s="55">
        <f t="shared" si="112"/>
        <v>0</v>
      </c>
      <c r="J1841" s="56">
        <v>46170</v>
      </c>
      <c r="K1841" s="57" t="s">
        <v>3388</v>
      </c>
    </row>
    <row r="1842" spans="1:11" ht="15.75" hidden="1" customHeight="1" x14ac:dyDescent="0.35">
      <c r="A1842" s="47" t="s">
        <v>2728</v>
      </c>
      <c r="B1842" s="48" t="s">
        <v>3124</v>
      </c>
      <c r="C1842" s="49" t="s">
        <v>3108</v>
      </c>
      <c r="D1842" s="50"/>
      <c r="E1842" s="51">
        <v>4965000</v>
      </c>
      <c r="F1842" s="52">
        <f t="shared" si="111"/>
        <v>397200</v>
      </c>
      <c r="G1842" s="53">
        <f t="shared" si="110"/>
        <v>5362200</v>
      </c>
      <c r="H1842" s="54">
        <v>5362200</v>
      </c>
      <c r="I1842" s="55">
        <f t="shared" si="112"/>
        <v>0</v>
      </c>
      <c r="J1842" s="56">
        <v>46042</v>
      </c>
      <c r="K1842" s="57" t="s">
        <v>3387</v>
      </c>
    </row>
    <row r="1843" spans="1:11" ht="15.75" hidden="1" customHeight="1" x14ac:dyDescent="0.35">
      <c r="A1843" s="47" t="s">
        <v>3026</v>
      </c>
      <c r="B1843" s="48" t="s">
        <v>3124</v>
      </c>
      <c r="C1843" s="49" t="s">
        <v>3109</v>
      </c>
      <c r="D1843" s="50"/>
      <c r="E1843" s="51">
        <v>15732000</v>
      </c>
      <c r="F1843" s="52">
        <f t="shared" si="111"/>
        <v>1258560</v>
      </c>
      <c r="G1843" s="53">
        <f t="shared" ref="G1843:G1905" si="113">E1843+F1843</f>
        <v>16990560</v>
      </c>
      <c r="H1843" s="54">
        <v>16990560</v>
      </c>
      <c r="I1843" s="55">
        <f t="shared" si="112"/>
        <v>0</v>
      </c>
      <c r="J1843" s="56">
        <v>46076</v>
      </c>
      <c r="K1843" s="57" t="s">
        <v>3387</v>
      </c>
    </row>
    <row r="1844" spans="1:11" ht="15.75" hidden="1" customHeight="1" x14ac:dyDescent="0.35">
      <c r="A1844" s="47" t="s">
        <v>1414</v>
      </c>
      <c r="B1844" s="48">
        <v>46024</v>
      </c>
      <c r="C1844" s="49" t="s">
        <v>3110</v>
      </c>
      <c r="D1844" s="50" t="s">
        <v>1175</v>
      </c>
      <c r="E1844" s="51">
        <v>3146400</v>
      </c>
      <c r="F1844" s="52">
        <f t="shared" ref="F1844:F1906" si="114">+E1844*0.08</f>
        <v>251712</v>
      </c>
      <c r="G1844" s="53">
        <f t="shared" si="113"/>
        <v>3398112</v>
      </c>
      <c r="H1844" s="54">
        <v>3398112</v>
      </c>
      <c r="I1844" s="55">
        <f t="shared" ref="I1844:I1906" si="115">G1844-H1844</f>
        <v>0</v>
      </c>
      <c r="J1844" s="56">
        <v>46210</v>
      </c>
      <c r="K1844" s="57" t="s">
        <v>3389</v>
      </c>
    </row>
    <row r="1845" spans="1:11" ht="15.75" hidden="1" customHeight="1" x14ac:dyDescent="0.35">
      <c r="A1845" s="47" t="s">
        <v>2710</v>
      </c>
      <c r="B1845" s="48" t="s">
        <v>3124</v>
      </c>
      <c r="C1845" s="49" t="s">
        <v>3111</v>
      </c>
      <c r="D1845" s="50"/>
      <c r="E1845" s="51">
        <v>12600000</v>
      </c>
      <c r="F1845" s="52">
        <f t="shared" si="114"/>
        <v>1008000</v>
      </c>
      <c r="G1845" s="53">
        <f t="shared" si="113"/>
        <v>13608000</v>
      </c>
      <c r="H1845" s="54">
        <v>13608000</v>
      </c>
      <c r="I1845" s="55">
        <f t="shared" si="115"/>
        <v>0</v>
      </c>
      <c r="J1845" s="56">
        <v>46042</v>
      </c>
      <c r="K1845" s="57" t="s">
        <v>3387</v>
      </c>
    </row>
    <row r="1846" spans="1:11" ht="15.75" hidden="1" customHeight="1" x14ac:dyDescent="0.35">
      <c r="A1846" s="47" t="s">
        <v>2692</v>
      </c>
      <c r="B1846" s="48" t="s">
        <v>3125</v>
      </c>
      <c r="C1846" s="49" t="s">
        <v>3112</v>
      </c>
      <c r="D1846" s="50"/>
      <c r="E1846" s="51">
        <v>2045000</v>
      </c>
      <c r="F1846" s="52">
        <f t="shared" si="114"/>
        <v>163600</v>
      </c>
      <c r="G1846" s="53">
        <f t="shared" si="113"/>
        <v>2208600</v>
      </c>
      <c r="H1846" s="54">
        <v>2208600</v>
      </c>
      <c r="I1846" s="55">
        <f t="shared" si="115"/>
        <v>0</v>
      </c>
      <c r="J1846" s="56">
        <v>46042</v>
      </c>
      <c r="K1846" s="57" t="s">
        <v>3387</v>
      </c>
    </row>
    <row r="1847" spans="1:11" ht="15.75" hidden="1" customHeight="1" x14ac:dyDescent="0.35">
      <c r="A1847" s="47" t="s">
        <v>2720</v>
      </c>
      <c r="B1847" s="48" t="s">
        <v>3125</v>
      </c>
      <c r="C1847" s="49" t="s">
        <v>3113</v>
      </c>
      <c r="D1847" s="50"/>
      <c r="E1847" s="51">
        <v>8645000</v>
      </c>
      <c r="F1847" s="52">
        <f t="shared" si="114"/>
        <v>691600</v>
      </c>
      <c r="G1847" s="53">
        <f t="shared" si="113"/>
        <v>9336600</v>
      </c>
      <c r="H1847" s="54">
        <v>9336600</v>
      </c>
      <c r="I1847" s="55">
        <f t="shared" si="115"/>
        <v>0</v>
      </c>
      <c r="J1847" s="56">
        <v>46042</v>
      </c>
      <c r="K1847" s="57" t="s">
        <v>3387</v>
      </c>
    </row>
    <row r="1848" spans="1:11" ht="15.75" hidden="1" customHeight="1" x14ac:dyDescent="0.35">
      <c r="A1848" s="47" t="s">
        <v>2693</v>
      </c>
      <c r="B1848" s="48" t="s">
        <v>3125</v>
      </c>
      <c r="C1848" s="49" t="s">
        <v>3114</v>
      </c>
      <c r="D1848" s="50"/>
      <c r="E1848" s="51">
        <v>2045000</v>
      </c>
      <c r="F1848" s="52">
        <f t="shared" si="114"/>
        <v>163600</v>
      </c>
      <c r="G1848" s="53">
        <f t="shared" si="113"/>
        <v>2208600</v>
      </c>
      <c r="H1848" s="54">
        <v>2208600</v>
      </c>
      <c r="I1848" s="55">
        <f t="shared" si="115"/>
        <v>0</v>
      </c>
      <c r="J1848" s="56">
        <v>46135</v>
      </c>
      <c r="K1848" s="57" t="s">
        <v>3387</v>
      </c>
    </row>
    <row r="1849" spans="1:11" ht="15.75" hidden="1" customHeight="1" x14ac:dyDescent="0.35">
      <c r="A1849" s="47" t="s">
        <v>2723</v>
      </c>
      <c r="B1849" s="48" t="s">
        <v>3125</v>
      </c>
      <c r="C1849" s="49" t="s">
        <v>3115</v>
      </c>
      <c r="D1849" s="50"/>
      <c r="E1849" s="51">
        <v>2855000</v>
      </c>
      <c r="F1849" s="52">
        <f t="shared" si="114"/>
        <v>228400</v>
      </c>
      <c r="G1849" s="53">
        <f t="shared" si="113"/>
        <v>3083400</v>
      </c>
      <c r="H1849" s="54">
        <v>3083400</v>
      </c>
      <c r="I1849" s="55">
        <f t="shared" si="115"/>
        <v>0</v>
      </c>
      <c r="J1849" s="56">
        <v>46076</v>
      </c>
      <c r="K1849" s="57" t="s">
        <v>3387</v>
      </c>
    </row>
    <row r="1850" spans="1:11" ht="15.75" hidden="1" customHeight="1" x14ac:dyDescent="0.35">
      <c r="A1850" s="47" t="s">
        <v>2747</v>
      </c>
      <c r="B1850" s="48">
        <v>46024</v>
      </c>
      <c r="C1850" s="50" t="s">
        <v>3116</v>
      </c>
      <c r="D1850" s="49" t="s">
        <v>1060</v>
      </c>
      <c r="E1850" s="51">
        <v>2760000</v>
      </c>
      <c r="F1850" s="52">
        <f t="shared" si="114"/>
        <v>220800</v>
      </c>
      <c r="G1850" s="53">
        <f t="shared" si="113"/>
        <v>2980800</v>
      </c>
      <c r="H1850" s="54"/>
      <c r="I1850" s="55">
        <f t="shared" si="115"/>
        <v>2980800</v>
      </c>
      <c r="J1850" s="56"/>
      <c r="K1850" s="57" t="s">
        <v>3392</v>
      </c>
    </row>
    <row r="1851" spans="1:11" ht="15.75" hidden="1" customHeight="1" x14ac:dyDescent="0.35">
      <c r="A1851" s="47" t="s">
        <v>2725</v>
      </c>
      <c r="B1851" s="48" t="s">
        <v>3126</v>
      </c>
      <c r="C1851" s="49" t="s">
        <v>3117</v>
      </c>
      <c r="D1851" s="50"/>
      <c r="E1851" s="51">
        <v>14112400</v>
      </c>
      <c r="F1851" s="52">
        <f t="shared" si="114"/>
        <v>1128992</v>
      </c>
      <c r="G1851" s="53">
        <f t="shared" si="113"/>
        <v>15241392</v>
      </c>
      <c r="H1851" s="54">
        <v>15241392</v>
      </c>
      <c r="I1851" s="55">
        <f t="shared" si="115"/>
        <v>0</v>
      </c>
      <c r="J1851" s="56">
        <v>46196</v>
      </c>
      <c r="K1851" s="57" t="s">
        <v>3387</v>
      </c>
    </row>
    <row r="1852" spans="1:11" ht="15.75" hidden="1" customHeight="1" x14ac:dyDescent="0.35">
      <c r="A1852" s="47" t="s">
        <v>3017</v>
      </c>
      <c r="B1852" s="48" t="s">
        <v>3127</v>
      </c>
      <c r="C1852" s="50" t="s">
        <v>3118</v>
      </c>
      <c r="D1852" s="50"/>
      <c r="E1852" s="51">
        <v>6291000</v>
      </c>
      <c r="F1852" s="52">
        <f t="shared" si="114"/>
        <v>503280</v>
      </c>
      <c r="G1852" s="53">
        <f t="shared" si="113"/>
        <v>6794280</v>
      </c>
      <c r="H1852" s="54">
        <v>6794280</v>
      </c>
      <c r="I1852" s="55">
        <f t="shared" si="115"/>
        <v>0</v>
      </c>
      <c r="J1852" s="56">
        <v>46196</v>
      </c>
      <c r="K1852" s="57" t="s">
        <v>3387</v>
      </c>
    </row>
    <row r="1853" spans="1:11" ht="15.75" hidden="1" customHeight="1" x14ac:dyDescent="0.35">
      <c r="A1853" s="47" t="s">
        <v>2703</v>
      </c>
      <c r="B1853" s="48" t="s">
        <v>3127</v>
      </c>
      <c r="C1853" s="50" t="s">
        <v>3119</v>
      </c>
      <c r="D1853" s="50"/>
      <c r="E1853" s="51">
        <v>4050000</v>
      </c>
      <c r="F1853" s="52">
        <f t="shared" si="114"/>
        <v>324000</v>
      </c>
      <c r="G1853" s="53">
        <f t="shared" si="113"/>
        <v>4374000</v>
      </c>
      <c r="H1853" s="54">
        <v>4374000</v>
      </c>
      <c r="I1853" s="55">
        <f t="shared" si="115"/>
        <v>0</v>
      </c>
      <c r="J1853" s="56">
        <v>46105</v>
      </c>
      <c r="K1853" s="57" t="s">
        <v>3387</v>
      </c>
    </row>
    <row r="1854" spans="1:11" ht="15.75" hidden="1" customHeight="1" x14ac:dyDescent="0.35">
      <c r="A1854" s="47" t="s">
        <v>2739</v>
      </c>
      <c r="B1854" s="48" t="s">
        <v>3228</v>
      </c>
      <c r="C1854" s="49" t="s">
        <v>427</v>
      </c>
      <c r="D1854" s="50"/>
      <c r="E1854" s="51">
        <v>520000</v>
      </c>
      <c r="F1854" s="52">
        <f t="shared" si="114"/>
        <v>41600</v>
      </c>
      <c r="G1854" s="53">
        <f t="shared" si="113"/>
        <v>561600</v>
      </c>
      <c r="H1854" s="54"/>
      <c r="I1854" s="55">
        <f t="shared" si="115"/>
        <v>561600</v>
      </c>
      <c r="J1854" s="56"/>
      <c r="K1854" s="57" t="s">
        <v>3387</v>
      </c>
    </row>
    <row r="1855" spans="1:11" ht="15.75" hidden="1" customHeight="1" x14ac:dyDescent="0.35">
      <c r="A1855" s="47" t="s">
        <v>3049</v>
      </c>
      <c r="B1855" s="48" t="s">
        <v>3228</v>
      </c>
      <c r="C1855" s="50" t="s">
        <v>3157</v>
      </c>
      <c r="D1855" s="50"/>
      <c r="E1855" s="51">
        <v>32689900</v>
      </c>
      <c r="F1855" s="52">
        <f t="shared" si="114"/>
        <v>2615192</v>
      </c>
      <c r="G1855" s="53">
        <f t="shared" si="113"/>
        <v>35305092</v>
      </c>
      <c r="H1855" s="54">
        <v>35305092</v>
      </c>
      <c r="I1855" s="55">
        <f t="shared" si="115"/>
        <v>0</v>
      </c>
      <c r="J1855" s="56">
        <v>46232</v>
      </c>
      <c r="K1855" s="57" t="s">
        <v>3387</v>
      </c>
    </row>
    <row r="1856" spans="1:11" ht="15.75" hidden="1" customHeight="1" x14ac:dyDescent="0.35">
      <c r="A1856" s="47" t="s">
        <v>2689</v>
      </c>
      <c r="B1856" s="48" t="s">
        <v>3228</v>
      </c>
      <c r="C1856" s="49" t="s">
        <v>3158</v>
      </c>
      <c r="D1856" s="50"/>
      <c r="E1856" s="51">
        <v>73155000</v>
      </c>
      <c r="F1856" s="52">
        <f t="shared" si="114"/>
        <v>5852400</v>
      </c>
      <c r="G1856" s="53">
        <f t="shared" si="113"/>
        <v>79007400</v>
      </c>
      <c r="H1856" s="54"/>
      <c r="I1856" s="55">
        <f t="shared" si="115"/>
        <v>79007400</v>
      </c>
      <c r="J1856" s="56"/>
      <c r="K1856" s="57" t="s">
        <v>3387</v>
      </c>
    </row>
    <row r="1857" spans="1:11" ht="15.75" customHeight="1" x14ac:dyDescent="0.35">
      <c r="A1857" s="47" t="s">
        <v>2713</v>
      </c>
      <c r="B1857" s="48" t="s">
        <v>3228</v>
      </c>
      <c r="C1857" s="49" t="s">
        <v>3159</v>
      </c>
      <c r="D1857" s="50"/>
      <c r="E1857" s="51">
        <v>30931200</v>
      </c>
      <c r="F1857" s="52">
        <f t="shared" si="114"/>
        <v>2474496</v>
      </c>
      <c r="G1857" s="53">
        <f t="shared" si="113"/>
        <v>33405696</v>
      </c>
      <c r="H1857" s="54">
        <v>33405696</v>
      </c>
      <c r="I1857" s="55">
        <f t="shared" si="115"/>
        <v>0</v>
      </c>
      <c r="J1857" s="56">
        <v>46254</v>
      </c>
      <c r="K1857" s="57" t="s">
        <v>3387</v>
      </c>
    </row>
    <row r="1858" spans="1:11" ht="15.75" hidden="1" customHeight="1" x14ac:dyDescent="0.35">
      <c r="A1858" s="47" t="s">
        <v>3018</v>
      </c>
      <c r="B1858" s="48" t="s">
        <v>3228</v>
      </c>
      <c r="C1858" s="49" t="s">
        <v>3160</v>
      </c>
      <c r="D1858" s="50"/>
      <c r="E1858" s="51">
        <v>10802000</v>
      </c>
      <c r="F1858" s="52">
        <f t="shared" si="114"/>
        <v>864160</v>
      </c>
      <c r="G1858" s="53">
        <f t="shared" si="113"/>
        <v>11666160</v>
      </c>
      <c r="H1858" s="54"/>
      <c r="I1858" s="55">
        <f t="shared" si="115"/>
        <v>11666160</v>
      </c>
      <c r="J1858" s="56"/>
      <c r="K1858" s="57" t="s">
        <v>3387</v>
      </c>
    </row>
    <row r="1859" spans="1:11" ht="15.75" hidden="1" customHeight="1" x14ac:dyDescent="0.35">
      <c r="A1859" s="47" t="s">
        <v>24</v>
      </c>
      <c r="B1859" s="48" t="s">
        <v>3228</v>
      </c>
      <c r="C1859" s="49" t="s">
        <v>3161</v>
      </c>
      <c r="D1859" s="50"/>
      <c r="E1859" s="51">
        <v>1022500</v>
      </c>
      <c r="F1859" s="52">
        <f t="shared" si="114"/>
        <v>81800</v>
      </c>
      <c r="G1859" s="53">
        <f t="shared" si="113"/>
        <v>1104300</v>
      </c>
      <c r="H1859" s="54">
        <v>1104300</v>
      </c>
      <c r="I1859" s="55">
        <f t="shared" si="115"/>
        <v>0</v>
      </c>
      <c r="J1859" s="56">
        <v>46210</v>
      </c>
      <c r="K1859" s="57" t="s">
        <v>3387</v>
      </c>
    </row>
    <row r="1860" spans="1:11" ht="15.75" hidden="1" customHeight="1" x14ac:dyDescent="0.35">
      <c r="A1860" s="47" t="s">
        <v>3042</v>
      </c>
      <c r="B1860" s="48" t="s">
        <v>3228</v>
      </c>
      <c r="C1860" s="49" t="s">
        <v>3162</v>
      </c>
      <c r="D1860" s="50"/>
      <c r="E1860" s="51">
        <v>18024000</v>
      </c>
      <c r="F1860" s="52">
        <f t="shared" si="114"/>
        <v>1441920</v>
      </c>
      <c r="G1860" s="53">
        <f t="shared" si="113"/>
        <v>19465920</v>
      </c>
      <c r="H1860" s="54">
        <v>19465920</v>
      </c>
      <c r="I1860" s="55">
        <f t="shared" si="115"/>
        <v>0</v>
      </c>
      <c r="J1860" s="56">
        <v>46210</v>
      </c>
      <c r="K1860" s="57" t="s">
        <v>3387</v>
      </c>
    </row>
    <row r="1861" spans="1:11" ht="15.75" hidden="1" customHeight="1" x14ac:dyDescent="0.35">
      <c r="A1861" s="47" t="s">
        <v>2679</v>
      </c>
      <c r="B1861" s="48" t="s">
        <v>3228</v>
      </c>
      <c r="C1861" s="49" t="s">
        <v>3163</v>
      </c>
      <c r="D1861" s="50"/>
      <c r="E1861" s="51">
        <v>2855000</v>
      </c>
      <c r="F1861" s="52">
        <f t="shared" si="114"/>
        <v>228400</v>
      </c>
      <c r="G1861" s="53">
        <f t="shared" si="113"/>
        <v>3083400</v>
      </c>
      <c r="H1861" s="54">
        <v>3083400</v>
      </c>
      <c r="I1861" s="55">
        <f t="shared" si="115"/>
        <v>0</v>
      </c>
      <c r="J1861" s="56">
        <v>46170</v>
      </c>
      <c r="K1861" s="57" t="s">
        <v>3387</v>
      </c>
    </row>
    <row r="1862" spans="1:11" ht="15.75" hidden="1" customHeight="1" x14ac:dyDescent="0.35">
      <c r="A1862" s="47" t="s">
        <v>3042</v>
      </c>
      <c r="B1862" s="48" t="s">
        <v>3228</v>
      </c>
      <c r="C1862" s="49" t="s">
        <v>3164</v>
      </c>
      <c r="D1862" s="50"/>
      <c r="E1862" s="51">
        <v>9405000</v>
      </c>
      <c r="F1862" s="52">
        <f t="shared" si="114"/>
        <v>752400</v>
      </c>
      <c r="G1862" s="53">
        <f t="shared" si="113"/>
        <v>10157400</v>
      </c>
      <c r="H1862" s="54">
        <v>10157400</v>
      </c>
      <c r="I1862" s="55">
        <f t="shared" si="115"/>
        <v>0</v>
      </c>
      <c r="J1862" s="56">
        <v>46210</v>
      </c>
      <c r="K1862" s="57" t="s">
        <v>3387</v>
      </c>
    </row>
    <row r="1863" spans="1:11" ht="15.75" hidden="1" customHeight="1" x14ac:dyDescent="0.35">
      <c r="A1863" s="47" t="s">
        <v>2695</v>
      </c>
      <c r="B1863" s="48" t="s">
        <v>3228</v>
      </c>
      <c r="C1863" s="49" t="s">
        <v>3165</v>
      </c>
      <c r="D1863" s="50"/>
      <c r="E1863" s="51">
        <v>31963000</v>
      </c>
      <c r="F1863" s="52">
        <f t="shared" si="114"/>
        <v>2557040</v>
      </c>
      <c r="G1863" s="53">
        <f t="shared" si="113"/>
        <v>34520040</v>
      </c>
      <c r="H1863" s="54">
        <v>34520040</v>
      </c>
      <c r="I1863" s="55">
        <f t="shared" si="115"/>
        <v>0</v>
      </c>
      <c r="J1863" s="56">
        <v>46170</v>
      </c>
      <c r="K1863" s="57" t="s">
        <v>3387</v>
      </c>
    </row>
    <row r="1864" spans="1:11" ht="15.75" hidden="1" customHeight="1" x14ac:dyDescent="0.35">
      <c r="A1864" s="47" t="s">
        <v>2740</v>
      </c>
      <c r="B1864" s="48" t="s">
        <v>3228</v>
      </c>
      <c r="C1864" s="49" t="s">
        <v>1795</v>
      </c>
      <c r="D1864" s="50"/>
      <c r="E1864" s="51">
        <v>18157400</v>
      </c>
      <c r="F1864" s="52">
        <f t="shared" si="114"/>
        <v>1452592</v>
      </c>
      <c r="G1864" s="53">
        <f t="shared" si="113"/>
        <v>19609992</v>
      </c>
      <c r="H1864" s="54">
        <v>19609992</v>
      </c>
      <c r="I1864" s="55">
        <f t="shared" si="115"/>
        <v>0</v>
      </c>
      <c r="J1864" s="56">
        <v>46210</v>
      </c>
      <c r="K1864" s="57" t="s">
        <v>3387</v>
      </c>
    </row>
    <row r="1865" spans="1:11" ht="15.75" hidden="1" customHeight="1" x14ac:dyDescent="0.35">
      <c r="A1865" s="47" t="s">
        <v>2717</v>
      </c>
      <c r="B1865" s="48" t="s">
        <v>3228</v>
      </c>
      <c r="C1865" s="50" t="s">
        <v>3166</v>
      </c>
      <c r="D1865" s="50"/>
      <c r="E1865" s="51">
        <v>2855000</v>
      </c>
      <c r="F1865" s="52">
        <f t="shared" si="114"/>
        <v>228400</v>
      </c>
      <c r="G1865" s="53">
        <f t="shared" si="113"/>
        <v>3083400</v>
      </c>
      <c r="H1865" s="54">
        <v>3083400</v>
      </c>
      <c r="I1865" s="55">
        <f t="shared" si="115"/>
        <v>0</v>
      </c>
      <c r="J1865" s="56">
        <v>46210</v>
      </c>
      <c r="K1865" s="57" t="s">
        <v>3387</v>
      </c>
    </row>
    <row r="1866" spans="1:11" ht="15.75" hidden="1" customHeight="1" x14ac:dyDescent="0.35">
      <c r="A1866" s="47" t="s">
        <v>3042</v>
      </c>
      <c r="B1866" s="48" t="s">
        <v>3228</v>
      </c>
      <c r="C1866" s="49" t="s">
        <v>3167</v>
      </c>
      <c r="D1866" s="50"/>
      <c r="E1866" s="51">
        <v>12000000</v>
      </c>
      <c r="F1866" s="52">
        <f t="shared" si="114"/>
        <v>960000</v>
      </c>
      <c r="G1866" s="53">
        <f t="shared" si="113"/>
        <v>12960000</v>
      </c>
      <c r="H1866" s="54">
        <v>12960000</v>
      </c>
      <c r="I1866" s="55">
        <f t="shared" si="115"/>
        <v>0</v>
      </c>
      <c r="J1866" s="56">
        <v>46210</v>
      </c>
      <c r="K1866" s="57" t="s">
        <v>3387</v>
      </c>
    </row>
    <row r="1867" spans="1:11" ht="15.75" hidden="1" customHeight="1" x14ac:dyDescent="0.35">
      <c r="A1867" s="47" t="s">
        <v>770</v>
      </c>
      <c r="B1867" s="48" t="s">
        <v>3228</v>
      </c>
      <c r="C1867" s="50" t="s">
        <v>3168</v>
      </c>
      <c r="D1867" s="50"/>
      <c r="E1867" s="51">
        <v>7677000</v>
      </c>
      <c r="F1867" s="52">
        <f t="shared" si="114"/>
        <v>614160</v>
      </c>
      <c r="G1867" s="53">
        <f t="shared" si="113"/>
        <v>8291160</v>
      </c>
      <c r="H1867" s="54">
        <v>8291160</v>
      </c>
      <c r="I1867" s="55">
        <f t="shared" si="115"/>
        <v>0</v>
      </c>
      <c r="J1867" s="56">
        <v>46210</v>
      </c>
      <c r="K1867" s="57" t="s">
        <v>3387</v>
      </c>
    </row>
    <row r="1868" spans="1:11" ht="15.75" customHeight="1" x14ac:dyDescent="0.35">
      <c r="A1868" s="47" t="s">
        <v>38</v>
      </c>
      <c r="B1868" s="48" t="s">
        <v>3228</v>
      </c>
      <c r="C1868" s="50" t="s">
        <v>1796</v>
      </c>
      <c r="D1868" s="50"/>
      <c r="E1868" s="51">
        <v>79073400</v>
      </c>
      <c r="F1868" s="52">
        <f t="shared" si="114"/>
        <v>6325872</v>
      </c>
      <c r="G1868" s="53">
        <f t="shared" si="113"/>
        <v>85399272</v>
      </c>
      <c r="H1868" s="54">
        <v>85399272</v>
      </c>
      <c r="I1868" s="55">
        <f t="shared" si="115"/>
        <v>0</v>
      </c>
      <c r="J1868" s="56">
        <v>46254</v>
      </c>
      <c r="K1868" s="57" t="s">
        <v>3387</v>
      </c>
    </row>
    <row r="1869" spans="1:11" ht="15.75" hidden="1" customHeight="1" x14ac:dyDescent="0.35">
      <c r="A1869" s="47" t="s">
        <v>2698</v>
      </c>
      <c r="B1869" s="48" t="s">
        <v>3228</v>
      </c>
      <c r="C1869" s="50" t="s">
        <v>1797</v>
      </c>
      <c r="D1869" s="50"/>
      <c r="E1869" s="51">
        <v>16686000</v>
      </c>
      <c r="F1869" s="52">
        <f t="shared" si="114"/>
        <v>1334880</v>
      </c>
      <c r="G1869" s="53">
        <f t="shared" si="113"/>
        <v>18020880</v>
      </c>
      <c r="H1869" s="54">
        <v>18020880</v>
      </c>
      <c r="I1869" s="55">
        <f t="shared" si="115"/>
        <v>0</v>
      </c>
      <c r="J1869" s="56">
        <v>46232</v>
      </c>
      <c r="K1869" s="57" t="s">
        <v>3387</v>
      </c>
    </row>
    <row r="1870" spans="1:11" ht="15.75" hidden="1" customHeight="1" x14ac:dyDescent="0.35">
      <c r="A1870" s="47" t="s">
        <v>3016</v>
      </c>
      <c r="B1870" s="48" t="s">
        <v>3229</v>
      </c>
      <c r="C1870" s="49" t="s">
        <v>1802</v>
      </c>
      <c r="D1870" s="50"/>
      <c r="E1870" s="51">
        <v>7533500</v>
      </c>
      <c r="F1870" s="52">
        <f t="shared" si="114"/>
        <v>602680</v>
      </c>
      <c r="G1870" s="53">
        <f t="shared" si="113"/>
        <v>8136180</v>
      </c>
      <c r="H1870" s="54">
        <v>8136180</v>
      </c>
      <c r="I1870" s="55">
        <f t="shared" si="115"/>
        <v>0</v>
      </c>
      <c r="J1870" s="56">
        <v>46232</v>
      </c>
      <c r="K1870" s="57" t="s">
        <v>3387</v>
      </c>
    </row>
    <row r="1871" spans="1:11" ht="15.75" hidden="1" customHeight="1" x14ac:dyDescent="0.35">
      <c r="A1871" s="47" t="s">
        <v>2687</v>
      </c>
      <c r="B1871" s="48" t="s">
        <v>3229</v>
      </c>
      <c r="C1871" s="49" t="s">
        <v>3169</v>
      </c>
      <c r="D1871" s="50"/>
      <c r="E1871" s="51">
        <v>1815000</v>
      </c>
      <c r="F1871" s="52">
        <f t="shared" si="114"/>
        <v>145200</v>
      </c>
      <c r="G1871" s="53">
        <f t="shared" si="113"/>
        <v>1960200</v>
      </c>
      <c r="H1871" s="54"/>
      <c r="I1871" s="55">
        <f t="shared" si="115"/>
        <v>1960200</v>
      </c>
      <c r="J1871" s="56"/>
      <c r="K1871" s="57" t="s">
        <v>3387</v>
      </c>
    </row>
    <row r="1872" spans="1:11" ht="15.75" hidden="1" customHeight="1" x14ac:dyDescent="0.35">
      <c r="A1872" s="47" t="s">
        <v>3028</v>
      </c>
      <c r="B1872" s="48" t="s">
        <v>3229</v>
      </c>
      <c r="C1872" s="49" t="s">
        <v>3170</v>
      </c>
      <c r="D1872" s="50"/>
      <c r="E1872" s="51">
        <v>37708700</v>
      </c>
      <c r="F1872" s="52">
        <f t="shared" si="114"/>
        <v>3016696</v>
      </c>
      <c r="G1872" s="53">
        <f t="shared" si="113"/>
        <v>40725396</v>
      </c>
      <c r="H1872" s="54"/>
      <c r="I1872" s="55">
        <f t="shared" si="115"/>
        <v>40725396</v>
      </c>
      <c r="J1872" s="56"/>
      <c r="K1872" s="57" t="s">
        <v>3387</v>
      </c>
    </row>
    <row r="1873" spans="1:11" ht="15.75" hidden="1" customHeight="1" x14ac:dyDescent="0.35">
      <c r="A1873" s="47" t="s">
        <v>2688</v>
      </c>
      <c r="B1873" s="48" t="s">
        <v>3229</v>
      </c>
      <c r="C1873" s="49" t="s">
        <v>3171</v>
      </c>
      <c r="D1873" s="50"/>
      <c r="E1873" s="51">
        <v>2080000</v>
      </c>
      <c r="F1873" s="52">
        <f t="shared" si="114"/>
        <v>166400</v>
      </c>
      <c r="G1873" s="53">
        <f t="shared" si="113"/>
        <v>2246400</v>
      </c>
      <c r="H1873" s="54">
        <v>2246400</v>
      </c>
      <c r="I1873" s="55">
        <f t="shared" si="115"/>
        <v>0</v>
      </c>
      <c r="J1873" s="56">
        <v>46232</v>
      </c>
      <c r="K1873" s="57" t="s">
        <v>3387</v>
      </c>
    </row>
    <row r="1874" spans="1:11" ht="15.75" hidden="1" customHeight="1" x14ac:dyDescent="0.35">
      <c r="A1874" s="47" t="s">
        <v>2728</v>
      </c>
      <c r="B1874" s="48" t="s">
        <v>3229</v>
      </c>
      <c r="C1874" s="49" t="s">
        <v>3172</v>
      </c>
      <c r="D1874" s="50"/>
      <c r="E1874" s="51">
        <v>810000</v>
      </c>
      <c r="F1874" s="52">
        <f t="shared" si="114"/>
        <v>64800</v>
      </c>
      <c r="G1874" s="53">
        <f t="shared" si="113"/>
        <v>874800</v>
      </c>
      <c r="H1874" s="54">
        <v>874800</v>
      </c>
      <c r="I1874" s="55">
        <f t="shared" si="115"/>
        <v>0</v>
      </c>
      <c r="J1874" s="56">
        <v>46170</v>
      </c>
      <c r="K1874" s="57" t="s">
        <v>3387</v>
      </c>
    </row>
    <row r="1875" spans="1:11" ht="15.75" hidden="1" customHeight="1" x14ac:dyDescent="0.35">
      <c r="A1875" s="47" t="s">
        <v>2786</v>
      </c>
      <c r="B1875" s="48" t="s">
        <v>3229</v>
      </c>
      <c r="C1875" s="49" t="s">
        <v>3173</v>
      </c>
      <c r="D1875" s="50"/>
      <c r="E1875" s="51">
        <v>1815000</v>
      </c>
      <c r="F1875" s="52">
        <f t="shared" si="114"/>
        <v>145200</v>
      </c>
      <c r="G1875" s="53">
        <f t="shared" si="113"/>
        <v>1960200</v>
      </c>
      <c r="H1875" s="54">
        <v>1960200</v>
      </c>
      <c r="I1875" s="55">
        <f t="shared" si="115"/>
        <v>0</v>
      </c>
      <c r="J1875" s="56">
        <v>46232</v>
      </c>
      <c r="K1875" s="57" t="s">
        <v>3387</v>
      </c>
    </row>
    <row r="1876" spans="1:11" ht="15.75" hidden="1" customHeight="1" x14ac:dyDescent="0.35">
      <c r="A1876" s="47" t="s">
        <v>2717</v>
      </c>
      <c r="B1876" s="48" t="s">
        <v>3230</v>
      </c>
      <c r="C1876" s="49" t="s">
        <v>3174</v>
      </c>
      <c r="D1876" s="50"/>
      <c r="E1876" s="51">
        <v>12814200</v>
      </c>
      <c r="F1876" s="52">
        <f t="shared" si="114"/>
        <v>1025136</v>
      </c>
      <c r="G1876" s="53">
        <f t="shared" si="113"/>
        <v>13839336</v>
      </c>
      <c r="H1876" s="54">
        <v>13839336</v>
      </c>
      <c r="I1876" s="55">
        <f t="shared" si="115"/>
        <v>0</v>
      </c>
      <c r="J1876" s="56">
        <v>46210</v>
      </c>
      <c r="K1876" s="57" t="s">
        <v>3387</v>
      </c>
    </row>
    <row r="1877" spans="1:11" ht="15.75" hidden="1" customHeight="1" x14ac:dyDescent="0.35">
      <c r="A1877" s="47" t="s">
        <v>3240</v>
      </c>
      <c r="B1877" s="48" t="s">
        <v>3230</v>
      </c>
      <c r="C1877" s="50" t="s">
        <v>3175</v>
      </c>
      <c r="D1877" s="50"/>
      <c r="E1877" s="51">
        <v>18693500</v>
      </c>
      <c r="F1877" s="52">
        <f t="shared" si="114"/>
        <v>1495480</v>
      </c>
      <c r="G1877" s="53">
        <f t="shared" si="113"/>
        <v>20188980</v>
      </c>
      <c r="H1877" s="54">
        <v>20188980</v>
      </c>
      <c r="I1877" s="55">
        <f t="shared" si="115"/>
        <v>0</v>
      </c>
      <c r="J1877" s="56">
        <v>46170</v>
      </c>
      <c r="K1877" s="57" t="s">
        <v>3387</v>
      </c>
    </row>
    <row r="1878" spans="1:11" ht="15.75" hidden="1" customHeight="1" x14ac:dyDescent="0.35">
      <c r="A1878" s="47" t="s">
        <v>2747</v>
      </c>
      <c r="B1878" s="48" t="s">
        <v>3230</v>
      </c>
      <c r="C1878" s="49" t="s">
        <v>3176</v>
      </c>
      <c r="D1878" s="50"/>
      <c r="E1878" s="51">
        <v>1200000</v>
      </c>
      <c r="F1878" s="52">
        <f t="shared" si="114"/>
        <v>96000</v>
      </c>
      <c r="G1878" s="53">
        <f t="shared" si="113"/>
        <v>1296000</v>
      </c>
      <c r="H1878" s="54"/>
      <c r="I1878" s="55">
        <f t="shared" si="115"/>
        <v>1296000</v>
      </c>
      <c r="J1878" s="56"/>
      <c r="K1878" s="57" t="s">
        <v>3387</v>
      </c>
    </row>
    <row r="1879" spans="1:11" ht="15.75" hidden="1" customHeight="1" x14ac:dyDescent="0.35">
      <c r="A1879" s="47" t="s">
        <v>2735</v>
      </c>
      <c r="B1879" s="48" t="s">
        <v>3230</v>
      </c>
      <c r="C1879" s="49" t="s">
        <v>3177</v>
      </c>
      <c r="D1879" s="50"/>
      <c r="E1879" s="51">
        <v>6491400</v>
      </c>
      <c r="F1879" s="52">
        <f t="shared" si="114"/>
        <v>519312</v>
      </c>
      <c r="G1879" s="53">
        <f t="shared" si="113"/>
        <v>7010712</v>
      </c>
      <c r="H1879" s="54"/>
      <c r="I1879" s="55">
        <f t="shared" si="115"/>
        <v>7010712</v>
      </c>
      <c r="J1879" s="56"/>
      <c r="K1879" s="57" t="s">
        <v>3387</v>
      </c>
    </row>
    <row r="1880" spans="1:11" ht="15.75" hidden="1" customHeight="1" x14ac:dyDescent="0.35">
      <c r="A1880" s="47" t="s">
        <v>3241</v>
      </c>
      <c r="B1880" s="48" t="s">
        <v>3230</v>
      </c>
      <c r="C1880" s="49" t="s">
        <v>3178</v>
      </c>
      <c r="D1880" s="50"/>
      <c r="E1880" s="51">
        <v>13322000</v>
      </c>
      <c r="F1880" s="52">
        <f t="shared" si="114"/>
        <v>1065760</v>
      </c>
      <c r="G1880" s="53">
        <f t="shared" si="113"/>
        <v>14387760</v>
      </c>
      <c r="H1880" s="54">
        <v>14387760</v>
      </c>
      <c r="I1880" s="55">
        <f t="shared" si="115"/>
        <v>0</v>
      </c>
      <c r="J1880" s="56">
        <v>46232</v>
      </c>
      <c r="K1880" s="57" t="s">
        <v>3387</v>
      </c>
    </row>
    <row r="1881" spans="1:11" ht="15.75" hidden="1" customHeight="1" x14ac:dyDescent="0.35">
      <c r="A1881" s="47" t="s">
        <v>770</v>
      </c>
      <c r="B1881" s="48" t="s">
        <v>3231</v>
      </c>
      <c r="C1881" s="50" t="s">
        <v>3179</v>
      </c>
      <c r="D1881" s="50"/>
      <c r="E1881" s="51">
        <v>7998200</v>
      </c>
      <c r="F1881" s="52">
        <f t="shared" si="114"/>
        <v>639856</v>
      </c>
      <c r="G1881" s="53">
        <f t="shared" si="113"/>
        <v>8638056</v>
      </c>
      <c r="H1881" s="54">
        <v>8638056</v>
      </c>
      <c r="I1881" s="55">
        <f t="shared" si="115"/>
        <v>0</v>
      </c>
      <c r="J1881" s="56">
        <v>46210</v>
      </c>
      <c r="K1881" s="57" t="s">
        <v>3387</v>
      </c>
    </row>
    <row r="1882" spans="1:11" ht="15.75" hidden="1" customHeight="1" x14ac:dyDescent="0.35">
      <c r="A1882" s="47" t="s">
        <v>2733</v>
      </c>
      <c r="B1882" s="48" t="s">
        <v>3231</v>
      </c>
      <c r="C1882" s="49" t="s">
        <v>3180</v>
      </c>
      <c r="D1882" s="50"/>
      <c r="E1882" s="51">
        <v>62580000</v>
      </c>
      <c r="F1882" s="52">
        <f t="shared" si="114"/>
        <v>5006400</v>
      </c>
      <c r="G1882" s="53">
        <f t="shared" si="113"/>
        <v>67586400</v>
      </c>
      <c r="H1882" s="54">
        <v>67586400</v>
      </c>
      <c r="I1882" s="55">
        <f t="shared" si="115"/>
        <v>0</v>
      </c>
      <c r="J1882" s="56">
        <v>46210</v>
      </c>
      <c r="K1882" s="57" t="s">
        <v>3387</v>
      </c>
    </row>
    <row r="1883" spans="1:11" ht="15.75" hidden="1" customHeight="1" x14ac:dyDescent="0.35">
      <c r="A1883" s="47" t="s">
        <v>2737</v>
      </c>
      <c r="B1883" s="48" t="s">
        <v>3231</v>
      </c>
      <c r="C1883" s="49" t="s">
        <v>3181</v>
      </c>
      <c r="D1883" s="50"/>
      <c r="E1883" s="51">
        <v>2450000</v>
      </c>
      <c r="F1883" s="52">
        <f t="shared" si="114"/>
        <v>196000</v>
      </c>
      <c r="G1883" s="53">
        <f t="shared" si="113"/>
        <v>2646000</v>
      </c>
      <c r="H1883" s="54"/>
      <c r="I1883" s="55">
        <f t="shared" si="115"/>
        <v>2646000</v>
      </c>
      <c r="J1883" s="56"/>
      <c r="K1883" s="57" t="s">
        <v>3387</v>
      </c>
    </row>
    <row r="1884" spans="1:11" ht="15.75" hidden="1" customHeight="1" x14ac:dyDescent="0.35">
      <c r="A1884" s="47" t="s">
        <v>2712</v>
      </c>
      <c r="B1884" s="48" t="s">
        <v>3231</v>
      </c>
      <c r="C1884" s="49" t="s">
        <v>3182</v>
      </c>
      <c r="D1884" s="50"/>
      <c r="E1884" s="51">
        <v>1040000</v>
      </c>
      <c r="F1884" s="52">
        <f t="shared" si="114"/>
        <v>83200</v>
      </c>
      <c r="G1884" s="53">
        <f t="shared" si="113"/>
        <v>1123200</v>
      </c>
      <c r="H1884" s="54">
        <v>1123200</v>
      </c>
      <c r="I1884" s="55">
        <f t="shared" si="115"/>
        <v>0</v>
      </c>
      <c r="J1884" s="56">
        <v>46232</v>
      </c>
      <c r="K1884" s="57" t="s">
        <v>3387</v>
      </c>
    </row>
    <row r="1885" spans="1:11" ht="15.75" hidden="1" customHeight="1" x14ac:dyDescent="0.35">
      <c r="A1885" s="47" t="s">
        <v>339</v>
      </c>
      <c r="B1885" s="48" t="s">
        <v>3231</v>
      </c>
      <c r="C1885" s="49" t="s">
        <v>3183</v>
      </c>
      <c r="D1885" s="50"/>
      <c r="E1885" s="51">
        <v>21317000</v>
      </c>
      <c r="F1885" s="52">
        <f t="shared" si="114"/>
        <v>1705360</v>
      </c>
      <c r="G1885" s="53">
        <f t="shared" si="113"/>
        <v>23022360</v>
      </c>
      <c r="H1885" s="54">
        <v>23022360</v>
      </c>
      <c r="I1885" s="55">
        <f t="shared" si="115"/>
        <v>0</v>
      </c>
      <c r="J1885" s="56">
        <v>46232</v>
      </c>
      <c r="K1885" s="57" t="s">
        <v>3387</v>
      </c>
    </row>
    <row r="1886" spans="1:11" ht="15.75" hidden="1" customHeight="1" x14ac:dyDescent="0.35">
      <c r="A1886" s="47" t="s">
        <v>180</v>
      </c>
      <c r="B1886" s="48" t="s">
        <v>3231</v>
      </c>
      <c r="C1886" s="49" t="s">
        <v>3184</v>
      </c>
      <c r="D1886" s="50"/>
      <c r="E1886" s="51">
        <v>22517000</v>
      </c>
      <c r="F1886" s="52">
        <f t="shared" si="114"/>
        <v>1801360</v>
      </c>
      <c r="G1886" s="53">
        <f t="shared" si="113"/>
        <v>24318360</v>
      </c>
      <c r="H1886" s="54">
        <v>24318360</v>
      </c>
      <c r="I1886" s="55">
        <f t="shared" si="115"/>
        <v>0</v>
      </c>
      <c r="J1886" s="56">
        <v>46232</v>
      </c>
      <c r="K1886" s="57" t="s">
        <v>3387</v>
      </c>
    </row>
    <row r="1887" spans="1:11" ht="15.75" hidden="1" customHeight="1" x14ac:dyDescent="0.35">
      <c r="A1887" s="47" t="s">
        <v>183</v>
      </c>
      <c r="B1887" s="48" t="s">
        <v>3231</v>
      </c>
      <c r="C1887" s="49" t="s">
        <v>3185</v>
      </c>
      <c r="D1887" s="50"/>
      <c r="E1887" s="51">
        <v>21026200</v>
      </c>
      <c r="F1887" s="52">
        <f t="shared" si="114"/>
        <v>1682096</v>
      </c>
      <c r="G1887" s="53">
        <f t="shared" si="113"/>
        <v>22708296</v>
      </c>
      <c r="H1887" s="54">
        <v>22708296</v>
      </c>
      <c r="I1887" s="55">
        <f t="shared" si="115"/>
        <v>0</v>
      </c>
      <c r="J1887" s="56">
        <v>46232</v>
      </c>
      <c r="K1887" s="57" t="s">
        <v>3387</v>
      </c>
    </row>
    <row r="1888" spans="1:11" ht="15.75" hidden="1" customHeight="1" x14ac:dyDescent="0.35">
      <c r="A1888" s="47" t="s">
        <v>3036</v>
      </c>
      <c r="B1888" s="48" t="s">
        <v>3231</v>
      </c>
      <c r="C1888" s="49" t="s">
        <v>1813</v>
      </c>
      <c r="D1888" s="50"/>
      <c r="E1888" s="51">
        <v>23786400</v>
      </c>
      <c r="F1888" s="52">
        <f t="shared" si="114"/>
        <v>1902912</v>
      </c>
      <c r="G1888" s="53">
        <f t="shared" si="113"/>
        <v>25689312</v>
      </c>
      <c r="H1888" s="54">
        <v>25689312</v>
      </c>
      <c r="I1888" s="55">
        <f t="shared" si="115"/>
        <v>0</v>
      </c>
      <c r="J1888" s="56">
        <v>46232</v>
      </c>
      <c r="K1888" s="57" t="s">
        <v>3387</v>
      </c>
    </row>
    <row r="1889" spans="1:11" ht="15.75" hidden="1" customHeight="1" x14ac:dyDescent="0.35">
      <c r="A1889" s="47" t="s">
        <v>2734</v>
      </c>
      <c r="B1889" s="48" t="s">
        <v>3231</v>
      </c>
      <c r="C1889" s="49" t="s">
        <v>3186</v>
      </c>
      <c r="D1889" s="50"/>
      <c r="E1889" s="51">
        <v>13167000</v>
      </c>
      <c r="F1889" s="52">
        <f t="shared" si="114"/>
        <v>1053360</v>
      </c>
      <c r="G1889" s="53">
        <f t="shared" si="113"/>
        <v>14220360</v>
      </c>
      <c r="H1889" s="54"/>
      <c r="I1889" s="55">
        <f t="shared" si="115"/>
        <v>14220360</v>
      </c>
      <c r="J1889" s="56"/>
      <c r="K1889" s="57" t="s">
        <v>3387</v>
      </c>
    </row>
    <row r="1890" spans="1:11" ht="15.75" hidden="1" customHeight="1" x14ac:dyDescent="0.35">
      <c r="A1890" s="47" t="s">
        <v>2734</v>
      </c>
      <c r="B1890" s="48" t="s">
        <v>3231</v>
      </c>
      <c r="C1890" s="49" t="s">
        <v>3187</v>
      </c>
      <c r="D1890" s="50"/>
      <c r="E1890" s="51">
        <v>11183200</v>
      </c>
      <c r="F1890" s="52">
        <f t="shared" si="114"/>
        <v>894656</v>
      </c>
      <c r="G1890" s="53">
        <f t="shared" si="113"/>
        <v>12077856</v>
      </c>
      <c r="H1890" s="54"/>
      <c r="I1890" s="55">
        <f t="shared" si="115"/>
        <v>12077856</v>
      </c>
      <c r="J1890" s="56"/>
      <c r="K1890" s="57" t="s">
        <v>3387</v>
      </c>
    </row>
    <row r="1891" spans="1:11" ht="15.75" hidden="1" customHeight="1" x14ac:dyDescent="0.35">
      <c r="A1891" s="47" t="s">
        <v>2695</v>
      </c>
      <c r="B1891" s="48" t="s">
        <v>3232</v>
      </c>
      <c r="C1891" s="49" t="s">
        <v>1816</v>
      </c>
      <c r="D1891" s="50"/>
      <c r="E1891" s="51">
        <v>6645000</v>
      </c>
      <c r="F1891" s="52">
        <f t="shared" si="114"/>
        <v>531600</v>
      </c>
      <c r="G1891" s="53">
        <f t="shared" si="113"/>
        <v>7176600</v>
      </c>
      <c r="H1891" s="54">
        <v>7176600</v>
      </c>
      <c r="I1891" s="55">
        <f t="shared" si="115"/>
        <v>0</v>
      </c>
      <c r="J1891" s="56">
        <v>46170</v>
      </c>
      <c r="K1891" s="57" t="s">
        <v>3387</v>
      </c>
    </row>
    <row r="1892" spans="1:11" ht="15.75" hidden="1" customHeight="1" x14ac:dyDescent="0.35">
      <c r="A1892" s="47" t="s">
        <v>56</v>
      </c>
      <c r="B1892" s="48" t="s">
        <v>3232</v>
      </c>
      <c r="C1892" s="49" t="s">
        <v>440</v>
      </c>
      <c r="D1892" s="50"/>
      <c r="E1892" s="51">
        <v>11785000</v>
      </c>
      <c r="F1892" s="52">
        <f t="shared" si="114"/>
        <v>942800</v>
      </c>
      <c r="G1892" s="53">
        <f t="shared" si="113"/>
        <v>12727800</v>
      </c>
      <c r="H1892" s="54">
        <v>12727800</v>
      </c>
      <c r="I1892" s="55">
        <f t="shared" si="115"/>
        <v>0</v>
      </c>
      <c r="J1892" s="56">
        <v>46232</v>
      </c>
      <c r="K1892" s="57" t="s">
        <v>3387</v>
      </c>
    </row>
    <row r="1893" spans="1:11" ht="15.75" hidden="1" customHeight="1" x14ac:dyDescent="0.35">
      <c r="A1893" s="47" t="s">
        <v>2698</v>
      </c>
      <c r="B1893" s="48" t="s">
        <v>3232</v>
      </c>
      <c r="C1893" s="50" t="s">
        <v>3188</v>
      </c>
      <c r="D1893" s="50"/>
      <c r="E1893" s="51">
        <v>19142000</v>
      </c>
      <c r="F1893" s="52">
        <f t="shared" si="114"/>
        <v>1531360</v>
      </c>
      <c r="G1893" s="53">
        <f t="shared" si="113"/>
        <v>20673360</v>
      </c>
      <c r="H1893" s="54">
        <v>20673360</v>
      </c>
      <c r="I1893" s="55">
        <f t="shared" si="115"/>
        <v>0</v>
      </c>
      <c r="J1893" s="56">
        <v>46232</v>
      </c>
      <c r="K1893" s="57" t="s">
        <v>3387</v>
      </c>
    </row>
    <row r="1894" spans="1:11" ht="15.75" hidden="1" customHeight="1" x14ac:dyDescent="0.35">
      <c r="A1894" s="47" t="s">
        <v>2702</v>
      </c>
      <c r="B1894" s="48" t="s">
        <v>3232</v>
      </c>
      <c r="C1894" s="50" t="s">
        <v>3189</v>
      </c>
      <c r="D1894" s="50"/>
      <c r="E1894" s="51">
        <v>14727000</v>
      </c>
      <c r="F1894" s="52">
        <f t="shared" si="114"/>
        <v>1178160</v>
      </c>
      <c r="G1894" s="53">
        <f t="shared" si="113"/>
        <v>15905160</v>
      </c>
      <c r="H1894" s="54"/>
      <c r="I1894" s="55">
        <f t="shared" si="115"/>
        <v>15905160</v>
      </c>
      <c r="J1894" s="56"/>
      <c r="K1894" s="57" t="s">
        <v>3387</v>
      </c>
    </row>
    <row r="1895" spans="1:11" ht="15.75" hidden="1" customHeight="1" x14ac:dyDescent="0.35">
      <c r="A1895" s="47" t="s">
        <v>2688</v>
      </c>
      <c r="B1895" s="48" t="s">
        <v>3232</v>
      </c>
      <c r="C1895" s="49" t="s">
        <v>3190</v>
      </c>
      <c r="D1895" s="50"/>
      <c r="E1895" s="51">
        <v>1815000</v>
      </c>
      <c r="F1895" s="52">
        <f t="shared" si="114"/>
        <v>145200</v>
      </c>
      <c r="G1895" s="53">
        <f t="shared" si="113"/>
        <v>1960200</v>
      </c>
      <c r="H1895" s="54">
        <v>1960200</v>
      </c>
      <c r="I1895" s="55">
        <f t="shared" si="115"/>
        <v>0</v>
      </c>
      <c r="J1895" s="56">
        <v>46232</v>
      </c>
      <c r="K1895" s="57" t="s">
        <v>3387</v>
      </c>
    </row>
    <row r="1896" spans="1:11" ht="15.75" hidden="1" customHeight="1" x14ac:dyDescent="0.35">
      <c r="A1896" s="47" t="s">
        <v>2721</v>
      </c>
      <c r="B1896" s="48" t="s">
        <v>3232</v>
      </c>
      <c r="C1896" s="49" t="s">
        <v>3191</v>
      </c>
      <c r="D1896" s="50"/>
      <c r="E1896" s="51">
        <v>5400000</v>
      </c>
      <c r="F1896" s="52">
        <f t="shared" si="114"/>
        <v>432000</v>
      </c>
      <c r="G1896" s="53">
        <f t="shared" si="113"/>
        <v>5832000</v>
      </c>
      <c r="H1896" s="54">
        <v>5832000</v>
      </c>
      <c r="I1896" s="55">
        <f t="shared" si="115"/>
        <v>0</v>
      </c>
      <c r="J1896" s="56">
        <v>46232</v>
      </c>
      <c r="K1896" s="57" t="s">
        <v>3387</v>
      </c>
    </row>
    <row r="1897" spans="1:11" ht="15.75" hidden="1" customHeight="1" x14ac:dyDescent="0.35">
      <c r="A1897" s="47" t="s">
        <v>2728</v>
      </c>
      <c r="B1897" s="48" t="s">
        <v>3233</v>
      </c>
      <c r="C1897" s="49" t="s">
        <v>3192</v>
      </c>
      <c r="D1897" s="50"/>
      <c r="E1897" s="51">
        <v>810000</v>
      </c>
      <c r="F1897" s="52">
        <f t="shared" si="114"/>
        <v>64800</v>
      </c>
      <c r="G1897" s="53">
        <f t="shared" si="113"/>
        <v>874800</v>
      </c>
      <c r="H1897" s="54">
        <v>874800</v>
      </c>
      <c r="I1897" s="55">
        <f t="shared" si="115"/>
        <v>0</v>
      </c>
      <c r="J1897" s="56">
        <v>46170</v>
      </c>
      <c r="K1897" s="57" t="s">
        <v>3387</v>
      </c>
    </row>
    <row r="1898" spans="1:11" ht="15.75" hidden="1" customHeight="1" x14ac:dyDescent="0.35">
      <c r="A1898" s="47" t="s">
        <v>2686</v>
      </c>
      <c r="B1898" s="48" t="s">
        <v>3233</v>
      </c>
      <c r="C1898" s="49" t="s">
        <v>446</v>
      </c>
      <c r="D1898" s="50"/>
      <c r="E1898" s="51">
        <v>2836000</v>
      </c>
      <c r="F1898" s="52">
        <f t="shared" si="114"/>
        <v>226880</v>
      </c>
      <c r="G1898" s="53">
        <f t="shared" si="113"/>
        <v>3062880</v>
      </c>
      <c r="H1898" s="54">
        <v>3062880</v>
      </c>
      <c r="I1898" s="55">
        <f t="shared" si="115"/>
        <v>0</v>
      </c>
      <c r="J1898" s="56">
        <v>46170</v>
      </c>
      <c r="K1898" s="57" t="s">
        <v>3387</v>
      </c>
    </row>
    <row r="1899" spans="1:11" ht="15.75" hidden="1" customHeight="1" x14ac:dyDescent="0.35">
      <c r="A1899" s="47" t="s">
        <v>24</v>
      </c>
      <c r="B1899" s="48" t="s">
        <v>3233</v>
      </c>
      <c r="C1899" s="49" t="s">
        <v>3193</v>
      </c>
      <c r="D1899" s="50"/>
      <c r="E1899" s="51">
        <v>3985000</v>
      </c>
      <c r="F1899" s="52">
        <f t="shared" si="114"/>
        <v>318800</v>
      </c>
      <c r="G1899" s="53">
        <f t="shared" si="113"/>
        <v>4303800</v>
      </c>
      <c r="H1899" s="54">
        <v>4303800</v>
      </c>
      <c r="I1899" s="55">
        <f t="shared" si="115"/>
        <v>0</v>
      </c>
      <c r="J1899" s="56">
        <v>46210</v>
      </c>
      <c r="K1899" s="57" t="s">
        <v>3387</v>
      </c>
    </row>
    <row r="1900" spans="1:11" ht="15.75" customHeight="1" x14ac:dyDescent="0.35">
      <c r="A1900" s="47" t="s">
        <v>2690</v>
      </c>
      <c r="B1900" s="48" t="s">
        <v>3233</v>
      </c>
      <c r="C1900" s="49" t="s">
        <v>448</v>
      </c>
      <c r="D1900" s="50"/>
      <c r="E1900" s="51">
        <v>9699200</v>
      </c>
      <c r="F1900" s="52">
        <f t="shared" si="114"/>
        <v>775936</v>
      </c>
      <c r="G1900" s="53">
        <f t="shared" si="113"/>
        <v>10475136</v>
      </c>
      <c r="H1900" s="54">
        <v>10475136</v>
      </c>
      <c r="I1900" s="55">
        <f t="shared" si="115"/>
        <v>0</v>
      </c>
      <c r="J1900" s="56">
        <v>46254</v>
      </c>
      <c r="K1900" s="57" t="s">
        <v>3387</v>
      </c>
    </row>
    <row r="1901" spans="1:11" ht="15.75" hidden="1" customHeight="1" x14ac:dyDescent="0.35">
      <c r="A1901" s="47" t="s">
        <v>308</v>
      </c>
      <c r="B1901" s="48" t="s">
        <v>3233</v>
      </c>
      <c r="C1901" s="49" t="s">
        <v>3194</v>
      </c>
      <c r="D1901" s="50"/>
      <c r="E1901" s="51">
        <v>2855000</v>
      </c>
      <c r="F1901" s="52">
        <f t="shared" si="114"/>
        <v>228400</v>
      </c>
      <c r="G1901" s="53">
        <f t="shared" si="113"/>
        <v>3083400</v>
      </c>
      <c r="H1901" s="54">
        <v>3083400</v>
      </c>
      <c r="I1901" s="55">
        <f t="shared" si="115"/>
        <v>0</v>
      </c>
      <c r="J1901" s="56">
        <v>46170</v>
      </c>
      <c r="K1901" s="57" t="s">
        <v>3387</v>
      </c>
    </row>
    <row r="1902" spans="1:11" ht="15.75" hidden="1" customHeight="1" x14ac:dyDescent="0.35">
      <c r="A1902" s="47" t="s">
        <v>2738</v>
      </c>
      <c r="B1902" s="48">
        <v>46084</v>
      </c>
      <c r="C1902" s="50" t="s">
        <v>3195</v>
      </c>
      <c r="D1902" s="50" t="s">
        <v>3386</v>
      </c>
      <c r="E1902" s="51">
        <v>0</v>
      </c>
      <c r="F1902" s="52">
        <f t="shared" si="114"/>
        <v>0</v>
      </c>
      <c r="G1902" s="53">
        <f t="shared" si="113"/>
        <v>0</v>
      </c>
      <c r="H1902" s="54"/>
      <c r="I1902" s="55">
        <f t="shared" si="115"/>
        <v>0</v>
      </c>
      <c r="J1902" s="56"/>
      <c r="K1902" s="57"/>
    </row>
    <row r="1903" spans="1:11" ht="15.75" hidden="1" customHeight="1" x14ac:dyDescent="0.35">
      <c r="A1903" s="47" t="s">
        <v>2696</v>
      </c>
      <c r="B1903" s="48" t="s">
        <v>3233</v>
      </c>
      <c r="C1903" s="49" t="s">
        <v>3196</v>
      </c>
      <c r="D1903" s="50"/>
      <c r="E1903" s="51">
        <v>13800000</v>
      </c>
      <c r="F1903" s="52">
        <f t="shared" si="114"/>
        <v>1104000</v>
      </c>
      <c r="G1903" s="53">
        <f t="shared" si="113"/>
        <v>14904000</v>
      </c>
      <c r="H1903" s="54">
        <v>14904000</v>
      </c>
      <c r="I1903" s="55">
        <f t="shared" si="115"/>
        <v>0</v>
      </c>
      <c r="J1903" s="56">
        <v>46170</v>
      </c>
      <c r="K1903" s="57" t="s">
        <v>3387</v>
      </c>
    </row>
    <row r="1904" spans="1:11" ht="15.75" hidden="1" customHeight="1" x14ac:dyDescent="0.35">
      <c r="A1904" s="47" t="s">
        <v>2730</v>
      </c>
      <c r="B1904" s="48" t="s">
        <v>3233</v>
      </c>
      <c r="C1904" s="49" t="s">
        <v>3197</v>
      </c>
      <c r="D1904" s="50"/>
      <c r="E1904" s="51">
        <v>14275000</v>
      </c>
      <c r="F1904" s="52">
        <f t="shared" si="114"/>
        <v>1142000</v>
      </c>
      <c r="G1904" s="53">
        <f t="shared" si="113"/>
        <v>15417000</v>
      </c>
      <c r="H1904" s="54">
        <v>15417000</v>
      </c>
      <c r="I1904" s="55">
        <f t="shared" si="115"/>
        <v>0</v>
      </c>
      <c r="J1904" s="56">
        <v>46232</v>
      </c>
      <c r="K1904" s="57" t="s">
        <v>3387</v>
      </c>
    </row>
    <row r="1905" spans="1:11" ht="15.75" hidden="1" customHeight="1" x14ac:dyDescent="0.35">
      <c r="A1905" s="47" t="s">
        <v>2733</v>
      </c>
      <c r="B1905" s="48" t="s">
        <v>3233</v>
      </c>
      <c r="C1905" s="49" t="s">
        <v>3198</v>
      </c>
      <c r="D1905" s="50"/>
      <c r="E1905" s="51">
        <v>34665000</v>
      </c>
      <c r="F1905" s="52">
        <f t="shared" si="114"/>
        <v>2773200</v>
      </c>
      <c r="G1905" s="53">
        <f t="shared" si="113"/>
        <v>37438200</v>
      </c>
      <c r="H1905" s="54">
        <v>37438200</v>
      </c>
      <c r="I1905" s="55">
        <f t="shared" si="115"/>
        <v>0</v>
      </c>
      <c r="J1905" s="56">
        <v>46210</v>
      </c>
      <c r="K1905" s="57" t="s">
        <v>3387</v>
      </c>
    </row>
    <row r="1906" spans="1:11" ht="15.75" hidden="1" customHeight="1" x14ac:dyDescent="0.35">
      <c r="A1906" s="47" t="s">
        <v>55</v>
      </c>
      <c r="B1906" s="48" t="s">
        <v>3234</v>
      </c>
      <c r="C1906" s="50" t="s">
        <v>455</v>
      </c>
      <c r="D1906" s="50"/>
      <c r="E1906" s="51">
        <v>40823000</v>
      </c>
      <c r="F1906" s="52">
        <f t="shared" si="114"/>
        <v>3265840</v>
      </c>
      <c r="G1906" s="53">
        <f t="shared" ref="G1906:G1969" si="116">E1906+F1906</f>
        <v>44088840</v>
      </c>
      <c r="H1906" s="54">
        <v>44088840</v>
      </c>
      <c r="I1906" s="55">
        <f t="shared" si="115"/>
        <v>0</v>
      </c>
      <c r="J1906" s="56">
        <v>46170</v>
      </c>
      <c r="K1906" s="57" t="s">
        <v>3387</v>
      </c>
    </row>
    <row r="1907" spans="1:11" ht="15.75" hidden="1" customHeight="1" x14ac:dyDescent="0.35">
      <c r="A1907" s="47" t="s">
        <v>2747</v>
      </c>
      <c r="B1907" s="48" t="s">
        <v>3234</v>
      </c>
      <c r="C1907" s="49" t="s">
        <v>3199</v>
      </c>
      <c r="D1907" s="50"/>
      <c r="E1907" s="51">
        <v>4926000</v>
      </c>
      <c r="F1907" s="52">
        <f t="shared" ref="F1907:F1970" si="117">+E1907*0.08</f>
        <v>394080</v>
      </c>
      <c r="G1907" s="53">
        <f t="shared" si="116"/>
        <v>5320080</v>
      </c>
      <c r="H1907" s="54"/>
      <c r="I1907" s="55">
        <f t="shared" ref="I1907:I1970" si="118">G1907-H1907</f>
        <v>5320080</v>
      </c>
      <c r="J1907" s="56"/>
      <c r="K1907" s="57" t="s">
        <v>3387</v>
      </c>
    </row>
    <row r="1908" spans="1:11" ht="15.75" hidden="1" customHeight="1" x14ac:dyDescent="0.35">
      <c r="A1908" s="47" t="s">
        <v>2683</v>
      </c>
      <c r="B1908" s="48" t="s">
        <v>3234</v>
      </c>
      <c r="C1908" s="49" t="s">
        <v>3200</v>
      </c>
      <c r="D1908" s="50"/>
      <c r="E1908" s="51">
        <v>6690000</v>
      </c>
      <c r="F1908" s="52">
        <f t="shared" si="117"/>
        <v>535200</v>
      </c>
      <c r="G1908" s="53">
        <f t="shared" si="116"/>
        <v>7225200</v>
      </c>
      <c r="H1908" s="54">
        <v>7225200</v>
      </c>
      <c r="I1908" s="55">
        <f t="shared" si="118"/>
        <v>0</v>
      </c>
      <c r="J1908" s="56">
        <v>46170</v>
      </c>
      <c r="K1908" s="57" t="s">
        <v>3387</v>
      </c>
    </row>
    <row r="1909" spans="1:11" ht="15.75" hidden="1" customHeight="1" x14ac:dyDescent="0.35">
      <c r="A1909" s="47" t="s">
        <v>2691</v>
      </c>
      <c r="B1909" s="48" t="s">
        <v>3234</v>
      </c>
      <c r="C1909" s="49" t="s">
        <v>1833</v>
      </c>
      <c r="D1909" s="50"/>
      <c r="E1909" s="51">
        <v>5330000</v>
      </c>
      <c r="F1909" s="52">
        <f t="shared" si="117"/>
        <v>426400</v>
      </c>
      <c r="G1909" s="53">
        <f t="shared" si="116"/>
        <v>5756400</v>
      </c>
      <c r="H1909" s="54">
        <v>5756400</v>
      </c>
      <c r="I1909" s="55">
        <f t="shared" si="118"/>
        <v>0</v>
      </c>
      <c r="J1909" s="56">
        <v>46232</v>
      </c>
      <c r="K1909" s="57" t="s">
        <v>3387</v>
      </c>
    </row>
    <row r="1910" spans="1:11" ht="15.75" customHeight="1" x14ac:dyDescent="0.35">
      <c r="A1910" s="47" t="s">
        <v>2727</v>
      </c>
      <c r="B1910" s="48" t="s">
        <v>3235</v>
      </c>
      <c r="C1910" s="50" t="s">
        <v>1836</v>
      </c>
      <c r="D1910" s="50"/>
      <c r="E1910" s="51">
        <v>209595000</v>
      </c>
      <c r="F1910" s="52">
        <f t="shared" si="117"/>
        <v>16767600</v>
      </c>
      <c r="G1910" s="53">
        <f t="shared" si="116"/>
        <v>226362600</v>
      </c>
      <c r="H1910" s="54">
        <v>226362600</v>
      </c>
      <c r="I1910" s="55">
        <f t="shared" si="118"/>
        <v>0</v>
      </c>
      <c r="J1910" s="56">
        <v>46254</v>
      </c>
      <c r="K1910" s="57" t="s">
        <v>3387</v>
      </c>
    </row>
    <row r="1911" spans="1:11" ht="15.75" hidden="1" customHeight="1" x14ac:dyDescent="0.35">
      <c r="A1911" s="47" t="s">
        <v>2680</v>
      </c>
      <c r="B1911" s="48" t="s">
        <v>3235</v>
      </c>
      <c r="C1911" s="49" t="s">
        <v>1838</v>
      </c>
      <c r="D1911" s="50"/>
      <c r="E1911" s="51">
        <v>15360000</v>
      </c>
      <c r="F1911" s="52">
        <f t="shared" si="117"/>
        <v>1228800</v>
      </c>
      <c r="G1911" s="53">
        <f t="shared" si="116"/>
        <v>16588800</v>
      </c>
      <c r="H1911" s="54"/>
      <c r="I1911" s="55">
        <f t="shared" si="118"/>
        <v>16588800</v>
      </c>
      <c r="J1911" s="56"/>
      <c r="K1911" s="57" t="s">
        <v>3387</v>
      </c>
    </row>
    <row r="1912" spans="1:11" ht="15.75" hidden="1" customHeight="1" x14ac:dyDescent="0.35">
      <c r="A1912" s="47" t="s">
        <v>2711</v>
      </c>
      <c r="B1912" s="48" t="s">
        <v>3235</v>
      </c>
      <c r="C1912" s="49" t="s">
        <v>3201</v>
      </c>
      <c r="D1912" s="50"/>
      <c r="E1912" s="51">
        <v>3289200</v>
      </c>
      <c r="F1912" s="52">
        <f t="shared" si="117"/>
        <v>263136</v>
      </c>
      <c r="G1912" s="53">
        <f t="shared" si="116"/>
        <v>3552336</v>
      </c>
      <c r="H1912" s="54">
        <v>3552336</v>
      </c>
      <c r="I1912" s="55">
        <f t="shared" si="118"/>
        <v>0</v>
      </c>
      <c r="J1912" s="56">
        <v>46232</v>
      </c>
      <c r="K1912" s="57" t="s">
        <v>3387</v>
      </c>
    </row>
    <row r="1913" spans="1:11" ht="15.75" hidden="1" customHeight="1" x14ac:dyDescent="0.35">
      <c r="A1913" s="47" t="s">
        <v>2718</v>
      </c>
      <c r="B1913" s="48" t="s">
        <v>3235</v>
      </c>
      <c r="C1913" s="49" t="s">
        <v>3202</v>
      </c>
      <c r="D1913" s="50"/>
      <c r="E1913" s="51">
        <v>2610000</v>
      </c>
      <c r="F1913" s="52">
        <f t="shared" si="117"/>
        <v>208800</v>
      </c>
      <c r="G1913" s="53">
        <f t="shared" si="116"/>
        <v>2818800</v>
      </c>
      <c r="H1913" s="54">
        <v>2818800</v>
      </c>
      <c r="I1913" s="55">
        <f t="shared" si="118"/>
        <v>0</v>
      </c>
      <c r="J1913" s="56">
        <v>46232</v>
      </c>
      <c r="K1913" s="57" t="s">
        <v>3387</v>
      </c>
    </row>
    <row r="1914" spans="1:11" ht="15.75" hidden="1" customHeight="1" x14ac:dyDescent="0.35">
      <c r="A1914" s="47" t="s">
        <v>2711</v>
      </c>
      <c r="B1914" s="48" t="s">
        <v>3236</v>
      </c>
      <c r="C1914" s="49" t="s">
        <v>3203</v>
      </c>
      <c r="D1914" s="50"/>
      <c r="E1914" s="51">
        <v>5355000</v>
      </c>
      <c r="F1914" s="52">
        <f t="shared" si="117"/>
        <v>428400</v>
      </c>
      <c r="G1914" s="53">
        <f t="shared" si="116"/>
        <v>5783400</v>
      </c>
      <c r="H1914" s="54">
        <v>5783400</v>
      </c>
      <c r="I1914" s="55">
        <f t="shared" si="118"/>
        <v>0</v>
      </c>
      <c r="J1914" s="56">
        <v>46232</v>
      </c>
      <c r="K1914" s="57" t="s">
        <v>3387</v>
      </c>
    </row>
    <row r="1915" spans="1:11" ht="15.75" hidden="1" customHeight="1" x14ac:dyDescent="0.35">
      <c r="A1915" s="47" t="s">
        <v>2688</v>
      </c>
      <c r="B1915" s="48" t="s">
        <v>3236</v>
      </c>
      <c r="C1915" s="49" t="s">
        <v>3204</v>
      </c>
      <c r="D1915" s="50"/>
      <c r="E1915" s="51">
        <v>3548000</v>
      </c>
      <c r="F1915" s="52">
        <f t="shared" si="117"/>
        <v>283840</v>
      </c>
      <c r="G1915" s="53">
        <f t="shared" si="116"/>
        <v>3831840</v>
      </c>
      <c r="H1915" s="54">
        <v>3831840</v>
      </c>
      <c r="I1915" s="55">
        <f t="shared" si="118"/>
        <v>0</v>
      </c>
      <c r="J1915" s="56">
        <v>46232</v>
      </c>
      <c r="K1915" s="57" t="s">
        <v>3387</v>
      </c>
    </row>
    <row r="1916" spans="1:11" ht="15.75" hidden="1" customHeight="1" x14ac:dyDescent="0.35">
      <c r="A1916" s="47" t="s">
        <v>2688</v>
      </c>
      <c r="B1916" s="48" t="s">
        <v>3236</v>
      </c>
      <c r="C1916" s="49" t="s">
        <v>3205</v>
      </c>
      <c r="D1916" s="50"/>
      <c r="E1916" s="51">
        <v>6133200</v>
      </c>
      <c r="F1916" s="52">
        <f t="shared" si="117"/>
        <v>490656</v>
      </c>
      <c r="G1916" s="53">
        <f t="shared" si="116"/>
        <v>6623856</v>
      </c>
      <c r="H1916" s="54">
        <v>6623856</v>
      </c>
      <c r="I1916" s="55">
        <f t="shared" si="118"/>
        <v>0</v>
      </c>
      <c r="J1916" s="56">
        <v>46232</v>
      </c>
      <c r="K1916" s="57" t="s">
        <v>3387</v>
      </c>
    </row>
    <row r="1917" spans="1:11" ht="15.75" customHeight="1" x14ac:dyDescent="0.35">
      <c r="A1917" s="47" t="s">
        <v>3052</v>
      </c>
      <c r="B1917" s="48" t="s">
        <v>3236</v>
      </c>
      <c r="C1917" s="49" t="s">
        <v>3206</v>
      </c>
      <c r="D1917" s="50"/>
      <c r="E1917" s="51">
        <v>1380000</v>
      </c>
      <c r="F1917" s="52">
        <f t="shared" si="117"/>
        <v>110400</v>
      </c>
      <c r="G1917" s="53">
        <f t="shared" si="116"/>
        <v>1490400</v>
      </c>
      <c r="H1917" s="54">
        <v>1490400</v>
      </c>
      <c r="I1917" s="55">
        <f t="shared" si="118"/>
        <v>0</v>
      </c>
      <c r="J1917" s="56">
        <v>46254</v>
      </c>
      <c r="K1917" s="57" t="s">
        <v>3387</v>
      </c>
    </row>
    <row r="1918" spans="1:11" ht="15.75" hidden="1" customHeight="1" x14ac:dyDescent="0.35">
      <c r="A1918" s="47" t="s">
        <v>3021</v>
      </c>
      <c r="B1918" s="48" t="s">
        <v>3236</v>
      </c>
      <c r="C1918" s="49" t="s">
        <v>3207</v>
      </c>
      <c r="D1918" s="50"/>
      <c r="E1918" s="51">
        <v>2100000</v>
      </c>
      <c r="F1918" s="52">
        <f t="shared" si="117"/>
        <v>168000</v>
      </c>
      <c r="G1918" s="53">
        <f t="shared" si="116"/>
        <v>2268000</v>
      </c>
      <c r="H1918" s="54"/>
      <c r="I1918" s="55">
        <f t="shared" si="118"/>
        <v>2268000</v>
      </c>
      <c r="J1918" s="56"/>
      <c r="K1918" s="57" t="s">
        <v>3387</v>
      </c>
    </row>
    <row r="1919" spans="1:11" ht="15.75" hidden="1" customHeight="1" x14ac:dyDescent="0.35">
      <c r="A1919" s="47" t="s">
        <v>24</v>
      </c>
      <c r="B1919" s="48" t="s">
        <v>3237</v>
      </c>
      <c r="C1919" s="49" t="s">
        <v>3208</v>
      </c>
      <c r="D1919" s="50"/>
      <c r="E1919" s="51">
        <v>7385000</v>
      </c>
      <c r="F1919" s="52">
        <f t="shared" si="117"/>
        <v>590800</v>
      </c>
      <c r="G1919" s="53">
        <f t="shared" si="116"/>
        <v>7975800</v>
      </c>
      <c r="H1919" s="54">
        <v>7975800</v>
      </c>
      <c r="I1919" s="55">
        <f t="shared" si="118"/>
        <v>0</v>
      </c>
      <c r="J1919" s="56">
        <v>46210</v>
      </c>
      <c r="K1919" s="57" t="s">
        <v>3387</v>
      </c>
    </row>
    <row r="1920" spans="1:11" ht="15.75" hidden="1" customHeight="1" x14ac:dyDescent="0.35">
      <c r="A1920" s="47" t="s">
        <v>2689</v>
      </c>
      <c r="B1920" s="48" t="s">
        <v>3237</v>
      </c>
      <c r="C1920" s="49" t="s">
        <v>3209</v>
      </c>
      <c r="D1920" s="50"/>
      <c r="E1920" s="51">
        <v>2045000</v>
      </c>
      <c r="F1920" s="52">
        <f t="shared" si="117"/>
        <v>163600</v>
      </c>
      <c r="G1920" s="53">
        <f t="shared" si="116"/>
        <v>2208600</v>
      </c>
      <c r="H1920" s="54"/>
      <c r="I1920" s="55">
        <f t="shared" si="118"/>
        <v>2208600</v>
      </c>
      <c r="J1920" s="56"/>
      <c r="K1920" s="57" t="s">
        <v>3387</v>
      </c>
    </row>
    <row r="1921" spans="1:11" ht="15.75" hidden="1" customHeight="1" x14ac:dyDescent="0.35">
      <c r="A1921" s="47" t="s">
        <v>2681</v>
      </c>
      <c r="B1921" s="48" t="s">
        <v>3237</v>
      </c>
      <c r="C1921" s="49" t="s">
        <v>3210</v>
      </c>
      <c r="D1921" s="50"/>
      <c r="E1921" s="51">
        <v>6480000</v>
      </c>
      <c r="F1921" s="52">
        <f t="shared" si="117"/>
        <v>518400</v>
      </c>
      <c r="G1921" s="53">
        <f t="shared" si="116"/>
        <v>6998400</v>
      </c>
      <c r="H1921" s="54"/>
      <c r="I1921" s="55">
        <f t="shared" si="118"/>
        <v>6998400</v>
      </c>
      <c r="J1921" s="56"/>
      <c r="K1921" s="57" t="s">
        <v>3387</v>
      </c>
    </row>
    <row r="1922" spans="1:11" ht="15.75" hidden="1" customHeight="1" x14ac:dyDescent="0.35">
      <c r="A1922" s="47" t="s">
        <v>2695</v>
      </c>
      <c r="B1922" s="48" t="s">
        <v>3237</v>
      </c>
      <c r="C1922" s="50" t="s">
        <v>3211</v>
      </c>
      <c r="D1922" s="50"/>
      <c r="E1922" s="51">
        <v>36568400</v>
      </c>
      <c r="F1922" s="52">
        <f t="shared" si="117"/>
        <v>2925472</v>
      </c>
      <c r="G1922" s="53">
        <f t="shared" si="116"/>
        <v>39493872</v>
      </c>
      <c r="H1922" s="54">
        <v>39493872</v>
      </c>
      <c r="I1922" s="55">
        <f t="shared" si="118"/>
        <v>0</v>
      </c>
      <c r="J1922" s="56">
        <v>46170</v>
      </c>
      <c r="K1922" s="57" t="s">
        <v>3387</v>
      </c>
    </row>
    <row r="1923" spans="1:11" ht="15.75" customHeight="1" x14ac:dyDescent="0.35">
      <c r="A1923" s="47" t="s">
        <v>2713</v>
      </c>
      <c r="B1923" s="48" t="s">
        <v>3237</v>
      </c>
      <c r="C1923" s="49" t="s">
        <v>3212</v>
      </c>
      <c r="D1923" s="50"/>
      <c r="E1923" s="51">
        <v>32466000</v>
      </c>
      <c r="F1923" s="52">
        <f t="shared" si="117"/>
        <v>2597280</v>
      </c>
      <c r="G1923" s="53">
        <f t="shared" si="116"/>
        <v>35063280</v>
      </c>
      <c r="H1923" s="54">
        <v>35063280</v>
      </c>
      <c r="I1923" s="55">
        <f t="shared" si="118"/>
        <v>0</v>
      </c>
      <c r="J1923" s="56">
        <v>46254</v>
      </c>
      <c r="K1923" s="57" t="s">
        <v>3387</v>
      </c>
    </row>
    <row r="1924" spans="1:11" ht="15.75" hidden="1" customHeight="1" x14ac:dyDescent="0.35">
      <c r="A1924" s="47" t="s">
        <v>2718</v>
      </c>
      <c r="B1924" s="48" t="s">
        <v>3237</v>
      </c>
      <c r="C1924" s="49" t="s">
        <v>3213</v>
      </c>
      <c r="D1924" s="50"/>
      <c r="E1924" s="51">
        <v>7524000</v>
      </c>
      <c r="F1924" s="52">
        <f t="shared" si="117"/>
        <v>601920</v>
      </c>
      <c r="G1924" s="53">
        <f t="shared" si="116"/>
        <v>8125920</v>
      </c>
      <c r="H1924" s="54">
        <v>8125920</v>
      </c>
      <c r="I1924" s="55">
        <f t="shared" si="118"/>
        <v>0</v>
      </c>
      <c r="J1924" s="56">
        <v>46232</v>
      </c>
      <c r="K1924" s="57" t="s">
        <v>3387</v>
      </c>
    </row>
    <row r="1925" spans="1:11" ht="15.75" customHeight="1" x14ac:dyDescent="0.35">
      <c r="A1925" s="47" t="s">
        <v>2716</v>
      </c>
      <c r="B1925" s="48" t="s">
        <v>3237</v>
      </c>
      <c r="C1925" s="50" t="s">
        <v>101</v>
      </c>
      <c r="D1925" s="50"/>
      <c r="E1925" s="51">
        <v>22174200</v>
      </c>
      <c r="F1925" s="52">
        <f t="shared" si="117"/>
        <v>1773936</v>
      </c>
      <c r="G1925" s="53">
        <f t="shared" si="116"/>
        <v>23948136</v>
      </c>
      <c r="H1925" s="54">
        <v>23948136</v>
      </c>
      <c r="I1925" s="55">
        <f t="shared" si="118"/>
        <v>0</v>
      </c>
      <c r="J1925" s="56">
        <v>46254</v>
      </c>
      <c r="K1925" s="57" t="s">
        <v>3387</v>
      </c>
    </row>
    <row r="1926" spans="1:11" ht="15.75" hidden="1" customHeight="1" x14ac:dyDescent="0.35">
      <c r="A1926" s="47" t="s">
        <v>2711</v>
      </c>
      <c r="B1926" s="48" t="s">
        <v>3237</v>
      </c>
      <c r="C1926" s="49" t="s">
        <v>3214</v>
      </c>
      <c r="D1926" s="50"/>
      <c r="E1926" s="51">
        <v>2760000</v>
      </c>
      <c r="F1926" s="52">
        <f t="shared" si="117"/>
        <v>220800</v>
      </c>
      <c r="G1926" s="53">
        <f t="shared" si="116"/>
        <v>2980800</v>
      </c>
      <c r="H1926" s="54">
        <v>2980800</v>
      </c>
      <c r="I1926" s="55">
        <f t="shared" si="118"/>
        <v>0</v>
      </c>
      <c r="J1926" s="56">
        <v>46232</v>
      </c>
      <c r="K1926" s="57" t="s">
        <v>3387</v>
      </c>
    </row>
    <row r="1927" spans="1:11" ht="15.75" hidden="1" customHeight="1" x14ac:dyDescent="0.35">
      <c r="A1927" s="47" t="s">
        <v>2698</v>
      </c>
      <c r="B1927" s="48" t="s">
        <v>3237</v>
      </c>
      <c r="C1927" s="50" t="s">
        <v>3215</v>
      </c>
      <c r="D1927" s="50"/>
      <c r="E1927" s="51">
        <v>21081500</v>
      </c>
      <c r="F1927" s="52">
        <f t="shared" si="117"/>
        <v>1686520</v>
      </c>
      <c r="G1927" s="53">
        <f t="shared" si="116"/>
        <v>22768020</v>
      </c>
      <c r="H1927" s="54">
        <v>22768020</v>
      </c>
      <c r="I1927" s="55">
        <f t="shared" si="118"/>
        <v>0</v>
      </c>
      <c r="J1927" s="56">
        <v>46232</v>
      </c>
      <c r="K1927" s="57" t="s">
        <v>3387</v>
      </c>
    </row>
    <row r="1928" spans="1:11" ht="15.75" hidden="1" customHeight="1" x14ac:dyDescent="0.35">
      <c r="A1928" s="47" t="s">
        <v>24</v>
      </c>
      <c r="B1928" s="48" t="s">
        <v>3238</v>
      </c>
      <c r="C1928" s="49" t="s">
        <v>3216</v>
      </c>
      <c r="D1928" s="50"/>
      <c r="E1928" s="51">
        <v>4140000</v>
      </c>
      <c r="F1928" s="52">
        <f t="shared" si="117"/>
        <v>331200</v>
      </c>
      <c r="G1928" s="53">
        <f t="shared" si="116"/>
        <v>4471200</v>
      </c>
      <c r="H1928" s="54">
        <v>4471200</v>
      </c>
      <c r="I1928" s="55">
        <f t="shared" si="118"/>
        <v>0</v>
      </c>
      <c r="J1928" s="56">
        <v>46210</v>
      </c>
      <c r="K1928" s="57" t="s">
        <v>3387</v>
      </c>
    </row>
    <row r="1929" spans="1:11" ht="15.75" hidden="1" customHeight="1" x14ac:dyDescent="0.35">
      <c r="A1929" s="47" t="s">
        <v>3016</v>
      </c>
      <c r="B1929" s="48" t="s">
        <v>3238</v>
      </c>
      <c r="C1929" s="50" t="s">
        <v>3217</v>
      </c>
      <c r="D1929" s="50"/>
      <c r="E1929" s="51">
        <v>5445000</v>
      </c>
      <c r="F1929" s="52">
        <f t="shared" si="117"/>
        <v>435600</v>
      </c>
      <c r="G1929" s="53">
        <f t="shared" si="116"/>
        <v>5880600</v>
      </c>
      <c r="H1929" s="54">
        <v>5880600</v>
      </c>
      <c r="I1929" s="55">
        <f t="shared" si="118"/>
        <v>0</v>
      </c>
      <c r="J1929" s="56">
        <v>46232</v>
      </c>
      <c r="K1929" s="57" t="s">
        <v>3387</v>
      </c>
    </row>
    <row r="1930" spans="1:11" ht="15.75" hidden="1" customHeight="1" x14ac:dyDescent="0.35">
      <c r="A1930" s="47" t="s">
        <v>2685</v>
      </c>
      <c r="B1930" s="48" t="s">
        <v>3238</v>
      </c>
      <c r="C1930" s="50" t="s">
        <v>3218</v>
      </c>
      <c r="D1930" s="50"/>
      <c r="E1930" s="51">
        <v>12500400</v>
      </c>
      <c r="F1930" s="52">
        <f t="shared" si="117"/>
        <v>1000032</v>
      </c>
      <c r="G1930" s="53">
        <f t="shared" si="116"/>
        <v>13500432</v>
      </c>
      <c r="H1930" s="54">
        <v>13500432</v>
      </c>
      <c r="I1930" s="55">
        <f t="shared" si="118"/>
        <v>0</v>
      </c>
      <c r="J1930" s="56">
        <v>46232</v>
      </c>
      <c r="K1930" s="57" t="s">
        <v>3387</v>
      </c>
    </row>
    <row r="1931" spans="1:11" ht="15.75" hidden="1" customHeight="1" x14ac:dyDescent="0.35">
      <c r="A1931" s="47" t="s">
        <v>2728</v>
      </c>
      <c r="B1931" s="48" t="s">
        <v>3238</v>
      </c>
      <c r="C1931" s="49" t="s">
        <v>493</v>
      </c>
      <c r="D1931" s="50"/>
      <c r="E1931" s="51">
        <v>1040000</v>
      </c>
      <c r="F1931" s="52">
        <f t="shared" si="117"/>
        <v>83200</v>
      </c>
      <c r="G1931" s="53">
        <f t="shared" si="116"/>
        <v>1123200</v>
      </c>
      <c r="H1931" s="54">
        <v>1123200</v>
      </c>
      <c r="I1931" s="55">
        <f t="shared" si="118"/>
        <v>0</v>
      </c>
      <c r="J1931" s="56">
        <v>46170</v>
      </c>
      <c r="K1931" s="57" t="s">
        <v>3387</v>
      </c>
    </row>
    <row r="1932" spans="1:11" ht="15.75" hidden="1" customHeight="1" x14ac:dyDescent="0.35">
      <c r="A1932" s="47" t="s">
        <v>2742</v>
      </c>
      <c r="B1932" s="48">
        <v>46044</v>
      </c>
      <c r="C1932" s="50" t="s">
        <v>3219</v>
      </c>
      <c r="D1932" s="49" t="s">
        <v>1888</v>
      </c>
      <c r="E1932" s="51">
        <v>5761000</v>
      </c>
      <c r="F1932" s="52">
        <f t="shared" si="117"/>
        <v>460880</v>
      </c>
      <c r="G1932" s="53">
        <f t="shared" si="116"/>
        <v>6221880</v>
      </c>
      <c r="H1932" s="54">
        <v>6221880</v>
      </c>
      <c r="I1932" s="55">
        <f t="shared" si="118"/>
        <v>0</v>
      </c>
      <c r="J1932" s="56">
        <v>46232</v>
      </c>
      <c r="K1932" s="57" t="s">
        <v>3387</v>
      </c>
    </row>
    <row r="1933" spans="1:11" ht="15.75" hidden="1" customHeight="1" x14ac:dyDescent="0.35">
      <c r="A1933" s="47" t="s">
        <v>2680</v>
      </c>
      <c r="B1933" s="48" t="s">
        <v>3238</v>
      </c>
      <c r="C1933" s="50" t="s">
        <v>3220</v>
      </c>
      <c r="D1933" s="50"/>
      <c r="E1933" s="51">
        <v>3240000</v>
      </c>
      <c r="F1933" s="52">
        <f t="shared" si="117"/>
        <v>259200</v>
      </c>
      <c r="G1933" s="53">
        <f t="shared" si="116"/>
        <v>3499200</v>
      </c>
      <c r="H1933" s="54"/>
      <c r="I1933" s="55">
        <f t="shared" si="118"/>
        <v>3499200</v>
      </c>
      <c r="J1933" s="56"/>
      <c r="K1933" s="57" t="s">
        <v>3387</v>
      </c>
    </row>
    <row r="1934" spans="1:11" ht="15.75" customHeight="1" x14ac:dyDescent="0.35">
      <c r="A1934" s="47" t="s">
        <v>2690</v>
      </c>
      <c r="B1934" s="48" t="s">
        <v>3238</v>
      </c>
      <c r="C1934" s="49" t="s">
        <v>3221</v>
      </c>
      <c r="D1934" s="50"/>
      <c r="E1934" s="51">
        <v>3900000</v>
      </c>
      <c r="F1934" s="52">
        <f t="shared" si="117"/>
        <v>312000</v>
      </c>
      <c r="G1934" s="53">
        <f t="shared" si="116"/>
        <v>4212000</v>
      </c>
      <c r="H1934" s="54">
        <v>4212000</v>
      </c>
      <c r="I1934" s="55">
        <f t="shared" si="118"/>
        <v>0</v>
      </c>
      <c r="J1934" s="56">
        <v>46254</v>
      </c>
      <c r="K1934" s="57" t="s">
        <v>3387</v>
      </c>
    </row>
    <row r="1935" spans="1:11" ht="15.75" hidden="1" customHeight="1" x14ac:dyDescent="0.35">
      <c r="A1935" s="47" t="s">
        <v>2718</v>
      </c>
      <c r="B1935" s="48" t="s">
        <v>3238</v>
      </c>
      <c r="C1935" s="49" t="s">
        <v>3222</v>
      </c>
      <c r="D1935" s="50"/>
      <c r="E1935" s="51">
        <v>3762000</v>
      </c>
      <c r="F1935" s="52">
        <f t="shared" si="117"/>
        <v>300960</v>
      </c>
      <c r="G1935" s="53">
        <f t="shared" si="116"/>
        <v>4062960</v>
      </c>
      <c r="H1935" s="54">
        <v>4062960</v>
      </c>
      <c r="I1935" s="55">
        <f t="shared" si="118"/>
        <v>0</v>
      </c>
      <c r="J1935" s="56">
        <v>46232</v>
      </c>
      <c r="K1935" s="57" t="s">
        <v>3387</v>
      </c>
    </row>
    <row r="1936" spans="1:11" ht="15.75" hidden="1" customHeight="1" x14ac:dyDescent="0.35">
      <c r="A1936" s="47" t="s">
        <v>2724</v>
      </c>
      <c r="B1936" s="48" t="s">
        <v>3239</v>
      </c>
      <c r="C1936" s="49" t="s">
        <v>3223</v>
      </c>
      <c r="D1936" s="50"/>
      <c r="E1936" s="51">
        <v>1427500</v>
      </c>
      <c r="F1936" s="52">
        <f t="shared" si="117"/>
        <v>114200</v>
      </c>
      <c r="G1936" s="53">
        <f t="shared" si="116"/>
        <v>1541700</v>
      </c>
      <c r="H1936" s="54">
        <v>1541700</v>
      </c>
      <c r="I1936" s="55">
        <f t="shared" si="118"/>
        <v>0</v>
      </c>
      <c r="J1936" s="56">
        <v>46170</v>
      </c>
      <c r="K1936" s="57" t="s">
        <v>3387</v>
      </c>
    </row>
    <row r="1937" spans="1:11" ht="15.75" hidden="1" customHeight="1" x14ac:dyDescent="0.35">
      <c r="A1937" s="47" t="s">
        <v>3038</v>
      </c>
      <c r="B1937" s="48" t="s">
        <v>3239</v>
      </c>
      <c r="C1937" s="49" t="s">
        <v>3224</v>
      </c>
      <c r="D1937" s="50"/>
      <c r="E1937" s="51">
        <v>15048000</v>
      </c>
      <c r="F1937" s="52">
        <f t="shared" si="117"/>
        <v>1203840</v>
      </c>
      <c r="G1937" s="53">
        <f t="shared" si="116"/>
        <v>16251840</v>
      </c>
      <c r="H1937" s="54"/>
      <c r="I1937" s="55">
        <f t="shared" si="118"/>
        <v>16251840</v>
      </c>
      <c r="J1937" s="56"/>
      <c r="K1937" s="57" t="s">
        <v>3387</v>
      </c>
    </row>
    <row r="1938" spans="1:11" ht="15.75" hidden="1" customHeight="1" x14ac:dyDescent="0.35">
      <c r="A1938" s="47" t="s">
        <v>3241</v>
      </c>
      <c r="B1938" s="48" t="s">
        <v>3239</v>
      </c>
      <c r="C1938" s="49" t="s">
        <v>3225</v>
      </c>
      <c r="D1938" s="50"/>
      <c r="E1938" s="51">
        <v>29610800</v>
      </c>
      <c r="F1938" s="52">
        <f t="shared" si="117"/>
        <v>2368864</v>
      </c>
      <c r="G1938" s="53">
        <f t="shared" si="116"/>
        <v>31979664</v>
      </c>
      <c r="H1938" s="54">
        <v>31979664</v>
      </c>
      <c r="I1938" s="55">
        <f t="shared" si="118"/>
        <v>0</v>
      </c>
      <c r="J1938" s="56">
        <v>46232</v>
      </c>
      <c r="K1938" s="57" t="s">
        <v>3387</v>
      </c>
    </row>
    <row r="1939" spans="1:11" ht="15.75" hidden="1" customHeight="1" x14ac:dyDescent="0.35">
      <c r="A1939" s="47" t="s">
        <v>2786</v>
      </c>
      <c r="B1939" s="48" t="s">
        <v>3239</v>
      </c>
      <c r="C1939" s="49" t="s">
        <v>3226</v>
      </c>
      <c r="D1939" s="50"/>
      <c r="E1939" s="51">
        <v>1040000</v>
      </c>
      <c r="F1939" s="52">
        <f t="shared" si="117"/>
        <v>83200</v>
      </c>
      <c r="G1939" s="53">
        <f t="shared" si="116"/>
        <v>1123200</v>
      </c>
      <c r="H1939" s="53">
        <v>1123200</v>
      </c>
      <c r="I1939" s="55">
        <f t="shared" si="118"/>
        <v>0</v>
      </c>
      <c r="J1939" s="56">
        <v>46232</v>
      </c>
      <c r="K1939" s="57" t="s">
        <v>3387</v>
      </c>
    </row>
    <row r="1940" spans="1:11" ht="15.75" hidden="1" customHeight="1" x14ac:dyDescent="0.35">
      <c r="A1940" s="47" t="s">
        <v>2728</v>
      </c>
      <c r="B1940" s="48" t="s">
        <v>3239</v>
      </c>
      <c r="C1940" s="49" t="s">
        <v>3227</v>
      </c>
      <c r="D1940" s="50"/>
      <c r="E1940" s="51">
        <v>3200000</v>
      </c>
      <c r="F1940" s="52">
        <f t="shared" si="117"/>
        <v>256000</v>
      </c>
      <c r="G1940" s="53">
        <f t="shared" si="116"/>
        <v>3456000</v>
      </c>
      <c r="H1940" s="54">
        <v>3456000</v>
      </c>
      <c r="I1940" s="55">
        <f t="shared" si="118"/>
        <v>0</v>
      </c>
      <c r="J1940" s="56">
        <v>46170</v>
      </c>
      <c r="K1940" s="57" t="s">
        <v>3387</v>
      </c>
    </row>
    <row r="1941" spans="1:11" ht="15.75" customHeight="1" x14ac:dyDescent="0.35">
      <c r="A1941" s="47" t="s">
        <v>3059</v>
      </c>
      <c r="B1941" s="48" t="s">
        <v>3313</v>
      </c>
      <c r="C1941" s="49" t="s">
        <v>3244</v>
      </c>
      <c r="D1941" s="50"/>
      <c r="E1941" s="51">
        <v>2827200</v>
      </c>
      <c r="F1941" s="52">
        <f t="shared" si="117"/>
        <v>226176</v>
      </c>
      <c r="G1941" s="53">
        <f t="shared" si="116"/>
        <v>3053376</v>
      </c>
      <c r="H1941" s="54">
        <v>3053376</v>
      </c>
      <c r="I1941" s="55">
        <f t="shared" si="118"/>
        <v>0</v>
      </c>
      <c r="J1941" s="56">
        <v>46254</v>
      </c>
      <c r="K1941" s="57" t="s">
        <v>3387</v>
      </c>
    </row>
    <row r="1942" spans="1:11" ht="15.75" hidden="1" customHeight="1" x14ac:dyDescent="0.35">
      <c r="A1942" s="47" t="s">
        <v>2707</v>
      </c>
      <c r="B1942" s="48" t="s">
        <v>3313</v>
      </c>
      <c r="C1942" s="49" t="s">
        <v>3245</v>
      </c>
      <c r="D1942" s="50"/>
      <c r="E1942" s="51">
        <v>10500000</v>
      </c>
      <c r="F1942" s="52">
        <f t="shared" si="117"/>
        <v>840000</v>
      </c>
      <c r="G1942" s="53">
        <f t="shared" si="116"/>
        <v>11340000</v>
      </c>
      <c r="H1942" s="54">
        <v>11340000</v>
      </c>
      <c r="I1942" s="55">
        <f t="shared" si="118"/>
        <v>0</v>
      </c>
      <c r="J1942" s="56">
        <v>46170</v>
      </c>
      <c r="K1942" s="57" t="s">
        <v>3387</v>
      </c>
    </row>
    <row r="1943" spans="1:11" ht="15.75" hidden="1" customHeight="1" x14ac:dyDescent="0.35">
      <c r="A1943" s="47" t="s">
        <v>2698</v>
      </c>
      <c r="B1943" s="48" t="s">
        <v>3313</v>
      </c>
      <c r="C1943" s="50" t="s">
        <v>3246</v>
      </c>
      <c r="D1943" s="50"/>
      <c r="E1943" s="51">
        <v>22432000</v>
      </c>
      <c r="F1943" s="52">
        <f t="shared" si="117"/>
        <v>1794560</v>
      </c>
      <c r="G1943" s="53">
        <f t="shared" si="116"/>
        <v>24226560</v>
      </c>
      <c r="H1943" s="54">
        <v>24226560</v>
      </c>
      <c r="I1943" s="55">
        <f t="shared" si="118"/>
        <v>0</v>
      </c>
      <c r="J1943" s="56">
        <v>46232</v>
      </c>
      <c r="K1943" s="57" t="s">
        <v>3387</v>
      </c>
    </row>
    <row r="1944" spans="1:11" ht="15.75" hidden="1" customHeight="1" x14ac:dyDescent="0.35">
      <c r="A1944" s="47" t="s">
        <v>3036</v>
      </c>
      <c r="B1944" s="48" t="s">
        <v>3313</v>
      </c>
      <c r="C1944" s="49" t="s">
        <v>3247</v>
      </c>
      <c r="D1944" s="50"/>
      <c r="E1944" s="51">
        <v>20187000</v>
      </c>
      <c r="F1944" s="52">
        <f t="shared" si="117"/>
        <v>1614960</v>
      </c>
      <c r="G1944" s="53">
        <f t="shared" si="116"/>
        <v>21801960</v>
      </c>
      <c r="H1944" s="54">
        <v>21801960</v>
      </c>
      <c r="I1944" s="55">
        <f t="shared" si="118"/>
        <v>0</v>
      </c>
      <c r="J1944" s="56">
        <v>46232</v>
      </c>
      <c r="K1944" s="57" t="s">
        <v>3387</v>
      </c>
    </row>
    <row r="1945" spans="1:11" ht="15.75" customHeight="1" x14ac:dyDescent="0.35">
      <c r="A1945" s="47" t="s">
        <v>2713</v>
      </c>
      <c r="B1945" s="48" t="s">
        <v>3314</v>
      </c>
      <c r="C1945" s="49" t="s">
        <v>3248</v>
      </c>
      <c r="D1945" s="50"/>
      <c r="E1945" s="51">
        <v>18810000</v>
      </c>
      <c r="F1945" s="52">
        <f t="shared" si="117"/>
        <v>1504800</v>
      </c>
      <c r="G1945" s="53">
        <f t="shared" si="116"/>
        <v>20314800</v>
      </c>
      <c r="H1945" s="54">
        <v>20314800</v>
      </c>
      <c r="I1945" s="55">
        <f t="shared" si="118"/>
        <v>0</v>
      </c>
      <c r="J1945" s="56">
        <v>46254</v>
      </c>
      <c r="K1945" s="57" t="s">
        <v>3387</v>
      </c>
    </row>
    <row r="1946" spans="1:11" ht="15.75" hidden="1" customHeight="1" x14ac:dyDescent="0.35">
      <c r="A1946" s="47" t="s">
        <v>2683</v>
      </c>
      <c r="B1946" s="48" t="s">
        <v>3314</v>
      </c>
      <c r="C1946" s="49" t="s">
        <v>3249</v>
      </c>
      <c r="D1946" s="50"/>
      <c r="E1946" s="51">
        <v>13123200</v>
      </c>
      <c r="F1946" s="52">
        <f t="shared" si="117"/>
        <v>1049856</v>
      </c>
      <c r="G1946" s="53">
        <f t="shared" si="116"/>
        <v>14173056</v>
      </c>
      <c r="H1946" s="54">
        <v>14173056</v>
      </c>
      <c r="I1946" s="55">
        <f t="shared" si="118"/>
        <v>0</v>
      </c>
      <c r="J1946" s="56">
        <v>46170</v>
      </c>
      <c r="K1946" s="57" t="s">
        <v>3387</v>
      </c>
    </row>
    <row r="1947" spans="1:11" ht="15.75" hidden="1" customHeight="1" x14ac:dyDescent="0.35">
      <c r="A1947" s="47" t="s">
        <v>3054</v>
      </c>
      <c r="B1947" s="48" t="s">
        <v>3314</v>
      </c>
      <c r="C1947" s="49" t="s">
        <v>3250</v>
      </c>
      <c r="D1947" s="50"/>
      <c r="E1947" s="51">
        <v>7643000</v>
      </c>
      <c r="F1947" s="52">
        <f t="shared" si="117"/>
        <v>611440</v>
      </c>
      <c r="G1947" s="53">
        <f t="shared" si="116"/>
        <v>8254440</v>
      </c>
      <c r="H1947" s="54">
        <v>8254440</v>
      </c>
      <c r="I1947" s="55">
        <f t="shared" si="118"/>
        <v>0</v>
      </c>
      <c r="J1947" s="56">
        <v>46076</v>
      </c>
      <c r="K1947" s="57"/>
    </row>
    <row r="1948" spans="1:11" ht="15.75" hidden="1" customHeight="1" x14ac:dyDescent="0.35">
      <c r="A1948" s="47" t="s">
        <v>2688</v>
      </c>
      <c r="B1948" s="48" t="s">
        <v>3314</v>
      </c>
      <c r="C1948" s="49" t="s">
        <v>3251</v>
      </c>
      <c r="D1948" s="50"/>
      <c r="E1948" s="51">
        <v>2010000</v>
      </c>
      <c r="F1948" s="52">
        <f t="shared" si="117"/>
        <v>160800</v>
      </c>
      <c r="G1948" s="53">
        <f t="shared" si="116"/>
        <v>2170800</v>
      </c>
      <c r="H1948" s="54">
        <v>2170800</v>
      </c>
      <c r="I1948" s="55">
        <f t="shared" si="118"/>
        <v>0</v>
      </c>
      <c r="J1948" s="56">
        <v>46232</v>
      </c>
      <c r="K1948" s="57" t="s">
        <v>3387</v>
      </c>
    </row>
    <row r="1949" spans="1:11" ht="15.75" hidden="1" customHeight="1" x14ac:dyDescent="0.35">
      <c r="A1949" s="47" t="s">
        <v>56</v>
      </c>
      <c r="B1949" s="48" t="s">
        <v>3314</v>
      </c>
      <c r="C1949" s="49" t="s">
        <v>3252</v>
      </c>
      <c r="D1949" s="50"/>
      <c r="E1949" s="51">
        <v>25717500</v>
      </c>
      <c r="F1949" s="52">
        <f t="shared" si="117"/>
        <v>2057400</v>
      </c>
      <c r="G1949" s="53">
        <f t="shared" si="116"/>
        <v>27774900</v>
      </c>
      <c r="H1949" s="54">
        <v>27774900</v>
      </c>
      <c r="I1949" s="55">
        <f t="shared" si="118"/>
        <v>0</v>
      </c>
      <c r="J1949" s="56">
        <v>46232</v>
      </c>
      <c r="K1949" s="57" t="s">
        <v>3387</v>
      </c>
    </row>
    <row r="1950" spans="1:11" ht="15.75" customHeight="1" x14ac:dyDescent="0.35">
      <c r="A1950" s="47" t="s">
        <v>2727</v>
      </c>
      <c r="B1950" s="48" t="s">
        <v>3314</v>
      </c>
      <c r="C1950" s="49" t="s">
        <v>3253</v>
      </c>
      <c r="D1950" s="50"/>
      <c r="E1950" s="51">
        <v>22572000</v>
      </c>
      <c r="F1950" s="52">
        <f t="shared" si="117"/>
        <v>1805760</v>
      </c>
      <c r="G1950" s="53">
        <f t="shared" si="116"/>
        <v>24377760</v>
      </c>
      <c r="H1950" s="54">
        <v>24377760</v>
      </c>
      <c r="I1950" s="55">
        <f t="shared" si="118"/>
        <v>0</v>
      </c>
      <c r="J1950" s="56">
        <v>46254</v>
      </c>
      <c r="K1950" s="57" t="s">
        <v>3387</v>
      </c>
    </row>
    <row r="1951" spans="1:11" ht="15.75" hidden="1" customHeight="1" x14ac:dyDescent="0.35">
      <c r="A1951" s="47" t="s">
        <v>2711</v>
      </c>
      <c r="B1951" s="48" t="s">
        <v>3315</v>
      </c>
      <c r="C1951" s="49" t="s">
        <v>3254</v>
      </c>
      <c r="D1951" s="50"/>
      <c r="E1951" s="51">
        <v>9068200</v>
      </c>
      <c r="F1951" s="52">
        <f t="shared" si="117"/>
        <v>725456</v>
      </c>
      <c r="G1951" s="53">
        <f t="shared" si="116"/>
        <v>9793656</v>
      </c>
      <c r="H1951" s="54">
        <v>9793656</v>
      </c>
      <c r="I1951" s="55">
        <f t="shared" si="118"/>
        <v>0</v>
      </c>
      <c r="J1951" s="56">
        <v>46232</v>
      </c>
      <c r="K1951" s="57" t="s">
        <v>3387</v>
      </c>
    </row>
    <row r="1952" spans="1:11" ht="15.75" hidden="1" customHeight="1" x14ac:dyDescent="0.35">
      <c r="A1952" s="47" t="s">
        <v>2747</v>
      </c>
      <c r="B1952" s="48" t="s">
        <v>3315</v>
      </c>
      <c r="C1952" s="49" t="s">
        <v>3255</v>
      </c>
      <c r="D1952" s="50"/>
      <c r="E1952" s="51">
        <v>3540000</v>
      </c>
      <c r="F1952" s="52">
        <f t="shared" si="117"/>
        <v>283200</v>
      </c>
      <c r="G1952" s="53">
        <f t="shared" si="116"/>
        <v>3823200</v>
      </c>
      <c r="H1952" s="54"/>
      <c r="I1952" s="55">
        <f t="shared" si="118"/>
        <v>3823200</v>
      </c>
      <c r="J1952" s="56"/>
      <c r="K1952" s="57" t="s">
        <v>3387</v>
      </c>
    </row>
    <row r="1953" spans="1:11" ht="15.75" customHeight="1" x14ac:dyDescent="0.35">
      <c r="A1953" s="47" t="s">
        <v>38</v>
      </c>
      <c r="B1953" s="48" t="s">
        <v>3315</v>
      </c>
      <c r="C1953" s="49" t="s">
        <v>3256</v>
      </c>
      <c r="D1953" s="50"/>
      <c r="E1953" s="51">
        <v>79776000</v>
      </c>
      <c r="F1953" s="52">
        <f t="shared" si="117"/>
        <v>6382080</v>
      </c>
      <c r="G1953" s="53">
        <f t="shared" si="116"/>
        <v>86158080</v>
      </c>
      <c r="H1953" s="54">
        <v>86158080</v>
      </c>
      <c r="I1953" s="55">
        <f t="shared" si="118"/>
        <v>0</v>
      </c>
      <c r="J1953" s="56">
        <v>46254</v>
      </c>
      <c r="K1953" s="57" t="s">
        <v>3387</v>
      </c>
    </row>
    <row r="1954" spans="1:11" ht="15.75" hidden="1" customHeight="1" x14ac:dyDescent="0.35">
      <c r="A1954" s="47" t="s">
        <v>3016</v>
      </c>
      <c r="B1954" s="48" t="s">
        <v>3316</v>
      </c>
      <c r="C1954" s="49" t="s">
        <v>1869</v>
      </c>
      <c r="D1954" s="50"/>
      <c r="E1954" s="51">
        <v>92983900</v>
      </c>
      <c r="F1954" s="52">
        <f t="shared" si="117"/>
        <v>7438712</v>
      </c>
      <c r="G1954" s="53">
        <f t="shared" si="116"/>
        <v>100422612</v>
      </c>
      <c r="H1954" s="54">
        <v>100422612</v>
      </c>
      <c r="I1954" s="55">
        <f t="shared" si="118"/>
        <v>0</v>
      </c>
      <c r="J1954" s="56">
        <v>46232</v>
      </c>
      <c r="K1954" s="57" t="s">
        <v>3387</v>
      </c>
    </row>
    <row r="1955" spans="1:11" ht="15.75" hidden="1" customHeight="1" x14ac:dyDescent="0.35">
      <c r="A1955" s="47" t="s">
        <v>2712</v>
      </c>
      <c r="B1955" s="48" t="s">
        <v>3317</v>
      </c>
      <c r="C1955" s="49" t="s">
        <v>3257</v>
      </c>
      <c r="D1955" s="50"/>
      <c r="E1955" s="51">
        <v>2805000</v>
      </c>
      <c r="F1955" s="52">
        <f t="shared" si="117"/>
        <v>224400</v>
      </c>
      <c r="G1955" s="53">
        <f t="shared" si="116"/>
        <v>3029400</v>
      </c>
      <c r="H1955" s="54">
        <v>3029400</v>
      </c>
      <c r="I1955" s="55">
        <f t="shared" si="118"/>
        <v>0</v>
      </c>
      <c r="J1955" s="56">
        <v>46232</v>
      </c>
      <c r="K1955" s="57" t="s">
        <v>3387</v>
      </c>
    </row>
    <row r="1956" spans="1:11" ht="15.75" hidden="1" customHeight="1" x14ac:dyDescent="0.35">
      <c r="A1956" s="47" t="s">
        <v>1414</v>
      </c>
      <c r="B1956" s="48" t="s">
        <v>3317</v>
      </c>
      <c r="C1956" s="49" t="s">
        <v>3258</v>
      </c>
      <c r="D1956" s="50"/>
      <c r="E1956" s="51">
        <v>2410000</v>
      </c>
      <c r="F1956" s="52">
        <f t="shared" si="117"/>
        <v>192800</v>
      </c>
      <c r="G1956" s="53">
        <f t="shared" si="116"/>
        <v>2602800</v>
      </c>
      <c r="H1956" s="54">
        <v>2602800</v>
      </c>
      <c r="I1956" s="55">
        <f t="shared" si="118"/>
        <v>0</v>
      </c>
      <c r="J1956" s="56">
        <v>46210</v>
      </c>
      <c r="K1956" s="57" t="s">
        <v>3387</v>
      </c>
    </row>
    <row r="1957" spans="1:11" ht="15.75" hidden="1" customHeight="1" x14ac:dyDescent="0.35">
      <c r="A1957" s="47" t="s">
        <v>2734</v>
      </c>
      <c r="B1957" s="48" t="s">
        <v>3317</v>
      </c>
      <c r="C1957" s="49" t="s">
        <v>3259</v>
      </c>
      <c r="D1957" s="50"/>
      <c r="E1957" s="51">
        <v>29939400</v>
      </c>
      <c r="F1957" s="52">
        <f t="shared" si="117"/>
        <v>2395152</v>
      </c>
      <c r="G1957" s="53">
        <f t="shared" si="116"/>
        <v>32334552</v>
      </c>
      <c r="H1957" s="54"/>
      <c r="I1957" s="55">
        <f t="shared" si="118"/>
        <v>32334552</v>
      </c>
      <c r="J1957" s="56"/>
      <c r="K1957" s="57" t="s">
        <v>3387</v>
      </c>
    </row>
    <row r="1958" spans="1:11" ht="15.75" hidden="1" customHeight="1" x14ac:dyDescent="0.35">
      <c r="A1958" s="47" t="s">
        <v>3241</v>
      </c>
      <c r="B1958" s="48" t="s">
        <v>3317</v>
      </c>
      <c r="C1958" s="49" t="s">
        <v>3260</v>
      </c>
      <c r="D1958" s="50"/>
      <c r="E1958" s="51">
        <v>18988400</v>
      </c>
      <c r="F1958" s="52">
        <f t="shared" si="117"/>
        <v>1519072</v>
      </c>
      <c r="G1958" s="53">
        <f t="shared" si="116"/>
        <v>20507472</v>
      </c>
      <c r="H1958" s="54">
        <v>20507472</v>
      </c>
      <c r="I1958" s="55">
        <f t="shared" si="118"/>
        <v>0</v>
      </c>
      <c r="J1958" s="56">
        <v>46232</v>
      </c>
      <c r="K1958" s="57" t="s">
        <v>3387</v>
      </c>
    </row>
    <row r="1959" spans="1:11" ht="15.75" hidden="1" customHeight="1" x14ac:dyDescent="0.35">
      <c r="A1959" s="47" t="s">
        <v>2711</v>
      </c>
      <c r="B1959" s="48" t="s">
        <v>3317</v>
      </c>
      <c r="C1959" s="49" t="s">
        <v>3261</v>
      </c>
      <c r="D1959" s="50"/>
      <c r="E1959" s="51">
        <v>10204000</v>
      </c>
      <c r="F1959" s="52">
        <f t="shared" si="117"/>
        <v>816320</v>
      </c>
      <c r="G1959" s="53">
        <f t="shared" si="116"/>
        <v>11020320</v>
      </c>
      <c r="H1959" s="54">
        <v>11020320</v>
      </c>
      <c r="I1959" s="55">
        <f t="shared" si="118"/>
        <v>0</v>
      </c>
      <c r="J1959" s="56">
        <v>46232</v>
      </c>
      <c r="K1959" s="57" t="s">
        <v>3387</v>
      </c>
    </row>
    <row r="1960" spans="1:11" ht="15.75" hidden="1" customHeight="1" x14ac:dyDescent="0.35">
      <c r="A1960" s="47" t="s">
        <v>2688</v>
      </c>
      <c r="B1960" s="48" t="s">
        <v>3317</v>
      </c>
      <c r="C1960" s="49" t="s">
        <v>3262</v>
      </c>
      <c r="D1960" s="50"/>
      <c r="E1960" s="51">
        <v>1040000</v>
      </c>
      <c r="F1960" s="52">
        <f t="shared" si="117"/>
        <v>83200</v>
      </c>
      <c r="G1960" s="53">
        <f t="shared" si="116"/>
        <v>1123200</v>
      </c>
      <c r="H1960" s="54">
        <v>1123200</v>
      </c>
      <c r="I1960" s="55">
        <f t="shared" si="118"/>
        <v>0</v>
      </c>
      <c r="J1960" s="56">
        <v>46232</v>
      </c>
      <c r="K1960" s="57" t="s">
        <v>3387</v>
      </c>
    </row>
    <row r="1961" spans="1:11" ht="15.75" hidden="1" customHeight="1" x14ac:dyDescent="0.35">
      <c r="A1961" s="47" t="s">
        <v>2747</v>
      </c>
      <c r="B1961" s="48" t="s">
        <v>3317</v>
      </c>
      <c r="C1961" s="49" t="s">
        <v>3263</v>
      </c>
      <c r="D1961" s="50"/>
      <c r="E1961" s="51">
        <v>2971500</v>
      </c>
      <c r="F1961" s="52">
        <f t="shared" si="117"/>
        <v>237720</v>
      </c>
      <c r="G1961" s="53">
        <f t="shared" si="116"/>
        <v>3209220</v>
      </c>
      <c r="H1961" s="54"/>
      <c r="I1961" s="55">
        <f t="shared" si="118"/>
        <v>3209220</v>
      </c>
      <c r="J1961" s="56"/>
      <c r="K1961" s="57" t="s">
        <v>3387</v>
      </c>
    </row>
    <row r="1962" spans="1:11" ht="15.75" hidden="1" customHeight="1" x14ac:dyDescent="0.35">
      <c r="A1962" s="47" t="s">
        <v>2740</v>
      </c>
      <c r="B1962" s="48" t="s">
        <v>3317</v>
      </c>
      <c r="C1962" s="49" t="s">
        <v>3264</v>
      </c>
      <c r="D1962" s="50"/>
      <c r="E1962" s="51">
        <v>7721000</v>
      </c>
      <c r="F1962" s="52">
        <f t="shared" si="117"/>
        <v>617680</v>
      </c>
      <c r="G1962" s="53">
        <f t="shared" si="116"/>
        <v>8338680</v>
      </c>
      <c r="H1962" s="54">
        <v>8338680</v>
      </c>
      <c r="I1962" s="55">
        <f t="shared" si="118"/>
        <v>0</v>
      </c>
      <c r="J1962" s="56">
        <v>46210</v>
      </c>
      <c r="K1962" s="57" t="s">
        <v>3387</v>
      </c>
    </row>
    <row r="1963" spans="1:11" ht="15.75" hidden="1" customHeight="1" x14ac:dyDescent="0.35">
      <c r="A1963" s="47" t="s">
        <v>2728</v>
      </c>
      <c r="B1963" s="48" t="s">
        <v>3317</v>
      </c>
      <c r="C1963" s="49" t="s">
        <v>3265</v>
      </c>
      <c r="D1963" s="50"/>
      <c r="E1963" s="51">
        <v>3200000</v>
      </c>
      <c r="F1963" s="52">
        <f t="shared" si="117"/>
        <v>256000</v>
      </c>
      <c r="G1963" s="53">
        <f t="shared" si="116"/>
        <v>3456000</v>
      </c>
      <c r="H1963" s="54">
        <v>3456000</v>
      </c>
      <c r="I1963" s="55">
        <f t="shared" si="118"/>
        <v>0</v>
      </c>
      <c r="J1963" s="56">
        <v>46170</v>
      </c>
      <c r="K1963" s="57" t="s">
        <v>3387</v>
      </c>
    </row>
    <row r="1964" spans="1:11" ht="15.75" hidden="1" customHeight="1" x14ac:dyDescent="0.35">
      <c r="A1964" s="47" t="s">
        <v>2745</v>
      </c>
      <c r="B1964" s="48" t="s">
        <v>3317</v>
      </c>
      <c r="C1964" s="49" t="s">
        <v>3266</v>
      </c>
      <c r="D1964" s="50"/>
      <c r="E1964" s="51">
        <v>5520000</v>
      </c>
      <c r="F1964" s="52">
        <f t="shared" si="117"/>
        <v>441600</v>
      </c>
      <c r="G1964" s="53">
        <f t="shared" si="116"/>
        <v>5961600</v>
      </c>
      <c r="H1964" s="54">
        <v>5961600</v>
      </c>
      <c r="I1964" s="55">
        <f t="shared" si="118"/>
        <v>0</v>
      </c>
      <c r="J1964" s="56">
        <v>46170</v>
      </c>
      <c r="K1964" s="57" t="s">
        <v>3387</v>
      </c>
    </row>
    <row r="1965" spans="1:11" ht="15.75" customHeight="1" x14ac:dyDescent="0.35">
      <c r="A1965" s="47" t="s">
        <v>2719</v>
      </c>
      <c r="B1965" s="48" t="s">
        <v>3318</v>
      </c>
      <c r="C1965" s="50" t="s">
        <v>3267</v>
      </c>
      <c r="D1965" s="50"/>
      <c r="E1965" s="51">
        <v>2610000</v>
      </c>
      <c r="F1965" s="52">
        <f t="shared" si="117"/>
        <v>208800</v>
      </c>
      <c r="G1965" s="53">
        <f t="shared" si="116"/>
        <v>2818800</v>
      </c>
      <c r="H1965" s="54">
        <v>2818800</v>
      </c>
      <c r="I1965" s="55">
        <f t="shared" si="118"/>
        <v>0</v>
      </c>
      <c r="J1965" s="56">
        <v>46254</v>
      </c>
      <c r="K1965" s="57" t="s">
        <v>3387</v>
      </c>
    </row>
    <row r="1966" spans="1:11" ht="15.75" hidden="1" customHeight="1" x14ac:dyDescent="0.35">
      <c r="A1966" s="47" t="s">
        <v>308</v>
      </c>
      <c r="B1966" s="48" t="s">
        <v>3318</v>
      </c>
      <c r="C1966" s="50" t="s">
        <v>3268</v>
      </c>
      <c r="D1966" s="50"/>
      <c r="E1966" s="51">
        <v>13559000</v>
      </c>
      <c r="F1966" s="52">
        <f t="shared" si="117"/>
        <v>1084720</v>
      </c>
      <c r="G1966" s="53">
        <f t="shared" si="116"/>
        <v>14643720</v>
      </c>
      <c r="H1966" s="54">
        <v>14643720</v>
      </c>
      <c r="I1966" s="55">
        <f t="shared" si="118"/>
        <v>0</v>
      </c>
      <c r="J1966" s="56">
        <v>46170</v>
      </c>
      <c r="K1966" s="57" t="s">
        <v>3387</v>
      </c>
    </row>
    <row r="1967" spans="1:11" ht="15.75" hidden="1" customHeight="1" x14ac:dyDescent="0.35">
      <c r="A1967" s="47" t="s">
        <v>770</v>
      </c>
      <c r="B1967" s="48" t="s">
        <v>3318</v>
      </c>
      <c r="C1967" s="50" t="s">
        <v>3269</v>
      </c>
      <c r="D1967" s="50"/>
      <c r="E1967" s="51">
        <v>13445200</v>
      </c>
      <c r="F1967" s="52">
        <f t="shared" si="117"/>
        <v>1075616</v>
      </c>
      <c r="G1967" s="53">
        <f t="shared" si="116"/>
        <v>14520816</v>
      </c>
      <c r="H1967" s="54">
        <v>14520816</v>
      </c>
      <c r="I1967" s="55">
        <f t="shared" si="118"/>
        <v>0</v>
      </c>
      <c r="J1967" s="56">
        <v>46210</v>
      </c>
      <c r="K1967" s="57" t="s">
        <v>3387</v>
      </c>
    </row>
    <row r="1968" spans="1:11" ht="15.75" hidden="1" customHeight="1" x14ac:dyDescent="0.35">
      <c r="A1968" s="47" t="s">
        <v>2684</v>
      </c>
      <c r="B1968" s="48" t="s">
        <v>3318</v>
      </c>
      <c r="C1968" s="49" t="s">
        <v>3270</v>
      </c>
      <c r="D1968" s="50"/>
      <c r="E1968" s="51">
        <v>10782000</v>
      </c>
      <c r="F1968" s="52">
        <f t="shared" si="117"/>
        <v>862560</v>
      </c>
      <c r="G1968" s="53">
        <f t="shared" si="116"/>
        <v>11644560</v>
      </c>
      <c r="H1968" s="54">
        <v>11644560</v>
      </c>
      <c r="I1968" s="55">
        <f t="shared" si="118"/>
        <v>0</v>
      </c>
      <c r="J1968" s="56">
        <v>46232</v>
      </c>
      <c r="K1968" s="57" t="s">
        <v>3387</v>
      </c>
    </row>
    <row r="1969" spans="1:11" ht="15.75" hidden="1" customHeight="1" x14ac:dyDescent="0.35">
      <c r="A1969" s="47" t="s">
        <v>2721</v>
      </c>
      <c r="B1969" s="48" t="s">
        <v>3318</v>
      </c>
      <c r="C1969" s="49" t="s">
        <v>3271</v>
      </c>
      <c r="D1969" s="50"/>
      <c r="E1969" s="51">
        <v>7866000</v>
      </c>
      <c r="F1969" s="52">
        <f t="shared" si="117"/>
        <v>629280</v>
      </c>
      <c r="G1969" s="53">
        <f t="shared" si="116"/>
        <v>8495280</v>
      </c>
      <c r="H1969" s="54">
        <v>8495280</v>
      </c>
      <c r="I1969" s="55">
        <f t="shared" si="118"/>
        <v>0</v>
      </c>
      <c r="J1969" s="56">
        <v>46232</v>
      </c>
      <c r="K1969" s="57" t="s">
        <v>3387</v>
      </c>
    </row>
    <row r="1970" spans="1:11" ht="15.75" hidden="1" customHeight="1" x14ac:dyDescent="0.35">
      <c r="A1970" s="47" t="s">
        <v>3026</v>
      </c>
      <c r="B1970" s="48" t="s">
        <v>3318</v>
      </c>
      <c r="C1970" s="49" t="s">
        <v>3272</v>
      </c>
      <c r="D1970" s="50"/>
      <c r="E1970" s="51">
        <v>2760000</v>
      </c>
      <c r="F1970" s="52">
        <f t="shared" si="117"/>
        <v>220800</v>
      </c>
      <c r="G1970" s="53">
        <f t="shared" ref="G1970:G2033" si="119">E1970+F1970</f>
        <v>2980800</v>
      </c>
      <c r="H1970" s="54"/>
      <c r="I1970" s="55">
        <f t="shared" si="118"/>
        <v>2980800</v>
      </c>
      <c r="J1970" s="56"/>
      <c r="K1970" s="57" t="s">
        <v>3387</v>
      </c>
    </row>
    <row r="1971" spans="1:11" ht="15.75" hidden="1" customHeight="1" x14ac:dyDescent="0.35">
      <c r="A1971" s="47" t="s">
        <v>2680</v>
      </c>
      <c r="B1971" s="48" t="s">
        <v>3318</v>
      </c>
      <c r="C1971" s="50" t="s">
        <v>1871</v>
      </c>
      <c r="D1971" s="50"/>
      <c r="E1971" s="51">
        <v>10255000</v>
      </c>
      <c r="F1971" s="52">
        <f t="shared" ref="F1971:F2034" si="120">+E1971*0.08</f>
        <v>820400</v>
      </c>
      <c r="G1971" s="53">
        <f t="shared" si="119"/>
        <v>11075400</v>
      </c>
      <c r="H1971" s="54"/>
      <c r="I1971" s="55">
        <f t="shared" ref="I1971:I2034" si="121">G1971-H1971</f>
        <v>11075400</v>
      </c>
      <c r="J1971" s="56"/>
      <c r="K1971" s="57" t="s">
        <v>3387</v>
      </c>
    </row>
    <row r="1972" spans="1:11" ht="15.75" hidden="1" customHeight="1" x14ac:dyDescent="0.35">
      <c r="A1972" s="47" t="s">
        <v>2836</v>
      </c>
      <c r="B1972" s="48" t="s">
        <v>3318</v>
      </c>
      <c r="C1972" s="49" t="s">
        <v>3273</v>
      </c>
      <c r="D1972" s="50"/>
      <c r="E1972" s="51">
        <v>27300000</v>
      </c>
      <c r="F1972" s="52">
        <f t="shared" si="120"/>
        <v>2184000</v>
      </c>
      <c r="G1972" s="53">
        <f t="shared" si="119"/>
        <v>29484000</v>
      </c>
      <c r="H1972" s="54">
        <v>29484000</v>
      </c>
      <c r="I1972" s="55">
        <f t="shared" si="121"/>
        <v>0</v>
      </c>
      <c r="J1972" s="56">
        <v>46232</v>
      </c>
      <c r="K1972" s="57" t="s">
        <v>3387</v>
      </c>
    </row>
    <row r="1973" spans="1:11" ht="15.75" hidden="1" customHeight="1" x14ac:dyDescent="0.35">
      <c r="A1973" s="47" t="s">
        <v>2696</v>
      </c>
      <c r="B1973" s="48" t="s">
        <v>3319</v>
      </c>
      <c r="C1973" s="49" t="s">
        <v>509</v>
      </c>
      <c r="D1973" s="50"/>
      <c r="E1973" s="51">
        <v>17406000</v>
      </c>
      <c r="F1973" s="52">
        <f t="shared" si="120"/>
        <v>1392480</v>
      </c>
      <c r="G1973" s="53">
        <f t="shared" si="119"/>
        <v>18798480</v>
      </c>
      <c r="H1973" s="54">
        <v>18798480</v>
      </c>
      <c r="I1973" s="55">
        <f t="shared" si="121"/>
        <v>0</v>
      </c>
      <c r="J1973" s="56">
        <v>46170</v>
      </c>
      <c r="K1973" s="57" t="s">
        <v>3387</v>
      </c>
    </row>
    <row r="1974" spans="1:11" ht="15.75" hidden="1" customHeight="1" x14ac:dyDescent="0.35">
      <c r="A1974" s="47" t="s">
        <v>3024</v>
      </c>
      <c r="B1974" s="48" t="s">
        <v>3319</v>
      </c>
      <c r="C1974" s="49" t="s">
        <v>510</v>
      </c>
      <c r="D1974" s="50"/>
      <c r="E1974" s="51">
        <v>9390000</v>
      </c>
      <c r="F1974" s="52">
        <f t="shared" si="120"/>
        <v>751200</v>
      </c>
      <c r="G1974" s="53">
        <f t="shared" si="119"/>
        <v>10141200</v>
      </c>
      <c r="H1974" s="54">
        <v>10141200</v>
      </c>
      <c r="I1974" s="55">
        <f t="shared" si="121"/>
        <v>0</v>
      </c>
      <c r="J1974" s="56">
        <v>46210</v>
      </c>
      <c r="K1974" s="57" t="s">
        <v>3387</v>
      </c>
    </row>
    <row r="1975" spans="1:11" ht="15.75" hidden="1" customHeight="1" x14ac:dyDescent="0.35">
      <c r="A1975" s="47" t="s">
        <v>24</v>
      </c>
      <c r="B1975" s="48" t="s">
        <v>3319</v>
      </c>
      <c r="C1975" s="49" t="s">
        <v>3274</v>
      </c>
      <c r="D1975" s="50"/>
      <c r="E1975" s="51">
        <v>4686000</v>
      </c>
      <c r="F1975" s="52">
        <f t="shared" si="120"/>
        <v>374880</v>
      </c>
      <c r="G1975" s="53">
        <f t="shared" si="119"/>
        <v>5060880</v>
      </c>
      <c r="H1975" s="54">
        <v>5060880</v>
      </c>
      <c r="I1975" s="55">
        <f t="shared" si="121"/>
        <v>0</v>
      </c>
      <c r="J1975" s="56">
        <v>46210</v>
      </c>
      <c r="K1975" s="57" t="s">
        <v>3387</v>
      </c>
    </row>
    <row r="1976" spans="1:11" ht="15.75" hidden="1" customHeight="1" x14ac:dyDescent="0.35">
      <c r="A1976" s="47" t="s">
        <v>2735</v>
      </c>
      <c r="B1976" s="48" t="s">
        <v>3319</v>
      </c>
      <c r="C1976" s="49" t="s">
        <v>3275</v>
      </c>
      <c r="D1976" s="50"/>
      <c r="E1976" s="51">
        <v>6732000</v>
      </c>
      <c r="F1976" s="52">
        <f t="shared" si="120"/>
        <v>538560</v>
      </c>
      <c r="G1976" s="53">
        <f t="shared" si="119"/>
        <v>7270560</v>
      </c>
      <c r="H1976" s="54"/>
      <c r="I1976" s="55">
        <f t="shared" si="121"/>
        <v>7270560</v>
      </c>
      <c r="J1976" s="56"/>
      <c r="K1976" s="57" t="s">
        <v>3387</v>
      </c>
    </row>
    <row r="1977" spans="1:11" ht="15.75" customHeight="1" x14ac:dyDescent="0.35">
      <c r="A1977" s="47" t="s">
        <v>2719</v>
      </c>
      <c r="B1977" s="48" t="s">
        <v>3320</v>
      </c>
      <c r="C1977" s="49" t="s">
        <v>3276</v>
      </c>
      <c r="D1977" s="50"/>
      <c r="E1977" s="51">
        <v>4000000</v>
      </c>
      <c r="F1977" s="52">
        <f t="shared" si="120"/>
        <v>320000</v>
      </c>
      <c r="G1977" s="53">
        <f t="shared" si="119"/>
        <v>4320000</v>
      </c>
      <c r="H1977" s="54">
        <v>4320000</v>
      </c>
      <c r="I1977" s="55">
        <f t="shared" si="121"/>
        <v>0</v>
      </c>
      <c r="J1977" s="56">
        <v>46254</v>
      </c>
      <c r="K1977" s="57" t="s">
        <v>3387</v>
      </c>
    </row>
    <row r="1978" spans="1:11" ht="15.75" customHeight="1" x14ac:dyDescent="0.35">
      <c r="A1978" s="47" t="s">
        <v>3053</v>
      </c>
      <c r="B1978" s="48" t="s">
        <v>3320</v>
      </c>
      <c r="C1978" s="49" t="s">
        <v>3277</v>
      </c>
      <c r="D1978" s="50"/>
      <c r="E1978" s="51">
        <v>4140000</v>
      </c>
      <c r="F1978" s="52">
        <f t="shared" si="120"/>
        <v>331200</v>
      </c>
      <c r="G1978" s="53">
        <f t="shared" si="119"/>
        <v>4471200</v>
      </c>
      <c r="H1978" s="54">
        <v>4471200</v>
      </c>
      <c r="I1978" s="55">
        <f t="shared" si="121"/>
        <v>0</v>
      </c>
      <c r="J1978" s="56">
        <v>46254</v>
      </c>
      <c r="K1978" s="57" t="s">
        <v>3387</v>
      </c>
    </row>
    <row r="1979" spans="1:11" ht="15.75" customHeight="1" x14ac:dyDescent="0.35">
      <c r="A1979" s="47" t="s">
        <v>3053</v>
      </c>
      <c r="B1979" s="48" t="s">
        <v>3320</v>
      </c>
      <c r="C1979" s="49" t="s">
        <v>197</v>
      </c>
      <c r="D1979" s="50"/>
      <c r="E1979" s="51">
        <v>15360000</v>
      </c>
      <c r="F1979" s="52">
        <f t="shared" si="120"/>
        <v>1228800</v>
      </c>
      <c r="G1979" s="53">
        <f t="shared" si="119"/>
        <v>16588800</v>
      </c>
      <c r="H1979" s="54">
        <v>16588800</v>
      </c>
      <c r="I1979" s="55">
        <f t="shared" si="121"/>
        <v>0</v>
      </c>
      <c r="J1979" s="56">
        <v>46254</v>
      </c>
      <c r="K1979" s="57" t="s">
        <v>3387</v>
      </c>
    </row>
    <row r="1980" spans="1:11" ht="15.75" customHeight="1" x14ac:dyDescent="0.35">
      <c r="A1980" s="47" t="s">
        <v>3053</v>
      </c>
      <c r="B1980" s="48" t="s">
        <v>3321</v>
      </c>
      <c r="C1980" s="49" t="s">
        <v>3278</v>
      </c>
      <c r="D1980" s="50"/>
      <c r="E1980" s="51">
        <v>10440000</v>
      </c>
      <c r="F1980" s="52">
        <f t="shared" si="120"/>
        <v>835200</v>
      </c>
      <c r="G1980" s="53">
        <f t="shared" si="119"/>
        <v>11275200</v>
      </c>
      <c r="H1980" s="54">
        <v>11275200</v>
      </c>
      <c r="I1980" s="55">
        <f t="shared" si="121"/>
        <v>0</v>
      </c>
      <c r="J1980" s="56">
        <v>46254</v>
      </c>
      <c r="K1980" s="57" t="s">
        <v>3387</v>
      </c>
    </row>
    <row r="1981" spans="1:11" ht="15.75" hidden="1" customHeight="1" x14ac:dyDescent="0.35">
      <c r="A1981" s="47" t="s">
        <v>2732</v>
      </c>
      <c r="B1981" s="48" t="s">
        <v>3321</v>
      </c>
      <c r="C1981" s="49" t="s">
        <v>3279</v>
      </c>
      <c r="D1981" s="50"/>
      <c r="E1981" s="51">
        <v>2855000</v>
      </c>
      <c r="F1981" s="52">
        <f t="shared" si="120"/>
        <v>228400</v>
      </c>
      <c r="G1981" s="53">
        <f t="shared" si="119"/>
        <v>3083400</v>
      </c>
      <c r="H1981" s="54"/>
      <c r="I1981" s="55">
        <f t="shared" si="121"/>
        <v>3083400</v>
      </c>
      <c r="J1981" s="56"/>
      <c r="K1981" s="57" t="s">
        <v>3387</v>
      </c>
    </row>
    <row r="1982" spans="1:11" ht="15.75" hidden="1" customHeight="1" x14ac:dyDescent="0.35">
      <c r="A1982" s="47" t="s">
        <v>2723</v>
      </c>
      <c r="B1982" s="48" t="s">
        <v>3322</v>
      </c>
      <c r="C1982" s="49" t="s">
        <v>3280</v>
      </c>
      <c r="D1982" s="50"/>
      <c r="E1982" s="51">
        <v>1815000</v>
      </c>
      <c r="F1982" s="52">
        <f t="shared" si="120"/>
        <v>145200</v>
      </c>
      <c r="G1982" s="53">
        <f t="shared" si="119"/>
        <v>1960200</v>
      </c>
      <c r="H1982" s="54">
        <v>1960200</v>
      </c>
      <c r="I1982" s="55">
        <f t="shared" si="121"/>
        <v>0</v>
      </c>
      <c r="J1982" s="56">
        <v>46170</v>
      </c>
      <c r="K1982" s="57" t="s">
        <v>3387</v>
      </c>
    </row>
    <row r="1983" spans="1:11" ht="15.75" hidden="1" customHeight="1" x14ac:dyDescent="0.35">
      <c r="A1983" s="47" t="s">
        <v>2689</v>
      </c>
      <c r="B1983" s="48" t="s">
        <v>3323</v>
      </c>
      <c r="C1983" s="49" t="s">
        <v>3281</v>
      </c>
      <c r="D1983" s="50"/>
      <c r="E1983" s="51">
        <v>102910000</v>
      </c>
      <c r="F1983" s="52">
        <f t="shared" si="120"/>
        <v>8232800</v>
      </c>
      <c r="G1983" s="53">
        <f t="shared" si="119"/>
        <v>111142800</v>
      </c>
      <c r="H1983" s="54"/>
      <c r="I1983" s="55">
        <f t="shared" si="121"/>
        <v>111142800</v>
      </c>
      <c r="J1983" s="56"/>
      <c r="K1983" s="57" t="s">
        <v>3387</v>
      </c>
    </row>
    <row r="1984" spans="1:11" ht="15.75" hidden="1" customHeight="1" x14ac:dyDescent="0.35">
      <c r="A1984" s="47" t="s">
        <v>2704</v>
      </c>
      <c r="B1984" s="48" t="s">
        <v>3323</v>
      </c>
      <c r="C1984" s="50" t="s">
        <v>3282</v>
      </c>
      <c r="D1984" s="50"/>
      <c r="E1984" s="51">
        <v>5710000</v>
      </c>
      <c r="F1984" s="52">
        <f t="shared" si="120"/>
        <v>456800</v>
      </c>
      <c r="G1984" s="53">
        <f t="shared" si="119"/>
        <v>6166800</v>
      </c>
      <c r="H1984" s="54">
        <v>6166800</v>
      </c>
      <c r="I1984" s="55">
        <f t="shared" si="121"/>
        <v>0</v>
      </c>
      <c r="J1984" s="56">
        <v>46170</v>
      </c>
      <c r="K1984" s="57" t="s">
        <v>3387</v>
      </c>
    </row>
    <row r="1985" spans="1:11" ht="15.75" customHeight="1" x14ac:dyDescent="0.35">
      <c r="A1985" s="47" t="s">
        <v>3043</v>
      </c>
      <c r="B1985" s="48" t="s">
        <v>3323</v>
      </c>
      <c r="C1985" s="50" t="s">
        <v>3283</v>
      </c>
      <c r="D1985" s="50"/>
      <c r="E1985" s="51">
        <v>3762000</v>
      </c>
      <c r="F1985" s="52">
        <f t="shared" si="120"/>
        <v>300960</v>
      </c>
      <c r="G1985" s="53">
        <f t="shared" si="119"/>
        <v>4062960</v>
      </c>
      <c r="H1985" s="54">
        <v>4062960</v>
      </c>
      <c r="I1985" s="55">
        <f t="shared" si="121"/>
        <v>0</v>
      </c>
      <c r="J1985" s="56">
        <v>46254</v>
      </c>
      <c r="K1985" s="57" t="s">
        <v>3387</v>
      </c>
    </row>
    <row r="1986" spans="1:11" ht="15.75" hidden="1" customHeight="1" x14ac:dyDescent="0.35">
      <c r="A1986" s="47" t="s">
        <v>2688</v>
      </c>
      <c r="B1986" s="48" t="s">
        <v>3323</v>
      </c>
      <c r="C1986" s="49" t="s">
        <v>3284</v>
      </c>
      <c r="D1986" s="50"/>
      <c r="E1986" s="51">
        <v>4413200</v>
      </c>
      <c r="F1986" s="52">
        <f t="shared" si="120"/>
        <v>353056</v>
      </c>
      <c r="G1986" s="53">
        <f t="shared" si="119"/>
        <v>4766256</v>
      </c>
      <c r="H1986" s="54">
        <v>4766256</v>
      </c>
      <c r="I1986" s="55">
        <f t="shared" si="121"/>
        <v>0</v>
      </c>
      <c r="J1986" s="56">
        <v>46232</v>
      </c>
      <c r="K1986" s="57" t="s">
        <v>3387</v>
      </c>
    </row>
    <row r="1987" spans="1:11" ht="15.75" customHeight="1" x14ac:dyDescent="0.35">
      <c r="A1987" s="47" t="s">
        <v>2716</v>
      </c>
      <c r="B1987" s="48" t="s">
        <v>3323</v>
      </c>
      <c r="C1987" s="49" t="s">
        <v>3285</v>
      </c>
      <c r="D1987" s="50"/>
      <c r="E1987" s="51">
        <v>29243500</v>
      </c>
      <c r="F1987" s="52">
        <f t="shared" si="120"/>
        <v>2339480</v>
      </c>
      <c r="G1987" s="53">
        <f t="shared" si="119"/>
        <v>31582980</v>
      </c>
      <c r="H1987" s="54">
        <v>31582980</v>
      </c>
      <c r="I1987" s="55">
        <f t="shared" si="121"/>
        <v>0</v>
      </c>
      <c r="J1987" s="56">
        <v>46254</v>
      </c>
      <c r="K1987" s="57" t="s">
        <v>3387</v>
      </c>
    </row>
    <row r="1988" spans="1:11" ht="15.75" hidden="1" customHeight="1" x14ac:dyDescent="0.35">
      <c r="A1988" s="47" t="s">
        <v>2698</v>
      </c>
      <c r="B1988" s="48" t="s">
        <v>3323</v>
      </c>
      <c r="C1988" s="50" t="s">
        <v>3286</v>
      </c>
      <c r="D1988" s="50"/>
      <c r="E1988" s="51">
        <v>16103200</v>
      </c>
      <c r="F1988" s="52">
        <f t="shared" si="120"/>
        <v>1288256</v>
      </c>
      <c r="G1988" s="53">
        <f t="shared" si="119"/>
        <v>17391456</v>
      </c>
      <c r="H1988" s="54">
        <v>17391456</v>
      </c>
      <c r="I1988" s="55">
        <f t="shared" si="121"/>
        <v>0</v>
      </c>
      <c r="J1988" s="56">
        <v>46232</v>
      </c>
      <c r="K1988" s="57" t="s">
        <v>3387</v>
      </c>
    </row>
    <row r="1989" spans="1:11" ht="15.75" hidden="1" customHeight="1" x14ac:dyDescent="0.35">
      <c r="A1989" s="47" t="s">
        <v>2728</v>
      </c>
      <c r="B1989" s="48" t="s">
        <v>3323</v>
      </c>
      <c r="C1989" s="49" t="s">
        <v>532</v>
      </c>
      <c r="D1989" s="50"/>
      <c r="E1989" s="51">
        <v>1800000</v>
      </c>
      <c r="F1989" s="52">
        <f t="shared" si="120"/>
        <v>144000</v>
      </c>
      <c r="G1989" s="53">
        <f t="shared" si="119"/>
        <v>1944000</v>
      </c>
      <c r="H1989" s="54">
        <v>1944000</v>
      </c>
      <c r="I1989" s="55">
        <f t="shared" si="121"/>
        <v>0</v>
      </c>
      <c r="J1989" s="56">
        <v>46170</v>
      </c>
      <c r="K1989" s="57" t="s">
        <v>3387</v>
      </c>
    </row>
    <row r="1990" spans="1:11" ht="15.75" hidden="1" customHeight="1" x14ac:dyDescent="0.35">
      <c r="A1990" s="47" t="s">
        <v>2717</v>
      </c>
      <c r="B1990" s="48" t="s">
        <v>3323</v>
      </c>
      <c r="C1990" s="49" t="s">
        <v>533</v>
      </c>
      <c r="D1990" s="50"/>
      <c r="E1990" s="51">
        <v>8720000</v>
      </c>
      <c r="F1990" s="52">
        <f t="shared" si="120"/>
        <v>697600</v>
      </c>
      <c r="G1990" s="53">
        <f t="shared" si="119"/>
        <v>9417600</v>
      </c>
      <c r="H1990" s="54">
        <v>9417600</v>
      </c>
      <c r="I1990" s="55">
        <f t="shared" si="121"/>
        <v>0</v>
      </c>
      <c r="J1990" s="56">
        <v>46210</v>
      </c>
      <c r="K1990" s="57" t="s">
        <v>3387</v>
      </c>
    </row>
    <row r="1991" spans="1:11" ht="15.75" hidden="1" customHeight="1" x14ac:dyDescent="0.35">
      <c r="A1991" s="47" t="s">
        <v>2685</v>
      </c>
      <c r="B1991" s="48" t="s">
        <v>3324</v>
      </c>
      <c r="C1991" s="49" t="s">
        <v>3287</v>
      </c>
      <c r="D1991" s="50"/>
      <c r="E1991" s="51">
        <v>9775200</v>
      </c>
      <c r="F1991" s="52">
        <f t="shared" si="120"/>
        <v>782016</v>
      </c>
      <c r="G1991" s="53">
        <f t="shared" si="119"/>
        <v>10557216</v>
      </c>
      <c r="H1991" s="54">
        <v>10557216</v>
      </c>
      <c r="I1991" s="55">
        <f t="shared" si="121"/>
        <v>0</v>
      </c>
      <c r="J1991" s="56">
        <v>46232</v>
      </c>
      <c r="K1991" s="57" t="s">
        <v>3387</v>
      </c>
    </row>
    <row r="1992" spans="1:11" ht="15.75" customHeight="1" x14ac:dyDescent="0.35">
      <c r="A1992" s="47" t="s">
        <v>2740</v>
      </c>
      <c r="B1992" s="48">
        <v>46062</v>
      </c>
      <c r="C1992" s="49" t="s">
        <v>3334</v>
      </c>
      <c r="D1992" s="49" t="s">
        <v>3379</v>
      </c>
      <c r="E1992" s="51">
        <v>8245000</v>
      </c>
      <c r="F1992" s="52">
        <f t="shared" si="120"/>
        <v>659600</v>
      </c>
      <c r="G1992" s="53">
        <f t="shared" si="119"/>
        <v>8904600</v>
      </c>
      <c r="H1992" s="54">
        <v>8904600</v>
      </c>
      <c r="I1992" s="55">
        <f t="shared" si="121"/>
        <v>0</v>
      </c>
      <c r="J1992" s="56">
        <v>46254</v>
      </c>
      <c r="K1992" s="57"/>
    </row>
    <row r="1993" spans="1:11" ht="15.75" hidden="1" customHeight="1" x14ac:dyDescent="0.35">
      <c r="A1993" s="47" t="s">
        <v>770</v>
      </c>
      <c r="B1993" s="48" t="s">
        <v>3324</v>
      </c>
      <c r="C1993" s="50" t="s">
        <v>3288</v>
      </c>
      <c r="D1993" s="50"/>
      <c r="E1993" s="51">
        <v>10432500</v>
      </c>
      <c r="F1993" s="52">
        <f t="shared" si="120"/>
        <v>834600</v>
      </c>
      <c r="G1993" s="53">
        <f t="shared" si="119"/>
        <v>11267100</v>
      </c>
      <c r="H1993" s="54">
        <v>11267100</v>
      </c>
      <c r="I1993" s="55">
        <f t="shared" si="121"/>
        <v>0</v>
      </c>
      <c r="J1993" s="56">
        <v>46210</v>
      </c>
      <c r="K1993" s="57" t="s">
        <v>3387</v>
      </c>
    </row>
    <row r="1994" spans="1:11" ht="15.75" hidden="1" customHeight="1" x14ac:dyDescent="0.35">
      <c r="A1994" s="47" t="s">
        <v>2745</v>
      </c>
      <c r="B1994" s="48" t="s">
        <v>3324</v>
      </c>
      <c r="C1994" s="49" t="s">
        <v>3289</v>
      </c>
      <c r="D1994" s="50"/>
      <c r="E1994" s="51">
        <v>6900000</v>
      </c>
      <c r="F1994" s="52">
        <f t="shared" si="120"/>
        <v>552000</v>
      </c>
      <c r="G1994" s="53">
        <f t="shared" si="119"/>
        <v>7452000</v>
      </c>
      <c r="H1994" s="54">
        <v>7452000</v>
      </c>
      <c r="I1994" s="55">
        <f t="shared" si="121"/>
        <v>0</v>
      </c>
      <c r="J1994" s="56">
        <v>46105</v>
      </c>
      <c r="K1994" s="57" t="s">
        <v>3387</v>
      </c>
    </row>
    <row r="1995" spans="1:11" ht="15.75" hidden="1" customHeight="1" x14ac:dyDescent="0.35">
      <c r="A1995" s="47" t="s">
        <v>3051</v>
      </c>
      <c r="B1995" s="48">
        <v>46062</v>
      </c>
      <c r="C1995" s="49" t="s">
        <v>3335</v>
      </c>
      <c r="D1995" s="50" t="s">
        <v>3378</v>
      </c>
      <c r="E1995" s="51">
        <v>0</v>
      </c>
      <c r="F1995" s="52">
        <f t="shared" si="120"/>
        <v>0</v>
      </c>
      <c r="G1995" s="53">
        <f t="shared" si="119"/>
        <v>0</v>
      </c>
      <c r="H1995" s="54"/>
      <c r="I1995" s="55">
        <f t="shared" si="121"/>
        <v>0</v>
      </c>
      <c r="J1995" s="56"/>
      <c r="K1995" s="57"/>
    </row>
    <row r="1996" spans="1:11" ht="15.75" hidden="1" customHeight="1" x14ac:dyDescent="0.35">
      <c r="A1996" s="47" t="s">
        <v>2737</v>
      </c>
      <c r="B1996" s="48" t="s">
        <v>3325</v>
      </c>
      <c r="C1996" s="49" t="s">
        <v>3290</v>
      </c>
      <c r="D1996" s="50"/>
      <c r="E1996" s="51">
        <v>4719600</v>
      </c>
      <c r="F1996" s="52">
        <f t="shared" si="120"/>
        <v>377568</v>
      </c>
      <c r="G1996" s="53">
        <f t="shared" si="119"/>
        <v>5097168</v>
      </c>
      <c r="H1996" s="54"/>
      <c r="I1996" s="55">
        <f t="shared" si="121"/>
        <v>5097168</v>
      </c>
      <c r="J1996" s="56"/>
      <c r="K1996" s="57" t="s">
        <v>3387</v>
      </c>
    </row>
    <row r="1997" spans="1:11" ht="15.75" hidden="1" customHeight="1" x14ac:dyDescent="0.35">
      <c r="A1997" s="47" t="s">
        <v>2684</v>
      </c>
      <c r="B1997" s="48" t="s">
        <v>3325</v>
      </c>
      <c r="C1997" s="49" t="s">
        <v>3291</v>
      </c>
      <c r="D1997" s="50"/>
      <c r="E1997" s="51">
        <v>13271400</v>
      </c>
      <c r="F1997" s="52">
        <f t="shared" si="120"/>
        <v>1061712</v>
      </c>
      <c r="G1997" s="53">
        <f t="shared" si="119"/>
        <v>14333112</v>
      </c>
      <c r="H1997" s="54">
        <v>14333112</v>
      </c>
      <c r="I1997" s="55">
        <f t="shared" si="121"/>
        <v>0</v>
      </c>
      <c r="J1997" s="56">
        <v>46232</v>
      </c>
      <c r="K1997" s="57" t="s">
        <v>3387</v>
      </c>
    </row>
    <row r="1998" spans="1:11" ht="15.75" customHeight="1" x14ac:dyDescent="0.35">
      <c r="A1998" s="47" t="s">
        <v>2727</v>
      </c>
      <c r="B1998" s="48" t="s">
        <v>3325</v>
      </c>
      <c r="C1998" s="49" t="s">
        <v>3292</v>
      </c>
      <c r="D1998" s="50"/>
      <c r="E1998" s="51">
        <v>35828000</v>
      </c>
      <c r="F1998" s="52">
        <f t="shared" si="120"/>
        <v>2866240</v>
      </c>
      <c r="G1998" s="53">
        <f t="shared" si="119"/>
        <v>38694240</v>
      </c>
      <c r="H1998" s="54">
        <v>38694240</v>
      </c>
      <c r="I1998" s="55">
        <f t="shared" si="121"/>
        <v>0</v>
      </c>
      <c r="J1998" s="56">
        <v>46254</v>
      </c>
      <c r="K1998" s="57" t="s">
        <v>3387</v>
      </c>
    </row>
    <row r="1999" spans="1:11" ht="15.75" hidden="1" customHeight="1" x14ac:dyDescent="0.35">
      <c r="A1999" s="47" t="s">
        <v>170</v>
      </c>
      <c r="B1999" s="48" t="s">
        <v>3325</v>
      </c>
      <c r="C1999" s="49" t="s">
        <v>3293</v>
      </c>
      <c r="D1999" s="50"/>
      <c r="E1999" s="51">
        <v>3261000</v>
      </c>
      <c r="F1999" s="52">
        <f t="shared" si="120"/>
        <v>260880</v>
      </c>
      <c r="G1999" s="53">
        <f t="shared" si="119"/>
        <v>3521880</v>
      </c>
      <c r="H1999" s="54"/>
      <c r="I1999" s="55">
        <f t="shared" si="121"/>
        <v>3521880</v>
      </c>
      <c r="J1999" s="56"/>
      <c r="K1999" s="57" t="s">
        <v>3387</v>
      </c>
    </row>
    <row r="2000" spans="1:11" ht="15.75" hidden="1" customHeight="1" x14ac:dyDescent="0.35">
      <c r="A2000" s="47" t="s">
        <v>3036</v>
      </c>
      <c r="B2000" s="48" t="s">
        <v>3325</v>
      </c>
      <c r="C2000" s="49" t="s">
        <v>3294</v>
      </c>
      <c r="D2000" s="50"/>
      <c r="E2000" s="51">
        <v>15856400</v>
      </c>
      <c r="F2000" s="52">
        <f t="shared" si="120"/>
        <v>1268512</v>
      </c>
      <c r="G2000" s="53">
        <f t="shared" si="119"/>
        <v>17124912</v>
      </c>
      <c r="H2000" s="54">
        <v>17124912</v>
      </c>
      <c r="I2000" s="55">
        <f t="shared" si="121"/>
        <v>0</v>
      </c>
      <c r="J2000" s="56">
        <v>46232</v>
      </c>
      <c r="K2000" s="57" t="s">
        <v>3387</v>
      </c>
    </row>
    <row r="2001" spans="1:11" ht="15.75" hidden="1" customHeight="1" x14ac:dyDescent="0.35">
      <c r="A2001" s="47" t="s">
        <v>2693</v>
      </c>
      <c r="B2001" s="48" t="s">
        <v>3325</v>
      </c>
      <c r="C2001" s="49" t="s">
        <v>3295</v>
      </c>
      <c r="D2001" s="50"/>
      <c r="E2001" s="51">
        <v>1005000</v>
      </c>
      <c r="F2001" s="52">
        <f t="shared" si="120"/>
        <v>80400</v>
      </c>
      <c r="G2001" s="53">
        <f t="shared" si="119"/>
        <v>1085400</v>
      </c>
      <c r="H2001" s="54"/>
      <c r="I2001" s="55">
        <f t="shared" si="121"/>
        <v>1085400</v>
      </c>
      <c r="J2001" s="56"/>
      <c r="K2001" s="57" t="s">
        <v>3387</v>
      </c>
    </row>
    <row r="2002" spans="1:11" ht="15.75" hidden="1" customHeight="1" x14ac:dyDescent="0.35">
      <c r="A2002" s="47" t="s">
        <v>2698</v>
      </c>
      <c r="B2002" s="48">
        <v>46057</v>
      </c>
      <c r="C2002" s="50" t="s">
        <v>3336</v>
      </c>
      <c r="D2002" s="50" t="s">
        <v>3376</v>
      </c>
      <c r="E2002" s="51">
        <v>16436000</v>
      </c>
      <c r="F2002" s="52">
        <f t="shared" si="120"/>
        <v>1314880</v>
      </c>
      <c r="G2002" s="53">
        <f t="shared" si="119"/>
        <v>17750880</v>
      </c>
      <c r="H2002" s="54">
        <v>17750880</v>
      </c>
      <c r="I2002" s="55">
        <f t="shared" si="121"/>
        <v>0</v>
      </c>
      <c r="J2002" s="56">
        <v>46170</v>
      </c>
      <c r="K2002" s="57" t="s">
        <v>3387</v>
      </c>
    </row>
    <row r="2003" spans="1:11" ht="15.75" hidden="1" customHeight="1" x14ac:dyDescent="0.35">
      <c r="A2003" s="47" t="s">
        <v>2695</v>
      </c>
      <c r="B2003" s="48" t="s">
        <v>3326</v>
      </c>
      <c r="C2003" s="50" t="s">
        <v>3296</v>
      </c>
      <c r="D2003" s="50"/>
      <c r="E2003" s="51">
        <v>26786000</v>
      </c>
      <c r="F2003" s="52">
        <f t="shared" si="120"/>
        <v>2142880</v>
      </c>
      <c r="G2003" s="53">
        <f t="shared" si="119"/>
        <v>28928880</v>
      </c>
      <c r="H2003" s="54">
        <v>28928880</v>
      </c>
      <c r="I2003" s="55">
        <f t="shared" si="121"/>
        <v>0</v>
      </c>
      <c r="J2003" s="56">
        <v>46170</v>
      </c>
      <c r="K2003" s="57" t="s">
        <v>3387</v>
      </c>
    </row>
    <row r="2004" spans="1:11" ht="15.75" hidden="1" customHeight="1" x14ac:dyDescent="0.35">
      <c r="A2004" s="47" t="s">
        <v>2692</v>
      </c>
      <c r="B2004" s="48" t="s">
        <v>3326</v>
      </c>
      <c r="C2004" s="49" t="s">
        <v>3297</v>
      </c>
      <c r="D2004" s="50"/>
      <c r="E2004" s="51">
        <v>30004200</v>
      </c>
      <c r="F2004" s="52">
        <f t="shared" si="120"/>
        <v>2400336</v>
      </c>
      <c r="G2004" s="53">
        <f t="shared" si="119"/>
        <v>32404536</v>
      </c>
      <c r="H2004" s="54">
        <v>32404536</v>
      </c>
      <c r="I2004" s="55">
        <f t="shared" si="121"/>
        <v>0</v>
      </c>
      <c r="J2004" s="56">
        <v>46232</v>
      </c>
      <c r="K2004" s="57" t="s">
        <v>3387</v>
      </c>
    </row>
    <row r="2005" spans="1:11" ht="15.75" hidden="1" customHeight="1" x14ac:dyDescent="0.35">
      <c r="A2005" s="47" t="s">
        <v>2733</v>
      </c>
      <c r="B2005" s="48" t="s">
        <v>3326</v>
      </c>
      <c r="C2005" s="50" t="s">
        <v>3298</v>
      </c>
      <c r="D2005" s="50"/>
      <c r="E2005" s="51">
        <v>160191000</v>
      </c>
      <c r="F2005" s="52">
        <f t="shared" si="120"/>
        <v>12815280</v>
      </c>
      <c r="G2005" s="53">
        <f t="shared" si="119"/>
        <v>173006280</v>
      </c>
      <c r="H2005" s="54">
        <v>173006280</v>
      </c>
      <c r="I2005" s="55">
        <f t="shared" si="121"/>
        <v>0</v>
      </c>
      <c r="J2005" s="56">
        <v>46210</v>
      </c>
      <c r="K2005" s="57" t="s">
        <v>3387</v>
      </c>
    </row>
    <row r="2006" spans="1:11" ht="15.75" hidden="1" customHeight="1" x14ac:dyDescent="0.35">
      <c r="A2006" s="47" t="s">
        <v>2728</v>
      </c>
      <c r="B2006" s="48">
        <v>46139</v>
      </c>
      <c r="C2006" s="50" t="s">
        <v>3299</v>
      </c>
      <c r="D2006" s="50" t="s">
        <v>3509</v>
      </c>
      <c r="E2006" s="51">
        <v>2160000</v>
      </c>
      <c r="F2006" s="52">
        <f t="shared" si="120"/>
        <v>172800</v>
      </c>
      <c r="G2006" s="53"/>
      <c r="H2006" s="54"/>
      <c r="I2006" s="55">
        <f t="shared" si="121"/>
        <v>0</v>
      </c>
      <c r="J2006" s="56"/>
      <c r="K2006" s="57" t="s">
        <v>75</v>
      </c>
    </row>
    <row r="2007" spans="1:11" ht="15.75" hidden="1" customHeight="1" x14ac:dyDescent="0.35">
      <c r="A2007" s="47" t="s">
        <v>2730</v>
      </c>
      <c r="B2007" s="48">
        <v>46057</v>
      </c>
      <c r="C2007" s="50" t="s">
        <v>3337</v>
      </c>
      <c r="D2007" s="50" t="s">
        <v>3377</v>
      </c>
      <c r="E2007" s="51">
        <v>8778000</v>
      </c>
      <c r="F2007" s="52">
        <f t="shared" si="120"/>
        <v>702240</v>
      </c>
      <c r="G2007" s="53">
        <f t="shared" si="119"/>
        <v>9480240</v>
      </c>
      <c r="H2007" s="54">
        <v>9480240</v>
      </c>
      <c r="I2007" s="55">
        <f t="shared" si="121"/>
        <v>0</v>
      </c>
      <c r="J2007" s="56">
        <v>46170</v>
      </c>
      <c r="K2007" s="57" t="s">
        <v>3387</v>
      </c>
    </row>
    <row r="2008" spans="1:11" ht="15.75" hidden="1" customHeight="1" x14ac:dyDescent="0.35">
      <c r="A2008" s="47" t="s">
        <v>2692</v>
      </c>
      <c r="B2008" s="48" t="s">
        <v>3326</v>
      </c>
      <c r="C2008" s="49" t="s">
        <v>3300</v>
      </c>
      <c r="D2008" s="50"/>
      <c r="E2008" s="51">
        <v>2045000</v>
      </c>
      <c r="F2008" s="52">
        <f t="shared" si="120"/>
        <v>163600</v>
      </c>
      <c r="G2008" s="53">
        <f t="shared" si="119"/>
        <v>2208600</v>
      </c>
      <c r="H2008" s="54">
        <v>2208600</v>
      </c>
      <c r="I2008" s="55">
        <f t="shared" si="121"/>
        <v>0</v>
      </c>
      <c r="J2008" s="56">
        <v>46232</v>
      </c>
      <c r="K2008" s="57" t="s">
        <v>3387</v>
      </c>
    </row>
    <row r="2009" spans="1:11" ht="15.75" hidden="1" customHeight="1" x14ac:dyDescent="0.35">
      <c r="A2009" s="47" t="s">
        <v>24</v>
      </c>
      <c r="B2009" s="48" t="s">
        <v>3327</v>
      </c>
      <c r="C2009" s="49" t="s">
        <v>3301</v>
      </c>
      <c r="D2009" s="50"/>
      <c r="E2009" s="51">
        <v>2045000</v>
      </c>
      <c r="F2009" s="52">
        <f t="shared" si="120"/>
        <v>163600</v>
      </c>
      <c r="G2009" s="53">
        <f t="shared" si="119"/>
        <v>2208600</v>
      </c>
      <c r="H2009" s="54">
        <v>2208600</v>
      </c>
      <c r="I2009" s="55">
        <f t="shared" si="121"/>
        <v>0</v>
      </c>
      <c r="J2009" s="56">
        <v>46210</v>
      </c>
      <c r="K2009" s="57" t="s">
        <v>3387</v>
      </c>
    </row>
    <row r="2010" spans="1:11" ht="15.75" hidden="1" customHeight="1" x14ac:dyDescent="0.35">
      <c r="A2010" s="47" t="s">
        <v>2689</v>
      </c>
      <c r="B2010" s="48" t="s">
        <v>3328</v>
      </c>
      <c r="C2010" s="49" t="s">
        <v>3302</v>
      </c>
      <c r="D2010" s="50"/>
      <c r="E2010" s="51">
        <v>42137500</v>
      </c>
      <c r="F2010" s="52">
        <f t="shared" si="120"/>
        <v>3371000</v>
      </c>
      <c r="G2010" s="53">
        <f t="shared" si="119"/>
        <v>45508500</v>
      </c>
      <c r="H2010" s="54"/>
      <c r="I2010" s="55">
        <f t="shared" si="121"/>
        <v>45508500</v>
      </c>
      <c r="J2010" s="56"/>
      <c r="K2010" s="57"/>
    </row>
    <row r="2011" spans="1:11" ht="15.75" hidden="1" customHeight="1" x14ac:dyDescent="0.35">
      <c r="A2011" s="47" t="s">
        <v>2691</v>
      </c>
      <c r="B2011" s="48" t="s">
        <v>3328</v>
      </c>
      <c r="C2011" s="49" t="s">
        <v>3303</v>
      </c>
      <c r="D2011" s="50"/>
      <c r="E2011" s="51">
        <v>1040000</v>
      </c>
      <c r="F2011" s="52">
        <f t="shared" si="120"/>
        <v>83200</v>
      </c>
      <c r="G2011" s="53">
        <f t="shared" si="119"/>
        <v>1123200</v>
      </c>
      <c r="H2011" s="54">
        <v>1123200</v>
      </c>
      <c r="I2011" s="55">
        <f t="shared" si="121"/>
        <v>0</v>
      </c>
      <c r="J2011" s="56">
        <v>46105</v>
      </c>
      <c r="K2011" s="57"/>
    </row>
    <row r="2012" spans="1:11" ht="15.75" hidden="1" customHeight="1" x14ac:dyDescent="0.35">
      <c r="A2012" s="47" t="s">
        <v>2688</v>
      </c>
      <c r="B2012" s="48">
        <v>46063</v>
      </c>
      <c r="C2012" s="50" t="s">
        <v>3338</v>
      </c>
      <c r="D2012" s="49" t="s">
        <v>3381</v>
      </c>
      <c r="E2012" s="51">
        <v>1040000</v>
      </c>
      <c r="F2012" s="52">
        <f t="shared" si="120"/>
        <v>83200</v>
      </c>
      <c r="G2012" s="53">
        <f t="shared" si="119"/>
        <v>1123200</v>
      </c>
      <c r="H2012" s="54">
        <v>1123200</v>
      </c>
      <c r="I2012" s="55">
        <f t="shared" si="121"/>
        <v>0</v>
      </c>
      <c r="J2012" s="56">
        <v>46135</v>
      </c>
      <c r="K2012" s="57"/>
    </row>
    <row r="2013" spans="1:11" ht="15.75" hidden="1" customHeight="1" x14ac:dyDescent="0.35">
      <c r="A2013" s="47" t="s">
        <v>2686</v>
      </c>
      <c r="B2013" s="48" t="s">
        <v>3329</v>
      </c>
      <c r="C2013" s="49" t="s">
        <v>3304</v>
      </c>
      <c r="D2013" s="50"/>
      <c r="E2013" s="51">
        <v>1815000</v>
      </c>
      <c r="F2013" s="52">
        <f t="shared" si="120"/>
        <v>145200</v>
      </c>
      <c r="G2013" s="53">
        <f t="shared" si="119"/>
        <v>1960200</v>
      </c>
      <c r="H2013" s="54">
        <v>1960200</v>
      </c>
      <c r="I2013" s="55">
        <f t="shared" si="121"/>
        <v>0</v>
      </c>
      <c r="J2013" s="56">
        <v>46170</v>
      </c>
      <c r="K2013" s="57" t="s">
        <v>3387</v>
      </c>
    </row>
    <row r="2014" spans="1:11" ht="15.75" hidden="1" customHeight="1" x14ac:dyDescent="0.35">
      <c r="A2014" s="47" t="s">
        <v>2729</v>
      </c>
      <c r="B2014" s="48" t="s">
        <v>3329</v>
      </c>
      <c r="C2014" s="49" t="s">
        <v>3305</v>
      </c>
      <c r="D2014" s="50"/>
      <c r="E2014" s="51">
        <v>1005000</v>
      </c>
      <c r="F2014" s="52">
        <f t="shared" si="120"/>
        <v>80400</v>
      </c>
      <c r="G2014" s="53">
        <f t="shared" si="119"/>
        <v>1085400</v>
      </c>
      <c r="H2014" s="54">
        <v>1085400</v>
      </c>
      <c r="I2014" s="55">
        <f t="shared" si="121"/>
        <v>0</v>
      </c>
      <c r="J2014" s="56">
        <v>46135</v>
      </c>
      <c r="K2014" s="57" t="s">
        <v>3387</v>
      </c>
    </row>
    <row r="2015" spans="1:11" ht="15.75" hidden="1" customHeight="1" x14ac:dyDescent="0.35">
      <c r="A2015" s="47" t="s">
        <v>2747</v>
      </c>
      <c r="B2015" s="48" t="s">
        <v>3329</v>
      </c>
      <c r="C2015" s="49" t="s">
        <v>3306</v>
      </c>
      <c r="D2015" s="50"/>
      <c r="E2015" s="51">
        <v>1040000</v>
      </c>
      <c r="F2015" s="52">
        <f t="shared" si="120"/>
        <v>83200</v>
      </c>
      <c r="G2015" s="53">
        <f t="shared" si="119"/>
        <v>1123200</v>
      </c>
      <c r="H2015" s="54">
        <v>1123200</v>
      </c>
      <c r="I2015" s="55">
        <f t="shared" si="121"/>
        <v>0</v>
      </c>
      <c r="J2015" s="56">
        <v>46135</v>
      </c>
      <c r="K2015" s="57" t="s">
        <v>3387</v>
      </c>
    </row>
    <row r="2016" spans="1:11" ht="15.75" hidden="1" customHeight="1" x14ac:dyDescent="0.35">
      <c r="A2016" s="47" t="s">
        <v>2720</v>
      </c>
      <c r="B2016" s="48" t="s">
        <v>3329</v>
      </c>
      <c r="C2016" s="49" t="s">
        <v>3307</v>
      </c>
      <c r="D2016" s="50"/>
      <c r="E2016" s="51">
        <v>2045000</v>
      </c>
      <c r="F2016" s="52">
        <f t="shared" si="120"/>
        <v>163600</v>
      </c>
      <c r="G2016" s="53">
        <f t="shared" si="119"/>
        <v>2208600</v>
      </c>
      <c r="H2016" s="54">
        <v>2208600</v>
      </c>
      <c r="I2016" s="55">
        <f t="shared" si="121"/>
        <v>0</v>
      </c>
      <c r="J2016" s="56">
        <v>46105</v>
      </c>
      <c r="K2016" s="57"/>
    </row>
    <row r="2017" spans="1:11" ht="15.75" hidden="1" customHeight="1" x14ac:dyDescent="0.35">
      <c r="A2017" s="47" t="s">
        <v>2732</v>
      </c>
      <c r="B2017" s="48" t="s">
        <v>3329</v>
      </c>
      <c r="C2017" s="49" t="s">
        <v>3308</v>
      </c>
      <c r="D2017" s="50"/>
      <c r="E2017" s="51">
        <v>1881000</v>
      </c>
      <c r="F2017" s="52">
        <f t="shared" si="120"/>
        <v>150480</v>
      </c>
      <c r="G2017" s="53">
        <f t="shared" si="119"/>
        <v>2031480</v>
      </c>
      <c r="H2017" s="54"/>
      <c r="I2017" s="55">
        <f t="shared" si="121"/>
        <v>2031480</v>
      </c>
      <c r="J2017" s="56"/>
      <c r="K2017" s="57" t="s">
        <v>3387</v>
      </c>
    </row>
    <row r="2018" spans="1:11" ht="15.75" hidden="1" customHeight="1" x14ac:dyDescent="0.35">
      <c r="A2018" s="47" t="s">
        <v>3055</v>
      </c>
      <c r="B2018" s="48" t="s">
        <v>3330</v>
      </c>
      <c r="C2018" s="49" t="s">
        <v>3309</v>
      </c>
      <c r="D2018" s="50"/>
      <c r="E2018" s="51">
        <v>17435000</v>
      </c>
      <c r="F2018" s="52">
        <f t="shared" si="120"/>
        <v>1394800</v>
      </c>
      <c r="G2018" s="53">
        <f t="shared" si="119"/>
        <v>18829800</v>
      </c>
      <c r="H2018" s="54">
        <v>18829800</v>
      </c>
      <c r="I2018" s="55">
        <f t="shared" si="121"/>
        <v>0</v>
      </c>
      <c r="J2018" s="56">
        <v>46170</v>
      </c>
      <c r="K2018" s="57" t="s">
        <v>3387</v>
      </c>
    </row>
    <row r="2019" spans="1:11" ht="15.75" hidden="1" customHeight="1" x14ac:dyDescent="0.35">
      <c r="A2019" s="47" t="s">
        <v>2728</v>
      </c>
      <c r="B2019" s="48" t="s">
        <v>3330</v>
      </c>
      <c r="C2019" s="49" t="s">
        <v>3310</v>
      </c>
      <c r="D2019" s="50"/>
      <c r="E2019" s="51">
        <v>1005000</v>
      </c>
      <c r="F2019" s="52">
        <f t="shared" si="120"/>
        <v>80400</v>
      </c>
      <c r="G2019" s="53">
        <f t="shared" si="119"/>
        <v>1085400</v>
      </c>
      <c r="H2019" s="54">
        <v>1085400</v>
      </c>
      <c r="I2019" s="55">
        <f t="shared" si="121"/>
        <v>0</v>
      </c>
      <c r="J2019" s="56">
        <v>46105</v>
      </c>
      <c r="K2019" s="57" t="s">
        <v>3387</v>
      </c>
    </row>
    <row r="2020" spans="1:11" ht="15.75" hidden="1" customHeight="1" x14ac:dyDescent="0.35">
      <c r="A2020" s="47" t="s">
        <v>3055</v>
      </c>
      <c r="B2020" s="48" t="s">
        <v>3330</v>
      </c>
      <c r="C2020" s="49" t="s">
        <v>3311</v>
      </c>
      <c r="D2020" s="50"/>
      <c r="E2020" s="51">
        <v>11700000</v>
      </c>
      <c r="F2020" s="52">
        <f t="shared" si="120"/>
        <v>936000</v>
      </c>
      <c r="G2020" s="53">
        <f>E2020+F2020</f>
        <v>12636000</v>
      </c>
      <c r="H2020" s="54">
        <v>12636000</v>
      </c>
      <c r="I2020" s="55">
        <f>G2020-H2020</f>
        <v>0</v>
      </c>
      <c r="J2020" s="56">
        <v>46170</v>
      </c>
      <c r="K2020" s="57" t="s">
        <v>3387</v>
      </c>
    </row>
    <row r="2021" spans="1:11" ht="15.75" hidden="1" customHeight="1" x14ac:dyDescent="0.35">
      <c r="A2021" s="47" t="s">
        <v>2703</v>
      </c>
      <c r="B2021" s="48" t="s">
        <v>3331</v>
      </c>
      <c r="C2021" s="49" t="s">
        <v>3312</v>
      </c>
      <c r="D2021" s="50"/>
      <c r="E2021" s="51">
        <v>2010000</v>
      </c>
      <c r="F2021" s="52">
        <f t="shared" si="120"/>
        <v>160800</v>
      </c>
      <c r="G2021" s="53">
        <f t="shared" si="119"/>
        <v>2170800</v>
      </c>
      <c r="H2021" s="54"/>
      <c r="I2021" s="55">
        <f t="shared" si="121"/>
        <v>2170800</v>
      </c>
      <c r="J2021" s="56"/>
      <c r="K2021" s="57"/>
    </row>
    <row r="2022" spans="1:11" ht="15.75" customHeight="1" x14ac:dyDescent="0.35">
      <c r="A2022" s="47" t="s">
        <v>2727</v>
      </c>
      <c r="B2022" s="48" t="s">
        <v>3332</v>
      </c>
      <c r="C2022" s="49" t="s">
        <v>573</v>
      </c>
      <c r="D2022" s="50"/>
      <c r="E2022" s="51">
        <v>96321000</v>
      </c>
      <c r="F2022" s="52">
        <f t="shared" si="120"/>
        <v>7705680</v>
      </c>
      <c r="G2022" s="53">
        <f t="shared" si="119"/>
        <v>104026680</v>
      </c>
      <c r="H2022" s="54">
        <v>104026680</v>
      </c>
      <c r="I2022" s="55">
        <f t="shared" si="121"/>
        <v>0</v>
      </c>
      <c r="J2022" s="56">
        <v>46254</v>
      </c>
      <c r="K2022" s="57"/>
    </row>
    <row r="2023" spans="1:11" ht="15.75" customHeight="1" x14ac:dyDescent="0.35">
      <c r="A2023" s="47" t="s">
        <v>2727</v>
      </c>
      <c r="B2023" s="48" t="s">
        <v>3332</v>
      </c>
      <c r="C2023" s="49" t="s">
        <v>574</v>
      </c>
      <c r="D2023" s="50"/>
      <c r="E2023" s="51">
        <v>86570500</v>
      </c>
      <c r="F2023" s="52">
        <f t="shared" si="120"/>
        <v>6925640</v>
      </c>
      <c r="G2023" s="53">
        <f t="shared" si="119"/>
        <v>93496140</v>
      </c>
      <c r="H2023" s="54">
        <v>93496140</v>
      </c>
      <c r="I2023" s="55">
        <f t="shared" si="121"/>
        <v>0</v>
      </c>
      <c r="J2023" s="56">
        <v>46254</v>
      </c>
      <c r="K2023" s="57"/>
    </row>
    <row r="2024" spans="1:11" ht="15.75" hidden="1" customHeight="1" x14ac:dyDescent="0.35">
      <c r="A2024" s="47" t="s">
        <v>2727</v>
      </c>
      <c r="B2024" s="48" t="s">
        <v>3333</v>
      </c>
      <c r="C2024" s="50" t="s">
        <v>204</v>
      </c>
      <c r="D2024" s="50" t="s">
        <v>3380</v>
      </c>
      <c r="E2024" s="51">
        <v>0</v>
      </c>
      <c r="F2024" s="52">
        <f t="shared" si="120"/>
        <v>0</v>
      </c>
      <c r="G2024" s="53">
        <f t="shared" si="119"/>
        <v>0</v>
      </c>
      <c r="H2024" s="54"/>
      <c r="I2024" s="55">
        <f t="shared" si="121"/>
        <v>0</v>
      </c>
      <c r="J2024" s="56"/>
      <c r="K2024" s="57"/>
    </row>
    <row r="2025" spans="1:11" ht="15.75" hidden="1" customHeight="1" x14ac:dyDescent="0.35">
      <c r="A2025" s="47" t="s">
        <v>2739</v>
      </c>
      <c r="B2025" s="48" t="s">
        <v>3368</v>
      </c>
      <c r="C2025" s="49" t="s">
        <v>2104</v>
      </c>
      <c r="D2025" s="50"/>
      <c r="E2025" s="51">
        <v>520000</v>
      </c>
      <c r="F2025" s="52">
        <f t="shared" si="120"/>
        <v>41600</v>
      </c>
      <c r="G2025" s="53">
        <f t="shared" si="119"/>
        <v>561600</v>
      </c>
      <c r="H2025" s="54">
        <v>561600</v>
      </c>
      <c r="I2025" s="55">
        <f t="shared" si="121"/>
        <v>0</v>
      </c>
      <c r="J2025" s="56">
        <v>46135</v>
      </c>
      <c r="K2025" s="57"/>
    </row>
    <row r="2026" spans="1:11" ht="15.75" hidden="1" customHeight="1" x14ac:dyDescent="0.35">
      <c r="A2026" s="47" t="s">
        <v>2720</v>
      </c>
      <c r="B2026" s="48" t="s">
        <v>3368</v>
      </c>
      <c r="C2026" s="49" t="s">
        <v>3339</v>
      </c>
      <c r="D2026" s="50"/>
      <c r="E2026" s="51">
        <v>1005000</v>
      </c>
      <c r="F2026" s="52">
        <f t="shared" si="120"/>
        <v>80400</v>
      </c>
      <c r="G2026" s="53">
        <f t="shared" si="119"/>
        <v>1085400</v>
      </c>
      <c r="H2026" s="54">
        <v>1085400</v>
      </c>
      <c r="I2026" s="55">
        <f t="shared" si="121"/>
        <v>0</v>
      </c>
      <c r="J2026" s="56">
        <v>46135</v>
      </c>
      <c r="K2026" s="57"/>
    </row>
    <row r="2027" spans="1:11" ht="15.75" hidden="1" customHeight="1" x14ac:dyDescent="0.35">
      <c r="A2027" s="47" t="s">
        <v>24</v>
      </c>
      <c r="B2027" s="48">
        <v>46085</v>
      </c>
      <c r="C2027" s="50" t="s">
        <v>3340</v>
      </c>
      <c r="D2027" s="50" t="s">
        <v>3501</v>
      </c>
      <c r="E2027" s="51">
        <v>1410000</v>
      </c>
      <c r="F2027" s="52">
        <f t="shared" si="120"/>
        <v>112800</v>
      </c>
      <c r="G2027" s="53">
        <f t="shared" si="119"/>
        <v>1522800</v>
      </c>
      <c r="H2027" s="54">
        <v>1522800</v>
      </c>
      <c r="I2027" s="55">
        <f t="shared" si="121"/>
        <v>0</v>
      </c>
      <c r="J2027" s="56">
        <v>46170</v>
      </c>
      <c r="K2027" s="57"/>
    </row>
    <row r="2028" spans="1:11" ht="15.75" hidden="1" customHeight="1" x14ac:dyDescent="0.35">
      <c r="A2028" s="47" t="s">
        <v>2729</v>
      </c>
      <c r="B2028" s="48" t="s">
        <v>3368</v>
      </c>
      <c r="C2028" s="49" t="s">
        <v>2105</v>
      </c>
      <c r="D2028" s="50"/>
      <c r="E2028" s="51">
        <v>1525000</v>
      </c>
      <c r="F2028" s="52">
        <f t="shared" si="120"/>
        <v>122000</v>
      </c>
      <c r="G2028" s="53">
        <f t="shared" si="119"/>
        <v>1647000</v>
      </c>
      <c r="H2028" s="54">
        <v>1647000</v>
      </c>
      <c r="I2028" s="55">
        <f t="shared" si="121"/>
        <v>0</v>
      </c>
      <c r="J2028" s="56">
        <v>46135</v>
      </c>
      <c r="K2028" s="57"/>
    </row>
    <row r="2029" spans="1:11" ht="15.75" hidden="1" customHeight="1" x14ac:dyDescent="0.35">
      <c r="A2029" s="47" t="s">
        <v>1586</v>
      </c>
      <c r="B2029" s="48">
        <v>46090</v>
      </c>
      <c r="C2029" s="50" t="s">
        <v>3341</v>
      </c>
      <c r="D2029" s="49" t="s">
        <v>3503</v>
      </c>
      <c r="E2029" s="51">
        <v>2855000</v>
      </c>
      <c r="F2029" s="52">
        <f t="shared" si="120"/>
        <v>228400</v>
      </c>
      <c r="G2029" s="53">
        <f t="shared" si="119"/>
        <v>3083400</v>
      </c>
      <c r="H2029" s="54">
        <v>3083400</v>
      </c>
      <c r="I2029" s="55">
        <f t="shared" si="121"/>
        <v>0</v>
      </c>
      <c r="J2029" s="56">
        <v>46170</v>
      </c>
      <c r="K2029" s="57"/>
    </row>
    <row r="2030" spans="1:11" ht="15.75" hidden="1" customHeight="1" x14ac:dyDescent="0.35">
      <c r="A2030" s="47" t="s">
        <v>2694</v>
      </c>
      <c r="B2030" s="48" t="s">
        <v>3368</v>
      </c>
      <c r="C2030" s="49" t="s">
        <v>2106</v>
      </c>
      <c r="D2030" s="50"/>
      <c r="E2030" s="51">
        <v>2045000</v>
      </c>
      <c r="F2030" s="52">
        <f t="shared" si="120"/>
        <v>163600</v>
      </c>
      <c r="G2030" s="53">
        <f t="shared" si="119"/>
        <v>2208600</v>
      </c>
      <c r="H2030" s="54">
        <v>2208600</v>
      </c>
      <c r="I2030" s="55">
        <f t="shared" si="121"/>
        <v>0</v>
      </c>
      <c r="J2030" s="56">
        <v>46105</v>
      </c>
      <c r="K2030" s="57"/>
    </row>
    <row r="2031" spans="1:11" ht="15.75" hidden="1" customHeight="1" x14ac:dyDescent="0.35">
      <c r="A2031" s="47" t="s">
        <v>2703</v>
      </c>
      <c r="B2031" s="48" t="s">
        <v>3369</v>
      </c>
      <c r="C2031" s="49" t="s">
        <v>3342</v>
      </c>
      <c r="D2031" s="50"/>
      <c r="E2031" s="51">
        <v>2335000</v>
      </c>
      <c r="F2031" s="52">
        <f t="shared" si="120"/>
        <v>186800</v>
      </c>
      <c r="G2031" s="53">
        <f t="shared" si="119"/>
        <v>2521800</v>
      </c>
      <c r="H2031" s="54"/>
      <c r="I2031" s="55">
        <f t="shared" si="121"/>
        <v>2521800</v>
      </c>
      <c r="J2031" s="56"/>
      <c r="K2031" s="57"/>
    </row>
    <row r="2032" spans="1:11" ht="15.75" hidden="1" customHeight="1" x14ac:dyDescent="0.35">
      <c r="A2032" s="47" t="s">
        <v>2695</v>
      </c>
      <c r="B2032" s="48" t="s">
        <v>3369</v>
      </c>
      <c r="C2032" s="49" t="s">
        <v>3343</v>
      </c>
      <c r="D2032" s="50"/>
      <c r="E2032" s="51">
        <v>6945000</v>
      </c>
      <c r="F2032" s="52">
        <f t="shared" si="120"/>
        <v>555600</v>
      </c>
      <c r="G2032" s="53">
        <f t="shared" si="119"/>
        <v>7500600</v>
      </c>
      <c r="H2032" s="54">
        <v>7500600</v>
      </c>
      <c r="I2032" s="55">
        <f t="shared" si="121"/>
        <v>0</v>
      </c>
      <c r="J2032" s="56">
        <v>46170</v>
      </c>
      <c r="K2032" s="57"/>
    </row>
    <row r="2033" spans="1:11" ht="15.75" hidden="1" customHeight="1" x14ac:dyDescent="0.35">
      <c r="A2033" s="47" t="s">
        <v>2688</v>
      </c>
      <c r="B2033" s="48">
        <v>46084</v>
      </c>
      <c r="C2033" s="50" t="s">
        <v>3344</v>
      </c>
      <c r="D2033" s="49" t="s">
        <v>3382</v>
      </c>
      <c r="E2033" s="51">
        <v>4900000</v>
      </c>
      <c r="F2033" s="52">
        <f t="shared" si="120"/>
        <v>392000</v>
      </c>
      <c r="G2033" s="53">
        <f t="shared" si="119"/>
        <v>5292000</v>
      </c>
      <c r="H2033" s="54">
        <v>5292000</v>
      </c>
      <c r="I2033" s="55">
        <f t="shared" si="121"/>
        <v>0</v>
      </c>
      <c r="J2033" s="56">
        <v>46170</v>
      </c>
      <c r="K2033" s="57"/>
    </row>
    <row r="2034" spans="1:11" ht="15.75" hidden="1" customHeight="1" x14ac:dyDescent="0.35">
      <c r="A2034" s="47" t="s">
        <v>2687</v>
      </c>
      <c r="B2034" s="48">
        <v>46084</v>
      </c>
      <c r="C2034" s="50" t="s">
        <v>3345</v>
      </c>
      <c r="D2034" s="50" t="s">
        <v>3384</v>
      </c>
      <c r="E2034" s="51">
        <v>1427500</v>
      </c>
      <c r="F2034" s="52">
        <f t="shared" si="120"/>
        <v>114200</v>
      </c>
      <c r="G2034" s="53">
        <f t="shared" ref="G2034:G2097" si="122">E2034+F2034</f>
        <v>1541700</v>
      </c>
      <c r="H2034" s="54">
        <v>1541700</v>
      </c>
      <c r="I2034" s="55">
        <f t="shared" si="121"/>
        <v>0</v>
      </c>
      <c r="J2034" s="56">
        <v>46170</v>
      </c>
      <c r="K2034" s="57"/>
    </row>
    <row r="2035" spans="1:11" ht="15.75" hidden="1" customHeight="1" x14ac:dyDescent="0.35">
      <c r="A2035" s="47" t="s">
        <v>2712</v>
      </c>
      <c r="B2035" s="48" t="s">
        <v>3369</v>
      </c>
      <c r="C2035" s="49" t="s">
        <v>3346</v>
      </c>
      <c r="D2035" s="50"/>
      <c r="E2035" s="51">
        <v>2045000</v>
      </c>
      <c r="F2035" s="52">
        <f t="shared" ref="F2035:F2098" si="123">+E2035*0.08</f>
        <v>163600</v>
      </c>
      <c r="G2035" s="53">
        <f t="shared" si="122"/>
        <v>2208600</v>
      </c>
      <c r="H2035" s="54">
        <v>2208600</v>
      </c>
      <c r="I2035" s="55">
        <f t="shared" ref="I2035:I2098" si="124">G2035-H2035</f>
        <v>0</v>
      </c>
      <c r="J2035" s="56">
        <v>46135</v>
      </c>
      <c r="K2035" s="57"/>
    </row>
    <row r="2036" spans="1:11" ht="15.75" hidden="1" customHeight="1" x14ac:dyDescent="0.35">
      <c r="A2036" s="47" t="s">
        <v>2738</v>
      </c>
      <c r="B2036" s="48" t="s">
        <v>3369</v>
      </c>
      <c r="C2036" s="49" t="s">
        <v>3347</v>
      </c>
      <c r="D2036" s="50"/>
      <c r="E2036" s="51">
        <v>2045000</v>
      </c>
      <c r="F2036" s="52">
        <f t="shared" si="123"/>
        <v>163600</v>
      </c>
      <c r="G2036" s="53">
        <f t="shared" si="122"/>
        <v>2208600</v>
      </c>
      <c r="H2036" s="54">
        <v>2208600</v>
      </c>
      <c r="I2036" s="55">
        <f t="shared" si="124"/>
        <v>0</v>
      </c>
      <c r="J2036" s="56">
        <v>46135</v>
      </c>
      <c r="K2036" s="57"/>
    </row>
    <row r="2037" spans="1:11" ht="15.75" hidden="1" customHeight="1" x14ac:dyDescent="0.35">
      <c r="A2037" s="47" t="s">
        <v>2711</v>
      </c>
      <c r="B2037" s="48">
        <v>46084</v>
      </c>
      <c r="C2037" s="50" t="s">
        <v>3348</v>
      </c>
      <c r="D2037" s="49" t="s">
        <v>3383</v>
      </c>
      <c r="E2037" s="51">
        <v>1850000</v>
      </c>
      <c r="F2037" s="52">
        <f t="shared" si="123"/>
        <v>148000</v>
      </c>
      <c r="G2037" s="53">
        <f t="shared" si="122"/>
        <v>1998000</v>
      </c>
      <c r="H2037" s="54">
        <v>1998000</v>
      </c>
      <c r="I2037" s="55">
        <f t="shared" si="124"/>
        <v>0</v>
      </c>
      <c r="J2037" s="56">
        <v>46170</v>
      </c>
      <c r="K2037" s="57"/>
    </row>
    <row r="2038" spans="1:11" ht="15.75" hidden="1" customHeight="1" x14ac:dyDescent="0.35">
      <c r="A2038" s="47" t="s">
        <v>770</v>
      </c>
      <c r="B2038" s="48">
        <v>46084</v>
      </c>
      <c r="C2038" s="50" t="s">
        <v>3349</v>
      </c>
      <c r="D2038" s="49" t="s">
        <v>3385</v>
      </c>
      <c r="E2038" s="51">
        <v>2045000</v>
      </c>
      <c r="F2038" s="52">
        <f t="shared" si="123"/>
        <v>163600</v>
      </c>
      <c r="G2038" s="53">
        <f t="shared" si="122"/>
        <v>2208600</v>
      </c>
      <c r="H2038" s="54">
        <v>2208600</v>
      </c>
      <c r="I2038" s="55">
        <f t="shared" si="124"/>
        <v>0</v>
      </c>
      <c r="J2038" s="56">
        <v>46170</v>
      </c>
      <c r="K2038" s="57"/>
    </row>
    <row r="2039" spans="1:11" ht="15.75" hidden="1" customHeight="1" x14ac:dyDescent="0.35">
      <c r="A2039" s="47" t="s">
        <v>2733</v>
      </c>
      <c r="B2039" s="48" t="s">
        <v>3370</v>
      </c>
      <c r="C2039" s="49" t="s">
        <v>3350</v>
      </c>
      <c r="D2039" s="50"/>
      <c r="E2039" s="51">
        <v>6715000</v>
      </c>
      <c r="F2039" s="52">
        <f t="shared" si="123"/>
        <v>537200</v>
      </c>
      <c r="G2039" s="53">
        <f t="shared" si="122"/>
        <v>7252200</v>
      </c>
      <c r="H2039" s="54">
        <v>7252200</v>
      </c>
      <c r="I2039" s="55">
        <f t="shared" si="124"/>
        <v>0</v>
      </c>
      <c r="J2039" s="56">
        <v>46135</v>
      </c>
      <c r="K2039" s="57"/>
    </row>
    <row r="2040" spans="1:11" ht="15.75" hidden="1" customHeight="1" x14ac:dyDescent="0.35">
      <c r="A2040" s="47" t="s">
        <v>2727</v>
      </c>
      <c r="B2040" s="48" t="s">
        <v>3371</v>
      </c>
      <c r="C2040" s="49" t="s">
        <v>3351</v>
      </c>
      <c r="D2040" s="50"/>
      <c r="E2040" s="51">
        <v>1005000</v>
      </c>
      <c r="F2040" s="52">
        <f t="shared" si="123"/>
        <v>80400</v>
      </c>
      <c r="G2040" s="53">
        <f t="shared" si="122"/>
        <v>1085400</v>
      </c>
      <c r="H2040" s="54">
        <v>1085400</v>
      </c>
      <c r="I2040" s="55">
        <f t="shared" si="124"/>
        <v>0</v>
      </c>
      <c r="J2040" s="56">
        <v>46170</v>
      </c>
      <c r="K2040" s="57"/>
    </row>
    <row r="2041" spans="1:11" ht="15.75" hidden="1" customHeight="1" x14ac:dyDescent="0.35">
      <c r="A2041" s="47" t="s">
        <v>2704</v>
      </c>
      <c r="B2041" s="48" t="s">
        <v>3371</v>
      </c>
      <c r="C2041" s="49" t="s">
        <v>3352</v>
      </c>
      <c r="D2041" s="50"/>
      <c r="E2041" s="51">
        <v>2855000</v>
      </c>
      <c r="F2041" s="52">
        <f t="shared" si="123"/>
        <v>228400</v>
      </c>
      <c r="G2041" s="53">
        <f t="shared" si="122"/>
        <v>3083400</v>
      </c>
      <c r="H2041" s="54">
        <v>3083400</v>
      </c>
      <c r="I2041" s="55">
        <f t="shared" si="124"/>
        <v>0</v>
      </c>
      <c r="J2041" s="56">
        <v>46170</v>
      </c>
      <c r="K2041" s="57"/>
    </row>
    <row r="2042" spans="1:11" ht="15.75" hidden="1" customHeight="1" x14ac:dyDescent="0.35">
      <c r="A2042" s="47" t="s">
        <v>2723</v>
      </c>
      <c r="B2042" s="48" t="s">
        <v>3371</v>
      </c>
      <c r="C2042" s="49" t="s">
        <v>3353</v>
      </c>
      <c r="D2042" s="50"/>
      <c r="E2042" s="51">
        <v>2855000</v>
      </c>
      <c r="F2042" s="52">
        <f t="shared" si="123"/>
        <v>228400</v>
      </c>
      <c r="G2042" s="53">
        <f t="shared" si="122"/>
        <v>3083400</v>
      </c>
      <c r="H2042" s="54"/>
      <c r="I2042" s="55">
        <f t="shared" si="124"/>
        <v>3083400</v>
      </c>
      <c r="J2042" s="56"/>
      <c r="K2042" s="57"/>
    </row>
    <row r="2043" spans="1:11" ht="15.75" hidden="1" customHeight="1" x14ac:dyDescent="0.35">
      <c r="A2043" s="47" t="s">
        <v>2700</v>
      </c>
      <c r="B2043" s="48" t="s">
        <v>3371</v>
      </c>
      <c r="C2043" s="49" t="s">
        <v>3354</v>
      </c>
      <c r="D2043" s="50"/>
      <c r="E2043" s="51">
        <v>1005000</v>
      </c>
      <c r="F2043" s="52">
        <f t="shared" si="123"/>
        <v>80400</v>
      </c>
      <c r="G2043" s="53">
        <f t="shared" si="122"/>
        <v>1085400</v>
      </c>
      <c r="H2043" s="54">
        <v>1085400</v>
      </c>
      <c r="I2043" s="55">
        <f t="shared" si="124"/>
        <v>0</v>
      </c>
      <c r="J2043" s="56">
        <v>46170</v>
      </c>
      <c r="K2043" s="57"/>
    </row>
    <row r="2044" spans="1:11" ht="15.75" hidden="1" customHeight="1" x14ac:dyDescent="0.35">
      <c r="A2044" s="47" t="s">
        <v>2692</v>
      </c>
      <c r="B2044" s="48" t="s">
        <v>3371</v>
      </c>
      <c r="C2044" s="49" t="s">
        <v>3355</v>
      </c>
      <c r="D2044" s="50"/>
      <c r="E2044" s="51">
        <v>1005000</v>
      </c>
      <c r="F2044" s="52">
        <f t="shared" si="123"/>
        <v>80400</v>
      </c>
      <c r="G2044" s="53">
        <f t="shared" si="122"/>
        <v>1085400</v>
      </c>
      <c r="H2044" s="54">
        <v>1085400</v>
      </c>
      <c r="I2044" s="55">
        <f t="shared" si="124"/>
        <v>0</v>
      </c>
      <c r="J2044" s="56">
        <v>46170</v>
      </c>
      <c r="K2044" s="57"/>
    </row>
    <row r="2045" spans="1:11" ht="15.75" hidden="1" customHeight="1" x14ac:dyDescent="0.35">
      <c r="A2045" s="47" t="s">
        <v>3016</v>
      </c>
      <c r="B2045" s="48" t="s">
        <v>3371</v>
      </c>
      <c r="C2045" s="49" t="s">
        <v>3356</v>
      </c>
      <c r="D2045" s="50"/>
      <c r="E2045" s="51">
        <v>2855000</v>
      </c>
      <c r="F2045" s="52">
        <f t="shared" si="123"/>
        <v>228400</v>
      </c>
      <c r="G2045" s="53">
        <f t="shared" si="122"/>
        <v>3083400</v>
      </c>
      <c r="H2045" s="54">
        <v>3083400</v>
      </c>
      <c r="I2045" s="55">
        <f t="shared" si="124"/>
        <v>0</v>
      </c>
      <c r="J2045" s="56">
        <v>46170</v>
      </c>
      <c r="K2045" s="57"/>
    </row>
    <row r="2046" spans="1:11" ht="15.75" hidden="1" customHeight="1" x14ac:dyDescent="0.35">
      <c r="A2046" s="47" t="s">
        <v>2747</v>
      </c>
      <c r="B2046" s="48" t="s">
        <v>3371</v>
      </c>
      <c r="C2046" s="49" t="s">
        <v>3357</v>
      </c>
      <c r="D2046" s="50"/>
      <c r="E2046" s="51">
        <v>1815000</v>
      </c>
      <c r="F2046" s="52">
        <f t="shared" si="123"/>
        <v>145200</v>
      </c>
      <c r="G2046" s="53">
        <f t="shared" si="122"/>
        <v>1960200</v>
      </c>
      <c r="H2046" s="54">
        <v>1960200</v>
      </c>
      <c r="I2046" s="55">
        <f t="shared" si="124"/>
        <v>0</v>
      </c>
      <c r="J2046" s="56">
        <v>46170</v>
      </c>
      <c r="K2046" s="57"/>
    </row>
    <row r="2047" spans="1:11" ht="15.75" hidden="1" customHeight="1" x14ac:dyDescent="0.35">
      <c r="A2047" s="47" t="s">
        <v>2745</v>
      </c>
      <c r="B2047" s="48" t="s">
        <v>3371</v>
      </c>
      <c r="C2047" s="49" t="s">
        <v>3358</v>
      </c>
      <c r="D2047" s="50"/>
      <c r="E2047" s="51">
        <v>1022500</v>
      </c>
      <c r="F2047" s="52">
        <f t="shared" si="123"/>
        <v>81800</v>
      </c>
      <c r="G2047" s="53">
        <f t="shared" si="122"/>
        <v>1104300</v>
      </c>
      <c r="H2047" s="54"/>
      <c r="I2047" s="55">
        <f t="shared" si="124"/>
        <v>1104300</v>
      </c>
      <c r="J2047" s="56"/>
      <c r="K2047" s="57"/>
    </row>
    <row r="2048" spans="1:11" ht="15.75" hidden="1" customHeight="1" x14ac:dyDescent="0.35">
      <c r="A2048" s="47" t="s">
        <v>2722</v>
      </c>
      <c r="B2048" s="48" t="s">
        <v>3372</v>
      </c>
      <c r="C2048" s="49" t="s">
        <v>214</v>
      </c>
      <c r="D2048" s="50"/>
      <c r="E2048" s="51">
        <v>810000</v>
      </c>
      <c r="F2048" s="52">
        <f t="shared" si="123"/>
        <v>64800</v>
      </c>
      <c r="G2048" s="53">
        <f t="shared" si="122"/>
        <v>874800</v>
      </c>
      <c r="H2048" s="54">
        <v>874800</v>
      </c>
      <c r="I2048" s="55">
        <f t="shared" si="124"/>
        <v>0</v>
      </c>
      <c r="J2048" s="56">
        <v>46170</v>
      </c>
      <c r="K2048" s="57"/>
    </row>
    <row r="2049" spans="1:11" ht="15.75" hidden="1" customHeight="1" x14ac:dyDescent="0.35">
      <c r="A2049" s="47" t="s">
        <v>2683</v>
      </c>
      <c r="B2049" s="48" t="s">
        <v>3372</v>
      </c>
      <c r="C2049" s="49" t="s">
        <v>3359</v>
      </c>
      <c r="D2049" s="50"/>
      <c r="E2049" s="51">
        <v>3860000</v>
      </c>
      <c r="F2049" s="52">
        <f t="shared" si="123"/>
        <v>308800</v>
      </c>
      <c r="G2049" s="53">
        <f t="shared" si="122"/>
        <v>4168800</v>
      </c>
      <c r="H2049" s="54">
        <v>4168800</v>
      </c>
      <c r="I2049" s="55">
        <f t="shared" si="124"/>
        <v>0</v>
      </c>
      <c r="J2049" s="56">
        <v>46170</v>
      </c>
      <c r="K2049" s="57"/>
    </row>
    <row r="2050" spans="1:11" ht="15.75" hidden="1" customHeight="1" x14ac:dyDescent="0.35">
      <c r="A2050" s="47" t="s">
        <v>2685</v>
      </c>
      <c r="B2050" s="48" t="s">
        <v>3372</v>
      </c>
      <c r="C2050" s="49" t="s">
        <v>3360</v>
      </c>
      <c r="D2050" s="50"/>
      <c r="E2050" s="51">
        <v>1815000</v>
      </c>
      <c r="F2050" s="52">
        <f t="shared" si="123"/>
        <v>145200</v>
      </c>
      <c r="G2050" s="53">
        <f t="shared" si="122"/>
        <v>1960200</v>
      </c>
      <c r="H2050" s="54">
        <v>1960200</v>
      </c>
      <c r="I2050" s="55">
        <f t="shared" si="124"/>
        <v>0</v>
      </c>
      <c r="J2050" s="56">
        <v>46170</v>
      </c>
      <c r="K2050" s="57"/>
    </row>
    <row r="2051" spans="1:11" ht="15.75" hidden="1" customHeight="1" x14ac:dyDescent="0.35">
      <c r="A2051" s="47" t="s">
        <v>56</v>
      </c>
      <c r="B2051" s="48" t="s">
        <v>3372</v>
      </c>
      <c r="C2051" s="49" t="s">
        <v>3361</v>
      </c>
      <c r="D2051" s="50"/>
      <c r="E2051" s="51">
        <v>2855000</v>
      </c>
      <c r="F2051" s="52">
        <f t="shared" si="123"/>
        <v>228400</v>
      </c>
      <c r="G2051" s="53">
        <f t="shared" si="122"/>
        <v>3083400</v>
      </c>
      <c r="H2051" s="54">
        <v>3083400</v>
      </c>
      <c r="I2051" s="55">
        <f t="shared" si="124"/>
        <v>0</v>
      </c>
      <c r="J2051" s="56">
        <v>46170</v>
      </c>
      <c r="K2051" s="57"/>
    </row>
    <row r="2052" spans="1:11" ht="15.75" hidden="1" customHeight="1" x14ac:dyDescent="0.35">
      <c r="A2052" s="47" t="s">
        <v>2713</v>
      </c>
      <c r="B2052" s="48" t="s">
        <v>3373</v>
      </c>
      <c r="C2052" s="49" t="s">
        <v>3362</v>
      </c>
      <c r="D2052" s="50"/>
      <c r="E2052" s="51">
        <v>2045000</v>
      </c>
      <c r="F2052" s="52">
        <f t="shared" si="123"/>
        <v>163600</v>
      </c>
      <c r="G2052" s="53">
        <f t="shared" si="122"/>
        <v>2208600</v>
      </c>
      <c r="H2052" s="54"/>
      <c r="I2052" s="55">
        <f t="shared" si="124"/>
        <v>2208600</v>
      </c>
      <c r="J2052" s="56"/>
      <c r="K2052" s="57"/>
    </row>
    <row r="2053" spans="1:11" ht="15.75" hidden="1" customHeight="1" x14ac:dyDescent="0.35">
      <c r="A2053" s="47" t="s">
        <v>2740</v>
      </c>
      <c r="B2053" s="48" t="s">
        <v>3373</v>
      </c>
      <c r="C2053" s="49" t="s">
        <v>3363</v>
      </c>
      <c r="D2053" s="50"/>
      <c r="E2053" s="51">
        <v>2855000</v>
      </c>
      <c r="F2053" s="52">
        <f t="shared" si="123"/>
        <v>228400</v>
      </c>
      <c r="G2053" s="53">
        <f t="shared" si="122"/>
        <v>3083400</v>
      </c>
      <c r="H2053" s="54">
        <v>3083400</v>
      </c>
      <c r="I2053" s="55">
        <f t="shared" si="124"/>
        <v>0</v>
      </c>
      <c r="J2053" s="56">
        <v>46170</v>
      </c>
      <c r="K2053" s="57"/>
    </row>
    <row r="2054" spans="1:11" ht="15.75" hidden="1" customHeight="1" x14ac:dyDescent="0.35">
      <c r="A2054" s="47" t="s">
        <v>2688</v>
      </c>
      <c r="B2054" s="48" t="s">
        <v>3373</v>
      </c>
      <c r="C2054" s="49" t="s">
        <v>3364</v>
      </c>
      <c r="D2054" s="50"/>
      <c r="E2054" s="51">
        <v>3860000</v>
      </c>
      <c r="F2054" s="52">
        <f t="shared" si="123"/>
        <v>308800</v>
      </c>
      <c r="G2054" s="53">
        <f t="shared" si="122"/>
        <v>4168800</v>
      </c>
      <c r="H2054" s="54">
        <v>4168800</v>
      </c>
      <c r="I2054" s="55">
        <f t="shared" si="124"/>
        <v>0</v>
      </c>
      <c r="J2054" s="56">
        <v>46170</v>
      </c>
      <c r="K2054" s="57"/>
    </row>
    <row r="2055" spans="1:11" ht="15.75" hidden="1" customHeight="1" x14ac:dyDescent="0.35">
      <c r="A2055" s="47" t="s">
        <v>2729</v>
      </c>
      <c r="B2055" s="48" t="s">
        <v>3373</v>
      </c>
      <c r="C2055" s="49" t="s">
        <v>3365</v>
      </c>
      <c r="D2055" s="50"/>
      <c r="E2055" s="51">
        <v>1005000</v>
      </c>
      <c r="F2055" s="52">
        <f t="shared" si="123"/>
        <v>80400</v>
      </c>
      <c r="G2055" s="53">
        <f t="shared" si="122"/>
        <v>1085400</v>
      </c>
      <c r="H2055" s="54">
        <v>1085400</v>
      </c>
      <c r="I2055" s="55">
        <f t="shared" si="124"/>
        <v>0</v>
      </c>
      <c r="J2055" s="56">
        <v>46170</v>
      </c>
      <c r="K2055" s="57"/>
    </row>
    <row r="2056" spans="1:11" ht="15.75" hidden="1" customHeight="1" x14ac:dyDescent="0.35">
      <c r="A2056" s="47" t="s">
        <v>2786</v>
      </c>
      <c r="B2056" s="48" t="s">
        <v>3373</v>
      </c>
      <c r="C2056" s="49" t="s">
        <v>3366</v>
      </c>
      <c r="D2056" s="50"/>
      <c r="E2056" s="51">
        <v>2855000</v>
      </c>
      <c r="F2056" s="52">
        <f t="shared" si="123"/>
        <v>228400</v>
      </c>
      <c r="G2056" s="53">
        <f t="shared" si="122"/>
        <v>3083400</v>
      </c>
      <c r="H2056" s="54">
        <v>3083400</v>
      </c>
      <c r="I2056" s="55">
        <f t="shared" si="124"/>
        <v>0</v>
      </c>
      <c r="J2056" s="56">
        <v>46170</v>
      </c>
      <c r="K2056" s="57"/>
    </row>
    <row r="2057" spans="1:11" ht="15.75" hidden="1" customHeight="1" x14ac:dyDescent="0.35">
      <c r="A2057" s="47" t="s">
        <v>2721</v>
      </c>
      <c r="B2057" s="48" t="s">
        <v>3373</v>
      </c>
      <c r="C2057" s="49" t="s">
        <v>636</v>
      </c>
      <c r="D2057" s="50"/>
      <c r="E2057" s="51">
        <v>2855000</v>
      </c>
      <c r="F2057" s="52">
        <f t="shared" si="123"/>
        <v>228400</v>
      </c>
      <c r="G2057" s="53">
        <f t="shared" si="122"/>
        <v>3083400</v>
      </c>
      <c r="H2057" s="54">
        <v>3083400</v>
      </c>
      <c r="I2057" s="55">
        <f t="shared" si="124"/>
        <v>0</v>
      </c>
      <c r="J2057" s="56">
        <v>46170</v>
      </c>
      <c r="K2057" s="57"/>
    </row>
    <row r="2058" spans="1:11" ht="15.75" hidden="1" customHeight="1" x14ac:dyDescent="0.35">
      <c r="A2058" s="47" t="s">
        <v>24</v>
      </c>
      <c r="B2058" s="48" t="s">
        <v>3373</v>
      </c>
      <c r="C2058" s="49" t="s">
        <v>3367</v>
      </c>
      <c r="D2058" s="50"/>
      <c r="E2058" s="51">
        <v>1040000</v>
      </c>
      <c r="F2058" s="52">
        <f t="shared" si="123"/>
        <v>83200</v>
      </c>
      <c r="G2058" s="53">
        <f t="shared" si="122"/>
        <v>1123200</v>
      </c>
      <c r="H2058" s="54">
        <v>1123200</v>
      </c>
      <c r="I2058" s="55">
        <f t="shared" si="124"/>
        <v>0</v>
      </c>
      <c r="J2058" s="56">
        <v>46170</v>
      </c>
      <c r="K2058" s="57"/>
    </row>
    <row r="2059" spans="1:11" ht="15.75" hidden="1" customHeight="1" x14ac:dyDescent="0.35">
      <c r="A2059" s="47" t="s">
        <v>1414</v>
      </c>
      <c r="B2059" s="48" t="s">
        <v>3489</v>
      </c>
      <c r="C2059" s="49" t="s">
        <v>3439</v>
      </c>
      <c r="D2059" s="50"/>
      <c r="E2059" s="51">
        <v>925000</v>
      </c>
      <c r="F2059" s="52">
        <f t="shared" si="123"/>
        <v>74000</v>
      </c>
      <c r="G2059" s="53">
        <f t="shared" si="122"/>
        <v>999000</v>
      </c>
      <c r="H2059" s="54">
        <v>999000</v>
      </c>
      <c r="I2059" s="55">
        <f t="shared" si="124"/>
        <v>0</v>
      </c>
      <c r="J2059" s="56">
        <v>46170</v>
      </c>
      <c r="K2059" s="57"/>
    </row>
    <row r="2060" spans="1:11" ht="15.75" hidden="1" customHeight="1" x14ac:dyDescent="0.35">
      <c r="A2060" s="47" t="s">
        <v>2732</v>
      </c>
      <c r="B2060" s="48" t="s">
        <v>3489</v>
      </c>
      <c r="C2060" s="49" t="s">
        <v>3440</v>
      </c>
      <c r="D2060" s="50"/>
      <c r="E2060" s="51">
        <v>705000</v>
      </c>
      <c r="F2060" s="52">
        <f t="shared" si="123"/>
        <v>56400</v>
      </c>
      <c r="G2060" s="53">
        <f t="shared" si="122"/>
        <v>761400</v>
      </c>
      <c r="H2060" s="54"/>
      <c r="I2060" s="55">
        <f t="shared" si="124"/>
        <v>761400</v>
      </c>
      <c r="J2060" s="56"/>
      <c r="K2060" s="57"/>
    </row>
    <row r="2061" spans="1:11" ht="15.75" hidden="1" customHeight="1" x14ac:dyDescent="0.35">
      <c r="A2061" s="47" t="s">
        <v>2681</v>
      </c>
      <c r="B2061" s="48" t="s">
        <v>3489</v>
      </c>
      <c r="C2061" s="49" t="s">
        <v>3441</v>
      </c>
      <c r="D2061" s="50"/>
      <c r="E2061" s="51">
        <v>1832500</v>
      </c>
      <c r="F2061" s="52">
        <f t="shared" si="123"/>
        <v>146600</v>
      </c>
      <c r="G2061" s="53">
        <f t="shared" si="122"/>
        <v>1979100</v>
      </c>
      <c r="H2061" s="54">
        <v>1979100</v>
      </c>
      <c r="I2061" s="55">
        <f t="shared" si="124"/>
        <v>0</v>
      </c>
      <c r="J2061" s="56">
        <v>46170</v>
      </c>
      <c r="K2061" s="57"/>
    </row>
    <row r="2062" spans="1:11" ht="15.75" hidden="1" customHeight="1" x14ac:dyDescent="0.35">
      <c r="A2062" s="47" t="s">
        <v>2679</v>
      </c>
      <c r="B2062" s="48" t="s">
        <v>3490</v>
      </c>
      <c r="C2062" s="49" t="s">
        <v>3442</v>
      </c>
      <c r="D2062" s="50"/>
      <c r="E2062" s="51">
        <v>1815000</v>
      </c>
      <c r="F2062" s="52">
        <f t="shared" si="123"/>
        <v>145200</v>
      </c>
      <c r="G2062" s="53">
        <f t="shared" si="122"/>
        <v>1960200</v>
      </c>
      <c r="H2062" s="54"/>
      <c r="I2062" s="55">
        <f t="shared" si="124"/>
        <v>1960200</v>
      </c>
      <c r="J2062" s="56"/>
      <c r="K2062" s="57"/>
    </row>
    <row r="2063" spans="1:11" ht="15.75" hidden="1" customHeight="1" x14ac:dyDescent="0.35">
      <c r="A2063" s="47" t="s">
        <v>2685</v>
      </c>
      <c r="B2063" s="48" t="s">
        <v>3490</v>
      </c>
      <c r="C2063" s="49" t="s">
        <v>3443</v>
      </c>
      <c r="D2063" s="50"/>
      <c r="E2063" s="51">
        <v>2450000</v>
      </c>
      <c r="F2063" s="52">
        <f t="shared" si="123"/>
        <v>196000</v>
      </c>
      <c r="G2063" s="53">
        <f t="shared" si="122"/>
        <v>2646000</v>
      </c>
      <c r="H2063" s="54">
        <v>2646000</v>
      </c>
      <c r="I2063" s="55">
        <f t="shared" si="124"/>
        <v>0</v>
      </c>
      <c r="J2063" s="56">
        <v>46170</v>
      </c>
      <c r="K2063" s="57"/>
    </row>
    <row r="2064" spans="1:11" ht="15.75" hidden="1" customHeight="1" x14ac:dyDescent="0.35">
      <c r="A2064" s="47" t="s">
        <v>2698</v>
      </c>
      <c r="B2064" s="48" t="s">
        <v>3490</v>
      </c>
      <c r="C2064" s="49" t="s">
        <v>3444</v>
      </c>
      <c r="D2064" s="50"/>
      <c r="E2064" s="51">
        <v>810000</v>
      </c>
      <c r="F2064" s="52">
        <f t="shared" si="123"/>
        <v>64800</v>
      </c>
      <c r="G2064" s="53">
        <f t="shared" si="122"/>
        <v>874800</v>
      </c>
      <c r="H2064" s="54">
        <v>874800</v>
      </c>
      <c r="I2064" s="55">
        <f t="shared" si="124"/>
        <v>0</v>
      </c>
      <c r="J2064" s="56">
        <v>46170</v>
      </c>
      <c r="K2064" s="57"/>
    </row>
    <row r="2065" spans="1:11" ht="15.75" hidden="1" customHeight="1" x14ac:dyDescent="0.35">
      <c r="A2065" s="47" t="s">
        <v>2735</v>
      </c>
      <c r="B2065" s="48" t="s">
        <v>3490</v>
      </c>
      <c r="C2065" s="49" t="s">
        <v>3445</v>
      </c>
      <c r="D2065" s="50"/>
      <c r="E2065" s="51">
        <v>2855000</v>
      </c>
      <c r="F2065" s="52">
        <f t="shared" si="123"/>
        <v>228400</v>
      </c>
      <c r="G2065" s="53">
        <f t="shared" si="122"/>
        <v>3083400</v>
      </c>
      <c r="H2065" s="54"/>
      <c r="I2065" s="55">
        <f t="shared" si="124"/>
        <v>3083400</v>
      </c>
      <c r="J2065" s="56"/>
      <c r="K2065" s="57"/>
    </row>
    <row r="2066" spans="1:11" ht="15.75" hidden="1" customHeight="1" x14ac:dyDescent="0.35">
      <c r="A2066" s="47" t="s">
        <v>2743</v>
      </c>
      <c r="B2066" s="48" t="s">
        <v>3491</v>
      </c>
      <c r="C2066" s="49" t="s">
        <v>3446</v>
      </c>
      <c r="D2066" s="50"/>
      <c r="E2066" s="51">
        <v>1040000</v>
      </c>
      <c r="F2066" s="52">
        <f t="shared" si="123"/>
        <v>83200</v>
      </c>
      <c r="G2066" s="53">
        <f t="shared" si="122"/>
        <v>1123200</v>
      </c>
      <c r="H2066" s="54">
        <v>1123200</v>
      </c>
      <c r="I2066" s="55">
        <f t="shared" si="124"/>
        <v>0</v>
      </c>
      <c r="J2066" s="56">
        <v>46170</v>
      </c>
      <c r="K2066" s="57"/>
    </row>
    <row r="2067" spans="1:11" ht="15.75" hidden="1" customHeight="1" x14ac:dyDescent="0.35">
      <c r="A2067" s="47" t="s">
        <v>2786</v>
      </c>
      <c r="B2067" s="48" t="s">
        <v>3492</v>
      </c>
      <c r="C2067" s="49" t="s">
        <v>138</v>
      </c>
      <c r="D2067" s="50"/>
      <c r="E2067" s="51">
        <v>1815000</v>
      </c>
      <c r="F2067" s="52">
        <f t="shared" si="123"/>
        <v>145200</v>
      </c>
      <c r="G2067" s="53">
        <f t="shared" si="122"/>
        <v>1960200</v>
      </c>
      <c r="H2067" s="53">
        <v>1960200</v>
      </c>
      <c r="I2067" s="55">
        <f t="shared" si="124"/>
        <v>0</v>
      </c>
      <c r="J2067" s="56">
        <v>46170</v>
      </c>
      <c r="K2067" s="57"/>
    </row>
    <row r="2068" spans="1:11" ht="15.75" hidden="1" customHeight="1" x14ac:dyDescent="0.35">
      <c r="A2068" s="47" t="s">
        <v>24</v>
      </c>
      <c r="B2068" s="48" t="s">
        <v>3492</v>
      </c>
      <c r="C2068" s="49" t="s">
        <v>3447</v>
      </c>
      <c r="D2068" s="50"/>
      <c r="E2068" s="51">
        <v>2335000</v>
      </c>
      <c r="F2068" s="52">
        <f t="shared" si="123"/>
        <v>186800</v>
      </c>
      <c r="G2068" s="53">
        <f t="shared" si="122"/>
        <v>2521800</v>
      </c>
      <c r="H2068" s="54">
        <v>2521800</v>
      </c>
      <c r="I2068" s="55">
        <f t="shared" si="124"/>
        <v>0</v>
      </c>
      <c r="J2068" s="56">
        <v>46170</v>
      </c>
      <c r="K2068" s="57"/>
    </row>
    <row r="2069" spans="1:11" ht="15.75" hidden="1" customHeight="1" x14ac:dyDescent="0.35">
      <c r="A2069" s="47" t="s">
        <v>2717</v>
      </c>
      <c r="B2069" s="48" t="s">
        <v>3492</v>
      </c>
      <c r="C2069" s="49" t="s">
        <v>139</v>
      </c>
      <c r="D2069" s="50"/>
      <c r="E2069" s="51">
        <v>1427500</v>
      </c>
      <c r="F2069" s="52">
        <f t="shared" si="123"/>
        <v>114200</v>
      </c>
      <c r="G2069" s="53">
        <f t="shared" si="122"/>
        <v>1541700</v>
      </c>
      <c r="H2069" s="54">
        <v>1541700</v>
      </c>
      <c r="I2069" s="55">
        <f t="shared" si="124"/>
        <v>0</v>
      </c>
      <c r="J2069" s="56">
        <v>46170</v>
      </c>
      <c r="K2069" s="57"/>
    </row>
    <row r="2070" spans="1:11" ht="15.75" hidden="1" customHeight="1" x14ac:dyDescent="0.35">
      <c r="A2070" s="47" t="s">
        <v>2686</v>
      </c>
      <c r="B2070" s="48" t="s">
        <v>3493</v>
      </c>
      <c r="C2070" s="49" t="s">
        <v>140</v>
      </c>
      <c r="D2070" s="50"/>
      <c r="E2070" s="51">
        <v>1427500</v>
      </c>
      <c r="F2070" s="52">
        <f t="shared" si="123"/>
        <v>114200</v>
      </c>
      <c r="G2070" s="53">
        <f t="shared" si="122"/>
        <v>1541700</v>
      </c>
      <c r="H2070" s="54">
        <v>1541700</v>
      </c>
      <c r="I2070" s="55">
        <f t="shared" si="124"/>
        <v>0</v>
      </c>
      <c r="J2070" s="56">
        <v>46170</v>
      </c>
      <c r="K2070" s="57"/>
    </row>
    <row r="2071" spans="1:11" ht="15.75" hidden="1" customHeight="1" x14ac:dyDescent="0.35">
      <c r="A2071" s="47" t="s">
        <v>2703</v>
      </c>
      <c r="B2071" s="48" t="s">
        <v>3493</v>
      </c>
      <c r="C2071" s="49" t="s">
        <v>3448</v>
      </c>
      <c r="D2071" s="50"/>
      <c r="E2071" s="51">
        <v>1040000</v>
      </c>
      <c r="F2071" s="52">
        <f t="shared" si="123"/>
        <v>83200</v>
      </c>
      <c r="G2071" s="53">
        <f t="shared" si="122"/>
        <v>1123200</v>
      </c>
      <c r="H2071" s="54">
        <v>1123200</v>
      </c>
      <c r="I2071" s="55">
        <f t="shared" si="124"/>
        <v>0</v>
      </c>
      <c r="J2071" s="56">
        <v>46170</v>
      </c>
      <c r="K2071" s="57"/>
    </row>
    <row r="2072" spans="1:11" ht="15.75" hidden="1" customHeight="1" x14ac:dyDescent="0.35">
      <c r="A2072" s="47" t="s">
        <v>2729</v>
      </c>
      <c r="B2072" s="48" t="s">
        <v>3493</v>
      </c>
      <c r="C2072" s="49" t="s">
        <v>3449</v>
      </c>
      <c r="D2072" s="50"/>
      <c r="E2072" s="51">
        <v>2450000</v>
      </c>
      <c r="F2072" s="52">
        <f t="shared" si="123"/>
        <v>196000</v>
      </c>
      <c r="G2072" s="53">
        <f t="shared" si="122"/>
        <v>2646000</v>
      </c>
      <c r="H2072" s="54">
        <v>2646000</v>
      </c>
      <c r="I2072" s="55">
        <f t="shared" si="124"/>
        <v>0</v>
      </c>
      <c r="J2072" s="56">
        <v>46170</v>
      </c>
      <c r="K2072" s="57"/>
    </row>
    <row r="2073" spans="1:11" ht="15.75" hidden="1" customHeight="1" x14ac:dyDescent="0.35">
      <c r="A2073" s="47" t="s">
        <v>2684</v>
      </c>
      <c r="B2073" s="48" t="s">
        <v>3493</v>
      </c>
      <c r="C2073" s="49" t="s">
        <v>3450</v>
      </c>
      <c r="D2073" s="50"/>
      <c r="E2073" s="51">
        <v>2855000</v>
      </c>
      <c r="F2073" s="52">
        <f t="shared" si="123"/>
        <v>228400</v>
      </c>
      <c r="G2073" s="53">
        <f t="shared" si="122"/>
        <v>3083400</v>
      </c>
      <c r="H2073" s="54">
        <v>3083400</v>
      </c>
      <c r="I2073" s="55">
        <f t="shared" si="124"/>
        <v>0</v>
      </c>
      <c r="J2073" s="56">
        <v>46170</v>
      </c>
      <c r="K2073" s="57"/>
    </row>
    <row r="2074" spans="1:11" ht="15.75" hidden="1" customHeight="1" x14ac:dyDescent="0.35">
      <c r="A2074" s="47" t="s">
        <v>2695</v>
      </c>
      <c r="B2074" s="48" t="s">
        <v>3493</v>
      </c>
      <c r="C2074" s="49" t="s">
        <v>3451</v>
      </c>
      <c r="D2074" s="50"/>
      <c r="E2074" s="51">
        <v>6520000</v>
      </c>
      <c r="F2074" s="52">
        <f t="shared" si="123"/>
        <v>521600</v>
      </c>
      <c r="G2074" s="53">
        <f t="shared" si="122"/>
        <v>7041600</v>
      </c>
      <c r="H2074" s="54">
        <v>7041600</v>
      </c>
      <c r="I2074" s="55">
        <f t="shared" si="124"/>
        <v>0</v>
      </c>
      <c r="J2074" s="56">
        <v>46170</v>
      </c>
      <c r="K2074" s="57"/>
    </row>
    <row r="2075" spans="1:11" ht="15.75" hidden="1" customHeight="1" x14ac:dyDescent="0.35">
      <c r="A2075" s="47" t="s">
        <v>2680</v>
      </c>
      <c r="B2075" s="48" t="s">
        <v>3494</v>
      </c>
      <c r="C2075" s="49" t="s">
        <v>3452</v>
      </c>
      <c r="D2075" s="50"/>
      <c r="E2075" s="51">
        <v>2855000</v>
      </c>
      <c r="F2075" s="52">
        <f t="shared" si="123"/>
        <v>228400</v>
      </c>
      <c r="G2075" s="53">
        <f t="shared" si="122"/>
        <v>3083400</v>
      </c>
      <c r="H2075" s="54"/>
      <c r="I2075" s="55">
        <f t="shared" si="124"/>
        <v>3083400</v>
      </c>
      <c r="J2075" s="56"/>
      <c r="K2075" s="57"/>
    </row>
    <row r="2076" spans="1:11" ht="15.75" hidden="1" customHeight="1" x14ac:dyDescent="0.35">
      <c r="A2076" s="47" t="s">
        <v>2730</v>
      </c>
      <c r="B2076" s="48" t="s">
        <v>3494</v>
      </c>
      <c r="C2076" s="49" t="s">
        <v>3453</v>
      </c>
      <c r="D2076" s="50"/>
      <c r="E2076" s="51">
        <v>3630000</v>
      </c>
      <c r="F2076" s="52">
        <f t="shared" si="123"/>
        <v>290400</v>
      </c>
      <c r="G2076" s="53">
        <f t="shared" si="122"/>
        <v>3920400</v>
      </c>
      <c r="H2076" s="54">
        <v>3920400</v>
      </c>
      <c r="I2076" s="55">
        <f t="shared" si="124"/>
        <v>0</v>
      </c>
      <c r="J2076" s="56">
        <v>46170</v>
      </c>
      <c r="K2076" s="57"/>
    </row>
    <row r="2077" spans="1:11" ht="15.75" hidden="1" customHeight="1" x14ac:dyDescent="0.35">
      <c r="A2077" s="47" t="s">
        <v>2741</v>
      </c>
      <c r="B2077" s="48" t="s">
        <v>3494</v>
      </c>
      <c r="C2077" s="49" t="s">
        <v>152</v>
      </c>
      <c r="D2077" s="50"/>
      <c r="E2077" s="51">
        <v>907500</v>
      </c>
      <c r="F2077" s="52">
        <f t="shared" si="123"/>
        <v>72600</v>
      </c>
      <c r="G2077" s="53">
        <f t="shared" si="122"/>
        <v>980100</v>
      </c>
      <c r="H2077" s="54">
        <v>980100</v>
      </c>
      <c r="I2077" s="55">
        <f t="shared" si="124"/>
        <v>0</v>
      </c>
      <c r="J2077" s="56">
        <v>46170</v>
      </c>
      <c r="K2077" s="57"/>
    </row>
    <row r="2078" spans="1:11" ht="15.75" hidden="1" customHeight="1" x14ac:dyDescent="0.35">
      <c r="A2078" s="47" t="s">
        <v>2706</v>
      </c>
      <c r="B2078" s="48" t="s">
        <v>3495</v>
      </c>
      <c r="C2078" s="49" t="s">
        <v>3454</v>
      </c>
      <c r="D2078" s="50"/>
      <c r="E2078" s="51">
        <v>2045000</v>
      </c>
      <c r="F2078" s="52">
        <f t="shared" si="123"/>
        <v>163600</v>
      </c>
      <c r="G2078" s="53">
        <f t="shared" si="122"/>
        <v>2208600</v>
      </c>
      <c r="H2078" s="54">
        <v>2208600</v>
      </c>
      <c r="I2078" s="55">
        <f t="shared" si="124"/>
        <v>0</v>
      </c>
      <c r="J2078" s="56">
        <v>46170</v>
      </c>
      <c r="K2078" s="57"/>
    </row>
    <row r="2079" spans="1:11" ht="15.75" hidden="1" customHeight="1" x14ac:dyDescent="0.35">
      <c r="A2079" s="47" t="s">
        <v>2699</v>
      </c>
      <c r="B2079" s="48" t="s">
        <v>3495</v>
      </c>
      <c r="C2079" s="49" t="s">
        <v>3455</v>
      </c>
      <c r="D2079" s="50"/>
      <c r="E2079" s="51">
        <v>3455000</v>
      </c>
      <c r="F2079" s="52">
        <f t="shared" si="123"/>
        <v>276400</v>
      </c>
      <c r="G2079" s="53">
        <f t="shared" si="122"/>
        <v>3731400</v>
      </c>
      <c r="H2079" s="54">
        <v>3731400</v>
      </c>
      <c r="I2079" s="55">
        <f t="shared" si="124"/>
        <v>0</v>
      </c>
      <c r="J2079" s="56">
        <v>46170</v>
      </c>
      <c r="K2079" s="57"/>
    </row>
    <row r="2080" spans="1:11" ht="15.75" hidden="1" customHeight="1" x14ac:dyDescent="0.35">
      <c r="A2080" s="47" t="s">
        <v>56</v>
      </c>
      <c r="B2080" s="48" t="s">
        <v>3495</v>
      </c>
      <c r="C2080" s="49" t="s">
        <v>3456</v>
      </c>
      <c r="D2080" s="50"/>
      <c r="E2080" s="51">
        <v>1850000</v>
      </c>
      <c r="F2080" s="52">
        <f t="shared" si="123"/>
        <v>148000</v>
      </c>
      <c r="G2080" s="53">
        <f t="shared" si="122"/>
        <v>1998000</v>
      </c>
      <c r="H2080" s="54">
        <v>1998000</v>
      </c>
      <c r="I2080" s="55">
        <f t="shared" si="124"/>
        <v>0</v>
      </c>
      <c r="J2080" s="56">
        <v>46170</v>
      </c>
      <c r="K2080" s="57"/>
    </row>
    <row r="2081" spans="1:11" ht="15.75" hidden="1" customHeight="1" x14ac:dyDescent="0.35">
      <c r="A2081" s="47" t="s">
        <v>3042</v>
      </c>
      <c r="B2081" s="48" t="s">
        <v>3495</v>
      </c>
      <c r="C2081" s="49" t="s">
        <v>3457</v>
      </c>
      <c r="D2081" s="50"/>
      <c r="E2081" s="51">
        <v>1525000</v>
      </c>
      <c r="F2081" s="52">
        <f t="shared" si="123"/>
        <v>122000</v>
      </c>
      <c r="G2081" s="53">
        <f t="shared" si="122"/>
        <v>1647000</v>
      </c>
      <c r="H2081" s="54">
        <v>1647000</v>
      </c>
      <c r="I2081" s="55">
        <f t="shared" si="124"/>
        <v>0</v>
      </c>
      <c r="J2081" s="56">
        <v>46170</v>
      </c>
      <c r="K2081" s="57"/>
    </row>
    <row r="2082" spans="1:11" ht="15.75" hidden="1" customHeight="1" x14ac:dyDescent="0.35">
      <c r="A2082" s="47" t="s">
        <v>2698</v>
      </c>
      <c r="B2082" s="48" t="s">
        <v>3495</v>
      </c>
      <c r="C2082" s="49" t="s">
        <v>3458</v>
      </c>
      <c r="D2082" s="50"/>
      <c r="E2082" s="51">
        <v>810000</v>
      </c>
      <c r="F2082" s="52">
        <f t="shared" si="123"/>
        <v>64800</v>
      </c>
      <c r="G2082" s="53">
        <f t="shared" si="122"/>
        <v>874800</v>
      </c>
      <c r="H2082" s="54">
        <v>874800</v>
      </c>
      <c r="I2082" s="55">
        <f t="shared" si="124"/>
        <v>0</v>
      </c>
      <c r="J2082" s="56">
        <v>46170</v>
      </c>
      <c r="K2082" s="57"/>
    </row>
    <row r="2083" spans="1:11" ht="15.75" hidden="1" customHeight="1" x14ac:dyDescent="0.35">
      <c r="A2083" s="47" t="s">
        <v>2688</v>
      </c>
      <c r="B2083" s="48" t="s">
        <v>3495</v>
      </c>
      <c r="C2083" s="49" t="s">
        <v>3459</v>
      </c>
      <c r="D2083" s="50"/>
      <c r="E2083" s="51">
        <v>5095000</v>
      </c>
      <c r="F2083" s="52">
        <f t="shared" si="123"/>
        <v>407600</v>
      </c>
      <c r="G2083" s="53">
        <f t="shared" si="122"/>
        <v>5502600</v>
      </c>
      <c r="H2083" s="54">
        <v>5502600</v>
      </c>
      <c r="I2083" s="55">
        <f t="shared" si="124"/>
        <v>0</v>
      </c>
      <c r="J2083" s="56">
        <v>46170</v>
      </c>
      <c r="K2083" s="57"/>
    </row>
    <row r="2084" spans="1:11" ht="15.75" hidden="1" customHeight="1" x14ac:dyDescent="0.35">
      <c r="A2084" s="47" t="s">
        <v>2720</v>
      </c>
      <c r="B2084" s="48" t="s">
        <v>3495</v>
      </c>
      <c r="C2084" s="49" t="s">
        <v>3460</v>
      </c>
      <c r="D2084" s="50"/>
      <c r="E2084" s="51">
        <v>2045000</v>
      </c>
      <c r="F2084" s="52">
        <f t="shared" si="123"/>
        <v>163600</v>
      </c>
      <c r="G2084" s="53">
        <f t="shared" si="122"/>
        <v>2208600</v>
      </c>
      <c r="H2084" s="54"/>
      <c r="I2084" s="55">
        <f t="shared" si="124"/>
        <v>2208600</v>
      </c>
      <c r="J2084" s="56"/>
      <c r="K2084" s="57"/>
    </row>
    <row r="2085" spans="1:11" ht="15.75" hidden="1" customHeight="1" x14ac:dyDescent="0.35">
      <c r="A2085" s="47" t="s">
        <v>2695</v>
      </c>
      <c r="B2085" s="48" t="s">
        <v>3496</v>
      </c>
      <c r="C2085" s="49" t="s">
        <v>3461</v>
      </c>
      <c r="D2085" s="50"/>
      <c r="E2085" s="51">
        <v>5710000</v>
      </c>
      <c r="F2085" s="52">
        <f t="shared" si="123"/>
        <v>456800</v>
      </c>
      <c r="G2085" s="53">
        <f t="shared" si="122"/>
        <v>6166800</v>
      </c>
      <c r="H2085" s="54">
        <v>6166800</v>
      </c>
      <c r="I2085" s="55">
        <f t="shared" si="124"/>
        <v>0</v>
      </c>
      <c r="J2085" s="56">
        <v>46170</v>
      </c>
      <c r="K2085" s="57"/>
    </row>
    <row r="2086" spans="1:11" ht="15.75" hidden="1" customHeight="1" x14ac:dyDescent="0.35">
      <c r="A2086" s="47" t="s">
        <v>2729</v>
      </c>
      <c r="B2086" s="48" t="s">
        <v>3496</v>
      </c>
      <c r="C2086" s="49" t="s">
        <v>3462</v>
      </c>
      <c r="D2086" s="50"/>
      <c r="E2086" s="51">
        <v>1427500</v>
      </c>
      <c r="F2086" s="52">
        <f t="shared" si="123"/>
        <v>114200</v>
      </c>
      <c r="G2086" s="53">
        <f t="shared" si="122"/>
        <v>1541700</v>
      </c>
      <c r="H2086" s="54">
        <v>1541700</v>
      </c>
      <c r="I2086" s="55">
        <f t="shared" si="124"/>
        <v>0</v>
      </c>
      <c r="J2086" s="56">
        <v>46170</v>
      </c>
      <c r="K2086" s="57"/>
    </row>
    <row r="2087" spans="1:11" ht="15.75" hidden="1" customHeight="1" x14ac:dyDescent="0.35">
      <c r="A2087" s="47" t="s">
        <v>24</v>
      </c>
      <c r="B2087" s="48" t="s">
        <v>3496</v>
      </c>
      <c r="C2087" s="49" t="s">
        <v>3463</v>
      </c>
      <c r="D2087" s="50"/>
      <c r="E2087" s="51">
        <v>1525000</v>
      </c>
      <c r="F2087" s="52">
        <f t="shared" si="123"/>
        <v>122000</v>
      </c>
      <c r="G2087" s="53">
        <f t="shared" si="122"/>
        <v>1647000</v>
      </c>
      <c r="H2087" s="54">
        <v>1647000</v>
      </c>
      <c r="I2087" s="55">
        <f t="shared" si="124"/>
        <v>0</v>
      </c>
      <c r="J2087" s="56">
        <v>46170</v>
      </c>
      <c r="K2087" s="57"/>
    </row>
    <row r="2088" spans="1:11" ht="15.75" hidden="1" customHeight="1" x14ac:dyDescent="0.35">
      <c r="A2088" s="47" t="s">
        <v>2688</v>
      </c>
      <c r="B2088" s="48" t="s">
        <v>3497</v>
      </c>
      <c r="C2088" s="50" t="s">
        <v>3464</v>
      </c>
      <c r="D2088" s="50"/>
      <c r="E2088" s="51">
        <v>1620000</v>
      </c>
      <c r="F2088" s="52">
        <f t="shared" si="123"/>
        <v>129600</v>
      </c>
      <c r="G2088" s="53">
        <f t="shared" si="122"/>
        <v>1749600</v>
      </c>
      <c r="H2088" s="54">
        <v>1749600</v>
      </c>
      <c r="I2088" s="55">
        <f t="shared" si="124"/>
        <v>0</v>
      </c>
      <c r="J2088" s="56">
        <v>46170</v>
      </c>
      <c r="K2088" s="57"/>
    </row>
    <row r="2089" spans="1:11" ht="15.75" hidden="1" customHeight="1" x14ac:dyDescent="0.35">
      <c r="A2089" s="47" t="s">
        <v>2678</v>
      </c>
      <c r="B2089" s="48" t="s">
        <v>3497</v>
      </c>
      <c r="C2089" s="49" t="s">
        <v>3465</v>
      </c>
      <c r="D2089" s="50"/>
      <c r="E2089" s="51">
        <v>1427500</v>
      </c>
      <c r="F2089" s="52">
        <f t="shared" si="123"/>
        <v>114200</v>
      </c>
      <c r="G2089" s="53">
        <f t="shared" si="122"/>
        <v>1541700</v>
      </c>
      <c r="H2089" s="54">
        <v>1541700</v>
      </c>
      <c r="I2089" s="55">
        <f t="shared" si="124"/>
        <v>0</v>
      </c>
      <c r="J2089" s="56">
        <v>46170</v>
      </c>
      <c r="K2089" s="57"/>
    </row>
    <row r="2090" spans="1:11" ht="15.75" hidden="1" customHeight="1" x14ac:dyDescent="0.35">
      <c r="A2090" s="47" t="s">
        <v>55</v>
      </c>
      <c r="B2090" s="48" t="s">
        <v>3497</v>
      </c>
      <c r="C2090" s="49" t="s">
        <v>3466</v>
      </c>
      <c r="D2090" s="50"/>
      <c r="E2090" s="51">
        <v>1427500</v>
      </c>
      <c r="F2090" s="52">
        <f t="shared" si="123"/>
        <v>114200</v>
      </c>
      <c r="G2090" s="53">
        <f t="shared" si="122"/>
        <v>1541700</v>
      </c>
      <c r="H2090" s="54">
        <v>1541700</v>
      </c>
      <c r="I2090" s="55">
        <f t="shared" si="124"/>
        <v>0</v>
      </c>
      <c r="J2090" s="56">
        <v>46170</v>
      </c>
      <c r="K2090" s="57"/>
    </row>
    <row r="2091" spans="1:11" ht="15.75" hidden="1" customHeight="1" x14ac:dyDescent="0.35">
      <c r="A2091" s="47" t="s">
        <v>2717</v>
      </c>
      <c r="B2091" s="48" t="s">
        <v>3497</v>
      </c>
      <c r="C2091" s="49" t="s">
        <v>3467</v>
      </c>
      <c r="D2091" s="50"/>
      <c r="E2091" s="51">
        <v>4900000</v>
      </c>
      <c r="F2091" s="52">
        <f t="shared" si="123"/>
        <v>392000</v>
      </c>
      <c r="G2091" s="53">
        <f t="shared" si="122"/>
        <v>5292000</v>
      </c>
      <c r="H2091" s="54">
        <v>5292000</v>
      </c>
      <c r="I2091" s="55">
        <f t="shared" si="124"/>
        <v>0</v>
      </c>
      <c r="J2091" s="56">
        <v>46170</v>
      </c>
      <c r="K2091" s="57"/>
    </row>
    <row r="2092" spans="1:11" ht="15.75" hidden="1" customHeight="1" x14ac:dyDescent="0.35">
      <c r="A2092" s="47" t="s">
        <v>2727</v>
      </c>
      <c r="B2092" s="48" t="s">
        <v>3498</v>
      </c>
      <c r="C2092" s="49" t="s">
        <v>3468</v>
      </c>
      <c r="D2092" s="50"/>
      <c r="E2092" s="51">
        <v>2045000</v>
      </c>
      <c r="F2092" s="52">
        <f t="shared" si="123"/>
        <v>163600</v>
      </c>
      <c r="G2092" s="53">
        <f t="shared" si="122"/>
        <v>2208600</v>
      </c>
      <c r="H2092" s="54">
        <v>2208600</v>
      </c>
      <c r="I2092" s="55">
        <f t="shared" si="124"/>
        <v>0</v>
      </c>
      <c r="J2092" s="56">
        <v>46170</v>
      </c>
      <c r="K2092" s="57"/>
    </row>
    <row r="2093" spans="1:11" ht="15.75" hidden="1" customHeight="1" x14ac:dyDescent="0.35">
      <c r="A2093" s="47" t="s">
        <v>2836</v>
      </c>
      <c r="B2093" s="48" t="s">
        <v>3498</v>
      </c>
      <c r="C2093" s="49" t="s">
        <v>3469</v>
      </c>
      <c r="D2093" s="50"/>
      <c r="E2093" s="51">
        <v>1005000</v>
      </c>
      <c r="F2093" s="52">
        <f t="shared" si="123"/>
        <v>80400</v>
      </c>
      <c r="G2093" s="53">
        <f t="shared" si="122"/>
        <v>1085400</v>
      </c>
      <c r="H2093" s="54">
        <v>1085400</v>
      </c>
      <c r="I2093" s="55">
        <f t="shared" si="124"/>
        <v>0</v>
      </c>
      <c r="J2093" s="56">
        <v>46170</v>
      </c>
      <c r="K2093" s="57"/>
    </row>
    <row r="2094" spans="1:11" ht="15.75" hidden="1" customHeight="1" x14ac:dyDescent="0.35">
      <c r="A2094" s="47" t="s">
        <v>2729</v>
      </c>
      <c r="B2094" s="48">
        <v>46113</v>
      </c>
      <c r="C2094" s="50" t="s">
        <v>3470</v>
      </c>
      <c r="D2094" s="49" t="s">
        <v>3504</v>
      </c>
      <c r="E2094" s="51">
        <v>1005000</v>
      </c>
      <c r="F2094" s="52">
        <f t="shared" si="123"/>
        <v>80400</v>
      </c>
      <c r="G2094" s="53">
        <f t="shared" si="122"/>
        <v>1085400</v>
      </c>
      <c r="H2094" s="54">
        <v>1085400</v>
      </c>
      <c r="I2094" s="55">
        <f t="shared" si="124"/>
        <v>0</v>
      </c>
      <c r="J2094" s="56">
        <v>46170</v>
      </c>
      <c r="K2094" s="57"/>
    </row>
    <row r="2095" spans="1:11" ht="15.75" hidden="1" customHeight="1" x14ac:dyDescent="0.35">
      <c r="A2095" s="47" t="s">
        <v>2679</v>
      </c>
      <c r="B2095" s="48" t="s">
        <v>3498</v>
      </c>
      <c r="C2095" s="49" t="s">
        <v>3471</v>
      </c>
      <c r="D2095" s="50"/>
      <c r="E2095" s="51">
        <v>1040000</v>
      </c>
      <c r="F2095" s="52">
        <f t="shared" si="123"/>
        <v>83200</v>
      </c>
      <c r="G2095" s="53">
        <f t="shared" si="122"/>
        <v>1123200</v>
      </c>
      <c r="H2095" s="54"/>
      <c r="I2095" s="55">
        <f t="shared" si="124"/>
        <v>1123200</v>
      </c>
      <c r="J2095" s="56"/>
      <c r="K2095" s="57"/>
    </row>
    <row r="2096" spans="1:11" ht="15.75" hidden="1" customHeight="1" x14ac:dyDescent="0.35">
      <c r="A2096" s="47" t="s">
        <v>2717</v>
      </c>
      <c r="B2096" s="48" t="s">
        <v>3498</v>
      </c>
      <c r="C2096" s="49" t="s">
        <v>2209</v>
      </c>
      <c r="D2096" s="50"/>
      <c r="E2096" s="51">
        <v>2045000</v>
      </c>
      <c r="F2096" s="52">
        <f t="shared" si="123"/>
        <v>163600</v>
      </c>
      <c r="G2096" s="53">
        <f t="shared" si="122"/>
        <v>2208600</v>
      </c>
      <c r="H2096" s="54">
        <v>2208600</v>
      </c>
      <c r="I2096" s="55">
        <f t="shared" si="124"/>
        <v>0</v>
      </c>
      <c r="J2096" s="56">
        <v>46170</v>
      </c>
      <c r="K2096" s="57"/>
    </row>
    <row r="2097" spans="1:11" ht="15.75" hidden="1" customHeight="1" x14ac:dyDescent="0.35">
      <c r="A2097" s="47" t="s">
        <v>24</v>
      </c>
      <c r="B2097" s="48" t="s">
        <v>3498</v>
      </c>
      <c r="C2097" s="49" t="s">
        <v>2210</v>
      </c>
      <c r="D2097" s="50"/>
      <c r="E2097" s="51">
        <v>2045000</v>
      </c>
      <c r="F2097" s="52">
        <f t="shared" si="123"/>
        <v>163600</v>
      </c>
      <c r="G2097" s="53">
        <f t="shared" si="122"/>
        <v>2208600</v>
      </c>
      <c r="H2097" s="54">
        <v>2208600</v>
      </c>
      <c r="I2097" s="55">
        <f t="shared" si="124"/>
        <v>0</v>
      </c>
      <c r="J2097" s="56">
        <v>46170</v>
      </c>
      <c r="K2097" s="57"/>
    </row>
    <row r="2098" spans="1:11" ht="15.75" hidden="1" customHeight="1" x14ac:dyDescent="0.35">
      <c r="A2098" s="47" t="s">
        <v>2712</v>
      </c>
      <c r="B2098" s="48" t="s">
        <v>3498</v>
      </c>
      <c r="C2098" s="49" t="s">
        <v>2211</v>
      </c>
      <c r="D2098" s="50"/>
      <c r="E2098" s="51">
        <v>1005000</v>
      </c>
      <c r="F2098" s="52">
        <f t="shared" si="123"/>
        <v>80400</v>
      </c>
      <c r="G2098" s="53">
        <f t="shared" ref="G2098:G2160" si="125">E2098+F2098</f>
        <v>1085400</v>
      </c>
      <c r="H2098" s="54">
        <v>1085400</v>
      </c>
      <c r="I2098" s="55">
        <f t="shared" si="124"/>
        <v>0</v>
      </c>
      <c r="J2098" s="56">
        <v>46170</v>
      </c>
      <c r="K2098" s="57"/>
    </row>
    <row r="2099" spans="1:11" ht="15.75" hidden="1" customHeight="1" x14ac:dyDescent="0.35">
      <c r="A2099" s="47" t="s">
        <v>176</v>
      </c>
      <c r="B2099" s="48" t="s">
        <v>3498</v>
      </c>
      <c r="C2099" s="49" t="s">
        <v>2212</v>
      </c>
      <c r="D2099" s="50"/>
      <c r="E2099" s="51">
        <v>1022500</v>
      </c>
      <c r="F2099" s="52">
        <f t="shared" ref="F2099:F2162" si="126">+E2099*0.08</f>
        <v>81800</v>
      </c>
      <c r="G2099" s="53">
        <f t="shared" si="125"/>
        <v>1104300</v>
      </c>
      <c r="H2099" s="54">
        <v>1104300</v>
      </c>
      <c r="I2099" s="55">
        <f t="shared" ref="I2099:I2161" si="127">G2099-H2099</f>
        <v>0</v>
      </c>
      <c r="J2099" s="56">
        <v>46170</v>
      </c>
      <c r="K2099" s="57"/>
    </row>
    <row r="2100" spans="1:11" ht="15.75" hidden="1" customHeight="1" x14ac:dyDescent="0.35">
      <c r="A2100" s="47" t="s">
        <v>2687</v>
      </c>
      <c r="B2100" s="48" t="s">
        <v>3498</v>
      </c>
      <c r="C2100" s="49" t="s">
        <v>3472</v>
      </c>
      <c r="D2100" s="50"/>
      <c r="E2100" s="51">
        <v>2045000</v>
      </c>
      <c r="F2100" s="52">
        <f t="shared" si="126"/>
        <v>163600</v>
      </c>
      <c r="G2100" s="53">
        <f t="shared" si="125"/>
        <v>2208600</v>
      </c>
      <c r="H2100" s="54">
        <v>2208600</v>
      </c>
      <c r="I2100" s="55">
        <f t="shared" si="127"/>
        <v>0</v>
      </c>
      <c r="J2100" s="56">
        <v>46170</v>
      </c>
      <c r="K2100" s="57"/>
    </row>
    <row r="2101" spans="1:11" ht="15.75" hidden="1" customHeight="1" x14ac:dyDescent="0.35">
      <c r="A2101" s="47" t="s">
        <v>2695</v>
      </c>
      <c r="B2101" s="48" t="s">
        <v>3499</v>
      </c>
      <c r="C2101" s="49" t="s">
        <v>3473</v>
      </c>
      <c r="D2101" s="50"/>
      <c r="E2101" s="51">
        <v>4090000</v>
      </c>
      <c r="F2101" s="52">
        <f t="shared" si="126"/>
        <v>327200</v>
      </c>
      <c r="G2101" s="53">
        <f t="shared" si="125"/>
        <v>4417200</v>
      </c>
      <c r="H2101" s="54">
        <v>4417200</v>
      </c>
      <c r="I2101" s="55">
        <f t="shared" si="127"/>
        <v>0</v>
      </c>
      <c r="J2101" s="56">
        <v>46170</v>
      </c>
      <c r="K2101" s="57"/>
    </row>
    <row r="2102" spans="1:11" ht="15.75" hidden="1" customHeight="1" x14ac:dyDescent="0.35">
      <c r="A2102" s="47" t="s">
        <v>2695</v>
      </c>
      <c r="B2102" s="48" t="s">
        <v>3499</v>
      </c>
      <c r="C2102" s="49" t="s">
        <v>3474</v>
      </c>
      <c r="D2102" s="50"/>
      <c r="E2102" s="51">
        <v>4090000</v>
      </c>
      <c r="F2102" s="52">
        <f t="shared" si="126"/>
        <v>327200</v>
      </c>
      <c r="G2102" s="53">
        <f t="shared" si="125"/>
        <v>4417200</v>
      </c>
      <c r="H2102" s="54">
        <v>4417200</v>
      </c>
      <c r="I2102" s="55">
        <f t="shared" si="127"/>
        <v>0</v>
      </c>
      <c r="J2102" s="56">
        <v>46170</v>
      </c>
      <c r="K2102" s="57"/>
    </row>
    <row r="2103" spans="1:11" ht="15.75" hidden="1" customHeight="1" x14ac:dyDescent="0.35">
      <c r="A2103" s="47" t="s">
        <v>2683</v>
      </c>
      <c r="B2103" s="48" t="s">
        <v>3499</v>
      </c>
      <c r="C2103" s="49" t="s">
        <v>3475</v>
      </c>
      <c r="D2103" s="50"/>
      <c r="E2103" s="51">
        <v>3085000</v>
      </c>
      <c r="F2103" s="52">
        <f t="shared" si="126"/>
        <v>246800</v>
      </c>
      <c r="G2103" s="53">
        <f t="shared" si="125"/>
        <v>3331800</v>
      </c>
      <c r="H2103" s="54">
        <v>3331800</v>
      </c>
      <c r="I2103" s="55">
        <f t="shared" si="127"/>
        <v>0</v>
      </c>
      <c r="J2103" s="56">
        <v>46170</v>
      </c>
      <c r="K2103" s="57"/>
    </row>
    <row r="2104" spans="1:11" ht="15.75" hidden="1" customHeight="1" x14ac:dyDescent="0.35">
      <c r="A2104" s="47" t="s">
        <v>770</v>
      </c>
      <c r="B2104" s="48" t="s">
        <v>3500</v>
      </c>
      <c r="C2104" s="49" t="s">
        <v>3476</v>
      </c>
      <c r="D2104" s="50"/>
      <c r="E2104" s="51">
        <v>4090000</v>
      </c>
      <c r="F2104" s="52">
        <f t="shared" si="126"/>
        <v>327200</v>
      </c>
      <c r="G2104" s="53">
        <f t="shared" si="125"/>
        <v>4417200</v>
      </c>
      <c r="H2104" s="54">
        <v>4417200</v>
      </c>
      <c r="I2104" s="55">
        <f t="shared" si="127"/>
        <v>0</v>
      </c>
      <c r="J2104" s="56">
        <v>46170</v>
      </c>
      <c r="K2104" s="57"/>
    </row>
    <row r="2105" spans="1:11" ht="15.75" hidden="1" customHeight="1" x14ac:dyDescent="0.35">
      <c r="A2105" s="47" t="s">
        <v>2738</v>
      </c>
      <c r="B2105" s="48" t="s">
        <v>3500</v>
      </c>
      <c r="C2105" s="49" t="s">
        <v>3477</v>
      </c>
      <c r="D2105" s="50"/>
      <c r="E2105" s="51">
        <v>2045000</v>
      </c>
      <c r="F2105" s="52">
        <f t="shared" si="126"/>
        <v>163600</v>
      </c>
      <c r="G2105" s="53">
        <f t="shared" si="125"/>
        <v>2208600</v>
      </c>
      <c r="H2105" s="54">
        <v>2208600</v>
      </c>
      <c r="I2105" s="55">
        <f t="shared" si="127"/>
        <v>0</v>
      </c>
      <c r="J2105" s="56">
        <v>46170</v>
      </c>
      <c r="K2105" s="57"/>
    </row>
    <row r="2106" spans="1:11" ht="15.75" hidden="1" customHeight="1" x14ac:dyDescent="0.35">
      <c r="A2106" s="47" t="s">
        <v>2728</v>
      </c>
      <c r="B2106" s="48" t="s">
        <v>3500</v>
      </c>
      <c r="C2106" s="49" t="s">
        <v>3478</v>
      </c>
      <c r="D2106" s="50"/>
      <c r="E2106" s="51">
        <v>1005000</v>
      </c>
      <c r="F2106" s="52">
        <f t="shared" si="126"/>
        <v>80400</v>
      </c>
      <c r="G2106" s="53">
        <f t="shared" si="125"/>
        <v>1085400</v>
      </c>
      <c r="H2106" s="54">
        <v>1085400</v>
      </c>
      <c r="I2106" s="55">
        <f t="shared" si="127"/>
        <v>0</v>
      </c>
      <c r="J2106" s="56">
        <v>46170</v>
      </c>
      <c r="K2106" s="57"/>
    </row>
    <row r="2107" spans="1:11" ht="15.75" hidden="1" customHeight="1" x14ac:dyDescent="0.35">
      <c r="A2107" s="47" t="s">
        <v>2688</v>
      </c>
      <c r="B2107" s="48" t="s">
        <v>3500</v>
      </c>
      <c r="C2107" s="49" t="s">
        <v>3479</v>
      </c>
      <c r="D2107" s="50"/>
      <c r="E2107" s="51">
        <v>2080000</v>
      </c>
      <c r="F2107" s="52">
        <f t="shared" si="126"/>
        <v>166400</v>
      </c>
      <c r="G2107" s="53">
        <f t="shared" si="125"/>
        <v>2246400</v>
      </c>
      <c r="H2107" s="54">
        <v>2246400</v>
      </c>
      <c r="I2107" s="55">
        <f t="shared" si="127"/>
        <v>0</v>
      </c>
      <c r="J2107" s="56">
        <v>46170</v>
      </c>
      <c r="K2107" s="57"/>
    </row>
    <row r="2108" spans="1:11" ht="15.75" hidden="1" customHeight="1" x14ac:dyDescent="0.35">
      <c r="A2108" s="47" t="s">
        <v>2695</v>
      </c>
      <c r="B2108" s="48" t="s">
        <v>3500</v>
      </c>
      <c r="C2108" s="49" t="s">
        <v>3480</v>
      </c>
      <c r="D2108" s="50"/>
      <c r="E2108" s="51">
        <v>5130000</v>
      </c>
      <c r="F2108" s="52">
        <f t="shared" si="126"/>
        <v>410400</v>
      </c>
      <c r="G2108" s="53">
        <f t="shared" si="125"/>
        <v>5540400</v>
      </c>
      <c r="H2108" s="54">
        <v>5540400</v>
      </c>
      <c r="I2108" s="55">
        <f t="shared" si="127"/>
        <v>0</v>
      </c>
      <c r="J2108" s="56">
        <v>46170</v>
      </c>
      <c r="K2108" s="57"/>
    </row>
    <row r="2109" spans="1:11" ht="15.75" hidden="1" customHeight="1" x14ac:dyDescent="0.35">
      <c r="A2109" s="47" t="s">
        <v>2720</v>
      </c>
      <c r="B2109" s="48" t="s">
        <v>3500</v>
      </c>
      <c r="C2109" s="49" t="s">
        <v>3481</v>
      </c>
      <c r="D2109" s="50"/>
      <c r="E2109" s="51">
        <v>1005000</v>
      </c>
      <c r="F2109" s="52">
        <f t="shared" si="126"/>
        <v>80400</v>
      </c>
      <c r="G2109" s="53">
        <f t="shared" si="125"/>
        <v>1085400</v>
      </c>
      <c r="H2109" s="54"/>
      <c r="I2109" s="55">
        <f t="shared" si="127"/>
        <v>1085400</v>
      </c>
      <c r="J2109" s="56"/>
      <c r="K2109" s="57"/>
    </row>
    <row r="2110" spans="1:11" ht="15.75" hidden="1" customHeight="1" x14ac:dyDescent="0.35">
      <c r="A2110" s="47" t="s">
        <v>2689</v>
      </c>
      <c r="B2110" s="48" t="s">
        <v>3500</v>
      </c>
      <c r="C2110" s="50" t="s">
        <v>3482</v>
      </c>
      <c r="D2110" s="50"/>
      <c r="E2110" s="51">
        <v>1040000</v>
      </c>
      <c r="F2110" s="52">
        <f t="shared" si="126"/>
        <v>83200</v>
      </c>
      <c r="G2110" s="53">
        <f t="shared" si="125"/>
        <v>1123200</v>
      </c>
      <c r="H2110" s="54">
        <v>1123200</v>
      </c>
      <c r="I2110" s="55">
        <f t="shared" si="127"/>
        <v>0</v>
      </c>
      <c r="J2110" s="56">
        <v>46170</v>
      </c>
      <c r="K2110" s="57"/>
    </row>
    <row r="2111" spans="1:11" ht="15.75" hidden="1" customHeight="1" x14ac:dyDescent="0.35">
      <c r="A2111" s="47" t="s">
        <v>3018</v>
      </c>
      <c r="B2111" s="48" t="s">
        <v>3500</v>
      </c>
      <c r="C2111" s="49" t="s">
        <v>3483</v>
      </c>
      <c r="D2111" s="50"/>
      <c r="E2111" s="51">
        <v>1768000</v>
      </c>
      <c r="F2111" s="52">
        <f t="shared" si="126"/>
        <v>141440</v>
      </c>
      <c r="G2111" s="53">
        <f t="shared" si="125"/>
        <v>1909440</v>
      </c>
      <c r="H2111" s="54">
        <v>1909440</v>
      </c>
      <c r="I2111" s="55">
        <f t="shared" si="127"/>
        <v>0</v>
      </c>
      <c r="J2111" s="56">
        <v>46170</v>
      </c>
      <c r="K2111" s="57"/>
    </row>
    <row r="2112" spans="1:11" ht="15.75" hidden="1" customHeight="1" x14ac:dyDescent="0.35">
      <c r="A2112" s="47" t="s">
        <v>2729</v>
      </c>
      <c r="B2112" s="48" t="s">
        <v>3500</v>
      </c>
      <c r="C2112" s="49" t="s">
        <v>3484</v>
      </c>
      <c r="D2112" s="50"/>
      <c r="E2112" s="51">
        <v>1005000</v>
      </c>
      <c r="F2112" s="52">
        <f t="shared" si="126"/>
        <v>80400</v>
      </c>
      <c r="G2112" s="53">
        <f t="shared" si="125"/>
        <v>1085400</v>
      </c>
      <c r="H2112" s="54">
        <v>1085400</v>
      </c>
      <c r="I2112" s="55">
        <f t="shared" si="127"/>
        <v>0</v>
      </c>
      <c r="J2112" s="56">
        <v>46170</v>
      </c>
      <c r="K2112" s="57"/>
    </row>
    <row r="2113" spans="1:11" ht="15.75" hidden="1" customHeight="1" x14ac:dyDescent="0.35">
      <c r="A2113" s="47" t="s">
        <v>2721</v>
      </c>
      <c r="B2113" s="48" t="s">
        <v>3500</v>
      </c>
      <c r="C2113" s="49" t="s">
        <v>3485</v>
      </c>
      <c r="D2113" s="50"/>
      <c r="E2113" s="51">
        <v>2855000</v>
      </c>
      <c r="F2113" s="52">
        <f t="shared" si="126"/>
        <v>228400</v>
      </c>
      <c r="G2113" s="53">
        <f t="shared" si="125"/>
        <v>3083400</v>
      </c>
      <c r="H2113" s="54">
        <v>3083400</v>
      </c>
      <c r="I2113" s="55">
        <f t="shared" si="127"/>
        <v>0</v>
      </c>
      <c r="J2113" s="56">
        <v>46170</v>
      </c>
      <c r="K2113" s="57"/>
    </row>
    <row r="2114" spans="1:11" ht="15.75" hidden="1" customHeight="1" x14ac:dyDescent="0.35">
      <c r="A2114" s="47" t="s">
        <v>2716</v>
      </c>
      <c r="B2114" s="48" t="s">
        <v>3500</v>
      </c>
      <c r="C2114" s="49" t="s">
        <v>3486</v>
      </c>
      <c r="D2114" s="50"/>
      <c r="E2114" s="51">
        <v>1005000</v>
      </c>
      <c r="F2114" s="52">
        <f t="shared" si="126"/>
        <v>80400</v>
      </c>
      <c r="G2114" s="53">
        <f t="shared" si="125"/>
        <v>1085400</v>
      </c>
      <c r="H2114" s="54"/>
      <c r="I2114" s="55">
        <f t="shared" si="127"/>
        <v>1085400</v>
      </c>
      <c r="J2114" s="56"/>
      <c r="K2114" s="57"/>
    </row>
    <row r="2115" spans="1:11" ht="15.75" hidden="1" customHeight="1" x14ac:dyDescent="0.35">
      <c r="A2115" s="47" t="s">
        <v>2747</v>
      </c>
      <c r="B2115" s="48" t="s">
        <v>3500</v>
      </c>
      <c r="C2115" s="49" t="s">
        <v>3487</v>
      </c>
      <c r="D2115" s="50"/>
      <c r="E2115" s="51">
        <v>2045000</v>
      </c>
      <c r="F2115" s="52">
        <f t="shared" si="126"/>
        <v>163600</v>
      </c>
      <c r="G2115" s="53">
        <f t="shared" si="125"/>
        <v>2208600</v>
      </c>
      <c r="H2115" s="54">
        <v>2208600</v>
      </c>
      <c r="I2115" s="55">
        <f t="shared" si="127"/>
        <v>0</v>
      </c>
      <c r="J2115" s="56">
        <v>46170</v>
      </c>
      <c r="K2115" s="57"/>
    </row>
    <row r="2116" spans="1:11" ht="15.75" hidden="1" customHeight="1" x14ac:dyDescent="0.35">
      <c r="A2116" s="47" t="s">
        <v>2692</v>
      </c>
      <c r="B2116" s="48" t="s">
        <v>3500</v>
      </c>
      <c r="C2116" s="49" t="s">
        <v>3488</v>
      </c>
      <c r="D2116" s="50"/>
      <c r="E2116" s="51">
        <v>2045000</v>
      </c>
      <c r="F2116" s="52">
        <f t="shared" si="126"/>
        <v>163600</v>
      </c>
      <c r="G2116" s="53">
        <f t="shared" si="125"/>
        <v>2208600</v>
      </c>
      <c r="H2116" s="54">
        <v>2208600</v>
      </c>
      <c r="I2116" s="55">
        <f t="shared" si="127"/>
        <v>0</v>
      </c>
      <c r="J2116" s="56">
        <v>46170</v>
      </c>
      <c r="K2116" s="57"/>
    </row>
    <row r="2117" spans="1:11" ht="15.75" hidden="1" customHeight="1" x14ac:dyDescent="0.35">
      <c r="A2117" s="47" t="s">
        <v>2703</v>
      </c>
      <c r="B2117" s="48" t="s">
        <v>3562</v>
      </c>
      <c r="C2117" s="49" t="s">
        <v>3511</v>
      </c>
      <c r="D2117" s="50"/>
      <c r="E2117" s="51">
        <v>502500</v>
      </c>
      <c r="F2117" s="52">
        <f t="shared" si="126"/>
        <v>40200</v>
      </c>
      <c r="G2117" s="53">
        <f t="shared" si="125"/>
        <v>542700</v>
      </c>
      <c r="H2117" s="54">
        <v>542700</v>
      </c>
      <c r="I2117" s="55">
        <f t="shared" si="127"/>
        <v>0</v>
      </c>
      <c r="J2117" s="56">
        <v>46170</v>
      </c>
      <c r="K2117" s="57"/>
    </row>
    <row r="2118" spans="1:11" ht="15.75" hidden="1" customHeight="1" x14ac:dyDescent="0.35">
      <c r="A2118" s="47" t="s">
        <v>2688</v>
      </c>
      <c r="B2118" s="48" t="s">
        <v>3563</v>
      </c>
      <c r="C2118" s="49" t="s">
        <v>3512</v>
      </c>
      <c r="D2118" s="50"/>
      <c r="E2118" s="51">
        <v>3015000</v>
      </c>
      <c r="F2118" s="52">
        <f t="shared" si="126"/>
        <v>241200</v>
      </c>
      <c r="G2118" s="53">
        <f t="shared" si="125"/>
        <v>3256200</v>
      </c>
      <c r="H2118" s="54">
        <v>3256200</v>
      </c>
      <c r="I2118" s="55">
        <f t="shared" si="127"/>
        <v>0</v>
      </c>
      <c r="J2118" s="56">
        <v>46170</v>
      </c>
      <c r="K2118" s="57"/>
    </row>
    <row r="2119" spans="1:11" ht="15.75" hidden="1" customHeight="1" x14ac:dyDescent="0.35">
      <c r="A2119" s="47" t="s">
        <v>24</v>
      </c>
      <c r="B2119" s="48" t="s">
        <v>3563</v>
      </c>
      <c r="C2119" s="49" t="s">
        <v>3513</v>
      </c>
      <c r="D2119" s="50"/>
      <c r="E2119" s="51">
        <v>1850000</v>
      </c>
      <c r="F2119" s="52">
        <f t="shared" si="126"/>
        <v>148000</v>
      </c>
      <c r="G2119" s="53">
        <f t="shared" si="125"/>
        <v>1998000</v>
      </c>
      <c r="H2119" s="54">
        <v>1998000</v>
      </c>
      <c r="I2119" s="55">
        <f t="shared" si="127"/>
        <v>0</v>
      </c>
      <c r="J2119" s="56">
        <v>46170</v>
      </c>
      <c r="K2119" s="57"/>
    </row>
    <row r="2120" spans="1:11" ht="15.75" hidden="1" customHeight="1" x14ac:dyDescent="0.35">
      <c r="A2120" s="47" t="s">
        <v>2713</v>
      </c>
      <c r="B2120" s="48" t="s">
        <v>3563</v>
      </c>
      <c r="C2120" s="49" t="s">
        <v>3514</v>
      </c>
      <c r="D2120" s="50"/>
      <c r="E2120" s="51">
        <v>4020000</v>
      </c>
      <c r="F2120" s="52">
        <f t="shared" si="126"/>
        <v>321600</v>
      </c>
      <c r="G2120" s="53">
        <f t="shared" si="125"/>
        <v>4341600</v>
      </c>
      <c r="H2120" s="54"/>
      <c r="I2120" s="55">
        <f t="shared" si="127"/>
        <v>4341600</v>
      </c>
      <c r="J2120" s="56"/>
      <c r="K2120" s="57"/>
    </row>
    <row r="2121" spans="1:11" ht="15.75" hidden="1" customHeight="1" x14ac:dyDescent="0.35">
      <c r="A2121" s="47" t="s">
        <v>2704</v>
      </c>
      <c r="B2121" s="48" t="s">
        <v>3564</v>
      </c>
      <c r="C2121" s="50" t="s">
        <v>3515</v>
      </c>
      <c r="D2121" s="50"/>
      <c r="E2121" s="51">
        <v>2855000</v>
      </c>
      <c r="F2121" s="52">
        <f t="shared" si="126"/>
        <v>228400</v>
      </c>
      <c r="G2121" s="53">
        <f t="shared" si="125"/>
        <v>3083400</v>
      </c>
      <c r="H2121" s="54">
        <v>3083400</v>
      </c>
      <c r="I2121" s="55">
        <f t="shared" si="127"/>
        <v>0</v>
      </c>
      <c r="J2121" s="56">
        <v>46170</v>
      </c>
      <c r="K2121" s="57"/>
    </row>
    <row r="2122" spans="1:11" ht="15.75" hidden="1" customHeight="1" x14ac:dyDescent="0.35">
      <c r="A2122" s="47" t="s">
        <v>2684</v>
      </c>
      <c r="B2122" s="48" t="s">
        <v>3565</v>
      </c>
      <c r="C2122" s="49" t="s">
        <v>3516</v>
      </c>
      <c r="D2122" s="50"/>
      <c r="E2122" s="51">
        <v>2045000</v>
      </c>
      <c r="F2122" s="52">
        <f t="shared" si="126"/>
        <v>163600</v>
      </c>
      <c r="G2122" s="53">
        <f t="shared" si="125"/>
        <v>2208600</v>
      </c>
      <c r="H2122" s="54">
        <v>2208600</v>
      </c>
      <c r="I2122" s="55">
        <f t="shared" si="127"/>
        <v>0</v>
      </c>
      <c r="J2122" s="56">
        <v>46170</v>
      </c>
      <c r="K2122" s="57"/>
    </row>
    <row r="2123" spans="1:11" ht="15.75" hidden="1" customHeight="1" x14ac:dyDescent="0.35">
      <c r="A2123" s="47" t="s">
        <v>2740</v>
      </c>
      <c r="B2123" s="48" t="s">
        <v>3565</v>
      </c>
      <c r="C2123" s="49" t="s">
        <v>3517</v>
      </c>
      <c r="D2123" s="50"/>
      <c r="E2123" s="51">
        <v>4670000</v>
      </c>
      <c r="F2123" s="52">
        <f t="shared" si="126"/>
        <v>373600</v>
      </c>
      <c r="G2123" s="53">
        <f t="shared" si="125"/>
        <v>5043600</v>
      </c>
      <c r="H2123" s="54">
        <v>5043600</v>
      </c>
      <c r="I2123" s="55">
        <f t="shared" si="127"/>
        <v>0</v>
      </c>
      <c r="J2123" s="56">
        <v>46170</v>
      </c>
      <c r="K2123" s="57"/>
    </row>
    <row r="2124" spans="1:11" ht="15.75" hidden="1" customHeight="1" x14ac:dyDescent="0.35">
      <c r="A2124" s="47" t="s">
        <v>2688</v>
      </c>
      <c r="B2124" s="48" t="s">
        <v>3565</v>
      </c>
      <c r="C2124" s="49" t="s">
        <v>3518</v>
      </c>
      <c r="D2124" s="50"/>
      <c r="E2124" s="51">
        <v>810000</v>
      </c>
      <c r="F2124" s="52">
        <f t="shared" si="126"/>
        <v>64800</v>
      </c>
      <c r="G2124" s="53">
        <f t="shared" si="125"/>
        <v>874800</v>
      </c>
      <c r="H2124" s="54">
        <v>874800</v>
      </c>
      <c r="I2124" s="55">
        <f t="shared" si="127"/>
        <v>0</v>
      </c>
      <c r="J2124" s="56">
        <v>46170</v>
      </c>
      <c r="K2124" s="57"/>
    </row>
    <row r="2125" spans="1:11" ht="15.75" hidden="1" customHeight="1" x14ac:dyDescent="0.35">
      <c r="A2125" s="47" t="s">
        <v>2694</v>
      </c>
      <c r="B2125" s="48" t="s">
        <v>3565</v>
      </c>
      <c r="C2125" s="49" t="s">
        <v>3519</v>
      </c>
      <c r="D2125" s="50"/>
      <c r="E2125" s="51">
        <v>1410000</v>
      </c>
      <c r="F2125" s="52">
        <f t="shared" si="126"/>
        <v>112800</v>
      </c>
      <c r="G2125" s="53">
        <f t="shared" si="125"/>
        <v>1522800</v>
      </c>
      <c r="H2125" s="54">
        <v>1522800</v>
      </c>
      <c r="I2125" s="55">
        <f t="shared" si="127"/>
        <v>0</v>
      </c>
      <c r="J2125" s="56">
        <v>46170</v>
      </c>
      <c r="K2125" s="57"/>
    </row>
    <row r="2126" spans="1:11" ht="15.75" hidden="1" customHeight="1" x14ac:dyDescent="0.35">
      <c r="A2126" s="47" t="s">
        <v>2718</v>
      </c>
      <c r="B2126" s="48" t="s">
        <v>3565</v>
      </c>
      <c r="C2126" s="49" t="s">
        <v>743</v>
      </c>
      <c r="D2126" s="50"/>
      <c r="E2126" s="51">
        <v>1815000</v>
      </c>
      <c r="F2126" s="52">
        <f t="shared" si="126"/>
        <v>145200</v>
      </c>
      <c r="G2126" s="53">
        <f t="shared" si="125"/>
        <v>1960200</v>
      </c>
      <c r="H2126" s="54">
        <v>1960200</v>
      </c>
      <c r="I2126" s="55">
        <f t="shared" si="127"/>
        <v>0</v>
      </c>
      <c r="J2126" s="56">
        <v>46170</v>
      </c>
      <c r="K2126" s="57"/>
    </row>
    <row r="2127" spans="1:11" ht="15.75" hidden="1" customHeight="1" x14ac:dyDescent="0.35">
      <c r="A2127" s="47" t="s">
        <v>2691</v>
      </c>
      <c r="B2127" s="48" t="s">
        <v>3565</v>
      </c>
      <c r="C2127" s="49" t="s">
        <v>2233</v>
      </c>
      <c r="D2127" s="50"/>
      <c r="E2127" s="51">
        <v>810000</v>
      </c>
      <c r="F2127" s="52">
        <f t="shared" si="126"/>
        <v>64800</v>
      </c>
      <c r="G2127" s="53">
        <f t="shared" si="125"/>
        <v>874800</v>
      </c>
      <c r="H2127" s="54"/>
      <c r="I2127" s="55">
        <f t="shared" si="127"/>
        <v>874800</v>
      </c>
      <c r="J2127" s="56"/>
      <c r="K2127" s="57"/>
    </row>
    <row r="2128" spans="1:11" ht="15.75" hidden="1" customHeight="1" x14ac:dyDescent="0.35">
      <c r="A2128" s="47" t="s">
        <v>2695</v>
      </c>
      <c r="B2128" s="48" t="s">
        <v>3566</v>
      </c>
      <c r="C2128" s="50" t="s">
        <v>2244</v>
      </c>
      <c r="D2128" s="50"/>
      <c r="E2128" s="51">
        <v>4510000</v>
      </c>
      <c r="F2128" s="52">
        <f t="shared" si="126"/>
        <v>360800</v>
      </c>
      <c r="G2128" s="53">
        <f t="shared" si="125"/>
        <v>4870800</v>
      </c>
      <c r="H2128" s="54">
        <v>4870800</v>
      </c>
      <c r="I2128" s="55">
        <f t="shared" si="127"/>
        <v>0</v>
      </c>
      <c r="J2128" s="56">
        <v>46170</v>
      </c>
      <c r="K2128" s="57"/>
    </row>
    <row r="2129" spans="1:11" ht="15.75" hidden="1" customHeight="1" x14ac:dyDescent="0.35">
      <c r="A2129" s="47" t="s">
        <v>2745</v>
      </c>
      <c r="B2129" s="48" t="s">
        <v>3566</v>
      </c>
      <c r="C2129" s="49" t="s">
        <v>3520</v>
      </c>
      <c r="D2129" s="50"/>
      <c r="E2129" s="51">
        <v>1005000</v>
      </c>
      <c r="F2129" s="52">
        <f t="shared" si="126"/>
        <v>80400</v>
      </c>
      <c r="G2129" s="53">
        <f t="shared" si="125"/>
        <v>1085400</v>
      </c>
      <c r="H2129" s="54"/>
      <c r="I2129" s="55">
        <f t="shared" si="127"/>
        <v>1085400</v>
      </c>
      <c r="J2129" s="56"/>
      <c r="K2129" s="57"/>
    </row>
    <row r="2130" spans="1:11" ht="15.75" hidden="1" customHeight="1" x14ac:dyDescent="0.35">
      <c r="A2130" s="47" t="s">
        <v>2711</v>
      </c>
      <c r="B2130" s="48" t="s">
        <v>3566</v>
      </c>
      <c r="C2130" s="49" t="s">
        <v>2249</v>
      </c>
      <c r="D2130" s="50"/>
      <c r="E2130" s="51">
        <v>405000</v>
      </c>
      <c r="F2130" s="52">
        <f t="shared" si="126"/>
        <v>32400</v>
      </c>
      <c r="G2130" s="53">
        <f t="shared" si="125"/>
        <v>437400</v>
      </c>
      <c r="H2130" s="54">
        <v>437400</v>
      </c>
      <c r="I2130" s="55">
        <f t="shared" si="127"/>
        <v>0</v>
      </c>
      <c r="J2130" s="56">
        <v>46170</v>
      </c>
      <c r="K2130" s="57"/>
    </row>
    <row r="2131" spans="1:11" ht="15.75" hidden="1" customHeight="1" x14ac:dyDescent="0.35">
      <c r="A2131" s="47" t="s">
        <v>120</v>
      </c>
      <c r="B2131" s="48" t="s">
        <v>3566</v>
      </c>
      <c r="C2131" s="49" t="s">
        <v>3521</v>
      </c>
      <c r="D2131" s="50"/>
      <c r="E2131" s="51">
        <v>2855000</v>
      </c>
      <c r="F2131" s="52">
        <f t="shared" si="126"/>
        <v>228400</v>
      </c>
      <c r="G2131" s="53">
        <f t="shared" si="125"/>
        <v>3083400</v>
      </c>
      <c r="H2131" s="54">
        <v>3083400</v>
      </c>
      <c r="I2131" s="55">
        <f t="shared" si="127"/>
        <v>0</v>
      </c>
      <c r="J2131" s="56">
        <v>46170</v>
      </c>
      <c r="K2131" s="57"/>
    </row>
    <row r="2132" spans="1:11" ht="15.75" hidden="1" customHeight="1" x14ac:dyDescent="0.35">
      <c r="A2132" s="47" t="s">
        <v>24</v>
      </c>
      <c r="B2132" s="48" t="s">
        <v>3567</v>
      </c>
      <c r="C2132" s="49" t="s">
        <v>3522</v>
      </c>
      <c r="D2132" s="50"/>
      <c r="E2132" s="51">
        <v>1005000</v>
      </c>
      <c r="F2132" s="52">
        <f t="shared" si="126"/>
        <v>80400</v>
      </c>
      <c r="G2132" s="53">
        <f t="shared" si="125"/>
        <v>1085400</v>
      </c>
      <c r="H2132" s="54">
        <v>1085400</v>
      </c>
      <c r="I2132" s="55">
        <f t="shared" si="127"/>
        <v>0</v>
      </c>
      <c r="J2132" s="56">
        <v>46170</v>
      </c>
      <c r="K2132" s="57"/>
    </row>
    <row r="2133" spans="1:11" ht="15.75" hidden="1" customHeight="1" x14ac:dyDescent="0.35">
      <c r="A2133" s="47" t="s">
        <v>2696</v>
      </c>
      <c r="B2133" s="48" t="s">
        <v>3568</v>
      </c>
      <c r="C2133" s="49" t="s">
        <v>769</v>
      </c>
      <c r="D2133" s="50"/>
      <c r="E2133" s="51">
        <v>2045000</v>
      </c>
      <c r="F2133" s="52">
        <f t="shared" si="126"/>
        <v>163600</v>
      </c>
      <c r="G2133" s="53">
        <f t="shared" si="125"/>
        <v>2208600</v>
      </c>
      <c r="H2133" s="54"/>
      <c r="I2133" s="55">
        <f t="shared" si="127"/>
        <v>2208600</v>
      </c>
      <c r="J2133" s="56"/>
      <c r="K2133" s="57"/>
    </row>
    <row r="2134" spans="1:11" ht="15.75" hidden="1" customHeight="1" x14ac:dyDescent="0.35">
      <c r="A2134" s="47" t="s">
        <v>2689</v>
      </c>
      <c r="B2134" s="48" t="s">
        <v>3568</v>
      </c>
      <c r="C2134" s="49" t="s">
        <v>3523</v>
      </c>
      <c r="D2134" s="50"/>
      <c r="E2134" s="51">
        <v>2045000</v>
      </c>
      <c r="F2134" s="52">
        <f t="shared" si="126"/>
        <v>163600</v>
      </c>
      <c r="G2134" s="53">
        <f t="shared" si="125"/>
        <v>2208600</v>
      </c>
      <c r="H2134" s="54">
        <v>2208600</v>
      </c>
      <c r="I2134" s="55">
        <f t="shared" si="127"/>
        <v>0</v>
      </c>
      <c r="J2134" s="56">
        <v>46170</v>
      </c>
      <c r="K2134" s="57"/>
    </row>
    <row r="2135" spans="1:11" ht="15.75" hidden="1" customHeight="1" x14ac:dyDescent="0.35">
      <c r="A2135" s="47" t="s">
        <v>2732</v>
      </c>
      <c r="B2135" s="48" t="s">
        <v>3568</v>
      </c>
      <c r="C2135" s="49" t="s">
        <v>3524</v>
      </c>
      <c r="D2135" s="50"/>
      <c r="E2135" s="51">
        <v>405000</v>
      </c>
      <c r="F2135" s="52">
        <f t="shared" si="126"/>
        <v>32400</v>
      </c>
      <c r="G2135" s="53">
        <f t="shared" si="125"/>
        <v>437400</v>
      </c>
      <c r="H2135" s="54"/>
      <c r="I2135" s="55">
        <f t="shared" si="127"/>
        <v>437400</v>
      </c>
      <c r="J2135" s="56"/>
      <c r="K2135" s="57"/>
    </row>
    <row r="2136" spans="1:11" ht="15.75" hidden="1" customHeight="1" x14ac:dyDescent="0.35">
      <c r="A2136" s="47" t="s">
        <v>2693</v>
      </c>
      <c r="B2136" s="48" t="s">
        <v>3568</v>
      </c>
      <c r="C2136" s="49" t="s">
        <v>2261</v>
      </c>
      <c r="D2136" s="50"/>
      <c r="E2136" s="51">
        <v>1005000</v>
      </c>
      <c r="F2136" s="52">
        <f t="shared" si="126"/>
        <v>80400</v>
      </c>
      <c r="G2136" s="53">
        <f t="shared" si="125"/>
        <v>1085400</v>
      </c>
      <c r="H2136" s="54">
        <v>1085400</v>
      </c>
      <c r="I2136" s="55">
        <f t="shared" si="127"/>
        <v>0</v>
      </c>
      <c r="J2136" s="56">
        <v>46170</v>
      </c>
      <c r="K2136" s="57"/>
    </row>
    <row r="2137" spans="1:11" ht="15.75" hidden="1" customHeight="1" x14ac:dyDescent="0.35">
      <c r="A2137" s="47" t="s">
        <v>2720</v>
      </c>
      <c r="B2137" s="48" t="s">
        <v>3568</v>
      </c>
      <c r="C2137" s="49" t="s">
        <v>2262</v>
      </c>
      <c r="D2137" s="50"/>
      <c r="E2137" s="51">
        <v>1040000</v>
      </c>
      <c r="F2137" s="52">
        <f t="shared" si="126"/>
        <v>83200</v>
      </c>
      <c r="G2137" s="53">
        <f t="shared" si="125"/>
        <v>1123200</v>
      </c>
      <c r="H2137" s="54"/>
      <c r="I2137" s="55">
        <f t="shared" si="127"/>
        <v>1123200</v>
      </c>
      <c r="J2137" s="56"/>
      <c r="K2137" s="57"/>
    </row>
    <row r="2138" spans="1:11" ht="15.75" hidden="1" customHeight="1" x14ac:dyDescent="0.35">
      <c r="A2138" s="47" t="s">
        <v>2688</v>
      </c>
      <c r="B2138" s="48" t="s">
        <v>3568</v>
      </c>
      <c r="C2138" s="49" t="s">
        <v>3525</v>
      </c>
      <c r="D2138" s="50"/>
      <c r="E2138" s="51">
        <v>1040000</v>
      </c>
      <c r="F2138" s="52">
        <f t="shared" si="126"/>
        <v>83200</v>
      </c>
      <c r="G2138" s="53">
        <f t="shared" si="125"/>
        <v>1123200</v>
      </c>
      <c r="H2138" s="54">
        <v>1123200</v>
      </c>
      <c r="I2138" s="55">
        <f t="shared" si="127"/>
        <v>0</v>
      </c>
      <c r="J2138" s="56">
        <v>46170</v>
      </c>
      <c r="K2138" s="57"/>
    </row>
    <row r="2139" spans="1:11" ht="15.75" hidden="1" customHeight="1" x14ac:dyDescent="0.35">
      <c r="A2139" s="47" t="s">
        <v>2679</v>
      </c>
      <c r="B2139" s="48" t="s">
        <v>3569</v>
      </c>
      <c r="C2139" s="49" t="s">
        <v>3526</v>
      </c>
      <c r="D2139" s="50"/>
      <c r="E2139" s="51">
        <v>1005000</v>
      </c>
      <c r="F2139" s="52">
        <f t="shared" si="126"/>
        <v>80400</v>
      </c>
      <c r="G2139" s="53">
        <f t="shared" si="125"/>
        <v>1085400</v>
      </c>
      <c r="H2139" s="54"/>
      <c r="I2139" s="55">
        <f t="shared" si="127"/>
        <v>1085400</v>
      </c>
      <c r="J2139" s="56"/>
      <c r="K2139" s="57"/>
    </row>
    <row r="2140" spans="1:11" ht="15.75" hidden="1" customHeight="1" x14ac:dyDescent="0.35">
      <c r="A2140" s="47" t="s">
        <v>1586</v>
      </c>
      <c r="B2140" s="48" t="s">
        <v>3569</v>
      </c>
      <c r="C2140" s="49" t="s">
        <v>3527</v>
      </c>
      <c r="D2140" s="50"/>
      <c r="E2140" s="51">
        <v>1005000</v>
      </c>
      <c r="F2140" s="52">
        <f t="shared" si="126"/>
        <v>80400</v>
      </c>
      <c r="G2140" s="53">
        <f t="shared" si="125"/>
        <v>1085400</v>
      </c>
      <c r="H2140" s="54">
        <v>1085400</v>
      </c>
      <c r="I2140" s="55">
        <f t="shared" si="127"/>
        <v>0</v>
      </c>
      <c r="J2140" s="56">
        <v>46170</v>
      </c>
      <c r="K2140" s="57"/>
    </row>
    <row r="2141" spans="1:11" ht="15.75" hidden="1" customHeight="1" x14ac:dyDescent="0.35">
      <c r="A2141" s="47" t="s">
        <v>2737</v>
      </c>
      <c r="B2141" s="48" t="s">
        <v>3569</v>
      </c>
      <c r="C2141" s="49" t="s">
        <v>3528</v>
      </c>
      <c r="D2141" s="50"/>
      <c r="E2141" s="51">
        <v>2045000</v>
      </c>
      <c r="F2141" s="52">
        <f t="shared" si="126"/>
        <v>163600</v>
      </c>
      <c r="G2141" s="53">
        <f t="shared" si="125"/>
        <v>2208600</v>
      </c>
      <c r="H2141" s="54">
        <v>2208600</v>
      </c>
      <c r="I2141" s="55">
        <f t="shared" si="127"/>
        <v>0</v>
      </c>
      <c r="J2141" s="56">
        <v>46170</v>
      </c>
      <c r="K2141" s="57"/>
    </row>
    <row r="2142" spans="1:11" ht="15.75" hidden="1" customHeight="1" x14ac:dyDescent="0.35">
      <c r="A2142" s="47" t="s">
        <v>2703</v>
      </c>
      <c r="B2142" s="48" t="s">
        <v>3569</v>
      </c>
      <c r="C2142" s="49" t="s">
        <v>780</v>
      </c>
      <c r="D2142" s="50"/>
      <c r="E2142" s="51">
        <v>1410000</v>
      </c>
      <c r="F2142" s="52">
        <f t="shared" si="126"/>
        <v>112800</v>
      </c>
      <c r="G2142" s="53">
        <f t="shared" si="125"/>
        <v>1522800</v>
      </c>
      <c r="H2142" s="54">
        <v>1522800</v>
      </c>
      <c r="I2142" s="55">
        <f t="shared" si="127"/>
        <v>0</v>
      </c>
      <c r="J2142" s="56">
        <v>46170</v>
      </c>
      <c r="K2142" s="57"/>
    </row>
    <row r="2143" spans="1:11" ht="15.75" hidden="1" customHeight="1" x14ac:dyDescent="0.35">
      <c r="A2143" s="47" t="s">
        <v>55</v>
      </c>
      <c r="B2143" s="48" t="s">
        <v>3570</v>
      </c>
      <c r="C2143" s="49" t="s">
        <v>3529</v>
      </c>
      <c r="D2143" s="50"/>
      <c r="E2143" s="51">
        <v>2855000</v>
      </c>
      <c r="F2143" s="52">
        <f t="shared" si="126"/>
        <v>228400</v>
      </c>
      <c r="G2143" s="53">
        <f t="shared" si="125"/>
        <v>3083400</v>
      </c>
      <c r="H2143" s="54">
        <v>3083400</v>
      </c>
      <c r="I2143" s="55">
        <f t="shared" si="127"/>
        <v>0</v>
      </c>
      <c r="J2143" s="56">
        <v>46170</v>
      </c>
      <c r="K2143" s="57"/>
    </row>
    <row r="2144" spans="1:11" ht="15.75" hidden="1" customHeight="1" x14ac:dyDescent="0.35">
      <c r="A2144" s="47" t="s">
        <v>2683</v>
      </c>
      <c r="B2144" s="48" t="s">
        <v>3571</v>
      </c>
      <c r="C2144" s="49" t="s">
        <v>3530</v>
      </c>
      <c r="D2144" s="50"/>
      <c r="E2144" s="51">
        <v>1005000</v>
      </c>
      <c r="F2144" s="52">
        <f t="shared" si="126"/>
        <v>80400</v>
      </c>
      <c r="G2144" s="53">
        <f t="shared" si="125"/>
        <v>1085400</v>
      </c>
      <c r="H2144" s="54">
        <v>1085400</v>
      </c>
      <c r="I2144" s="55">
        <f t="shared" si="127"/>
        <v>0</v>
      </c>
      <c r="J2144" s="56">
        <v>46170</v>
      </c>
      <c r="K2144" s="57"/>
    </row>
    <row r="2145" spans="1:11" ht="15.75" hidden="1" customHeight="1" x14ac:dyDescent="0.35">
      <c r="A2145" s="47" t="s">
        <v>2709</v>
      </c>
      <c r="B2145" s="48" t="s">
        <v>3571</v>
      </c>
      <c r="C2145" s="49" t="s">
        <v>3531</v>
      </c>
      <c r="D2145" s="50"/>
      <c r="E2145" s="51">
        <v>1427500</v>
      </c>
      <c r="F2145" s="52">
        <f t="shared" si="126"/>
        <v>114200</v>
      </c>
      <c r="G2145" s="53">
        <f t="shared" si="125"/>
        <v>1541700</v>
      </c>
      <c r="H2145" s="54">
        <v>1541700</v>
      </c>
      <c r="I2145" s="55">
        <f t="shared" si="127"/>
        <v>0</v>
      </c>
      <c r="J2145" s="56">
        <v>46170</v>
      </c>
      <c r="K2145" s="57"/>
    </row>
    <row r="2146" spans="1:11" ht="15.75" hidden="1" customHeight="1" x14ac:dyDescent="0.35">
      <c r="A2146" s="47" t="s">
        <v>3016</v>
      </c>
      <c r="B2146" s="48" t="s">
        <v>3571</v>
      </c>
      <c r="C2146" s="49" t="s">
        <v>3532</v>
      </c>
      <c r="D2146" s="50"/>
      <c r="E2146" s="51">
        <v>3630000</v>
      </c>
      <c r="F2146" s="52">
        <f t="shared" si="126"/>
        <v>290400</v>
      </c>
      <c r="G2146" s="53">
        <f t="shared" si="125"/>
        <v>3920400</v>
      </c>
      <c r="H2146" s="54">
        <v>3920400</v>
      </c>
      <c r="I2146" s="55">
        <f t="shared" si="127"/>
        <v>0</v>
      </c>
      <c r="J2146" s="56">
        <v>46170</v>
      </c>
      <c r="K2146" s="57"/>
    </row>
    <row r="2147" spans="1:11" ht="15.75" hidden="1" customHeight="1" x14ac:dyDescent="0.35">
      <c r="A2147" s="47" t="s">
        <v>2746</v>
      </c>
      <c r="B2147" s="48" t="s">
        <v>3572</v>
      </c>
      <c r="C2147" s="49" t="s">
        <v>790</v>
      </c>
      <c r="D2147" s="50"/>
      <c r="E2147" s="51">
        <v>2855000</v>
      </c>
      <c r="F2147" s="52">
        <f t="shared" si="126"/>
        <v>228400</v>
      </c>
      <c r="G2147" s="53">
        <f t="shared" si="125"/>
        <v>3083400</v>
      </c>
      <c r="H2147" s="54"/>
      <c r="I2147" s="55">
        <f t="shared" si="127"/>
        <v>3083400</v>
      </c>
      <c r="J2147" s="56"/>
      <c r="K2147" s="57"/>
    </row>
    <row r="2148" spans="1:11" ht="15.75" hidden="1" customHeight="1" x14ac:dyDescent="0.35">
      <c r="A2148" s="47" t="s">
        <v>2744</v>
      </c>
      <c r="B2148" s="48" t="s">
        <v>3573</v>
      </c>
      <c r="C2148" s="49" t="s">
        <v>3533</v>
      </c>
      <c r="D2148" s="50"/>
      <c r="E2148" s="51">
        <v>2045000</v>
      </c>
      <c r="F2148" s="52">
        <f t="shared" si="126"/>
        <v>163600</v>
      </c>
      <c r="G2148" s="53">
        <f t="shared" si="125"/>
        <v>2208600</v>
      </c>
      <c r="H2148" s="54">
        <v>2208600</v>
      </c>
      <c r="I2148" s="55">
        <f t="shared" si="127"/>
        <v>0</v>
      </c>
      <c r="J2148" s="56">
        <v>46170</v>
      </c>
      <c r="K2148" s="57"/>
    </row>
    <row r="2149" spans="1:11" ht="15.75" hidden="1" customHeight="1" x14ac:dyDescent="0.35">
      <c r="A2149" s="47" t="s">
        <v>2688</v>
      </c>
      <c r="B2149" s="48" t="s">
        <v>3573</v>
      </c>
      <c r="C2149" s="49" t="s">
        <v>3534</v>
      </c>
      <c r="D2149" s="50"/>
      <c r="E2149" s="51">
        <v>2010000</v>
      </c>
      <c r="F2149" s="52">
        <f t="shared" si="126"/>
        <v>160800</v>
      </c>
      <c r="G2149" s="53">
        <f t="shared" si="125"/>
        <v>2170800</v>
      </c>
      <c r="H2149" s="54">
        <v>2170800</v>
      </c>
      <c r="I2149" s="55">
        <f t="shared" si="127"/>
        <v>0</v>
      </c>
      <c r="J2149" s="56">
        <v>46170</v>
      </c>
      <c r="K2149" s="57"/>
    </row>
    <row r="2150" spans="1:11" ht="15.75" hidden="1" customHeight="1" x14ac:dyDescent="0.35">
      <c r="A2150" s="47" t="s">
        <v>2727</v>
      </c>
      <c r="B2150" s="48" t="s">
        <v>3573</v>
      </c>
      <c r="C2150" s="49" t="s">
        <v>3535</v>
      </c>
      <c r="D2150" s="50"/>
      <c r="E2150" s="51">
        <v>2045000</v>
      </c>
      <c r="F2150" s="52">
        <f t="shared" si="126"/>
        <v>163600</v>
      </c>
      <c r="G2150" s="53">
        <f t="shared" si="125"/>
        <v>2208600</v>
      </c>
      <c r="H2150" s="54">
        <v>2208600</v>
      </c>
      <c r="I2150" s="55">
        <f t="shared" si="127"/>
        <v>0</v>
      </c>
      <c r="J2150" s="56">
        <v>46170</v>
      </c>
      <c r="K2150" s="57"/>
    </row>
    <row r="2151" spans="1:11" ht="15.75" hidden="1" customHeight="1" x14ac:dyDescent="0.35">
      <c r="A2151" s="47" t="s">
        <v>3042</v>
      </c>
      <c r="B2151" s="48" t="s">
        <v>3573</v>
      </c>
      <c r="C2151" s="49" t="s">
        <v>3536</v>
      </c>
      <c r="D2151" s="50"/>
      <c r="E2151" s="51">
        <v>2450000</v>
      </c>
      <c r="F2151" s="52">
        <f t="shared" si="126"/>
        <v>196000</v>
      </c>
      <c r="G2151" s="53">
        <f t="shared" si="125"/>
        <v>2646000</v>
      </c>
      <c r="H2151" s="54">
        <v>2646000</v>
      </c>
      <c r="I2151" s="55">
        <f t="shared" si="127"/>
        <v>0</v>
      </c>
      <c r="J2151" s="56">
        <v>46170</v>
      </c>
      <c r="K2151" s="57"/>
    </row>
    <row r="2152" spans="1:11" ht="15.75" hidden="1" customHeight="1" x14ac:dyDescent="0.35">
      <c r="A2152" s="47" t="s">
        <v>2735</v>
      </c>
      <c r="B2152" s="48" t="s">
        <v>3573</v>
      </c>
      <c r="C2152" s="49" t="s">
        <v>3537</v>
      </c>
      <c r="D2152" s="50"/>
      <c r="E2152" s="51">
        <v>1005000</v>
      </c>
      <c r="F2152" s="52">
        <f t="shared" si="126"/>
        <v>80400</v>
      </c>
      <c r="G2152" s="53">
        <f t="shared" si="125"/>
        <v>1085400</v>
      </c>
      <c r="H2152" s="54"/>
      <c r="I2152" s="55">
        <f t="shared" si="127"/>
        <v>1085400</v>
      </c>
      <c r="J2152" s="56"/>
      <c r="K2152" s="57"/>
    </row>
    <row r="2153" spans="1:11" ht="15.75" hidden="1" customHeight="1" x14ac:dyDescent="0.35">
      <c r="A2153" s="47" t="s">
        <v>2694</v>
      </c>
      <c r="B2153" s="48" t="s">
        <v>3574</v>
      </c>
      <c r="C2153" s="49" t="s">
        <v>3538</v>
      </c>
      <c r="D2153" s="50"/>
      <c r="E2153" s="51">
        <v>520000</v>
      </c>
      <c r="F2153" s="52">
        <f t="shared" si="126"/>
        <v>41600</v>
      </c>
      <c r="G2153" s="53">
        <f t="shared" si="125"/>
        <v>561600</v>
      </c>
      <c r="H2153" s="54">
        <v>561600</v>
      </c>
      <c r="I2153" s="55">
        <f t="shared" si="127"/>
        <v>0</v>
      </c>
      <c r="J2153" s="56">
        <v>46170</v>
      </c>
      <c r="K2153" s="57"/>
    </row>
    <row r="2154" spans="1:11" ht="15.75" hidden="1" customHeight="1" x14ac:dyDescent="0.35">
      <c r="A2154" s="47" t="s">
        <v>2729</v>
      </c>
      <c r="B2154" s="48" t="s">
        <v>3574</v>
      </c>
      <c r="C2154" s="49" t="s">
        <v>3539</v>
      </c>
      <c r="D2154" s="50"/>
      <c r="E2154" s="51">
        <v>1005000</v>
      </c>
      <c r="F2154" s="52">
        <f t="shared" si="126"/>
        <v>80400</v>
      </c>
      <c r="G2154" s="53">
        <f t="shared" si="125"/>
        <v>1085400</v>
      </c>
      <c r="H2154" s="54">
        <v>1085400</v>
      </c>
      <c r="I2154" s="55">
        <f t="shared" si="127"/>
        <v>0</v>
      </c>
      <c r="J2154" s="56">
        <v>46170</v>
      </c>
      <c r="K2154" s="57"/>
    </row>
    <row r="2155" spans="1:11" ht="15.75" hidden="1" customHeight="1" x14ac:dyDescent="0.35">
      <c r="A2155" s="47" t="s">
        <v>2685</v>
      </c>
      <c r="B2155" s="48" t="s">
        <v>3574</v>
      </c>
      <c r="C2155" s="49" t="s">
        <v>3540</v>
      </c>
      <c r="D2155" s="50"/>
      <c r="E2155" s="51">
        <v>2045000</v>
      </c>
      <c r="F2155" s="52">
        <f t="shared" si="126"/>
        <v>163600</v>
      </c>
      <c r="G2155" s="53">
        <f t="shared" si="125"/>
        <v>2208600</v>
      </c>
      <c r="H2155" s="54">
        <v>2208600</v>
      </c>
      <c r="I2155" s="55">
        <f t="shared" si="127"/>
        <v>0</v>
      </c>
      <c r="J2155" s="56">
        <v>46170</v>
      </c>
      <c r="K2155" s="57"/>
    </row>
    <row r="2156" spans="1:11" ht="15.75" hidden="1" customHeight="1" x14ac:dyDescent="0.35">
      <c r="A2156" s="47" t="s">
        <v>2725</v>
      </c>
      <c r="B2156" s="48" t="s">
        <v>3574</v>
      </c>
      <c r="C2156" s="50" t="s">
        <v>2276</v>
      </c>
      <c r="D2156" s="50"/>
      <c r="E2156" s="51">
        <v>2855000</v>
      </c>
      <c r="F2156" s="52">
        <f t="shared" si="126"/>
        <v>228400</v>
      </c>
      <c r="G2156" s="53">
        <f t="shared" si="125"/>
        <v>3083400</v>
      </c>
      <c r="H2156" s="54">
        <v>3083400</v>
      </c>
      <c r="I2156" s="55">
        <f t="shared" si="127"/>
        <v>0</v>
      </c>
      <c r="J2156" s="56">
        <v>46170</v>
      </c>
      <c r="K2156" s="57"/>
    </row>
    <row r="2157" spans="1:11" ht="15.75" hidden="1" customHeight="1" x14ac:dyDescent="0.35">
      <c r="A2157" s="47" t="s">
        <v>2699</v>
      </c>
      <c r="B2157" s="48" t="s">
        <v>3575</v>
      </c>
      <c r="C2157" s="49" t="s">
        <v>3541</v>
      </c>
      <c r="D2157" s="50"/>
      <c r="E2157" s="51">
        <v>810000</v>
      </c>
      <c r="F2157" s="52">
        <f t="shared" si="126"/>
        <v>64800</v>
      </c>
      <c r="G2157" s="53">
        <f t="shared" si="125"/>
        <v>874800</v>
      </c>
      <c r="H2157" s="54">
        <v>874800</v>
      </c>
      <c r="I2157" s="55">
        <f t="shared" si="127"/>
        <v>0</v>
      </c>
      <c r="J2157" s="56">
        <v>46170</v>
      </c>
      <c r="K2157" s="57"/>
    </row>
    <row r="2158" spans="1:11" ht="15.75" hidden="1" customHeight="1" x14ac:dyDescent="0.35">
      <c r="A2158" s="47" t="s">
        <v>24</v>
      </c>
      <c r="B2158" s="48" t="s">
        <v>3575</v>
      </c>
      <c r="C2158" s="49" t="s">
        <v>2289</v>
      </c>
      <c r="D2158" s="50"/>
      <c r="E2158" s="51">
        <v>1040000</v>
      </c>
      <c r="F2158" s="52">
        <f t="shared" si="126"/>
        <v>83200</v>
      </c>
      <c r="G2158" s="53">
        <f t="shared" si="125"/>
        <v>1123200</v>
      </c>
      <c r="H2158" s="54">
        <v>1123200</v>
      </c>
      <c r="I2158" s="55">
        <f t="shared" si="127"/>
        <v>0</v>
      </c>
      <c r="J2158" s="56">
        <v>46170</v>
      </c>
      <c r="K2158" s="57"/>
    </row>
    <row r="2159" spans="1:11" ht="15.75" hidden="1" customHeight="1" x14ac:dyDescent="0.35">
      <c r="A2159" s="47" t="s">
        <v>2710</v>
      </c>
      <c r="B2159" s="48" t="s">
        <v>3575</v>
      </c>
      <c r="C2159" s="49" t="s">
        <v>2290</v>
      </c>
      <c r="D2159" s="50"/>
      <c r="E2159" s="51">
        <v>1930000</v>
      </c>
      <c r="F2159" s="52">
        <f t="shared" si="126"/>
        <v>154400</v>
      </c>
      <c r="G2159" s="53">
        <f t="shared" si="125"/>
        <v>2084400</v>
      </c>
      <c r="H2159" s="54">
        <v>2084400</v>
      </c>
      <c r="I2159" s="55">
        <f t="shared" si="127"/>
        <v>0</v>
      </c>
      <c r="J2159" s="56">
        <v>46170</v>
      </c>
      <c r="K2159" s="57"/>
    </row>
    <row r="2160" spans="1:11" ht="15.75" hidden="1" customHeight="1" x14ac:dyDescent="0.35">
      <c r="A2160" s="47" t="s">
        <v>2688</v>
      </c>
      <c r="B2160" s="48">
        <v>46147</v>
      </c>
      <c r="C2160" s="49" t="s">
        <v>3542</v>
      </c>
      <c r="D2160" s="50" t="s">
        <v>3579</v>
      </c>
      <c r="E2160" s="51">
        <v>2890000</v>
      </c>
      <c r="F2160" s="52">
        <f t="shared" si="126"/>
        <v>231200</v>
      </c>
      <c r="G2160" s="53">
        <f t="shared" si="125"/>
        <v>3121200</v>
      </c>
      <c r="H2160" s="54">
        <v>3121200</v>
      </c>
      <c r="I2160" s="55">
        <f t="shared" si="127"/>
        <v>0</v>
      </c>
      <c r="J2160" s="56">
        <v>46170</v>
      </c>
      <c r="K2160" s="57"/>
    </row>
    <row r="2161" spans="1:11" ht="15.75" hidden="1" customHeight="1" x14ac:dyDescent="0.35">
      <c r="A2161" s="47" t="s">
        <v>2727</v>
      </c>
      <c r="B2161" s="48" t="s">
        <v>3576</v>
      </c>
      <c r="C2161" s="49" t="s">
        <v>279</v>
      </c>
      <c r="D2161" s="50"/>
      <c r="E2161" s="51">
        <v>810000</v>
      </c>
      <c r="F2161" s="52">
        <f t="shared" si="126"/>
        <v>64800</v>
      </c>
      <c r="G2161" s="53">
        <f t="shared" ref="G2161:G2225" si="128">E2161+F2161</f>
        <v>874800</v>
      </c>
      <c r="H2161" s="54">
        <v>874800</v>
      </c>
      <c r="I2161" s="55">
        <f t="shared" si="127"/>
        <v>0</v>
      </c>
      <c r="J2161" s="56">
        <v>46170</v>
      </c>
      <c r="K2161" s="57"/>
    </row>
    <row r="2162" spans="1:11" ht="15.75" hidden="1" customHeight="1" x14ac:dyDescent="0.35">
      <c r="A2162" s="47" t="s">
        <v>2706</v>
      </c>
      <c r="B2162" s="48" t="s">
        <v>3576</v>
      </c>
      <c r="C2162" s="49" t="s">
        <v>280</v>
      </c>
      <c r="D2162" s="50"/>
      <c r="E2162" s="51">
        <v>2045000</v>
      </c>
      <c r="F2162" s="52">
        <f t="shared" si="126"/>
        <v>163600</v>
      </c>
      <c r="G2162" s="53">
        <f t="shared" si="128"/>
        <v>2208600</v>
      </c>
      <c r="H2162" s="54">
        <v>2208600</v>
      </c>
      <c r="I2162" s="55">
        <f t="shared" ref="I2162:I2226" si="129">G2162-H2162</f>
        <v>0</v>
      </c>
      <c r="J2162" s="56">
        <v>46170</v>
      </c>
      <c r="K2162" s="57"/>
    </row>
    <row r="2163" spans="1:11" ht="15.75" hidden="1" customHeight="1" x14ac:dyDescent="0.35">
      <c r="A2163" s="47" t="s">
        <v>2729</v>
      </c>
      <c r="B2163" s="48" t="s">
        <v>3577</v>
      </c>
      <c r="C2163" s="49" t="s">
        <v>3543</v>
      </c>
      <c r="D2163" s="50"/>
      <c r="E2163" s="51">
        <v>1005000</v>
      </c>
      <c r="F2163" s="52">
        <f t="shared" ref="F2163:F2227" si="130">+E2163*0.08</f>
        <v>80400</v>
      </c>
      <c r="G2163" s="53">
        <f t="shared" si="128"/>
        <v>1085400</v>
      </c>
      <c r="H2163" s="54"/>
      <c r="I2163" s="55">
        <f t="shared" si="129"/>
        <v>1085400</v>
      </c>
      <c r="J2163" s="56"/>
      <c r="K2163" s="57"/>
    </row>
    <row r="2164" spans="1:11" ht="15.75" hidden="1" customHeight="1" x14ac:dyDescent="0.35">
      <c r="A2164" s="47" t="s">
        <v>2689</v>
      </c>
      <c r="B2164" s="48" t="s">
        <v>3577</v>
      </c>
      <c r="C2164" s="49" t="s">
        <v>841</v>
      </c>
      <c r="D2164" s="50"/>
      <c r="E2164" s="51">
        <v>1005000</v>
      </c>
      <c r="F2164" s="52">
        <f t="shared" si="130"/>
        <v>80400</v>
      </c>
      <c r="G2164" s="53">
        <f t="shared" si="128"/>
        <v>1085400</v>
      </c>
      <c r="H2164" s="54"/>
      <c r="I2164" s="55">
        <f t="shared" si="129"/>
        <v>1085400</v>
      </c>
      <c r="J2164" s="56"/>
      <c r="K2164" s="57"/>
    </row>
    <row r="2165" spans="1:11" ht="15.75" hidden="1" customHeight="1" x14ac:dyDescent="0.35">
      <c r="A2165" s="47" t="s">
        <v>2681</v>
      </c>
      <c r="B2165" s="48" t="s">
        <v>3577</v>
      </c>
      <c r="C2165" s="49" t="s">
        <v>842</v>
      </c>
      <c r="D2165" s="50"/>
      <c r="E2165" s="51">
        <v>595000</v>
      </c>
      <c r="F2165" s="52">
        <f t="shared" si="130"/>
        <v>47600</v>
      </c>
      <c r="G2165" s="53">
        <f t="shared" si="128"/>
        <v>642600</v>
      </c>
      <c r="H2165" s="54"/>
      <c r="I2165" s="55">
        <f t="shared" si="129"/>
        <v>642600</v>
      </c>
      <c r="J2165" s="56"/>
      <c r="K2165" s="57"/>
    </row>
    <row r="2166" spans="1:11" ht="15.75" hidden="1" customHeight="1" x14ac:dyDescent="0.35">
      <c r="A2166" s="47" t="s">
        <v>2704</v>
      </c>
      <c r="B2166" s="48" t="s">
        <v>3577</v>
      </c>
      <c r="C2166" s="49" t="s">
        <v>3544</v>
      </c>
      <c r="D2166" s="50"/>
      <c r="E2166" s="51">
        <v>2045000</v>
      </c>
      <c r="F2166" s="52">
        <f t="shared" si="130"/>
        <v>163600</v>
      </c>
      <c r="G2166" s="53">
        <f t="shared" si="128"/>
        <v>2208600</v>
      </c>
      <c r="H2166" s="54"/>
      <c r="I2166" s="55">
        <f t="shared" si="129"/>
        <v>2208600</v>
      </c>
      <c r="J2166" s="56"/>
      <c r="K2166" s="57"/>
    </row>
    <row r="2167" spans="1:11" ht="15.75" hidden="1" customHeight="1" x14ac:dyDescent="0.35">
      <c r="A2167" s="47" t="s">
        <v>2723</v>
      </c>
      <c r="B2167" s="48" t="s">
        <v>3577</v>
      </c>
      <c r="C2167" s="49" t="s">
        <v>3545</v>
      </c>
      <c r="D2167" s="50"/>
      <c r="E2167" s="51">
        <v>2045000</v>
      </c>
      <c r="F2167" s="52">
        <f t="shared" si="130"/>
        <v>163600</v>
      </c>
      <c r="G2167" s="53">
        <f t="shared" si="128"/>
        <v>2208600</v>
      </c>
      <c r="H2167" s="54"/>
      <c r="I2167" s="55">
        <f t="shared" si="129"/>
        <v>2208600</v>
      </c>
      <c r="J2167" s="56"/>
      <c r="K2167" s="57"/>
    </row>
    <row r="2168" spans="1:11" ht="15.75" hidden="1" customHeight="1" x14ac:dyDescent="0.35">
      <c r="A2168" s="47" t="s">
        <v>2713</v>
      </c>
      <c r="B2168" s="48" t="s">
        <v>3577</v>
      </c>
      <c r="C2168" s="49" t="s">
        <v>3546</v>
      </c>
      <c r="D2168" s="50"/>
      <c r="E2168" s="51">
        <v>1040000</v>
      </c>
      <c r="F2168" s="52">
        <f t="shared" si="130"/>
        <v>83200</v>
      </c>
      <c r="G2168" s="53">
        <f t="shared" si="128"/>
        <v>1123200</v>
      </c>
      <c r="H2168" s="54"/>
      <c r="I2168" s="55">
        <f t="shared" si="129"/>
        <v>1123200</v>
      </c>
      <c r="J2168" s="56"/>
      <c r="K2168" s="57"/>
    </row>
    <row r="2169" spans="1:11" ht="15.75" hidden="1" customHeight="1" x14ac:dyDescent="0.35">
      <c r="A2169" s="47" t="s">
        <v>2786</v>
      </c>
      <c r="B2169" s="48" t="s">
        <v>3577</v>
      </c>
      <c r="C2169" s="49" t="s">
        <v>3547</v>
      </c>
      <c r="D2169" s="50"/>
      <c r="E2169" s="51">
        <v>2045000</v>
      </c>
      <c r="F2169" s="52">
        <f t="shared" si="130"/>
        <v>163600</v>
      </c>
      <c r="G2169" s="53">
        <f t="shared" si="128"/>
        <v>2208600</v>
      </c>
      <c r="H2169" s="54"/>
      <c r="I2169" s="55">
        <f t="shared" si="129"/>
        <v>2208600</v>
      </c>
      <c r="J2169" s="56"/>
      <c r="K2169" s="57"/>
    </row>
    <row r="2170" spans="1:11" ht="15.75" hidden="1" customHeight="1" x14ac:dyDescent="0.35">
      <c r="A2170" s="47" t="s">
        <v>2743</v>
      </c>
      <c r="B2170" s="48" t="s">
        <v>3577</v>
      </c>
      <c r="C2170" s="49" t="s">
        <v>3548</v>
      </c>
      <c r="D2170" s="50"/>
      <c r="E2170" s="51">
        <v>1022500</v>
      </c>
      <c r="F2170" s="52">
        <f t="shared" si="130"/>
        <v>81800</v>
      </c>
      <c r="G2170" s="53">
        <f t="shared" si="128"/>
        <v>1104300</v>
      </c>
      <c r="H2170" s="54"/>
      <c r="I2170" s="55">
        <f t="shared" si="129"/>
        <v>1104300</v>
      </c>
      <c r="J2170" s="56"/>
      <c r="K2170" s="57"/>
    </row>
    <row r="2171" spans="1:11" ht="15.75" hidden="1" customHeight="1" x14ac:dyDescent="0.35">
      <c r="A2171" s="47" t="s">
        <v>2695</v>
      </c>
      <c r="B2171" s="48" t="s">
        <v>3577</v>
      </c>
      <c r="C2171" s="50" t="s">
        <v>845</v>
      </c>
      <c r="D2171" s="50"/>
      <c r="E2171" s="51">
        <v>5710000</v>
      </c>
      <c r="F2171" s="52">
        <f t="shared" si="130"/>
        <v>456800</v>
      </c>
      <c r="G2171" s="53">
        <f t="shared" si="128"/>
        <v>6166800</v>
      </c>
      <c r="H2171" s="54"/>
      <c r="I2171" s="55">
        <f t="shared" si="129"/>
        <v>6166800</v>
      </c>
      <c r="J2171" s="56"/>
      <c r="K2171" s="57"/>
    </row>
    <row r="2172" spans="1:11" ht="15.75" hidden="1" customHeight="1" x14ac:dyDescent="0.35">
      <c r="A2172" s="47" t="s">
        <v>2688</v>
      </c>
      <c r="B2172" s="48" t="s">
        <v>3577</v>
      </c>
      <c r="C2172" s="49" t="s">
        <v>3549</v>
      </c>
      <c r="D2172" s="50"/>
      <c r="E2172" s="51">
        <v>2010000</v>
      </c>
      <c r="F2172" s="52">
        <f t="shared" si="130"/>
        <v>160800</v>
      </c>
      <c r="G2172" s="53">
        <f t="shared" si="128"/>
        <v>2170800</v>
      </c>
      <c r="H2172" s="54"/>
      <c r="I2172" s="55">
        <f t="shared" si="129"/>
        <v>2170800</v>
      </c>
      <c r="J2172" s="56"/>
      <c r="K2172" s="57"/>
    </row>
    <row r="2173" spans="1:11" ht="15.75" hidden="1" customHeight="1" x14ac:dyDescent="0.35">
      <c r="A2173" s="47" t="s">
        <v>2728</v>
      </c>
      <c r="B2173" s="48" t="s">
        <v>3577</v>
      </c>
      <c r="C2173" s="49" t="s">
        <v>2336</v>
      </c>
      <c r="D2173" s="50"/>
      <c r="E2173" s="51">
        <v>810000</v>
      </c>
      <c r="F2173" s="52">
        <f t="shared" si="130"/>
        <v>64800</v>
      </c>
      <c r="G2173" s="53">
        <f t="shared" si="128"/>
        <v>874800</v>
      </c>
      <c r="H2173" s="54"/>
      <c r="I2173" s="55">
        <f t="shared" si="129"/>
        <v>874800</v>
      </c>
      <c r="J2173" s="56"/>
      <c r="K2173" s="57"/>
    </row>
    <row r="2174" spans="1:11" ht="15.75" hidden="1" customHeight="1" x14ac:dyDescent="0.35">
      <c r="A2174" s="47" t="s">
        <v>2711</v>
      </c>
      <c r="B2174" s="48" t="s">
        <v>3577</v>
      </c>
      <c r="C2174" s="49" t="s">
        <v>2337</v>
      </c>
      <c r="D2174" s="50"/>
      <c r="E2174" s="51">
        <v>1815000</v>
      </c>
      <c r="F2174" s="52">
        <f t="shared" si="130"/>
        <v>145200</v>
      </c>
      <c r="G2174" s="53">
        <f t="shared" si="128"/>
        <v>1960200</v>
      </c>
      <c r="H2174" s="54"/>
      <c r="I2174" s="55">
        <f t="shared" si="129"/>
        <v>1960200</v>
      </c>
      <c r="J2174" s="56"/>
      <c r="K2174" s="57"/>
    </row>
    <row r="2175" spans="1:11" ht="15.75" hidden="1" customHeight="1" x14ac:dyDescent="0.35">
      <c r="A2175" s="47" t="s">
        <v>2727</v>
      </c>
      <c r="B2175" s="48" t="s">
        <v>3577</v>
      </c>
      <c r="C2175" s="50" t="s">
        <v>3550</v>
      </c>
      <c r="D2175" s="50"/>
      <c r="E2175" s="51">
        <v>2010000</v>
      </c>
      <c r="F2175" s="52">
        <f t="shared" si="130"/>
        <v>160800</v>
      </c>
      <c r="G2175" s="53">
        <f t="shared" si="128"/>
        <v>2170800</v>
      </c>
      <c r="H2175" s="54"/>
      <c r="I2175" s="55">
        <f t="shared" si="129"/>
        <v>2170800</v>
      </c>
      <c r="J2175" s="56"/>
      <c r="K2175" s="57"/>
    </row>
    <row r="2176" spans="1:11" ht="15.75" hidden="1" customHeight="1" x14ac:dyDescent="0.35">
      <c r="A2176" s="47" t="s">
        <v>24</v>
      </c>
      <c r="B2176" s="48" t="s">
        <v>3577</v>
      </c>
      <c r="C2176" s="49" t="s">
        <v>3551</v>
      </c>
      <c r="D2176" s="50"/>
      <c r="E2176" s="51">
        <v>1410000</v>
      </c>
      <c r="F2176" s="52">
        <f t="shared" si="130"/>
        <v>112800</v>
      </c>
      <c r="G2176" s="53">
        <f t="shared" si="128"/>
        <v>1522800</v>
      </c>
      <c r="H2176" s="54"/>
      <c r="I2176" s="55">
        <f t="shared" si="129"/>
        <v>1522800</v>
      </c>
      <c r="J2176" s="56"/>
      <c r="K2176" s="57"/>
    </row>
    <row r="2177" spans="1:11" ht="15.75" hidden="1" customHeight="1" x14ac:dyDescent="0.35">
      <c r="A2177" s="47" t="s">
        <v>2687</v>
      </c>
      <c r="B2177" s="48" t="s">
        <v>3578</v>
      </c>
      <c r="C2177" s="49" t="s">
        <v>3552</v>
      </c>
      <c r="D2177" s="50"/>
      <c r="E2177" s="51">
        <v>1410000</v>
      </c>
      <c r="F2177" s="52">
        <f t="shared" si="130"/>
        <v>112800</v>
      </c>
      <c r="G2177" s="53">
        <f t="shared" si="128"/>
        <v>1522800</v>
      </c>
      <c r="H2177" s="54"/>
      <c r="I2177" s="55">
        <f t="shared" si="129"/>
        <v>1522800</v>
      </c>
      <c r="J2177" s="56"/>
      <c r="K2177" s="57"/>
    </row>
    <row r="2178" spans="1:11" ht="15.75" hidden="1" customHeight="1" x14ac:dyDescent="0.35">
      <c r="A2178" s="47" t="s">
        <v>2739</v>
      </c>
      <c r="B2178" s="48" t="s">
        <v>3578</v>
      </c>
      <c r="C2178" s="49" t="s">
        <v>3553</v>
      </c>
      <c r="D2178" s="50"/>
      <c r="E2178" s="51">
        <v>520000</v>
      </c>
      <c r="F2178" s="52">
        <f t="shared" si="130"/>
        <v>41600</v>
      </c>
      <c r="G2178" s="53">
        <f t="shared" si="128"/>
        <v>561600</v>
      </c>
      <c r="H2178" s="54"/>
      <c r="I2178" s="55">
        <f t="shared" si="129"/>
        <v>561600</v>
      </c>
      <c r="J2178" s="56"/>
      <c r="K2178" s="57"/>
    </row>
    <row r="2179" spans="1:11" ht="15.75" hidden="1" customHeight="1" x14ac:dyDescent="0.35">
      <c r="A2179" s="47" t="s">
        <v>3049</v>
      </c>
      <c r="B2179" s="48" t="s">
        <v>3578</v>
      </c>
      <c r="C2179" s="49" t="s">
        <v>3554</v>
      </c>
      <c r="D2179" s="50"/>
      <c r="E2179" s="51">
        <v>1022500</v>
      </c>
      <c r="F2179" s="52">
        <f t="shared" si="130"/>
        <v>81800</v>
      </c>
      <c r="G2179" s="53">
        <f t="shared" si="128"/>
        <v>1104300</v>
      </c>
      <c r="H2179" s="54"/>
      <c r="I2179" s="55">
        <f t="shared" si="129"/>
        <v>1104300</v>
      </c>
      <c r="J2179" s="56"/>
      <c r="K2179" s="57"/>
    </row>
    <row r="2180" spans="1:11" ht="15.75" hidden="1" customHeight="1" x14ac:dyDescent="0.35">
      <c r="A2180" s="47" t="s">
        <v>2693</v>
      </c>
      <c r="B2180" s="48" t="s">
        <v>3578</v>
      </c>
      <c r="C2180" s="49" t="s">
        <v>3555</v>
      </c>
      <c r="D2180" s="50"/>
      <c r="E2180" s="51">
        <v>1040000</v>
      </c>
      <c r="F2180" s="52">
        <f t="shared" si="130"/>
        <v>83200</v>
      </c>
      <c r="G2180" s="53">
        <f t="shared" si="128"/>
        <v>1123200</v>
      </c>
      <c r="H2180" s="54"/>
      <c r="I2180" s="55">
        <f t="shared" si="129"/>
        <v>1123200</v>
      </c>
      <c r="J2180" s="56"/>
      <c r="K2180" s="57"/>
    </row>
    <row r="2181" spans="1:11" ht="15.75" hidden="1" customHeight="1" x14ac:dyDescent="0.35">
      <c r="A2181" s="47" t="s">
        <v>2716</v>
      </c>
      <c r="B2181" s="48" t="s">
        <v>3578</v>
      </c>
      <c r="C2181" s="49" t="s">
        <v>3556</v>
      </c>
      <c r="D2181" s="50"/>
      <c r="E2181" s="51">
        <v>1410000</v>
      </c>
      <c r="F2181" s="52">
        <f t="shared" si="130"/>
        <v>112800</v>
      </c>
      <c r="G2181" s="53">
        <f t="shared" si="128"/>
        <v>1522800</v>
      </c>
      <c r="H2181" s="54"/>
      <c r="I2181" s="55">
        <f t="shared" si="129"/>
        <v>1522800</v>
      </c>
      <c r="J2181" s="56"/>
      <c r="K2181" s="57"/>
    </row>
    <row r="2182" spans="1:11" ht="15.75" hidden="1" customHeight="1" x14ac:dyDescent="0.35">
      <c r="A2182" s="47" t="s">
        <v>2683</v>
      </c>
      <c r="B2182" s="48" t="s">
        <v>3578</v>
      </c>
      <c r="C2182" s="49" t="s">
        <v>3557</v>
      </c>
      <c r="D2182" s="50"/>
      <c r="E2182" s="51">
        <v>1815000</v>
      </c>
      <c r="F2182" s="52">
        <f t="shared" si="130"/>
        <v>145200</v>
      </c>
      <c r="G2182" s="53">
        <f t="shared" si="128"/>
        <v>1960200</v>
      </c>
      <c r="H2182" s="54"/>
      <c r="I2182" s="55">
        <f t="shared" si="129"/>
        <v>1960200</v>
      </c>
      <c r="J2182" s="56"/>
      <c r="K2182" s="57"/>
    </row>
    <row r="2183" spans="1:11" ht="15.75" hidden="1" customHeight="1" x14ac:dyDescent="0.35">
      <c r="A2183" s="47" t="s">
        <v>2786</v>
      </c>
      <c r="B2183" s="48" t="s">
        <v>3578</v>
      </c>
      <c r="C2183" s="49" t="s">
        <v>3558</v>
      </c>
      <c r="D2183" s="50"/>
      <c r="E2183" s="51">
        <v>2855000</v>
      </c>
      <c r="F2183" s="52">
        <f t="shared" si="130"/>
        <v>228400</v>
      </c>
      <c r="G2183" s="53">
        <f t="shared" si="128"/>
        <v>3083400</v>
      </c>
      <c r="H2183" s="54"/>
      <c r="I2183" s="55">
        <f t="shared" si="129"/>
        <v>3083400</v>
      </c>
      <c r="J2183" s="56"/>
      <c r="K2183" s="57"/>
    </row>
    <row r="2184" spans="1:11" ht="15.75" hidden="1" customHeight="1" x14ac:dyDescent="0.35">
      <c r="A2184" s="47" t="s">
        <v>2698</v>
      </c>
      <c r="B2184" s="48" t="s">
        <v>3578</v>
      </c>
      <c r="C2184" s="49" t="s">
        <v>3559</v>
      </c>
      <c r="D2184" s="50"/>
      <c r="E2184" s="51">
        <v>810000</v>
      </c>
      <c r="F2184" s="52">
        <f t="shared" si="130"/>
        <v>64800</v>
      </c>
      <c r="G2184" s="53">
        <f t="shared" si="128"/>
        <v>874800</v>
      </c>
      <c r="H2184" s="54"/>
      <c r="I2184" s="55">
        <f t="shared" si="129"/>
        <v>874800</v>
      </c>
      <c r="J2184" s="56"/>
      <c r="K2184" s="57"/>
    </row>
    <row r="2185" spans="1:11" ht="15.75" hidden="1" customHeight="1" x14ac:dyDescent="0.35">
      <c r="A2185" s="47" t="s">
        <v>2836</v>
      </c>
      <c r="B2185" s="48" t="s">
        <v>3578</v>
      </c>
      <c r="C2185" s="49" t="s">
        <v>3560</v>
      </c>
      <c r="D2185" s="50"/>
      <c r="E2185" s="51">
        <v>2045000</v>
      </c>
      <c r="F2185" s="52">
        <f t="shared" si="130"/>
        <v>163600</v>
      </c>
      <c r="G2185" s="53">
        <f t="shared" si="128"/>
        <v>2208600</v>
      </c>
      <c r="H2185" s="54"/>
      <c r="I2185" s="55">
        <f t="shared" si="129"/>
        <v>2208600</v>
      </c>
      <c r="J2185" s="56"/>
      <c r="K2185" s="57"/>
    </row>
    <row r="2186" spans="1:11" ht="15.75" hidden="1" customHeight="1" x14ac:dyDescent="0.35">
      <c r="A2186" s="47" t="s">
        <v>2729</v>
      </c>
      <c r="B2186" s="48" t="s">
        <v>3578</v>
      </c>
      <c r="C2186" s="49" t="s">
        <v>3561</v>
      </c>
      <c r="D2186" s="50"/>
      <c r="E2186" s="51">
        <v>1040000</v>
      </c>
      <c r="F2186" s="52">
        <f t="shared" si="130"/>
        <v>83200</v>
      </c>
      <c r="G2186" s="53">
        <f t="shared" si="128"/>
        <v>1123200</v>
      </c>
      <c r="H2186" s="54"/>
      <c r="I2186" s="55">
        <f t="shared" si="129"/>
        <v>1123200</v>
      </c>
      <c r="J2186" s="56"/>
      <c r="K2186" s="57"/>
    </row>
    <row r="2187" spans="1:11" ht="15.75" hidden="1" customHeight="1" x14ac:dyDescent="0.35">
      <c r="A2187" s="47" t="s">
        <v>2733</v>
      </c>
      <c r="B2187" s="48" t="s">
        <v>3600</v>
      </c>
      <c r="C2187" s="50" t="s">
        <v>3581</v>
      </c>
      <c r="D2187" s="50"/>
      <c r="E2187" s="51">
        <v>4865000</v>
      </c>
      <c r="F2187" s="52">
        <f t="shared" si="130"/>
        <v>389200</v>
      </c>
      <c r="G2187" s="53">
        <f t="shared" si="128"/>
        <v>5254200</v>
      </c>
      <c r="H2187" s="54"/>
      <c r="I2187" s="55">
        <f t="shared" si="129"/>
        <v>5254200</v>
      </c>
      <c r="J2187" s="56"/>
      <c r="K2187" s="57"/>
    </row>
    <row r="2188" spans="1:11" ht="15.75" hidden="1" customHeight="1" x14ac:dyDescent="0.35">
      <c r="A2188" s="47" t="s">
        <v>2700</v>
      </c>
      <c r="B2188" s="48" t="s">
        <v>3600</v>
      </c>
      <c r="C2188" s="49" t="s">
        <v>3582</v>
      </c>
      <c r="D2188" s="50"/>
      <c r="E2188" s="51">
        <v>1005000</v>
      </c>
      <c r="F2188" s="52">
        <f t="shared" si="130"/>
        <v>80400</v>
      </c>
      <c r="G2188" s="53">
        <f t="shared" si="128"/>
        <v>1085400</v>
      </c>
      <c r="H2188" s="54"/>
      <c r="I2188" s="55">
        <f t="shared" si="129"/>
        <v>1085400</v>
      </c>
      <c r="J2188" s="56"/>
      <c r="K2188" s="57"/>
    </row>
    <row r="2189" spans="1:11" ht="15.75" hidden="1" customHeight="1" x14ac:dyDescent="0.35">
      <c r="A2189" s="47" t="s">
        <v>2694</v>
      </c>
      <c r="B2189" s="48" t="s">
        <v>3600</v>
      </c>
      <c r="C2189" s="49" t="s">
        <v>3583</v>
      </c>
      <c r="D2189" s="50"/>
      <c r="E2189" s="51">
        <v>1005000</v>
      </c>
      <c r="F2189" s="52">
        <f t="shared" si="130"/>
        <v>80400</v>
      </c>
      <c r="G2189" s="53">
        <f t="shared" si="128"/>
        <v>1085400</v>
      </c>
      <c r="H2189" s="54"/>
      <c r="I2189" s="55">
        <f t="shared" si="129"/>
        <v>1085400</v>
      </c>
      <c r="J2189" s="56"/>
      <c r="K2189" s="57"/>
    </row>
    <row r="2190" spans="1:11" ht="15.75" hidden="1" customHeight="1" x14ac:dyDescent="0.35">
      <c r="A2190" s="47" t="s">
        <v>2741</v>
      </c>
      <c r="B2190" s="48" t="s">
        <v>3600</v>
      </c>
      <c r="C2190" s="49" t="s">
        <v>3584</v>
      </c>
      <c r="D2190" s="50"/>
      <c r="E2190" s="51">
        <v>502500</v>
      </c>
      <c r="F2190" s="52">
        <f t="shared" si="130"/>
        <v>40200</v>
      </c>
      <c r="G2190" s="53">
        <f t="shared" si="128"/>
        <v>542700</v>
      </c>
      <c r="H2190" s="54"/>
      <c r="I2190" s="55">
        <f t="shared" si="129"/>
        <v>542700</v>
      </c>
      <c r="J2190" s="56"/>
      <c r="K2190" s="57"/>
    </row>
    <row r="2191" spans="1:11" ht="15.75" hidden="1" customHeight="1" x14ac:dyDescent="0.35">
      <c r="A2191" s="47" t="s">
        <v>308</v>
      </c>
      <c r="B2191" s="48" t="s">
        <v>3600</v>
      </c>
      <c r="C2191" s="49" t="s">
        <v>2352</v>
      </c>
      <c r="D2191" s="50"/>
      <c r="E2191" s="51">
        <v>722500</v>
      </c>
      <c r="F2191" s="52">
        <f t="shared" si="130"/>
        <v>57800</v>
      </c>
      <c r="G2191" s="53">
        <f t="shared" si="128"/>
        <v>780300</v>
      </c>
      <c r="H2191" s="54"/>
      <c r="I2191" s="55">
        <f t="shared" si="129"/>
        <v>780300</v>
      </c>
      <c r="J2191" s="56"/>
      <c r="K2191" s="57"/>
    </row>
    <row r="2192" spans="1:11" ht="15.75" hidden="1" customHeight="1" x14ac:dyDescent="0.35">
      <c r="A2192" s="47" t="s">
        <v>3018</v>
      </c>
      <c r="B2192" s="48" t="s">
        <v>3600</v>
      </c>
      <c r="C2192" s="49" t="s">
        <v>3585</v>
      </c>
      <c r="D2192" s="50"/>
      <c r="E2192" s="51">
        <v>1084000</v>
      </c>
      <c r="F2192" s="52">
        <f t="shared" si="130"/>
        <v>86720</v>
      </c>
      <c r="G2192" s="53">
        <f t="shared" si="128"/>
        <v>1170720</v>
      </c>
      <c r="H2192" s="54"/>
      <c r="I2192" s="55">
        <f t="shared" si="129"/>
        <v>1170720</v>
      </c>
      <c r="J2192" s="56"/>
      <c r="K2192" s="57"/>
    </row>
    <row r="2193" spans="1:11" ht="15.75" hidden="1" customHeight="1" x14ac:dyDescent="0.35">
      <c r="A2193" s="47" t="s">
        <v>24</v>
      </c>
      <c r="B2193" s="48" t="s">
        <v>3601</v>
      </c>
      <c r="C2193" s="49" t="s">
        <v>3586</v>
      </c>
      <c r="D2193" s="50"/>
      <c r="E2193" s="51">
        <v>2855000</v>
      </c>
      <c r="F2193" s="52">
        <f t="shared" si="130"/>
        <v>228400</v>
      </c>
      <c r="G2193" s="53">
        <f t="shared" si="128"/>
        <v>3083400</v>
      </c>
      <c r="H2193" s="54"/>
      <c r="I2193" s="55">
        <f t="shared" si="129"/>
        <v>3083400</v>
      </c>
      <c r="J2193" s="56"/>
      <c r="K2193" s="57"/>
    </row>
    <row r="2194" spans="1:11" ht="15.75" hidden="1" customHeight="1" x14ac:dyDescent="0.35">
      <c r="A2194" s="47" t="s">
        <v>3055</v>
      </c>
      <c r="B2194" s="48" t="s">
        <v>3601</v>
      </c>
      <c r="C2194" s="49" t="s">
        <v>367</v>
      </c>
      <c r="D2194" s="50"/>
      <c r="E2194" s="51">
        <v>2855000</v>
      </c>
      <c r="F2194" s="52">
        <f t="shared" si="130"/>
        <v>228400</v>
      </c>
      <c r="G2194" s="53">
        <f t="shared" si="128"/>
        <v>3083400</v>
      </c>
      <c r="H2194" s="54"/>
      <c r="I2194" s="55">
        <f t="shared" si="129"/>
        <v>3083400</v>
      </c>
      <c r="J2194" s="56"/>
      <c r="K2194" s="57"/>
    </row>
    <row r="2195" spans="1:11" ht="15.75" hidden="1" customHeight="1" x14ac:dyDescent="0.35">
      <c r="A2195" s="47" t="s">
        <v>2730</v>
      </c>
      <c r="B2195" s="48" t="s">
        <v>3601</v>
      </c>
      <c r="C2195" s="49" t="s">
        <v>3587</v>
      </c>
      <c r="D2195" s="50"/>
      <c r="E2195" s="51">
        <v>1620000</v>
      </c>
      <c r="F2195" s="52">
        <f t="shared" si="130"/>
        <v>129600</v>
      </c>
      <c r="G2195" s="53">
        <f t="shared" si="128"/>
        <v>1749600</v>
      </c>
      <c r="H2195" s="54"/>
      <c r="I2195" s="55">
        <f t="shared" si="129"/>
        <v>1749600</v>
      </c>
      <c r="J2195" s="56"/>
      <c r="K2195" s="57"/>
    </row>
    <row r="2196" spans="1:11" ht="15.75" hidden="1" customHeight="1" x14ac:dyDescent="0.35">
      <c r="A2196" s="47" t="s">
        <v>2690</v>
      </c>
      <c r="B2196" s="48" t="s">
        <v>3601</v>
      </c>
      <c r="C2196" s="49" t="s">
        <v>3588</v>
      </c>
      <c r="D2196" s="50"/>
      <c r="E2196" s="51">
        <v>2855000</v>
      </c>
      <c r="F2196" s="52">
        <f t="shared" si="130"/>
        <v>228400</v>
      </c>
      <c r="G2196" s="53">
        <f t="shared" si="128"/>
        <v>3083400</v>
      </c>
      <c r="H2196" s="54"/>
      <c r="I2196" s="55">
        <f t="shared" si="129"/>
        <v>3083400</v>
      </c>
      <c r="J2196" s="56"/>
      <c r="K2196" s="57"/>
    </row>
    <row r="2197" spans="1:11" ht="15.75" hidden="1" customHeight="1" x14ac:dyDescent="0.35">
      <c r="A2197" s="47" t="s">
        <v>2680</v>
      </c>
      <c r="B2197" s="48" t="s">
        <v>3601</v>
      </c>
      <c r="C2197" s="49" t="s">
        <v>3627</v>
      </c>
      <c r="D2197" s="50"/>
      <c r="E2197" s="51">
        <v>1005000</v>
      </c>
      <c r="F2197" s="52">
        <f t="shared" ref="F2197" si="131">+E2197*0.08</f>
        <v>80400</v>
      </c>
      <c r="G2197" s="53">
        <f t="shared" ref="G2197" si="132">E2197+F2197</f>
        <v>1085400</v>
      </c>
      <c r="H2197" s="54"/>
      <c r="I2197" s="55">
        <f t="shared" ref="I2197" si="133">G2197-H2197</f>
        <v>1085400</v>
      </c>
      <c r="J2197" s="56"/>
      <c r="K2197" s="57"/>
    </row>
    <row r="2198" spans="1:11" ht="15.75" hidden="1" customHeight="1" x14ac:dyDescent="0.35">
      <c r="A2198" s="47" t="s">
        <v>2688</v>
      </c>
      <c r="B2198" s="48" t="s">
        <v>3601</v>
      </c>
      <c r="C2198" s="49" t="s">
        <v>369</v>
      </c>
      <c r="D2198" s="50"/>
      <c r="E2198" s="51">
        <v>2890000</v>
      </c>
      <c r="F2198" s="52">
        <f t="shared" si="130"/>
        <v>231200</v>
      </c>
      <c r="G2198" s="53">
        <f t="shared" si="128"/>
        <v>3121200</v>
      </c>
      <c r="H2198" s="54"/>
      <c r="I2198" s="55">
        <f t="shared" si="129"/>
        <v>3121200</v>
      </c>
      <c r="J2198" s="56"/>
      <c r="K2198" s="57"/>
    </row>
    <row r="2199" spans="1:11" ht="15.75" hidden="1" customHeight="1" x14ac:dyDescent="0.35">
      <c r="A2199" s="47" t="s">
        <v>2681</v>
      </c>
      <c r="B2199" s="48" t="s">
        <v>3602</v>
      </c>
      <c r="C2199" s="49" t="s">
        <v>1383</v>
      </c>
      <c r="D2199" s="50"/>
      <c r="E2199" s="51">
        <v>1427500</v>
      </c>
      <c r="F2199" s="52">
        <f t="shared" si="130"/>
        <v>114200</v>
      </c>
      <c r="G2199" s="53">
        <f t="shared" si="128"/>
        <v>1541700</v>
      </c>
      <c r="H2199" s="54"/>
      <c r="I2199" s="55">
        <f t="shared" si="129"/>
        <v>1541700</v>
      </c>
      <c r="J2199" s="56"/>
      <c r="K2199" s="57"/>
    </row>
    <row r="2200" spans="1:11" ht="15.75" hidden="1" customHeight="1" x14ac:dyDescent="0.35">
      <c r="A2200" s="47" t="s">
        <v>2729</v>
      </c>
      <c r="B2200" s="48" t="s">
        <v>3602</v>
      </c>
      <c r="C2200" s="49" t="s">
        <v>3589</v>
      </c>
      <c r="D2200" s="50"/>
      <c r="E2200" s="51">
        <v>1040000</v>
      </c>
      <c r="F2200" s="52">
        <f t="shared" si="130"/>
        <v>83200</v>
      </c>
      <c r="G2200" s="53">
        <f t="shared" si="128"/>
        <v>1123200</v>
      </c>
      <c r="H2200" s="54"/>
      <c r="I2200" s="55">
        <f t="shared" si="129"/>
        <v>1123200</v>
      </c>
      <c r="J2200" s="56"/>
      <c r="K2200" s="57"/>
    </row>
    <row r="2201" spans="1:11" ht="15.75" hidden="1" customHeight="1" x14ac:dyDescent="0.35">
      <c r="A2201" s="47" t="s">
        <v>2732</v>
      </c>
      <c r="B2201" s="48" t="s">
        <v>3602</v>
      </c>
      <c r="C2201" s="49" t="s">
        <v>3590</v>
      </c>
      <c r="D2201" s="50"/>
      <c r="E2201" s="51">
        <v>762500</v>
      </c>
      <c r="F2201" s="52">
        <f t="shared" si="130"/>
        <v>61000</v>
      </c>
      <c r="G2201" s="53">
        <f t="shared" si="128"/>
        <v>823500</v>
      </c>
      <c r="H2201" s="54"/>
      <c r="I2201" s="55">
        <f t="shared" si="129"/>
        <v>823500</v>
      </c>
      <c r="J2201" s="56"/>
      <c r="K2201" s="57"/>
    </row>
    <row r="2202" spans="1:11" ht="15.75" hidden="1" customHeight="1" x14ac:dyDescent="0.35">
      <c r="A2202" s="47" t="s">
        <v>2679</v>
      </c>
      <c r="B2202" s="48" t="s">
        <v>3602</v>
      </c>
      <c r="C2202" s="49" t="s">
        <v>3591</v>
      </c>
      <c r="D2202" s="50"/>
      <c r="E2202" s="51">
        <v>1815000</v>
      </c>
      <c r="F2202" s="52">
        <f t="shared" si="130"/>
        <v>145200</v>
      </c>
      <c r="G2202" s="53">
        <f t="shared" si="128"/>
        <v>1960200</v>
      </c>
      <c r="H2202" s="54"/>
      <c r="I2202" s="55">
        <f t="shared" si="129"/>
        <v>1960200</v>
      </c>
      <c r="J2202" s="56"/>
      <c r="K2202" s="57"/>
    </row>
    <row r="2203" spans="1:11" ht="15.75" hidden="1" customHeight="1" x14ac:dyDescent="0.35">
      <c r="A2203" s="47" t="s">
        <v>2695</v>
      </c>
      <c r="B2203" s="48" t="s">
        <v>3603</v>
      </c>
      <c r="C2203" s="49" t="s">
        <v>3592</v>
      </c>
      <c r="D2203" s="50"/>
      <c r="E2203" s="51">
        <v>6135000</v>
      </c>
      <c r="F2203" s="52">
        <f t="shared" si="130"/>
        <v>490800</v>
      </c>
      <c r="G2203" s="53">
        <f t="shared" si="128"/>
        <v>6625800</v>
      </c>
      <c r="H2203" s="54"/>
      <c r="I2203" s="55">
        <f t="shared" si="129"/>
        <v>6625800</v>
      </c>
      <c r="J2203" s="56"/>
      <c r="K2203" s="57"/>
    </row>
    <row r="2204" spans="1:11" ht="15.75" hidden="1" customHeight="1" x14ac:dyDescent="0.35">
      <c r="A2204" s="47" t="s">
        <v>2683</v>
      </c>
      <c r="B2204" s="48" t="s">
        <v>3604</v>
      </c>
      <c r="C2204" s="49" t="s">
        <v>3593</v>
      </c>
      <c r="D2204" s="50"/>
      <c r="E2204" s="51">
        <v>2010000</v>
      </c>
      <c r="F2204" s="52">
        <f t="shared" si="130"/>
        <v>160800</v>
      </c>
      <c r="G2204" s="53">
        <f t="shared" si="128"/>
        <v>2170800</v>
      </c>
      <c r="H2204" s="54"/>
      <c r="I2204" s="55">
        <f t="shared" si="129"/>
        <v>2170800</v>
      </c>
      <c r="J2204" s="56"/>
      <c r="K2204" s="57"/>
    </row>
    <row r="2205" spans="1:11" ht="15.75" hidden="1" customHeight="1" x14ac:dyDescent="0.35">
      <c r="A2205" s="47" t="s">
        <v>2706</v>
      </c>
      <c r="B2205" s="48" t="s">
        <v>3604</v>
      </c>
      <c r="C2205" s="49" t="s">
        <v>3594</v>
      </c>
      <c r="D2205" s="50"/>
      <c r="E2205" s="51">
        <v>2045000</v>
      </c>
      <c r="F2205" s="52">
        <f t="shared" si="130"/>
        <v>163600</v>
      </c>
      <c r="G2205" s="53">
        <f t="shared" si="128"/>
        <v>2208600</v>
      </c>
      <c r="H2205" s="54"/>
      <c r="I2205" s="55">
        <f t="shared" si="129"/>
        <v>2208600</v>
      </c>
      <c r="J2205" s="56"/>
      <c r="K2205" s="57"/>
    </row>
    <row r="2206" spans="1:11" ht="15.75" hidden="1" customHeight="1" x14ac:dyDescent="0.35">
      <c r="A2206" s="47" t="s">
        <v>2718</v>
      </c>
      <c r="B2206" s="48" t="s">
        <v>3604</v>
      </c>
      <c r="C2206" s="49" t="s">
        <v>3595</v>
      </c>
      <c r="D2206" s="50"/>
      <c r="E2206" s="51">
        <v>2855000</v>
      </c>
      <c r="F2206" s="52">
        <f t="shared" si="130"/>
        <v>228400</v>
      </c>
      <c r="G2206" s="53">
        <f t="shared" si="128"/>
        <v>3083400</v>
      </c>
      <c r="H2206" s="54"/>
      <c r="I2206" s="55">
        <f t="shared" si="129"/>
        <v>3083400</v>
      </c>
      <c r="J2206" s="56"/>
      <c r="K2206" s="57"/>
    </row>
    <row r="2207" spans="1:11" ht="15.75" hidden="1" customHeight="1" x14ac:dyDescent="0.35">
      <c r="A2207" s="47" t="s">
        <v>2747</v>
      </c>
      <c r="B2207" s="48" t="s">
        <v>3604</v>
      </c>
      <c r="C2207" s="49" t="s">
        <v>3596</v>
      </c>
      <c r="D2207" s="50"/>
      <c r="E2207" s="51">
        <v>2045000</v>
      </c>
      <c r="F2207" s="52">
        <f t="shared" si="130"/>
        <v>163600</v>
      </c>
      <c r="G2207" s="53">
        <f t="shared" si="128"/>
        <v>2208600</v>
      </c>
      <c r="H2207" s="54"/>
      <c r="I2207" s="55">
        <f t="shared" si="129"/>
        <v>2208600</v>
      </c>
      <c r="J2207" s="56"/>
      <c r="K2207" s="57"/>
    </row>
    <row r="2208" spans="1:11" ht="15.75" hidden="1" customHeight="1" x14ac:dyDescent="0.35">
      <c r="A2208" s="47" t="s">
        <v>2699</v>
      </c>
      <c r="B2208" s="48" t="s">
        <v>3604</v>
      </c>
      <c r="C2208" s="49" t="s">
        <v>3597</v>
      </c>
      <c r="D2208" s="50"/>
      <c r="E2208" s="51">
        <v>1022500</v>
      </c>
      <c r="F2208" s="52">
        <f t="shared" si="130"/>
        <v>81800</v>
      </c>
      <c r="G2208" s="53">
        <f t="shared" si="128"/>
        <v>1104300</v>
      </c>
      <c r="H2208" s="54"/>
      <c r="I2208" s="55">
        <f t="shared" si="129"/>
        <v>1104300</v>
      </c>
      <c r="J2208" s="56"/>
      <c r="K2208" s="57"/>
    </row>
    <row r="2209" spans="1:11" ht="15" hidden="1" customHeight="1" x14ac:dyDescent="0.35">
      <c r="A2209" s="47" t="s">
        <v>2720</v>
      </c>
      <c r="B2209" s="48" t="s">
        <v>3604</v>
      </c>
      <c r="C2209" s="49" t="s">
        <v>3598</v>
      </c>
      <c r="D2209" s="50"/>
      <c r="E2209" s="51">
        <v>1005000</v>
      </c>
      <c r="F2209" s="52">
        <f t="shared" si="130"/>
        <v>80400</v>
      </c>
      <c r="G2209" s="54">
        <f t="shared" si="128"/>
        <v>1085400</v>
      </c>
      <c r="H2209" s="55"/>
      <c r="I2209" s="55">
        <f t="shared" si="129"/>
        <v>1085400</v>
      </c>
      <c r="J2209" s="57"/>
      <c r="K2209" s="57"/>
    </row>
    <row r="2210" spans="1:11" ht="15" hidden="1" customHeight="1" x14ac:dyDescent="0.35">
      <c r="A2210" s="47" t="s">
        <v>2685</v>
      </c>
      <c r="B2210" s="48" t="s">
        <v>3604</v>
      </c>
      <c r="C2210" s="49" t="s">
        <v>3599</v>
      </c>
      <c r="D2210" s="50"/>
      <c r="E2210" s="51">
        <v>1005000</v>
      </c>
      <c r="F2210" s="52">
        <f t="shared" si="130"/>
        <v>80400</v>
      </c>
      <c r="G2210" s="54">
        <f t="shared" si="128"/>
        <v>1085400</v>
      </c>
      <c r="H2210" s="55"/>
      <c r="I2210" s="55">
        <f t="shared" si="129"/>
        <v>1085400</v>
      </c>
      <c r="J2210" s="57"/>
      <c r="K2210" s="57"/>
    </row>
    <row r="2211" spans="1:11" ht="15" hidden="1" customHeight="1" x14ac:dyDescent="0.35">
      <c r="A2211" s="47" t="s">
        <v>2729</v>
      </c>
      <c r="B2211" s="48" t="s">
        <v>3604</v>
      </c>
      <c r="C2211" s="49" t="s">
        <v>2399</v>
      </c>
      <c r="D2211" s="50"/>
      <c r="E2211" s="51">
        <v>1410000</v>
      </c>
      <c r="F2211" s="52">
        <f t="shared" si="130"/>
        <v>112800</v>
      </c>
      <c r="G2211" s="54">
        <f t="shared" si="128"/>
        <v>1522800</v>
      </c>
      <c r="H2211" s="55"/>
      <c r="I2211" s="55">
        <f t="shared" si="129"/>
        <v>1522800</v>
      </c>
      <c r="J2211" s="57"/>
      <c r="K2211" s="57"/>
    </row>
    <row r="2212" spans="1:11" ht="15" hidden="1" customHeight="1" x14ac:dyDescent="0.35">
      <c r="A2212" s="47" t="s">
        <v>2740</v>
      </c>
      <c r="B2212" s="48" t="s">
        <v>3615</v>
      </c>
      <c r="C2212" s="49" t="s">
        <v>3605</v>
      </c>
      <c r="D2212" s="50"/>
      <c r="E2212" s="51">
        <v>1525000</v>
      </c>
      <c r="F2212" s="52">
        <f t="shared" si="130"/>
        <v>122000</v>
      </c>
      <c r="G2212" s="54">
        <f t="shared" si="128"/>
        <v>1647000</v>
      </c>
      <c r="H2212" s="55"/>
      <c r="I2212" s="55">
        <f t="shared" si="129"/>
        <v>1647000</v>
      </c>
      <c r="J2212" s="57"/>
      <c r="K2212" s="57"/>
    </row>
    <row r="2213" spans="1:11" ht="15" hidden="1" customHeight="1" x14ac:dyDescent="0.35">
      <c r="A2213" s="47" t="s">
        <v>2703</v>
      </c>
      <c r="B2213" s="48" t="s">
        <v>3615</v>
      </c>
      <c r="C2213" s="49" t="s">
        <v>3606</v>
      </c>
      <c r="D2213" s="50"/>
      <c r="E2213" s="51">
        <v>1832500</v>
      </c>
      <c r="F2213" s="52">
        <f t="shared" si="130"/>
        <v>146600</v>
      </c>
      <c r="G2213" s="54">
        <f t="shared" si="128"/>
        <v>1979100</v>
      </c>
      <c r="H2213" s="55"/>
      <c r="I2213" s="55">
        <f t="shared" si="129"/>
        <v>1979100</v>
      </c>
      <c r="J2213" s="57"/>
      <c r="K2213" s="57"/>
    </row>
    <row r="2214" spans="1:11" ht="15" hidden="1" customHeight="1" x14ac:dyDescent="0.35">
      <c r="A2214" s="47" t="s">
        <v>2732</v>
      </c>
      <c r="B2214" s="48" t="s">
        <v>3615</v>
      </c>
      <c r="C2214" s="49" t="s">
        <v>3607</v>
      </c>
      <c r="D2214" s="50"/>
      <c r="E2214" s="51">
        <v>1115000</v>
      </c>
      <c r="F2214" s="52">
        <f t="shared" si="130"/>
        <v>89200</v>
      </c>
      <c r="G2214" s="54">
        <f t="shared" si="128"/>
        <v>1204200</v>
      </c>
      <c r="H2214" s="55"/>
      <c r="I2214" s="55">
        <f t="shared" si="129"/>
        <v>1204200</v>
      </c>
      <c r="J2214" s="57"/>
      <c r="K2214" s="57"/>
    </row>
    <row r="2215" spans="1:11" ht="15" hidden="1" customHeight="1" x14ac:dyDescent="0.35">
      <c r="A2215" s="47" t="s">
        <v>3042</v>
      </c>
      <c r="B2215" s="48" t="s">
        <v>3615</v>
      </c>
      <c r="C2215" s="49" t="s">
        <v>3608</v>
      </c>
      <c r="D2215" s="50"/>
      <c r="E2215" s="51">
        <v>1930000</v>
      </c>
      <c r="F2215" s="52">
        <f t="shared" si="130"/>
        <v>154400</v>
      </c>
      <c r="G2215" s="54">
        <f t="shared" si="128"/>
        <v>2084400</v>
      </c>
      <c r="H2215" s="55"/>
      <c r="I2215" s="55">
        <f t="shared" si="129"/>
        <v>2084400</v>
      </c>
      <c r="J2215" s="57"/>
      <c r="K2215" s="57"/>
    </row>
    <row r="2216" spans="1:11" ht="15" hidden="1" customHeight="1" x14ac:dyDescent="0.35">
      <c r="A2216" s="47" t="s">
        <v>2741</v>
      </c>
      <c r="B2216" s="48" t="s">
        <v>3615</v>
      </c>
      <c r="C2216" s="49" t="s">
        <v>3609</v>
      </c>
      <c r="D2216" s="50"/>
      <c r="E2216" s="51">
        <v>705000</v>
      </c>
      <c r="F2216" s="52">
        <f t="shared" si="130"/>
        <v>56400</v>
      </c>
      <c r="G2216" s="54">
        <f t="shared" si="128"/>
        <v>761400</v>
      </c>
      <c r="H2216" s="55"/>
      <c r="I2216" s="55">
        <f t="shared" si="129"/>
        <v>761400</v>
      </c>
      <c r="J2216" s="57"/>
      <c r="K2216" s="57"/>
    </row>
    <row r="2217" spans="1:11" ht="15" hidden="1" customHeight="1" x14ac:dyDescent="0.35">
      <c r="A2217" s="47" t="s">
        <v>1414</v>
      </c>
      <c r="B2217" s="48" t="s">
        <v>3615</v>
      </c>
      <c r="C2217" s="49" t="s">
        <v>3610</v>
      </c>
      <c r="D2217" s="50"/>
      <c r="E2217" s="51">
        <v>1850000</v>
      </c>
      <c r="F2217" s="52">
        <f t="shared" si="130"/>
        <v>148000</v>
      </c>
      <c r="G2217" s="54">
        <f t="shared" si="128"/>
        <v>1998000</v>
      </c>
      <c r="H2217" s="55"/>
      <c r="I2217" s="55">
        <f t="shared" si="129"/>
        <v>1998000</v>
      </c>
      <c r="J2217" s="57"/>
      <c r="K2217" s="57"/>
    </row>
    <row r="2218" spans="1:11" ht="15" hidden="1" customHeight="1" x14ac:dyDescent="0.35">
      <c r="A2218" s="47" t="s">
        <v>770</v>
      </c>
      <c r="B2218" s="48" t="s">
        <v>3615</v>
      </c>
      <c r="C2218" s="49" t="s">
        <v>3611</v>
      </c>
      <c r="D2218" s="50"/>
      <c r="E2218" s="51">
        <v>2045000</v>
      </c>
      <c r="F2218" s="52">
        <f t="shared" si="130"/>
        <v>163600</v>
      </c>
      <c r="G2218" s="54">
        <f t="shared" si="128"/>
        <v>2208600</v>
      </c>
      <c r="H2218" s="55"/>
      <c r="I2218" s="55">
        <f t="shared" si="129"/>
        <v>2208600</v>
      </c>
      <c r="J2218" s="57"/>
      <c r="K2218" s="57"/>
    </row>
    <row r="2219" spans="1:11" ht="15" hidden="1" customHeight="1" x14ac:dyDescent="0.35">
      <c r="A2219" s="47" t="s">
        <v>2693</v>
      </c>
      <c r="B2219" s="48" t="s">
        <v>3616</v>
      </c>
      <c r="C2219" s="49" t="s">
        <v>3612</v>
      </c>
      <c r="D2219" s="50"/>
      <c r="E2219" s="51">
        <v>1005000</v>
      </c>
      <c r="F2219" s="52">
        <f t="shared" si="130"/>
        <v>80400</v>
      </c>
      <c r="G2219" s="54">
        <f t="shared" si="128"/>
        <v>1085400</v>
      </c>
      <c r="H2219" s="55"/>
      <c r="I2219" s="55">
        <f t="shared" si="129"/>
        <v>1085400</v>
      </c>
      <c r="J2219" s="57"/>
      <c r="K2219" s="57"/>
    </row>
    <row r="2220" spans="1:11" ht="15" hidden="1" customHeight="1" x14ac:dyDescent="0.35">
      <c r="A2220" s="47" t="s">
        <v>2688</v>
      </c>
      <c r="B2220" s="48" t="s">
        <v>3616</v>
      </c>
      <c r="C2220" s="49" t="s">
        <v>3613</v>
      </c>
      <c r="D2220" s="50"/>
      <c r="E2220" s="51">
        <v>3015000</v>
      </c>
      <c r="F2220" s="52">
        <f t="shared" si="130"/>
        <v>241200</v>
      </c>
      <c r="G2220" s="54">
        <f t="shared" si="128"/>
        <v>3256200</v>
      </c>
      <c r="H2220" s="55"/>
      <c r="I2220" s="55">
        <f t="shared" si="129"/>
        <v>3256200</v>
      </c>
      <c r="J2220" s="57"/>
      <c r="K2220" s="57"/>
    </row>
    <row r="2221" spans="1:11" ht="15" hidden="1" customHeight="1" x14ac:dyDescent="0.35">
      <c r="A2221" s="47" t="s">
        <v>2735</v>
      </c>
      <c r="B2221" s="48" t="s">
        <v>3616</v>
      </c>
      <c r="C2221" s="49" t="s">
        <v>3614</v>
      </c>
      <c r="D2221" s="50"/>
      <c r="E2221" s="51">
        <v>1040000</v>
      </c>
      <c r="F2221" s="52">
        <f t="shared" si="130"/>
        <v>83200</v>
      </c>
      <c r="G2221" s="54">
        <f t="shared" si="128"/>
        <v>1123200</v>
      </c>
      <c r="H2221" s="55"/>
      <c r="I2221" s="55">
        <f t="shared" si="129"/>
        <v>1123200</v>
      </c>
      <c r="J2221" s="57"/>
      <c r="K2221" s="57"/>
    </row>
    <row r="2222" spans="1:11" ht="15" hidden="1" customHeight="1" x14ac:dyDescent="0.35">
      <c r="A2222" s="47" t="s">
        <v>2688</v>
      </c>
      <c r="B2222" s="48">
        <v>46167</v>
      </c>
      <c r="C2222" s="49" t="s">
        <v>3619</v>
      </c>
      <c r="D2222" s="50"/>
      <c r="E2222" s="51">
        <v>2080000</v>
      </c>
      <c r="F2222" s="52">
        <f t="shared" si="130"/>
        <v>166400</v>
      </c>
      <c r="G2222" s="54">
        <f t="shared" si="128"/>
        <v>2246400</v>
      </c>
      <c r="H2222" s="55"/>
      <c r="I2222" s="55">
        <f t="shared" si="129"/>
        <v>2246400</v>
      </c>
      <c r="J2222" s="57"/>
      <c r="K2222" s="57"/>
    </row>
    <row r="2223" spans="1:11" ht="15" hidden="1" customHeight="1" x14ac:dyDescent="0.35">
      <c r="A2223" s="47" t="s">
        <v>3622</v>
      </c>
      <c r="B2223" s="48">
        <v>46167</v>
      </c>
      <c r="C2223" s="49" t="s">
        <v>3620</v>
      </c>
      <c r="D2223" s="50"/>
      <c r="E2223" s="51">
        <v>1815000</v>
      </c>
      <c r="F2223" s="52">
        <f t="shared" si="130"/>
        <v>145200</v>
      </c>
      <c r="G2223" s="54">
        <f t="shared" si="128"/>
        <v>1960200</v>
      </c>
      <c r="H2223" s="55"/>
      <c r="I2223" s="55">
        <f t="shared" si="129"/>
        <v>1960200</v>
      </c>
      <c r="J2223" s="57"/>
      <c r="K2223" s="57"/>
    </row>
    <row r="2224" spans="1:11" ht="15" hidden="1" customHeight="1" x14ac:dyDescent="0.35">
      <c r="A2224" s="47" t="s">
        <v>3623</v>
      </c>
      <c r="B2224" s="48">
        <v>46167</v>
      </c>
      <c r="C2224" s="49" t="s">
        <v>3621</v>
      </c>
      <c r="D2224" s="50"/>
      <c r="E2224" s="51">
        <v>2855000</v>
      </c>
      <c r="F2224" s="52">
        <f t="shared" si="130"/>
        <v>228400</v>
      </c>
      <c r="G2224" s="54">
        <f t="shared" si="128"/>
        <v>3083400</v>
      </c>
      <c r="H2224" s="55"/>
      <c r="I2224" s="55">
        <f t="shared" si="129"/>
        <v>3083400</v>
      </c>
      <c r="J2224" s="57"/>
      <c r="K2224" s="57"/>
    </row>
    <row r="2225" spans="1:11" ht="15" hidden="1" customHeight="1" x14ac:dyDescent="0.35">
      <c r="A2225" s="47" t="s">
        <v>55</v>
      </c>
      <c r="B2225" s="48">
        <v>46168</v>
      </c>
      <c r="C2225" s="49" t="s">
        <v>3624</v>
      </c>
      <c r="D2225" s="50"/>
      <c r="E2225" s="51">
        <v>1225000</v>
      </c>
      <c r="F2225" s="52">
        <f t="shared" si="130"/>
        <v>98000</v>
      </c>
      <c r="G2225" s="54">
        <f t="shared" si="128"/>
        <v>1323000</v>
      </c>
      <c r="H2225" s="55"/>
      <c r="I2225" s="55">
        <f t="shared" si="129"/>
        <v>1323000</v>
      </c>
      <c r="J2225" s="57"/>
      <c r="K2225" s="57"/>
    </row>
    <row r="2226" spans="1:11" ht="15" hidden="1" customHeight="1" x14ac:dyDescent="0.35">
      <c r="A2226" s="47" t="s">
        <v>3626</v>
      </c>
      <c r="B2226" s="48">
        <v>46168</v>
      </c>
      <c r="C2226" s="49" t="s">
        <v>3625</v>
      </c>
      <c r="D2226" s="50"/>
      <c r="E2226" s="51">
        <v>1005000</v>
      </c>
      <c r="F2226" s="52">
        <f t="shared" si="130"/>
        <v>80400</v>
      </c>
      <c r="G2226" s="54">
        <f t="shared" ref="G2226:G2289" si="134">E2226+F2226</f>
        <v>1085400</v>
      </c>
      <c r="H2226" s="55"/>
      <c r="I2226" s="55">
        <f t="shared" si="129"/>
        <v>1085400</v>
      </c>
      <c r="J2226" s="57"/>
      <c r="K2226" s="57"/>
    </row>
    <row r="2227" spans="1:11" ht="15" hidden="1" customHeight="1" x14ac:dyDescent="0.35">
      <c r="A2227" s="47" t="s">
        <v>2713</v>
      </c>
      <c r="B2227" s="48" t="s">
        <v>3690</v>
      </c>
      <c r="C2227" s="49" t="s">
        <v>3628</v>
      </c>
      <c r="D2227" s="50"/>
      <c r="E2227" s="51">
        <v>1005000</v>
      </c>
      <c r="F2227" s="52">
        <f t="shared" si="130"/>
        <v>80400</v>
      </c>
      <c r="G2227" s="54">
        <f t="shared" si="134"/>
        <v>1085400</v>
      </c>
      <c r="H2227" s="55"/>
      <c r="I2227" s="55">
        <f t="shared" ref="I2227:I2290" si="135">G2227-H2227</f>
        <v>1085400</v>
      </c>
      <c r="J2227" s="57"/>
      <c r="K2227" s="57"/>
    </row>
    <row r="2228" spans="1:11" ht="15" hidden="1" customHeight="1" x14ac:dyDescent="0.35">
      <c r="A2228" s="47" t="s">
        <v>2724</v>
      </c>
      <c r="B2228" s="48" t="s">
        <v>3690</v>
      </c>
      <c r="C2228" s="49" t="s">
        <v>1633</v>
      </c>
      <c r="D2228" s="50"/>
      <c r="E2228" s="51">
        <v>1022500</v>
      </c>
      <c r="F2228" s="52">
        <f t="shared" ref="F2228:F2291" si="136">+E2228*0.08</f>
        <v>81800</v>
      </c>
      <c r="G2228" s="54">
        <f t="shared" si="134"/>
        <v>1104300</v>
      </c>
      <c r="H2228" s="55"/>
      <c r="I2228" s="55">
        <f t="shared" si="135"/>
        <v>1104300</v>
      </c>
      <c r="J2228" s="57"/>
      <c r="K2228" s="57"/>
    </row>
    <row r="2229" spans="1:11" ht="15" hidden="1" customHeight="1" x14ac:dyDescent="0.35">
      <c r="A2229" s="47" t="s">
        <v>2836</v>
      </c>
      <c r="B2229" s="48" t="s">
        <v>3690</v>
      </c>
      <c r="C2229" s="49" t="s">
        <v>3629</v>
      </c>
      <c r="D2229" s="50"/>
      <c r="E2229" s="51">
        <v>1815000</v>
      </c>
      <c r="F2229" s="52">
        <f t="shared" si="136"/>
        <v>145200</v>
      </c>
      <c r="G2229" s="54">
        <f t="shared" si="134"/>
        <v>1960200</v>
      </c>
      <c r="H2229" s="55"/>
      <c r="I2229" s="55">
        <f t="shared" si="135"/>
        <v>1960200</v>
      </c>
      <c r="J2229" s="57"/>
      <c r="K2229" s="57"/>
    </row>
    <row r="2230" spans="1:11" ht="15" hidden="1" customHeight="1" x14ac:dyDescent="0.35">
      <c r="A2230" s="47" t="s">
        <v>2732</v>
      </c>
      <c r="B2230" s="48" t="s">
        <v>3690</v>
      </c>
      <c r="C2230" s="49" t="s">
        <v>3630</v>
      </c>
      <c r="D2230" s="50"/>
      <c r="E2230" s="51">
        <v>405000</v>
      </c>
      <c r="F2230" s="52">
        <f t="shared" si="136"/>
        <v>32400</v>
      </c>
      <c r="G2230" s="54">
        <f t="shared" si="134"/>
        <v>437400</v>
      </c>
      <c r="H2230" s="55"/>
      <c r="I2230" s="55">
        <f t="shared" si="135"/>
        <v>437400</v>
      </c>
      <c r="J2230" s="57"/>
      <c r="K2230" s="57"/>
    </row>
    <row r="2231" spans="1:11" ht="15" hidden="1" customHeight="1" x14ac:dyDescent="0.35">
      <c r="A2231" s="47" t="s">
        <v>2694</v>
      </c>
      <c r="B2231" s="48" t="s">
        <v>3690</v>
      </c>
      <c r="C2231" s="49" t="s">
        <v>3631</v>
      </c>
      <c r="D2231" s="50"/>
      <c r="E2231" s="51">
        <v>2450000</v>
      </c>
      <c r="F2231" s="52">
        <f t="shared" si="136"/>
        <v>196000</v>
      </c>
      <c r="G2231" s="54">
        <f t="shared" si="134"/>
        <v>2646000</v>
      </c>
      <c r="H2231" s="55"/>
      <c r="I2231" s="55">
        <f t="shared" si="135"/>
        <v>2646000</v>
      </c>
      <c r="J2231" s="57"/>
      <c r="K2231" s="57"/>
    </row>
    <row r="2232" spans="1:11" ht="15" hidden="1" customHeight="1" x14ac:dyDescent="0.35">
      <c r="A2232" s="47" t="s">
        <v>2738</v>
      </c>
      <c r="B2232" s="48" t="s">
        <v>3690</v>
      </c>
      <c r="C2232" s="50" t="s">
        <v>3632</v>
      </c>
      <c r="D2232" s="50"/>
      <c r="E2232" s="51">
        <v>2045000</v>
      </c>
      <c r="F2232" s="52">
        <f t="shared" si="136"/>
        <v>163600</v>
      </c>
      <c r="G2232" s="54">
        <f t="shared" si="134"/>
        <v>2208600</v>
      </c>
      <c r="H2232" s="55"/>
      <c r="I2232" s="55">
        <f t="shared" si="135"/>
        <v>2208600</v>
      </c>
      <c r="J2232" s="57"/>
      <c r="K2232" s="57"/>
    </row>
    <row r="2233" spans="1:11" ht="15" hidden="1" customHeight="1" x14ac:dyDescent="0.35">
      <c r="A2233" s="47" t="s">
        <v>2695</v>
      </c>
      <c r="B2233" s="48" t="s">
        <v>3690</v>
      </c>
      <c r="C2233" s="49" t="s">
        <v>3633</v>
      </c>
      <c r="D2233" s="50"/>
      <c r="E2233" s="51">
        <v>4635000</v>
      </c>
      <c r="F2233" s="52">
        <f t="shared" si="136"/>
        <v>370800</v>
      </c>
      <c r="G2233" s="54">
        <f t="shared" si="134"/>
        <v>5005800</v>
      </c>
      <c r="H2233" s="55"/>
      <c r="I2233" s="55">
        <f t="shared" si="135"/>
        <v>5005800</v>
      </c>
      <c r="J2233" s="57"/>
      <c r="K2233" s="57"/>
    </row>
    <row r="2234" spans="1:11" ht="15" hidden="1" customHeight="1" x14ac:dyDescent="0.35">
      <c r="A2234" s="47" t="s">
        <v>2687</v>
      </c>
      <c r="B2234" s="48" t="s">
        <v>3691</v>
      </c>
      <c r="C2234" s="49" t="s">
        <v>3634</v>
      </c>
      <c r="D2234" s="50"/>
      <c r="E2234" s="51">
        <v>810000</v>
      </c>
      <c r="F2234" s="52">
        <f t="shared" si="136"/>
        <v>64800</v>
      </c>
      <c r="G2234" s="54">
        <f t="shared" si="134"/>
        <v>874800</v>
      </c>
      <c r="H2234" s="55"/>
      <c r="I2234" s="55">
        <f t="shared" si="135"/>
        <v>874800</v>
      </c>
      <c r="J2234" s="57"/>
      <c r="K2234" s="57"/>
    </row>
    <row r="2235" spans="1:11" ht="15" hidden="1" customHeight="1" x14ac:dyDescent="0.35">
      <c r="A2235" s="47" t="s">
        <v>2685</v>
      </c>
      <c r="B2235" s="48" t="s">
        <v>3691</v>
      </c>
      <c r="C2235" s="49" t="s">
        <v>3635</v>
      </c>
      <c r="D2235" s="50"/>
      <c r="E2235" s="51">
        <v>925000</v>
      </c>
      <c r="F2235" s="52">
        <f t="shared" si="136"/>
        <v>74000</v>
      </c>
      <c r="G2235" s="54">
        <f t="shared" si="134"/>
        <v>999000</v>
      </c>
      <c r="H2235" s="55"/>
      <c r="I2235" s="55">
        <f t="shared" si="135"/>
        <v>999000</v>
      </c>
      <c r="J2235" s="57"/>
      <c r="K2235" s="57"/>
    </row>
    <row r="2236" spans="1:11" ht="15" hidden="1" customHeight="1" x14ac:dyDescent="0.35">
      <c r="A2236" s="47" t="s">
        <v>2691</v>
      </c>
      <c r="B2236" s="48" t="s">
        <v>3692</v>
      </c>
      <c r="C2236" s="49" t="s">
        <v>3636</v>
      </c>
      <c r="D2236" s="50"/>
      <c r="E2236" s="51">
        <v>810000</v>
      </c>
      <c r="F2236" s="52">
        <f t="shared" si="136"/>
        <v>64800</v>
      </c>
      <c r="G2236" s="54">
        <f t="shared" si="134"/>
        <v>874800</v>
      </c>
      <c r="H2236" s="55"/>
      <c r="I2236" s="55">
        <f t="shared" si="135"/>
        <v>874800</v>
      </c>
      <c r="J2236" s="57"/>
      <c r="K2236" s="57"/>
    </row>
    <row r="2237" spans="1:11" ht="15" hidden="1" customHeight="1" x14ac:dyDescent="0.35">
      <c r="A2237" s="47" t="s">
        <v>2706</v>
      </c>
      <c r="B2237" s="48" t="s">
        <v>3692</v>
      </c>
      <c r="C2237" s="49" t="s">
        <v>3637</v>
      </c>
      <c r="D2237" s="50"/>
      <c r="E2237" s="51">
        <v>1005000</v>
      </c>
      <c r="F2237" s="52">
        <f t="shared" si="136"/>
        <v>80400</v>
      </c>
      <c r="G2237" s="54">
        <f t="shared" si="134"/>
        <v>1085400</v>
      </c>
      <c r="H2237" s="55"/>
      <c r="I2237" s="55">
        <f t="shared" si="135"/>
        <v>1085400</v>
      </c>
      <c r="J2237" s="57"/>
      <c r="K2237" s="57"/>
    </row>
    <row r="2238" spans="1:11" ht="15" hidden="1" customHeight="1" x14ac:dyDescent="0.35">
      <c r="A2238" s="47" t="s">
        <v>2699</v>
      </c>
      <c r="B2238" s="48" t="s">
        <v>3692</v>
      </c>
      <c r="C2238" s="49" t="s">
        <v>3638</v>
      </c>
      <c r="D2238" s="50"/>
      <c r="E2238" s="51">
        <v>1005000</v>
      </c>
      <c r="F2238" s="52">
        <f t="shared" si="136"/>
        <v>80400</v>
      </c>
      <c r="G2238" s="54">
        <f t="shared" si="134"/>
        <v>1085400</v>
      </c>
      <c r="H2238" s="55"/>
      <c r="I2238" s="55">
        <f t="shared" si="135"/>
        <v>1085400</v>
      </c>
      <c r="J2238" s="57"/>
      <c r="K2238" s="57"/>
    </row>
    <row r="2239" spans="1:11" ht="15" hidden="1" customHeight="1" x14ac:dyDescent="0.35">
      <c r="A2239" s="47" t="s">
        <v>2698</v>
      </c>
      <c r="B2239" s="48" t="s">
        <v>3692</v>
      </c>
      <c r="C2239" s="49" t="s">
        <v>3639</v>
      </c>
      <c r="D2239" s="50"/>
      <c r="E2239" s="51">
        <v>810000</v>
      </c>
      <c r="F2239" s="52">
        <f t="shared" si="136"/>
        <v>64800</v>
      </c>
      <c r="G2239" s="54">
        <f t="shared" si="134"/>
        <v>874800</v>
      </c>
      <c r="H2239" s="55"/>
      <c r="I2239" s="55">
        <f t="shared" si="135"/>
        <v>874800</v>
      </c>
      <c r="J2239" s="57"/>
      <c r="K2239" s="57"/>
    </row>
    <row r="2240" spans="1:11" ht="15" hidden="1" customHeight="1" x14ac:dyDescent="0.35">
      <c r="A2240" s="47" t="s">
        <v>2704</v>
      </c>
      <c r="B2240" s="48" t="s">
        <v>3692</v>
      </c>
      <c r="C2240" s="49" t="s">
        <v>3640</v>
      </c>
      <c r="D2240" s="50"/>
      <c r="E2240" s="51">
        <v>2045000</v>
      </c>
      <c r="F2240" s="52">
        <f t="shared" si="136"/>
        <v>163600</v>
      </c>
      <c r="G2240" s="54">
        <f t="shared" si="134"/>
        <v>2208600</v>
      </c>
      <c r="H2240" s="55"/>
      <c r="I2240" s="55">
        <f t="shared" si="135"/>
        <v>2208600</v>
      </c>
      <c r="J2240" s="57"/>
      <c r="K2240" s="57"/>
    </row>
    <row r="2241" spans="1:11" ht="15" hidden="1" customHeight="1" x14ac:dyDescent="0.35">
      <c r="A2241" s="47" t="s">
        <v>2711</v>
      </c>
      <c r="B2241" s="48" t="s">
        <v>3692</v>
      </c>
      <c r="C2241" s="49" t="s">
        <v>3641</v>
      </c>
      <c r="D2241" s="50"/>
      <c r="E2241" s="51">
        <v>810000</v>
      </c>
      <c r="F2241" s="52">
        <f t="shared" si="136"/>
        <v>64800</v>
      </c>
      <c r="G2241" s="54">
        <f t="shared" si="134"/>
        <v>874800</v>
      </c>
      <c r="H2241" s="55"/>
      <c r="I2241" s="55">
        <f t="shared" si="135"/>
        <v>874800</v>
      </c>
      <c r="J2241" s="57"/>
      <c r="K2241" s="57"/>
    </row>
    <row r="2242" spans="1:11" ht="15" hidden="1" customHeight="1" x14ac:dyDescent="0.35">
      <c r="A2242" s="47" t="s">
        <v>2728</v>
      </c>
      <c r="B2242" s="48" t="s">
        <v>3692</v>
      </c>
      <c r="C2242" s="49" t="s">
        <v>1635</v>
      </c>
      <c r="D2242" s="50"/>
      <c r="E2242" s="51">
        <v>1005000</v>
      </c>
      <c r="F2242" s="52">
        <f t="shared" si="136"/>
        <v>80400</v>
      </c>
      <c r="G2242" s="54">
        <f t="shared" si="134"/>
        <v>1085400</v>
      </c>
      <c r="H2242" s="55"/>
      <c r="I2242" s="55">
        <f t="shared" si="135"/>
        <v>1085400</v>
      </c>
      <c r="J2242" s="57"/>
      <c r="K2242" s="57"/>
    </row>
    <row r="2243" spans="1:11" ht="15" hidden="1" customHeight="1" x14ac:dyDescent="0.35">
      <c r="A2243" s="47" t="s">
        <v>308</v>
      </c>
      <c r="B2243" s="48" t="s">
        <v>3692</v>
      </c>
      <c r="C2243" s="49" t="s">
        <v>1636</v>
      </c>
      <c r="D2243" s="50"/>
      <c r="E2243" s="51">
        <v>706500</v>
      </c>
      <c r="F2243" s="52">
        <f t="shared" si="136"/>
        <v>56520</v>
      </c>
      <c r="G2243" s="54">
        <f t="shared" si="134"/>
        <v>763020</v>
      </c>
      <c r="H2243" s="55"/>
      <c r="I2243" s="55">
        <f t="shared" si="135"/>
        <v>763020</v>
      </c>
      <c r="J2243" s="57"/>
      <c r="K2243" s="57"/>
    </row>
    <row r="2244" spans="1:11" ht="15" hidden="1" customHeight="1" x14ac:dyDescent="0.35">
      <c r="A2244" s="47" t="s">
        <v>2727</v>
      </c>
      <c r="B2244" s="48" t="s">
        <v>3693</v>
      </c>
      <c r="C2244" s="49" t="s">
        <v>1639</v>
      </c>
      <c r="D2244" s="50"/>
      <c r="E2244" s="51">
        <v>2045000</v>
      </c>
      <c r="F2244" s="52">
        <f t="shared" si="136"/>
        <v>163600</v>
      </c>
      <c r="G2244" s="54">
        <f t="shared" si="134"/>
        <v>2208600</v>
      </c>
      <c r="H2244" s="55"/>
      <c r="I2244" s="55">
        <f t="shared" si="135"/>
        <v>2208600</v>
      </c>
      <c r="J2244" s="57"/>
      <c r="K2244" s="57"/>
    </row>
    <row r="2245" spans="1:11" ht="15" hidden="1" customHeight="1" x14ac:dyDescent="0.35">
      <c r="A2245" s="47" t="s">
        <v>2684</v>
      </c>
      <c r="B2245" s="48" t="s">
        <v>3693</v>
      </c>
      <c r="C2245" s="49" t="s">
        <v>3642</v>
      </c>
      <c r="D2245" s="50"/>
      <c r="E2245" s="51">
        <v>1005000</v>
      </c>
      <c r="F2245" s="52">
        <f t="shared" si="136"/>
        <v>80400</v>
      </c>
      <c r="G2245" s="54">
        <f t="shared" si="134"/>
        <v>1085400</v>
      </c>
      <c r="H2245" s="55"/>
      <c r="I2245" s="55">
        <f t="shared" si="135"/>
        <v>1085400</v>
      </c>
      <c r="J2245" s="57"/>
      <c r="K2245" s="57"/>
    </row>
    <row r="2246" spans="1:11" ht="15" hidden="1" customHeight="1" x14ac:dyDescent="0.35">
      <c r="A2246" s="47" t="s">
        <v>2721</v>
      </c>
      <c r="B2246" s="48" t="s">
        <v>3693</v>
      </c>
      <c r="C2246" s="50" t="s">
        <v>3643</v>
      </c>
      <c r="D2246" s="50"/>
      <c r="E2246" s="51">
        <v>2010000</v>
      </c>
      <c r="F2246" s="52">
        <f t="shared" si="136"/>
        <v>160800</v>
      </c>
      <c r="G2246" s="54">
        <f t="shared" si="134"/>
        <v>2170800</v>
      </c>
      <c r="H2246" s="55"/>
      <c r="I2246" s="55">
        <f t="shared" si="135"/>
        <v>2170800</v>
      </c>
      <c r="J2246" s="57"/>
      <c r="K2246" s="57"/>
    </row>
    <row r="2247" spans="1:11" ht="15" hidden="1" customHeight="1" x14ac:dyDescent="0.35">
      <c r="A2247" s="47" t="s">
        <v>2747</v>
      </c>
      <c r="B2247" s="48" t="s">
        <v>3694</v>
      </c>
      <c r="C2247" s="49" t="s">
        <v>3644</v>
      </c>
      <c r="D2247" s="50"/>
      <c r="E2247" s="51">
        <v>810000</v>
      </c>
      <c r="F2247" s="52">
        <f t="shared" si="136"/>
        <v>64800</v>
      </c>
      <c r="G2247" s="54">
        <f t="shared" si="134"/>
        <v>874800</v>
      </c>
      <c r="H2247" s="55"/>
      <c r="I2247" s="55">
        <f t="shared" si="135"/>
        <v>874800</v>
      </c>
      <c r="J2247" s="57"/>
      <c r="K2247" s="57"/>
    </row>
    <row r="2248" spans="1:11" ht="15" hidden="1" customHeight="1" x14ac:dyDescent="0.35">
      <c r="A2248" s="47" t="s">
        <v>2683</v>
      </c>
      <c r="B2248" s="48" t="s">
        <v>3694</v>
      </c>
      <c r="C2248" s="49" t="s">
        <v>3645</v>
      </c>
      <c r="D2248" s="50"/>
      <c r="E2248" s="51">
        <v>3050000</v>
      </c>
      <c r="F2248" s="52">
        <f t="shared" si="136"/>
        <v>244000</v>
      </c>
      <c r="G2248" s="54">
        <f t="shared" si="134"/>
        <v>3294000</v>
      </c>
      <c r="H2248" s="55"/>
      <c r="I2248" s="55">
        <f t="shared" si="135"/>
        <v>3294000</v>
      </c>
      <c r="J2248" s="57"/>
      <c r="K2248" s="57"/>
    </row>
    <row r="2249" spans="1:11" ht="15" hidden="1" customHeight="1" x14ac:dyDescent="0.35">
      <c r="A2249" s="47" t="s">
        <v>2685</v>
      </c>
      <c r="B2249" s="48" t="s">
        <v>3694</v>
      </c>
      <c r="C2249" s="49" t="s">
        <v>3646</v>
      </c>
      <c r="D2249" s="50"/>
      <c r="E2249" s="51">
        <v>1525000</v>
      </c>
      <c r="F2249" s="52">
        <f t="shared" si="136"/>
        <v>122000</v>
      </c>
      <c r="G2249" s="54">
        <f t="shared" si="134"/>
        <v>1647000</v>
      </c>
      <c r="H2249" s="55"/>
      <c r="I2249" s="55">
        <f t="shared" si="135"/>
        <v>1647000</v>
      </c>
      <c r="J2249" s="57"/>
      <c r="K2249" s="57"/>
    </row>
    <row r="2250" spans="1:11" ht="15" hidden="1" customHeight="1" x14ac:dyDescent="0.35">
      <c r="A2250" s="47" t="s">
        <v>3042</v>
      </c>
      <c r="B2250" s="48" t="s">
        <v>3694</v>
      </c>
      <c r="C2250" s="49" t="s">
        <v>3647</v>
      </c>
      <c r="D2250" s="50"/>
      <c r="E2250" s="51">
        <v>1525000</v>
      </c>
      <c r="F2250" s="52">
        <f t="shared" si="136"/>
        <v>122000</v>
      </c>
      <c r="G2250" s="54">
        <f t="shared" si="134"/>
        <v>1647000</v>
      </c>
      <c r="H2250" s="55"/>
      <c r="I2250" s="55">
        <f t="shared" si="135"/>
        <v>1647000</v>
      </c>
      <c r="J2250" s="57"/>
      <c r="K2250" s="57"/>
    </row>
    <row r="2251" spans="1:11" ht="15" hidden="1" customHeight="1" x14ac:dyDescent="0.35">
      <c r="A2251" s="47" t="s">
        <v>2696</v>
      </c>
      <c r="B2251" s="48" t="s">
        <v>3694</v>
      </c>
      <c r="C2251" s="49" t="s">
        <v>3648</v>
      </c>
      <c r="D2251" s="50"/>
      <c r="E2251" s="51">
        <v>502500</v>
      </c>
      <c r="F2251" s="52">
        <f t="shared" si="136"/>
        <v>40200</v>
      </c>
      <c r="G2251" s="54">
        <f t="shared" si="134"/>
        <v>542700</v>
      </c>
      <c r="H2251" s="55"/>
      <c r="I2251" s="55">
        <f t="shared" si="135"/>
        <v>542700</v>
      </c>
      <c r="J2251" s="57"/>
      <c r="K2251" s="57"/>
    </row>
    <row r="2252" spans="1:11" ht="15" hidden="1" customHeight="1" x14ac:dyDescent="0.35">
      <c r="A2252" s="47" t="s">
        <v>2686</v>
      </c>
      <c r="B2252" s="48" t="s">
        <v>3694</v>
      </c>
      <c r="C2252" s="49" t="s">
        <v>3649</v>
      </c>
      <c r="D2252" s="50"/>
      <c r="E2252" s="51">
        <v>1125000</v>
      </c>
      <c r="F2252" s="52">
        <f t="shared" si="136"/>
        <v>90000</v>
      </c>
      <c r="G2252" s="54">
        <f t="shared" si="134"/>
        <v>1215000</v>
      </c>
      <c r="H2252" s="55"/>
      <c r="I2252" s="55">
        <f t="shared" si="135"/>
        <v>1215000</v>
      </c>
      <c r="J2252" s="57"/>
      <c r="K2252" s="57"/>
    </row>
    <row r="2253" spans="1:11" ht="15" hidden="1" customHeight="1" x14ac:dyDescent="0.35">
      <c r="A2253" s="47" t="s">
        <v>24</v>
      </c>
      <c r="B2253" s="48" t="s">
        <v>3694</v>
      </c>
      <c r="C2253" s="49" t="s">
        <v>3650</v>
      </c>
      <c r="D2253" s="50"/>
      <c r="E2253" s="51">
        <v>2045000</v>
      </c>
      <c r="F2253" s="52">
        <f t="shared" si="136"/>
        <v>163600</v>
      </c>
      <c r="G2253" s="54">
        <f t="shared" si="134"/>
        <v>2208600</v>
      </c>
      <c r="H2253" s="55"/>
      <c r="I2253" s="55">
        <f t="shared" si="135"/>
        <v>2208600</v>
      </c>
      <c r="J2253" s="57"/>
      <c r="K2253" s="57"/>
    </row>
    <row r="2254" spans="1:11" ht="15" hidden="1" customHeight="1" x14ac:dyDescent="0.35">
      <c r="A2254" s="47" t="s">
        <v>2712</v>
      </c>
      <c r="B2254" s="48" t="s">
        <v>3694</v>
      </c>
      <c r="C2254" s="49" t="s">
        <v>1642</v>
      </c>
      <c r="D2254" s="50"/>
      <c r="E2254" s="51">
        <v>1427500</v>
      </c>
      <c r="F2254" s="52">
        <f t="shared" si="136"/>
        <v>114200</v>
      </c>
      <c r="G2254" s="54">
        <f t="shared" si="134"/>
        <v>1541700</v>
      </c>
      <c r="H2254" s="55"/>
      <c r="I2254" s="55">
        <f t="shared" si="135"/>
        <v>1541700</v>
      </c>
      <c r="J2254" s="57"/>
      <c r="K2254" s="57"/>
    </row>
    <row r="2255" spans="1:11" ht="15" hidden="1" customHeight="1" x14ac:dyDescent="0.35">
      <c r="A2255" s="47" t="s">
        <v>2688</v>
      </c>
      <c r="B2255" s="48" t="s">
        <v>3695</v>
      </c>
      <c r="C2255" s="49" t="s">
        <v>2440</v>
      </c>
      <c r="D2255" s="50"/>
      <c r="E2255" s="51">
        <v>4900000</v>
      </c>
      <c r="F2255" s="52">
        <f t="shared" si="136"/>
        <v>392000</v>
      </c>
      <c r="G2255" s="54">
        <f t="shared" si="134"/>
        <v>5292000</v>
      </c>
      <c r="H2255" s="55"/>
      <c r="I2255" s="55">
        <f t="shared" si="135"/>
        <v>5292000</v>
      </c>
      <c r="J2255" s="57"/>
      <c r="K2255" s="57"/>
    </row>
    <row r="2256" spans="1:11" ht="15" hidden="1" customHeight="1" x14ac:dyDescent="0.35">
      <c r="A2256" s="47" t="s">
        <v>3016</v>
      </c>
      <c r="B2256" s="48" t="s">
        <v>3695</v>
      </c>
      <c r="C2256" s="50" t="s">
        <v>3651</v>
      </c>
      <c r="D2256" s="50"/>
      <c r="E2256" s="51">
        <v>3050000</v>
      </c>
      <c r="F2256" s="52">
        <f t="shared" si="136"/>
        <v>244000</v>
      </c>
      <c r="G2256" s="54">
        <f t="shared" si="134"/>
        <v>3294000</v>
      </c>
      <c r="H2256" s="55"/>
      <c r="I2256" s="55">
        <f t="shared" si="135"/>
        <v>3294000</v>
      </c>
      <c r="J2256" s="57"/>
      <c r="K2256" s="57"/>
    </row>
    <row r="2257" spans="1:11" ht="15" hidden="1" customHeight="1" x14ac:dyDescent="0.35">
      <c r="A2257" s="47" t="s">
        <v>2687</v>
      </c>
      <c r="B2257" s="48" t="s">
        <v>3695</v>
      </c>
      <c r="C2257" s="49" t="s">
        <v>3652</v>
      </c>
      <c r="D2257" s="50"/>
      <c r="E2257" s="51">
        <v>1040000</v>
      </c>
      <c r="F2257" s="52">
        <f t="shared" si="136"/>
        <v>83200</v>
      </c>
      <c r="G2257" s="54">
        <f t="shared" si="134"/>
        <v>1123200</v>
      </c>
      <c r="H2257" s="55"/>
      <c r="I2257" s="55">
        <f t="shared" si="135"/>
        <v>1123200</v>
      </c>
      <c r="J2257" s="57"/>
      <c r="K2257" s="57"/>
    </row>
    <row r="2258" spans="1:11" ht="15" hidden="1" customHeight="1" x14ac:dyDescent="0.35">
      <c r="A2258" s="47" t="s">
        <v>2734</v>
      </c>
      <c r="B2258" s="48" t="s">
        <v>3696</v>
      </c>
      <c r="C2258" s="49" t="s">
        <v>3653</v>
      </c>
      <c r="D2258" s="50"/>
      <c r="E2258" s="51">
        <v>2045000</v>
      </c>
      <c r="F2258" s="52">
        <f t="shared" si="136"/>
        <v>163600</v>
      </c>
      <c r="G2258" s="54">
        <f t="shared" si="134"/>
        <v>2208600</v>
      </c>
      <c r="H2258" s="55"/>
      <c r="I2258" s="55">
        <f t="shared" si="135"/>
        <v>2208600</v>
      </c>
      <c r="J2258" s="57"/>
      <c r="K2258" s="57"/>
    </row>
    <row r="2259" spans="1:11" ht="15" hidden="1" customHeight="1" x14ac:dyDescent="0.35">
      <c r="A2259" s="47" t="s">
        <v>2678</v>
      </c>
      <c r="B2259" s="48" t="s">
        <v>3697</v>
      </c>
      <c r="C2259" s="49" t="s">
        <v>3654</v>
      </c>
      <c r="D2259" s="50"/>
      <c r="E2259" s="51">
        <v>502500</v>
      </c>
      <c r="F2259" s="52">
        <f t="shared" si="136"/>
        <v>40200</v>
      </c>
      <c r="G2259" s="54">
        <f t="shared" si="134"/>
        <v>542700</v>
      </c>
      <c r="H2259" s="55"/>
      <c r="I2259" s="55">
        <f t="shared" si="135"/>
        <v>542700</v>
      </c>
      <c r="J2259" s="57"/>
      <c r="K2259" s="57"/>
    </row>
    <row r="2260" spans="1:11" ht="15" hidden="1" customHeight="1" x14ac:dyDescent="0.35">
      <c r="A2260" s="47" t="s">
        <v>2749</v>
      </c>
      <c r="B2260" s="48" t="s">
        <v>3697</v>
      </c>
      <c r="C2260" s="49" t="s">
        <v>2464</v>
      </c>
      <c r="D2260" s="50"/>
      <c r="E2260" s="51">
        <v>2045000</v>
      </c>
      <c r="F2260" s="52">
        <f t="shared" si="136"/>
        <v>163600</v>
      </c>
      <c r="G2260" s="54">
        <f t="shared" si="134"/>
        <v>2208600</v>
      </c>
      <c r="H2260" s="55"/>
      <c r="I2260" s="55">
        <f t="shared" si="135"/>
        <v>2208600</v>
      </c>
      <c r="J2260" s="57"/>
      <c r="K2260" s="57"/>
    </row>
    <row r="2261" spans="1:11" ht="15" hidden="1" customHeight="1" x14ac:dyDescent="0.35">
      <c r="A2261" s="47" t="s">
        <v>2729</v>
      </c>
      <c r="B2261" s="48" t="s">
        <v>3697</v>
      </c>
      <c r="C2261" s="49" t="s">
        <v>2465</v>
      </c>
      <c r="D2261" s="50"/>
      <c r="E2261" s="51">
        <v>2335000</v>
      </c>
      <c r="F2261" s="52">
        <f t="shared" si="136"/>
        <v>186800</v>
      </c>
      <c r="G2261" s="54">
        <f t="shared" si="134"/>
        <v>2521800</v>
      </c>
      <c r="H2261" s="55"/>
      <c r="I2261" s="55">
        <f t="shared" si="135"/>
        <v>2521800</v>
      </c>
      <c r="J2261" s="57"/>
      <c r="K2261" s="57"/>
    </row>
    <row r="2262" spans="1:11" ht="15" hidden="1" customHeight="1" x14ac:dyDescent="0.35">
      <c r="A2262" s="47" t="s">
        <v>2689</v>
      </c>
      <c r="B2262" s="48" t="s">
        <v>3698</v>
      </c>
      <c r="C2262" s="50" t="s">
        <v>3655</v>
      </c>
      <c r="D2262" s="50"/>
      <c r="E2262" s="51">
        <v>2045000</v>
      </c>
      <c r="F2262" s="52">
        <f t="shared" si="136"/>
        <v>163600</v>
      </c>
      <c r="G2262" s="54">
        <f t="shared" si="134"/>
        <v>2208600</v>
      </c>
      <c r="H2262" s="55"/>
      <c r="I2262" s="55">
        <f t="shared" si="135"/>
        <v>2208600</v>
      </c>
      <c r="J2262" s="57"/>
      <c r="K2262" s="57"/>
    </row>
    <row r="2263" spans="1:11" ht="15" hidden="1" customHeight="1" x14ac:dyDescent="0.35">
      <c r="A2263" s="47" t="s">
        <v>2713</v>
      </c>
      <c r="B2263" s="48" t="s">
        <v>3698</v>
      </c>
      <c r="C2263" s="49" t="s">
        <v>3656</v>
      </c>
      <c r="D2263" s="50"/>
      <c r="E2263" s="51">
        <v>1022500</v>
      </c>
      <c r="F2263" s="52">
        <f t="shared" si="136"/>
        <v>81800</v>
      </c>
      <c r="G2263" s="54">
        <f t="shared" si="134"/>
        <v>1104300</v>
      </c>
      <c r="H2263" s="55"/>
      <c r="I2263" s="55">
        <f t="shared" si="135"/>
        <v>1104300</v>
      </c>
      <c r="J2263" s="57"/>
      <c r="K2263" s="57"/>
    </row>
    <row r="2264" spans="1:11" ht="15" hidden="1" customHeight="1" x14ac:dyDescent="0.35">
      <c r="A2264" s="47" t="s">
        <v>55</v>
      </c>
      <c r="B2264" s="48" t="s">
        <v>3698</v>
      </c>
      <c r="C2264" s="49" t="s">
        <v>3657</v>
      </c>
      <c r="D2264" s="50"/>
      <c r="E2264" s="51">
        <v>2450000</v>
      </c>
      <c r="F2264" s="52">
        <f t="shared" si="136"/>
        <v>196000</v>
      </c>
      <c r="G2264" s="54">
        <f t="shared" si="134"/>
        <v>2646000</v>
      </c>
      <c r="H2264" s="55"/>
      <c r="I2264" s="55">
        <f t="shared" si="135"/>
        <v>2646000</v>
      </c>
      <c r="J2264" s="57"/>
      <c r="K2264" s="57"/>
    </row>
    <row r="2265" spans="1:11" ht="15" hidden="1" customHeight="1" x14ac:dyDescent="0.35">
      <c r="A2265" s="47" t="s">
        <v>2728</v>
      </c>
      <c r="B2265" s="48" t="s">
        <v>3698</v>
      </c>
      <c r="C2265" s="49" t="s">
        <v>3658</v>
      </c>
      <c r="D2265" s="50"/>
      <c r="E2265" s="51">
        <v>1040000</v>
      </c>
      <c r="F2265" s="52">
        <f t="shared" si="136"/>
        <v>83200</v>
      </c>
      <c r="G2265" s="54">
        <f t="shared" si="134"/>
        <v>1123200</v>
      </c>
      <c r="H2265" s="55"/>
      <c r="I2265" s="55">
        <f t="shared" si="135"/>
        <v>1123200</v>
      </c>
      <c r="J2265" s="57"/>
      <c r="K2265" s="57"/>
    </row>
    <row r="2266" spans="1:11" ht="15" hidden="1" customHeight="1" x14ac:dyDescent="0.35">
      <c r="A2266" s="47" t="s">
        <v>2684</v>
      </c>
      <c r="B2266" s="48" t="s">
        <v>3699</v>
      </c>
      <c r="C2266" s="49" t="s">
        <v>3659</v>
      </c>
      <c r="D2266" s="50"/>
      <c r="E2266" s="51">
        <v>3050000</v>
      </c>
      <c r="F2266" s="52">
        <f t="shared" si="136"/>
        <v>244000</v>
      </c>
      <c r="G2266" s="54">
        <f t="shared" si="134"/>
        <v>3294000</v>
      </c>
      <c r="H2266" s="55"/>
      <c r="I2266" s="55">
        <f t="shared" si="135"/>
        <v>3294000</v>
      </c>
      <c r="J2266" s="57"/>
      <c r="K2266" s="57"/>
    </row>
    <row r="2267" spans="1:11" ht="15" hidden="1" customHeight="1" x14ac:dyDescent="0.35">
      <c r="A2267" s="47" t="s">
        <v>2744</v>
      </c>
      <c r="B2267" s="48" t="s">
        <v>3699</v>
      </c>
      <c r="C2267" s="49" t="s">
        <v>3660</v>
      </c>
      <c r="D2267" s="50"/>
      <c r="E2267" s="51">
        <v>2045000</v>
      </c>
      <c r="F2267" s="52">
        <f t="shared" si="136"/>
        <v>163600</v>
      </c>
      <c r="G2267" s="54">
        <f t="shared" si="134"/>
        <v>2208600</v>
      </c>
      <c r="H2267" s="55"/>
      <c r="I2267" s="55">
        <f t="shared" si="135"/>
        <v>2208600</v>
      </c>
      <c r="J2267" s="57"/>
      <c r="K2267" s="57"/>
    </row>
    <row r="2268" spans="1:11" ht="15" hidden="1" customHeight="1" x14ac:dyDescent="0.35">
      <c r="A2268" s="47" t="s">
        <v>2680</v>
      </c>
      <c r="B2268" s="48" t="s">
        <v>3700</v>
      </c>
      <c r="C2268" s="49" t="s">
        <v>3661</v>
      </c>
      <c r="D2268" s="50"/>
      <c r="E2268" s="51">
        <v>1542500</v>
      </c>
      <c r="F2268" s="52">
        <f t="shared" si="136"/>
        <v>123400</v>
      </c>
      <c r="G2268" s="54">
        <f t="shared" si="134"/>
        <v>1665900</v>
      </c>
      <c r="H2268" s="55"/>
      <c r="I2268" s="55">
        <f t="shared" si="135"/>
        <v>1665900</v>
      </c>
      <c r="J2268" s="57"/>
      <c r="K2268" s="57"/>
    </row>
    <row r="2269" spans="1:11" ht="15" hidden="1" customHeight="1" x14ac:dyDescent="0.35">
      <c r="A2269" s="47" t="s">
        <v>3049</v>
      </c>
      <c r="B2269" s="48" t="s">
        <v>3700</v>
      </c>
      <c r="C2269" s="49" t="s">
        <v>3662</v>
      </c>
      <c r="D2269" s="50"/>
      <c r="E2269" s="51">
        <v>1022500</v>
      </c>
      <c r="F2269" s="52">
        <f t="shared" si="136"/>
        <v>81800</v>
      </c>
      <c r="G2269" s="54">
        <f t="shared" si="134"/>
        <v>1104300</v>
      </c>
      <c r="H2269" s="55"/>
      <c r="I2269" s="55">
        <f t="shared" si="135"/>
        <v>1104300</v>
      </c>
      <c r="J2269" s="57"/>
      <c r="K2269" s="57"/>
    </row>
    <row r="2270" spans="1:11" ht="15" hidden="1" customHeight="1" x14ac:dyDescent="0.35">
      <c r="A2270" s="47" t="s">
        <v>2740</v>
      </c>
      <c r="B2270" s="48" t="s">
        <v>3701</v>
      </c>
      <c r="C2270" s="49" t="s">
        <v>3663</v>
      </c>
      <c r="D2270" s="50"/>
      <c r="E2270" s="51">
        <v>1525000</v>
      </c>
      <c r="F2270" s="52">
        <f t="shared" si="136"/>
        <v>122000</v>
      </c>
      <c r="G2270" s="54">
        <f t="shared" si="134"/>
        <v>1647000</v>
      </c>
      <c r="H2270" s="55"/>
      <c r="I2270" s="55">
        <f t="shared" si="135"/>
        <v>1647000</v>
      </c>
      <c r="J2270" s="57"/>
      <c r="K2270" s="57"/>
    </row>
    <row r="2271" spans="1:11" ht="15" hidden="1" customHeight="1" x14ac:dyDescent="0.35">
      <c r="A2271" s="47" t="s">
        <v>2688</v>
      </c>
      <c r="B2271" s="48" t="s">
        <v>3701</v>
      </c>
      <c r="C2271" s="49" t="s">
        <v>3664</v>
      </c>
      <c r="D2271" s="50"/>
      <c r="E2271" s="51">
        <v>3586500</v>
      </c>
      <c r="F2271" s="52">
        <f t="shared" si="136"/>
        <v>286920</v>
      </c>
      <c r="G2271" s="54">
        <f t="shared" si="134"/>
        <v>3873420</v>
      </c>
      <c r="H2271" s="55"/>
      <c r="I2271" s="55">
        <f t="shared" si="135"/>
        <v>3873420</v>
      </c>
      <c r="J2271" s="57"/>
      <c r="K2271" s="57"/>
    </row>
    <row r="2272" spans="1:11" ht="15" hidden="1" customHeight="1" x14ac:dyDescent="0.35">
      <c r="A2272" s="47" t="s">
        <v>2681</v>
      </c>
      <c r="B2272" s="48" t="s">
        <v>3701</v>
      </c>
      <c r="C2272" s="49" t="s">
        <v>2482</v>
      </c>
      <c r="D2272" s="50"/>
      <c r="E2272" s="51">
        <v>837000</v>
      </c>
      <c r="F2272" s="52">
        <f t="shared" si="136"/>
        <v>66960</v>
      </c>
      <c r="G2272" s="54">
        <f t="shared" si="134"/>
        <v>903960</v>
      </c>
      <c r="H2272" s="55"/>
      <c r="I2272" s="55">
        <f t="shared" si="135"/>
        <v>903960</v>
      </c>
      <c r="J2272" s="57"/>
      <c r="K2272" s="57"/>
    </row>
    <row r="2273" spans="1:11" ht="15" hidden="1" customHeight="1" x14ac:dyDescent="0.35">
      <c r="A2273" s="47" t="s">
        <v>3031</v>
      </c>
      <c r="B2273" s="48" t="s">
        <v>3701</v>
      </c>
      <c r="C2273" s="49" t="s">
        <v>2484</v>
      </c>
      <c r="D2273" s="50"/>
      <c r="E2273" s="51">
        <v>920250</v>
      </c>
      <c r="F2273" s="52">
        <f t="shared" si="136"/>
        <v>73620</v>
      </c>
      <c r="G2273" s="54">
        <f t="shared" si="134"/>
        <v>993870</v>
      </c>
      <c r="H2273" s="55"/>
      <c r="I2273" s="55">
        <f t="shared" si="135"/>
        <v>993870</v>
      </c>
      <c r="J2273" s="57"/>
      <c r="K2273" s="57"/>
    </row>
    <row r="2274" spans="1:11" ht="15" hidden="1" customHeight="1" x14ac:dyDescent="0.35">
      <c r="A2274" s="47" t="s">
        <v>2723</v>
      </c>
      <c r="B2274" s="48" t="s">
        <v>3701</v>
      </c>
      <c r="C2274" s="49" t="s">
        <v>3665</v>
      </c>
      <c r="D2274" s="50"/>
      <c r="E2274" s="51">
        <v>1714500</v>
      </c>
      <c r="F2274" s="52">
        <f t="shared" si="136"/>
        <v>137160</v>
      </c>
      <c r="G2274" s="54">
        <f t="shared" si="134"/>
        <v>1851660</v>
      </c>
      <c r="H2274" s="55"/>
      <c r="I2274" s="55">
        <f t="shared" si="135"/>
        <v>1851660</v>
      </c>
      <c r="J2274" s="57"/>
      <c r="K2274" s="57"/>
    </row>
    <row r="2275" spans="1:11" ht="15" hidden="1" customHeight="1" x14ac:dyDescent="0.35">
      <c r="A2275" s="47" t="s">
        <v>2743</v>
      </c>
      <c r="B2275" s="48" t="s">
        <v>3702</v>
      </c>
      <c r="C2275" s="49" t="s">
        <v>3666</v>
      </c>
      <c r="D2275" s="50"/>
      <c r="E2275" s="51">
        <v>1840500</v>
      </c>
      <c r="F2275" s="52">
        <f t="shared" si="136"/>
        <v>147240</v>
      </c>
      <c r="G2275" s="54">
        <f t="shared" si="134"/>
        <v>1987740</v>
      </c>
      <c r="H2275" s="55"/>
      <c r="I2275" s="55">
        <f t="shared" si="135"/>
        <v>1987740</v>
      </c>
      <c r="J2275" s="57"/>
      <c r="K2275" s="57"/>
    </row>
    <row r="2276" spans="1:11" ht="15" hidden="1" customHeight="1" x14ac:dyDescent="0.35">
      <c r="A2276" s="47" t="s">
        <v>2720</v>
      </c>
      <c r="B2276" s="48" t="s">
        <v>3702</v>
      </c>
      <c r="C2276" s="50" t="s">
        <v>3667</v>
      </c>
      <c r="D2276" s="50"/>
      <c r="E2276" s="51">
        <v>1840500</v>
      </c>
      <c r="F2276" s="52">
        <f t="shared" si="136"/>
        <v>147240</v>
      </c>
      <c r="G2276" s="54">
        <f t="shared" si="134"/>
        <v>1987740</v>
      </c>
      <c r="H2276" s="55"/>
      <c r="I2276" s="55">
        <f t="shared" si="135"/>
        <v>1987740</v>
      </c>
      <c r="J2276" s="57"/>
      <c r="K2276" s="57"/>
    </row>
    <row r="2277" spans="1:11" ht="15" hidden="1" customHeight="1" x14ac:dyDescent="0.35">
      <c r="A2277" s="47" t="s">
        <v>3018</v>
      </c>
      <c r="B2277" s="48" t="s">
        <v>3703</v>
      </c>
      <c r="C2277" s="49" t="s">
        <v>2498</v>
      </c>
      <c r="D2277" s="50"/>
      <c r="E2277" s="51">
        <v>654750</v>
      </c>
      <c r="F2277" s="52">
        <f t="shared" si="136"/>
        <v>52380</v>
      </c>
      <c r="G2277" s="54">
        <f t="shared" si="134"/>
        <v>707130</v>
      </c>
      <c r="H2277" s="55"/>
      <c r="I2277" s="55">
        <f t="shared" si="135"/>
        <v>707130</v>
      </c>
      <c r="J2277" s="57"/>
      <c r="K2277" s="57"/>
    </row>
    <row r="2278" spans="1:11" ht="15" hidden="1" customHeight="1" x14ac:dyDescent="0.35">
      <c r="A2278" s="47" t="s">
        <v>2711</v>
      </c>
      <c r="B2278" s="48" t="s">
        <v>3703</v>
      </c>
      <c r="C2278" s="49" t="s">
        <v>3668</v>
      </c>
      <c r="D2278" s="50"/>
      <c r="E2278" s="51">
        <v>904500</v>
      </c>
      <c r="F2278" s="52">
        <f t="shared" si="136"/>
        <v>72360</v>
      </c>
      <c r="G2278" s="54">
        <f t="shared" si="134"/>
        <v>976860</v>
      </c>
      <c r="H2278" s="55"/>
      <c r="I2278" s="55">
        <f t="shared" si="135"/>
        <v>976860</v>
      </c>
      <c r="J2278" s="57"/>
      <c r="K2278" s="57"/>
    </row>
    <row r="2279" spans="1:11" ht="15" hidden="1" customHeight="1" x14ac:dyDescent="0.35">
      <c r="A2279" s="47" t="s">
        <v>2687</v>
      </c>
      <c r="B2279" s="48" t="s">
        <v>3703</v>
      </c>
      <c r="C2279" s="49" t="s">
        <v>3669</v>
      </c>
      <c r="D2279" s="50"/>
      <c r="E2279" s="51">
        <v>904500</v>
      </c>
      <c r="F2279" s="52">
        <f t="shared" si="136"/>
        <v>72360</v>
      </c>
      <c r="G2279" s="54">
        <f t="shared" si="134"/>
        <v>976860</v>
      </c>
      <c r="H2279" s="55"/>
      <c r="I2279" s="55">
        <f t="shared" si="135"/>
        <v>976860</v>
      </c>
      <c r="J2279" s="57"/>
      <c r="K2279" s="57"/>
    </row>
    <row r="2280" spans="1:11" ht="15" hidden="1" customHeight="1" x14ac:dyDescent="0.35">
      <c r="A2280" s="47" t="s">
        <v>2684</v>
      </c>
      <c r="B2280" s="48" t="s">
        <v>3703</v>
      </c>
      <c r="C2280" s="49" t="s">
        <v>3670</v>
      </c>
      <c r="D2280" s="50"/>
      <c r="E2280" s="51">
        <v>810000</v>
      </c>
      <c r="F2280" s="52">
        <f t="shared" si="136"/>
        <v>64800</v>
      </c>
      <c r="G2280" s="54">
        <f t="shared" si="134"/>
        <v>874800</v>
      </c>
      <c r="H2280" s="55"/>
      <c r="I2280" s="55">
        <f t="shared" si="135"/>
        <v>874800</v>
      </c>
      <c r="J2280" s="57"/>
      <c r="K2280" s="57"/>
    </row>
    <row r="2281" spans="1:11" ht="15" hidden="1" customHeight="1" x14ac:dyDescent="0.35">
      <c r="A2281" s="47" t="s">
        <v>2729</v>
      </c>
      <c r="B2281" s="48" t="s">
        <v>3703</v>
      </c>
      <c r="C2281" s="49" t="s">
        <v>3671</v>
      </c>
      <c r="D2281" s="50"/>
      <c r="E2281" s="51">
        <v>904500</v>
      </c>
      <c r="F2281" s="52">
        <f t="shared" si="136"/>
        <v>72360</v>
      </c>
      <c r="G2281" s="54">
        <f t="shared" si="134"/>
        <v>976860</v>
      </c>
      <c r="H2281" s="55"/>
      <c r="I2281" s="55">
        <f t="shared" si="135"/>
        <v>976860</v>
      </c>
      <c r="J2281" s="57"/>
      <c r="K2281" s="57"/>
    </row>
    <row r="2282" spans="1:11" ht="15" hidden="1" customHeight="1" x14ac:dyDescent="0.35">
      <c r="A2282" s="47" t="s">
        <v>2718</v>
      </c>
      <c r="B2282" s="48" t="s">
        <v>3703</v>
      </c>
      <c r="C2282" s="49" t="s">
        <v>3672</v>
      </c>
      <c r="D2282" s="50"/>
      <c r="E2282" s="51">
        <v>810000</v>
      </c>
      <c r="F2282" s="52">
        <f t="shared" si="136"/>
        <v>64800</v>
      </c>
      <c r="G2282" s="54">
        <f t="shared" si="134"/>
        <v>874800</v>
      </c>
      <c r="H2282" s="55"/>
      <c r="I2282" s="55">
        <f t="shared" si="135"/>
        <v>874800</v>
      </c>
      <c r="J2282" s="57"/>
      <c r="K2282" s="57"/>
    </row>
    <row r="2283" spans="1:11" ht="15" hidden="1" customHeight="1" x14ac:dyDescent="0.35">
      <c r="A2283" s="47" t="s">
        <v>3042</v>
      </c>
      <c r="B2283" s="48" t="s">
        <v>3704</v>
      </c>
      <c r="C2283" s="49" t="s">
        <v>3673</v>
      </c>
      <c r="D2283" s="50"/>
      <c r="E2283" s="51">
        <v>2745000</v>
      </c>
      <c r="F2283" s="52">
        <f t="shared" si="136"/>
        <v>219600</v>
      </c>
      <c r="G2283" s="54">
        <f t="shared" si="134"/>
        <v>2964600</v>
      </c>
      <c r="H2283" s="55"/>
      <c r="I2283" s="55">
        <f t="shared" si="135"/>
        <v>2964600</v>
      </c>
      <c r="J2283" s="57"/>
      <c r="K2283" s="57"/>
    </row>
    <row r="2284" spans="1:11" ht="15" hidden="1" customHeight="1" x14ac:dyDescent="0.35">
      <c r="A2284" s="47" t="s">
        <v>2695</v>
      </c>
      <c r="B2284" s="48" t="s">
        <v>3704</v>
      </c>
      <c r="C2284" s="49" t="s">
        <v>3674</v>
      </c>
      <c r="D2284" s="50"/>
      <c r="E2284" s="51">
        <v>5521500</v>
      </c>
      <c r="F2284" s="52">
        <f t="shared" si="136"/>
        <v>441720</v>
      </c>
      <c r="G2284" s="54">
        <f t="shared" si="134"/>
        <v>5963220</v>
      </c>
      <c r="H2284" s="55"/>
      <c r="I2284" s="55">
        <f t="shared" si="135"/>
        <v>5963220</v>
      </c>
      <c r="J2284" s="57"/>
      <c r="K2284" s="57"/>
    </row>
    <row r="2285" spans="1:11" ht="15" hidden="1" customHeight="1" x14ac:dyDescent="0.35">
      <c r="A2285" s="47" t="s">
        <v>2706</v>
      </c>
      <c r="B2285" s="48" t="s">
        <v>3704</v>
      </c>
      <c r="C2285" s="49" t="s">
        <v>3675</v>
      </c>
      <c r="D2285" s="50"/>
      <c r="E2285" s="51">
        <v>1840500</v>
      </c>
      <c r="F2285" s="52">
        <f t="shared" si="136"/>
        <v>147240</v>
      </c>
      <c r="G2285" s="54">
        <f t="shared" si="134"/>
        <v>1987740</v>
      </c>
      <c r="H2285" s="55"/>
      <c r="I2285" s="55">
        <f t="shared" si="135"/>
        <v>1987740</v>
      </c>
      <c r="J2285" s="57"/>
      <c r="K2285" s="57"/>
    </row>
    <row r="2286" spans="1:11" ht="15" hidden="1" customHeight="1" x14ac:dyDescent="0.35">
      <c r="A2286" s="47" t="s">
        <v>2692</v>
      </c>
      <c r="B2286" s="48" t="s">
        <v>3704</v>
      </c>
      <c r="C2286" s="49" t="s">
        <v>3676</v>
      </c>
      <c r="D2286" s="50"/>
      <c r="E2286" s="51">
        <v>1840500</v>
      </c>
      <c r="F2286" s="52">
        <f t="shared" si="136"/>
        <v>147240</v>
      </c>
      <c r="G2286" s="54">
        <f t="shared" si="134"/>
        <v>1987740</v>
      </c>
      <c r="H2286" s="55"/>
      <c r="I2286" s="55">
        <f t="shared" si="135"/>
        <v>1987740</v>
      </c>
      <c r="J2286" s="57"/>
      <c r="K2286" s="57"/>
    </row>
    <row r="2287" spans="1:11" ht="15" hidden="1" customHeight="1" x14ac:dyDescent="0.35">
      <c r="A2287" s="47" t="s">
        <v>2685</v>
      </c>
      <c r="B2287" s="48" t="s">
        <v>3704</v>
      </c>
      <c r="C2287" s="49" t="s">
        <v>3677</v>
      </c>
      <c r="D2287" s="50"/>
      <c r="E2287" s="51">
        <v>2245500</v>
      </c>
      <c r="F2287" s="52">
        <f t="shared" si="136"/>
        <v>179640</v>
      </c>
      <c r="G2287" s="54">
        <f t="shared" si="134"/>
        <v>2425140</v>
      </c>
      <c r="H2287" s="55"/>
      <c r="I2287" s="55">
        <f t="shared" si="135"/>
        <v>2425140</v>
      </c>
      <c r="J2287" s="57"/>
      <c r="K2287" s="57"/>
    </row>
    <row r="2288" spans="1:11" ht="15" hidden="1" customHeight="1" x14ac:dyDescent="0.35">
      <c r="A2288" s="47" t="s">
        <v>24</v>
      </c>
      <c r="B2288" s="48" t="s">
        <v>3704</v>
      </c>
      <c r="C2288" s="49" t="s">
        <v>3678</v>
      </c>
      <c r="D2288" s="50"/>
      <c r="E2288" s="51">
        <v>2245500</v>
      </c>
      <c r="F2288" s="52">
        <f t="shared" si="136"/>
        <v>179640</v>
      </c>
      <c r="G2288" s="54">
        <f t="shared" si="134"/>
        <v>2425140</v>
      </c>
      <c r="H2288" s="55"/>
      <c r="I2288" s="55">
        <f t="shared" si="135"/>
        <v>2425140</v>
      </c>
      <c r="J2288" s="57"/>
      <c r="K2288" s="57"/>
    </row>
    <row r="2289" spans="1:11" ht="15" hidden="1" customHeight="1" x14ac:dyDescent="0.35">
      <c r="A2289" s="47" t="s">
        <v>2703</v>
      </c>
      <c r="B2289" s="48" t="s">
        <v>3704</v>
      </c>
      <c r="C2289" s="49" t="s">
        <v>3679</v>
      </c>
      <c r="D2289" s="50"/>
      <c r="E2289" s="51">
        <v>920250</v>
      </c>
      <c r="F2289" s="52">
        <f t="shared" si="136"/>
        <v>73620</v>
      </c>
      <c r="G2289" s="54">
        <f t="shared" si="134"/>
        <v>993870</v>
      </c>
      <c r="H2289" s="55"/>
      <c r="I2289" s="55">
        <f t="shared" si="135"/>
        <v>993870</v>
      </c>
      <c r="J2289" s="57"/>
      <c r="K2289" s="57"/>
    </row>
    <row r="2290" spans="1:11" ht="15" hidden="1" customHeight="1" x14ac:dyDescent="0.35">
      <c r="A2290" s="47" t="s">
        <v>2712</v>
      </c>
      <c r="B2290" s="48" t="s">
        <v>3705</v>
      </c>
      <c r="C2290" s="49" t="s">
        <v>3680</v>
      </c>
      <c r="D2290" s="50"/>
      <c r="E2290" s="51">
        <v>1372500</v>
      </c>
      <c r="F2290" s="52">
        <f t="shared" si="136"/>
        <v>109800</v>
      </c>
      <c r="G2290" s="54">
        <f t="shared" ref="G2290:G2353" si="137">E2290+F2290</f>
        <v>1482300</v>
      </c>
      <c r="H2290" s="55"/>
      <c r="I2290" s="55">
        <f t="shared" si="135"/>
        <v>1482300</v>
      </c>
      <c r="J2290" s="57"/>
      <c r="K2290" s="57"/>
    </row>
    <row r="2291" spans="1:11" ht="15" hidden="1" customHeight="1" x14ac:dyDescent="0.35">
      <c r="A2291" s="47" t="s">
        <v>2710</v>
      </c>
      <c r="B2291" s="48" t="s">
        <v>3705</v>
      </c>
      <c r="C2291" s="50" t="s">
        <v>3681</v>
      </c>
      <c r="D2291" s="50"/>
      <c r="E2291" s="51">
        <v>1777500</v>
      </c>
      <c r="F2291" s="52">
        <f t="shared" si="136"/>
        <v>142200</v>
      </c>
      <c r="G2291" s="54">
        <f t="shared" si="137"/>
        <v>1919700</v>
      </c>
      <c r="H2291" s="55"/>
      <c r="I2291" s="55">
        <f t="shared" ref="I2291:I2354" si="138">G2291-H2291</f>
        <v>1919700</v>
      </c>
      <c r="J2291" s="57"/>
      <c r="K2291" s="57"/>
    </row>
    <row r="2292" spans="1:11" ht="15" hidden="1" customHeight="1" x14ac:dyDescent="0.35">
      <c r="A2292" s="47" t="s">
        <v>2745</v>
      </c>
      <c r="B2292" s="48" t="s">
        <v>3705</v>
      </c>
      <c r="C2292" s="49" t="s">
        <v>3682</v>
      </c>
      <c r="D2292" s="50"/>
      <c r="E2292" s="51">
        <v>920250</v>
      </c>
      <c r="F2292" s="52">
        <f t="shared" ref="F2292:F2355" si="139">+E2292*0.08</f>
        <v>73620</v>
      </c>
      <c r="G2292" s="54">
        <f t="shared" si="137"/>
        <v>993870</v>
      </c>
      <c r="H2292" s="55"/>
      <c r="I2292" s="55">
        <f t="shared" si="138"/>
        <v>993870</v>
      </c>
      <c r="J2292" s="57"/>
      <c r="K2292" s="57"/>
    </row>
    <row r="2293" spans="1:11" ht="15" hidden="1" customHeight="1" x14ac:dyDescent="0.35">
      <c r="A2293" s="47" t="s">
        <v>3021</v>
      </c>
      <c r="B2293" s="48" t="s">
        <v>3705</v>
      </c>
      <c r="C2293" s="49" t="s">
        <v>3683</v>
      </c>
      <c r="D2293" s="50"/>
      <c r="E2293" s="51">
        <v>920250</v>
      </c>
      <c r="F2293" s="52">
        <f t="shared" si="139"/>
        <v>73620</v>
      </c>
      <c r="G2293" s="54">
        <f t="shared" si="137"/>
        <v>993870</v>
      </c>
      <c r="H2293" s="55"/>
      <c r="I2293" s="55">
        <f t="shared" si="138"/>
        <v>993870</v>
      </c>
      <c r="J2293" s="57"/>
      <c r="K2293" s="57"/>
    </row>
    <row r="2294" spans="1:11" ht="15" hidden="1" customHeight="1" x14ac:dyDescent="0.35">
      <c r="A2294" s="47" t="s">
        <v>2683</v>
      </c>
      <c r="B2294" s="48" t="s">
        <v>3705</v>
      </c>
      <c r="C2294" s="49" t="s">
        <v>3684</v>
      </c>
      <c r="D2294" s="50"/>
      <c r="E2294" s="51">
        <v>1714500</v>
      </c>
      <c r="F2294" s="52">
        <f t="shared" si="139"/>
        <v>137160</v>
      </c>
      <c r="G2294" s="54">
        <f t="shared" si="137"/>
        <v>1851660</v>
      </c>
      <c r="H2294" s="55"/>
      <c r="I2294" s="55">
        <f t="shared" si="138"/>
        <v>1851660</v>
      </c>
      <c r="J2294" s="57"/>
      <c r="K2294" s="57"/>
    </row>
    <row r="2295" spans="1:11" ht="15" hidden="1" customHeight="1" x14ac:dyDescent="0.35">
      <c r="A2295" s="47" t="s">
        <v>2786</v>
      </c>
      <c r="B2295" s="48">
        <v>46212</v>
      </c>
      <c r="C2295" s="50" t="s">
        <v>3685</v>
      </c>
      <c r="D2295" s="50" t="s">
        <v>3823</v>
      </c>
      <c r="E2295" s="51">
        <v>0</v>
      </c>
      <c r="F2295" s="52">
        <f t="shared" si="139"/>
        <v>0</v>
      </c>
      <c r="G2295" s="54">
        <f t="shared" si="137"/>
        <v>0</v>
      </c>
      <c r="H2295" s="55"/>
      <c r="I2295" s="55">
        <f t="shared" si="138"/>
        <v>0</v>
      </c>
      <c r="J2295" s="57"/>
      <c r="K2295" s="57"/>
    </row>
    <row r="2296" spans="1:11" ht="15" hidden="1" customHeight="1" x14ac:dyDescent="0.35">
      <c r="A2296" s="47" t="s">
        <v>170</v>
      </c>
      <c r="B2296" s="48" t="s">
        <v>3706</v>
      </c>
      <c r="C2296" s="49" t="s">
        <v>3686</v>
      </c>
      <c r="D2296" s="50"/>
      <c r="E2296" s="51">
        <v>920250</v>
      </c>
      <c r="F2296" s="52">
        <f t="shared" si="139"/>
        <v>73620</v>
      </c>
      <c r="G2296" s="54">
        <f t="shared" si="137"/>
        <v>993870</v>
      </c>
      <c r="H2296" s="55"/>
      <c r="I2296" s="55">
        <f t="shared" si="138"/>
        <v>993870</v>
      </c>
      <c r="J2296" s="57"/>
      <c r="K2296" s="57"/>
    </row>
    <row r="2297" spans="1:11" ht="15" hidden="1" customHeight="1" x14ac:dyDescent="0.35">
      <c r="A2297" s="47" t="s">
        <v>2723</v>
      </c>
      <c r="B2297" s="48" t="s">
        <v>3706</v>
      </c>
      <c r="C2297" s="50" t="s">
        <v>1691</v>
      </c>
      <c r="D2297" s="50"/>
      <c r="E2297" s="51">
        <v>7393500</v>
      </c>
      <c r="F2297" s="52">
        <f t="shared" si="139"/>
        <v>591480</v>
      </c>
      <c r="G2297" s="54">
        <f t="shared" si="137"/>
        <v>7984980</v>
      </c>
      <c r="H2297" s="55"/>
      <c r="I2297" s="55">
        <f t="shared" si="138"/>
        <v>7984980</v>
      </c>
      <c r="J2297" s="57"/>
      <c r="K2297" s="57"/>
    </row>
    <row r="2298" spans="1:11" ht="15" hidden="1" customHeight="1" x14ac:dyDescent="0.35">
      <c r="A2298" s="47" t="s">
        <v>2715</v>
      </c>
      <c r="B2298" s="48" t="s">
        <v>3707</v>
      </c>
      <c r="C2298" s="49" t="s">
        <v>3687</v>
      </c>
      <c r="D2298" s="50"/>
      <c r="E2298" s="51">
        <v>920250</v>
      </c>
      <c r="F2298" s="52">
        <f t="shared" si="139"/>
        <v>73620</v>
      </c>
      <c r="G2298" s="54">
        <f t="shared" si="137"/>
        <v>993870</v>
      </c>
      <c r="H2298" s="55"/>
      <c r="I2298" s="55">
        <f t="shared" si="138"/>
        <v>993870</v>
      </c>
      <c r="J2298" s="57"/>
      <c r="K2298" s="57"/>
    </row>
    <row r="2299" spans="1:11" ht="15" hidden="1" customHeight="1" x14ac:dyDescent="0.35">
      <c r="A2299" s="47" t="s">
        <v>120</v>
      </c>
      <c r="B2299" s="48" t="s">
        <v>3707</v>
      </c>
      <c r="C2299" s="49" t="s">
        <v>2501</v>
      </c>
      <c r="D2299" s="50"/>
      <c r="E2299" s="51">
        <v>1840500</v>
      </c>
      <c r="F2299" s="52">
        <f t="shared" si="139"/>
        <v>147240</v>
      </c>
      <c r="G2299" s="54">
        <f t="shared" si="137"/>
        <v>1987740</v>
      </c>
      <c r="H2299" s="55"/>
      <c r="I2299" s="55">
        <f t="shared" si="138"/>
        <v>1987740</v>
      </c>
      <c r="J2299" s="57"/>
      <c r="K2299" s="57"/>
    </row>
    <row r="2300" spans="1:11" ht="15" hidden="1" customHeight="1" x14ac:dyDescent="0.35">
      <c r="A2300" s="47" t="s">
        <v>2735</v>
      </c>
      <c r="B2300" s="48" t="s">
        <v>3707</v>
      </c>
      <c r="C2300" s="49" t="s">
        <v>1696</v>
      </c>
      <c r="D2300" s="50"/>
      <c r="E2300" s="51">
        <v>904500</v>
      </c>
      <c r="F2300" s="52">
        <f t="shared" si="139"/>
        <v>72360</v>
      </c>
      <c r="G2300" s="54">
        <f t="shared" si="137"/>
        <v>976860</v>
      </c>
      <c r="H2300" s="55"/>
      <c r="I2300" s="55">
        <f t="shared" si="138"/>
        <v>976860</v>
      </c>
      <c r="J2300" s="57"/>
      <c r="K2300" s="57"/>
    </row>
    <row r="2301" spans="1:11" ht="15" hidden="1" customHeight="1" x14ac:dyDescent="0.35">
      <c r="A2301" s="47" t="s">
        <v>3034</v>
      </c>
      <c r="B2301" s="48" t="s">
        <v>3707</v>
      </c>
      <c r="C2301" s="49" t="s">
        <v>3688</v>
      </c>
      <c r="D2301" s="50"/>
      <c r="E2301" s="51">
        <v>1840500</v>
      </c>
      <c r="F2301" s="52">
        <f t="shared" si="139"/>
        <v>147240</v>
      </c>
      <c r="G2301" s="54">
        <f t="shared" si="137"/>
        <v>1987740</v>
      </c>
      <c r="H2301" s="55"/>
      <c r="I2301" s="55">
        <f t="shared" si="138"/>
        <v>1987740</v>
      </c>
      <c r="J2301" s="57"/>
      <c r="K2301" s="57"/>
    </row>
    <row r="2302" spans="1:11" ht="15" hidden="1" customHeight="1" x14ac:dyDescent="0.35">
      <c r="A2302" s="47" t="s">
        <v>2726</v>
      </c>
      <c r="B2302" s="48" t="s">
        <v>3707</v>
      </c>
      <c r="C2302" s="49" t="s">
        <v>2504</v>
      </c>
      <c r="D2302" s="50"/>
      <c r="E2302" s="51">
        <v>1840500</v>
      </c>
      <c r="F2302" s="52">
        <f t="shared" si="139"/>
        <v>147240</v>
      </c>
      <c r="G2302" s="54">
        <f t="shared" si="137"/>
        <v>1987740</v>
      </c>
      <c r="H2302" s="55"/>
      <c r="I2302" s="55">
        <f t="shared" si="138"/>
        <v>1987740</v>
      </c>
      <c r="J2302" s="57"/>
      <c r="K2302" s="57"/>
    </row>
    <row r="2303" spans="1:11" ht="15" hidden="1" customHeight="1" x14ac:dyDescent="0.35">
      <c r="A2303" s="47" t="s">
        <v>2709</v>
      </c>
      <c r="B2303" s="48" t="s">
        <v>3707</v>
      </c>
      <c r="C2303" s="49" t="s">
        <v>3689</v>
      </c>
      <c r="D2303" s="50"/>
      <c r="E2303" s="51">
        <v>1840500</v>
      </c>
      <c r="F2303" s="52">
        <f t="shared" si="139"/>
        <v>147240</v>
      </c>
      <c r="G2303" s="54">
        <f t="shared" si="137"/>
        <v>1987740</v>
      </c>
      <c r="H2303" s="55"/>
      <c r="I2303" s="55">
        <f t="shared" si="138"/>
        <v>1987740</v>
      </c>
      <c r="J2303" s="57"/>
      <c r="K2303" s="57"/>
    </row>
    <row r="2304" spans="1:11" ht="15" hidden="1" customHeight="1" x14ac:dyDescent="0.35">
      <c r="A2304" s="47" t="s">
        <v>3019</v>
      </c>
      <c r="B2304" s="48" t="s">
        <v>3804</v>
      </c>
      <c r="C2304" s="49" t="s">
        <v>3708</v>
      </c>
      <c r="D2304" s="50"/>
      <c r="E2304" s="51">
        <v>1840500</v>
      </c>
      <c r="F2304" s="52">
        <f t="shared" si="139"/>
        <v>147240</v>
      </c>
      <c r="G2304" s="54">
        <f t="shared" si="137"/>
        <v>1987740</v>
      </c>
      <c r="H2304" s="55"/>
      <c r="I2304" s="55">
        <f t="shared" si="138"/>
        <v>1987740</v>
      </c>
      <c r="J2304" s="57"/>
      <c r="K2304" s="57"/>
    </row>
    <row r="2305" spans="1:11" ht="15" hidden="1" customHeight="1" x14ac:dyDescent="0.35">
      <c r="A2305" s="47" t="s">
        <v>2703</v>
      </c>
      <c r="B2305" s="48" t="s">
        <v>3804</v>
      </c>
      <c r="C2305" s="50" t="s">
        <v>3709</v>
      </c>
      <c r="D2305" s="50"/>
      <c r="E2305" s="51">
        <v>3681000</v>
      </c>
      <c r="F2305" s="52">
        <f t="shared" si="139"/>
        <v>294480</v>
      </c>
      <c r="G2305" s="54">
        <f t="shared" si="137"/>
        <v>3975480</v>
      </c>
      <c r="H2305" s="55"/>
      <c r="I2305" s="55">
        <f t="shared" si="138"/>
        <v>3975480</v>
      </c>
      <c r="J2305" s="57"/>
      <c r="K2305" s="57"/>
    </row>
    <row r="2306" spans="1:11" ht="15" hidden="1" customHeight="1" x14ac:dyDescent="0.35">
      <c r="A2306" s="47" t="s">
        <v>3049</v>
      </c>
      <c r="B2306" s="48" t="s">
        <v>3804</v>
      </c>
      <c r="C2306" s="49" t="s">
        <v>1753</v>
      </c>
      <c r="D2306" s="50"/>
      <c r="E2306" s="51">
        <v>1840500</v>
      </c>
      <c r="F2306" s="52">
        <f t="shared" si="139"/>
        <v>147240</v>
      </c>
      <c r="G2306" s="54">
        <f t="shared" si="137"/>
        <v>1987740</v>
      </c>
      <c r="H2306" s="55"/>
      <c r="I2306" s="55">
        <f t="shared" si="138"/>
        <v>1987740</v>
      </c>
      <c r="J2306" s="57"/>
      <c r="K2306" s="57"/>
    </row>
    <row r="2307" spans="1:11" ht="15" hidden="1" customHeight="1" x14ac:dyDescent="0.35">
      <c r="A2307" s="47" t="s">
        <v>2719</v>
      </c>
      <c r="B2307" s="48" t="s">
        <v>3804</v>
      </c>
      <c r="C2307" s="49" t="s">
        <v>3710</v>
      </c>
      <c r="D2307" s="50"/>
      <c r="E2307" s="51">
        <v>2745000</v>
      </c>
      <c r="F2307" s="52">
        <f t="shared" si="139"/>
        <v>219600</v>
      </c>
      <c r="G2307" s="54">
        <f t="shared" si="137"/>
        <v>2964600</v>
      </c>
      <c r="H2307" s="55"/>
      <c r="I2307" s="55">
        <f t="shared" si="138"/>
        <v>2964600</v>
      </c>
      <c r="J2307" s="57"/>
      <c r="K2307" s="57"/>
    </row>
    <row r="2308" spans="1:11" ht="15" hidden="1" customHeight="1" x14ac:dyDescent="0.35">
      <c r="A2308" s="47" t="s">
        <v>2678</v>
      </c>
      <c r="B2308" s="48" t="s">
        <v>3804</v>
      </c>
      <c r="C2308" s="49" t="s">
        <v>3711</v>
      </c>
      <c r="D2308" s="50"/>
      <c r="E2308" s="51">
        <v>1840500</v>
      </c>
      <c r="F2308" s="52">
        <f t="shared" si="139"/>
        <v>147240</v>
      </c>
      <c r="G2308" s="54">
        <f t="shared" si="137"/>
        <v>1987740</v>
      </c>
      <c r="H2308" s="55"/>
      <c r="I2308" s="55">
        <f t="shared" si="138"/>
        <v>1987740</v>
      </c>
      <c r="J2308" s="57"/>
      <c r="K2308" s="57"/>
    </row>
    <row r="2309" spans="1:11" ht="15" hidden="1" customHeight="1" x14ac:dyDescent="0.35">
      <c r="A2309" s="47" t="s">
        <v>2742</v>
      </c>
      <c r="B2309" s="48" t="s">
        <v>3804</v>
      </c>
      <c r="C2309" s="49" t="s">
        <v>1754</v>
      </c>
      <c r="D2309" s="50"/>
      <c r="E2309" s="51">
        <v>1840500</v>
      </c>
      <c r="F2309" s="52">
        <f t="shared" si="139"/>
        <v>147240</v>
      </c>
      <c r="G2309" s="54">
        <f t="shared" si="137"/>
        <v>1987740</v>
      </c>
      <c r="H2309" s="55"/>
      <c r="I2309" s="55">
        <f t="shared" si="138"/>
        <v>1987740</v>
      </c>
      <c r="J2309" s="57"/>
      <c r="K2309" s="57"/>
    </row>
    <row r="2310" spans="1:11" ht="15" hidden="1" customHeight="1" x14ac:dyDescent="0.35">
      <c r="A2310" s="47" t="s">
        <v>2740</v>
      </c>
      <c r="B2310" s="48" t="s">
        <v>3804</v>
      </c>
      <c r="C2310" s="49" t="s">
        <v>1755</v>
      </c>
      <c r="D2310" s="50"/>
      <c r="E2310" s="51">
        <v>3150000</v>
      </c>
      <c r="F2310" s="52">
        <f t="shared" si="139"/>
        <v>252000</v>
      </c>
      <c r="G2310" s="54">
        <f t="shared" si="137"/>
        <v>3402000</v>
      </c>
      <c r="H2310" s="55"/>
      <c r="I2310" s="55">
        <f t="shared" si="138"/>
        <v>3402000</v>
      </c>
      <c r="J2310" s="57"/>
      <c r="K2310" s="57"/>
    </row>
    <row r="2311" spans="1:11" ht="15" hidden="1" customHeight="1" x14ac:dyDescent="0.35">
      <c r="A2311" s="47" t="s">
        <v>2727</v>
      </c>
      <c r="B2311" s="48" t="s">
        <v>3804</v>
      </c>
      <c r="C2311" s="50" t="s">
        <v>1756</v>
      </c>
      <c r="D2311" s="50"/>
      <c r="E2311" s="51">
        <v>2650500</v>
      </c>
      <c r="F2311" s="52">
        <f t="shared" si="139"/>
        <v>212040</v>
      </c>
      <c r="G2311" s="54">
        <f t="shared" si="137"/>
        <v>2862540</v>
      </c>
      <c r="H2311" s="55"/>
      <c r="I2311" s="55">
        <f t="shared" si="138"/>
        <v>2862540</v>
      </c>
      <c r="J2311" s="57"/>
      <c r="K2311" s="57"/>
    </row>
    <row r="2312" spans="1:11" ht="15" hidden="1" customHeight="1" x14ac:dyDescent="0.35">
      <c r="A2312" s="47" t="s">
        <v>2786</v>
      </c>
      <c r="B2312" s="48" t="s">
        <v>3804</v>
      </c>
      <c r="C2312" s="49" t="s">
        <v>3712</v>
      </c>
      <c r="D2312" s="50"/>
      <c r="E2312" s="51">
        <v>1714500</v>
      </c>
      <c r="F2312" s="52">
        <f t="shared" si="139"/>
        <v>137160</v>
      </c>
      <c r="G2312" s="54">
        <f t="shared" si="137"/>
        <v>1851660</v>
      </c>
      <c r="H2312" s="55"/>
      <c r="I2312" s="55">
        <f t="shared" si="138"/>
        <v>1851660</v>
      </c>
      <c r="J2312" s="57"/>
      <c r="K2312" s="57"/>
    </row>
    <row r="2313" spans="1:11" ht="15" hidden="1" customHeight="1" x14ac:dyDescent="0.35">
      <c r="A2313" s="47" t="s">
        <v>2729</v>
      </c>
      <c r="B2313" s="48" t="s">
        <v>3804</v>
      </c>
      <c r="C2313" s="49" t="s">
        <v>3713</v>
      </c>
      <c r="D2313" s="50"/>
      <c r="E2313" s="51">
        <v>1309500</v>
      </c>
      <c r="F2313" s="52">
        <f t="shared" si="139"/>
        <v>104760</v>
      </c>
      <c r="G2313" s="54">
        <f t="shared" si="137"/>
        <v>1414260</v>
      </c>
      <c r="H2313" s="55"/>
      <c r="I2313" s="55">
        <f t="shared" si="138"/>
        <v>1414260</v>
      </c>
      <c r="J2313" s="57"/>
      <c r="K2313" s="57"/>
    </row>
    <row r="2314" spans="1:11" ht="15" hidden="1" customHeight="1" x14ac:dyDescent="0.35">
      <c r="A2314" s="47" t="s">
        <v>3023</v>
      </c>
      <c r="B2314" s="48" t="s">
        <v>3804</v>
      </c>
      <c r="C2314" s="49" t="s">
        <v>1757</v>
      </c>
      <c r="D2314" s="50"/>
      <c r="E2314" s="51">
        <v>2650500</v>
      </c>
      <c r="F2314" s="52">
        <f t="shared" si="139"/>
        <v>212040</v>
      </c>
      <c r="G2314" s="54">
        <f t="shared" si="137"/>
        <v>2862540</v>
      </c>
      <c r="H2314" s="55"/>
      <c r="I2314" s="55">
        <f t="shared" si="138"/>
        <v>2862540</v>
      </c>
      <c r="J2314" s="57"/>
      <c r="K2314" s="57"/>
    </row>
    <row r="2315" spans="1:11" ht="15" hidden="1" customHeight="1" x14ac:dyDescent="0.35">
      <c r="A2315" s="47" t="s">
        <v>2741</v>
      </c>
      <c r="B2315" s="48" t="s">
        <v>3804</v>
      </c>
      <c r="C2315" s="49" t="s">
        <v>3714</v>
      </c>
      <c r="D2315" s="50"/>
      <c r="E2315" s="51">
        <v>654750</v>
      </c>
      <c r="F2315" s="52">
        <f t="shared" si="139"/>
        <v>52380</v>
      </c>
      <c r="G2315" s="54">
        <f t="shared" si="137"/>
        <v>707130</v>
      </c>
      <c r="H2315" s="55"/>
      <c r="I2315" s="55">
        <f t="shared" si="138"/>
        <v>707130</v>
      </c>
      <c r="J2315" s="57"/>
      <c r="K2315" s="57"/>
    </row>
    <row r="2316" spans="1:11" ht="15" hidden="1" customHeight="1" x14ac:dyDescent="0.35">
      <c r="A2316" s="47" t="s">
        <v>2688</v>
      </c>
      <c r="B2316" s="48" t="s">
        <v>3804</v>
      </c>
      <c r="C2316" s="49" t="s">
        <v>3715</v>
      </c>
      <c r="D2316" s="50"/>
      <c r="E2316" s="51">
        <v>5521500</v>
      </c>
      <c r="F2316" s="52">
        <f t="shared" si="139"/>
        <v>441720</v>
      </c>
      <c r="G2316" s="54">
        <f t="shared" si="137"/>
        <v>5963220</v>
      </c>
      <c r="H2316" s="55"/>
      <c r="I2316" s="55">
        <f t="shared" si="138"/>
        <v>5963220</v>
      </c>
      <c r="J2316" s="57"/>
      <c r="K2316" s="57"/>
    </row>
    <row r="2317" spans="1:11" ht="15" hidden="1" customHeight="1" x14ac:dyDescent="0.35">
      <c r="A2317" s="47" t="s">
        <v>2713</v>
      </c>
      <c r="B2317" s="48" t="s">
        <v>3804</v>
      </c>
      <c r="C2317" s="49" t="s">
        <v>3716</v>
      </c>
      <c r="D2317" s="50"/>
      <c r="E2317" s="51">
        <v>920250</v>
      </c>
      <c r="F2317" s="52">
        <f t="shared" si="139"/>
        <v>73620</v>
      </c>
      <c r="G2317" s="54">
        <f t="shared" si="137"/>
        <v>993870</v>
      </c>
      <c r="H2317" s="55"/>
      <c r="I2317" s="55">
        <f t="shared" si="138"/>
        <v>993870</v>
      </c>
      <c r="J2317" s="57"/>
      <c r="K2317" s="57"/>
    </row>
    <row r="2318" spans="1:11" ht="15" hidden="1" customHeight="1" x14ac:dyDescent="0.35">
      <c r="A2318" s="47" t="s">
        <v>2711</v>
      </c>
      <c r="B2318" s="48" t="s">
        <v>3804</v>
      </c>
      <c r="C2318" s="49" t="s">
        <v>3717</v>
      </c>
      <c r="D2318" s="50"/>
      <c r="E2318" s="51">
        <v>3492000</v>
      </c>
      <c r="F2318" s="52">
        <f t="shared" si="139"/>
        <v>279360</v>
      </c>
      <c r="G2318" s="54">
        <f t="shared" si="137"/>
        <v>3771360</v>
      </c>
      <c r="H2318" s="55"/>
      <c r="I2318" s="55">
        <f t="shared" si="138"/>
        <v>3771360</v>
      </c>
      <c r="J2318" s="57"/>
      <c r="K2318" s="57"/>
    </row>
    <row r="2319" spans="1:11" ht="15" hidden="1" customHeight="1" x14ac:dyDescent="0.35">
      <c r="A2319" s="47" t="s">
        <v>2696</v>
      </c>
      <c r="B2319" s="48">
        <v>46210</v>
      </c>
      <c r="C2319" s="50" t="s">
        <v>3718</v>
      </c>
      <c r="D2319" s="49" t="s">
        <v>3822</v>
      </c>
      <c r="E2319" s="51">
        <v>2198700</v>
      </c>
      <c r="F2319" s="52">
        <f t="shared" si="139"/>
        <v>175896</v>
      </c>
      <c r="G2319" s="54">
        <f t="shared" si="137"/>
        <v>2374596</v>
      </c>
      <c r="H2319" s="55"/>
      <c r="I2319" s="55">
        <f t="shared" si="138"/>
        <v>2374596</v>
      </c>
      <c r="J2319" s="57"/>
      <c r="K2319" s="57"/>
    </row>
    <row r="2320" spans="1:11" ht="15" hidden="1" customHeight="1" x14ac:dyDescent="0.35">
      <c r="A2320" s="47" t="s">
        <v>2722</v>
      </c>
      <c r="B2320" s="48" t="s">
        <v>3804</v>
      </c>
      <c r="C2320" s="49" t="s">
        <v>3719</v>
      </c>
      <c r="D2320" s="50"/>
      <c r="E2320" s="51">
        <v>1840500</v>
      </c>
      <c r="F2320" s="52">
        <f t="shared" si="139"/>
        <v>147240</v>
      </c>
      <c r="G2320" s="54">
        <f t="shared" si="137"/>
        <v>1987740</v>
      </c>
      <c r="H2320" s="55"/>
      <c r="I2320" s="55">
        <f t="shared" si="138"/>
        <v>1987740</v>
      </c>
      <c r="J2320" s="57"/>
      <c r="K2320" s="57"/>
    </row>
    <row r="2321" spans="1:11" ht="15" hidden="1" customHeight="1" x14ac:dyDescent="0.35">
      <c r="A2321" s="47" t="s">
        <v>2837</v>
      </c>
      <c r="B2321" s="48" t="s">
        <v>3804</v>
      </c>
      <c r="C2321" s="49" t="s">
        <v>3720</v>
      </c>
      <c r="D2321" s="50"/>
      <c r="E2321" s="51">
        <v>1840500</v>
      </c>
      <c r="F2321" s="52">
        <f t="shared" si="139"/>
        <v>147240</v>
      </c>
      <c r="G2321" s="54">
        <f t="shared" si="137"/>
        <v>1987740</v>
      </c>
      <c r="H2321" s="55"/>
      <c r="I2321" s="55">
        <f t="shared" si="138"/>
        <v>1987740</v>
      </c>
      <c r="J2321" s="57"/>
      <c r="K2321" s="57"/>
    </row>
    <row r="2322" spans="1:11" ht="15" hidden="1" customHeight="1" x14ac:dyDescent="0.35">
      <c r="A2322" s="47" t="s">
        <v>2733</v>
      </c>
      <c r="B2322" s="48" t="s">
        <v>3804</v>
      </c>
      <c r="C2322" s="49" t="s">
        <v>3721</v>
      </c>
      <c r="D2322" s="50"/>
      <c r="E2322" s="51">
        <v>3649500</v>
      </c>
      <c r="F2322" s="52">
        <f t="shared" si="139"/>
        <v>291960</v>
      </c>
      <c r="G2322" s="54">
        <f t="shared" si="137"/>
        <v>3941460</v>
      </c>
      <c r="H2322" s="55"/>
      <c r="I2322" s="55">
        <f t="shared" si="138"/>
        <v>3941460</v>
      </c>
      <c r="J2322" s="57"/>
      <c r="K2322" s="57"/>
    </row>
    <row r="2323" spans="1:11" ht="15" hidden="1" customHeight="1" x14ac:dyDescent="0.35">
      <c r="A2323" s="47" t="s">
        <v>2694</v>
      </c>
      <c r="B2323" s="48" t="s">
        <v>3804</v>
      </c>
      <c r="C2323" s="49" t="s">
        <v>3722</v>
      </c>
      <c r="D2323" s="50"/>
      <c r="E2323" s="51">
        <v>1809000</v>
      </c>
      <c r="F2323" s="52">
        <f t="shared" si="139"/>
        <v>144720</v>
      </c>
      <c r="G2323" s="54">
        <f t="shared" si="137"/>
        <v>1953720</v>
      </c>
      <c r="H2323" s="55"/>
      <c r="I2323" s="55">
        <f t="shared" si="138"/>
        <v>1953720</v>
      </c>
      <c r="J2323" s="57"/>
      <c r="K2323" s="57"/>
    </row>
    <row r="2324" spans="1:11" ht="15" hidden="1" customHeight="1" x14ac:dyDescent="0.35">
      <c r="A2324" s="47" t="s">
        <v>3055</v>
      </c>
      <c r="B2324" s="48" t="s">
        <v>3805</v>
      </c>
      <c r="C2324" s="49" t="s">
        <v>3723</v>
      </c>
      <c r="D2324" s="50"/>
      <c r="E2324" s="51">
        <v>1325250</v>
      </c>
      <c r="F2324" s="52">
        <f t="shared" si="139"/>
        <v>106020</v>
      </c>
      <c r="G2324" s="54">
        <f t="shared" si="137"/>
        <v>1431270</v>
      </c>
      <c r="H2324" s="55"/>
      <c r="I2324" s="55">
        <f t="shared" si="138"/>
        <v>1431270</v>
      </c>
      <c r="J2324" s="57"/>
      <c r="K2324" s="57"/>
    </row>
    <row r="2325" spans="1:11" ht="15" hidden="1" customHeight="1" x14ac:dyDescent="0.35">
      <c r="A2325" s="47" t="s">
        <v>56</v>
      </c>
      <c r="B2325" s="48" t="s">
        <v>3805</v>
      </c>
      <c r="C2325" s="49" t="s">
        <v>3724</v>
      </c>
      <c r="D2325" s="50"/>
      <c r="E2325" s="51">
        <v>1840500</v>
      </c>
      <c r="F2325" s="52">
        <f t="shared" si="139"/>
        <v>147240</v>
      </c>
      <c r="G2325" s="54">
        <f t="shared" si="137"/>
        <v>1987740</v>
      </c>
      <c r="H2325" s="55"/>
      <c r="I2325" s="55">
        <f t="shared" si="138"/>
        <v>1987740</v>
      </c>
      <c r="J2325" s="57"/>
      <c r="K2325" s="57"/>
    </row>
    <row r="2326" spans="1:11" ht="15" hidden="1" customHeight="1" x14ac:dyDescent="0.35">
      <c r="A2326" s="47" t="s">
        <v>2681</v>
      </c>
      <c r="B2326" s="48" t="s">
        <v>3805</v>
      </c>
      <c r="C2326" s="49" t="s">
        <v>3725</v>
      </c>
      <c r="D2326" s="50"/>
      <c r="E2326" s="51">
        <v>706500</v>
      </c>
      <c r="F2326" s="52">
        <f t="shared" si="139"/>
        <v>56520</v>
      </c>
      <c r="G2326" s="54">
        <f t="shared" si="137"/>
        <v>763020</v>
      </c>
      <c r="H2326" s="55"/>
      <c r="I2326" s="55">
        <f t="shared" si="138"/>
        <v>763020</v>
      </c>
      <c r="J2326" s="57"/>
      <c r="K2326" s="57"/>
    </row>
    <row r="2327" spans="1:11" ht="15" hidden="1" customHeight="1" x14ac:dyDescent="0.35">
      <c r="A2327" s="47" t="s">
        <v>2737</v>
      </c>
      <c r="B2327" s="48" t="s">
        <v>3805</v>
      </c>
      <c r="C2327" s="49" t="s">
        <v>3726</v>
      </c>
      <c r="D2327" s="50"/>
      <c r="E2327" s="51">
        <v>1372500</v>
      </c>
      <c r="F2327" s="52">
        <f t="shared" si="139"/>
        <v>109800</v>
      </c>
      <c r="G2327" s="54">
        <f t="shared" si="137"/>
        <v>1482300</v>
      </c>
      <c r="H2327" s="55"/>
      <c r="I2327" s="55">
        <f t="shared" si="138"/>
        <v>1482300</v>
      </c>
      <c r="J2327" s="57"/>
      <c r="K2327" s="57"/>
    </row>
    <row r="2328" spans="1:11" ht="15" hidden="1" customHeight="1" x14ac:dyDescent="0.35">
      <c r="A2328" s="47" t="s">
        <v>3024</v>
      </c>
      <c r="B2328" s="48" t="s">
        <v>3805</v>
      </c>
      <c r="C2328" s="49" t="s">
        <v>1758</v>
      </c>
      <c r="D2328" s="50"/>
      <c r="E2328" s="51">
        <v>920250</v>
      </c>
      <c r="F2328" s="52">
        <f t="shared" si="139"/>
        <v>73620</v>
      </c>
      <c r="G2328" s="54">
        <f t="shared" si="137"/>
        <v>993870</v>
      </c>
      <c r="H2328" s="55"/>
      <c r="I2328" s="55">
        <f t="shared" si="138"/>
        <v>993870</v>
      </c>
      <c r="J2328" s="57"/>
      <c r="K2328" s="57"/>
    </row>
    <row r="2329" spans="1:11" ht="15" hidden="1" customHeight="1" x14ac:dyDescent="0.35">
      <c r="A2329" s="47" t="s">
        <v>2683</v>
      </c>
      <c r="B2329" s="48" t="s">
        <v>3805</v>
      </c>
      <c r="C2329" s="49" t="s">
        <v>3727</v>
      </c>
      <c r="D2329" s="50"/>
      <c r="E2329" s="51">
        <v>1840500</v>
      </c>
      <c r="F2329" s="52">
        <f t="shared" si="139"/>
        <v>147240</v>
      </c>
      <c r="G2329" s="54">
        <f t="shared" si="137"/>
        <v>1987740</v>
      </c>
      <c r="H2329" s="55"/>
      <c r="I2329" s="55">
        <f t="shared" si="138"/>
        <v>1987740</v>
      </c>
      <c r="J2329" s="57"/>
      <c r="K2329" s="57"/>
    </row>
    <row r="2330" spans="1:11" ht="15" hidden="1" customHeight="1" x14ac:dyDescent="0.35">
      <c r="A2330" s="47" t="s">
        <v>2695</v>
      </c>
      <c r="B2330" s="48" t="s">
        <v>3805</v>
      </c>
      <c r="C2330" s="49" t="s">
        <v>3728</v>
      </c>
      <c r="D2330" s="50"/>
      <c r="E2330" s="51">
        <v>8761500</v>
      </c>
      <c r="F2330" s="52">
        <f t="shared" si="139"/>
        <v>700920</v>
      </c>
      <c r="G2330" s="54">
        <f t="shared" si="137"/>
        <v>9462420</v>
      </c>
      <c r="H2330" s="55"/>
      <c r="I2330" s="55">
        <f t="shared" si="138"/>
        <v>9462420</v>
      </c>
      <c r="J2330" s="57"/>
      <c r="K2330" s="57"/>
    </row>
    <row r="2331" spans="1:11" ht="15" hidden="1" customHeight="1" x14ac:dyDescent="0.35">
      <c r="A2331" s="47" t="s">
        <v>3016</v>
      </c>
      <c r="B2331" s="48" t="s">
        <v>3805</v>
      </c>
      <c r="C2331" s="49" t="s">
        <v>3729</v>
      </c>
      <c r="D2331" s="50"/>
      <c r="E2331" s="51">
        <v>2556000</v>
      </c>
      <c r="F2331" s="52">
        <f t="shared" si="139"/>
        <v>204480</v>
      </c>
      <c r="G2331" s="54">
        <f t="shared" si="137"/>
        <v>2760480</v>
      </c>
      <c r="H2331" s="55"/>
      <c r="I2331" s="55">
        <f t="shared" si="138"/>
        <v>2760480</v>
      </c>
      <c r="J2331" s="57"/>
      <c r="K2331" s="57"/>
    </row>
    <row r="2332" spans="1:11" ht="15" hidden="1" customHeight="1" x14ac:dyDescent="0.35">
      <c r="A2332" s="47" t="s">
        <v>1414</v>
      </c>
      <c r="B2332" s="48" t="s">
        <v>3806</v>
      </c>
      <c r="C2332" s="49" t="s">
        <v>1763</v>
      </c>
      <c r="D2332" s="50"/>
      <c r="E2332" s="51">
        <v>1840500</v>
      </c>
      <c r="F2332" s="52">
        <f t="shared" si="139"/>
        <v>147240</v>
      </c>
      <c r="G2332" s="54">
        <f t="shared" si="137"/>
        <v>1987740</v>
      </c>
      <c r="H2332" s="55"/>
      <c r="I2332" s="55">
        <f t="shared" si="138"/>
        <v>1987740</v>
      </c>
      <c r="J2332" s="57"/>
      <c r="K2332" s="57"/>
    </row>
    <row r="2333" spans="1:11" ht="15" hidden="1" customHeight="1" x14ac:dyDescent="0.35">
      <c r="A2333" s="47" t="s">
        <v>2730</v>
      </c>
      <c r="B2333" s="48" t="s">
        <v>3806</v>
      </c>
      <c r="C2333" s="49" t="s">
        <v>3730</v>
      </c>
      <c r="D2333" s="50"/>
      <c r="E2333" s="51">
        <v>2524500</v>
      </c>
      <c r="F2333" s="52">
        <f t="shared" si="139"/>
        <v>201960</v>
      </c>
      <c r="G2333" s="54">
        <f t="shared" si="137"/>
        <v>2726460</v>
      </c>
      <c r="H2333" s="55"/>
      <c r="I2333" s="55">
        <f t="shared" si="138"/>
        <v>2726460</v>
      </c>
      <c r="J2333" s="57"/>
      <c r="K2333" s="57"/>
    </row>
    <row r="2334" spans="1:11" ht="15" hidden="1" customHeight="1" x14ac:dyDescent="0.35">
      <c r="A2334" s="47" t="s">
        <v>2729</v>
      </c>
      <c r="B2334" s="48" t="s">
        <v>3806</v>
      </c>
      <c r="C2334" s="49" t="s">
        <v>3731</v>
      </c>
      <c r="D2334" s="50"/>
      <c r="E2334" s="51">
        <v>904500</v>
      </c>
      <c r="F2334" s="52">
        <f t="shared" si="139"/>
        <v>72360</v>
      </c>
      <c r="G2334" s="54">
        <f t="shared" si="137"/>
        <v>976860</v>
      </c>
      <c r="H2334" s="55"/>
      <c r="I2334" s="55">
        <f t="shared" si="138"/>
        <v>976860</v>
      </c>
      <c r="J2334" s="57"/>
      <c r="K2334" s="57"/>
    </row>
    <row r="2335" spans="1:11" ht="15" hidden="1" customHeight="1" x14ac:dyDescent="0.35">
      <c r="A2335" s="47" t="s">
        <v>2698</v>
      </c>
      <c r="B2335" s="48" t="s">
        <v>3806</v>
      </c>
      <c r="C2335" s="49" t="s">
        <v>3732</v>
      </c>
      <c r="D2335" s="50"/>
      <c r="E2335" s="51">
        <v>810000</v>
      </c>
      <c r="F2335" s="52">
        <f t="shared" si="139"/>
        <v>64800</v>
      </c>
      <c r="G2335" s="54">
        <f t="shared" si="137"/>
        <v>874800</v>
      </c>
      <c r="H2335" s="55"/>
      <c r="I2335" s="55">
        <f t="shared" si="138"/>
        <v>874800</v>
      </c>
      <c r="J2335" s="57"/>
      <c r="K2335" s="57"/>
    </row>
    <row r="2336" spans="1:11" ht="15" hidden="1" customHeight="1" x14ac:dyDescent="0.35">
      <c r="A2336" s="47" t="s">
        <v>2690</v>
      </c>
      <c r="B2336" s="48" t="s">
        <v>3806</v>
      </c>
      <c r="C2336" s="49" t="s">
        <v>3733</v>
      </c>
      <c r="D2336" s="50"/>
      <c r="E2336" s="51">
        <v>1840500</v>
      </c>
      <c r="F2336" s="52">
        <f t="shared" si="139"/>
        <v>147240</v>
      </c>
      <c r="G2336" s="54">
        <f t="shared" si="137"/>
        <v>1987740</v>
      </c>
      <c r="H2336" s="55"/>
      <c r="I2336" s="55">
        <f t="shared" si="138"/>
        <v>1987740</v>
      </c>
      <c r="J2336" s="57"/>
      <c r="K2336" s="57"/>
    </row>
    <row r="2337" spans="1:11" ht="15" hidden="1" customHeight="1" x14ac:dyDescent="0.35">
      <c r="A2337" s="47" t="s">
        <v>770</v>
      </c>
      <c r="B2337" s="48" t="s">
        <v>3806</v>
      </c>
      <c r="C2337" s="49" t="s">
        <v>3734</v>
      </c>
      <c r="D2337" s="50"/>
      <c r="E2337" s="51">
        <v>1840500</v>
      </c>
      <c r="F2337" s="52">
        <f t="shared" si="139"/>
        <v>147240</v>
      </c>
      <c r="G2337" s="54">
        <f t="shared" si="137"/>
        <v>1987740</v>
      </c>
      <c r="H2337" s="55"/>
      <c r="I2337" s="55">
        <f t="shared" si="138"/>
        <v>1987740</v>
      </c>
      <c r="J2337" s="57"/>
      <c r="K2337" s="57"/>
    </row>
    <row r="2338" spans="1:11" ht="15" hidden="1" customHeight="1" x14ac:dyDescent="0.35">
      <c r="A2338" s="47" t="s">
        <v>2700</v>
      </c>
      <c r="B2338" s="48" t="s">
        <v>3807</v>
      </c>
      <c r="C2338" s="49" t="s">
        <v>1769</v>
      </c>
      <c r="D2338" s="50"/>
      <c r="E2338" s="51">
        <v>904500</v>
      </c>
      <c r="F2338" s="52">
        <f t="shared" si="139"/>
        <v>72360</v>
      </c>
      <c r="G2338" s="54">
        <f t="shared" si="137"/>
        <v>976860</v>
      </c>
      <c r="H2338" s="55"/>
      <c r="I2338" s="55">
        <f t="shared" si="138"/>
        <v>976860</v>
      </c>
      <c r="J2338" s="57"/>
      <c r="K2338" s="57"/>
    </row>
    <row r="2339" spans="1:11" ht="15" hidden="1" customHeight="1" x14ac:dyDescent="0.35">
      <c r="A2339" s="47" t="s">
        <v>2747</v>
      </c>
      <c r="B2339" s="48" t="s">
        <v>3807</v>
      </c>
      <c r="C2339" s="49" t="s">
        <v>3735</v>
      </c>
      <c r="D2339" s="50"/>
      <c r="E2339" s="51">
        <v>904500</v>
      </c>
      <c r="F2339" s="52">
        <f t="shared" si="139"/>
        <v>72360</v>
      </c>
      <c r="G2339" s="54">
        <f t="shared" si="137"/>
        <v>976860</v>
      </c>
      <c r="H2339" s="55"/>
      <c r="I2339" s="55">
        <f t="shared" si="138"/>
        <v>976860</v>
      </c>
      <c r="J2339" s="57"/>
      <c r="K2339" s="57"/>
    </row>
    <row r="2340" spans="1:11" ht="15" hidden="1" customHeight="1" x14ac:dyDescent="0.35">
      <c r="A2340" s="47" t="s">
        <v>3820</v>
      </c>
      <c r="B2340" s="48" t="s">
        <v>3807</v>
      </c>
      <c r="C2340" s="50" t="s">
        <v>3736</v>
      </c>
      <c r="D2340" s="50"/>
      <c r="E2340" s="51">
        <v>1388889</v>
      </c>
      <c r="F2340" s="52">
        <f t="shared" si="139"/>
        <v>111111.12</v>
      </c>
      <c r="G2340" s="54">
        <f t="shared" si="137"/>
        <v>1500000.12</v>
      </c>
      <c r="H2340" s="55"/>
      <c r="I2340" s="55">
        <f t="shared" si="138"/>
        <v>1500000.12</v>
      </c>
      <c r="J2340" s="57"/>
      <c r="K2340" s="57"/>
    </row>
    <row r="2341" spans="1:11" ht="15" hidden="1" customHeight="1" x14ac:dyDescent="0.35">
      <c r="A2341" s="47" t="s">
        <v>56</v>
      </c>
      <c r="B2341" s="48" t="s">
        <v>3807</v>
      </c>
      <c r="C2341" s="49" t="s">
        <v>3737</v>
      </c>
      <c r="D2341" s="50"/>
      <c r="E2341" s="51">
        <v>936000</v>
      </c>
      <c r="F2341" s="52">
        <f t="shared" si="139"/>
        <v>74880</v>
      </c>
      <c r="G2341" s="54">
        <f t="shared" si="137"/>
        <v>1010880</v>
      </c>
      <c r="H2341" s="55"/>
      <c r="I2341" s="55">
        <f t="shared" si="138"/>
        <v>1010880</v>
      </c>
      <c r="J2341" s="57"/>
      <c r="K2341" s="57"/>
    </row>
    <row r="2342" spans="1:11" ht="15" hidden="1" customHeight="1" x14ac:dyDescent="0.35">
      <c r="A2342" s="47" t="s">
        <v>2679</v>
      </c>
      <c r="B2342" s="48" t="s">
        <v>3807</v>
      </c>
      <c r="C2342" s="49" t="s">
        <v>3738</v>
      </c>
      <c r="D2342" s="50"/>
      <c r="E2342" s="51">
        <v>1746000</v>
      </c>
      <c r="F2342" s="52">
        <f t="shared" si="139"/>
        <v>139680</v>
      </c>
      <c r="G2342" s="54">
        <f t="shared" si="137"/>
        <v>1885680</v>
      </c>
      <c r="H2342" s="55"/>
      <c r="I2342" s="55">
        <f t="shared" si="138"/>
        <v>1885680</v>
      </c>
      <c r="J2342" s="57"/>
      <c r="K2342" s="57"/>
    </row>
    <row r="2343" spans="1:11" ht="15" hidden="1" customHeight="1" x14ac:dyDescent="0.35">
      <c r="A2343" s="47" t="s">
        <v>2689</v>
      </c>
      <c r="B2343" s="48" t="s">
        <v>3808</v>
      </c>
      <c r="C2343" s="50" t="s">
        <v>3739</v>
      </c>
      <c r="D2343" s="50"/>
      <c r="E2343" s="51">
        <v>1840500</v>
      </c>
      <c r="F2343" s="52">
        <f t="shared" si="139"/>
        <v>147240</v>
      </c>
      <c r="G2343" s="54">
        <f t="shared" si="137"/>
        <v>1987740</v>
      </c>
      <c r="H2343" s="55"/>
      <c r="I2343" s="55">
        <f t="shared" si="138"/>
        <v>1987740</v>
      </c>
      <c r="J2343" s="57"/>
      <c r="K2343" s="57"/>
    </row>
    <row r="2344" spans="1:11" ht="15" hidden="1" customHeight="1" x14ac:dyDescent="0.35">
      <c r="A2344" s="47" t="s">
        <v>2699</v>
      </c>
      <c r="B2344" s="48" t="s">
        <v>3808</v>
      </c>
      <c r="C2344" s="49" t="s">
        <v>3740</v>
      </c>
      <c r="D2344" s="50"/>
      <c r="E2344" s="51">
        <v>3150000</v>
      </c>
      <c r="F2344" s="52">
        <f t="shared" si="139"/>
        <v>252000</v>
      </c>
      <c r="G2344" s="54">
        <f t="shared" si="137"/>
        <v>3402000</v>
      </c>
      <c r="H2344" s="55"/>
      <c r="I2344" s="55">
        <f t="shared" si="138"/>
        <v>3402000</v>
      </c>
      <c r="J2344" s="57"/>
      <c r="K2344" s="57"/>
    </row>
    <row r="2345" spans="1:11" ht="15" hidden="1" customHeight="1" x14ac:dyDescent="0.35">
      <c r="A2345" s="47" t="s">
        <v>2725</v>
      </c>
      <c r="B2345" s="48" t="s">
        <v>3808</v>
      </c>
      <c r="C2345" s="49" t="s">
        <v>3741</v>
      </c>
      <c r="D2345" s="50"/>
      <c r="E2345" s="51">
        <v>904500</v>
      </c>
      <c r="F2345" s="52">
        <f t="shared" si="139"/>
        <v>72360</v>
      </c>
      <c r="G2345" s="54">
        <f t="shared" si="137"/>
        <v>976860</v>
      </c>
      <c r="H2345" s="55"/>
      <c r="I2345" s="55">
        <f t="shared" si="138"/>
        <v>976860</v>
      </c>
      <c r="J2345" s="57"/>
      <c r="K2345" s="57"/>
    </row>
    <row r="2346" spans="1:11" ht="15" hidden="1" customHeight="1" x14ac:dyDescent="0.35">
      <c r="A2346" s="47" t="s">
        <v>2696</v>
      </c>
      <c r="B2346" s="48" t="s">
        <v>3808</v>
      </c>
      <c r="C2346" s="49" t="s">
        <v>2545</v>
      </c>
      <c r="D2346" s="50"/>
      <c r="E2346" s="51">
        <v>1840500</v>
      </c>
      <c r="F2346" s="52">
        <f t="shared" si="139"/>
        <v>147240</v>
      </c>
      <c r="G2346" s="54">
        <f t="shared" si="137"/>
        <v>1987740</v>
      </c>
      <c r="H2346" s="55"/>
      <c r="I2346" s="55">
        <f t="shared" si="138"/>
        <v>1987740</v>
      </c>
      <c r="J2346" s="57"/>
      <c r="K2346" s="57"/>
    </row>
    <row r="2347" spans="1:11" ht="15" hidden="1" customHeight="1" x14ac:dyDescent="0.35">
      <c r="A2347" s="47" t="s">
        <v>2711</v>
      </c>
      <c r="B2347" s="48" t="s">
        <v>3809</v>
      </c>
      <c r="C2347" s="49" t="s">
        <v>3742</v>
      </c>
      <c r="D2347" s="50"/>
      <c r="E2347" s="51">
        <v>920250</v>
      </c>
      <c r="F2347" s="52">
        <f t="shared" si="139"/>
        <v>73620</v>
      </c>
      <c r="G2347" s="54">
        <f t="shared" si="137"/>
        <v>993870</v>
      </c>
      <c r="H2347" s="55"/>
      <c r="I2347" s="55">
        <f t="shared" si="138"/>
        <v>993870</v>
      </c>
      <c r="J2347" s="57"/>
      <c r="K2347" s="57"/>
    </row>
    <row r="2348" spans="1:11" ht="15" hidden="1" customHeight="1" x14ac:dyDescent="0.35">
      <c r="A2348" s="47" t="s">
        <v>2688</v>
      </c>
      <c r="B2348" s="48" t="s">
        <v>3809</v>
      </c>
      <c r="C2348" s="49" t="s">
        <v>3743</v>
      </c>
      <c r="D2348" s="50"/>
      <c r="E2348" s="51">
        <v>4491000</v>
      </c>
      <c r="F2348" s="52">
        <f t="shared" si="139"/>
        <v>359280</v>
      </c>
      <c r="G2348" s="54">
        <f t="shared" si="137"/>
        <v>4850280</v>
      </c>
      <c r="H2348" s="55"/>
      <c r="I2348" s="55">
        <f t="shared" si="138"/>
        <v>4850280</v>
      </c>
      <c r="J2348" s="57"/>
      <c r="K2348" s="57"/>
    </row>
    <row r="2349" spans="1:11" ht="15" hidden="1" customHeight="1" x14ac:dyDescent="0.35">
      <c r="A2349" s="47" t="s">
        <v>55</v>
      </c>
      <c r="B2349" s="48" t="s">
        <v>3809</v>
      </c>
      <c r="C2349" s="49" t="s">
        <v>3744</v>
      </c>
      <c r="D2349" s="50"/>
      <c r="E2349" s="51">
        <v>3555000</v>
      </c>
      <c r="F2349" s="52">
        <f t="shared" si="139"/>
        <v>284400</v>
      </c>
      <c r="G2349" s="54">
        <f t="shared" si="137"/>
        <v>3839400</v>
      </c>
      <c r="H2349" s="55"/>
      <c r="I2349" s="55">
        <f t="shared" si="138"/>
        <v>3839400</v>
      </c>
      <c r="J2349" s="57"/>
      <c r="K2349" s="57"/>
    </row>
    <row r="2350" spans="1:11" ht="15" hidden="1" customHeight="1" x14ac:dyDescent="0.35">
      <c r="A2350" s="47" t="s">
        <v>2721</v>
      </c>
      <c r="B2350" s="48" t="s">
        <v>3809</v>
      </c>
      <c r="C2350" s="49" t="s">
        <v>3745</v>
      </c>
      <c r="D2350" s="50"/>
      <c r="E2350" s="51">
        <v>1840500</v>
      </c>
      <c r="F2350" s="52">
        <f t="shared" si="139"/>
        <v>147240</v>
      </c>
      <c r="G2350" s="54">
        <f t="shared" si="137"/>
        <v>1987740</v>
      </c>
      <c r="H2350" s="55"/>
      <c r="I2350" s="55">
        <f t="shared" si="138"/>
        <v>1987740</v>
      </c>
      <c r="J2350" s="57"/>
      <c r="K2350" s="57"/>
    </row>
    <row r="2351" spans="1:11" ht="15" hidden="1" customHeight="1" x14ac:dyDescent="0.35">
      <c r="A2351" s="47" t="s">
        <v>2704</v>
      </c>
      <c r="B2351" s="48" t="s">
        <v>3809</v>
      </c>
      <c r="C2351" s="49" t="s">
        <v>3746</v>
      </c>
      <c r="D2351" s="50"/>
      <c r="E2351" s="51">
        <v>1840500</v>
      </c>
      <c r="F2351" s="52">
        <f t="shared" si="139"/>
        <v>147240</v>
      </c>
      <c r="G2351" s="54">
        <f t="shared" si="137"/>
        <v>1987740</v>
      </c>
      <c r="H2351" s="55"/>
      <c r="I2351" s="55">
        <f t="shared" si="138"/>
        <v>1987740</v>
      </c>
      <c r="J2351" s="57"/>
      <c r="K2351" s="57"/>
    </row>
    <row r="2352" spans="1:11" ht="15" hidden="1" customHeight="1" x14ac:dyDescent="0.35">
      <c r="A2352" s="47" t="s">
        <v>2729</v>
      </c>
      <c r="B2352" s="48" t="s">
        <v>3809</v>
      </c>
      <c r="C2352" s="49" t="s">
        <v>2548</v>
      </c>
      <c r="D2352" s="50"/>
      <c r="E2352" s="51">
        <v>1714500</v>
      </c>
      <c r="F2352" s="52">
        <f t="shared" si="139"/>
        <v>137160</v>
      </c>
      <c r="G2352" s="54">
        <f t="shared" si="137"/>
        <v>1851660</v>
      </c>
      <c r="H2352" s="55"/>
      <c r="I2352" s="55">
        <f t="shared" si="138"/>
        <v>1851660</v>
      </c>
      <c r="J2352" s="57"/>
      <c r="K2352" s="57"/>
    </row>
    <row r="2353" spans="1:11" ht="15" hidden="1" customHeight="1" x14ac:dyDescent="0.35">
      <c r="A2353" s="47" t="s">
        <v>2738</v>
      </c>
      <c r="B2353" s="48" t="s">
        <v>3809</v>
      </c>
      <c r="C2353" s="49" t="s">
        <v>2549</v>
      </c>
      <c r="D2353" s="50"/>
      <c r="E2353" s="51">
        <v>920250</v>
      </c>
      <c r="F2353" s="52">
        <f t="shared" si="139"/>
        <v>73620</v>
      </c>
      <c r="G2353" s="54">
        <f t="shared" si="137"/>
        <v>993870</v>
      </c>
      <c r="H2353" s="55"/>
      <c r="I2353" s="55">
        <f t="shared" si="138"/>
        <v>993870</v>
      </c>
      <c r="J2353" s="57"/>
      <c r="K2353" s="57"/>
    </row>
    <row r="2354" spans="1:11" ht="15" hidden="1" customHeight="1" x14ac:dyDescent="0.35">
      <c r="A2354" s="47" t="s">
        <v>3047</v>
      </c>
      <c r="B2354" s="48" t="s">
        <v>3809</v>
      </c>
      <c r="C2354" s="49" t="s">
        <v>3747</v>
      </c>
      <c r="D2354" s="50"/>
      <c r="E2354" s="51">
        <v>1840500</v>
      </c>
      <c r="F2354" s="52">
        <f t="shared" si="139"/>
        <v>147240</v>
      </c>
      <c r="G2354" s="54">
        <f t="shared" ref="G2354:G2417" si="140">E2354+F2354</f>
        <v>1987740</v>
      </c>
      <c r="H2354" s="55"/>
      <c r="I2354" s="55">
        <f t="shared" si="138"/>
        <v>1987740</v>
      </c>
      <c r="J2354" s="57"/>
      <c r="K2354" s="57"/>
    </row>
    <row r="2355" spans="1:11" ht="15" hidden="1" customHeight="1" x14ac:dyDescent="0.35">
      <c r="A2355" s="47" t="s">
        <v>2747</v>
      </c>
      <c r="B2355" s="48" t="s">
        <v>3809</v>
      </c>
      <c r="C2355" s="49" t="s">
        <v>3748</v>
      </c>
      <c r="D2355" s="50"/>
      <c r="E2355" s="51">
        <v>904500</v>
      </c>
      <c r="F2355" s="52">
        <f t="shared" si="139"/>
        <v>72360</v>
      </c>
      <c r="G2355" s="54">
        <f t="shared" si="140"/>
        <v>976860</v>
      </c>
      <c r="H2355" s="55"/>
      <c r="I2355" s="55">
        <f t="shared" ref="I2355:I2418" si="141">G2355-H2355</f>
        <v>976860</v>
      </c>
      <c r="J2355" s="57"/>
      <c r="K2355" s="57"/>
    </row>
    <row r="2356" spans="1:11" ht="15" hidden="1" customHeight="1" x14ac:dyDescent="0.35">
      <c r="A2356" s="47" t="s">
        <v>2786</v>
      </c>
      <c r="B2356" s="48" t="s">
        <v>3809</v>
      </c>
      <c r="C2356" s="49" t="s">
        <v>3749</v>
      </c>
      <c r="D2356" s="50"/>
      <c r="E2356" s="51">
        <v>1840500</v>
      </c>
      <c r="F2356" s="52">
        <f t="shared" ref="F2356:F2419" si="142">+E2356*0.08</f>
        <v>147240</v>
      </c>
      <c r="G2356" s="54">
        <f t="shared" si="140"/>
        <v>1987740</v>
      </c>
      <c r="H2356" s="55"/>
      <c r="I2356" s="55">
        <f t="shared" si="141"/>
        <v>1987740</v>
      </c>
      <c r="J2356" s="57"/>
      <c r="K2356" s="57"/>
    </row>
    <row r="2357" spans="1:11" ht="15" hidden="1" customHeight="1" x14ac:dyDescent="0.35">
      <c r="A2357" s="47" t="s">
        <v>2680</v>
      </c>
      <c r="B2357" s="48" t="s">
        <v>3810</v>
      </c>
      <c r="C2357" s="49" t="s">
        <v>3750</v>
      </c>
      <c r="D2357" s="50"/>
      <c r="E2357" s="51">
        <v>904500</v>
      </c>
      <c r="F2357" s="52">
        <f t="shared" si="142"/>
        <v>72360</v>
      </c>
      <c r="G2357" s="54">
        <f t="shared" si="140"/>
        <v>976860</v>
      </c>
      <c r="H2357" s="55"/>
      <c r="I2357" s="55">
        <f t="shared" si="141"/>
        <v>976860</v>
      </c>
      <c r="J2357" s="57"/>
      <c r="K2357" s="57"/>
    </row>
    <row r="2358" spans="1:11" ht="15" hidden="1" customHeight="1" x14ac:dyDescent="0.35">
      <c r="A2358" s="47" t="s">
        <v>2696</v>
      </c>
      <c r="B2358" s="48" t="s">
        <v>3810</v>
      </c>
      <c r="C2358" s="49" t="s">
        <v>3751</v>
      </c>
      <c r="D2358" s="50"/>
      <c r="E2358" s="51">
        <v>1840500</v>
      </c>
      <c r="F2358" s="52">
        <f t="shared" si="142"/>
        <v>147240</v>
      </c>
      <c r="G2358" s="54">
        <f t="shared" si="140"/>
        <v>1987740</v>
      </c>
      <c r="H2358" s="55"/>
      <c r="I2358" s="55">
        <f t="shared" si="141"/>
        <v>1987740</v>
      </c>
      <c r="J2358" s="57"/>
      <c r="K2358" s="57"/>
    </row>
    <row r="2359" spans="1:11" ht="15" hidden="1" customHeight="1" x14ac:dyDescent="0.35">
      <c r="A2359" s="47" t="s">
        <v>2693</v>
      </c>
      <c r="B2359" s="48" t="s">
        <v>3810</v>
      </c>
      <c r="C2359" s="49" t="s">
        <v>3752</v>
      </c>
      <c r="D2359" s="50"/>
      <c r="E2359" s="51">
        <v>936000</v>
      </c>
      <c r="F2359" s="52">
        <f t="shared" si="142"/>
        <v>74880</v>
      </c>
      <c r="G2359" s="54">
        <f t="shared" si="140"/>
        <v>1010880</v>
      </c>
      <c r="H2359" s="55"/>
      <c r="I2359" s="55">
        <f t="shared" si="141"/>
        <v>1010880</v>
      </c>
      <c r="J2359" s="57"/>
      <c r="K2359" s="57"/>
    </row>
    <row r="2360" spans="1:11" ht="15" hidden="1" customHeight="1" x14ac:dyDescent="0.35">
      <c r="A2360" s="47" t="s">
        <v>3018</v>
      </c>
      <c r="B2360" s="48" t="s">
        <v>3810</v>
      </c>
      <c r="C2360" s="49" t="s">
        <v>3753</v>
      </c>
      <c r="D2360" s="50"/>
      <c r="E2360" s="51">
        <v>1372500</v>
      </c>
      <c r="F2360" s="52">
        <f t="shared" si="142"/>
        <v>109800</v>
      </c>
      <c r="G2360" s="54">
        <f t="shared" si="140"/>
        <v>1482300</v>
      </c>
      <c r="H2360" s="55"/>
      <c r="I2360" s="55">
        <f t="shared" si="141"/>
        <v>1482300</v>
      </c>
      <c r="J2360" s="57"/>
      <c r="K2360" s="57"/>
    </row>
    <row r="2361" spans="1:11" ht="15" hidden="1" customHeight="1" x14ac:dyDescent="0.35">
      <c r="A2361" s="47" t="s">
        <v>2728</v>
      </c>
      <c r="B2361" s="48" t="s">
        <v>3811</v>
      </c>
      <c r="C2361" s="49" t="s">
        <v>3754</v>
      </c>
      <c r="D2361" s="50"/>
      <c r="E2361" s="51">
        <v>904500</v>
      </c>
      <c r="F2361" s="52">
        <f t="shared" si="142"/>
        <v>72360</v>
      </c>
      <c r="G2361" s="54">
        <f t="shared" si="140"/>
        <v>976860</v>
      </c>
      <c r="H2361" s="55"/>
      <c r="I2361" s="55">
        <f t="shared" si="141"/>
        <v>976860</v>
      </c>
      <c r="J2361" s="57"/>
      <c r="K2361" s="57"/>
    </row>
    <row r="2362" spans="1:11" ht="15" hidden="1" customHeight="1" x14ac:dyDescent="0.35">
      <c r="A2362" s="47" t="s">
        <v>2740</v>
      </c>
      <c r="B2362" s="48" t="s">
        <v>3811</v>
      </c>
      <c r="C2362" s="50" t="s">
        <v>3755</v>
      </c>
      <c r="D2362" s="50"/>
      <c r="E2362" s="51">
        <v>4585500</v>
      </c>
      <c r="F2362" s="52">
        <f t="shared" si="142"/>
        <v>366840</v>
      </c>
      <c r="G2362" s="54">
        <f t="shared" si="140"/>
        <v>4952340</v>
      </c>
      <c r="H2362" s="55"/>
      <c r="I2362" s="55">
        <f t="shared" si="141"/>
        <v>4952340</v>
      </c>
      <c r="J2362" s="57"/>
      <c r="K2362" s="57"/>
    </row>
    <row r="2363" spans="1:11" ht="15" hidden="1" customHeight="1" x14ac:dyDescent="0.35">
      <c r="A2363" s="47" t="s">
        <v>2706</v>
      </c>
      <c r="B2363" s="48" t="s">
        <v>3811</v>
      </c>
      <c r="C2363" s="49" t="s">
        <v>3756</v>
      </c>
      <c r="D2363" s="50"/>
      <c r="E2363" s="51">
        <v>1840500</v>
      </c>
      <c r="F2363" s="52">
        <f t="shared" si="142"/>
        <v>147240</v>
      </c>
      <c r="G2363" s="54">
        <f t="shared" si="140"/>
        <v>1987740</v>
      </c>
      <c r="H2363" s="55"/>
      <c r="I2363" s="55">
        <f t="shared" si="141"/>
        <v>1987740</v>
      </c>
      <c r="J2363" s="57"/>
      <c r="K2363" s="57"/>
    </row>
    <row r="2364" spans="1:11" ht="15" hidden="1" customHeight="1" x14ac:dyDescent="0.35">
      <c r="A2364" s="47" t="s">
        <v>2734</v>
      </c>
      <c r="B2364" s="48" t="s">
        <v>3811</v>
      </c>
      <c r="C2364" s="49" t="s">
        <v>3757</v>
      </c>
      <c r="D2364" s="50"/>
      <c r="E2364" s="51">
        <v>2745000</v>
      </c>
      <c r="F2364" s="52">
        <f t="shared" si="142"/>
        <v>219600</v>
      </c>
      <c r="G2364" s="54">
        <f t="shared" si="140"/>
        <v>2964600</v>
      </c>
      <c r="H2364" s="55"/>
      <c r="I2364" s="55">
        <f t="shared" si="141"/>
        <v>2964600</v>
      </c>
      <c r="J2364" s="57"/>
      <c r="K2364" s="57"/>
    </row>
    <row r="2365" spans="1:11" ht="15" hidden="1" customHeight="1" x14ac:dyDescent="0.35">
      <c r="A2365" s="47" t="s">
        <v>1586</v>
      </c>
      <c r="B2365" s="48" t="s">
        <v>3811</v>
      </c>
      <c r="C2365" s="49" t="s">
        <v>3758</v>
      </c>
      <c r="D2365" s="50"/>
      <c r="E2365" s="51">
        <v>1840500</v>
      </c>
      <c r="F2365" s="52">
        <f t="shared" si="142"/>
        <v>147240</v>
      </c>
      <c r="G2365" s="54">
        <f t="shared" si="140"/>
        <v>1987740</v>
      </c>
      <c r="H2365" s="55"/>
      <c r="I2365" s="55">
        <f t="shared" si="141"/>
        <v>1987740</v>
      </c>
      <c r="J2365" s="57"/>
      <c r="K2365" s="57"/>
    </row>
    <row r="2366" spans="1:11" ht="15" hidden="1" customHeight="1" x14ac:dyDescent="0.35">
      <c r="A2366" s="47" t="s">
        <v>24</v>
      </c>
      <c r="B2366" s="48" t="s">
        <v>3812</v>
      </c>
      <c r="C2366" s="49" t="s">
        <v>3759</v>
      </c>
      <c r="D2366" s="50"/>
      <c r="E2366" s="51">
        <v>1840500</v>
      </c>
      <c r="F2366" s="52">
        <f t="shared" si="142"/>
        <v>147240</v>
      </c>
      <c r="G2366" s="54">
        <f t="shared" si="140"/>
        <v>1987740</v>
      </c>
      <c r="H2366" s="55"/>
      <c r="I2366" s="55">
        <f t="shared" si="141"/>
        <v>1987740</v>
      </c>
      <c r="J2366" s="57"/>
      <c r="K2366" s="57"/>
    </row>
    <row r="2367" spans="1:11" ht="15" hidden="1" customHeight="1" x14ac:dyDescent="0.35">
      <c r="A2367" s="47" t="s">
        <v>2689</v>
      </c>
      <c r="B2367" s="48" t="s">
        <v>3812</v>
      </c>
      <c r="C2367" s="49" t="s">
        <v>3760</v>
      </c>
      <c r="D2367" s="50"/>
      <c r="E2367" s="51">
        <v>1840500</v>
      </c>
      <c r="F2367" s="52">
        <f t="shared" si="142"/>
        <v>147240</v>
      </c>
      <c r="G2367" s="54">
        <f t="shared" si="140"/>
        <v>1987740</v>
      </c>
      <c r="H2367" s="55"/>
      <c r="I2367" s="55">
        <f t="shared" si="141"/>
        <v>1987740</v>
      </c>
      <c r="J2367" s="57"/>
      <c r="K2367" s="57"/>
    </row>
    <row r="2368" spans="1:11" ht="15" hidden="1" customHeight="1" x14ac:dyDescent="0.35">
      <c r="A2368" s="47" t="s">
        <v>770</v>
      </c>
      <c r="B2368" s="48" t="s">
        <v>3812</v>
      </c>
      <c r="C2368" s="49" t="s">
        <v>3761</v>
      </c>
      <c r="D2368" s="50"/>
      <c r="E2368" s="51">
        <v>904500</v>
      </c>
      <c r="F2368" s="52">
        <f t="shared" si="142"/>
        <v>72360</v>
      </c>
      <c r="G2368" s="54">
        <f t="shared" si="140"/>
        <v>976860</v>
      </c>
      <c r="H2368" s="55"/>
      <c r="I2368" s="55">
        <f t="shared" si="141"/>
        <v>976860</v>
      </c>
      <c r="J2368" s="57"/>
      <c r="K2368" s="57"/>
    </row>
    <row r="2369" spans="1:11" ht="15" hidden="1" customHeight="1" x14ac:dyDescent="0.35">
      <c r="A2369" s="47" t="s">
        <v>3049</v>
      </c>
      <c r="B2369" s="48" t="s">
        <v>3812</v>
      </c>
      <c r="C2369" s="49" t="s">
        <v>3762</v>
      </c>
      <c r="D2369" s="50"/>
      <c r="E2369" s="51">
        <v>1840500</v>
      </c>
      <c r="F2369" s="52">
        <f t="shared" si="142"/>
        <v>147240</v>
      </c>
      <c r="G2369" s="54">
        <f t="shared" si="140"/>
        <v>1987740</v>
      </c>
      <c r="H2369" s="55"/>
      <c r="I2369" s="55">
        <f t="shared" si="141"/>
        <v>1987740</v>
      </c>
      <c r="J2369" s="57"/>
      <c r="K2369" s="57"/>
    </row>
    <row r="2370" spans="1:11" ht="15" hidden="1" customHeight="1" x14ac:dyDescent="0.35">
      <c r="A2370" s="47" t="s">
        <v>2688</v>
      </c>
      <c r="B2370" s="48" t="s">
        <v>3812</v>
      </c>
      <c r="C2370" s="49" t="s">
        <v>3763</v>
      </c>
      <c r="D2370" s="50"/>
      <c r="E2370" s="51">
        <v>810000</v>
      </c>
      <c r="F2370" s="52">
        <f t="shared" si="142"/>
        <v>64800</v>
      </c>
      <c r="G2370" s="54">
        <f t="shared" si="140"/>
        <v>874800</v>
      </c>
      <c r="H2370" s="55"/>
      <c r="I2370" s="55">
        <f t="shared" si="141"/>
        <v>874800</v>
      </c>
      <c r="J2370" s="57"/>
      <c r="K2370" s="57"/>
    </row>
    <row r="2371" spans="1:11" ht="15" hidden="1" customHeight="1" x14ac:dyDescent="0.35">
      <c r="A2371" s="47" t="s">
        <v>2730</v>
      </c>
      <c r="B2371" s="48" t="s">
        <v>3813</v>
      </c>
      <c r="C2371" s="49" t="s">
        <v>3764</v>
      </c>
      <c r="D2371" s="50"/>
      <c r="E2371" s="51">
        <v>936000</v>
      </c>
      <c r="F2371" s="52">
        <f t="shared" si="142"/>
        <v>74880</v>
      </c>
      <c r="G2371" s="54">
        <f t="shared" si="140"/>
        <v>1010880</v>
      </c>
      <c r="H2371" s="55"/>
      <c r="I2371" s="55">
        <f t="shared" si="141"/>
        <v>1010880</v>
      </c>
      <c r="J2371" s="57"/>
      <c r="K2371" s="57"/>
    </row>
    <row r="2372" spans="1:11" ht="15" hidden="1" customHeight="1" x14ac:dyDescent="0.35">
      <c r="A2372" s="47" t="s">
        <v>2836</v>
      </c>
      <c r="B2372" s="48" t="s">
        <v>3813</v>
      </c>
      <c r="C2372" s="49" t="s">
        <v>3765</v>
      </c>
      <c r="D2372" s="50"/>
      <c r="E2372" s="51">
        <v>1840500</v>
      </c>
      <c r="F2372" s="52">
        <f t="shared" si="142"/>
        <v>147240</v>
      </c>
      <c r="G2372" s="54">
        <f t="shared" si="140"/>
        <v>1987740</v>
      </c>
      <c r="H2372" s="55"/>
      <c r="I2372" s="55">
        <f t="shared" si="141"/>
        <v>1987740</v>
      </c>
      <c r="J2372" s="57"/>
      <c r="K2372" s="57"/>
    </row>
    <row r="2373" spans="1:11" ht="15" hidden="1" customHeight="1" x14ac:dyDescent="0.35">
      <c r="A2373" s="47" t="s">
        <v>2711</v>
      </c>
      <c r="B2373" s="48" t="s">
        <v>3813</v>
      </c>
      <c r="C2373" s="49" t="s">
        <v>3766</v>
      </c>
      <c r="D2373" s="50"/>
      <c r="E2373" s="51">
        <v>1809000</v>
      </c>
      <c r="F2373" s="52">
        <f t="shared" si="142"/>
        <v>144720</v>
      </c>
      <c r="G2373" s="54">
        <f t="shared" si="140"/>
        <v>1953720</v>
      </c>
      <c r="H2373" s="55"/>
      <c r="I2373" s="55">
        <f t="shared" si="141"/>
        <v>1953720</v>
      </c>
      <c r="J2373" s="57"/>
      <c r="K2373" s="57"/>
    </row>
    <row r="2374" spans="1:11" ht="15" hidden="1" customHeight="1" x14ac:dyDescent="0.35">
      <c r="A2374" s="47" t="s">
        <v>2720</v>
      </c>
      <c r="B2374" s="48" t="s">
        <v>3813</v>
      </c>
      <c r="C2374" s="49" t="s">
        <v>2559</v>
      </c>
      <c r="D2374" s="50"/>
      <c r="E2374" s="51">
        <v>1372500</v>
      </c>
      <c r="F2374" s="52">
        <f t="shared" si="142"/>
        <v>109800</v>
      </c>
      <c r="G2374" s="54">
        <f t="shared" si="140"/>
        <v>1482300</v>
      </c>
      <c r="H2374" s="55"/>
      <c r="I2374" s="55">
        <f t="shared" si="141"/>
        <v>1482300</v>
      </c>
      <c r="J2374" s="57"/>
      <c r="K2374" s="57"/>
    </row>
    <row r="2375" spans="1:11" ht="15" hidden="1" customHeight="1" x14ac:dyDescent="0.35">
      <c r="A2375" s="47" t="s">
        <v>2688</v>
      </c>
      <c r="B2375" s="48" t="s">
        <v>3813</v>
      </c>
      <c r="C2375" s="49" t="s">
        <v>2560</v>
      </c>
      <c r="D2375" s="50"/>
      <c r="E2375" s="51">
        <v>3681000</v>
      </c>
      <c r="F2375" s="52">
        <f t="shared" si="142"/>
        <v>294480</v>
      </c>
      <c r="G2375" s="54">
        <f t="shared" si="140"/>
        <v>3975480</v>
      </c>
      <c r="H2375" s="55"/>
      <c r="I2375" s="55">
        <f t="shared" si="141"/>
        <v>3975480</v>
      </c>
      <c r="J2375" s="57"/>
      <c r="K2375" s="57"/>
    </row>
    <row r="2376" spans="1:11" ht="15" hidden="1" customHeight="1" x14ac:dyDescent="0.35">
      <c r="A2376" s="47" t="s">
        <v>2729</v>
      </c>
      <c r="B2376" s="48" t="s">
        <v>3814</v>
      </c>
      <c r="C2376" s="49" t="s">
        <v>3767</v>
      </c>
      <c r="D2376" s="50"/>
      <c r="E2376" s="51">
        <v>2245500</v>
      </c>
      <c r="F2376" s="52">
        <f t="shared" si="142"/>
        <v>179640</v>
      </c>
      <c r="G2376" s="54">
        <f t="shared" si="140"/>
        <v>2425140</v>
      </c>
      <c r="H2376" s="55"/>
      <c r="I2376" s="55">
        <f t="shared" si="141"/>
        <v>2425140</v>
      </c>
      <c r="J2376" s="57"/>
    </row>
    <row r="2377" spans="1:11" ht="15" hidden="1" customHeight="1" x14ac:dyDescent="0.35">
      <c r="A2377" s="47" t="s">
        <v>2684</v>
      </c>
      <c r="B2377" s="48" t="s">
        <v>3814</v>
      </c>
      <c r="C2377" s="49" t="s">
        <v>3768</v>
      </c>
      <c r="D2377" s="50"/>
      <c r="E2377" s="51">
        <v>936000</v>
      </c>
      <c r="F2377" s="52">
        <f t="shared" si="142"/>
        <v>74880</v>
      </c>
      <c r="G2377" s="54">
        <f t="shared" si="140"/>
        <v>1010880</v>
      </c>
      <c r="H2377" s="55"/>
      <c r="I2377" s="55">
        <f t="shared" si="141"/>
        <v>1010880</v>
      </c>
      <c r="J2377" s="57"/>
    </row>
    <row r="2378" spans="1:11" ht="15" hidden="1" customHeight="1" x14ac:dyDescent="0.35">
      <c r="A2378" s="47" t="s">
        <v>2695</v>
      </c>
      <c r="B2378" s="48" t="s">
        <v>3814</v>
      </c>
      <c r="C2378" s="50" t="s">
        <v>3769</v>
      </c>
      <c r="D2378" s="50"/>
      <c r="E2378" s="51">
        <v>2713500</v>
      </c>
      <c r="F2378" s="52">
        <f t="shared" si="142"/>
        <v>217080</v>
      </c>
      <c r="G2378" s="54">
        <f t="shared" si="140"/>
        <v>2930580</v>
      </c>
      <c r="H2378" s="55"/>
      <c r="I2378" s="55">
        <f t="shared" si="141"/>
        <v>2930580</v>
      </c>
      <c r="J2378" s="57"/>
    </row>
    <row r="2379" spans="1:11" ht="15" hidden="1" customHeight="1" x14ac:dyDescent="0.35">
      <c r="A2379" s="47" t="s">
        <v>2716</v>
      </c>
      <c r="B2379" s="48" t="s">
        <v>3814</v>
      </c>
      <c r="C2379" s="49" t="s">
        <v>3770</v>
      </c>
      <c r="D2379" s="50"/>
      <c r="E2379" s="51">
        <v>1714500</v>
      </c>
      <c r="F2379" s="52">
        <f t="shared" si="142"/>
        <v>137160</v>
      </c>
      <c r="G2379" s="54">
        <f t="shared" si="140"/>
        <v>1851660</v>
      </c>
      <c r="H2379" s="55"/>
      <c r="I2379" s="55">
        <f t="shared" si="141"/>
        <v>1851660</v>
      </c>
      <c r="J2379" s="57"/>
    </row>
    <row r="2380" spans="1:11" ht="15" hidden="1" customHeight="1" x14ac:dyDescent="0.35">
      <c r="A2380" s="47" t="s">
        <v>2728</v>
      </c>
      <c r="B2380" s="48" t="s">
        <v>3814</v>
      </c>
      <c r="C2380" s="49" t="s">
        <v>3771</v>
      </c>
      <c r="D2380" s="50"/>
      <c r="E2380" s="51">
        <v>904500</v>
      </c>
      <c r="F2380" s="52">
        <f t="shared" si="142"/>
        <v>72360</v>
      </c>
      <c r="G2380" s="54">
        <f t="shared" si="140"/>
        <v>976860</v>
      </c>
      <c r="H2380" s="55"/>
      <c r="I2380" s="55">
        <f t="shared" si="141"/>
        <v>976860</v>
      </c>
      <c r="J2380" s="57"/>
    </row>
    <row r="2381" spans="1:11" ht="15" hidden="1" customHeight="1" x14ac:dyDescent="0.35">
      <c r="A2381" s="47" t="s">
        <v>2736</v>
      </c>
      <c r="B2381" s="48" t="s">
        <v>3814</v>
      </c>
      <c r="C2381" s="49" t="s">
        <v>3772</v>
      </c>
      <c r="D2381" s="50"/>
      <c r="E2381" s="51">
        <v>1840500</v>
      </c>
      <c r="F2381" s="52">
        <f t="shared" si="142"/>
        <v>147240</v>
      </c>
      <c r="G2381" s="54">
        <f t="shared" si="140"/>
        <v>1987740</v>
      </c>
      <c r="H2381" s="55"/>
      <c r="I2381" s="55">
        <f t="shared" si="141"/>
        <v>1987740</v>
      </c>
      <c r="J2381" s="57"/>
    </row>
    <row r="2382" spans="1:11" ht="15" hidden="1" customHeight="1" x14ac:dyDescent="0.35">
      <c r="A2382" s="47" t="s">
        <v>2713</v>
      </c>
      <c r="B2382" s="48" t="s">
        <v>3814</v>
      </c>
      <c r="C2382" s="49" t="s">
        <v>3773</v>
      </c>
      <c r="D2382" s="50"/>
      <c r="E2382" s="51">
        <v>1840500</v>
      </c>
      <c r="F2382" s="52">
        <f t="shared" si="142"/>
        <v>147240</v>
      </c>
      <c r="G2382" s="54">
        <f t="shared" si="140"/>
        <v>1987740</v>
      </c>
      <c r="H2382" s="55"/>
      <c r="I2382" s="55">
        <f t="shared" si="141"/>
        <v>1987740</v>
      </c>
      <c r="J2382" s="57"/>
    </row>
    <row r="2383" spans="1:11" ht="15" hidden="1" customHeight="1" x14ac:dyDescent="0.35">
      <c r="A2383" s="47" t="s">
        <v>2727</v>
      </c>
      <c r="B2383" s="48" t="s">
        <v>3814</v>
      </c>
      <c r="C2383" s="49" t="s">
        <v>3774</v>
      </c>
      <c r="D2383" s="50"/>
      <c r="E2383" s="51">
        <v>2650500</v>
      </c>
      <c r="F2383" s="52">
        <f t="shared" si="142"/>
        <v>212040</v>
      </c>
      <c r="G2383" s="54">
        <f t="shared" si="140"/>
        <v>2862540</v>
      </c>
      <c r="H2383" s="55"/>
      <c r="I2383" s="55">
        <f t="shared" si="141"/>
        <v>2862540</v>
      </c>
      <c r="J2383" s="57"/>
    </row>
    <row r="2384" spans="1:11" ht="15" hidden="1" customHeight="1" x14ac:dyDescent="0.35">
      <c r="A2384" s="47" t="s">
        <v>2703</v>
      </c>
      <c r="B2384" s="48" t="s">
        <v>3815</v>
      </c>
      <c r="C2384" s="49" t="s">
        <v>3775</v>
      </c>
      <c r="D2384" s="50"/>
      <c r="E2384" s="51">
        <v>810000</v>
      </c>
      <c r="F2384" s="52">
        <f t="shared" si="142"/>
        <v>64800</v>
      </c>
      <c r="G2384" s="54">
        <f t="shared" si="140"/>
        <v>874800</v>
      </c>
      <c r="H2384" s="55"/>
      <c r="I2384" s="55">
        <f t="shared" si="141"/>
        <v>874800</v>
      </c>
      <c r="J2384" s="57"/>
    </row>
    <row r="2385" spans="1:10" ht="15" hidden="1" customHeight="1" x14ac:dyDescent="0.35">
      <c r="A2385" s="47" t="s">
        <v>120</v>
      </c>
      <c r="B2385" s="48" t="s">
        <v>3815</v>
      </c>
      <c r="C2385" s="49" t="s">
        <v>3776</v>
      </c>
      <c r="D2385" s="50"/>
      <c r="E2385" s="51">
        <v>1714500</v>
      </c>
      <c r="F2385" s="52">
        <f t="shared" si="142"/>
        <v>137160</v>
      </c>
      <c r="G2385" s="54">
        <f t="shared" si="140"/>
        <v>1851660</v>
      </c>
      <c r="H2385" s="55"/>
      <c r="I2385" s="55">
        <f t="shared" si="141"/>
        <v>1851660</v>
      </c>
      <c r="J2385" s="57"/>
    </row>
    <row r="2386" spans="1:10" ht="15" hidden="1" customHeight="1" x14ac:dyDescent="0.35">
      <c r="A2386" s="47" t="s">
        <v>2694</v>
      </c>
      <c r="B2386" s="48" t="s">
        <v>3815</v>
      </c>
      <c r="C2386" s="49" t="s">
        <v>3777</v>
      </c>
      <c r="D2386" s="50"/>
      <c r="E2386" s="51">
        <v>810000</v>
      </c>
      <c r="F2386" s="52">
        <f t="shared" si="142"/>
        <v>64800</v>
      </c>
      <c r="G2386" s="54">
        <f t="shared" si="140"/>
        <v>874800</v>
      </c>
      <c r="H2386" s="55"/>
      <c r="I2386" s="55">
        <f t="shared" si="141"/>
        <v>874800</v>
      </c>
      <c r="J2386" s="57"/>
    </row>
    <row r="2387" spans="1:10" ht="15" hidden="1" customHeight="1" x14ac:dyDescent="0.35">
      <c r="A2387" s="47" t="s">
        <v>2717</v>
      </c>
      <c r="B2387" s="48" t="s">
        <v>3815</v>
      </c>
      <c r="C2387" s="49" t="s">
        <v>3778</v>
      </c>
      <c r="D2387" s="50"/>
      <c r="E2387" s="51">
        <v>4491000</v>
      </c>
      <c r="F2387" s="52">
        <f t="shared" si="142"/>
        <v>359280</v>
      </c>
      <c r="G2387" s="54">
        <f t="shared" si="140"/>
        <v>4850280</v>
      </c>
      <c r="H2387" s="55"/>
      <c r="I2387" s="55">
        <f t="shared" si="141"/>
        <v>4850280</v>
      </c>
      <c r="J2387" s="57"/>
    </row>
    <row r="2388" spans="1:10" ht="15" hidden="1" customHeight="1" x14ac:dyDescent="0.35">
      <c r="A2388" s="47" t="s">
        <v>2684</v>
      </c>
      <c r="B2388" s="48" t="s">
        <v>3815</v>
      </c>
      <c r="C2388" s="49" t="s">
        <v>3779</v>
      </c>
      <c r="D2388" s="50"/>
      <c r="E2388" s="51">
        <v>2745000</v>
      </c>
      <c r="F2388" s="52">
        <f t="shared" si="142"/>
        <v>219600</v>
      </c>
      <c r="G2388" s="54">
        <f t="shared" si="140"/>
        <v>2964600</v>
      </c>
      <c r="H2388" s="55"/>
      <c r="I2388" s="55">
        <f t="shared" si="141"/>
        <v>2964600</v>
      </c>
      <c r="J2388" s="57"/>
    </row>
    <row r="2389" spans="1:10" ht="15" hidden="1" customHeight="1" x14ac:dyDescent="0.35">
      <c r="A2389" s="47" t="s">
        <v>2732</v>
      </c>
      <c r="B2389" s="48" t="s">
        <v>3815</v>
      </c>
      <c r="C2389" s="49" t="s">
        <v>3780</v>
      </c>
      <c r="D2389" s="50"/>
      <c r="E2389" s="51">
        <v>904500</v>
      </c>
      <c r="F2389" s="52">
        <f t="shared" si="142"/>
        <v>72360</v>
      </c>
      <c r="G2389" s="54">
        <f t="shared" si="140"/>
        <v>976860</v>
      </c>
      <c r="H2389" s="55"/>
      <c r="I2389" s="55">
        <f t="shared" si="141"/>
        <v>976860</v>
      </c>
      <c r="J2389" s="57"/>
    </row>
    <row r="2390" spans="1:10" ht="15" hidden="1" customHeight="1" x14ac:dyDescent="0.35">
      <c r="A2390" s="47" t="s">
        <v>2739</v>
      </c>
      <c r="B2390" s="48" t="s">
        <v>3816</v>
      </c>
      <c r="C2390" s="49" t="s">
        <v>3781</v>
      </c>
      <c r="D2390" s="50"/>
      <c r="E2390" s="51">
        <v>468000</v>
      </c>
      <c r="F2390" s="52">
        <f t="shared" si="142"/>
        <v>37440</v>
      </c>
      <c r="G2390" s="54">
        <f t="shared" si="140"/>
        <v>505440</v>
      </c>
      <c r="H2390" s="55"/>
      <c r="I2390" s="55">
        <f t="shared" si="141"/>
        <v>505440</v>
      </c>
      <c r="J2390" s="57"/>
    </row>
    <row r="2391" spans="1:10" ht="15" hidden="1" customHeight="1" x14ac:dyDescent="0.35">
      <c r="A2391" s="47" t="s">
        <v>2728</v>
      </c>
      <c r="B2391" s="48" t="s">
        <v>3816</v>
      </c>
      <c r="C2391" s="49" t="s">
        <v>3782</v>
      </c>
      <c r="D2391" s="50"/>
      <c r="E2391" s="51">
        <v>936000</v>
      </c>
      <c r="F2391" s="52">
        <f t="shared" si="142"/>
        <v>74880</v>
      </c>
      <c r="G2391" s="54">
        <f t="shared" si="140"/>
        <v>1010880</v>
      </c>
      <c r="H2391" s="55"/>
      <c r="I2391" s="55">
        <f t="shared" si="141"/>
        <v>1010880</v>
      </c>
      <c r="J2391" s="57"/>
    </row>
    <row r="2392" spans="1:10" ht="15" hidden="1" customHeight="1" x14ac:dyDescent="0.35">
      <c r="A2392" s="47" t="s">
        <v>1586</v>
      </c>
      <c r="B2392" s="48" t="s">
        <v>3817</v>
      </c>
      <c r="C2392" s="49" t="s">
        <v>3783</v>
      </c>
      <c r="D2392" s="50"/>
      <c r="E2392" s="51">
        <v>810000</v>
      </c>
      <c r="F2392" s="52">
        <f t="shared" si="142"/>
        <v>64800</v>
      </c>
      <c r="G2392" s="54">
        <f t="shared" si="140"/>
        <v>874800</v>
      </c>
      <c r="H2392" s="55"/>
      <c r="I2392" s="55">
        <f t="shared" si="141"/>
        <v>874800</v>
      </c>
      <c r="J2392" s="57"/>
    </row>
    <row r="2393" spans="1:10" ht="15" hidden="1" customHeight="1" x14ac:dyDescent="0.35">
      <c r="A2393" s="47" t="s">
        <v>2729</v>
      </c>
      <c r="B2393" s="48">
        <v>46253</v>
      </c>
      <c r="C2393" s="50" t="s">
        <v>3784</v>
      </c>
      <c r="D2393" s="50" t="s">
        <v>3882</v>
      </c>
      <c r="E2393" s="51">
        <v>0</v>
      </c>
      <c r="F2393" s="52">
        <f t="shared" si="142"/>
        <v>0</v>
      </c>
      <c r="G2393" s="54">
        <f t="shared" si="140"/>
        <v>0</v>
      </c>
      <c r="H2393" s="55"/>
      <c r="I2393" s="55">
        <f t="shared" si="141"/>
        <v>0</v>
      </c>
      <c r="J2393" s="57" t="s">
        <v>582</v>
      </c>
    </row>
    <row r="2394" spans="1:10" ht="15" hidden="1" customHeight="1" x14ac:dyDescent="0.35">
      <c r="A2394" s="47" t="s">
        <v>3049</v>
      </c>
      <c r="B2394" s="48" t="s">
        <v>3818</v>
      </c>
      <c r="C2394" s="50" t="s">
        <v>3785</v>
      </c>
      <c r="D2394" s="50"/>
      <c r="E2394" s="51">
        <v>1840500</v>
      </c>
      <c r="F2394" s="52">
        <f t="shared" si="142"/>
        <v>147240</v>
      </c>
      <c r="G2394" s="54">
        <f t="shared" si="140"/>
        <v>1987740</v>
      </c>
      <c r="H2394" s="55"/>
      <c r="I2394" s="55">
        <f t="shared" si="141"/>
        <v>1987740</v>
      </c>
      <c r="J2394" s="57"/>
    </row>
    <row r="2395" spans="1:10" ht="15" hidden="1" customHeight="1" x14ac:dyDescent="0.35">
      <c r="A2395" s="47" t="s">
        <v>2691</v>
      </c>
      <c r="B2395" s="48" t="s">
        <v>3818</v>
      </c>
      <c r="C2395" s="49" t="s">
        <v>3786</v>
      </c>
      <c r="D2395" s="50"/>
      <c r="E2395" s="51">
        <v>1793250</v>
      </c>
      <c r="F2395" s="52">
        <f t="shared" si="142"/>
        <v>143460</v>
      </c>
      <c r="G2395" s="54">
        <f t="shared" si="140"/>
        <v>1936710</v>
      </c>
      <c r="H2395" s="55"/>
      <c r="I2395" s="55">
        <f t="shared" si="141"/>
        <v>1936710</v>
      </c>
      <c r="J2395" s="57"/>
    </row>
    <row r="2396" spans="1:10" ht="15" hidden="1" customHeight="1" x14ac:dyDescent="0.35">
      <c r="A2396" s="47" t="s">
        <v>2683</v>
      </c>
      <c r="B2396" s="48" t="s">
        <v>3818</v>
      </c>
      <c r="C2396" s="49" t="s">
        <v>3787</v>
      </c>
      <c r="D2396" s="50"/>
      <c r="E2396" s="51">
        <v>1840500</v>
      </c>
      <c r="F2396" s="52">
        <f t="shared" si="142"/>
        <v>147240</v>
      </c>
      <c r="G2396" s="54">
        <f t="shared" si="140"/>
        <v>1987740</v>
      </c>
      <c r="H2396" s="55"/>
      <c r="I2396" s="55">
        <f t="shared" si="141"/>
        <v>1987740</v>
      </c>
      <c r="J2396" s="57"/>
    </row>
    <row r="2397" spans="1:10" ht="15" hidden="1" customHeight="1" x14ac:dyDescent="0.35">
      <c r="A2397" s="47" t="s">
        <v>3821</v>
      </c>
      <c r="B2397" s="48" t="s">
        <v>3818</v>
      </c>
      <c r="C2397" s="50" t="s">
        <v>3788</v>
      </c>
      <c r="D2397" s="50"/>
      <c r="E2397" s="51">
        <v>986111</v>
      </c>
      <c r="F2397" s="52">
        <f t="shared" si="142"/>
        <v>78888.88</v>
      </c>
      <c r="G2397" s="54">
        <f t="shared" si="140"/>
        <v>1064999.8799999999</v>
      </c>
      <c r="H2397" s="55"/>
      <c r="I2397" s="55">
        <f t="shared" si="141"/>
        <v>1064999.8799999999</v>
      </c>
      <c r="J2397" s="57"/>
    </row>
    <row r="2398" spans="1:10" ht="15" hidden="1" customHeight="1" x14ac:dyDescent="0.35">
      <c r="A2398" s="47" t="s">
        <v>2729</v>
      </c>
      <c r="B2398" s="48">
        <v>46253</v>
      </c>
      <c r="C2398" s="50" t="s">
        <v>3789</v>
      </c>
      <c r="D2398" s="50" t="s">
        <v>3087</v>
      </c>
      <c r="E2398" s="51">
        <v>1840500</v>
      </c>
      <c r="F2398" s="52"/>
      <c r="G2398" s="54"/>
      <c r="H2398" s="55"/>
      <c r="I2398" s="55">
        <f t="shared" si="141"/>
        <v>0</v>
      </c>
      <c r="J2398" s="57" t="s">
        <v>582</v>
      </c>
    </row>
    <row r="2399" spans="1:10" ht="15" hidden="1" customHeight="1" x14ac:dyDescent="0.35">
      <c r="A2399" s="47" t="s">
        <v>2721</v>
      </c>
      <c r="B2399" s="48" t="s">
        <v>3819</v>
      </c>
      <c r="C2399" s="49" t="s">
        <v>3790</v>
      </c>
      <c r="D2399" s="50"/>
      <c r="E2399" s="51">
        <v>1840500</v>
      </c>
      <c r="F2399" s="52">
        <f t="shared" si="142"/>
        <v>147240</v>
      </c>
      <c r="G2399" s="54">
        <f t="shared" si="140"/>
        <v>1987740</v>
      </c>
      <c r="H2399" s="55"/>
      <c r="I2399" s="55">
        <f t="shared" si="141"/>
        <v>1987740</v>
      </c>
      <c r="J2399" s="57"/>
    </row>
    <row r="2400" spans="1:10" ht="15" hidden="1" customHeight="1" x14ac:dyDescent="0.35">
      <c r="A2400" s="47" t="s">
        <v>2679</v>
      </c>
      <c r="B2400" s="48" t="s">
        <v>3819</v>
      </c>
      <c r="C2400" s="49" t="s">
        <v>3791</v>
      </c>
      <c r="D2400" s="50"/>
      <c r="E2400" s="51">
        <v>904500</v>
      </c>
      <c r="F2400" s="52">
        <f t="shared" si="142"/>
        <v>72360</v>
      </c>
      <c r="G2400" s="54">
        <f t="shared" si="140"/>
        <v>976860</v>
      </c>
      <c r="H2400" s="55"/>
      <c r="I2400" s="55">
        <f t="shared" si="141"/>
        <v>976860</v>
      </c>
      <c r="J2400" s="57"/>
    </row>
    <row r="2401" spans="1:10" ht="15" hidden="1" customHeight="1" x14ac:dyDescent="0.35">
      <c r="A2401" s="47" t="s">
        <v>2722</v>
      </c>
      <c r="B2401" s="48" t="s">
        <v>3819</v>
      </c>
      <c r="C2401" s="49" t="s">
        <v>3792</v>
      </c>
      <c r="D2401" s="50"/>
      <c r="E2401" s="51">
        <v>1809000</v>
      </c>
      <c r="F2401" s="52">
        <f t="shared" si="142"/>
        <v>144720</v>
      </c>
      <c r="G2401" s="54">
        <f t="shared" si="140"/>
        <v>1953720</v>
      </c>
      <c r="H2401" s="55"/>
      <c r="I2401" s="55">
        <f t="shared" si="141"/>
        <v>1953720</v>
      </c>
      <c r="J2401" s="57"/>
    </row>
    <row r="2402" spans="1:10" ht="15" hidden="1" customHeight="1" x14ac:dyDescent="0.35">
      <c r="A2402" s="47" t="s">
        <v>3044</v>
      </c>
      <c r="B2402" s="48" t="s">
        <v>3819</v>
      </c>
      <c r="C2402" s="50" t="s">
        <v>3793</v>
      </c>
      <c r="D2402" s="50"/>
      <c r="E2402" s="51">
        <v>2650500</v>
      </c>
      <c r="F2402" s="52">
        <f t="shared" si="142"/>
        <v>212040</v>
      </c>
      <c r="G2402" s="54">
        <f t="shared" si="140"/>
        <v>2862540</v>
      </c>
      <c r="H2402" s="55"/>
      <c r="I2402" s="55">
        <f t="shared" si="141"/>
        <v>2862540</v>
      </c>
      <c r="J2402" s="57"/>
    </row>
    <row r="2403" spans="1:10" ht="15" hidden="1" customHeight="1" x14ac:dyDescent="0.35">
      <c r="A2403" s="47" t="s">
        <v>56</v>
      </c>
      <c r="B2403" s="48" t="s">
        <v>3819</v>
      </c>
      <c r="C2403" s="49" t="s">
        <v>3794</v>
      </c>
      <c r="D2403" s="50"/>
      <c r="E2403" s="51">
        <v>904500</v>
      </c>
      <c r="F2403" s="52">
        <f t="shared" si="142"/>
        <v>72360</v>
      </c>
      <c r="G2403" s="54">
        <f t="shared" si="140"/>
        <v>976860</v>
      </c>
      <c r="H2403" s="55"/>
      <c r="I2403" s="55">
        <f t="shared" si="141"/>
        <v>976860</v>
      </c>
      <c r="J2403" s="57"/>
    </row>
    <row r="2404" spans="1:10" ht="15" hidden="1" customHeight="1" x14ac:dyDescent="0.35">
      <c r="A2404" s="47" t="s">
        <v>2687</v>
      </c>
      <c r="B2404" s="48" t="s">
        <v>3819</v>
      </c>
      <c r="C2404" s="49" t="s">
        <v>3795</v>
      </c>
      <c r="D2404" s="50"/>
      <c r="E2404" s="51">
        <v>1372500</v>
      </c>
      <c r="F2404" s="52">
        <f t="shared" si="142"/>
        <v>109800</v>
      </c>
      <c r="G2404" s="54">
        <f t="shared" si="140"/>
        <v>1482300</v>
      </c>
      <c r="H2404" s="55"/>
      <c r="I2404" s="55">
        <f t="shared" si="141"/>
        <v>1482300</v>
      </c>
      <c r="J2404" s="57"/>
    </row>
    <row r="2405" spans="1:10" ht="15" hidden="1" customHeight="1" x14ac:dyDescent="0.35">
      <c r="A2405" s="47" t="s">
        <v>2685</v>
      </c>
      <c r="B2405" s="48" t="s">
        <v>3819</v>
      </c>
      <c r="C2405" s="49" t="s">
        <v>3796</v>
      </c>
      <c r="D2405" s="50"/>
      <c r="E2405" s="51">
        <v>2650500</v>
      </c>
      <c r="F2405" s="52">
        <f t="shared" si="142"/>
        <v>212040</v>
      </c>
      <c r="G2405" s="54">
        <f t="shared" si="140"/>
        <v>2862540</v>
      </c>
      <c r="H2405" s="55"/>
      <c r="I2405" s="55">
        <f t="shared" si="141"/>
        <v>2862540</v>
      </c>
      <c r="J2405" s="57"/>
    </row>
    <row r="2406" spans="1:10" ht="15" hidden="1" customHeight="1" x14ac:dyDescent="0.35">
      <c r="A2406" s="47" t="s">
        <v>2688</v>
      </c>
      <c r="B2406" s="48" t="s">
        <v>3819</v>
      </c>
      <c r="C2406" s="49" t="s">
        <v>3797</v>
      </c>
      <c r="D2406" s="50"/>
      <c r="E2406" s="51">
        <v>3681000</v>
      </c>
      <c r="F2406" s="52">
        <f t="shared" si="142"/>
        <v>294480</v>
      </c>
      <c r="G2406" s="54">
        <f t="shared" si="140"/>
        <v>3975480</v>
      </c>
      <c r="H2406" s="55"/>
      <c r="I2406" s="55">
        <f t="shared" si="141"/>
        <v>3975480</v>
      </c>
      <c r="J2406" s="57"/>
    </row>
    <row r="2407" spans="1:10" ht="15" hidden="1" customHeight="1" x14ac:dyDescent="0.35">
      <c r="A2407" s="47" t="s">
        <v>55</v>
      </c>
      <c r="B2407" s="48" t="s">
        <v>3819</v>
      </c>
      <c r="C2407" s="50" t="s">
        <v>3798</v>
      </c>
      <c r="D2407" s="50"/>
      <c r="E2407" s="51">
        <v>4491000</v>
      </c>
      <c r="F2407" s="52">
        <f t="shared" si="142"/>
        <v>359280</v>
      </c>
      <c r="G2407" s="54">
        <f t="shared" si="140"/>
        <v>4850280</v>
      </c>
      <c r="H2407" s="55"/>
      <c r="I2407" s="55">
        <f t="shared" si="141"/>
        <v>4850280</v>
      </c>
      <c r="J2407" s="57"/>
    </row>
    <row r="2408" spans="1:10" ht="15" hidden="1" customHeight="1" x14ac:dyDescent="0.35">
      <c r="A2408" s="47" t="s">
        <v>2728</v>
      </c>
      <c r="B2408" s="48" t="s">
        <v>3819</v>
      </c>
      <c r="C2408" s="49" t="s">
        <v>3799</v>
      </c>
      <c r="D2408" s="50"/>
      <c r="E2408" s="51">
        <v>1840500</v>
      </c>
      <c r="F2408" s="52">
        <f t="shared" si="142"/>
        <v>147240</v>
      </c>
      <c r="G2408" s="54">
        <f t="shared" si="140"/>
        <v>1987740</v>
      </c>
      <c r="H2408" s="55"/>
      <c r="I2408" s="55">
        <f t="shared" si="141"/>
        <v>1987740</v>
      </c>
      <c r="J2408" s="57"/>
    </row>
    <row r="2409" spans="1:10" ht="15" hidden="1" customHeight="1" x14ac:dyDescent="0.35">
      <c r="A2409" s="47" t="s">
        <v>2711</v>
      </c>
      <c r="B2409" s="48" t="s">
        <v>3819</v>
      </c>
      <c r="C2409" s="49" t="s">
        <v>3800</v>
      </c>
      <c r="D2409" s="50"/>
      <c r="E2409" s="51">
        <v>904500</v>
      </c>
      <c r="F2409" s="52">
        <f t="shared" si="142"/>
        <v>72360</v>
      </c>
      <c r="G2409" s="54">
        <f t="shared" si="140"/>
        <v>976860</v>
      </c>
      <c r="H2409" s="55"/>
      <c r="I2409" s="55">
        <f t="shared" si="141"/>
        <v>976860</v>
      </c>
      <c r="J2409" s="57"/>
    </row>
    <row r="2410" spans="1:10" ht="15" hidden="1" customHeight="1" x14ac:dyDescent="0.35">
      <c r="A2410" s="47" t="s">
        <v>3050</v>
      </c>
      <c r="B2410" s="48" t="s">
        <v>3819</v>
      </c>
      <c r="C2410" s="49" t="s">
        <v>3801</v>
      </c>
      <c r="D2410" s="50"/>
      <c r="E2410" s="51">
        <v>2650500</v>
      </c>
      <c r="F2410" s="52">
        <f t="shared" si="142"/>
        <v>212040</v>
      </c>
      <c r="G2410" s="54">
        <f t="shared" si="140"/>
        <v>2862540</v>
      </c>
      <c r="H2410" s="55"/>
      <c r="I2410" s="55">
        <f t="shared" si="141"/>
        <v>2862540</v>
      </c>
      <c r="J2410" s="57"/>
    </row>
    <row r="2411" spans="1:10" ht="15" hidden="1" customHeight="1" x14ac:dyDescent="0.35">
      <c r="A2411" s="47" t="s">
        <v>2695</v>
      </c>
      <c r="B2411" s="48" t="s">
        <v>3819</v>
      </c>
      <c r="C2411" s="49" t="s">
        <v>3802</v>
      </c>
      <c r="D2411" s="50"/>
      <c r="E2411" s="51">
        <v>5521500</v>
      </c>
      <c r="F2411" s="52">
        <f t="shared" si="142"/>
        <v>441720</v>
      </c>
      <c r="G2411" s="54">
        <f t="shared" si="140"/>
        <v>5963220</v>
      </c>
      <c r="H2411" s="55"/>
      <c r="I2411" s="55">
        <f t="shared" si="141"/>
        <v>5963220</v>
      </c>
      <c r="J2411" s="57"/>
    </row>
    <row r="2412" spans="1:10" ht="15" hidden="1" customHeight="1" x14ac:dyDescent="0.35">
      <c r="A2412" s="47" t="s">
        <v>2693</v>
      </c>
      <c r="B2412" s="48" t="s">
        <v>3819</v>
      </c>
      <c r="C2412" s="49" t="s">
        <v>3803</v>
      </c>
      <c r="D2412" s="50"/>
      <c r="E2412" s="51">
        <v>904500</v>
      </c>
      <c r="F2412" s="52">
        <f t="shared" si="142"/>
        <v>72360</v>
      </c>
      <c r="G2412" s="54">
        <f t="shared" si="140"/>
        <v>976860</v>
      </c>
      <c r="H2412" s="55"/>
      <c r="I2412" s="55">
        <f t="shared" si="141"/>
        <v>976860</v>
      </c>
      <c r="J2412" s="57"/>
    </row>
    <row r="2413" spans="1:10" ht="15" hidden="1" customHeight="1" x14ac:dyDescent="0.35">
      <c r="A2413" s="47" t="s">
        <v>3055</v>
      </c>
      <c r="B2413" s="48" t="s">
        <v>3861</v>
      </c>
      <c r="C2413" s="49" t="s">
        <v>3825</v>
      </c>
      <c r="D2413" s="50"/>
      <c r="E2413" s="51">
        <v>2650500</v>
      </c>
      <c r="F2413" s="52">
        <f t="shared" si="142"/>
        <v>212040</v>
      </c>
      <c r="G2413" s="54">
        <f t="shared" si="140"/>
        <v>2862540</v>
      </c>
      <c r="H2413" s="55"/>
      <c r="I2413" s="55">
        <f t="shared" si="141"/>
        <v>2862540</v>
      </c>
      <c r="J2413" s="57"/>
    </row>
    <row r="2414" spans="1:10" ht="15" hidden="1" customHeight="1" x14ac:dyDescent="0.35">
      <c r="A2414" s="47" t="s">
        <v>770</v>
      </c>
      <c r="B2414" s="48" t="s">
        <v>3861</v>
      </c>
      <c r="C2414" s="49" t="s">
        <v>3826</v>
      </c>
      <c r="D2414" s="50"/>
      <c r="E2414" s="51">
        <v>1840500</v>
      </c>
      <c r="F2414" s="52">
        <f t="shared" si="142"/>
        <v>147240</v>
      </c>
      <c r="G2414" s="54">
        <f t="shared" si="140"/>
        <v>1987740</v>
      </c>
      <c r="H2414" s="55"/>
      <c r="I2414" s="55">
        <f t="shared" si="141"/>
        <v>1987740</v>
      </c>
      <c r="J2414" s="57"/>
    </row>
    <row r="2415" spans="1:10" ht="15" hidden="1" customHeight="1" x14ac:dyDescent="0.35">
      <c r="A2415" s="47" t="s">
        <v>2727</v>
      </c>
      <c r="B2415" s="48" t="s">
        <v>3861</v>
      </c>
      <c r="C2415" s="49" t="s">
        <v>3827</v>
      </c>
      <c r="D2415" s="50"/>
      <c r="E2415" s="51">
        <v>1840500</v>
      </c>
      <c r="F2415" s="52">
        <f t="shared" si="142"/>
        <v>147240</v>
      </c>
      <c r="G2415" s="54">
        <f t="shared" si="140"/>
        <v>1987740</v>
      </c>
      <c r="H2415" s="55"/>
      <c r="I2415" s="55">
        <f t="shared" si="141"/>
        <v>1987740</v>
      </c>
      <c r="J2415" s="57"/>
    </row>
    <row r="2416" spans="1:10" ht="15" hidden="1" customHeight="1" x14ac:dyDescent="0.35">
      <c r="A2416" s="47" t="s">
        <v>2688</v>
      </c>
      <c r="B2416" s="48" t="s">
        <v>3862</v>
      </c>
      <c r="C2416" s="49" t="s">
        <v>3828</v>
      </c>
      <c r="D2416" s="50"/>
      <c r="E2416" s="51">
        <v>2010000</v>
      </c>
      <c r="F2416" s="52">
        <f t="shared" si="142"/>
        <v>160800</v>
      </c>
      <c r="G2416" s="54">
        <f t="shared" si="140"/>
        <v>2170800</v>
      </c>
      <c r="H2416" s="55"/>
      <c r="I2416" s="55">
        <f t="shared" si="141"/>
        <v>2170800</v>
      </c>
      <c r="J2416" s="57"/>
    </row>
    <row r="2417" spans="1:10" ht="15" hidden="1" customHeight="1" x14ac:dyDescent="0.35">
      <c r="A2417" s="47" t="s">
        <v>2706</v>
      </c>
      <c r="B2417" s="48" t="s">
        <v>3863</v>
      </c>
      <c r="C2417" s="49" t="s">
        <v>3829</v>
      </c>
      <c r="D2417" s="50"/>
      <c r="E2417" s="51">
        <v>2045000</v>
      </c>
      <c r="F2417" s="52">
        <f t="shared" si="142"/>
        <v>163600</v>
      </c>
      <c r="G2417" s="54">
        <f t="shared" si="140"/>
        <v>2208600</v>
      </c>
      <c r="H2417" s="55"/>
      <c r="I2417" s="55">
        <f t="shared" si="141"/>
        <v>2208600</v>
      </c>
      <c r="J2417" s="57"/>
    </row>
    <row r="2418" spans="1:10" ht="15" hidden="1" customHeight="1" x14ac:dyDescent="0.35">
      <c r="A2418" s="47" t="s">
        <v>3018</v>
      </c>
      <c r="B2418" s="48" t="s">
        <v>3864</v>
      </c>
      <c r="C2418" s="49" t="s">
        <v>3830</v>
      </c>
      <c r="D2418" s="50"/>
      <c r="E2418" s="51">
        <v>1327000</v>
      </c>
      <c r="F2418" s="52">
        <f t="shared" si="142"/>
        <v>106160</v>
      </c>
      <c r="G2418" s="54">
        <f t="shared" ref="G2418:G2481" si="143">E2418+F2418</f>
        <v>1433160</v>
      </c>
      <c r="H2418" s="55"/>
      <c r="I2418" s="55">
        <f t="shared" si="141"/>
        <v>1433160</v>
      </c>
      <c r="J2418" s="57"/>
    </row>
    <row r="2419" spans="1:10" ht="15" hidden="1" customHeight="1" x14ac:dyDescent="0.35">
      <c r="A2419" s="47" t="s">
        <v>2712</v>
      </c>
      <c r="B2419" s="48" t="s">
        <v>3864</v>
      </c>
      <c r="C2419" s="49" t="s">
        <v>3831</v>
      </c>
      <c r="D2419" s="50"/>
      <c r="E2419" s="51">
        <v>1005000</v>
      </c>
      <c r="F2419" s="52">
        <f t="shared" si="142"/>
        <v>80400</v>
      </c>
      <c r="G2419" s="54">
        <f t="shared" si="143"/>
        <v>1085400</v>
      </c>
      <c r="H2419" s="55"/>
      <c r="I2419" s="55">
        <f t="shared" ref="I2419:I2482" si="144">G2419-H2419</f>
        <v>1085400</v>
      </c>
      <c r="J2419" s="57"/>
    </row>
    <row r="2420" spans="1:10" ht="15" hidden="1" customHeight="1" x14ac:dyDescent="0.35">
      <c r="A2420" s="47" t="s">
        <v>24</v>
      </c>
      <c r="B2420" s="48">
        <v>46237</v>
      </c>
      <c r="C2420" s="50" t="s">
        <v>3832</v>
      </c>
      <c r="D2420" s="50" t="s">
        <v>3876</v>
      </c>
      <c r="E2420" s="51">
        <v>1040000</v>
      </c>
      <c r="F2420" s="52">
        <f t="shared" ref="F2420:F2483" si="145">+E2420*0.08</f>
        <v>83200</v>
      </c>
      <c r="G2420" s="54">
        <f t="shared" si="143"/>
        <v>1123200</v>
      </c>
      <c r="H2420" s="55"/>
      <c r="I2420" s="55">
        <f t="shared" si="144"/>
        <v>1123200</v>
      </c>
      <c r="J2420" s="57"/>
    </row>
    <row r="2421" spans="1:10" ht="15" hidden="1" customHeight="1" x14ac:dyDescent="0.35">
      <c r="A2421" s="47" t="s">
        <v>3034</v>
      </c>
      <c r="B2421" s="48" t="s">
        <v>3864</v>
      </c>
      <c r="C2421" s="49" t="s">
        <v>3833</v>
      </c>
      <c r="D2421" s="50"/>
      <c r="E2421" s="51">
        <v>1040000</v>
      </c>
      <c r="F2421" s="52">
        <f t="shared" si="145"/>
        <v>83200</v>
      </c>
      <c r="G2421" s="54">
        <f t="shared" si="143"/>
        <v>1123200</v>
      </c>
      <c r="H2421" s="55"/>
      <c r="I2421" s="55">
        <f t="shared" si="144"/>
        <v>1123200</v>
      </c>
      <c r="J2421" s="57"/>
    </row>
    <row r="2422" spans="1:10" ht="15" hidden="1" customHeight="1" x14ac:dyDescent="0.35">
      <c r="A2422" s="47" t="s">
        <v>2728</v>
      </c>
      <c r="B2422" s="48" t="s">
        <v>3864</v>
      </c>
      <c r="C2422" s="49" t="s">
        <v>3834</v>
      </c>
      <c r="D2422" s="50"/>
      <c r="E2422" s="51">
        <v>810000</v>
      </c>
      <c r="F2422" s="52">
        <f t="shared" si="145"/>
        <v>64800</v>
      </c>
      <c r="G2422" s="54">
        <f t="shared" si="143"/>
        <v>874800</v>
      </c>
      <c r="H2422" s="55"/>
      <c r="I2422" s="55">
        <f t="shared" si="144"/>
        <v>874800</v>
      </c>
      <c r="J2422" s="57"/>
    </row>
    <row r="2423" spans="1:10" ht="15" hidden="1" customHeight="1" x14ac:dyDescent="0.35">
      <c r="A2423" s="47" t="s">
        <v>2727</v>
      </c>
      <c r="B2423" s="48" t="s">
        <v>3864</v>
      </c>
      <c r="C2423" s="49" t="s">
        <v>3835</v>
      </c>
      <c r="D2423" s="50"/>
      <c r="E2423" s="51">
        <v>2045000</v>
      </c>
      <c r="F2423" s="52">
        <f t="shared" si="145"/>
        <v>163600</v>
      </c>
      <c r="G2423" s="54">
        <f t="shared" si="143"/>
        <v>2208600</v>
      </c>
      <c r="H2423" s="55"/>
      <c r="I2423" s="55">
        <f t="shared" si="144"/>
        <v>2208600</v>
      </c>
      <c r="J2423" s="57"/>
    </row>
    <row r="2424" spans="1:10" ht="15" hidden="1" customHeight="1" x14ac:dyDescent="0.35">
      <c r="A2424" s="47" t="s">
        <v>2733</v>
      </c>
      <c r="B2424" s="48" t="s">
        <v>3864</v>
      </c>
      <c r="C2424" s="49" t="s">
        <v>3836</v>
      </c>
      <c r="D2424" s="50"/>
      <c r="E2424" s="51">
        <v>6715000</v>
      </c>
      <c r="F2424" s="52">
        <f t="shared" si="145"/>
        <v>537200</v>
      </c>
      <c r="G2424" s="54">
        <f t="shared" si="143"/>
        <v>7252200</v>
      </c>
      <c r="H2424" s="55"/>
      <c r="I2424" s="55">
        <f t="shared" si="144"/>
        <v>7252200</v>
      </c>
      <c r="J2424" s="57"/>
    </row>
    <row r="2425" spans="1:10" ht="15" hidden="1" customHeight="1" x14ac:dyDescent="0.35">
      <c r="A2425" s="47" t="s">
        <v>2741</v>
      </c>
      <c r="B2425" s="48">
        <v>46235</v>
      </c>
      <c r="C2425" s="50" t="s">
        <v>3837</v>
      </c>
      <c r="D2425" s="49" t="s">
        <v>3875</v>
      </c>
      <c r="E2425" s="51">
        <v>502500</v>
      </c>
      <c r="F2425" s="52">
        <f t="shared" si="145"/>
        <v>40200</v>
      </c>
      <c r="G2425" s="54">
        <f t="shared" si="143"/>
        <v>542700</v>
      </c>
      <c r="H2425" s="55"/>
      <c r="I2425" s="55">
        <f t="shared" si="144"/>
        <v>542700</v>
      </c>
      <c r="J2425" s="57"/>
    </row>
    <row r="2426" spans="1:10" ht="15" hidden="1" customHeight="1" x14ac:dyDescent="0.35">
      <c r="A2426" s="47" t="s">
        <v>3016</v>
      </c>
      <c r="B2426" s="48" t="s">
        <v>3865</v>
      </c>
      <c r="C2426" s="49" t="s">
        <v>3838</v>
      </c>
      <c r="D2426" s="50"/>
      <c r="E2426" s="51">
        <v>4090000</v>
      </c>
      <c r="F2426" s="52">
        <f t="shared" si="145"/>
        <v>327200</v>
      </c>
      <c r="G2426" s="54">
        <f t="shared" si="143"/>
        <v>4417200</v>
      </c>
      <c r="H2426" s="55"/>
      <c r="I2426" s="55">
        <f t="shared" si="144"/>
        <v>4417200</v>
      </c>
      <c r="J2426" s="57"/>
    </row>
    <row r="2427" spans="1:10" ht="15" hidden="1" customHeight="1" x14ac:dyDescent="0.35">
      <c r="A2427" s="47" t="s">
        <v>2730</v>
      </c>
      <c r="B2427" s="48" t="s">
        <v>3865</v>
      </c>
      <c r="C2427" s="49" t="s">
        <v>3839</v>
      </c>
      <c r="D2427" s="50"/>
      <c r="E2427" s="51">
        <v>2855000</v>
      </c>
      <c r="F2427" s="52">
        <f t="shared" si="145"/>
        <v>228400</v>
      </c>
      <c r="G2427" s="54">
        <f t="shared" si="143"/>
        <v>3083400</v>
      </c>
      <c r="H2427" s="55"/>
      <c r="I2427" s="55">
        <f t="shared" si="144"/>
        <v>3083400</v>
      </c>
      <c r="J2427" s="57"/>
    </row>
    <row r="2428" spans="1:10" ht="15" hidden="1" customHeight="1" x14ac:dyDescent="0.35">
      <c r="A2428" s="47" t="s">
        <v>2735</v>
      </c>
      <c r="B2428" s="48" t="s">
        <v>3866</v>
      </c>
      <c r="C2428" s="50" t="s">
        <v>3840</v>
      </c>
      <c r="D2428" s="50"/>
      <c r="E2428" s="51">
        <v>810000</v>
      </c>
      <c r="F2428" s="52">
        <f t="shared" si="145"/>
        <v>64800</v>
      </c>
      <c r="G2428" s="54">
        <f t="shared" si="143"/>
        <v>874800</v>
      </c>
      <c r="H2428" s="55"/>
      <c r="I2428" s="55">
        <f t="shared" si="144"/>
        <v>874800</v>
      </c>
      <c r="J2428" s="57"/>
    </row>
    <row r="2429" spans="1:10" ht="15" hidden="1" customHeight="1" x14ac:dyDescent="0.35">
      <c r="A2429" s="47" t="s">
        <v>2745</v>
      </c>
      <c r="B2429" s="48" t="s">
        <v>3866</v>
      </c>
      <c r="C2429" s="50" t="s">
        <v>3841</v>
      </c>
      <c r="D2429" s="50"/>
      <c r="E2429" s="51">
        <v>2045000</v>
      </c>
      <c r="F2429" s="52">
        <f t="shared" si="145"/>
        <v>163600</v>
      </c>
      <c r="G2429" s="54">
        <f t="shared" si="143"/>
        <v>2208600</v>
      </c>
      <c r="H2429" s="55"/>
      <c r="I2429" s="55">
        <f t="shared" si="144"/>
        <v>2208600</v>
      </c>
      <c r="J2429" s="57"/>
    </row>
    <row r="2430" spans="1:10" ht="15" hidden="1" customHeight="1" x14ac:dyDescent="0.35">
      <c r="A2430" s="47" t="s">
        <v>2683</v>
      </c>
      <c r="B2430" s="48" t="s">
        <v>3866</v>
      </c>
      <c r="C2430" s="49" t="s">
        <v>2847</v>
      </c>
      <c r="D2430" s="50"/>
      <c r="E2430" s="51">
        <v>2080000</v>
      </c>
      <c r="F2430" s="52">
        <f t="shared" si="145"/>
        <v>166400</v>
      </c>
      <c r="G2430" s="54">
        <f t="shared" si="143"/>
        <v>2246400</v>
      </c>
      <c r="H2430" s="55"/>
      <c r="I2430" s="55">
        <f t="shared" si="144"/>
        <v>2246400</v>
      </c>
      <c r="J2430" s="57"/>
    </row>
    <row r="2431" spans="1:10" ht="15" hidden="1" customHeight="1" x14ac:dyDescent="0.35">
      <c r="A2431" s="47" t="s">
        <v>2743</v>
      </c>
      <c r="B2431" s="48" t="s">
        <v>3866</v>
      </c>
      <c r="C2431" s="50" t="s">
        <v>3842</v>
      </c>
      <c r="D2431" s="50"/>
      <c r="E2431" s="51">
        <v>1005000</v>
      </c>
      <c r="F2431" s="52">
        <f t="shared" si="145"/>
        <v>80400</v>
      </c>
      <c r="G2431" s="54">
        <f t="shared" si="143"/>
        <v>1085400</v>
      </c>
      <c r="H2431" s="55"/>
      <c r="I2431" s="55">
        <f t="shared" si="144"/>
        <v>1085400</v>
      </c>
      <c r="J2431" s="57"/>
    </row>
    <row r="2432" spans="1:10" ht="15" hidden="1" customHeight="1" x14ac:dyDescent="0.35">
      <c r="A2432" s="47" t="s">
        <v>2727</v>
      </c>
      <c r="B2432" s="48" t="s">
        <v>3867</v>
      </c>
      <c r="C2432" s="50" t="s">
        <v>3843</v>
      </c>
      <c r="D2432" s="50"/>
      <c r="E2432" s="51">
        <v>2855000</v>
      </c>
      <c r="F2432" s="52">
        <f t="shared" si="145"/>
        <v>228400</v>
      </c>
      <c r="G2432" s="54">
        <f t="shared" si="143"/>
        <v>3083400</v>
      </c>
      <c r="H2432" s="55"/>
      <c r="I2432" s="55">
        <f t="shared" si="144"/>
        <v>3083400</v>
      </c>
      <c r="J2432" s="57"/>
    </row>
    <row r="2433" spans="1:10" ht="15" hidden="1" customHeight="1" x14ac:dyDescent="0.35">
      <c r="A2433" s="47" t="s">
        <v>2689</v>
      </c>
      <c r="B2433" s="48" t="s">
        <v>3867</v>
      </c>
      <c r="C2433" s="50" t="s">
        <v>3844</v>
      </c>
      <c r="D2433" s="50"/>
      <c r="E2433" s="51">
        <v>1005000</v>
      </c>
      <c r="F2433" s="52">
        <f t="shared" si="145"/>
        <v>80400</v>
      </c>
      <c r="G2433" s="54">
        <f t="shared" si="143"/>
        <v>1085400</v>
      </c>
      <c r="H2433" s="55"/>
      <c r="I2433" s="55">
        <f t="shared" si="144"/>
        <v>1085400</v>
      </c>
      <c r="J2433" s="57"/>
    </row>
    <row r="2434" spans="1:10" ht="15" hidden="1" customHeight="1" x14ac:dyDescent="0.35">
      <c r="A2434" s="47" t="s">
        <v>2704</v>
      </c>
      <c r="B2434" s="48" t="s">
        <v>3867</v>
      </c>
      <c r="C2434" s="50" t="s">
        <v>2850</v>
      </c>
      <c r="D2434" s="50"/>
      <c r="E2434" s="51">
        <v>2045000</v>
      </c>
      <c r="F2434" s="52">
        <f t="shared" si="145"/>
        <v>163600</v>
      </c>
      <c r="G2434" s="54">
        <f t="shared" si="143"/>
        <v>2208600</v>
      </c>
      <c r="H2434" s="55"/>
      <c r="I2434" s="55">
        <f t="shared" si="144"/>
        <v>2208600</v>
      </c>
      <c r="J2434" s="57"/>
    </row>
    <row r="2435" spans="1:10" ht="15" hidden="1" customHeight="1" x14ac:dyDescent="0.35">
      <c r="A2435" s="47" t="s">
        <v>2694</v>
      </c>
      <c r="B2435" s="48" t="s">
        <v>3868</v>
      </c>
      <c r="C2435" s="50" t="s">
        <v>3845</v>
      </c>
      <c r="D2435" s="50"/>
      <c r="E2435" s="51">
        <v>1040000</v>
      </c>
      <c r="F2435" s="52">
        <f t="shared" si="145"/>
        <v>83200</v>
      </c>
      <c r="G2435" s="54">
        <f t="shared" si="143"/>
        <v>1123200</v>
      </c>
      <c r="H2435" s="55"/>
      <c r="I2435" s="55">
        <f t="shared" si="144"/>
        <v>1123200</v>
      </c>
      <c r="J2435" s="57"/>
    </row>
    <row r="2436" spans="1:10" ht="15" hidden="1" customHeight="1" x14ac:dyDescent="0.35">
      <c r="A2436" s="47" t="s">
        <v>2725</v>
      </c>
      <c r="B2436" s="48" t="s">
        <v>3868</v>
      </c>
      <c r="C2436" s="49" t="s">
        <v>3846</v>
      </c>
      <c r="D2436" s="50"/>
      <c r="E2436" s="51">
        <v>2855000</v>
      </c>
      <c r="F2436" s="52">
        <f t="shared" si="145"/>
        <v>228400</v>
      </c>
      <c r="G2436" s="54">
        <f t="shared" si="143"/>
        <v>3083400</v>
      </c>
      <c r="H2436" s="55"/>
      <c r="I2436" s="55">
        <f t="shared" si="144"/>
        <v>3083400</v>
      </c>
      <c r="J2436" s="57"/>
    </row>
    <row r="2437" spans="1:10" ht="15" hidden="1" customHeight="1" x14ac:dyDescent="0.35">
      <c r="A2437" s="47" t="s">
        <v>2729</v>
      </c>
      <c r="B2437" s="48" t="s">
        <v>3868</v>
      </c>
      <c r="C2437" s="50" t="s">
        <v>3847</v>
      </c>
      <c r="D2437" s="50"/>
      <c r="E2437" s="51">
        <v>2045000</v>
      </c>
      <c r="F2437" s="52">
        <f t="shared" si="145"/>
        <v>163600</v>
      </c>
      <c r="G2437" s="54">
        <f t="shared" si="143"/>
        <v>2208600</v>
      </c>
      <c r="H2437" s="55"/>
      <c r="I2437" s="55">
        <f t="shared" si="144"/>
        <v>2208600</v>
      </c>
      <c r="J2437" s="57"/>
    </row>
    <row r="2438" spans="1:10" ht="15" hidden="1" customHeight="1" x14ac:dyDescent="0.35">
      <c r="A2438" s="47" t="s">
        <v>2702</v>
      </c>
      <c r="B2438" s="48" t="s">
        <v>3868</v>
      </c>
      <c r="C2438" s="50" t="s">
        <v>3848</v>
      </c>
      <c r="D2438" s="50"/>
      <c r="E2438" s="51">
        <v>2045000</v>
      </c>
      <c r="F2438" s="52">
        <f t="shared" si="145"/>
        <v>163600</v>
      </c>
      <c r="G2438" s="54">
        <f t="shared" si="143"/>
        <v>2208600</v>
      </c>
      <c r="H2438" s="55"/>
      <c r="I2438" s="55">
        <f t="shared" si="144"/>
        <v>2208600</v>
      </c>
      <c r="J2438" s="57"/>
    </row>
    <row r="2439" spans="1:10" ht="15" hidden="1" customHeight="1" x14ac:dyDescent="0.35">
      <c r="A2439" s="47" t="s">
        <v>2747</v>
      </c>
      <c r="B2439" s="48" t="s">
        <v>3868</v>
      </c>
      <c r="C2439" s="50" t="s">
        <v>3849</v>
      </c>
      <c r="D2439" s="50"/>
      <c r="E2439" s="51">
        <v>1040000</v>
      </c>
      <c r="F2439" s="52">
        <f t="shared" si="145"/>
        <v>83200</v>
      </c>
      <c r="G2439" s="54">
        <f t="shared" si="143"/>
        <v>1123200</v>
      </c>
      <c r="H2439" s="55"/>
      <c r="I2439" s="55">
        <f t="shared" si="144"/>
        <v>1123200</v>
      </c>
      <c r="J2439" s="57"/>
    </row>
    <row r="2440" spans="1:10" ht="15" hidden="1" customHeight="1" x14ac:dyDescent="0.35">
      <c r="A2440" s="47" t="s">
        <v>2699</v>
      </c>
      <c r="B2440" s="48" t="s">
        <v>3869</v>
      </c>
      <c r="C2440" s="50" t="s">
        <v>3850</v>
      </c>
      <c r="D2440" s="50"/>
      <c r="E2440" s="51">
        <v>2450000</v>
      </c>
      <c r="F2440" s="52">
        <f t="shared" si="145"/>
        <v>196000</v>
      </c>
      <c r="G2440" s="54">
        <f t="shared" si="143"/>
        <v>2646000</v>
      </c>
      <c r="H2440" s="55"/>
      <c r="I2440" s="55">
        <f t="shared" si="144"/>
        <v>2646000</v>
      </c>
      <c r="J2440" s="57"/>
    </row>
    <row r="2441" spans="1:10" ht="15" hidden="1" customHeight="1" x14ac:dyDescent="0.35">
      <c r="A2441" s="47" t="s">
        <v>2680</v>
      </c>
      <c r="B2441" s="48" t="s">
        <v>3869</v>
      </c>
      <c r="C2441" s="50" t="s">
        <v>2851</v>
      </c>
      <c r="D2441" s="50"/>
      <c r="E2441" s="51">
        <v>1445000</v>
      </c>
      <c r="F2441" s="52">
        <f t="shared" si="145"/>
        <v>115600</v>
      </c>
      <c r="G2441" s="54">
        <f t="shared" si="143"/>
        <v>1560600</v>
      </c>
      <c r="H2441" s="55"/>
      <c r="I2441" s="55">
        <f t="shared" si="144"/>
        <v>1560600</v>
      </c>
      <c r="J2441" s="57"/>
    </row>
    <row r="2442" spans="1:10" ht="15" hidden="1" customHeight="1" x14ac:dyDescent="0.35">
      <c r="A2442" s="47" t="s">
        <v>2685</v>
      </c>
      <c r="B2442" s="48" t="s">
        <v>3869</v>
      </c>
      <c r="C2442" s="49" t="s">
        <v>2852</v>
      </c>
      <c r="D2442" s="50"/>
      <c r="E2442" s="51">
        <v>1525000</v>
      </c>
      <c r="F2442" s="52">
        <f t="shared" si="145"/>
        <v>122000</v>
      </c>
      <c r="G2442" s="54">
        <f t="shared" si="143"/>
        <v>1647000</v>
      </c>
      <c r="H2442" s="55"/>
      <c r="I2442" s="55">
        <f t="shared" si="144"/>
        <v>1647000</v>
      </c>
      <c r="J2442" s="57"/>
    </row>
    <row r="2443" spans="1:10" ht="15" hidden="1" customHeight="1" x14ac:dyDescent="0.35">
      <c r="A2443" s="47" t="s">
        <v>2716</v>
      </c>
      <c r="B2443" s="48" t="s">
        <v>3869</v>
      </c>
      <c r="C2443" s="50" t="s">
        <v>2853</v>
      </c>
      <c r="D2443" s="50"/>
      <c r="E2443" s="51">
        <v>1005000</v>
      </c>
      <c r="F2443" s="52">
        <f t="shared" si="145"/>
        <v>80400</v>
      </c>
      <c r="G2443" s="54">
        <f t="shared" si="143"/>
        <v>1085400</v>
      </c>
      <c r="H2443" s="55"/>
      <c r="I2443" s="55">
        <f t="shared" si="144"/>
        <v>1085400</v>
      </c>
      <c r="J2443" s="57"/>
    </row>
    <row r="2444" spans="1:10" ht="15" hidden="1" customHeight="1" x14ac:dyDescent="0.35">
      <c r="A2444" s="47" t="s">
        <v>770</v>
      </c>
      <c r="B2444" s="48" t="s">
        <v>3870</v>
      </c>
      <c r="C2444" s="50" t="s">
        <v>3851</v>
      </c>
      <c r="D2444" s="50"/>
      <c r="E2444" s="51">
        <v>2045000</v>
      </c>
      <c r="F2444" s="52">
        <f t="shared" si="145"/>
        <v>163600</v>
      </c>
      <c r="G2444" s="54">
        <f t="shared" si="143"/>
        <v>2208600</v>
      </c>
      <c r="H2444" s="55"/>
      <c r="I2444" s="55">
        <f t="shared" si="144"/>
        <v>2208600</v>
      </c>
      <c r="J2444" s="57"/>
    </row>
    <row r="2445" spans="1:10" ht="15" hidden="1" customHeight="1" x14ac:dyDescent="0.35">
      <c r="A2445" s="47" t="s">
        <v>2695</v>
      </c>
      <c r="B2445" s="48" t="s">
        <v>3871</v>
      </c>
      <c r="C2445" s="49" t="s">
        <v>3852</v>
      </c>
      <c r="D2445" s="50"/>
      <c r="E2445" s="51">
        <v>3050000</v>
      </c>
      <c r="F2445" s="52">
        <f t="shared" si="145"/>
        <v>244000</v>
      </c>
      <c r="G2445" s="54">
        <f t="shared" si="143"/>
        <v>3294000</v>
      </c>
      <c r="H2445" s="55"/>
      <c r="I2445" s="55">
        <f t="shared" si="144"/>
        <v>3294000</v>
      </c>
      <c r="J2445" s="57"/>
    </row>
    <row r="2446" spans="1:10" ht="15" hidden="1" customHeight="1" x14ac:dyDescent="0.35">
      <c r="A2446" s="47" t="s">
        <v>2738</v>
      </c>
      <c r="B2446" s="48" t="s">
        <v>3871</v>
      </c>
      <c r="C2446" s="49" t="s">
        <v>3853</v>
      </c>
      <c r="D2446" s="50"/>
      <c r="E2446" s="51">
        <v>2045000</v>
      </c>
      <c r="F2446" s="52">
        <f t="shared" si="145"/>
        <v>163600</v>
      </c>
      <c r="G2446" s="54">
        <f t="shared" si="143"/>
        <v>2208600</v>
      </c>
      <c r="H2446" s="55"/>
      <c r="I2446" s="55">
        <f t="shared" si="144"/>
        <v>2208600</v>
      </c>
      <c r="J2446" s="57"/>
    </row>
    <row r="2447" spans="1:10" ht="15" hidden="1" customHeight="1" x14ac:dyDescent="0.35">
      <c r="A2447" s="47" t="s">
        <v>2734</v>
      </c>
      <c r="B2447" s="48" t="s">
        <v>3872</v>
      </c>
      <c r="C2447" s="50" t="s">
        <v>2865</v>
      </c>
      <c r="D2447" s="50"/>
      <c r="E2447" s="51">
        <v>2045000</v>
      </c>
      <c r="F2447" s="52">
        <f t="shared" si="145"/>
        <v>163600</v>
      </c>
      <c r="G2447" s="54">
        <f t="shared" si="143"/>
        <v>2208600</v>
      </c>
      <c r="H2447" s="55"/>
      <c r="I2447" s="55">
        <f t="shared" si="144"/>
        <v>2208600</v>
      </c>
      <c r="J2447" s="57"/>
    </row>
    <row r="2448" spans="1:10" ht="15" hidden="1" customHeight="1" x14ac:dyDescent="0.35">
      <c r="A2448" s="47" t="s">
        <v>2688</v>
      </c>
      <c r="B2448" s="48" t="s">
        <v>3872</v>
      </c>
      <c r="C2448" s="50" t="s">
        <v>2867</v>
      </c>
      <c r="D2448" s="50"/>
      <c r="E2448" s="51">
        <v>2080000</v>
      </c>
      <c r="F2448" s="52">
        <f t="shared" si="145"/>
        <v>166400</v>
      </c>
      <c r="G2448" s="54">
        <f t="shared" si="143"/>
        <v>2246400</v>
      </c>
      <c r="H2448" s="55"/>
      <c r="I2448" s="55">
        <f t="shared" si="144"/>
        <v>2246400</v>
      </c>
      <c r="J2448" s="57"/>
    </row>
    <row r="2449" spans="1:10" ht="15" hidden="1" customHeight="1" x14ac:dyDescent="0.35">
      <c r="A2449" s="47" t="s">
        <v>308</v>
      </c>
      <c r="B2449" s="48" t="s">
        <v>3872</v>
      </c>
      <c r="C2449" s="50" t="s">
        <v>2869</v>
      </c>
      <c r="D2449" s="50"/>
      <c r="E2449" s="51">
        <v>1427500</v>
      </c>
      <c r="F2449" s="52">
        <f t="shared" si="145"/>
        <v>114200</v>
      </c>
      <c r="G2449" s="54">
        <f t="shared" si="143"/>
        <v>1541700</v>
      </c>
      <c r="H2449" s="55"/>
      <c r="I2449" s="55">
        <f t="shared" si="144"/>
        <v>1541700</v>
      </c>
      <c r="J2449" s="57"/>
    </row>
    <row r="2450" spans="1:10" ht="15" hidden="1" customHeight="1" x14ac:dyDescent="0.35">
      <c r="A2450" s="47" t="s">
        <v>2681</v>
      </c>
      <c r="B2450" s="48" t="s">
        <v>3872</v>
      </c>
      <c r="C2450" s="50" t="s">
        <v>3854</v>
      </c>
      <c r="D2450" s="50"/>
      <c r="E2450" s="51">
        <v>1190000</v>
      </c>
      <c r="F2450" s="52">
        <f t="shared" si="145"/>
        <v>95200</v>
      </c>
      <c r="G2450" s="54">
        <f t="shared" si="143"/>
        <v>1285200</v>
      </c>
      <c r="H2450" s="55"/>
      <c r="I2450" s="55">
        <f t="shared" si="144"/>
        <v>1285200</v>
      </c>
      <c r="J2450" s="57"/>
    </row>
    <row r="2451" spans="1:10" ht="15" hidden="1" customHeight="1" x14ac:dyDescent="0.35">
      <c r="A2451" s="47" t="s">
        <v>2706</v>
      </c>
      <c r="B2451" s="48" t="s">
        <v>3873</v>
      </c>
      <c r="C2451" s="50" t="s">
        <v>2918</v>
      </c>
      <c r="D2451" s="50"/>
      <c r="E2451" s="51">
        <v>1005000</v>
      </c>
      <c r="F2451" s="52">
        <f t="shared" si="145"/>
        <v>80400</v>
      </c>
      <c r="G2451" s="54">
        <f t="shared" si="143"/>
        <v>1085400</v>
      </c>
      <c r="H2451" s="55"/>
      <c r="I2451" s="55">
        <f t="shared" si="144"/>
        <v>1085400</v>
      </c>
      <c r="J2451" s="57"/>
    </row>
    <row r="2452" spans="1:10" ht="15" hidden="1" customHeight="1" x14ac:dyDescent="0.35">
      <c r="A2452" s="47" t="s">
        <v>2729</v>
      </c>
      <c r="B2452" s="48" t="s">
        <v>3873</v>
      </c>
      <c r="C2452" s="50" t="s">
        <v>2922</v>
      </c>
      <c r="D2452" s="50"/>
      <c r="E2452" s="51">
        <v>1525000</v>
      </c>
      <c r="F2452" s="52">
        <f t="shared" si="145"/>
        <v>122000</v>
      </c>
      <c r="G2452" s="54">
        <f t="shared" si="143"/>
        <v>1647000</v>
      </c>
      <c r="H2452" s="55"/>
      <c r="I2452" s="55">
        <f t="shared" si="144"/>
        <v>1647000</v>
      </c>
      <c r="J2452" s="57"/>
    </row>
    <row r="2453" spans="1:10" ht="15" hidden="1" customHeight="1" x14ac:dyDescent="0.35">
      <c r="A2453" s="47" t="s">
        <v>2680</v>
      </c>
      <c r="B2453" s="48" t="s">
        <v>3873</v>
      </c>
      <c r="C2453" s="50" t="s">
        <v>2923</v>
      </c>
      <c r="D2453" s="50"/>
      <c r="E2453" s="51">
        <v>1005000</v>
      </c>
      <c r="F2453" s="52">
        <f t="shared" si="145"/>
        <v>80400</v>
      </c>
      <c r="G2453" s="54">
        <f t="shared" si="143"/>
        <v>1085400</v>
      </c>
      <c r="H2453" s="55"/>
      <c r="I2453" s="55">
        <f t="shared" si="144"/>
        <v>1085400</v>
      </c>
      <c r="J2453" s="57"/>
    </row>
    <row r="2454" spans="1:10" ht="15" hidden="1" customHeight="1" x14ac:dyDescent="0.35">
      <c r="A2454" s="47" t="s">
        <v>2687</v>
      </c>
      <c r="B2454" s="48" t="s">
        <v>3873</v>
      </c>
      <c r="C2454" s="50" t="s">
        <v>2924</v>
      </c>
      <c r="D2454" s="50"/>
      <c r="E2454" s="51">
        <v>1005000</v>
      </c>
      <c r="F2454" s="52">
        <f t="shared" si="145"/>
        <v>80400</v>
      </c>
      <c r="G2454" s="54">
        <f t="shared" si="143"/>
        <v>1085400</v>
      </c>
      <c r="H2454" s="55"/>
      <c r="I2454" s="55">
        <f t="shared" si="144"/>
        <v>1085400</v>
      </c>
      <c r="J2454" s="57"/>
    </row>
    <row r="2455" spans="1:10" ht="15" hidden="1" customHeight="1" x14ac:dyDescent="0.35">
      <c r="A2455" s="47" t="s">
        <v>2717</v>
      </c>
      <c r="B2455" s="48" t="s">
        <v>3873</v>
      </c>
      <c r="C2455" s="50" t="s">
        <v>2926</v>
      </c>
      <c r="D2455" s="50"/>
      <c r="E2455" s="51">
        <v>2045000</v>
      </c>
      <c r="F2455" s="52">
        <f t="shared" si="145"/>
        <v>163600</v>
      </c>
      <c r="G2455" s="54">
        <f t="shared" si="143"/>
        <v>2208600</v>
      </c>
      <c r="H2455" s="55"/>
      <c r="I2455" s="55">
        <f t="shared" si="144"/>
        <v>2208600</v>
      </c>
      <c r="J2455" s="57"/>
    </row>
    <row r="2456" spans="1:10" ht="15" hidden="1" customHeight="1" x14ac:dyDescent="0.35">
      <c r="A2456" s="47" t="s">
        <v>2713</v>
      </c>
      <c r="B2456" s="48" t="s">
        <v>3873</v>
      </c>
      <c r="C2456" s="50" t="s">
        <v>2927</v>
      </c>
      <c r="D2456" s="50"/>
      <c r="E2456" s="51">
        <v>1410000</v>
      </c>
      <c r="F2456" s="52">
        <f t="shared" si="145"/>
        <v>112800</v>
      </c>
      <c r="G2456" s="54">
        <f t="shared" si="143"/>
        <v>1522800</v>
      </c>
      <c r="H2456" s="55"/>
      <c r="I2456" s="55">
        <f t="shared" si="144"/>
        <v>1522800</v>
      </c>
      <c r="J2456" s="57"/>
    </row>
    <row r="2457" spans="1:10" ht="15" hidden="1" customHeight="1" x14ac:dyDescent="0.35">
      <c r="A2457" s="47" t="s">
        <v>2695</v>
      </c>
      <c r="B2457" s="48" t="s">
        <v>3873</v>
      </c>
      <c r="C2457" s="50" t="s">
        <v>3855</v>
      </c>
      <c r="D2457" s="50"/>
      <c r="E2457" s="51">
        <v>6135000</v>
      </c>
      <c r="F2457" s="52">
        <f t="shared" si="145"/>
        <v>490800</v>
      </c>
      <c r="G2457" s="54">
        <f t="shared" si="143"/>
        <v>6625800</v>
      </c>
      <c r="H2457" s="55"/>
      <c r="I2457" s="55">
        <f t="shared" si="144"/>
        <v>6625800</v>
      </c>
      <c r="J2457" s="57"/>
    </row>
    <row r="2458" spans="1:10" ht="15" hidden="1" customHeight="1" x14ac:dyDescent="0.35">
      <c r="A2458" s="47" t="s">
        <v>2683</v>
      </c>
      <c r="B2458" s="48" t="s">
        <v>3873</v>
      </c>
      <c r="C2458" s="50" t="s">
        <v>3856</v>
      </c>
      <c r="D2458" s="50"/>
      <c r="E2458" s="51">
        <v>1005000</v>
      </c>
      <c r="F2458" s="52">
        <f t="shared" si="145"/>
        <v>80400</v>
      </c>
      <c r="G2458" s="54">
        <f t="shared" si="143"/>
        <v>1085400</v>
      </c>
      <c r="H2458" s="55"/>
      <c r="I2458" s="55">
        <f t="shared" si="144"/>
        <v>1085400</v>
      </c>
      <c r="J2458" s="57"/>
    </row>
    <row r="2459" spans="1:10" ht="15" hidden="1" customHeight="1" x14ac:dyDescent="0.35">
      <c r="A2459" s="47" t="s">
        <v>120</v>
      </c>
      <c r="B2459" s="48" t="s">
        <v>3873</v>
      </c>
      <c r="C2459" s="50" t="s">
        <v>3857</v>
      </c>
      <c r="D2459" s="50"/>
      <c r="E2459" s="51">
        <v>2045000</v>
      </c>
      <c r="F2459" s="52">
        <f t="shared" si="145"/>
        <v>163600</v>
      </c>
      <c r="G2459" s="54">
        <f t="shared" si="143"/>
        <v>2208600</v>
      </c>
      <c r="H2459" s="55"/>
      <c r="I2459" s="55">
        <f t="shared" si="144"/>
        <v>2208600</v>
      </c>
      <c r="J2459" s="57"/>
    </row>
    <row r="2460" spans="1:10" ht="15" hidden="1" customHeight="1" x14ac:dyDescent="0.35">
      <c r="A2460" s="47" t="s">
        <v>1586</v>
      </c>
      <c r="B2460" s="48" t="s">
        <v>3873</v>
      </c>
      <c r="C2460" s="50" t="s">
        <v>3858</v>
      </c>
      <c r="D2460" s="50"/>
      <c r="E2460" s="51">
        <v>1005000</v>
      </c>
      <c r="F2460" s="52">
        <f t="shared" si="145"/>
        <v>80400</v>
      </c>
      <c r="G2460" s="54">
        <f t="shared" si="143"/>
        <v>1085400</v>
      </c>
      <c r="H2460" s="55"/>
      <c r="I2460" s="55">
        <f t="shared" si="144"/>
        <v>1085400</v>
      </c>
      <c r="J2460" s="57"/>
    </row>
    <row r="2461" spans="1:10" ht="15" hidden="1" customHeight="1" x14ac:dyDescent="0.35">
      <c r="A2461" s="47" t="s">
        <v>2742</v>
      </c>
      <c r="B2461" s="48" t="s">
        <v>3873</v>
      </c>
      <c r="C2461" s="50" t="s">
        <v>3859</v>
      </c>
      <c r="D2461" s="50"/>
      <c r="E2461" s="51">
        <v>2045000</v>
      </c>
      <c r="F2461" s="52">
        <f t="shared" si="145"/>
        <v>163600</v>
      </c>
      <c r="G2461" s="54">
        <f t="shared" si="143"/>
        <v>2208600</v>
      </c>
      <c r="H2461" s="55"/>
      <c r="I2461" s="55">
        <f t="shared" si="144"/>
        <v>2208600</v>
      </c>
      <c r="J2461" s="57"/>
    </row>
    <row r="2462" spans="1:10" ht="15" hidden="1" customHeight="1" x14ac:dyDescent="0.35">
      <c r="A2462" s="47" t="s">
        <v>2688</v>
      </c>
      <c r="B2462" s="48" t="s">
        <v>3873</v>
      </c>
      <c r="C2462" s="50" t="s">
        <v>3860</v>
      </c>
      <c r="D2462" s="50"/>
      <c r="E2462" s="51">
        <v>810000</v>
      </c>
      <c r="F2462" s="52">
        <f t="shared" si="145"/>
        <v>64800</v>
      </c>
      <c r="G2462" s="54">
        <f t="shared" si="143"/>
        <v>874800</v>
      </c>
      <c r="H2462" s="55"/>
      <c r="I2462" s="55">
        <f t="shared" si="144"/>
        <v>874800</v>
      </c>
      <c r="J2462" s="57"/>
    </row>
    <row r="2463" spans="1:10" ht="15" hidden="1" customHeight="1" x14ac:dyDescent="0.35">
      <c r="A2463" s="47" t="s">
        <v>2692</v>
      </c>
      <c r="B2463" s="48" t="s">
        <v>3874</v>
      </c>
      <c r="C2463" s="50" t="s">
        <v>2935</v>
      </c>
      <c r="D2463" s="50"/>
      <c r="E2463" s="51">
        <v>2855000</v>
      </c>
      <c r="F2463" s="52">
        <f t="shared" si="145"/>
        <v>228400</v>
      </c>
      <c r="G2463" s="54">
        <f t="shared" si="143"/>
        <v>3083400</v>
      </c>
      <c r="H2463" s="55"/>
      <c r="I2463" s="55">
        <f t="shared" si="144"/>
        <v>3083400</v>
      </c>
      <c r="J2463" s="57"/>
    </row>
    <row r="2464" spans="1:10" ht="15" hidden="1" customHeight="1" x14ac:dyDescent="0.35">
      <c r="A2464" s="47" t="s">
        <v>24</v>
      </c>
      <c r="B2464" s="48" t="s">
        <v>3880</v>
      </c>
      <c r="C2464" s="50" t="s">
        <v>2968</v>
      </c>
      <c r="D2464" s="50"/>
      <c r="E2464" s="51">
        <v>1930000</v>
      </c>
      <c r="F2464" s="52">
        <f t="shared" si="145"/>
        <v>154400</v>
      </c>
      <c r="G2464" s="54">
        <f t="shared" si="143"/>
        <v>2084400</v>
      </c>
      <c r="H2464" s="55"/>
      <c r="I2464" s="55">
        <f t="shared" si="144"/>
        <v>2084400</v>
      </c>
      <c r="J2464" s="57"/>
    </row>
    <row r="2465" spans="1:10" ht="15" hidden="1" customHeight="1" x14ac:dyDescent="0.35">
      <c r="A2465" s="47" t="s">
        <v>2691</v>
      </c>
      <c r="B2465" s="48" t="s">
        <v>3881</v>
      </c>
      <c r="C2465" s="50" t="s">
        <v>3878</v>
      </c>
      <c r="D2465" s="50"/>
      <c r="E2465" s="51">
        <v>1040000</v>
      </c>
      <c r="F2465" s="52">
        <f t="shared" si="145"/>
        <v>83200</v>
      </c>
      <c r="G2465" s="54">
        <f t="shared" si="143"/>
        <v>1123200</v>
      </c>
      <c r="H2465" s="55"/>
      <c r="I2465" s="55">
        <f t="shared" si="144"/>
        <v>1123200</v>
      </c>
      <c r="J2465" s="57"/>
    </row>
    <row r="2466" spans="1:10" ht="15" hidden="1" customHeight="1" x14ac:dyDescent="0.35">
      <c r="A2466" s="47" t="s">
        <v>2732</v>
      </c>
      <c r="B2466" s="48" t="s">
        <v>3881</v>
      </c>
      <c r="C2466" s="50" t="s">
        <v>3879</v>
      </c>
      <c r="D2466" s="50"/>
      <c r="E2466" s="51">
        <v>462500</v>
      </c>
      <c r="F2466" s="52">
        <f t="shared" si="145"/>
        <v>37000</v>
      </c>
      <c r="G2466" s="54">
        <f t="shared" si="143"/>
        <v>499500</v>
      </c>
      <c r="H2466" s="55"/>
      <c r="I2466" s="55">
        <f t="shared" si="144"/>
        <v>499500</v>
      </c>
      <c r="J2466" s="57"/>
    </row>
    <row r="2467" spans="1:10" ht="15" hidden="1" customHeight="1" x14ac:dyDescent="0.35">
      <c r="A2467" s="47"/>
      <c r="B2467" s="48"/>
      <c r="C2467" s="50"/>
      <c r="D2467" s="50"/>
      <c r="E2467" s="51"/>
      <c r="F2467" s="52">
        <f t="shared" si="145"/>
        <v>0</v>
      </c>
      <c r="G2467" s="54">
        <f t="shared" si="143"/>
        <v>0</v>
      </c>
      <c r="H2467" s="55"/>
      <c r="I2467" s="55">
        <f t="shared" si="144"/>
        <v>0</v>
      </c>
      <c r="J2467" s="57"/>
    </row>
    <row r="2468" spans="1:10" ht="15" hidden="1" customHeight="1" x14ac:dyDescent="0.35">
      <c r="A2468" s="47"/>
      <c r="B2468" s="48"/>
      <c r="C2468" s="50"/>
      <c r="D2468" s="50"/>
      <c r="E2468" s="51"/>
      <c r="F2468" s="52">
        <f t="shared" si="145"/>
        <v>0</v>
      </c>
      <c r="G2468" s="54">
        <f t="shared" si="143"/>
        <v>0</v>
      </c>
      <c r="H2468" s="55"/>
      <c r="I2468" s="55">
        <f t="shared" si="144"/>
        <v>0</v>
      </c>
      <c r="J2468" s="57"/>
    </row>
    <row r="2469" spans="1:10" ht="15" hidden="1" customHeight="1" x14ac:dyDescent="0.35">
      <c r="A2469" s="47"/>
      <c r="B2469" s="48"/>
      <c r="C2469" s="50"/>
      <c r="D2469" s="50"/>
      <c r="E2469" s="51"/>
      <c r="F2469" s="52">
        <f t="shared" si="145"/>
        <v>0</v>
      </c>
      <c r="G2469" s="54">
        <f t="shared" si="143"/>
        <v>0</v>
      </c>
      <c r="H2469" s="55"/>
      <c r="I2469" s="55">
        <f t="shared" si="144"/>
        <v>0</v>
      </c>
      <c r="J2469" s="57"/>
    </row>
    <row r="2470" spans="1:10" ht="15" hidden="1" customHeight="1" x14ac:dyDescent="0.35">
      <c r="A2470" s="47"/>
      <c r="B2470" s="48"/>
      <c r="C2470" s="50"/>
      <c r="D2470" s="50"/>
      <c r="E2470" s="51"/>
      <c r="F2470" s="52">
        <f t="shared" si="145"/>
        <v>0</v>
      </c>
      <c r="G2470" s="54">
        <f t="shared" si="143"/>
        <v>0</v>
      </c>
      <c r="H2470" s="55"/>
      <c r="I2470" s="55">
        <f t="shared" si="144"/>
        <v>0</v>
      </c>
      <c r="J2470" s="57"/>
    </row>
    <row r="2471" spans="1:10" ht="15" hidden="1" customHeight="1" x14ac:dyDescent="0.35">
      <c r="A2471" s="47"/>
      <c r="B2471" s="48"/>
      <c r="C2471" s="50"/>
      <c r="D2471" s="50"/>
      <c r="E2471" s="51"/>
      <c r="F2471" s="52">
        <f t="shared" si="145"/>
        <v>0</v>
      </c>
      <c r="G2471" s="54">
        <f t="shared" si="143"/>
        <v>0</v>
      </c>
      <c r="H2471" s="55"/>
      <c r="I2471" s="55">
        <f t="shared" si="144"/>
        <v>0</v>
      </c>
      <c r="J2471" s="57"/>
    </row>
    <row r="2472" spans="1:10" ht="15" hidden="1" customHeight="1" x14ac:dyDescent="0.35">
      <c r="A2472" s="47"/>
      <c r="B2472" s="48"/>
      <c r="C2472" s="50"/>
      <c r="D2472" s="50"/>
      <c r="E2472" s="51"/>
      <c r="F2472" s="52">
        <f t="shared" si="145"/>
        <v>0</v>
      </c>
      <c r="G2472" s="54">
        <f t="shared" si="143"/>
        <v>0</v>
      </c>
      <c r="H2472" s="55"/>
      <c r="I2472" s="55">
        <f t="shared" si="144"/>
        <v>0</v>
      </c>
      <c r="J2472" s="57"/>
    </row>
    <row r="2473" spans="1:10" ht="15" hidden="1" customHeight="1" x14ac:dyDescent="0.35">
      <c r="A2473" s="47"/>
      <c r="B2473" s="48"/>
      <c r="C2473" s="50"/>
      <c r="D2473" s="50"/>
      <c r="E2473" s="51"/>
      <c r="F2473" s="52">
        <f t="shared" si="145"/>
        <v>0</v>
      </c>
      <c r="G2473" s="54">
        <f t="shared" si="143"/>
        <v>0</v>
      </c>
      <c r="H2473" s="55"/>
      <c r="I2473" s="55">
        <f t="shared" si="144"/>
        <v>0</v>
      </c>
      <c r="J2473" s="57"/>
    </row>
    <row r="2474" spans="1:10" ht="15" hidden="1" customHeight="1" x14ac:dyDescent="0.35">
      <c r="A2474" s="47"/>
      <c r="B2474" s="48"/>
      <c r="C2474" s="50"/>
      <c r="D2474" s="50"/>
      <c r="E2474" s="51"/>
      <c r="F2474" s="52">
        <f t="shared" si="145"/>
        <v>0</v>
      </c>
      <c r="G2474" s="54">
        <f t="shared" si="143"/>
        <v>0</v>
      </c>
      <c r="H2474" s="55"/>
      <c r="I2474" s="55">
        <f t="shared" si="144"/>
        <v>0</v>
      </c>
      <c r="J2474" s="57"/>
    </row>
    <row r="2475" spans="1:10" ht="15" hidden="1" customHeight="1" x14ac:dyDescent="0.35">
      <c r="A2475" s="47"/>
      <c r="B2475" s="48"/>
      <c r="C2475" s="50"/>
      <c r="D2475" s="50"/>
      <c r="E2475" s="51"/>
      <c r="F2475" s="52">
        <f t="shared" si="145"/>
        <v>0</v>
      </c>
      <c r="G2475" s="54">
        <f t="shared" si="143"/>
        <v>0</v>
      </c>
      <c r="H2475" s="55"/>
      <c r="I2475" s="55">
        <f t="shared" si="144"/>
        <v>0</v>
      </c>
      <c r="J2475" s="57"/>
    </row>
    <row r="2476" spans="1:10" ht="15" hidden="1" customHeight="1" x14ac:dyDescent="0.35">
      <c r="A2476" s="47"/>
      <c r="B2476" s="48"/>
      <c r="C2476" s="50"/>
      <c r="D2476" s="50"/>
      <c r="E2476" s="51"/>
      <c r="F2476" s="52">
        <f t="shared" si="145"/>
        <v>0</v>
      </c>
      <c r="G2476" s="54">
        <f t="shared" si="143"/>
        <v>0</v>
      </c>
      <c r="H2476" s="55"/>
      <c r="I2476" s="55">
        <f t="shared" si="144"/>
        <v>0</v>
      </c>
      <c r="J2476" s="57"/>
    </row>
    <row r="2477" spans="1:10" ht="15" hidden="1" customHeight="1" x14ac:dyDescent="0.35">
      <c r="A2477" s="47"/>
      <c r="B2477" s="48"/>
      <c r="C2477" s="50"/>
      <c r="D2477" s="50"/>
      <c r="E2477" s="51"/>
      <c r="F2477" s="52">
        <f t="shared" si="145"/>
        <v>0</v>
      </c>
      <c r="G2477" s="54">
        <f t="shared" si="143"/>
        <v>0</v>
      </c>
      <c r="H2477" s="55"/>
      <c r="I2477" s="55">
        <f t="shared" si="144"/>
        <v>0</v>
      </c>
      <c r="J2477" s="57"/>
    </row>
    <row r="2478" spans="1:10" ht="15" hidden="1" customHeight="1" x14ac:dyDescent="0.35">
      <c r="A2478" s="47"/>
      <c r="B2478" s="48"/>
      <c r="C2478" s="50"/>
      <c r="D2478" s="50"/>
      <c r="E2478" s="51"/>
      <c r="F2478" s="52">
        <f t="shared" si="145"/>
        <v>0</v>
      </c>
      <c r="G2478" s="54">
        <f t="shared" si="143"/>
        <v>0</v>
      </c>
      <c r="H2478" s="55"/>
      <c r="I2478" s="55">
        <f t="shared" si="144"/>
        <v>0</v>
      </c>
      <c r="J2478" s="57"/>
    </row>
    <row r="2479" spans="1:10" ht="15" hidden="1" customHeight="1" x14ac:dyDescent="0.35">
      <c r="A2479" s="47"/>
      <c r="B2479" s="48"/>
      <c r="C2479" s="50"/>
      <c r="D2479" s="50"/>
      <c r="E2479" s="51"/>
      <c r="F2479" s="52">
        <f t="shared" si="145"/>
        <v>0</v>
      </c>
      <c r="G2479" s="54">
        <f t="shared" si="143"/>
        <v>0</v>
      </c>
      <c r="H2479" s="55"/>
      <c r="I2479" s="55">
        <f t="shared" si="144"/>
        <v>0</v>
      </c>
      <c r="J2479" s="57"/>
    </row>
    <row r="2480" spans="1:10" ht="15" hidden="1" customHeight="1" x14ac:dyDescent="0.35">
      <c r="A2480" s="47"/>
      <c r="B2480" s="48"/>
      <c r="C2480" s="50"/>
      <c r="D2480" s="50"/>
      <c r="E2480" s="51"/>
      <c r="F2480" s="52">
        <f t="shared" si="145"/>
        <v>0</v>
      </c>
      <c r="G2480" s="54">
        <f t="shared" si="143"/>
        <v>0</v>
      </c>
      <c r="H2480" s="55"/>
      <c r="I2480" s="55">
        <f t="shared" si="144"/>
        <v>0</v>
      </c>
      <c r="J2480" s="57"/>
    </row>
    <row r="2481" spans="1:10" ht="15" hidden="1" customHeight="1" x14ac:dyDescent="0.35">
      <c r="A2481" s="47"/>
      <c r="B2481" s="48"/>
      <c r="C2481" s="50"/>
      <c r="D2481" s="50"/>
      <c r="E2481" s="51"/>
      <c r="F2481" s="52">
        <f t="shared" si="145"/>
        <v>0</v>
      </c>
      <c r="G2481" s="54">
        <f t="shared" si="143"/>
        <v>0</v>
      </c>
      <c r="H2481" s="55"/>
      <c r="I2481" s="55">
        <f t="shared" si="144"/>
        <v>0</v>
      </c>
      <c r="J2481" s="57"/>
    </row>
    <row r="2482" spans="1:10" ht="15" hidden="1" customHeight="1" x14ac:dyDescent="0.35">
      <c r="A2482" s="47"/>
      <c r="B2482" s="48"/>
      <c r="C2482" s="50"/>
      <c r="D2482" s="50"/>
      <c r="E2482" s="51"/>
      <c r="F2482" s="52">
        <f t="shared" si="145"/>
        <v>0</v>
      </c>
      <c r="G2482" s="54">
        <f t="shared" ref="G2482:G2486" si="146">E2482+F2482</f>
        <v>0</v>
      </c>
      <c r="H2482" s="55"/>
      <c r="I2482" s="55">
        <f t="shared" si="144"/>
        <v>0</v>
      </c>
      <c r="J2482" s="57"/>
    </row>
    <row r="2483" spans="1:10" ht="15" hidden="1" customHeight="1" x14ac:dyDescent="0.35">
      <c r="A2483" s="47"/>
      <c r="B2483" s="48"/>
      <c r="C2483" s="50"/>
      <c r="D2483" s="50"/>
      <c r="E2483" s="51"/>
      <c r="F2483" s="52">
        <f t="shared" si="145"/>
        <v>0</v>
      </c>
      <c r="G2483" s="54">
        <f t="shared" si="146"/>
        <v>0</v>
      </c>
      <c r="H2483" s="55"/>
      <c r="I2483" s="55">
        <f t="shared" ref="I2483:I2486" si="147">G2483-H2483</f>
        <v>0</v>
      </c>
      <c r="J2483" s="57"/>
    </row>
    <row r="2484" spans="1:10" ht="15" hidden="1" customHeight="1" x14ac:dyDescent="0.35">
      <c r="A2484" s="47"/>
      <c r="B2484" s="48"/>
      <c r="C2484" s="50"/>
      <c r="D2484" s="50"/>
      <c r="E2484" s="51"/>
      <c r="F2484" s="52">
        <f t="shared" ref="F2484:F2486" si="148">+E2484*0.08</f>
        <v>0</v>
      </c>
      <c r="G2484" s="54">
        <f t="shared" si="146"/>
        <v>0</v>
      </c>
      <c r="H2484" s="55"/>
      <c r="I2484" s="55">
        <f t="shared" si="147"/>
        <v>0</v>
      </c>
      <c r="J2484" s="57"/>
    </row>
    <row r="2485" spans="1:10" ht="15" hidden="1" customHeight="1" x14ac:dyDescent="0.35">
      <c r="A2485" s="47"/>
      <c r="B2485" s="48"/>
      <c r="C2485" s="50"/>
      <c r="D2485" s="50"/>
      <c r="E2485" s="51"/>
      <c r="F2485" s="52">
        <f t="shared" si="148"/>
        <v>0</v>
      </c>
      <c r="G2485" s="54">
        <f t="shared" si="146"/>
        <v>0</v>
      </c>
      <c r="H2485" s="55"/>
      <c r="I2485" s="55">
        <f t="shared" si="147"/>
        <v>0</v>
      </c>
      <c r="J2485" s="57"/>
    </row>
    <row r="2486" spans="1:10" ht="15" hidden="1" customHeight="1" x14ac:dyDescent="0.35">
      <c r="A2486" s="47"/>
      <c r="B2486" s="48"/>
      <c r="C2486" s="50"/>
      <c r="D2486" s="50"/>
      <c r="E2486" s="51"/>
      <c r="F2486" s="52">
        <f t="shared" si="148"/>
        <v>0</v>
      </c>
      <c r="G2486" s="54">
        <f t="shared" si="146"/>
        <v>0</v>
      </c>
      <c r="H2486" s="55"/>
      <c r="I2486" s="55">
        <f t="shared" si="147"/>
        <v>0</v>
      </c>
      <c r="J2486" s="57"/>
    </row>
  </sheetData>
  <autoFilter ref="A8:N2486" xr:uid="{EA08A9AD-0E1C-46B7-974E-ACF7AC089E04}">
    <filterColumn colId="7">
      <filters blank="1"/>
    </filterColumn>
    <filterColumn colId="9">
      <filters>
        <dateGroupItem year="2026" dateTimeGrouping="year"/>
      </filters>
    </filterColumn>
  </autoFilter>
  <conditionalFormatting sqref="J450">
    <cfRule type="duplicateValues" dxfId="85" priority="15"/>
  </conditionalFormatting>
  <conditionalFormatting sqref="J2209:J2486">
    <cfRule type="duplicateValues" dxfId="84" priority="1"/>
  </conditionalFormatting>
  <conditionalFormatting sqref="K20">
    <cfRule type="duplicateValues" dxfId="83" priority="265"/>
  </conditionalFormatting>
  <conditionalFormatting sqref="K21:K23">
    <cfRule type="duplicateValues" dxfId="82" priority="260"/>
  </conditionalFormatting>
  <conditionalFormatting sqref="K24">
    <cfRule type="duplicateValues" dxfId="81" priority="248"/>
    <cfRule type="duplicateValues" dxfId="80" priority="249"/>
  </conditionalFormatting>
  <conditionalFormatting sqref="K25:K48">
    <cfRule type="duplicateValues" dxfId="79" priority="243"/>
  </conditionalFormatting>
  <conditionalFormatting sqref="K59:K620 K49:K57">
    <cfRule type="duplicateValues" dxfId="78" priority="271"/>
  </conditionalFormatting>
  <conditionalFormatting sqref="K621:K729 K731:K949">
    <cfRule type="duplicateValues" dxfId="77" priority="289"/>
  </conditionalFormatting>
  <conditionalFormatting sqref="K730">
    <cfRule type="duplicateValues" dxfId="76" priority="17"/>
  </conditionalFormatting>
  <conditionalFormatting sqref="K974:K991">
    <cfRule type="duplicateValues" dxfId="75" priority="14"/>
  </conditionalFormatting>
  <conditionalFormatting sqref="K992:K1009">
    <cfRule type="duplicateValues" dxfId="74" priority="13"/>
  </conditionalFormatting>
  <conditionalFormatting sqref="K1010:K1021 K950:K973">
    <cfRule type="duplicateValues" dxfId="73" priority="16"/>
  </conditionalFormatting>
  <conditionalFormatting sqref="K1022:K1039 K1076:K1085">
    <cfRule type="duplicateValues" dxfId="72" priority="296"/>
  </conditionalFormatting>
  <conditionalFormatting sqref="K1040:K1057">
    <cfRule type="duplicateValues" dxfId="71" priority="11"/>
  </conditionalFormatting>
  <conditionalFormatting sqref="K1058:K1075">
    <cfRule type="duplicateValues" dxfId="70" priority="10"/>
  </conditionalFormatting>
  <conditionalFormatting sqref="K1086:K1103 K1140:K1151">
    <cfRule type="duplicateValues" dxfId="69" priority="9"/>
  </conditionalFormatting>
  <conditionalFormatting sqref="K1104:K1121">
    <cfRule type="duplicateValues" dxfId="68" priority="8"/>
  </conditionalFormatting>
  <conditionalFormatting sqref="K1122:K1139">
    <cfRule type="duplicateValues" dxfId="67" priority="7"/>
  </conditionalFormatting>
  <conditionalFormatting sqref="K1152:K1292 K1294:K1298 K1300:K1695 K1697:K2375">
    <cfRule type="duplicateValues" dxfId="66" priority="315"/>
  </conditionalFormatting>
  <conditionalFormatting sqref="K1293">
    <cfRule type="duplicateValues" dxfId="65" priority="5"/>
  </conditionalFormatting>
  <conditionalFormatting sqref="K1299">
    <cfRule type="duplicateValues" dxfId="64" priority="4"/>
  </conditionalFormatting>
  <conditionalFormatting sqref="K1696">
    <cfRule type="duplicateValues" dxfId="63" priority="3"/>
  </conditionalFormatting>
  <conditionalFormatting sqref="K2487:K1048576 K1:K19">
    <cfRule type="duplicateValues" dxfId="62" priority="24"/>
  </conditionalFormatting>
  <conditionalFormatting sqref="K2487:K1048576 K1:K23">
    <cfRule type="duplicateValues" dxfId="61" priority="23"/>
  </conditionalFormatting>
  <pageMargins left="0.7" right="0.7" top="0.75" bottom="0.75" header="0" footer="0"/>
  <pageSetup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D9DC-D522-4B78-B710-362ED067354C}">
  <sheetPr>
    <outlinePr summaryBelow="0" summaryRight="0"/>
  </sheetPr>
  <dimension ref="A1:K879"/>
  <sheetViews>
    <sheetView tabSelected="1" topLeftCell="B1" zoomScale="130" zoomScaleNormal="130" workbookViewId="0">
      <selection activeCell="I708" sqref="I708"/>
    </sheetView>
  </sheetViews>
  <sheetFormatPr defaultColWidth="14.44140625" defaultRowHeight="15" customHeight="1" x14ac:dyDescent="0.3"/>
  <cols>
    <col min="1" max="1" width="39.77734375" style="2" customWidth="1"/>
    <col min="2" max="2" width="14.109375" style="2" customWidth="1"/>
    <col min="3" max="3" width="9.44140625" style="2" customWidth="1"/>
    <col min="4" max="4" width="16.33203125" style="2" customWidth="1"/>
    <col min="5" max="5" width="15.33203125" style="2" customWidth="1"/>
    <col min="6" max="6" width="15" style="2" customWidth="1"/>
    <col min="7" max="7" width="15.88671875" style="2" customWidth="1"/>
    <col min="8" max="8" width="17.44140625" style="2" customWidth="1"/>
    <col min="9" max="9" width="21.33203125" style="65" customWidth="1"/>
    <col min="10" max="10" width="21.33203125" style="2" customWidth="1"/>
    <col min="11" max="16384" width="14.44140625" style="2"/>
  </cols>
  <sheetData>
    <row r="1" spans="1:11" ht="98.25" customHeight="1" x14ac:dyDescent="0.3">
      <c r="A1" s="1" t="s">
        <v>861</v>
      </c>
      <c r="F1" s="3"/>
      <c r="G1" s="3"/>
      <c r="H1" s="3"/>
    </row>
    <row r="2" spans="1:11" ht="29.25" customHeight="1" x14ac:dyDescent="0.3">
      <c r="A2" s="108" t="s">
        <v>0</v>
      </c>
      <c r="B2" s="109"/>
      <c r="C2" s="109"/>
      <c r="D2" s="109"/>
      <c r="E2" s="109"/>
      <c r="F2" s="109"/>
      <c r="G2" s="109"/>
      <c r="H2" s="109"/>
    </row>
    <row r="3" spans="1:11" ht="18.75" customHeight="1" x14ac:dyDescent="0.3">
      <c r="A3" s="110" t="s">
        <v>862</v>
      </c>
      <c r="B3" s="109"/>
      <c r="C3" s="109"/>
      <c r="D3" s="109"/>
      <c r="E3" s="109"/>
      <c r="F3" s="109"/>
      <c r="G3" s="109"/>
      <c r="H3" s="109"/>
    </row>
    <row r="4" spans="1:11" ht="15.75" customHeight="1" thickBot="1" x14ac:dyDescent="0.4">
      <c r="A4" s="1"/>
      <c r="F4" s="3"/>
      <c r="G4" s="3"/>
      <c r="H4" s="3"/>
      <c r="I4" s="66">
        <f>+I5-3361959852</f>
        <v>-2382113615.2799997</v>
      </c>
    </row>
    <row r="5" spans="1:11" ht="22.5" customHeight="1" x14ac:dyDescent="0.35">
      <c r="A5" s="67" t="s">
        <v>2</v>
      </c>
      <c r="B5" s="11" t="s">
        <v>3</v>
      </c>
      <c r="C5" s="12" t="s">
        <v>4</v>
      </c>
      <c r="D5" s="111" t="s">
        <v>5</v>
      </c>
      <c r="E5" s="112"/>
      <c r="F5" s="112"/>
      <c r="G5" s="112"/>
      <c r="H5" s="113"/>
      <c r="I5" s="66">
        <f>+I6-H7</f>
        <v>979846236.72000003</v>
      </c>
      <c r="J5" s="68" t="s">
        <v>863</v>
      </c>
    </row>
    <row r="6" spans="1:11" ht="28.5" customHeight="1" x14ac:dyDescent="0.35">
      <c r="A6" s="69"/>
      <c r="B6" s="70"/>
      <c r="C6" s="71"/>
      <c r="D6" s="23" t="s">
        <v>8</v>
      </c>
      <c r="E6" s="23" t="s">
        <v>864</v>
      </c>
      <c r="F6" s="24" t="s">
        <v>10</v>
      </c>
      <c r="G6" s="24" t="s">
        <v>11</v>
      </c>
      <c r="H6" s="25" t="s">
        <v>12</v>
      </c>
      <c r="I6" s="104">
        <f>+'2024'!I7</f>
        <v>1112097060</v>
      </c>
      <c r="J6" s="73"/>
      <c r="K6" s="74"/>
    </row>
    <row r="7" spans="1:11" ht="28.5" customHeight="1" x14ac:dyDescent="0.3">
      <c r="A7" s="114" t="s">
        <v>13</v>
      </c>
      <c r="B7" s="115"/>
      <c r="C7" s="116"/>
      <c r="D7" s="32">
        <f>SUM(D9:D772)</f>
        <v>7196461656.0799999</v>
      </c>
      <c r="E7" s="32">
        <f>SUM(E9:E772)</f>
        <v>587162873.10639989</v>
      </c>
      <c r="F7" s="33">
        <f>SUM(F9:F799)+F8</f>
        <v>7781121009.1864014</v>
      </c>
      <c r="G7" s="33">
        <f>SUM(G9:G726)</f>
        <v>7648870185.9064016</v>
      </c>
      <c r="H7" s="33">
        <f>SUM(H9:H770)+H8</f>
        <v>132250823.28</v>
      </c>
      <c r="I7" s="105"/>
    </row>
    <row r="8" spans="1:11" ht="16.5" customHeight="1" x14ac:dyDescent="0.35">
      <c r="A8" s="117" t="s">
        <v>865</v>
      </c>
      <c r="B8" s="118"/>
      <c r="C8" s="75"/>
      <c r="D8" s="40"/>
      <c r="E8" s="41"/>
      <c r="F8" s="42"/>
      <c r="G8" s="43"/>
      <c r="H8" s="44"/>
    </row>
    <row r="9" spans="1:11" ht="16.5" customHeight="1" x14ac:dyDescent="0.35">
      <c r="A9" s="76" t="s">
        <v>866</v>
      </c>
      <c r="B9" s="77" t="s">
        <v>867</v>
      </c>
      <c r="C9" s="78" t="s">
        <v>868</v>
      </c>
      <c r="D9" s="58">
        <v>18627400</v>
      </c>
      <c r="E9" s="58">
        <v>1490192</v>
      </c>
      <c r="F9" s="79">
        <v>20117592</v>
      </c>
      <c r="G9" s="54">
        <v>20117592</v>
      </c>
      <c r="H9" s="55">
        <f>+F9-G9</f>
        <v>0</v>
      </c>
      <c r="I9" s="65">
        <v>44680</v>
      </c>
    </row>
    <row r="10" spans="1:11" ht="16.5" customHeight="1" x14ac:dyDescent="0.35">
      <c r="A10" s="76" t="s">
        <v>869</v>
      </c>
      <c r="B10" s="77">
        <v>44609</v>
      </c>
      <c r="C10" s="78" t="s">
        <v>870</v>
      </c>
      <c r="D10" s="58">
        <v>5378677</v>
      </c>
      <c r="E10" s="58">
        <f>+D10*0.1</f>
        <v>537867.70000000007</v>
      </c>
      <c r="F10" s="79">
        <f>+E10+D10</f>
        <v>5916544.7000000002</v>
      </c>
      <c r="G10" s="54">
        <v>5916544.7000000002</v>
      </c>
      <c r="H10" s="55">
        <f t="shared" ref="H10:H73" si="0">+F10-G10</f>
        <v>0</v>
      </c>
      <c r="I10" s="65">
        <v>44918</v>
      </c>
    </row>
    <row r="11" spans="1:11" ht="16.5" customHeight="1" x14ac:dyDescent="0.35">
      <c r="A11" s="76" t="s">
        <v>871</v>
      </c>
      <c r="B11" s="77" t="s">
        <v>872</v>
      </c>
      <c r="C11" s="78" t="s">
        <v>873</v>
      </c>
      <c r="D11" s="58">
        <v>2786200</v>
      </c>
      <c r="E11" s="58">
        <f>+D11*0.08</f>
        <v>222896</v>
      </c>
      <c r="F11" s="79">
        <f>+E11+D11</f>
        <v>3009096</v>
      </c>
      <c r="G11" s="54">
        <v>3009096</v>
      </c>
      <c r="H11" s="55">
        <f t="shared" si="0"/>
        <v>0</v>
      </c>
      <c r="I11" s="65">
        <v>44918</v>
      </c>
    </row>
    <row r="12" spans="1:11" ht="16.5" customHeight="1" x14ac:dyDescent="0.35">
      <c r="A12" s="76" t="s">
        <v>874</v>
      </c>
      <c r="B12" s="77" t="s">
        <v>872</v>
      </c>
      <c r="C12" s="78" t="s">
        <v>875</v>
      </c>
      <c r="D12" s="58">
        <v>19457809</v>
      </c>
      <c r="E12" s="58">
        <v>1556624.72</v>
      </c>
      <c r="F12" s="79">
        <v>21014433.719999999</v>
      </c>
      <c r="G12" s="54">
        <v>21014433.719999999</v>
      </c>
      <c r="H12" s="55">
        <f t="shared" si="0"/>
        <v>0</v>
      </c>
      <c r="I12" s="65">
        <v>44680</v>
      </c>
    </row>
    <row r="13" spans="1:11" ht="16.5" customHeight="1" x14ac:dyDescent="0.35">
      <c r="A13" s="76" t="s">
        <v>874</v>
      </c>
      <c r="B13" s="77" t="s">
        <v>876</v>
      </c>
      <c r="C13" s="78" t="s">
        <v>877</v>
      </c>
      <c r="D13" s="58">
        <v>1091600</v>
      </c>
      <c r="E13" s="58">
        <v>87328</v>
      </c>
      <c r="F13" s="79">
        <v>1178928</v>
      </c>
      <c r="G13" s="54">
        <v>1178928</v>
      </c>
      <c r="H13" s="55">
        <f t="shared" si="0"/>
        <v>0</v>
      </c>
      <c r="I13" s="65">
        <v>44680</v>
      </c>
    </row>
    <row r="14" spans="1:11" ht="16.5" customHeight="1" x14ac:dyDescent="0.35">
      <c r="A14" s="76" t="s">
        <v>878</v>
      </c>
      <c r="B14" s="77" t="s">
        <v>879</v>
      </c>
      <c r="C14" s="78" t="s">
        <v>880</v>
      </c>
      <c r="D14" s="58">
        <v>7486000</v>
      </c>
      <c r="E14" s="58">
        <v>748600</v>
      </c>
      <c r="F14" s="79">
        <v>8234600</v>
      </c>
      <c r="G14" s="54">
        <v>8234600</v>
      </c>
      <c r="H14" s="55">
        <f t="shared" si="0"/>
        <v>0</v>
      </c>
      <c r="I14" s="65">
        <v>44890</v>
      </c>
    </row>
    <row r="15" spans="1:11" ht="16.5" customHeight="1" x14ac:dyDescent="0.35">
      <c r="A15" s="76" t="s">
        <v>881</v>
      </c>
      <c r="B15" s="77" t="s">
        <v>882</v>
      </c>
      <c r="C15" s="78" t="s">
        <v>883</v>
      </c>
      <c r="D15" s="58">
        <v>32485872</v>
      </c>
      <c r="E15" s="58">
        <f>+D15*0.1</f>
        <v>3248587.2</v>
      </c>
      <c r="F15" s="79">
        <f>+E15+D15</f>
        <v>35734459.200000003</v>
      </c>
      <c r="G15" s="54">
        <v>35734459.200000003</v>
      </c>
      <c r="H15" s="55">
        <f t="shared" si="0"/>
        <v>0</v>
      </c>
      <c r="I15" s="65">
        <v>44918</v>
      </c>
    </row>
    <row r="16" spans="1:11" ht="16.5" customHeight="1" x14ac:dyDescent="0.35">
      <c r="A16" s="76" t="s">
        <v>884</v>
      </c>
      <c r="B16" s="77" t="s">
        <v>885</v>
      </c>
      <c r="C16" s="78" t="s">
        <v>886</v>
      </c>
      <c r="D16" s="58">
        <v>8216873</v>
      </c>
      <c r="E16" s="58">
        <v>657349.84</v>
      </c>
      <c r="F16" s="79">
        <v>8874222.8399999999</v>
      </c>
      <c r="G16" s="54">
        <v>8874222.8399999999</v>
      </c>
      <c r="H16" s="55">
        <f t="shared" si="0"/>
        <v>0</v>
      </c>
      <c r="I16" s="65">
        <v>44680</v>
      </c>
    </row>
    <row r="17" spans="1:9" ht="16.5" customHeight="1" x14ac:dyDescent="0.35">
      <c r="A17" s="76" t="s">
        <v>881</v>
      </c>
      <c r="B17" s="77" t="s">
        <v>885</v>
      </c>
      <c r="C17" s="78" t="s">
        <v>887</v>
      </c>
      <c r="D17" s="58">
        <v>824000</v>
      </c>
      <c r="E17" s="58">
        <f>+D17*0.1</f>
        <v>82400</v>
      </c>
      <c r="F17" s="79">
        <f>+E17+D17</f>
        <v>906400</v>
      </c>
      <c r="G17" s="54">
        <v>906400</v>
      </c>
      <c r="H17" s="55">
        <f t="shared" si="0"/>
        <v>0</v>
      </c>
      <c r="I17" s="65">
        <v>44918</v>
      </c>
    </row>
    <row r="18" spans="1:9" ht="16.5" customHeight="1" x14ac:dyDescent="0.35">
      <c r="A18" s="76" t="s">
        <v>888</v>
      </c>
      <c r="B18" s="77" t="s">
        <v>889</v>
      </c>
      <c r="C18" s="78" t="s">
        <v>890</v>
      </c>
      <c r="D18" s="58">
        <v>780000</v>
      </c>
      <c r="E18" s="58">
        <v>62400</v>
      </c>
      <c r="F18" s="79">
        <v>842400</v>
      </c>
      <c r="G18" s="54">
        <v>842400</v>
      </c>
      <c r="H18" s="55">
        <f t="shared" si="0"/>
        <v>0</v>
      </c>
      <c r="I18" s="65">
        <v>44865</v>
      </c>
    </row>
    <row r="19" spans="1:9" ht="16.5" customHeight="1" x14ac:dyDescent="0.35">
      <c r="A19" s="76" t="s">
        <v>891</v>
      </c>
      <c r="B19" s="77" t="s">
        <v>882</v>
      </c>
      <c r="C19" s="78" t="s">
        <v>892</v>
      </c>
      <c r="D19" s="58">
        <v>14832000</v>
      </c>
      <c r="E19" s="58">
        <f>+D19*0.08</f>
        <v>1186560</v>
      </c>
      <c r="F19" s="79">
        <f>+E19+D19</f>
        <v>16018560</v>
      </c>
      <c r="G19" s="54">
        <v>16018560</v>
      </c>
      <c r="H19" s="55">
        <f t="shared" si="0"/>
        <v>0</v>
      </c>
      <c r="I19" s="65">
        <v>44918</v>
      </c>
    </row>
    <row r="20" spans="1:9" ht="16.5" customHeight="1" x14ac:dyDescent="0.35">
      <c r="A20" s="76" t="s">
        <v>893</v>
      </c>
      <c r="B20" s="77" t="s">
        <v>885</v>
      </c>
      <c r="C20" s="78" t="s">
        <v>894</v>
      </c>
      <c r="D20" s="58">
        <v>1307200</v>
      </c>
      <c r="E20" s="58">
        <v>104576</v>
      </c>
      <c r="F20" s="79">
        <v>1411776</v>
      </c>
      <c r="G20" s="54">
        <v>1411776</v>
      </c>
      <c r="H20" s="55">
        <f t="shared" si="0"/>
        <v>0</v>
      </c>
      <c r="I20" s="65">
        <v>44680</v>
      </c>
    </row>
    <row r="21" spans="1:9" ht="16.5" customHeight="1" x14ac:dyDescent="0.35">
      <c r="A21" s="76" t="s">
        <v>895</v>
      </c>
      <c r="B21" s="77" t="s">
        <v>896</v>
      </c>
      <c r="C21" s="78" t="s">
        <v>897</v>
      </c>
      <c r="D21" s="58">
        <v>4583000</v>
      </c>
      <c r="E21" s="58">
        <v>366640</v>
      </c>
      <c r="F21" s="79">
        <v>4949640</v>
      </c>
      <c r="G21" s="54">
        <v>4949640</v>
      </c>
      <c r="H21" s="55">
        <f t="shared" si="0"/>
        <v>0</v>
      </c>
      <c r="I21" s="65">
        <v>44680</v>
      </c>
    </row>
    <row r="22" spans="1:9" ht="16.5" customHeight="1" x14ac:dyDescent="0.35">
      <c r="A22" s="76" t="s">
        <v>898</v>
      </c>
      <c r="B22" s="77" t="s">
        <v>879</v>
      </c>
      <c r="C22" s="78" t="s">
        <v>899</v>
      </c>
      <c r="D22" s="58">
        <v>130000</v>
      </c>
      <c r="E22" s="58">
        <v>10400</v>
      </c>
      <c r="F22" s="79">
        <v>140400</v>
      </c>
      <c r="G22" s="54">
        <v>140400</v>
      </c>
      <c r="H22" s="55">
        <f t="shared" si="0"/>
        <v>0</v>
      </c>
      <c r="I22" s="65">
        <v>44680</v>
      </c>
    </row>
    <row r="23" spans="1:9" ht="16.5" customHeight="1" x14ac:dyDescent="0.35">
      <c r="A23" s="76" t="s">
        <v>888</v>
      </c>
      <c r="B23" s="77" t="s">
        <v>882</v>
      </c>
      <c r="C23" s="78" t="s">
        <v>900</v>
      </c>
      <c r="D23" s="58">
        <v>1363400</v>
      </c>
      <c r="E23" s="58">
        <v>109072</v>
      </c>
      <c r="F23" s="79">
        <v>1472472</v>
      </c>
      <c r="G23" s="54">
        <v>1472472</v>
      </c>
      <c r="H23" s="55">
        <f t="shared" si="0"/>
        <v>0</v>
      </c>
      <c r="I23" s="65">
        <v>44680</v>
      </c>
    </row>
    <row r="24" spans="1:9" ht="16.5" customHeight="1" x14ac:dyDescent="0.35">
      <c r="A24" s="76" t="s">
        <v>901</v>
      </c>
      <c r="B24" s="77">
        <v>44564</v>
      </c>
      <c r="C24" s="78" t="s">
        <v>902</v>
      </c>
      <c r="D24" s="58">
        <v>5640600</v>
      </c>
      <c r="E24" s="58">
        <v>451248</v>
      </c>
      <c r="F24" s="79">
        <v>6091848</v>
      </c>
      <c r="G24" s="54">
        <v>6091848</v>
      </c>
      <c r="H24" s="55">
        <f t="shared" si="0"/>
        <v>0</v>
      </c>
      <c r="I24" s="65">
        <v>44680</v>
      </c>
    </row>
    <row r="25" spans="1:9" ht="16.5" customHeight="1" x14ac:dyDescent="0.35">
      <c r="A25" s="76" t="s">
        <v>903</v>
      </c>
      <c r="B25" s="77">
        <v>44564</v>
      </c>
      <c r="C25" s="78" t="s">
        <v>904</v>
      </c>
      <c r="D25" s="58">
        <v>1500800</v>
      </c>
      <c r="E25" s="58">
        <v>120064</v>
      </c>
      <c r="F25" s="79">
        <v>1620864</v>
      </c>
      <c r="G25" s="54">
        <v>1620864</v>
      </c>
      <c r="H25" s="55">
        <f t="shared" si="0"/>
        <v>0</v>
      </c>
      <c r="I25" s="65">
        <v>44740</v>
      </c>
    </row>
    <row r="26" spans="1:9" ht="19.5" customHeight="1" x14ac:dyDescent="0.35">
      <c r="A26" s="76" t="s">
        <v>905</v>
      </c>
      <c r="B26" s="77">
        <v>44564</v>
      </c>
      <c r="C26" s="78" t="s">
        <v>906</v>
      </c>
      <c r="D26" s="58">
        <v>320400</v>
      </c>
      <c r="E26" s="58">
        <v>25632</v>
      </c>
      <c r="F26" s="79">
        <v>346032</v>
      </c>
      <c r="G26" s="54">
        <v>346032</v>
      </c>
      <c r="H26" s="55">
        <f t="shared" si="0"/>
        <v>0</v>
      </c>
      <c r="I26" s="65">
        <v>44705</v>
      </c>
    </row>
    <row r="27" spans="1:9" s="62" customFormat="1" ht="19.5" customHeight="1" x14ac:dyDescent="0.35">
      <c r="A27" s="76" t="s">
        <v>907</v>
      </c>
      <c r="B27" s="77">
        <v>44595</v>
      </c>
      <c r="C27" s="78" t="s">
        <v>908</v>
      </c>
      <c r="D27" s="58">
        <v>11034000</v>
      </c>
      <c r="E27" s="58">
        <v>882720</v>
      </c>
      <c r="F27" s="79">
        <v>11916720</v>
      </c>
      <c r="G27" s="54">
        <v>11916720</v>
      </c>
      <c r="H27" s="55">
        <f t="shared" si="0"/>
        <v>0</v>
      </c>
      <c r="I27" s="80">
        <v>44680</v>
      </c>
    </row>
    <row r="28" spans="1:9" s="82" customFormat="1" ht="19.5" customHeight="1" x14ac:dyDescent="0.35">
      <c r="A28" s="76" t="s">
        <v>909</v>
      </c>
      <c r="B28" s="77">
        <v>44595</v>
      </c>
      <c r="C28" s="78" t="s">
        <v>910</v>
      </c>
      <c r="D28" s="58">
        <v>2712800</v>
      </c>
      <c r="E28" s="58">
        <v>217024</v>
      </c>
      <c r="F28" s="79">
        <v>2929824</v>
      </c>
      <c r="G28" s="54">
        <v>2929824</v>
      </c>
      <c r="H28" s="55">
        <f t="shared" si="0"/>
        <v>0</v>
      </c>
      <c r="I28" s="81">
        <v>44865</v>
      </c>
    </row>
    <row r="29" spans="1:9" ht="19.5" customHeight="1" x14ac:dyDescent="0.35">
      <c r="A29" s="76" t="s">
        <v>911</v>
      </c>
      <c r="B29" s="77" t="s">
        <v>912</v>
      </c>
      <c r="C29" s="78" t="s">
        <v>913</v>
      </c>
      <c r="D29" s="58">
        <v>10201600</v>
      </c>
      <c r="E29" s="58">
        <f>+D29*0.1</f>
        <v>1020160</v>
      </c>
      <c r="F29" s="79">
        <f>+E29+D29</f>
        <v>11221760</v>
      </c>
      <c r="G29" s="54">
        <v>11221760</v>
      </c>
      <c r="H29" s="55">
        <f t="shared" si="0"/>
        <v>0</v>
      </c>
      <c r="I29" s="65">
        <v>44918</v>
      </c>
    </row>
    <row r="30" spans="1:9" ht="19.5" customHeight="1" x14ac:dyDescent="0.35">
      <c r="A30" s="76" t="s">
        <v>914</v>
      </c>
      <c r="B30" s="77">
        <v>44654</v>
      </c>
      <c r="C30" s="78" t="s">
        <v>915</v>
      </c>
      <c r="D30" s="58">
        <v>900000</v>
      </c>
      <c r="E30" s="58">
        <v>72000</v>
      </c>
      <c r="F30" s="79">
        <v>972000</v>
      </c>
      <c r="G30" s="54">
        <v>972000</v>
      </c>
      <c r="H30" s="55">
        <f t="shared" si="0"/>
        <v>0</v>
      </c>
      <c r="I30" s="65">
        <v>44705</v>
      </c>
    </row>
    <row r="31" spans="1:9" ht="19.5" customHeight="1" x14ac:dyDescent="0.35">
      <c r="A31" s="76" t="s">
        <v>916</v>
      </c>
      <c r="B31" s="77">
        <v>44623</v>
      </c>
      <c r="C31" s="78" t="s">
        <v>917</v>
      </c>
      <c r="D31" s="58">
        <v>17334400</v>
      </c>
      <c r="E31" s="58">
        <v>1733440</v>
      </c>
      <c r="F31" s="79">
        <v>19067840</v>
      </c>
      <c r="G31" s="54">
        <v>19067840</v>
      </c>
      <c r="H31" s="55">
        <f t="shared" si="0"/>
        <v>0</v>
      </c>
      <c r="I31" s="65">
        <v>44680</v>
      </c>
    </row>
    <row r="32" spans="1:9" ht="19.5" customHeight="1" x14ac:dyDescent="0.35">
      <c r="A32" s="76" t="s">
        <v>918</v>
      </c>
      <c r="B32" s="77">
        <v>44616</v>
      </c>
      <c r="C32" s="78" t="s">
        <v>919</v>
      </c>
      <c r="D32" s="58">
        <v>1000000</v>
      </c>
      <c r="E32" s="58">
        <v>80000</v>
      </c>
      <c r="F32" s="2">
        <v>1080000</v>
      </c>
      <c r="G32" s="54">
        <v>1080000</v>
      </c>
      <c r="H32" s="55">
        <f t="shared" si="0"/>
        <v>0</v>
      </c>
      <c r="I32" s="65">
        <v>44680</v>
      </c>
    </row>
    <row r="33" spans="1:10" ht="19.5" customHeight="1" x14ac:dyDescent="0.35">
      <c r="A33" s="76" t="s">
        <v>920</v>
      </c>
      <c r="B33" s="77">
        <v>44624</v>
      </c>
      <c r="C33" s="78" t="s">
        <v>921</v>
      </c>
      <c r="D33" s="58">
        <v>6993000</v>
      </c>
      <c r="E33" s="58">
        <v>699300</v>
      </c>
      <c r="F33" s="79">
        <v>7692300</v>
      </c>
      <c r="G33" s="54">
        <v>7692300</v>
      </c>
      <c r="H33" s="55">
        <f t="shared" si="0"/>
        <v>0</v>
      </c>
      <c r="I33" s="65">
        <v>44768</v>
      </c>
    </row>
    <row r="34" spans="1:10" ht="19.5" customHeight="1" x14ac:dyDescent="0.35">
      <c r="A34" s="76" t="s">
        <v>922</v>
      </c>
      <c r="B34" s="77">
        <v>44618</v>
      </c>
      <c r="C34" s="78" t="s">
        <v>923</v>
      </c>
      <c r="D34" s="58">
        <v>3980200</v>
      </c>
      <c r="E34" s="58">
        <v>398020</v>
      </c>
      <c r="F34" s="79">
        <v>4378220</v>
      </c>
      <c r="G34" s="54">
        <v>4378220</v>
      </c>
      <c r="H34" s="55">
        <f t="shared" si="0"/>
        <v>0</v>
      </c>
      <c r="I34" s="65">
        <v>44768</v>
      </c>
    </row>
    <row r="35" spans="1:10" ht="19.5" customHeight="1" x14ac:dyDescent="0.35">
      <c r="A35" s="76" t="s">
        <v>924</v>
      </c>
      <c r="B35" s="77">
        <v>44610</v>
      </c>
      <c r="C35" s="78" t="s">
        <v>925</v>
      </c>
      <c r="D35" s="58">
        <v>1973400</v>
      </c>
      <c r="E35" s="58">
        <v>197340</v>
      </c>
      <c r="F35" s="79">
        <v>2170740</v>
      </c>
      <c r="G35" s="54">
        <v>2170740</v>
      </c>
      <c r="H35" s="55">
        <f t="shared" si="0"/>
        <v>0</v>
      </c>
      <c r="I35" s="65">
        <v>44705</v>
      </c>
    </row>
    <row r="36" spans="1:10" ht="19.5" customHeight="1" x14ac:dyDescent="0.35">
      <c r="A36" s="76" t="s">
        <v>926</v>
      </c>
      <c r="B36" s="77">
        <v>44614</v>
      </c>
      <c r="C36" s="78" t="s">
        <v>927</v>
      </c>
      <c r="D36" s="58">
        <v>12726800</v>
      </c>
      <c r="E36" s="58">
        <v>1018144</v>
      </c>
      <c r="F36" s="79">
        <v>13744944</v>
      </c>
      <c r="G36" s="54">
        <v>13744944</v>
      </c>
      <c r="H36" s="55">
        <f t="shared" si="0"/>
        <v>0</v>
      </c>
      <c r="I36" s="65">
        <v>45023</v>
      </c>
      <c r="J36" s="2" t="s">
        <v>51</v>
      </c>
    </row>
    <row r="37" spans="1:10" ht="19.5" customHeight="1" x14ac:dyDescent="0.35">
      <c r="A37" s="76" t="s">
        <v>928</v>
      </c>
      <c r="B37" s="77">
        <v>44609</v>
      </c>
      <c r="C37" s="78" t="s">
        <v>929</v>
      </c>
      <c r="D37" s="58">
        <v>13177400</v>
      </c>
      <c r="E37" s="58">
        <v>1317740</v>
      </c>
      <c r="F37" s="79">
        <v>14495140</v>
      </c>
      <c r="G37" s="54">
        <v>14495140</v>
      </c>
      <c r="H37" s="55">
        <f t="shared" si="0"/>
        <v>0</v>
      </c>
      <c r="I37" s="65">
        <v>44680</v>
      </c>
    </row>
    <row r="38" spans="1:10" ht="19.5" customHeight="1" x14ac:dyDescent="0.35">
      <c r="A38" s="76" t="s">
        <v>930</v>
      </c>
      <c r="B38" s="77">
        <v>44625</v>
      </c>
      <c r="C38" s="78" t="s">
        <v>931</v>
      </c>
      <c r="D38" s="58">
        <v>1176000</v>
      </c>
      <c r="E38" s="58">
        <v>94080</v>
      </c>
      <c r="F38" s="79">
        <v>1270080</v>
      </c>
      <c r="G38" s="54">
        <v>1270080</v>
      </c>
      <c r="H38" s="55">
        <f t="shared" si="0"/>
        <v>0</v>
      </c>
      <c r="I38" s="65">
        <v>44705</v>
      </c>
    </row>
    <row r="39" spans="1:10" ht="19.5" customHeight="1" x14ac:dyDescent="0.35">
      <c r="A39" s="76" t="s">
        <v>932</v>
      </c>
      <c r="B39" s="77">
        <v>44625</v>
      </c>
      <c r="C39" s="78" t="s">
        <v>933</v>
      </c>
      <c r="D39" s="58">
        <v>2281600</v>
      </c>
      <c r="E39" s="58">
        <v>182528</v>
      </c>
      <c r="F39" s="79">
        <v>2464128</v>
      </c>
      <c r="G39" s="54">
        <v>2464128</v>
      </c>
      <c r="H39" s="55">
        <f t="shared" si="0"/>
        <v>0</v>
      </c>
      <c r="I39" s="65">
        <v>44768</v>
      </c>
    </row>
    <row r="40" spans="1:10" ht="19.5" customHeight="1" x14ac:dyDescent="0.35">
      <c r="A40" s="76" t="s">
        <v>934</v>
      </c>
      <c r="B40" s="77">
        <v>44624</v>
      </c>
      <c r="C40" s="78" t="s">
        <v>935</v>
      </c>
      <c r="D40" s="58">
        <v>1600000</v>
      </c>
      <c r="E40" s="58">
        <f>+D40*0.1</f>
        <v>160000</v>
      </c>
      <c r="F40" s="79">
        <f>+E40+D40</f>
        <v>1760000</v>
      </c>
      <c r="G40" s="54">
        <v>1760000</v>
      </c>
      <c r="H40" s="55">
        <f t="shared" si="0"/>
        <v>0</v>
      </c>
      <c r="I40" s="65">
        <v>44740</v>
      </c>
    </row>
    <row r="41" spans="1:10" ht="19.5" customHeight="1" x14ac:dyDescent="0.35">
      <c r="A41" s="76" t="s">
        <v>936</v>
      </c>
      <c r="B41" s="77">
        <v>44630</v>
      </c>
      <c r="C41" s="78" t="s">
        <v>937</v>
      </c>
      <c r="D41" s="58">
        <v>7749000</v>
      </c>
      <c r="E41" s="58">
        <v>619920</v>
      </c>
      <c r="F41" s="79">
        <v>8368920</v>
      </c>
      <c r="G41" s="54">
        <v>8368920</v>
      </c>
      <c r="H41" s="55">
        <f t="shared" si="0"/>
        <v>0</v>
      </c>
      <c r="I41" s="65">
        <v>44680</v>
      </c>
    </row>
    <row r="42" spans="1:10" ht="19.5" customHeight="1" x14ac:dyDescent="0.35">
      <c r="A42" s="76" t="s">
        <v>938</v>
      </c>
      <c r="B42" s="77">
        <v>44622</v>
      </c>
      <c r="C42" s="78" t="s">
        <v>939</v>
      </c>
      <c r="D42" s="58">
        <v>40000</v>
      </c>
      <c r="E42" s="58">
        <v>4000</v>
      </c>
      <c r="F42" s="79">
        <v>44000</v>
      </c>
      <c r="G42" s="54">
        <v>44000</v>
      </c>
      <c r="H42" s="55">
        <f t="shared" si="0"/>
        <v>0</v>
      </c>
      <c r="I42" s="65">
        <v>44740</v>
      </c>
    </row>
    <row r="43" spans="1:10" ht="19.5" customHeight="1" x14ac:dyDescent="0.35">
      <c r="A43" s="76" t="s">
        <v>938</v>
      </c>
      <c r="B43" s="77">
        <v>44629</v>
      </c>
      <c r="C43" s="78" t="s">
        <v>940</v>
      </c>
      <c r="D43" s="58">
        <v>92000</v>
      </c>
      <c r="E43" s="58">
        <v>9200</v>
      </c>
      <c r="F43" s="79">
        <v>101200</v>
      </c>
      <c r="G43" s="54">
        <v>101200</v>
      </c>
      <c r="H43" s="55">
        <f t="shared" si="0"/>
        <v>0</v>
      </c>
      <c r="I43" s="65">
        <v>44740</v>
      </c>
    </row>
    <row r="44" spans="1:10" ht="19.5" customHeight="1" x14ac:dyDescent="0.35">
      <c r="A44" s="76" t="s">
        <v>941</v>
      </c>
      <c r="B44" s="77">
        <v>44631</v>
      </c>
      <c r="C44" s="78" t="s">
        <v>942</v>
      </c>
      <c r="D44" s="58">
        <v>13745600</v>
      </c>
      <c r="E44" s="58">
        <f>+D44*0.1</f>
        <v>1374560</v>
      </c>
      <c r="F44" s="79">
        <f>+E44+D44</f>
        <v>15120160</v>
      </c>
      <c r="G44" s="54">
        <f>+F44</f>
        <v>15120160</v>
      </c>
      <c r="H44" s="55">
        <f t="shared" si="0"/>
        <v>0</v>
      </c>
      <c r="I44" s="65">
        <v>44918</v>
      </c>
    </row>
    <row r="45" spans="1:10" ht="19.5" customHeight="1" x14ac:dyDescent="0.35">
      <c r="A45" s="76" t="s">
        <v>943</v>
      </c>
      <c r="B45" s="77">
        <v>44631</v>
      </c>
      <c r="C45" s="78" t="s">
        <v>944</v>
      </c>
      <c r="D45" s="58">
        <v>135000</v>
      </c>
      <c r="E45" s="58">
        <v>10800</v>
      </c>
      <c r="F45" s="79">
        <v>145800</v>
      </c>
      <c r="G45" s="54">
        <v>145800</v>
      </c>
      <c r="H45" s="55">
        <f t="shared" si="0"/>
        <v>0</v>
      </c>
      <c r="I45" s="65">
        <v>44644</v>
      </c>
    </row>
    <row r="46" spans="1:10" ht="19.5" customHeight="1" x14ac:dyDescent="0.35">
      <c r="A46" s="76" t="s">
        <v>42</v>
      </c>
      <c r="B46" s="77">
        <v>44638</v>
      </c>
      <c r="C46" s="78" t="s">
        <v>945</v>
      </c>
      <c r="D46" s="58">
        <v>830800</v>
      </c>
      <c r="E46" s="58">
        <v>66464</v>
      </c>
      <c r="F46" s="79">
        <v>897264</v>
      </c>
      <c r="G46" s="79">
        <v>897264</v>
      </c>
      <c r="H46" s="55">
        <f t="shared" si="0"/>
        <v>0</v>
      </c>
      <c r="I46" s="65">
        <v>44705</v>
      </c>
    </row>
    <row r="47" spans="1:10" ht="19.5" customHeight="1" x14ac:dyDescent="0.35">
      <c r="A47" s="76" t="s">
        <v>946</v>
      </c>
      <c r="B47" s="77">
        <v>44637</v>
      </c>
      <c r="C47" s="78" t="s">
        <v>947</v>
      </c>
      <c r="D47" s="58">
        <v>13768400</v>
      </c>
      <c r="E47" s="58">
        <v>1101472</v>
      </c>
      <c r="F47" s="79">
        <v>14869872</v>
      </c>
      <c r="G47" s="54">
        <v>14869872</v>
      </c>
      <c r="H47" s="55">
        <f t="shared" si="0"/>
        <v>0</v>
      </c>
      <c r="I47" s="65">
        <v>44918</v>
      </c>
    </row>
    <row r="48" spans="1:10" ht="19.5" customHeight="1" x14ac:dyDescent="0.35">
      <c r="A48" s="76" t="s">
        <v>948</v>
      </c>
      <c r="B48" s="77">
        <v>44638</v>
      </c>
      <c r="C48" s="78" t="s">
        <v>949</v>
      </c>
      <c r="D48" s="58">
        <v>130000</v>
      </c>
      <c r="E48" s="58">
        <v>13000</v>
      </c>
      <c r="F48" s="79">
        <v>143000</v>
      </c>
      <c r="G48" s="54">
        <v>143000</v>
      </c>
      <c r="H48" s="55">
        <f t="shared" si="0"/>
        <v>0</v>
      </c>
      <c r="I48" s="65">
        <v>44680</v>
      </c>
    </row>
    <row r="49" spans="1:9" ht="19.5" customHeight="1" x14ac:dyDescent="0.35">
      <c r="A49" s="76" t="s">
        <v>950</v>
      </c>
      <c r="B49" s="77">
        <v>44626</v>
      </c>
      <c r="C49" s="78" t="s">
        <v>951</v>
      </c>
      <c r="D49" s="58">
        <v>575400</v>
      </c>
      <c r="E49" s="58">
        <v>57540</v>
      </c>
      <c r="F49" s="79">
        <v>632940</v>
      </c>
      <c r="G49" s="54">
        <v>632940</v>
      </c>
      <c r="H49" s="55">
        <f t="shared" si="0"/>
        <v>0</v>
      </c>
      <c r="I49" s="65">
        <v>44680</v>
      </c>
    </row>
    <row r="50" spans="1:9" ht="19.5" customHeight="1" x14ac:dyDescent="0.35">
      <c r="A50" s="76" t="s">
        <v>952</v>
      </c>
      <c r="B50" s="77">
        <v>44631</v>
      </c>
      <c r="C50" s="78" t="s">
        <v>953</v>
      </c>
      <c r="D50" s="58">
        <v>63000</v>
      </c>
      <c r="E50" s="58">
        <v>5040</v>
      </c>
      <c r="F50" s="79">
        <v>68040</v>
      </c>
      <c r="G50" s="54">
        <v>68040</v>
      </c>
      <c r="H50" s="55">
        <f t="shared" si="0"/>
        <v>0</v>
      </c>
      <c r="I50" s="65">
        <v>44680</v>
      </c>
    </row>
    <row r="51" spans="1:9" ht="19.5" customHeight="1" x14ac:dyDescent="0.35">
      <c r="A51" s="76" t="s">
        <v>952</v>
      </c>
      <c r="B51" s="77">
        <v>44620</v>
      </c>
      <c r="C51" s="78" t="s">
        <v>954</v>
      </c>
      <c r="D51" s="58">
        <v>26724000</v>
      </c>
      <c r="E51" s="58">
        <v>2137920</v>
      </c>
      <c r="F51" s="79">
        <v>28861920</v>
      </c>
      <c r="G51" s="54">
        <v>28861920</v>
      </c>
      <c r="H51" s="55">
        <f t="shared" si="0"/>
        <v>0</v>
      </c>
      <c r="I51" s="65">
        <v>44680</v>
      </c>
    </row>
    <row r="52" spans="1:9" ht="19.5" customHeight="1" x14ac:dyDescent="0.35">
      <c r="A52" s="76" t="s">
        <v>955</v>
      </c>
      <c r="B52" s="77">
        <v>44623</v>
      </c>
      <c r="C52" s="78" t="s">
        <v>956</v>
      </c>
      <c r="D52" s="58">
        <v>15156400</v>
      </c>
      <c r="E52" s="58">
        <v>1515640</v>
      </c>
      <c r="F52" s="79">
        <v>16672040</v>
      </c>
      <c r="G52" s="54">
        <v>16672040</v>
      </c>
      <c r="H52" s="55">
        <f t="shared" si="0"/>
        <v>0</v>
      </c>
      <c r="I52" s="65">
        <v>44768</v>
      </c>
    </row>
    <row r="53" spans="1:9" ht="19.5" customHeight="1" x14ac:dyDescent="0.35">
      <c r="A53" s="76" t="s">
        <v>957</v>
      </c>
      <c r="B53" s="77">
        <v>44640</v>
      </c>
      <c r="C53" s="78" t="s">
        <v>958</v>
      </c>
      <c r="D53" s="58">
        <v>620000</v>
      </c>
      <c r="E53" s="58">
        <v>49600</v>
      </c>
      <c r="F53" s="79">
        <v>669600</v>
      </c>
      <c r="G53" s="54">
        <v>669600</v>
      </c>
      <c r="H53" s="55">
        <f t="shared" si="0"/>
        <v>0</v>
      </c>
      <c r="I53" s="65">
        <v>44680</v>
      </c>
    </row>
    <row r="54" spans="1:9" ht="19.5" customHeight="1" x14ac:dyDescent="0.35">
      <c r="A54" s="76" t="s">
        <v>959</v>
      </c>
      <c r="B54" s="77">
        <v>44639</v>
      </c>
      <c r="C54" s="78" t="s">
        <v>960</v>
      </c>
      <c r="D54" s="58">
        <v>8640000</v>
      </c>
      <c r="E54" s="58">
        <v>691200</v>
      </c>
      <c r="F54" s="79">
        <v>9331200</v>
      </c>
      <c r="G54" s="54">
        <v>9331200</v>
      </c>
      <c r="H54" s="55">
        <f t="shared" si="0"/>
        <v>0</v>
      </c>
      <c r="I54" s="65">
        <v>44705</v>
      </c>
    </row>
    <row r="55" spans="1:9" ht="19.5" customHeight="1" x14ac:dyDescent="0.35">
      <c r="A55" s="76" t="s">
        <v>961</v>
      </c>
      <c r="B55" s="77">
        <v>44639</v>
      </c>
      <c r="C55" s="78" t="s">
        <v>962</v>
      </c>
      <c r="D55" s="58">
        <v>5985400</v>
      </c>
      <c r="E55" s="58"/>
      <c r="F55" s="79"/>
      <c r="G55" s="54"/>
      <c r="H55" s="55">
        <f t="shared" si="0"/>
        <v>0</v>
      </c>
    </row>
    <row r="56" spans="1:9" ht="19.5" customHeight="1" x14ac:dyDescent="0.35">
      <c r="A56" s="76" t="s">
        <v>963</v>
      </c>
      <c r="B56" s="77">
        <v>44637</v>
      </c>
      <c r="C56" s="78" t="s">
        <v>964</v>
      </c>
      <c r="D56" s="58">
        <v>1366000</v>
      </c>
      <c r="E56" s="58">
        <v>109280</v>
      </c>
      <c r="F56" s="79">
        <v>1475280</v>
      </c>
      <c r="G56" s="54">
        <v>1475280</v>
      </c>
      <c r="H56" s="55">
        <f t="shared" si="0"/>
        <v>0</v>
      </c>
      <c r="I56" s="65">
        <v>44705</v>
      </c>
    </row>
    <row r="57" spans="1:9" ht="19.5" customHeight="1" x14ac:dyDescent="0.35">
      <c r="A57" s="76" t="s">
        <v>965</v>
      </c>
      <c r="B57" s="77">
        <v>44653</v>
      </c>
      <c r="C57" s="78" t="s">
        <v>966</v>
      </c>
      <c r="D57" s="58">
        <v>90000</v>
      </c>
      <c r="E57" s="58">
        <v>7200</v>
      </c>
      <c r="F57" s="79">
        <v>97200</v>
      </c>
      <c r="G57" s="54">
        <v>97200</v>
      </c>
      <c r="H57" s="55">
        <f t="shared" si="0"/>
        <v>0</v>
      </c>
      <c r="I57" s="65">
        <v>44740</v>
      </c>
    </row>
    <row r="58" spans="1:9" ht="19.5" customHeight="1" x14ac:dyDescent="0.35">
      <c r="A58" s="76" t="s">
        <v>967</v>
      </c>
      <c r="B58" s="77">
        <v>44583</v>
      </c>
      <c r="C58" s="78" t="s">
        <v>968</v>
      </c>
      <c r="D58" s="58">
        <v>1434000</v>
      </c>
      <c r="E58" s="58">
        <v>143400</v>
      </c>
      <c r="F58" s="79">
        <v>1577400</v>
      </c>
      <c r="G58" s="54">
        <v>1577400</v>
      </c>
      <c r="H58" s="55">
        <f t="shared" si="0"/>
        <v>0</v>
      </c>
      <c r="I58" s="65">
        <v>44617</v>
      </c>
    </row>
    <row r="59" spans="1:9" ht="19.5" customHeight="1" x14ac:dyDescent="0.35">
      <c r="A59" s="76" t="s">
        <v>967</v>
      </c>
      <c r="B59" s="77">
        <v>44618</v>
      </c>
      <c r="C59" s="78" t="s">
        <v>969</v>
      </c>
      <c r="D59" s="58">
        <v>405000</v>
      </c>
      <c r="E59" s="58">
        <v>40500</v>
      </c>
      <c r="F59" s="79">
        <v>445500</v>
      </c>
      <c r="G59" s="54">
        <v>445500</v>
      </c>
      <c r="H59" s="55">
        <f t="shared" si="0"/>
        <v>0</v>
      </c>
      <c r="I59" s="65">
        <v>44680</v>
      </c>
    </row>
    <row r="60" spans="1:9" ht="19.5" customHeight="1" x14ac:dyDescent="0.35">
      <c r="A60" s="76" t="s">
        <v>970</v>
      </c>
      <c r="B60" s="77">
        <v>44649</v>
      </c>
      <c r="C60" s="78" t="s">
        <v>971</v>
      </c>
      <c r="D60" s="58">
        <v>988000</v>
      </c>
      <c r="E60" s="58">
        <v>98800</v>
      </c>
      <c r="F60" s="79">
        <v>1086800</v>
      </c>
      <c r="G60" s="54">
        <v>1086800</v>
      </c>
      <c r="H60" s="55">
        <f t="shared" si="0"/>
        <v>0</v>
      </c>
      <c r="I60" s="65">
        <v>44680</v>
      </c>
    </row>
    <row r="61" spans="1:9" ht="19.5" customHeight="1" x14ac:dyDescent="0.35">
      <c r="A61" s="76" t="s">
        <v>972</v>
      </c>
      <c r="B61" s="77">
        <v>44621</v>
      </c>
      <c r="C61" s="78" t="s">
        <v>973</v>
      </c>
      <c r="D61" s="58">
        <v>2856000</v>
      </c>
      <c r="E61" s="58">
        <v>285600</v>
      </c>
      <c r="F61" s="79">
        <v>3141600</v>
      </c>
      <c r="G61" s="54">
        <v>3141600</v>
      </c>
      <c r="H61" s="55">
        <f t="shared" si="0"/>
        <v>0</v>
      </c>
      <c r="I61" s="65">
        <v>44802</v>
      </c>
    </row>
    <row r="62" spans="1:9" ht="19.5" customHeight="1" x14ac:dyDescent="0.35">
      <c r="A62" s="76" t="s">
        <v>974</v>
      </c>
      <c r="B62" s="77">
        <v>44610</v>
      </c>
      <c r="C62" s="78" t="s">
        <v>975</v>
      </c>
      <c r="D62" s="58">
        <v>2892000</v>
      </c>
      <c r="E62" s="58">
        <f>+D62*0.08</f>
        <v>231360</v>
      </c>
      <c r="F62" s="79">
        <f>+E62+D62</f>
        <v>3123360</v>
      </c>
      <c r="G62" s="54">
        <v>3123360</v>
      </c>
      <c r="H62" s="55">
        <f t="shared" si="0"/>
        <v>0</v>
      </c>
      <c r="I62" s="65">
        <v>44705</v>
      </c>
    </row>
    <row r="63" spans="1:9" ht="19.5" customHeight="1" x14ac:dyDescent="0.35">
      <c r="A63" s="76" t="s">
        <v>976</v>
      </c>
      <c r="B63" s="77">
        <v>44615</v>
      </c>
      <c r="C63" s="78" t="s">
        <v>977</v>
      </c>
      <c r="D63" s="58">
        <v>10174800</v>
      </c>
      <c r="E63" s="58">
        <f t="shared" ref="E63:E68" si="1">+D63*0.08</f>
        <v>813984</v>
      </c>
      <c r="F63" s="79">
        <f t="shared" ref="F63:F71" si="2">+E63+D63</f>
        <v>10988784</v>
      </c>
      <c r="G63" s="54">
        <v>10988784</v>
      </c>
      <c r="H63" s="55">
        <f t="shared" si="0"/>
        <v>0</v>
      </c>
      <c r="I63" s="65">
        <v>44677</v>
      </c>
    </row>
    <row r="64" spans="1:9" ht="19.5" customHeight="1" x14ac:dyDescent="0.35">
      <c r="A64" s="76" t="s">
        <v>978</v>
      </c>
      <c r="B64" s="77">
        <v>44621</v>
      </c>
      <c r="C64" s="78" t="s">
        <v>979</v>
      </c>
      <c r="D64" s="58">
        <v>1045800</v>
      </c>
      <c r="E64" s="58">
        <f t="shared" si="1"/>
        <v>83664</v>
      </c>
      <c r="F64" s="79">
        <f t="shared" si="2"/>
        <v>1129464</v>
      </c>
      <c r="G64" s="54">
        <v>1129464</v>
      </c>
      <c r="H64" s="55">
        <f t="shared" si="0"/>
        <v>0</v>
      </c>
      <c r="I64" s="65">
        <v>44677</v>
      </c>
    </row>
    <row r="65" spans="1:9" ht="19.5" customHeight="1" x14ac:dyDescent="0.35">
      <c r="A65" s="76" t="s">
        <v>980</v>
      </c>
      <c r="B65" s="77">
        <v>44613</v>
      </c>
      <c r="C65" s="78" t="s">
        <v>981</v>
      </c>
      <c r="D65" s="58">
        <v>3533800</v>
      </c>
      <c r="E65" s="58">
        <f t="shared" si="1"/>
        <v>282704</v>
      </c>
      <c r="F65" s="79">
        <f t="shared" si="2"/>
        <v>3816504</v>
      </c>
      <c r="G65" s="54">
        <v>3816504</v>
      </c>
      <c r="H65" s="55">
        <f t="shared" si="0"/>
        <v>0</v>
      </c>
      <c r="I65" s="65">
        <v>44918</v>
      </c>
    </row>
    <row r="66" spans="1:9" ht="19.5" customHeight="1" x14ac:dyDescent="0.35">
      <c r="A66" s="76" t="s">
        <v>982</v>
      </c>
      <c r="B66" s="77">
        <v>44618</v>
      </c>
      <c r="C66" s="78" t="s">
        <v>983</v>
      </c>
      <c r="D66" s="58">
        <v>15590200</v>
      </c>
      <c r="E66" s="58">
        <f>+D66*0.1</f>
        <v>1559020</v>
      </c>
      <c r="F66" s="79">
        <f t="shared" si="2"/>
        <v>17149220</v>
      </c>
      <c r="G66" s="54">
        <v>17149220</v>
      </c>
      <c r="H66" s="55">
        <f t="shared" si="0"/>
        <v>0</v>
      </c>
      <c r="I66" s="65">
        <v>44768</v>
      </c>
    </row>
    <row r="67" spans="1:9" ht="19.5" customHeight="1" x14ac:dyDescent="0.35">
      <c r="A67" s="76" t="s">
        <v>984</v>
      </c>
      <c r="B67" s="77">
        <v>44776</v>
      </c>
      <c r="C67" s="78" t="s">
        <v>985</v>
      </c>
      <c r="D67" s="58">
        <v>3345000</v>
      </c>
      <c r="E67" s="58">
        <f t="shared" si="1"/>
        <v>267600</v>
      </c>
      <c r="F67" s="79">
        <f t="shared" si="2"/>
        <v>3612600</v>
      </c>
      <c r="G67" s="54">
        <v>3612600</v>
      </c>
      <c r="H67" s="55">
        <f t="shared" si="0"/>
        <v>0</v>
      </c>
      <c r="I67" s="65">
        <v>44918</v>
      </c>
    </row>
    <row r="68" spans="1:9" ht="19.5" customHeight="1" x14ac:dyDescent="0.35">
      <c r="A68" s="76" t="s">
        <v>938</v>
      </c>
      <c r="B68" s="77">
        <v>44769</v>
      </c>
      <c r="C68" s="78" t="s">
        <v>986</v>
      </c>
      <c r="D68" s="58">
        <v>26000</v>
      </c>
      <c r="E68" s="58">
        <f t="shared" si="1"/>
        <v>2080</v>
      </c>
      <c r="F68" s="79">
        <f t="shared" si="2"/>
        <v>28080</v>
      </c>
      <c r="G68" s="54">
        <v>28080</v>
      </c>
      <c r="H68" s="55">
        <f t="shared" si="0"/>
        <v>0</v>
      </c>
      <c r="I68" s="65">
        <v>44802</v>
      </c>
    </row>
    <row r="69" spans="1:9" ht="19.5" customHeight="1" x14ac:dyDescent="0.35">
      <c r="A69" s="76"/>
      <c r="B69" s="77">
        <v>44625</v>
      </c>
      <c r="C69" s="78" t="s">
        <v>987</v>
      </c>
      <c r="D69" s="58">
        <v>296000</v>
      </c>
      <c r="E69" s="58">
        <f>+D69*0.1</f>
        <v>29600</v>
      </c>
      <c r="F69" s="79">
        <f t="shared" si="2"/>
        <v>325600</v>
      </c>
      <c r="G69" s="54">
        <v>325600</v>
      </c>
      <c r="H69" s="55">
        <f t="shared" si="0"/>
        <v>0</v>
      </c>
      <c r="I69" s="65">
        <v>44918</v>
      </c>
    </row>
    <row r="70" spans="1:9" ht="19.5" customHeight="1" x14ac:dyDescent="0.35">
      <c r="A70" s="76"/>
      <c r="B70" s="77">
        <v>44615</v>
      </c>
      <c r="C70" s="78" t="s">
        <v>988</v>
      </c>
      <c r="D70" s="58">
        <v>2534000</v>
      </c>
      <c r="E70" s="58">
        <f>+D70*0.1</f>
        <v>253400</v>
      </c>
      <c r="F70" s="79">
        <f t="shared" si="2"/>
        <v>2787400</v>
      </c>
      <c r="G70" s="54">
        <v>2787400</v>
      </c>
      <c r="H70" s="55">
        <f t="shared" si="0"/>
        <v>0</v>
      </c>
      <c r="I70" s="65">
        <v>44918</v>
      </c>
    </row>
    <row r="71" spans="1:9" ht="19.5" customHeight="1" x14ac:dyDescent="0.35">
      <c r="A71" s="76"/>
      <c r="B71" s="77">
        <v>44658</v>
      </c>
      <c r="C71" s="78" t="s">
        <v>989</v>
      </c>
      <c r="D71" s="58">
        <v>15713600</v>
      </c>
      <c r="E71" s="58">
        <f>+D71*0.08</f>
        <v>1257088</v>
      </c>
      <c r="F71" s="79">
        <f t="shared" si="2"/>
        <v>16970688</v>
      </c>
      <c r="G71" s="54">
        <v>16970688</v>
      </c>
      <c r="H71" s="55">
        <f t="shared" si="0"/>
        <v>0</v>
      </c>
      <c r="I71" s="65">
        <v>44918</v>
      </c>
    </row>
    <row r="72" spans="1:9" ht="19.5" customHeight="1" x14ac:dyDescent="0.35">
      <c r="A72" s="76"/>
      <c r="B72" s="77">
        <v>44664</v>
      </c>
      <c r="C72" s="78" t="s">
        <v>990</v>
      </c>
      <c r="D72" s="58">
        <v>2768000</v>
      </c>
      <c r="E72" s="58">
        <f>+D72*0.08</f>
        <v>221440</v>
      </c>
      <c r="F72" s="79">
        <f>+E72+D72</f>
        <v>2989440</v>
      </c>
      <c r="G72" s="54">
        <v>2989440</v>
      </c>
      <c r="H72" s="55">
        <f t="shared" si="0"/>
        <v>0</v>
      </c>
      <c r="I72" s="65">
        <v>44918</v>
      </c>
    </row>
    <row r="73" spans="1:9" ht="19.5" customHeight="1" x14ac:dyDescent="0.35">
      <c r="A73" s="76"/>
      <c r="B73" s="77">
        <v>44604</v>
      </c>
      <c r="C73" s="78" t="s">
        <v>991</v>
      </c>
      <c r="D73" s="58">
        <v>2878000</v>
      </c>
      <c r="E73" s="58">
        <f>+D73*0.08</f>
        <v>230240</v>
      </c>
      <c r="F73" s="79">
        <f t="shared" ref="F73:F125" si="3">+E73+D73</f>
        <v>3108240</v>
      </c>
      <c r="G73" s="54">
        <v>3108240</v>
      </c>
      <c r="H73" s="55">
        <f t="shared" si="0"/>
        <v>0</v>
      </c>
      <c r="I73" s="65">
        <v>44918</v>
      </c>
    </row>
    <row r="74" spans="1:9" ht="19.5" customHeight="1" x14ac:dyDescent="0.35">
      <c r="A74" s="76" t="s">
        <v>943</v>
      </c>
      <c r="B74" s="77">
        <v>44856</v>
      </c>
      <c r="C74" s="78" t="s">
        <v>966</v>
      </c>
      <c r="D74" s="58">
        <v>166400</v>
      </c>
      <c r="E74" s="58">
        <f t="shared" ref="E74:E118" si="4">+D74*0.08</f>
        <v>13312</v>
      </c>
      <c r="F74" s="79">
        <f t="shared" si="3"/>
        <v>179712</v>
      </c>
      <c r="G74" s="54">
        <v>179712</v>
      </c>
      <c r="H74" s="55">
        <f t="shared" ref="H74:H137" si="5">+F74-G74</f>
        <v>0</v>
      </c>
      <c r="I74" s="65">
        <v>44890</v>
      </c>
    </row>
    <row r="75" spans="1:9" ht="19.5" customHeight="1" x14ac:dyDescent="0.35">
      <c r="A75" s="76" t="s">
        <v>920</v>
      </c>
      <c r="B75" s="77">
        <v>44860</v>
      </c>
      <c r="C75" s="78" t="s">
        <v>992</v>
      </c>
      <c r="D75" s="58">
        <v>195000</v>
      </c>
      <c r="E75" s="58">
        <f t="shared" si="4"/>
        <v>15600</v>
      </c>
      <c r="F75" s="79">
        <f t="shared" si="3"/>
        <v>210600</v>
      </c>
      <c r="G75" s="54">
        <v>210600</v>
      </c>
      <c r="H75" s="55">
        <f t="shared" si="5"/>
        <v>0</v>
      </c>
      <c r="I75" s="65">
        <v>44918</v>
      </c>
    </row>
    <row r="76" spans="1:9" ht="19.5" customHeight="1" x14ac:dyDescent="0.35">
      <c r="A76" s="76" t="s">
        <v>993</v>
      </c>
      <c r="B76" s="77">
        <v>44896</v>
      </c>
      <c r="C76" s="78" t="s">
        <v>994</v>
      </c>
      <c r="D76" s="58">
        <v>1947500</v>
      </c>
      <c r="E76" s="58">
        <f t="shared" si="4"/>
        <v>155800</v>
      </c>
      <c r="F76" s="79">
        <f t="shared" si="3"/>
        <v>2103300</v>
      </c>
      <c r="G76" s="54">
        <v>2103300</v>
      </c>
      <c r="H76" s="55">
        <f t="shared" si="5"/>
        <v>0</v>
      </c>
      <c r="I76" s="65">
        <v>44918</v>
      </c>
    </row>
    <row r="77" spans="1:9" ht="19.5" customHeight="1" x14ac:dyDescent="0.35">
      <c r="A77" s="76" t="s">
        <v>995</v>
      </c>
      <c r="B77" s="77">
        <v>44895</v>
      </c>
      <c r="C77" s="78" t="s">
        <v>996</v>
      </c>
      <c r="D77" s="58">
        <v>3168000</v>
      </c>
      <c r="E77" s="58">
        <f t="shared" si="4"/>
        <v>253440</v>
      </c>
      <c r="F77" s="79">
        <f t="shared" si="3"/>
        <v>3421440</v>
      </c>
      <c r="G77" s="54">
        <v>3421440</v>
      </c>
      <c r="H77" s="55">
        <f t="shared" si="5"/>
        <v>0</v>
      </c>
      <c r="I77" s="65">
        <v>44918</v>
      </c>
    </row>
    <row r="78" spans="1:9" ht="19.5" customHeight="1" x14ac:dyDescent="0.35">
      <c r="A78" s="76" t="s">
        <v>928</v>
      </c>
      <c r="B78" s="77">
        <v>44896</v>
      </c>
      <c r="C78" s="78" t="s">
        <v>997</v>
      </c>
      <c r="D78" s="58">
        <v>100000</v>
      </c>
      <c r="E78" s="58">
        <f t="shared" si="4"/>
        <v>8000</v>
      </c>
      <c r="F78" s="79">
        <f t="shared" si="3"/>
        <v>108000</v>
      </c>
      <c r="G78" s="54">
        <v>108000</v>
      </c>
      <c r="H78" s="55">
        <f t="shared" si="5"/>
        <v>0</v>
      </c>
      <c r="I78" s="65">
        <v>44943</v>
      </c>
    </row>
    <row r="79" spans="1:9" ht="19.5" customHeight="1" x14ac:dyDescent="0.35">
      <c r="A79" s="76" t="s">
        <v>998</v>
      </c>
      <c r="B79" s="77">
        <v>44896</v>
      </c>
      <c r="C79" s="78" t="s">
        <v>999</v>
      </c>
      <c r="D79" s="58">
        <v>1920000</v>
      </c>
      <c r="E79" s="58">
        <f t="shared" si="4"/>
        <v>153600</v>
      </c>
      <c r="F79" s="79">
        <f t="shared" si="3"/>
        <v>2073600</v>
      </c>
      <c r="G79" s="54">
        <v>2073600</v>
      </c>
      <c r="H79" s="55">
        <f t="shared" si="5"/>
        <v>0</v>
      </c>
      <c r="I79" s="65">
        <v>44918</v>
      </c>
    </row>
    <row r="80" spans="1:9" ht="19.5" customHeight="1" x14ac:dyDescent="0.35">
      <c r="A80" s="76" t="s">
        <v>1000</v>
      </c>
      <c r="B80" s="77">
        <v>44897</v>
      </c>
      <c r="C80" s="78" t="s">
        <v>1001</v>
      </c>
      <c r="D80" s="58">
        <v>436000</v>
      </c>
      <c r="E80" s="58">
        <f t="shared" si="4"/>
        <v>34880</v>
      </c>
      <c r="F80" s="79">
        <f t="shared" si="3"/>
        <v>470880</v>
      </c>
      <c r="G80" s="54">
        <v>470880</v>
      </c>
      <c r="H80" s="55">
        <f t="shared" si="5"/>
        <v>0</v>
      </c>
      <c r="I80" s="65">
        <v>44959</v>
      </c>
    </row>
    <row r="81" spans="1:10" ht="19.5" customHeight="1" x14ac:dyDescent="0.35">
      <c r="A81" s="76" t="s">
        <v>1002</v>
      </c>
      <c r="B81" s="77">
        <v>44897</v>
      </c>
      <c r="C81" s="78" t="s">
        <v>1003</v>
      </c>
      <c r="D81" s="58">
        <v>1381000</v>
      </c>
      <c r="E81" s="58">
        <f t="shared" si="4"/>
        <v>110480</v>
      </c>
      <c r="F81" s="79">
        <f t="shared" si="3"/>
        <v>1491480</v>
      </c>
      <c r="G81" s="54">
        <v>1491480</v>
      </c>
      <c r="H81" s="55">
        <f t="shared" si="5"/>
        <v>0</v>
      </c>
      <c r="I81" s="65">
        <v>44918</v>
      </c>
    </row>
    <row r="82" spans="1:10" ht="19.5" customHeight="1" x14ac:dyDescent="0.35">
      <c r="A82" s="76" t="s">
        <v>1004</v>
      </c>
      <c r="B82" s="77">
        <v>44898</v>
      </c>
      <c r="C82" s="78" t="s">
        <v>1005</v>
      </c>
      <c r="D82" s="58">
        <v>1656000</v>
      </c>
      <c r="E82" s="58">
        <f t="shared" si="4"/>
        <v>132480</v>
      </c>
      <c r="F82" s="79">
        <f t="shared" si="3"/>
        <v>1788480</v>
      </c>
      <c r="G82" s="54">
        <v>1788480</v>
      </c>
      <c r="H82" s="55">
        <f t="shared" si="5"/>
        <v>0</v>
      </c>
      <c r="I82" s="65">
        <v>44981</v>
      </c>
    </row>
    <row r="83" spans="1:10" ht="19.5" customHeight="1" x14ac:dyDescent="0.35">
      <c r="A83" s="76" t="s">
        <v>1006</v>
      </c>
      <c r="B83" s="77">
        <v>44898</v>
      </c>
      <c r="C83" s="78" t="s">
        <v>1007</v>
      </c>
      <c r="D83" s="58">
        <v>1267500</v>
      </c>
      <c r="E83" s="58">
        <f t="shared" si="4"/>
        <v>101400</v>
      </c>
      <c r="F83" s="79">
        <f t="shared" si="3"/>
        <v>1368900</v>
      </c>
      <c r="G83" s="54">
        <v>1368900</v>
      </c>
      <c r="H83" s="55">
        <f t="shared" si="5"/>
        <v>0</v>
      </c>
      <c r="I83" s="65">
        <v>44918</v>
      </c>
    </row>
    <row r="84" spans="1:10" ht="19.5" customHeight="1" x14ac:dyDescent="0.35">
      <c r="A84" s="76" t="s">
        <v>1008</v>
      </c>
      <c r="B84" s="77">
        <v>44898</v>
      </c>
      <c r="C84" s="78" t="s">
        <v>1009</v>
      </c>
      <c r="D84" s="58">
        <v>358000</v>
      </c>
      <c r="E84" s="58">
        <f t="shared" si="4"/>
        <v>28640</v>
      </c>
      <c r="F84" s="79">
        <f t="shared" si="3"/>
        <v>386640</v>
      </c>
      <c r="G84" s="54">
        <v>386640</v>
      </c>
      <c r="H84" s="55">
        <f t="shared" si="5"/>
        <v>0</v>
      </c>
      <c r="I84" s="65">
        <v>44918</v>
      </c>
    </row>
    <row r="85" spans="1:10" ht="19.5" customHeight="1" x14ac:dyDescent="0.35">
      <c r="A85" s="76" t="s">
        <v>948</v>
      </c>
      <c r="B85" s="77">
        <v>44899</v>
      </c>
      <c r="C85" s="78" t="s">
        <v>1010</v>
      </c>
      <c r="D85" s="58">
        <v>248400</v>
      </c>
      <c r="E85" s="58">
        <f t="shared" si="4"/>
        <v>19872</v>
      </c>
      <c r="F85" s="79">
        <f t="shared" si="3"/>
        <v>268272</v>
      </c>
      <c r="G85" s="54">
        <v>268272</v>
      </c>
      <c r="H85" s="55">
        <f t="shared" si="5"/>
        <v>0</v>
      </c>
      <c r="I85" s="65">
        <v>44918</v>
      </c>
    </row>
    <row r="86" spans="1:10" ht="19.5" customHeight="1" x14ac:dyDescent="0.35">
      <c r="A86" s="76" t="s">
        <v>1011</v>
      </c>
      <c r="B86" s="77">
        <v>44901</v>
      </c>
      <c r="C86" s="78" t="s">
        <v>1012</v>
      </c>
      <c r="D86" s="58">
        <v>3168000</v>
      </c>
      <c r="E86" s="58">
        <f t="shared" si="4"/>
        <v>253440</v>
      </c>
      <c r="F86" s="79">
        <f t="shared" si="3"/>
        <v>3421440</v>
      </c>
      <c r="G86" s="54">
        <v>3421440</v>
      </c>
      <c r="H86" s="55">
        <f t="shared" si="5"/>
        <v>0</v>
      </c>
      <c r="I86" s="65">
        <v>44918</v>
      </c>
    </row>
    <row r="87" spans="1:10" ht="19.5" customHeight="1" x14ac:dyDescent="0.35">
      <c r="A87" s="76" t="s">
        <v>878</v>
      </c>
      <c r="B87" s="77">
        <v>44900</v>
      </c>
      <c r="C87" s="78" t="s">
        <v>1013</v>
      </c>
      <c r="D87" s="58">
        <v>4205400</v>
      </c>
      <c r="E87" s="58">
        <f t="shared" si="4"/>
        <v>336432</v>
      </c>
      <c r="F87" s="79">
        <f t="shared" si="3"/>
        <v>4541832</v>
      </c>
      <c r="G87" s="54">
        <v>4541832</v>
      </c>
      <c r="H87" s="55">
        <f t="shared" si="5"/>
        <v>0</v>
      </c>
      <c r="I87" s="65">
        <v>44918</v>
      </c>
    </row>
    <row r="88" spans="1:10" ht="19.5" customHeight="1" x14ac:dyDescent="0.35">
      <c r="A88" s="76" t="s">
        <v>918</v>
      </c>
      <c r="B88" s="77">
        <v>44903</v>
      </c>
      <c r="C88" s="78" t="s">
        <v>1014</v>
      </c>
      <c r="D88" s="58">
        <v>2469500</v>
      </c>
      <c r="E88" s="58">
        <f t="shared" si="4"/>
        <v>197560</v>
      </c>
      <c r="F88" s="79">
        <f t="shared" si="3"/>
        <v>2667060</v>
      </c>
      <c r="G88" s="54">
        <v>2667060</v>
      </c>
      <c r="H88" s="55">
        <f t="shared" si="5"/>
        <v>0</v>
      </c>
      <c r="I88" s="65">
        <v>44959</v>
      </c>
    </row>
    <row r="89" spans="1:10" ht="19.5" customHeight="1" x14ac:dyDescent="0.35">
      <c r="A89" s="76" t="s">
        <v>924</v>
      </c>
      <c r="B89" s="77">
        <v>44902</v>
      </c>
      <c r="C89" s="78" t="s">
        <v>1015</v>
      </c>
      <c r="D89" s="58">
        <v>1518000</v>
      </c>
      <c r="E89" s="58">
        <f t="shared" si="4"/>
        <v>121440</v>
      </c>
      <c r="F89" s="79">
        <f t="shared" si="3"/>
        <v>1639440</v>
      </c>
      <c r="G89" s="54">
        <v>1639440</v>
      </c>
      <c r="H89" s="55">
        <f t="shared" si="5"/>
        <v>0</v>
      </c>
      <c r="I89" s="65">
        <v>44959</v>
      </c>
    </row>
    <row r="90" spans="1:10" ht="19.5" customHeight="1" x14ac:dyDescent="0.35">
      <c r="A90" s="76" t="s">
        <v>1016</v>
      </c>
      <c r="B90" s="77">
        <v>44905</v>
      </c>
      <c r="C90" s="78" t="s">
        <v>1017</v>
      </c>
      <c r="D90" s="58">
        <v>6782400</v>
      </c>
      <c r="E90" s="58">
        <f t="shared" si="4"/>
        <v>542592</v>
      </c>
      <c r="F90" s="79">
        <f t="shared" si="3"/>
        <v>7324992</v>
      </c>
      <c r="G90" s="54">
        <v>7324992</v>
      </c>
      <c r="H90" s="55">
        <f t="shared" si="5"/>
        <v>0</v>
      </c>
      <c r="I90" s="65">
        <v>44918</v>
      </c>
    </row>
    <row r="91" spans="1:10" ht="19.5" customHeight="1" x14ac:dyDescent="0.35">
      <c r="A91" s="76" t="s">
        <v>932</v>
      </c>
      <c r="B91" s="77">
        <v>44904</v>
      </c>
      <c r="C91" s="78" t="s">
        <v>473</v>
      </c>
      <c r="D91" s="58">
        <v>324500</v>
      </c>
      <c r="E91" s="58">
        <f t="shared" si="4"/>
        <v>25960</v>
      </c>
      <c r="F91" s="79">
        <f t="shared" si="3"/>
        <v>350460</v>
      </c>
      <c r="G91" s="54">
        <v>350460</v>
      </c>
      <c r="H91" s="55">
        <f t="shared" si="5"/>
        <v>0</v>
      </c>
      <c r="I91" s="65">
        <v>45023</v>
      </c>
      <c r="J91" s="2" t="s">
        <v>51</v>
      </c>
    </row>
    <row r="92" spans="1:10" ht="19.5" customHeight="1" x14ac:dyDescent="0.35">
      <c r="A92" s="76" t="s">
        <v>898</v>
      </c>
      <c r="B92" s="77">
        <v>44901</v>
      </c>
      <c r="C92" s="78" t="s">
        <v>1018</v>
      </c>
      <c r="D92" s="58">
        <v>1380000</v>
      </c>
      <c r="E92" s="58">
        <f t="shared" si="4"/>
        <v>110400</v>
      </c>
      <c r="F92" s="79">
        <f t="shared" si="3"/>
        <v>1490400</v>
      </c>
      <c r="G92" s="54">
        <v>1490400</v>
      </c>
      <c r="H92" s="55">
        <f t="shared" si="5"/>
        <v>0</v>
      </c>
      <c r="I92" s="65">
        <v>44918</v>
      </c>
    </row>
    <row r="93" spans="1:10" ht="19.5" customHeight="1" x14ac:dyDescent="0.35">
      <c r="A93" s="76" t="s">
        <v>1019</v>
      </c>
      <c r="B93" s="77">
        <v>44895</v>
      </c>
      <c r="C93" s="78" t="s">
        <v>1020</v>
      </c>
      <c r="D93" s="58">
        <v>3592000</v>
      </c>
      <c r="E93" s="58">
        <f t="shared" si="4"/>
        <v>287360</v>
      </c>
      <c r="F93" s="79">
        <f t="shared" si="3"/>
        <v>3879360</v>
      </c>
      <c r="G93" s="54">
        <v>3879360</v>
      </c>
      <c r="H93" s="55">
        <f t="shared" si="5"/>
        <v>0</v>
      </c>
      <c r="I93" s="65">
        <v>44918</v>
      </c>
    </row>
    <row r="94" spans="1:10" ht="19.5" customHeight="1" x14ac:dyDescent="0.35">
      <c r="A94" s="76" t="s">
        <v>957</v>
      </c>
      <c r="B94" s="77">
        <v>44924</v>
      </c>
      <c r="C94" s="78" t="s">
        <v>1021</v>
      </c>
      <c r="D94" s="58">
        <v>2000000</v>
      </c>
      <c r="E94" s="58">
        <f t="shared" si="4"/>
        <v>160000</v>
      </c>
      <c r="F94" s="79">
        <f t="shared" si="3"/>
        <v>2160000</v>
      </c>
      <c r="G94" s="54">
        <v>2160000</v>
      </c>
      <c r="H94" s="55">
        <f t="shared" si="5"/>
        <v>0</v>
      </c>
      <c r="I94" s="65">
        <v>44981</v>
      </c>
    </row>
    <row r="95" spans="1:10" ht="19.5" customHeight="1" x14ac:dyDescent="0.35">
      <c r="A95" s="76" t="s">
        <v>1022</v>
      </c>
      <c r="B95" s="77">
        <v>44925</v>
      </c>
      <c r="C95" s="78" t="s">
        <v>1023</v>
      </c>
      <c r="D95" s="58">
        <v>29072000</v>
      </c>
      <c r="E95" s="58">
        <f t="shared" si="4"/>
        <v>2325760</v>
      </c>
      <c r="F95" s="79">
        <f t="shared" si="3"/>
        <v>31397760</v>
      </c>
      <c r="G95" s="54">
        <v>31397760</v>
      </c>
      <c r="H95" s="55">
        <f t="shared" si="5"/>
        <v>0</v>
      </c>
      <c r="I95" s="65">
        <v>45023</v>
      </c>
      <c r="J95" s="2" t="s">
        <v>51</v>
      </c>
    </row>
    <row r="96" spans="1:10" ht="19.5" customHeight="1" x14ac:dyDescent="0.35">
      <c r="A96" s="76" t="s">
        <v>961</v>
      </c>
      <c r="B96" s="77">
        <v>44915</v>
      </c>
      <c r="C96" s="78" t="s">
        <v>1024</v>
      </c>
      <c r="D96" s="58">
        <v>4102000</v>
      </c>
      <c r="E96" s="58">
        <f t="shared" si="4"/>
        <v>328160</v>
      </c>
      <c r="F96" s="79">
        <f t="shared" si="3"/>
        <v>4430160</v>
      </c>
      <c r="G96" s="54">
        <v>4430160</v>
      </c>
      <c r="H96" s="55">
        <f t="shared" si="5"/>
        <v>0</v>
      </c>
      <c r="I96" s="65">
        <v>44943</v>
      </c>
    </row>
    <row r="97" spans="1:10" ht="19.5" customHeight="1" x14ac:dyDescent="0.35">
      <c r="A97" s="76" t="s">
        <v>1025</v>
      </c>
      <c r="B97" s="77">
        <v>44914</v>
      </c>
      <c r="C97" s="78" t="s">
        <v>1026</v>
      </c>
      <c r="D97" s="58">
        <v>67000</v>
      </c>
      <c r="E97" s="58">
        <f t="shared" si="4"/>
        <v>5360</v>
      </c>
      <c r="F97" s="79">
        <f t="shared" si="3"/>
        <v>72360</v>
      </c>
      <c r="G97" s="79">
        <v>72360</v>
      </c>
      <c r="H97" s="55">
        <f t="shared" si="5"/>
        <v>0</v>
      </c>
      <c r="I97" s="65">
        <v>45023</v>
      </c>
      <c r="J97" s="2" t="s">
        <v>51</v>
      </c>
    </row>
    <row r="98" spans="1:10" ht="19.5" customHeight="1" x14ac:dyDescent="0.35">
      <c r="A98" s="76" t="s">
        <v>1027</v>
      </c>
      <c r="B98" s="77">
        <v>44957</v>
      </c>
      <c r="C98" s="78" t="s">
        <v>1028</v>
      </c>
      <c r="D98" s="58">
        <v>28110000</v>
      </c>
      <c r="E98" s="58">
        <f t="shared" si="4"/>
        <v>2248800</v>
      </c>
      <c r="F98" s="79">
        <f t="shared" si="3"/>
        <v>30358800</v>
      </c>
      <c r="G98" s="54">
        <v>30358800</v>
      </c>
      <c r="H98" s="55">
        <f t="shared" si="5"/>
        <v>0</v>
      </c>
      <c r="I98" s="65">
        <v>45023</v>
      </c>
      <c r="J98" s="2" t="s">
        <v>51</v>
      </c>
    </row>
    <row r="99" spans="1:10" ht="19.5" customHeight="1" x14ac:dyDescent="0.35">
      <c r="A99" s="76" t="s">
        <v>909</v>
      </c>
      <c r="B99" s="77">
        <v>44917</v>
      </c>
      <c r="C99" s="78" t="s">
        <v>1029</v>
      </c>
      <c r="D99" s="58">
        <v>143000</v>
      </c>
      <c r="E99" s="58">
        <f t="shared" si="4"/>
        <v>11440</v>
      </c>
      <c r="F99" s="79">
        <f t="shared" si="3"/>
        <v>154440</v>
      </c>
      <c r="G99" s="54">
        <v>154440</v>
      </c>
      <c r="H99" s="55">
        <f t="shared" si="5"/>
        <v>0</v>
      </c>
      <c r="I99" s="65">
        <v>44944</v>
      </c>
    </row>
    <row r="100" spans="1:10" ht="19.5" customHeight="1" x14ac:dyDescent="0.35">
      <c r="A100" s="76" t="s">
        <v>1030</v>
      </c>
      <c r="B100" s="77">
        <v>44960</v>
      </c>
      <c r="C100" s="78" t="s">
        <v>1031</v>
      </c>
      <c r="D100" s="58">
        <v>8407500</v>
      </c>
      <c r="E100" s="58">
        <f t="shared" si="4"/>
        <v>672600</v>
      </c>
      <c r="F100" s="79">
        <f t="shared" si="3"/>
        <v>9080100</v>
      </c>
      <c r="G100" s="54">
        <v>9080100</v>
      </c>
      <c r="H100" s="55">
        <f t="shared" si="5"/>
        <v>0</v>
      </c>
      <c r="I100" s="65">
        <v>45023</v>
      </c>
      <c r="J100" s="2" t="s">
        <v>51</v>
      </c>
    </row>
    <row r="101" spans="1:10" ht="19.5" customHeight="1" x14ac:dyDescent="0.35">
      <c r="A101" s="76" t="s">
        <v>1008</v>
      </c>
      <c r="B101" s="77">
        <v>44960</v>
      </c>
      <c r="C101" s="78" t="s">
        <v>1032</v>
      </c>
      <c r="D101" s="58">
        <v>13778400</v>
      </c>
      <c r="E101" s="58">
        <f t="shared" si="4"/>
        <v>1102272</v>
      </c>
      <c r="F101" s="79">
        <f t="shared" si="3"/>
        <v>14880672</v>
      </c>
      <c r="G101" s="54">
        <v>14880672</v>
      </c>
      <c r="H101" s="55">
        <f t="shared" si="5"/>
        <v>0</v>
      </c>
      <c r="I101" s="65">
        <v>44981</v>
      </c>
    </row>
    <row r="102" spans="1:10" ht="19.5" customHeight="1" x14ac:dyDescent="0.35">
      <c r="A102" s="76" t="s">
        <v>943</v>
      </c>
      <c r="B102" s="77">
        <v>44960</v>
      </c>
      <c r="C102" s="78" t="s">
        <v>1033</v>
      </c>
      <c r="D102" s="58">
        <v>280000</v>
      </c>
      <c r="E102" s="58">
        <f>+D102*0.1</f>
        <v>28000</v>
      </c>
      <c r="F102" s="79">
        <f t="shared" si="3"/>
        <v>308000</v>
      </c>
      <c r="G102" s="54">
        <v>308000</v>
      </c>
      <c r="H102" s="55">
        <f t="shared" si="5"/>
        <v>0</v>
      </c>
      <c r="I102" s="65">
        <v>45023</v>
      </c>
      <c r="J102" s="2" t="s">
        <v>51</v>
      </c>
    </row>
    <row r="103" spans="1:10" ht="19.5" customHeight="1" x14ac:dyDescent="0.35">
      <c r="A103" s="76" t="s">
        <v>943</v>
      </c>
      <c r="B103" s="77">
        <v>44960</v>
      </c>
      <c r="C103" s="78" t="s">
        <v>880</v>
      </c>
      <c r="D103" s="58">
        <v>909000</v>
      </c>
      <c r="E103" s="58">
        <f t="shared" si="4"/>
        <v>72720</v>
      </c>
      <c r="F103" s="79">
        <f t="shared" si="3"/>
        <v>981720</v>
      </c>
      <c r="G103" s="54">
        <v>981720</v>
      </c>
      <c r="H103" s="55">
        <f t="shared" si="5"/>
        <v>0</v>
      </c>
      <c r="I103" s="65">
        <v>45023</v>
      </c>
      <c r="J103" s="2" t="s">
        <v>51</v>
      </c>
    </row>
    <row r="104" spans="1:10" ht="19.5" customHeight="1" x14ac:dyDescent="0.35">
      <c r="A104" s="76" t="s">
        <v>1019</v>
      </c>
      <c r="B104" s="77">
        <v>44960</v>
      </c>
      <c r="C104" s="78" t="s">
        <v>1034</v>
      </c>
      <c r="D104" s="58">
        <v>4211100</v>
      </c>
      <c r="E104" s="58">
        <f t="shared" si="4"/>
        <v>336888</v>
      </c>
      <c r="F104" s="79">
        <f t="shared" si="3"/>
        <v>4547988</v>
      </c>
      <c r="G104" s="54">
        <v>4547988</v>
      </c>
      <c r="H104" s="55">
        <f t="shared" si="5"/>
        <v>0</v>
      </c>
      <c r="I104" s="65">
        <v>45023</v>
      </c>
      <c r="J104" s="2" t="s">
        <v>51</v>
      </c>
    </row>
    <row r="105" spans="1:10" ht="19.5" customHeight="1" x14ac:dyDescent="0.35">
      <c r="A105" s="76" t="s">
        <v>1035</v>
      </c>
      <c r="B105" s="77">
        <v>44959</v>
      </c>
      <c r="C105" s="78" t="s">
        <v>1036</v>
      </c>
      <c r="D105" s="58">
        <v>25882200</v>
      </c>
      <c r="E105" s="58">
        <f t="shared" si="4"/>
        <v>2070576</v>
      </c>
      <c r="F105" s="79">
        <f t="shared" si="3"/>
        <v>27952776</v>
      </c>
      <c r="G105" s="54">
        <v>27952776</v>
      </c>
      <c r="H105" s="55">
        <f t="shared" si="5"/>
        <v>0</v>
      </c>
      <c r="I105" s="65">
        <v>45023</v>
      </c>
      <c r="J105" s="2" t="s">
        <v>51</v>
      </c>
    </row>
    <row r="106" spans="1:10" ht="19.5" customHeight="1" x14ac:dyDescent="0.35">
      <c r="A106" s="76" t="s">
        <v>1037</v>
      </c>
      <c r="B106" s="77">
        <v>44959</v>
      </c>
      <c r="C106" s="78" t="s">
        <v>1038</v>
      </c>
      <c r="D106" s="58">
        <v>55094000</v>
      </c>
      <c r="E106" s="58">
        <f t="shared" si="4"/>
        <v>4407520</v>
      </c>
      <c r="F106" s="79">
        <f t="shared" si="3"/>
        <v>59501520</v>
      </c>
      <c r="G106" s="54">
        <v>59501520</v>
      </c>
      <c r="H106" s="55">
        <f>+F106-G106</f>
        <v>0</v>
      </c>
      <c r="I106" s="65">
        <v>44981</v>
      </c>
    </row>
    <row r="107" spans="1:10" ht="19.5" customHeight="1" x14ac:dyDescent="0.35">
      <c r="A107" s="76" t="s">
        <v>998</v>
      </c>
      <c r="B107" s="77">
        <v>44959</v>
      </c>
      <c r="C107" s="78" t="s">
        <v>1039</v>
      </c>
      <c r="D107" s="58">
        <v>2200000</v>
      </c>
      <c r="E107" s="58">
        <f t="shared" si="4"/>
        <v>176000</v>
      </c>
      <c r="F107" s="79">
        <f t="shared" si="3"/>
        <v>2376000</v>
      </c>
      <c r="G107" s="54">
        <v>2376000</v>
      </c>
      <c r="H107" s="55">
        <f t="shared" si="5"/>
        <v>0</v>
      </c>
      <c r="I107" s="65">
        <v>45023</v>
      </c>
      <c r="J107" s="2" t="s">
        <v>51</v>
      </c>
    </row>
    <row r="108" spans="1:10" ht="19.5" customHeight="1" x14ac:dyDescent="0.35">
      <c r="A108" s="76" t="s">
        <v>1040</v>
      </c>
      <c r="B108" s="77">
        <v>44960</v>
      </c>
      <c r="C108" s="78" t="s">
        <v>1041</v>
      </c>
      <c r="D108" s="58">
        <v>10292100</v>
      </c>
      <c r="E108" s="58">
        <f t="shared" si="4"/>
        <v>823368</v>
      </c>
      <c r="F108" s="79">
        <f t="shared" si="3"/>
        <v>11115468</v>
      </c>
      <c r="G108" s="54">
        <v>11115468</v>
      </c>
      <c r="H108" s="55">
        <f t="shared" si="5"/>
        <v>0</v>
      </c>
      <c r="I108" s="65">
        <v>45023</v>
      </c>
      <c r="J108" s="2" t="s">
        <v>51</v>
      </c>
    </row>
    <row r="109" spans="1:10" ht="19.5" customHeight="1" x14ac:dyDescent="0.35">
      <c r="A109" s="76" t="s">
        <v>1042</v>
      </c>
      <c r="B109" s="77">
        <v>44960</v>
      </c>
      <c r="C109" s="78" t="s">
        <v>1043</v>
      </c>
      <c r="D109" s="58">
        <v>60037900</v>
      </c>
      <c r="E109" s="58">
        <f t="shared" si="4"/>
        <v>4803032</v>
      </c>
      <c r="F109" s="79">
        <f t="shared" si="3"/>
        <v>64840932</v>
      </c>
      <c r="G109" s="54">
        <v>64840932</v>
      </c>
      <c r="H109" s="55">
        <f t="shared" si="5"/>
        <v>0</v>
      </c>
      <c r="I109" s="65">
        <v>44981</v>
      </c>
    </row>
    <row r="110" spans="1:10" ht="19.5" customHeight="1" x14ac:dyDescent="0.35">
      <c r="A110" s="76" t="s">
        <v>941</v>
      </c>
      <c r="B110" s="77">
        <v>44960</v>
      </c>
      <c r="C110" s="78" t="s">
        <v>1044</v>
      </c>
      <c r="D110" s="58">
        <v>18150500</v>
      </c>
      <c r="E110" s="58">
        <f t="shared" si="4"/>
        <v>1452040</v>
      </c>
      <c r="F110" s="79">
        <f t="shared" si="3"/>
        <v>19602540</v>
      </c>
      <c r="G110" s="54">
        <v>19602540</v>
      </c>
      <c r="H110" s="55">
        <f t="shared" si="5"/>
        <v>0</v>
      </c>
      <c r="I110" s="65">
        <v>45023</v>
      </c>
      <c r="J110" s="2" t="s">
        <v>51</v>
      </c>
    </row>
    <row r="111" spans="1:10" ht="19.5" customHeight="1" x14ac:dyDescent="0.35">
      <c r="A111" s="76" t="s">
        <v>874</v>
      </c>
      <c r="B111" s="77">
        <v>44961</v>
      </c>
      <c r="C111" s="78" t="s">
        <v>1045</v>
      </c>
      <c r="D111" s="58">
        <v>6106500</v>
      </c>
      <c r="E111" s="58">
        <f t="shared" si="4"/>
        <v>488520</v>
      </c>
      <c r="F111" s="79">
        <f t="shared" si="3"/>
        <v>6595020</v>
      </c>
      <c r="G111" s="54">
        <v>6595020</v>
      </c>
      <c r="H111" s="55">
        <f t="shared" si="5"/>
        <v>0</v>
      </c>
      <c r="I111" s="65">
        <v>45023</v>
      </c>
      <c r="J111" s="2" t="s">
        <v>51</v>
      </c>
    </row>
    <row r="112" spans="1:10" ht="19.5" customHeight="1" x14ac:dyDescent="0.35">
      <c r="A112" s="76" t="s">
        <v>1006</v>
      </c>
      <c r="B112" s="77">
        <v>44961</v>
      </c>
      <c r="C112" s="78" t="s">
        <v>1046</v>
      </c>
      <c r="D112" s="58">
        <v>10943500</v>
      </c>
      <c r="E112" s="58">
        <f>+D112*0.1</f>
        <v>1094350</v>
      </c>
      <c r="F112" s="79">
        <f t="shared" si="3"/>
        <v>12037850</v>
      </c>
      <c r="G112" s="54">
        <v>12037850</v>
      </c>
      <c r="H112" s="55">
        <f t="shared" si="5"/>
        <v>0</v>
      </c>
      <c r="I112" s="65">
        <v>45023</v>
      </c>
      <c r="J112" s="2" t="s">
        <v>51</v>
      </c>
    </row>
    <row r="113" spans="1:10" ht="19.5" customHeight="1" x14ac:dyDescent="0.35">
      <c r="A113" s="76" t="s">
        <v>1000</v>
      </c>
      <c r="B113" s="77">
        <v>44961</v>
      </c>
      <c r="C113" s="78" t="s">
        <v>1047</v>
      </c>
      <c r="D113" s="58">
        <v>3721500</v>
      </c>
      <c r="E113" s="58">
        <f t="shared" si="4"/>
        <v>297720</v>
      </c>
      <c r="F113" s="79">
        <f t="shared" si="3"/>
        <v>4019220</v>
      </c>
      <c r="G113" s="54">
        <v>4019220</v>
      </c>
      <c r="H113" s="55">
        <f t="shared" si="5"/>
        <v>0</v>
      </c>
      <c r="I113" s="65">
        <v>45023</v>
      </c>
      <c r="J113" s="2" t="s">
        <v>51</v>
      </c>
    </row>
    <row r="114" spans="1:10" ht="19.5" customHeight="1" x14ac:dyDescent="0.35">
      <c r="A114" s="76" t="s">
        <v>914</v>
      </c>
      <c r="B114" s="77">
        <v>44961</v>
      </c>
      <c r="C114" s="78" t="s">
        <v>1048</v>
      </c>
      <c r="D114" s="58">
        <v>2673800</v>
      </c>
      <c r="E114" s="58">
        <f t="shared" si="4"/>
        <v>213904</v>
      </c>
      <c r="F114" s="79">
        <f t="shared" si="3"/>
        <v>2887704</v>
      </c>
      <c r="G114" s="54">
        <v>2887704</v>
      </c>
      <c r="H114" s="55">
        <f t="shared" si="5"/>
        <v>0</v>
      </c>
      <c r="I114" s="65">
        <v>45023</v>
      </c>
      <c r="J114" s="2" t="s">
        <v>51</v>
      </c>
    </row>
    <row r="115" spans="1:10" ht="19.5" customHeight="1" x14ac:dyDescent="0.35">
      <c r="A115" s="76" t="s">
        <v>978</v>
      </c>
      <c r="B115" s="77">
        <v>44930</v>
      </c>
      <c r="C115" s="78" t="s">
        <v>1049</v>
      </c>
      <c r="D115" s="58">
        <v>5958000</v>
      </c>
      <c r="E115" s="58">
        <f t="shared" si="4"/>
        <v>476640</v>
      </c>
      <c r="F115" s="79">
        <f t="shared" si="3"/>
        <v>6434640</v>
      </c>
      <c r="G115" s="54">
        <v>6434640</v>
      </c>
      <c r="H115" s="55">
        <f t="shared" si="5"/>
        <v>0</v>
      </c>
      <c r="I115" s="65">
        <v>44959</v>
      </c>
    </row>
    <row r="116" spans="1:10" ht="19.5" customHeight="1" x14ac:dyDescent="0.35">
      <c r="A116" s="76" t="s">
        <v>918</v>
      </c>
      <c r="B116" s="77">
        <v>44914</v>
      </c>
      <c r="C116" s="78" t="s">
        <v>1050</v>
      </c>
      <c r="D116" s="58">
        <v>542400</v>
      </c>
      <c r="E116" s="58">
        <f t="shared" si="4"/>
        <v>43392</v>
      </c>
      <c r="F116" s="79">
        <f t="shared" si="3"/>
        <v>585792</v>
      </c>
      <c r="G116" s="54">
        <v>585792</v>
      </c>
      <c r="H116" s="55">
        <f t="shared" si="5"/>
        <v>0</v>
      </c>
      <c r="I116" s="65">
        <v>44959</v>
      </c>
    </row>
    <row r="117" spans="1:10" ht="19.5" customHeight="1" x14ac:dyDescent="0.35">
      <c r="A117" s="76" t="s">
        <v>1051</v>
      </c>
      <c r="B117" s="77">
        <v>44964</v>
      </c>
      <c r="C117" s="78" t="s">
        <v>1052</v>
      </c>
      <c r="D117" s="58">
        <v>2029400</v>
      </c>
      <c r="E117" s="58">
        <f>+D117*0.1</f>
        <v>202940</v>
      </c>
      <c r="F117" s="79">
        <f t="shared" si="3"/>
        <v>2232340</v>
      </c>
      <c r="G117" s="54">
        <v>2232340</v>
      </c>
      <c r="H117" s="55">
        <f t="shared" si="5"/>
        <v>0</v>
      </c>
      <c r="I117" s="65">
        <v>44981</v>
      </c>
    </row>
    <row r="118" spans="1:10" ht="19.5" customHeight="1" x14ac:dyDescent="0.35">
      <c r="A118" s="76" t="s">
        <v>1040</v>
      </c>
      <c r="B118" s="77">
        <v>44963</v>
      </c>
      <c r="C118" s="78" t="s">
        <v>1053</v>
      </c>
      <c r="D118" s="58">
        <v>1132000</v>
      </c>
      <c r="E118" s="58">
        <f t="shared" si="4"/>
        <v>90560</v>
      </c>
      <c r="F118" s="79">
        <f t="shared" si="3"/>
        <v>1222560</v>
      </c>
      <c r="G118" s="54">
        <v>1222560</v>
      </c>
      <c r="H118" s="55">
        <f t="shared" si="5"/>
        <v>0</v>
      </c>
      <c r="I118" s="65">
        <v>45023</v>
      </c>
      <c r="J118" s="2" t="s">
        <v>51</v>
      </c>
    </row>
    <row r="119" spans="1:10" ht="19.5" customHeight="1" x14ac:dyDescent="0.35">
      <c r="A119" s="76" t="s">
        <v>1016</v>
      </c>
      <c r="B119" s="77">
        <v>44964</v>
      </c>
      <c r="C119" s="78" t="s">
        <v>1054</v>
      </c>
      <c r="D119" s="58">
        <v>3725500</v>
      </c>
      <c r="E119" s="58">
        <f>+D119*0.1</f>
        <v>372550</v>
      </c>
      <c r="F119" s="79">
        <f t="shared" si="3"/>
        <v>4098050</v>
      </c>
      <c r="G119" s="54">
        <v>4098050</v>
      </c>
      <c r="H119" s="55">
        <f t="shared" si="5"/>
        <v>0</v>
      </c>
      <c r="I119" s="65">
        <v>45023</v>
      </c>
      <c r="J119" s="2" t="s">
        <v>51</v>
      </c>
    </row>
    <row r="120" spans="1:10" ht="19.5" customHeight="1" x14ac:dyDescent="0.35">
      <c r="A120" s="76" t="s">
        <v>1055</v>
      </c>
      <c r="B120" s="77">
        <v>44964</v>
      </c>
      <c r="C120" s="78" t="s">
        <v>1056</v>
      </c>
      <c r="D120" s="58">
        <v>17638500</v>
      </c>
      <c r="E120" s="58">
        <f>+D120*0.08</f>
        <v>1411080</v>
      </c>
      <c r="F120" s="79">
        <f t="shared" si="3"/>
        <v>19049580</v>
      </c>
      <c r="G120" s="54">
        <v>19049580</v>
      </c>
      <c r="H120" s="55">
        <f t="shared" si="5"/>
        <v>0</v>
      </c>
      <c r="I120" s="65">
        <v>45023</v>
      </c>
      <c r="J120" s="2" t="s">
        <v>51</v>
      </c>
    </row>
    <row r="121" spans="1:10" ht="19.5" customHeight="1" x14ac:dyDescent="0.35">
      <c r="A121" s="76" t="s">
        <v>871</v>
      </c>
      <c r="B121" s="77">
        <v>44963</v>
      </c>
      <c r="C121" s="78" t="s">
        <v>1057</v>
      </c>
      <c r="D121" s="58">
        <v>2413200</v>
      </c>
      <c r="E121" s="58">
        <f>+D121*0.08</f>
        <v>193056</v>
      </c>
      <c r="F121" s="79">
        <f t="shared" si="3"/>
        <v>2606256</v>
      </c>
      <c r="G121" s="54">
        <v>2606256</v>
      </c>
      <c r="H121" s="55">
        <f t="shared" si="5"/>
        <v>0</v>
      </c>
      <c r="I121" s="65">
        <v>45023</v>
      </c>
      <c r="J121" s="2" t="s">
        <v>51</v>
      </c>
    </row>
    <row r="122" spans="1:10" ht="19.5" customHeight="1" x14ac:dyDescent="0.35">
      <c r="A122" s="76" t="s">
        <v>1058</v>
      </c>
      <c r="B122" s="77">
        <v>44963</v>
      </c>
      <c r="C122" s="78" t="s">
        <v>1059</v>
      </c>
      <c r="D122" s="58">
        <v>51673500</v>
      </c>
      <c r="E122" s="58">
        <f>+D122*0.08</f>
        <v>4133880</v>
      </c>
      <c r="F122" s="79">
        <f t="shared" si="3"/>
        <v>55807380</v>
      </c>
      <c r="G122" s="54">
        <v>55807380</v>
      </c>
      <c r="H122" s="55">
        <f t="shared" si="5"/>
        <v>0</v>
      </c>
      <c r="I122" s="65">
        <v>45023</v>
      </c>
      <c r="J122" s="2" t="s">
        <v>51</v>
      </c>
    </row>
    <row r="123" spans="1:10" ht="19.5" customHeight="1" x14ac:dyDescent="0.35">
      <c r="A123" s="76" t="s">
        <v>922</v>
      </c>
      <c r="B123" s="77">
        <v>44963</v>
      </c>
      <c r="C123" s="78" t="s">
        <v>1060</v>
      </c>
      <c r="D123" s="58">
        <v>3032500</v>
      </c>
      <c r="E123" s="58">
        <f>+D123*0.08</f>
        <v>242600</v>
      </c>
      <c r="F123" s="79">
        <f t="shared" si="3"/>
        <v>3275100</v>
      </c>
      <c r="G123" s="54">
        <v>3275100</v>
      </c>
      <c r="H123" s="55">
        <f t="shared" si="5"/>
        <v>0</v>
      </c>
      <c r="I123" s="65">
        <v>45023</v>
      </c>
      <c r="J123" s="2" t="s">
        <v>51</v>
      </c>
    </row>
    <row r="124" spans="1:10" ht="19.5" customHeight="1" x14ac:dyDescent="0.35">
      <c r="A124" s="76" t="s">
        <v>911</v>
      </c>
      <c r="B124" s="77">
        <v>44963</v>
      </c>
      <c r="C124" s="78" t="s">
        <v>1061</v>
      </c>
      <c r="D124" s="58">
        <v>24112700</v>
      </c>
      <c r="E124" s="58">
        <f>+D124*0.1</f>
        <v>2411270</v>
      </c>
      <c r="F124" s="79">
        <f t="shared" si="3"/>
        <v>26523970</v>
      </c>
      <c r="G124" s="54">
        <v>26523970</v>
      </c>
      <c r="H124" s="55">
        <f t="shared" si="5"/>
        <v>0</v>
      </c>
      <c r="I124" s="65">
        <v>45023</v>
      </c>
      <c r="J124" s="2" t="s">
        <v>51</v>
      </c>
    </row>
    <row r="125" spans="1:10" ht="19.5" customHeight="1" x14ac:dyDescent="0.35">
      <c r="A125" s="76" t="s">
        <v>1011</v>
      </c>
      <c r="B125" s="77">
        <v>44964</v>
      </c>
      <c r="C125" s="78" t="s">
        <v>1062</v>
      </c>
      <c r="D125" s="58">
        <v>6546600</v>
      </c>
      <c r="E125" s="58">
        <f>+D125*0.08</f>
        <v>523728</v>
      </c>
      <c r="F125" s="79">
        <f t="shared" si="3"/>
        <v>7070328</v>
      </c>
      <c r="G125" s="54">
        <v>7070328</v>
      </c>
      <c r="H125" s="55">
        <f t="shared" si="5"/>
        <v>0</v>
      </c>
      <c r="I125" s="65">
        <v>44981</v>
      </c>
    </row>
    <row r="126" spans="1:10" ht="19.5" customHeight="1" x14ac:dyDescent="0.35">
      <c r="A126" s="76" t="s">
        <v>1063</v>
      </c>
      <c r="B126" s="77">
        <v>44965</v>
      </c>
      <c r="C126" s="78" t="s">
        <v>1064</v>
      </c>
      <c r="D126" s="58">
        <v>4851000</v>
      </c>
      <c r="E126" s="58">
        <f>+D126*0.1</f>
        <v>485100</v>
      </c>
      <c r="F126" s="79">
        <f>+E126+D126</f>
        <v>5336100</v>
      </c>
      <c r="G126" s="54">
        <v>5336100</v>
      </c>
      <c r="H126" s="55">
        <f t="shared" si="5"/>
        <v>0</v>
      </c>
      <c r="I126" s="65">
        <v>45023</v>
      </c>
      <c r="J126" s="2" t="s">
        <v>51</v>
      </c>
    </row>
    <row r="127" spans="1:10" ht="19.5" customHeight="1" x14ac:dyDescent="0.35">
      <c r="A127" s="76" t="s">
        <v>1065</v>
      </c>
      <c r="B127" s="77">
        <v>44965</v>
      </c>
      <c r="C127" s="78" t="s">
        <v>1066</v>
      </c>
      <c r="D127" s="58">
        <v>14386800</v>
      </c>
      <c r="E127" s="58">
        <f t="shared" ref="E127:E143" si="6">+D127*0.1</f>
        <v>1438680</v>
      </c>
      <c r="F127" s="79">
        <f t="shared" ref="F127:F163" si="7">+E127+D127</f>
        <v>15825480</v>
      </c>
      <c r="G127" s="54">
        <v>15825480</v>
      </c>
      <c r="H127" s="55">
        <f t="shared" si="5"/>
        <v>0</v>
      </c>
      <c r="I127" s="65">
        <v>45023</v>
      </c>
      <c r="J127" s="2" t="s">
        <v>51</v>
      </c>
    </row>
    <row r="128" spans="1:10" ht="19.5" customHeight="1" x14ac:dyDescent="0.35">
      <c r="A128" s="76" t="s">
        <v>918</v>
      </c>
      <c r="B128" s="77">
        <v>44965</v>
      </c>
      <c r="C128" s="78" t="s">
        <v>1067</v>
      </c>
      <c r="D128" s="58">
        <v>10336700</v>
      </c>
      <c r="E128" s="58">
        <f>+D128*0.08</f>
        <v>826936</v>
      </c>
      <c r="F128" s="79">
        <f t="shared" si="7"/>
        <v>11163636</v>
      </c>
      <c r="G128" s="54">
        <v>11163636</v>
      </c>
      <c r="H128" s="55">
        <f t="shared" si="5"/>
        <v>0</v>
      </c>
      <c r="I128" s="65">
        <v>45023</v>
      </c>
      <c r="J128" s="2" t="s">
        <v>51</v>
      </c>
    </row>
    <row r="129" spans="1:10" ht="19.5" customHeight="1" x14ac:dyDescent="0.35">
      <c r="A129" s="76" t="s">
        <v>918</v>
      </c>
      <c r="B129" s="77">
        <v>44965</v>
      </c>
      <c r="C129" s="78" t="s">
        <v>1068</v>
      </c>
      <c r="D129" s="58">
        <v>5223000</v>
      </c>
      <c r="E129" s="58">
        <f t="shared" si="6"/>
        <v>522300</v>
      </c>
      <c r="F129" s="79">
        <f t="shared" si="7"/>
        <v>5745300</v>
      </c>
      <c r="G129" s="54">
        <v>5745300</v>
      </c>
      <c r="H129" s="55">
        <f t="shared" si="5"/>
        <v>0</v>
      </c>
      <c r="I129" s="65">
        <v>45023</v>
      </c>
      <c r="J129" s="2" t="s">
        <v>51</v>
      </c>
    </row>
    <row r="130" spans="1:10" ht="19.5" customHeight="1" x14ac:dyDescent="0.35">
      <c r="A130" s="76" t="s">
        <v>914</v>
      </c>
      <c r="B130" s="77">
        <v>44965</v>
      </c>
      <c r="C130" s="78" t="s">
        <v>1033</v>
      </c>
      <c r="D130" s="58">
        <v>26596700</v>
      </c>
      <c r="E130" s="58">
        <f>+D130*0.08</f>
        <v>2127736</v>
      </c>
      <c r="F130" s="79">
        <f t="shared" si="7"/>
        <v>28724436</v>
      </c>
      <c r="G130" s="54">
        <v>28724436</v>
      </c>
      <c r="H130" s="55">
        <f t="shared" si="5"/>
        <v>0</v>
      </c>
      <c r="I130" s="65">
        <v>45023</v>
      </c>
      <c r="J130" s="2" t="s">
        <v>51</v>
      </c>
    </row>
    <row r="131" spans="1:10" ht="19.5" customHeight="1" x14ac:dyDescent="0.35">
      <c r="A131" s="76" t="s">
        <v>1069</v>
      </c>
      <c r="B131" s="77">
        <v>44964</v>
      </c>
      <c r="C131" s="78" t="s">
        <v>1036</v>
      </c>
      <c r="D131" s="58">
        <v>37369000</v>
      </c>
      <c r="E131" s="58">
        <f>+D131*0.08</f>
        <v>2989520</v>
      </c>
      <c r="F131" s="79">
        <f t="shared" si="7"/>
        <v>40358520</v>
      </c>
      <c r="G131" s="54">
        <v>40358520</v>
      </c>
      <c r="H131" s="55">
        <f t="shared" si="5"/>
        <v>0</v>
      </c>
      <c r="I131" s="65">
        <v>45023</v>
      </c>
      <c r="J131" s="2" t="s">
        <v>51</v>
      </c>
    </row>
    <row r="132" spans="1:10" ht="19.5" customHeight="1" x14ac:dyDescent="0.35">
      <c r="A132" s="76" t="s">
        <v>1069</v>
      </c>
      <c r="B132" s="77">
        <v>44964</v>
      </c>
      <c r="C132" s="78" t="s">
        <v>949</v>
      </c>
      <c r="D132" s="58">
        <v>20847500</v>
      </c>
      <c r="E132" s="58">
        <f>+D132*0.08</f>
        <v>1667800</v>
      </c>
      <c r="F132" s="79">
        <f t="shared" si="7"/>
        <v>22515300</v>
      </c>
      <c r="G132" s="54">
        <v>22515300</v>
      </c>
      <c r="H132" s="55">
        <f t="shared" si="5"/>
        <v>0</v>
      </c>
      <c r="I132" s="65">
        <v>45023</v>
      </c>
      <c r="J132" s="2" t="s">
        <v>51</v>
      </c>
    </row>
    <row r="133" spans="1:10" ht="19.5" customHeight="1" x14ac:dyDescent="0.35">
      <c r="A133" s="76" t="s">
        <v>1070</v>
      </c>
      <c r="B133" s="77">
        <v>44966</v>
      </c>
      <c r="C133" s="78" t="s">
        <v>1071</v>
      </c>
      <c r="D133" s="58">
        <v>2777400</v>
      </c>
      <c r="E133" s="58">
        <f t="shared" si="6"/>
        <v>277740</v>
      </c>
      <c r="F133" s="79">
        <f t="shared" si="7"/>
        <v>3055140</v>
      </c>
      <c r="G133" s="54">
        <v>3055140</v>
      </c>
      <c r="H133" s="55">
        <f t="shared" si="5"/>
        <v>0</v>
      </c>
      <c r="I133" s="65">
        <v>44981</v>
      </c>
    </row>
    <row r="134" spans="1:10" ht="19.5" customHeight="1" x14ac:dyDescent="0.35">
      <c r="A134" s="76" t="s">
        <v>909</v>
      </c>
      <c r="B134" s="77">
        <v>44965</v>
      </c>
      <c r="C134" s="78" t="s">
        <v>1072</v>
      </c>
      <c r="D134" s="58">
        <v>572000</v>
      </c>
      <c r="E134" s="58">
        <f>+D134*0.08</f>
        <v>45760</v>
      </c>
      <c r="F134" s="79">
        <f t="shared" si="7"/>
        <v>617760</v>
      </c>
      <c r="G134" s="54">
        <v>617760</v>
      </c>
      <c r="H134" s="55">
        <f t="shared" si="5"/>
        <v>0</v>
      </c>
      <c r="I134" s="65">
        <v>44981</v>
      </c>
    </row>
    <row r="135" spans="1:10" ht="19.5" customHeight="1" x14ac:dyDescent="0.35">
      <c r="A135" s="76" t="s">
        <v>1070</v>
      </c>
      <c r="B135" s="77">
        <v>44966</v>
      </c>
      <c r="C135" s="78" t="s">
        <v>1073</v>
      </c>
      <c r="D135" s="58">
        <v>12502400</v>
      </c>
      <c r="E135" s="58">
        <f>+D135*0.08</f>
        <v>1000192</v>
      </c>
      <c r="F135" s="79">
        <f t="shared" si="7"/>
        <v>13502592</v>
      </c>
      <c r="G135" s="54">
        <v>13502592</v>
      </c>
      <c r="H135" s="55">
        <f t="shared" si="5"/>
        <v>0</v>
      </c>
      <c r="I135" s="65">
        <v>44981</v>
      </c>
    </row>
    <row r="136" spans="1:10" ht="19.5" customHeight="1" x14ac:dyDescent="0.35">
      <c r="A136" s="76" t="s">
        <v>936</v>
      </c>
      <c r="B136" s="77">
        <v>44966</v>
      </c>
      <c r="C136" s="78" t="s">
        <v>1074</v>
      </c>
      <c r="D136" s="58">
        <v>23163600</v>
      </c>
      <c r="E136" s="58">
        <f>+D136*0.08</f>
        <v>1853088</v>
      </c>
      <c r="F136" s="79">
        <f t="shared" si="7"/>
        <v>25016688</v>
      </c>
      <c r="G136" s="54">
        <v>25016688</v>
      </c>
      <c r="H136" s="55">
        <f t="shared" si="5"/>
        <v>0</v>
      </c>
      <c r="I136" s="65">
        <v>45023</v>
      </c>
      <c r="J136" s="2" t="s">
        <v>51</v>
      </c>
    </row>
    <row r="137" spans="1:10" ht="19.5" customHeight="1" x14ac:dyDescent="0.35">
      <c r="A137" s="76" t="s">
        <v>893</v>
      </c>
      <c r="B137" s="77">
        <v>44966</v>
      </c>
      <c r="C137" s="78" t="s">
        <v>1075</v>
      </c>
      <c r="D137" s="58">
        <v>402500</v>
      </c>
      <c r="E137" s="58">
        <f>+D137*0.08</f>
        <v>32200</v>
      </c>
      <c r="F137" s="79">
        <f t="shared" si="7"/>
        <v>434700</v>
      </c>
      <c r="G137" s="54">
        <v>434700</v>
      </c>
      <c r="H137" s="55">
        <f t="shared" si="5"/>
        <v>0</v>
      </c>
      <c r="I137" s="65">
        <v>45023</v>
      </c>
      <c r="J137" s="2" t="s">
        <v>51</v>
      </c>
    </row>
    <row r="138" spans="1:10" ht="19.5" customHeight="1" x14ac:dyDescent="0.35">
      <c r="A138" s="76" t="s">
        <v>1076</v>
      </c>
      <c r="B138" s="77">
        <v>44966</v>
      </c>
      <c r="C138" s="78" t="s">
        <v>1077</v>
      </c>
      <c r="D138" s="58">
        <v>3543000</v>
      </c>
      <c r="E138" s="58">
        <f t="shared" si="6"/>
        <v>354300</v>
      </c>
      <c r="F138" s="79">
        <f t="shared" si="7"/>
        <v>3897300</v>
      </c>
      <c r="G138" s="54">
        <v>3897300</v>
      </c>
      <c r="H138" s="55">
        <f t="shared" ref="H138:H201" si="8">+F138-G138</f>
        <v>0</v>
      </c>
      <c r="I138" s="65">
        <v>45023</v>
      </c>
      <c r="J138" s="2" t="s">
        <v>51</v>
      </c>
    </row>
    <row r="139" spans="1:10" ht="19.5" customHeight="1" x14ac:dyDescent="0.35">
      <c r="A139" s="76" t="s">
        <v>1019</v>
      </c>
      <c r="B139" s="77">
        <v>44965</v>
      </c>
      <c r="C139" s="78" t="s">
        <v>1039</v>
      </c>
      <c r="D139" s="58">
        <v>11880000</v>
      </c>
      <c r="E139" s="58">
        <f>+D139*0.08</f>
        <v>950400</v>
      </c>
      <c r="F139" s="79">
        <f t="shared" si="7"/>
        <v>12830400</v>
      </c>
      <c r="G139" s="54">
        <v>12830400</v>
      </c>
      <c r="H139" s="55">
        <f t="shared" si="8"/>
        <v>0</v>
      </c>
      <c r="I139" s="65">
        <v>45023</v>
      </c>
      <c r="J139" s="2" t="s">
        <v>51</v>
      </c>
    </row>
    <row r="140" spans="1:10" ht="19.5" customHeight="1" x14ac:dyDescent="0.35">
      <c r="A140" s="76" t="s">
        <v>920</v>
      </c>
      <c r="B140" s="77">
        <v>44966</v>
      </c>
      <c r="C140" s="78" t="s">
        <v>1048</v>
      </c>
      <c r="D140" s="58">
        <v>53892000</v>
      </c>
      <c r="E140" s="58">
        <f>+D140*0.08</f>
        <v>4311360</v>
      </c>
      <c r="F140" s="79">
        <f t="shared" si="7"/>
        <v>58203360</v>
      </c>
      <c r="G140" s="54">
        <v>58203360</v>
      </c>
      <c r="H140" s="55">
        <f t="shared" si="8"/>
        <v>0</v>
      </c>
      <c r="I140" s="65">
        <v>45023</v>
      </c>
      <c r="J140" s="2" t="s">
        <v>51</v>
      </c>
    </row>
    <row r="141" spans="1:10" ht="19.5" customHeight="1" x14ac:dyDescent="0.35">
      <c r="A141" s="76" t="s">
        <v>920</v>
      </c>
      <c r="B141" s="77">
        <v>44966</v>
      </c>
      <c r="C141" s="78" t="s">
        <v>1052</v>
      </c>
      <c r="D141" s="58">
        <v>2037500</v>
      </c>
      <c r="E141" s="58">
        <f t="shared" si="6"/>
        <v>203750</v>
      </c>
      <c r="F141" s="79">
        <f t="shared" si="7"/>
        <v>2241250</v>
      </c>
      <c r="G141" s="54">
        <v>2241250</v>
      </c>
      <c r="H141" s="55">
        <f t="shared" si="8"/>
        <v>0</v>
      </c>
      <c r="I141" s="65">
        <v>45023</v>
      </c>
      <c r="J141" s="2" t="s">
        <v>51</v>
      </c>
    </row>
    <row r="142" spans="1:10" ht="15.75" customHeight="1" x14ac:dyDescent="0.35">
      <c r="A142" s="76" t="s">
        <v>1078</v>
      </c>
      <c r="B142" s="77">
        <v>44966</v>
      </c>
      <c r="C142" s="78" t="s">
        <v>1043</v>
      </c>
      <c r="D142" s="58">
        <v>158000</v>
      </c>
      <c r="E142" s="58">
        <f>+D142*0.08</f>
        <v>12640</v>
      </c>
      <c r="F142" s="79">
        <f t="shared" si="7"/>
        <v>170640</v>
      </c>
      <c r="G142" s="54">
        <v>170640</v>
      </c>
      <c r="H142" s="55">
        <f t="shared" si="8"/>
        <v>0</v>
      </c>
      <c r="I142" s="65">
        <v>45023</v>
      </c>
      <c r="J142" s="2" t="s">
        <v>51</v>
      </c>
    </row>
    <row r="143" spans="1:10" ht="15.75" customHeight="1" x14ac:dyDescent="0.35">
      <c r="A143" s="76" t="s">
        <v>959</v>
      </c>
      <c r="B143" s="77">
        <v>44966</v>
      </c>
      <c r="C143" s="78" t="s">
        <v>1079</v>
      </c>
      <c r="D143" s="58">
        <v>18839600</v>
      </c>
      <c r="E143" s="58">
        <f t="shared" si="6"/>
        <v>1883960</v>
      </c>
      <c r="F143" s="79">
        <f t="shared" si="7"/>
        <v>20723560</v>
      </c>
      <c r="G143" s="54">
        <v>20723560</v>
      </c>
      <c r="H143" s="55">
        <f t="shared" si="8"/>
        <v>0</v>
      </c>
      <c r="I143" s="65">
        <v>45023</v>
      </c>
      <c r="J143" s="2" t="s">
        <v>51</v>
      </c>
    </row>
    <row r="144" spans="1:10" ht="15.75" customHeight="1" x14ac:dyDescent="0.35">
      <c r="A144" s="76" t="s">
        <v>1080</v>
      </c>
      <c r="B144" s="77">
        <v>44966</v>
      </c>
      <c r="C144" s="78" t="s">
        <v>1081</v>
      </c>
      <c r="D144" s="58">
        <v>594000</v>
      </c>
      <c r="E144" s="58">
        <f>+D144*0.08</f>
        <v>47520</v>
      </c>
      <c r="F144" s="79">
        <f t="shared" si="7"/>
        <v>641520</v>
      </c>
      <c r="G144" s="54">
        <v>641520</v>
      </c>
      <c r="H144" s="55">
        <f t="shared" si="8"/>
        <v>0</v>
      </c>
      <c r="I144" s="65">
        <v>45023</v>
      </c>
      <c r="J144" s="2" t="s">
        <v>51</v>
      </c>
    </row>
    <row r="145" spans="1:10" ht="15.75" customHeight="1" x14ac:dyDescent="0.35">
      <c r="A145" s="76" t="s">
        <v>1082</v>
      </c>
      <c r="B145" s="77">
        <v>44966</v>
      </c>
      <c r="C145" s="78" t="s">
        <v>1083</v>
      </c>
      <c r="D145" s="58">
        <v>18590500</v>
      </c>
      <c r="E145" s="58">
        <f t="shared" ref="E145:E159" si="9">+D145*0.08</f>
        <v>1487240</v>
      </c>
      <c r="F145" s="79">
        <f t="shared" si="7"/>
        <v>20077740</v>
      </c>
      <c r="G145" s="54">
        <v>20077740</v>
      </c>
      <c r="H145" s="55">
        <f t="shared" si="8"/>
        <v>0</v>
      </c>
      <c r="I145" s="65">
        <v>44981</v>
      </c>
    </row>
    <row r="146" spans="1:10" ht="15.75" customHeight="1" x14ac:dyDescent="0.35">
      <c r="A146" s="76" t="s">
        <v>905</v>
      </c>
      <c r="B146" s="77">
        <v>44966</v>
      </c>
      <c r="C146" s="78" t="s">
        <v>1084</v>
      </c>
      <c r="D146" s="58">
        <v>1237000</v>
      </c>
      <c r="E146" s="58">
        <f t="shared" si="9"/>
        <v>98960</v>
      </c>
      <c r="F146" s="79">
        <f t="shared" si="7"/>
        <v>1335960</v>
      </c>
      <c r="G146" s="54">
        <v>1335960</v>
      </c>
      <c r="H146" s="55">
        <f t="shared" si="8"/>
        <v>0</v>
      </c>
      <c r="I146" s="65">
        <v>45023</v>
      </c>
      <c r="J146" s="2" t="s">
        <v>51</v>
      </c>
    </row>
    <row r="147" spans="1:10" ht="15.75" customHeight="1" x14ac:dyDescent="0.35">
      <c r="A147" s="76" t="s">
        <v>1085</v>
      </c>
      <c r="B147" s="77">
        <v>44967</v>
      </c>
      <c r="C147" s="78" t="s">
        <v>1086</v>
      </c>
      <c r="D147" s="58">
        <v>2535000</v>
      </c>
      <c r="E147" s="58">
        <f>+D147*0.1</f>
        <v>253500</v>
      </c>
      <c r="F147" s="79">
        <f t="shared" si="7"/>
        <v>2788500</v>
      </c>
      <c r="G147" s="54">
        <v>2788500</v>
      </c>
      <c r="H147" s="55">
        <f t="shared" si="8"/>
        <v>0</v>
      </c>
      <c r="I147" s="65">
        <v>45023</v>
      </c>
      <c r="J147" s="2" t="s">
        <v>51</v>
      </c>
    </row>
    <row r="148" spans="1:10" ht="15.75" customHeight="1" x14ac:dyDescent="0.35">
      <c r="A148" s="76" t="s">
        <v>924</v>
      </c>
      <c r="B148" s="77">
        <v>44967</v>
      </c>
      <c r="C148" s="78" t="s">
        <v>1087</v>
      </c>
      <c r="D148" s="58">
        <v>7320100</v>
      </c>
      <c r="E148" s="58">
        <f>+D148*0.1</f>
        <v>732010</v>
      </c>
      <c r="F148" s="79">
        <f t="shared" si="7"/>
        <v>8052110</v>
      </c>
      <c r="G148" s="54">
        <v>8052110</v>
      </c>
      <c r="H148" s="55">
        <f t="shared" si="8"/>
        <v>0</v>
      </c>
      <c r="I148" s="65">
        <v>45023</v>
      </c>
      <c r="J148" s="2" t="s">
        <v>51</v>
      </c>
    </row>
    <row r="149" spans="1:10" ht="15.75" customHeight="1" x14ac:dyDescent="0.35">
      <c r="A149" s="76" t="s">
        <v>952</v>
      </c>
      <c r="B149" s="77">
        <v>44967</v>
      </c>
      <c r="C149" s="78" t="s">
        <v>1088</v>
      </c>
      <c r="D149" s="58">
        <v>48759700</v>
      </c>
      <c r="E149" s="58">
        <f>+D149*0.1</f>
        <v>4875970</v>
      </c>
      <c r="F149" s="79">
        <f t="shared" si="7"/>
        <v>53635670</v>
      </c>
      <c r="G149" s="54">
        <v>53635670</v>
      </c>
      <c r="H149" s="55">
        <f t="shared" si="8"/>
        <v>0</v>
      </c>
      <c r="I149" s="65">
        <v>45023</v>
      </c>
      <c r="J149" s="2" t="s">
        <v>51</v>
      </c>
    </row>
    <row r="150" spans="1:10" ht="15.75" customHeight="1" x14ac:dyDescent="0.35">
      <c r="A150" s="76" t="s">
        <v>1089</v>
      </c>
      <c r="B150" s="77">
        <v>44967</v>
      </c>
      <c r="C150" s="78" t="s">
        <v>1090</v>
      </c>
      <c r="D150" s="58">
        <v>9184000</v>
      </c>
      <c r="E150" s="58">
        <f t="shared" si="9"/>
        <v>734720</v>
      </c>
      <c r="F150" s="79">
        <f t="shared" si="7"/>
        <v>9918720</v>
      </c>
      <c r="G150" s="54">
        <v>9918720</v>
      </c>
      <c r="H150" s="55">
        <f t="shared" si="8"/>
        <v>0</v>
      </c>
      <c r="I150" s="65">
        <v>45023</v>
      </c>
      <c r="J150" s="2" t="s">
        <v>51</v>
      </c>
    </row>
    <row r="151" spans="1:10" ht="15.75" customHeight="1" x14ac:dyDescent="0.35">
      <c r="A151" s="76" t="s">
        <v>948</v>
      </c>
      <c r="B151" s="77">
        <v>44968</v>
      </c>
      <c r="C151" s="78" t="s">
        <v>1091</v>
      </c>
      <c r="D151" s="58">
        <v>3619000</v>
      </c>
      <c r="E151" s="58">
        <f t="shared" si="9"/>
        <v>289520</v>
      </c>
      <c r="F151" s="79">
        <f t="shared" si="7"/>
        <v>3908520</v>
      </c>
      <c r="G151" s="54">
        <v>3908520</v>
      </c>
      <c r="H151" s="55">
        <f t="shared" si="8"/>
        <v>0</v>
      </c>
      <c r="I151" s="65">
        <v>44981</v>
      </c>
    </row>
    <row r="152" spans="1:10" ht="15.75" customHeight="1" x14ac:dyDescent="0.35">
      <c r="A152" s="76" t="s">
        <v>982</v>
      </c>
      <c r="B152" s="77">
        <v>44968</v>
      </c>
      <c r="C152" s="78" t="s">
        <v>1092</v>
      </c>
      <c r="D152" s="58">
        <v>8247500</v>
      </c>
      <c r="E152" s="58">
        <f t="shared" si="9"/>
        <v>659800</v>
      </c>
      <c r="F152" s="79">
        <f t="shared" si="7"/>
        <v>8907300</v>
      </c>
      <c r="G152" s="54">
        <v>8907300</v>
      </c>
      <c r="H152" s="55">
        <f t="shared" si="8"/>
        <v>0</v>
      </c>
      <c r="I152" s="65">
        <v>45023</v>
      </c>
      <c r="J152" s="2" t="s">
        <v>51</v>
      </c>
    </row>
    <row r="153" spans="1:10" ht="15.75" customHeight="1" x14ac:dyDescent="0.35">
      <c r="A153" s="76" t="s">
        <v>891</v>
      </c>
      <c r="B153" s="77">
        <v>44967</v>
      </c>
      <c r="C153" s="78" t="s">
        <v>1093</v>
      </c>
      <c r="D153" s="58">
        <v>4784500</v>
      </c>
      <c r="E153" s="58">
        <f>+D153*0.1</f>
        <v>478450</v>
      </c>
      <c r="F153" s="79">
        <f t="shared" si="7"/>
        <v>5262950</v>
      </c>
      <c r="G153" s="54">
        <v>5262950</v>
      </c>
      <c r="H153" s="55">
        <f t="shared" si="8"/>
        <v>0</v>
      </c>
      <c r="I153" s="65">
        <v>45023</v>
      </c>
      <c r="J153" s="2" t="s">
        <v>51</v>
      </c>
    </row>
    <row r="154" spans="1:10" ht="15.75" customHeight="1" x14ac:dyDescent="0.35">
      <c r="A154" s="76" t="s">
        <v>1094</v>
      </c>
      <c r="B154" s="77">
        <v>44967</v>
      </c>
      <c r="C154" s="78" t="s">
        <v>1061</v>
      </c>
      <c r="D154" s="58">
        <v>198000</v>
      </c>
      <c r="E154" s="58">
        <f t="shared" si="9"/>
        <v>15840</v>
      </c>
      <c r="F154" s="79">
        <f t="shared" si="7"/>
        <v>213840</v>
      </c>
      <c r="G154" s="54">
        <v>213840</v>
      </c>
      <c r="H154" s="55">
        <f t="shared" si="8"/>
        <v>0</v>
      </c>
      <c r="I154" s="65">
        <v>45023</v>
      </c>
      <c r="J154" s="2" t="s">
        <v>51</v>
      </c>
    </row>
    <row r="155" spans="1:10" ht="15.75" customHeight="1" x14ac:dyDescent="0.35">
      <c r="A155" s="76" t="s">
        <v>1040</v>
      </c>
      <c r="B155" s="77">
        <v>44970</v>
      </c>
      <c r="C155" s="78" t="s">
        <v>1095</v>
      </c>
      <c r="D155" s="58">
        <v>660000</v>
      </c>
      <c r="E155" s="58">
        <f t="shared" si="9"/>
        <v>52800</v>
      </c>
      <c r="F155" s="79">
        <f t="shared" si="7"/>
        <v>712800</v>
      </c>
      <c r="G155" s="54">
        <v>712800</v>
      </c>
      <c r="H155" s="55">
        <f t="shared" si="8"/>
        <v>0</v>
      </c>
      <c r="I155" s="65">
        <v>45023</v>
      </c>
      <c r="J155" s="2" t="s">
        <v>51</v>
      </c>
    </row>
    <row r="156" spans="1:10" ht="15.75" customHeight="1" x14ac:dyDescent="0.35">
      <c r="A156" s="76" t="s">
        <v>1096</v>
      </c>
      <c r="B156" s="77">
        <v>44970</v>
      </c>
      <c r="C156" s="78" t="s">
        <v>1097</v>
      </c>
      <c r="D156" s="58">
        <v>6013700</v>
      </c>
      <c r="E156" s="58">
        <f t="shared" si="9"/>
        <v>481096</v>
      </c>
      <c r="F156" s="79">
        <f t="shared" si="7"/>
        <v>6494796</v>
      </c>
      <c r="G156" s="54">
        <v>6494796</v>
      </c>
      <c r="H156" s="55">
        <f t="shared" si="8"/>
        <v>0</v>
      </c>
      <c r="I156" s="65">
        <v>44981</v>
      </c>
    </row>
    <row r="157" spans="1:10" ht="15.75" customHeight="1" x14ac:dyDescent="0.35">
      <c r="A157" s="76" t="s">
        <v>1098</v>
      </c>
      <c r="B157" s="77">
        <v>44968</v>
      </c>
      <c r="C157" s="78" t="s">
        <v>1099</v>
      </c>
      <c r="D157" s="58">
        <v>18963600</v>
      </c>
      <c r="E157" s="58">
        <f t="shared" si="9"/>
        <v>1517088</v>
      </c>
      <c r="F157" s="79">
        <f t="shared" si="7"/>
        <v>20480688</v>
      </c>
      <c r="G157" s="54">
        <v>20480688</v>
      </c>
      <c r="H157" s="55">
        <f t="shared" si="8"/>
        <v>0</v>
      </c>
      <c r="I157" s="65">
        <v>45023</v>
      </c>
      <c r="J157" s="2" t="s">
        <v>51</v>
      </c>
    </row>
    <row r="158" spans="1:10" ht="15.75" customHeight="1" x14ac:dyDescent="0.35">
      <c r="A158" s="76" t="s">
        <v>1100</v>
      </c>
      <c r="B158" s="77">
        <v>44970</v>
      </c>
      <c r="C158" s="78" t="s">
        <v>1101</v>
      </c>
      <c r="D158" s="58">
        <v>20839300</v>
      </c>
      <c r="E158" s="58">
        <f t="shared" si="9"/>
        <v>1667144</v>
      </c>
      <c r="F158" s="79">
        <f t="shared" si="7"/>
        <v>22506444</v>
      </c>
      <c r="G158" s="54">
        <v>22506444</v>
      </c>
      <c r="H158" s="55">
        <f t="shared" si="8"/>
        <v>0</v>
      </c>
      <c r="I158" s="65">
        <v>44981</v>
      </c>
    </row>
    <row r="159" spans="1:10" ht="15.75" customHeight="1" x14ac:dyDescent="0.35">
      <c r="A159" s="76" t="s">
        <v>1102</v>
      </c>
      <c r="B159" s="77">
        <v>44970</v>
      </c>
      <c r="C159" s="78" t="s">
        <v>1093</v>
      </c>
      <c r="D159" s="58">
        <v>77747600</v>
      </c>
      <c r="E159" s="58">
        <f t="shared" si="9"/>
        <v>6219808</v>
      </c>
      <c r="F159" s="79">
        <f t="shared" si="7"/>
        <v>83967408</v>
      </c>
      <c r="G159" s="54">
        <v>83967408</v>
      </c>
      <c r="H159" s="55">
        <f t="shared" si="8"/>
        <v>0</v>
      </c>
      <c r="I159" s="65">
        <v>45023</v>
      </c>
      <c r="J159" s="2" t="s">
        <v>51</v>
      </c>
    </row>
    <row r="160" spans="1:10" ht="15.75" customHeight="1" x14ac:dyDescent="0.35">
      <c r="A160" s="76" t="s">
        <v>901</v>
      </c>
      <c r="B160" s="77">
        <v>44971</v>
      </c>
      <c r="C160" s="78" t="s">
        <v>1103</v>
      </c>
      <c r="D160" s="58">
        <v>22853300</v>
      </c>
      <c r="E160" s="58">
        <f>+D160*0.1</f>
        <v>2285330</v>
      </c>
      <c r="F160" s="79">
        <f t="shared" si="7"/>
        <v>25138630</v>
      </c>
      <c r="G160" s="54">
        <v>25138630</v>
      </c>
      <c r="H160" s="55">
        <f t="shared" si="8"/>
        <v>0</v>
      </c>
      <c r="I160" s="65">
        <v>45023</v>
      </c>
      <c r="J160" s="2" t="s">
        <v>51</v>
      </c>
    </row>
    <row r="161" spans="1:10" ht="15.75" customHeight="1" x14ac:dyDescent="0.35">
      <c r="A161" s="76" t="s">
        <v>1104</v>
      </c>
      <c r="B161" s="77">
        <v>44971</v>
      </c>
      <c r="C161" s="78" t="s">
        <v>1105</v>
      </c>
      <c r="D161" s="58">
        <v>4697000</v>
      </c>
      <c r="E161" s="58">
        <f>+D161*0.08</f>
        <v>375760</v>
      </c>
      <c r="F161" s="79">
        <f t="shared" si="7"/>
        <v>5072760</v>
      </c>
      <c r="G161" s="54">
        <v>5072760</v>
      </c>
      <c r="H161" s="55">
        <f t="shared" si="8"/>
        <v>0</v>
      </c>
      <c r="I161" s="65">
        <v>45023</v>
      </c>
      <c r="J161" s="2" t="s">
        <v>51</v>
      </c>
    </row>
    <row r="162" spans="1:10" ht="15.75" customHeight="1" x14ac:dyDescent="0.35">
      <c r="A162" s="76" t="s">
        <v>1025</v>
      </c>
      <c r="B162" s="77">
        <v>44958</v>
      </c>
      <c r="C162" s="78" t="s">
        <v>1106</v>
      </c>
      <c r="D162" s="58">
        <v>72470000</v>
      </c>
      <c r="E162" s="58">
        <f>+D162*0.08</f>
        <v>5797600</v>
      </c>
      <c r="F162" s="79">
        <f t="shared" si="7"/>
        <v>78267600</v>
      </c>
      <c r="G162" s="54">
        <v>78267600</v>
      </c>
      <c r="H162" s="55">
        <f t="shared" si="8"/>
        <v>0</v>
      </c>
      <c r="I162" s="65">
        <v>45023</v>
      </c>
      <c r="J162" s="2" t="s">
        <v>51</v>
      </c>
    </row>
    <row r="163" spans="1:10" ht="15.75" customHeight="1" x14ac:dyDescent="0.35">
      <c r="A163" s="76" t="s">
        <v>1107</v>
      </c>
      <c r="B163" s="77">
        <v>44971</v>
      </c>
      <c r="C163" s="78" t="s">
        <v>1108</v>
      </c>
      <c r="D163" s="58">
        <v>10741500</v>
      </c>
      <c r="E163" s="58">
        <f>+D163*0.1</f>
        <v>1074150</v>
      </c>
      <c r="F163" s="79">
        <f t="shared" si="7"/>
        <v>11815650</v>
      </c>
      <c r="G163" s="54">
        <v>11815650</v>
      </c>
      <c r="H163" s="55">
        <f t="shared" si="8"/>
        <v>0</v>
      </c>
      <c r="I163" s="65">
        <v>45023</v>
      </c>
      <c r="J163" s="2" t="s">
        <v>51</v>
      </c>
    </row>
    <row r="164" spans="1:10" ht="15.75" customHeight="1" x14ac:dyDescent="0.35">
      <c r="A164" s="76" t="s">
        <v>1109</v>
      </c>
      <c r="B164" s="77">
        <v>44971</v>
      </c>
      <c r="C164" s="78" t="s">
        <v>1097</v>
      </c>
      <c r="D164" s="58">
        <v>9373100</v>
      </c>
      <c r="E164" s="58">
        <f>+D164*0.1</f>
        <v>937310</v>
      </c>
      <c r="F164" s="79">
        <f>+D164+E164</f>
        <v>10310410</v>
      </c>
      <c r="G164" s="54">
        <v>10310410</v>
      </c>
      <c r="H164" s="55">
        <f t="shared" si="8"/>
        <v>0</v>
      </c>
      <c r="I164" s="65">
        <v>45023</v>
      </c>
      <c r="J164" s="2" t="s">
        <v>51</v>
      </c>
    </row>
    <row r="165" spans="1:10" ht="15.75" customHeight="1" x14ac:dyDescent="0.35">
      <c r="A165" s="76" t="s">
        <v>874</v>
      </c>
      <c r="B165" s="77">
        <v>44972</v>
      </c>
      <c r="C165" s="78" t="s">
        <v>1110</v>
      </c>
      <c r="D165" s="58">
        <v>6269000</v>
      </c>
      <c r="E165" s="58">
        <f>+D165*0.08</f>
        <v>501520</v>
      </c>
      <c r="F165" s="79">
        <f t="shared" ref="F165:F228" si="10">+E165+D165</f>
        <v>6770520</v>
      </c>
      <c r="G165" s="54">
        <v>6770520</v>
      </c>
      <c r="H165" s="55">
        <f t="shared" si="8"/>
        <v>0</v>
      </c>
      <c r="I165" s="65">
        <v>45023</v>
      </c>
      <c r="J165" s="2" t="s">
        <v>51</v>
      </c>
    </row>
    <row r="166" spans="1:10" ht="15.75" customHeight="1" x14ac:dyDescent="0.35">
      <c r="A166" s="76" t="s">
        <v>898</v>
      </c>
      <c r="B166" s="77">
        <v>44972</v>
      </c>
      <c r="C166" s="78" t="s">
        <v>1111</v>
      </c>
      <c r="D166" s="58">
        <v>412000</v>
      </c>
      <c r="E166" s="58">
        <f>+D166*0.08</f>
        <v>32960</v>
      </c>
      <c r="F166" s="79">
        <f t="shared" si="10"/>
        <v>444960</v>
      </c>
      <c r="G166" s="54">
        <v>444960</v>
      </c>
      <c r="H166" s="55">
        <f t="shared" si="8"/>
        <v>0</v>
      </c>
      <c r="I166" s="65">
        <v>45023</v>
      </c>
      <c r="J166" s="2" t="s">
        <v>51</v>
      </c>
    </row>
    <row r="167" spans="1:10" ht="15.75" customHeight="1" x14ac:dyDescent="0.35">
      <c r="A167" s="76" t="s">
        <v>903</v>
      </c>
      <c r="B167" s="77">
        <v>44971</v>
      </c>
      <c r="C167" s="78" t="s">
        <v>1112</v>
      </c>
      <c r="D167" s="58">
        <v>101439800</v>
      </c>
      <c r="E167" s="58">
        <f>+D167*0.08</f>
        <v>8115184</v>
      </c>
      <c r="F167" s="59">
        <f t="shared" si="10"/>
        <v>109554984</v>
      </c>
      <c r="G167" s="60">
        <v>109554984</v>
      </c>
      <c r="H167" s="61">
        <f t="shared" si="8"/>
        <v>0</v>
      </c>
      <c r="I167" s="65">
        <v>45023</v>
      </c>
      <c r="J167" s="2" t="s">
        <v>51</v>
      </c>
    </row>
    <row r="168" spans="1:10" ht="15.75" customHeight="1" x14ac:dyDescent="0.35">
      <c r="A168" s="76" t="s">
        <v>1113</v>
      </c>
      <c r="B168" s="77">
        <v>44971</v>
      </c>
      <c r="C168" s="78" t="s">
        <v>1114</v>
      </c>
      <c r="D168" s="58">
        <v>41802600</v>
      </c>
      <c r="E168" s="58">
        <f>+D168*0.1</f>
        <v>4180260</v>
      </c>
      <c r="F168" s="59">
        <f t="shared" si="10"/>
        <v>45982860</v>
      </c>
      <c r="G168" s="60">
        <v>45982860</v>
      </c>
      <c r="H168" s="61">
        <f t="shared" si="8"/>
        <v>0</v>
      </c>
      <c r="I168" s="65">
        <v>45023</v>
      </c>
      <c r="J168" s="2" t="s">
        <v>51</v>
      </c>
    </row>
    <row r="169" spans="1:10" ht="15.75" customHeight="1" x14ac:dyDescent="0.35">
      <c r="A169" s="76" t="s">
        <v>934</v>
      </c>
      <c r="B169" s="77">
        <v>44972</v>
      </c>
      <c r="C169" s="78" t="s">
        <v>1115</v>
      </c>
      <c r="D169" s="58">
        <v>41977800</v>
      </c>
      <c r="E169" s="58">
        <f>+D169*0.08</f>
        <v>3358224</v>
      </c>
      <c r="F169" s="59">
        <f t="shared" si="10"/>
        <v>45336024</v>
      </c>
      <c r="G169" s="60">
        <v>45336024</v>
      </c>
      <c r="H169" s="61">
        <f t="shared" si="8"/>
        <v>0</v>
      </c>
      <c r="I169" s="65">
        <v>45023</v>
      </c>
      <c r="J169" s="2" t="s">
        <v>51</v>
      </c>
    </row>
    <row r="170" spans="1:10" ht="15.75" customHeight="1" x14ac:dyDescent="0.35">
      <c r="A170" s="76" t="s">
        <v>1116</v>
      </c>
      <c r="B170" s="77">
        <v>44974</v>
      </c>
      <c r="C170" s="78" t="s">
        <v>1117</v>
      </c>
      <c r="D170" s="58">
        <v>16890700</v>
      </c>
      <c r="E170" s="58">
        <f>+D170*0.08</f>
        <v>1351256</v>
      </c>
      <c r="F170" s="59">
        <f t="shared" si="10"/>
        <v>18241956</v>
      </c>
      <c r="G170" s="60">
        <v>18241956</v>
      </c>
      <c r="H170" s="61">
        <f t="shared" si="8"/>
        <v>0</v>
      </c>
      <c r="I170" s="65">
        <v>45023</v>
      </c>
      <c r="J170" s="2" t="s">
        <v>51</v>
      </c>
    </row>
    <row r="171" spans="1:10" ht="15.75" customHeight="1" x14ac:dyDescent="0.35">
      <c r="A171" s="76" t="s">
        <v>1118</v>
      </c>
      <c r="B171" s="77">
        <v>44974</v>
      </c>
      <c r="C171" s="78" t="s">
        <v>1075</v>
      </c>
      <c r="D171" s="58">
        <v>9888000</v>
      </c>
      <c r="E171" s="58">
        <f t="shared" ref="E171:E234" si="11">+D171*0.08</f>
        <v>791040</v>
      </c>
      <c r="F171" s="59">
        <f t="shared" si="10"/>
        <v>10679040</v>
      </c>
      <c r="G171" s="60">
        <v>10679040</v>
      </c>
      <c r="H171" s="61">
        <f t="shared" si="8"/>
        <v>0</v>
      </c>
      <c r="I171" s="65">
        <v>45023</v>
      </c>
      <c r="J171" s="2" t="s">
        <v>51</v>
      </c>
    </row>
    <row r="172" spans="1:10" ht="15.75" customHeight="1" x14ac:dyDescent="0.35">
      <c r="A172" s="76" t="s">
        <v>1119</v>
      </c>
      <c r="B172" s="77">
        <v>44974</v>
      </c>
      <c r="C172" s="78" t="s">
        <v>1120</v>
      </c>
      <c r="D172" s="58">
        <v>21957900</v>
      </c>
      <c r="E172" s="58">
        <f t="shared" si="11"/>
        <v>1756632</v>
      </c>
      <c r="F172" s="59">
        <f t="shared" si="10"/>
        <v>23714532</v>
      </c>
      <c r="G172" s="54">
        <v>23714532</v>
      </c>
      <c r="H172" s="61">
        <f t="shared" si="8"/>
        <v>0</v>
      </c>
      <c r="I172" s="65">
        <v>45023</v>
      </c>
      <c r="J172" s="2" t="s">
        <v>51</v>
      </c>
    </row>
    <row r="173" spans="1:10" ht="15.75" customHeight="1" x14ac:dyDescent="0.35">
      <c r="A173" s="76" t="s">
        <v>924</v>
      </c>
      <c r="B173" s="77">
        <v>44974</v>
      </c>
      <c r="C173" s="78" t="s">
        <v>1121</v>
      </c>
      <c r="D173" s="58">
        <v>50000</v>
      </c>
      <c r="E173" s="58">
        <f t="shared" si="11"/>
        <v>4000</v>
      </c>
      <c r="F173" s="59">
        <f t="shared" si="10"/>
        <v>54000</v>
      </c>
      <c r="G173" s="54">
        <v>54000</v>
      </c>
      <c r="H173" s="61">
        <f t="shared" si="8"/>
        <v>0</v>
      </c>
      <c r="I173" s="65">
        <v>45023</v>
      </c>
      <c r="J173" s="2" t="s">
        <v>51</v>
      </c>
    </row>
    <row r="174" spans="1:10" ht="15.75" customHeight="1" x14ac:dyDescent="0.35">
      <c r="A174" s="76" t="s">
        <v>978</v>
      </c>
      <c r="B174" s="77">
        <v>44973</v>
      </c>
      <c r="C174" s="78" t="s">
        <v>1122</v>
      </c>
      <c r="D174" s="58">
        <v>21504100</v>
      </c>
      <c r="E174" s="58">
        <f>+D174*0.1</f>
        <v>2150410</v>
      </c>
      <c r="F174" s="59">
        <f t="shared" si="10"/>
        <v>23654510</v>
      </c>
      <c r="G174" s="54">
        <v>23654510</v>
      </c>
      <c r="H174" s="61">
        <f t="shared" si="8"/>
        <v>0</v>
      </c>
      <c r="I174" s="65">
        <v>45023</v>
      </c>
      <c r="J174" s="2" t="s">
        <v>51</v>
      </c>
    </row>
    <row r="175" spans="1:10" ht="15.75" customHeight="1" x14ac:dyDescent="0.35">
      <c r="A175" s="76" t="s">
        <v>938</v>
      </c>
      <c r="B175" s="77">
        <v>44972</v>
      </c>
      <c r="C175" s="78" t="s">
        <v>1123</v>
      </c>
      <c r="D175" s="58">
        <v>7432600</v>
      </c>
      <c r="E175" s="58">
        <f t="shared" si="11"/>
        <v>594608</v>
      </c>
      <c r="F175" s="59">
        <f t="shared" si="10"/>
        <v>8027208</v>
      </c>
      <c r="G175" s="54">
        <v>8027208</v>
      </c>
      <c r="H175" s="61">
        <f t="shared" si="8"/>
        <v>0</v>
      </c>
      <c r="I175" s="65">
        <v>45023</v>
      </c>
      <c r="J175" s="2" t="s">
        <v>51</v>
      </c>
    </row>
    <row r="176" spans="1:10" ht="15.75" customHeight="1" x14ac:dyDescent="0.35">
      <c r="A176" s="76" t="s">
        <v>1124</v>
      </c>
      <c r="B176" s="77">
        <v>44972</v>
      </c>
      <c r="C176" s="78" t="s">
        <v>1053</v>
      </c>
      <c r="D176" s="58">
        <v>16351000</v>
      </c>
      <c r="E176" s="58">
        <f t="shared" si="11"/>
        <v>1308080</v>
      </c>
      <c r="F176" s="59">
        <f t="shared" si="10"/>
        <v>17659080</v>
      </c>
      <c r="G176" s="54">
        <v>17659080</v>
      </c>
      <c r="H176" s="61">
        <f t="shared" si="8"/>
        <v>0</v>
      </c>
      <c r="I176" s="65">
        <v>45023</v>
      </c>
      <c r="J176" s="2" t="s">
        <v>51</v>
      </c>
    </row>
    <row r="177" spans="1:10" ht="15.75" customHeight="1" x14ac:dyDescent="0.35">
      <c r="A177" s="76" t="s">
        <v>1125</v>
      </c>
      <c r="B177" s="77">
        <v>44972</v>
      </c>
      <c r="C177" s="78" t="s">
        <v>1126</v>
      </c>
      <c r="D177" s="58">
        <v>16115000</v>
      </c>
      <c r="E177" s="58">
        <f t="shared" si="11"/>
        <v>1289200</v>
      </c>
      <c r="F177" s="59">
        <f t="shared" si="10"/>
        <v>17404200</v>
      </c>
      <c r="G177" s="54">
        <v>17404200</v>
      </c>
      <c r="H177" s="61">
        <f t="shared" si="8"/>
        <v>0</v>
      </c>
      <c r="I177" s="65">
        <v>45023</v>
      </c>
      <c r="J177" s="2" t="s">
        <v>51</v>
      </c>
    </row>
    <row r="178" spans="1:10" ht="15.75" customHeight="1" x14ac:dyDescent="0.35">
      <c r="A178" s="76" t="s">
        <v>1127</v>
      </c>
      <c r="B178" s="77">
        <v>44972</v>
      </c>
      <c r="C178" s="78" t="s">
        <v>1128</v>
      </c>
      <c r="D178" s="58"/>
      <c r="E178" s="58">
        <f t="shared" si="11"/>
        <v>0</v>
      </c>
      <c r="F178" s="59">
        <v>3481880</v>
      </c>
      <c r="G178" s="54">
        <v>3481880</v>
      </c>
      <c r="H178" s="61">
        <f t="shared" si="8"/>
        <v>0</v>
      </c>
    </row>
    <row r="179" spans="1:10" ht="15.75" customHeight="1" x14ac:dyDescent="0.35">
      <c r="A179" s="76" t="s">
        <v>984</v>
      </c>
      <c r="B179" s="77">
        <v>44972</v>
      </c>
      <c r="C179" s="78" t="s">
        <v>1129</v>
      </c>
      <c r="D179" s="58">
        <v>7211000</v>
      </c>
      <c r="E179" s="58">
        <f>+D179*0.1</f>
        <v>721100</v>
      </c>
      <c r="F179" s="59">
        <f t="shared" si="10"/>
        <v>7932100</v>
      </c>
      <c r="G179" s="54">
        <v>7932100</v>
      </c>
      <c r="H179" s="61">
        <f t="shared" si="8"/>
        <v>0</v>
      </c>
      <c r="I179" s="65">
        <v>45023</v>
      </c>
      <c r="J179" s="2" t="s">
        <v>51</v>
      </c>
    </row>
    <row r="180" spans="1:10" ht="15.75" customHeight="1" x14ac:dyDescent="0.35">
      <c r="A180" s="76" t="s">
        <v>1130</v>
      </c>
      <c r="B180" s="77">
        <v>44975</v>
      </c>
      <c r="C180" s="78" t="s">
        <v>1075</v>
      </c>
      <c r="D180" s="58">
        <v>10429300</v>
      </c>
      <c r="E180" s="58">
        <f t="shared" si="11"/>
        <v>834344</v>
      </c>
      <c r="F180" s="59">
        <f t="shared" si="10"/>
        <v>11263644</v>
      </c>
      <c r="G180" s="54">
        <v>11263644</v>
      </c>
      <c r="H180" s="61">
        <f t="shared" si="8"/>
        <v>0</v>
      </c>
      <c r="I180" s="65">
        <v>45023</v>
      </c>
      <c r="J180" s="2" t="s">
        <v>51</v>
      </c>
    </row>
    <row r="181" spans="1:10" ht="15.75" customHeight="1" x14ac:dyDescent="0.35">
      <c r="A181" s="76" t="s">
        <v>1130</v>
      </c>
      <c r="B181" s="77">
        <v>44975</v>
      </c>
      <c r="C181" s="78" t="s">
        <v>1032</v>
      </c>
      <c r="D181" s="58">
        <v>26433500</v>
      </c>
      <c r="E181" s="58">
        <f t="shared" si="11"/>
        <v>2114680</v>
      </c>
      <c r="F181" s="59">
        <f t="shared" si="10"/>
        <v>28548180</v>
      </c>
      <c r="G181" s="54">
        <v>28548180</v>
      </c>
      <c r="H181" s="61">
        <f t="shared" si="8"/>
        <v>0</v>
      </c>
      <c r="I181" s="65">
        <v>45023</v>
      </c>
      <c r="J181" s="2" t="s">
        <v>51</v>
      </c>
    </row>
    <row r="182" spans="1:10" ht="15.75" customHeight="1" x14ac:dyDescent="0.35">
      <c r="A182" s="76" t="s">
        <v>903</v>
      </c>
      <c r="B182" s="77">
        <v>44978</v>
      </c>
      <c r="C182" s="78" t="s">
        <v>1131</v>
      </c>
      <c r="D182" s="58">
        <v>30126000</v>
      </c>
      <c r="E182" s="58">
        <f>+D182*0.1</f>
        <v>3012600</v>
      </c>
      <c r="F182" s="59">
        <f t="shared" si="10"/>
        <v>33138600</v>
      </c>
      <c r="G182" s="54">
        <v>33138600</v>
      </c>
      <c r="H182" s="61">
        <f t="shared" si="8"/>
        <v>0</v>
      </c>
      <c r="I182" s="65">
        <v>45023</v>
      </c>
      <c r="J182" s="2" t="s">
        <v>51</v>
      </c>
    </row>
    <row r="183" spans="1:10" ht="15.75" customHeight="1" x14ac:dyDescent="0.35">
      <c r="A183" s="76" t="s">
        <v>1132</v>
      </c>
      <c r="B183" s="77">
        <v>44977</v>
      </c>
      <c r="C183" s="78" t="s">
        <v>1133</v>
      </c>
      <c r="D183" s="58">
        <v>5765000</v>
      </c>
      <c r="E183" s="58">
        <f t="shared" si="11"/>
        <v>461200</v>
      </c>
      <c r="F183" s="59">
        <f t="shared" si="10"/>
        <v>6226200</v>
      </c>
      <c r="G183" s="54">
        <v>6226200</v>
      </c>
      <c r="H183" s="61">
        <f t="shared" si="8"/>
        <v>0</v>
      </c>
      <c r="I183" s="65">
        <v>45023</v>
      </c>
      <c r="J183" s="2" t="s">
        <v>51</v>
      </c>
    </row>
    <row r="184" spans="1:10" ht="15.75" customHeight="1" x14ac:dyDescent="0.35">
      <c r="A184" s="76" t="s">
        <v>878</v>
      </c>
      <c r="B184" s="77">
        <v>44977</v>
      </c>
      <c r="C184" s="78" t="s">
        <v>1032</v>
      </c>
      <c r="D184" s="58">
        <v>36806400</v>
      </c>
      <c r="E184" s="58">
        <f>+D184*0.1</f>
        <v>3680640</v>
      </c>
      <c r="F184" s="59">
        <f t="shared" si="10"/>
        <v>40487040</v>
      </c>
      <c r="G184" s="54">
        <v>40487040</v>
      </c>
      <c r="H184" s="61">
        <f t="shared" si="8"/>
        <v>0</v>
      </c>
      <c r="I184" s="65">
        <v>45023</v>
      </c>
      <c r="J184" s="2" t="s">
        <v>51</v>
      </c>
    </row>
    <row r="185" spans="1:10" ht="15.75" customHeight="1" x14ac:dyDescent="0.35">
      <c r="A185" s="76" t="s">
        <v>957</v>
      </c>
      <c r="B185" s="77">
        <v>44977</v>
      </c>
      <c r="C185" s="78" t="s">
        <v>1134</v>
      </c>
      <c r="D185" s="58">
        <v>23672500</v>
      </c>
      <c r="E185" s="58">
        <f t="shared" si="11"/>
        <v>1893800</v>
      </c>
      <c r="F185" s="59">
        <f t="shared" si="10"/>
        <v>25566300</v>
      </c>
      <c r="G185" s="54">
        <v>25566300</v>
      </c>
      <c r="H185" s="61">
        <f t="shared" si="8"/>
        <v>0</v>
      </c>
      <c r="I185" s="65">
        <v>45023</v>
      </c>
      <c r="J185" s="2" t="s">
        <v>51</v>
      </c>
    </row>
    <row r="186" spans="1:10" ht="15.75" customHeight="1" x14ac:dyDescent="0.35">
      <c r="A186" s="76" t="s">
        <v>1100</v>
      </c>
      <c r="B186" s="77">
        <v>44977</v>
      </c>
      <c r="C186" s="78" t="s">
        <v>1135</v>
      </c>
      <c r="D186" s="58">
        <v>90000</v>
      </c>
      <c r="E186" s="58">
        <f t="shared" si="11"/>
        <v>7200</v>
      </c>
      <c r="F186" s="59">
        <f t="shared" si="10"/>
        <v>97200</v>
      </c>
      <c r="G186" s="54">
        <v>97200</v>
      </c>
      <c r="H186" s="61">
        <f t="shared" si="8"/>
        <v>0</v>
      </c>
      <c r="I186" s="65">
        <v>45023</v>
      </c>
      <c r="J186" s="2" t="s">
        <v>51</v>
      </c>
    </row>
    <row r="187" spans="1:10" ht="15.75" customHeight="1" x14ac:dyDescent="0.35">
      <c r="A187" s="76" t="s">
        <v>893</v>
      </c>
      <c r="B187" s="77">
        <v>44978</v>
      </c>
      <c r="C187" s="78" t="s">
        <v>1136</v>
      </c>
      <c r="D187" s="58">
        <v>11480500</v>
      </c>
      <c r="E187" s="58">
        <f t="shared" si="11"/>
        <v>918440</v>
      </c>
      <c r="F187" s="59">
        <f t="shared" si="10"/>
        <v>12398940</v>
      </c>
      <c r="G187" s="54">
        <v>12398940</v>
      </c>
      <c r="H187" s="61">
        <f t="shared" si="8"/>
        <v>0</v>
      </c>
      <c r="I187" s="65">
        <v>45023</v>
      </c>
      <c r="J187" s="2" t="s">
        <v>51</v>
      </c>
    </row>
    <row r="188" spans="1:10" ht="16.5" customHeight="1" x14ac:dyDescent="0.35">
      <c r="A188" s="76" t="s">
        <v>1137</v>
      </c>
      <c r="B188" s="77">
        <v>44979</v>
      </c>
      <c r="C188" s="78" t="s">
        <v>1138</v>
      </c>
      <c r="D188" s="58">
        <v>26581700</v>
      </c>
      <c r="E188" s="58">
        <f t="shared" si="11"/>
        <v>2126536</v>
      </c>
      <c r="F188" s="79">
        <f t="shared" si="10"/>
        <v>28708236</v>
      </c>
      <c r="G188" s="54">
        <v>28708236</v>
      </c>
      <c r="H188" s="55">
        <f t="shared" si="8"/>
        <v>0</v>
      </c>
      <c r="I188" s="65">
        <v>45023</v>
      </c>
      <c r="J188" s="2" t="s">
        <v>51</v>
      </c>
    </row>
    <row r="189" spans="1:10" ht="16.5" customHeight="1" x14ac:dyDescent="0.35">
      <c r="A189" s="76" t="s">
        <v>963</v>
      </c>
      <c r="B189" s="77">
        <v>44979</v>
      </c>
      <c r="C189" s="78" t="s">
        <v>1139</v>
      </c>
      <c r="D189" s="58">
        <v>4731000</v>
      </c>
      <c r="E189" s="58">
        <f>+D189*0.1</f>
        <v>473100</v>
      </c>
      <c r="F189" s="79">
        <f t="shared" si="10"/>
        <v>5204100</v>
      </c>
      <c r="G189" s="54">
        <v>5204100</v>
      </c>
      <c r="H189" s="55">
        <f t="shared" si="8"/>
        <v>0</v>
      </c>
      <c r="I189" s="65">
        <v>45023</v>
      </c>
      <c r="J189" s="2" t="s">
        <v>51</v>
      </c>
    </row>
    <row r="190" spans="1:10" ht="16.5" customHeight="1" x14ac:dyDescent="0.35">
      <c r="A190" s="76" t="s">
        <v>909</v>
      </c>
      <c r="B190" s="77">
        <v>44979</v>
      </c>
      <c r="C190" s="78" t="s">
        <v>1140</v>
      </c>
      <c r="D190" s="58">
        <v>8197000</v>
      </c>
      <c r="E190" s="58">
        <f t="shared" si="11"/>
        <v>655760</v>
      </c>
      <c r="F190" s="79">
        <f t="shared" si="10"/>
        <v>8852760</v>
      </c>
      <c r="G190" s="54">
        <v>8852760</v>
      </c>
      <c r="H190" s="55">
        <f t="shared" si="8"/>
        <v>0</v>
      </c>
      <c r="I190" s="65">
        <v>45023</v>
      </c>
      <c r="J190" s="2" t="s">
        <v>51</v>
      </c>
    </row>
    <row r="191" spans="1:10" ht="16.5" customHeight="1" x14ac:dyDescent="0.35">
      <c r="A191" s="76" t="s">
        <v>1141</v>
      </c>
      <c r="B191" s="77">
        <v>44982</v>
      </c>
      <c r="C191" s="78" t="s">
        <v>1112</v>
      </c>
      <c r="D191" s="58">
        <v>5501300</v>
      </c>
      <c r="E191" s="58">
        <f t="shared" si="11"/>
        <v>440104</v>
      </c>
      <c r="F191" s="79">
        <f t="shared" si="10"/>
        <v>5941404</v>
      </c>
      <c r="G191" s="54">
        <v>5941404</v>
      </c>
      <c r="H191" s="55">
        <f t="shared" si="8"/>
        <v>0</v>
      </c>
      <c r="I191" s="65">
        <v>45023</v>
      </c>
      <c r="J191" s="2" t="s">
        <v>51</v>
      </c>
    </row>
    <row r="192" spans="1:10" ht="16.5" customHeight="1" x14ac:dyDescent="0.35">
      <c r="A192" s="76" t="s">
        <v>1142</v>
      </c>
      <c r="B192" s="77">
        <v>44982</v>
      </c>
      <c r="C192" s="78" t="s">
        <v>1136</v>
      </c>
      <c r="D192" s="58">
        <v>243000</v>
      </c>
      <c r="E192" s="58">
        <f t="shared" si="11"/>
        <v>19440</v>
      </c>
      <c r="F192" s="79">
        <f t="shared" si="10"/>
        <v>262440</v>
      </c>
      <c r="G192" s="54">
        <v>262440</v>
      </c>
      <c r="H192" s="55">
        <f t="shared" si="8"/>
        <v>0</v>
      </c>
      <c r="I192" s="65">
        <v>45023</v>
      </c>
      <c r="J192" s="2" t="s">
        <v>51</v>
      </c>
    </row>
    <row r="193" spans="1:10" ht="16.5" customHeight="1" x14ac:dyDescent="0.35">
      <c r="A193" s="76" t="s">
        <v>895</v>
      </c>
      <c r="B193" s="77">
        <v>44981</v>
      </c>
      <c r="C193" s="78" t="s">
        <v>1143</v>
      </c>
      <c r="D193" s="58">
        <v>3583000</v>
      </c>
      <c r="E193" s="58">
        <f>+D193*0.1</f>
        <v>358300</v>
      </c>
      <c r="F193" s="79">
        <f t="shared" si="10"/>
        <v>3941300</v>
      </c>
      <c r="G193" s="54">
        <v>3941300</v>
      </c>
      <c r="H193" s="55">
        <f t="shared" si="8"/>
        <v>0</v>
      </c>
      <c r="I193" s="65">
        <v>45023</v>
      </c>
      <c r="J193" s="2" t="s">
        <v>51</v>
      </c>
    </row>
    <row r="194" spans="1:10" ht="16.5" customHeight="1" x14ac:dyDescent="0.35">
      <c r="A194" s="76" t="s">
        <v>1004</v>
      </c>
      <c r="B194" s="77">
        <v>44981</v>
      </c>
      <c r="C194" s="78" t="s">
        <v>1144</v>
      </c>
      <c r="D194" s="58">
        <v>11881000</v>
      </c>
      <c r="E194" s="58">
        <f t="shared" si="11"/>
        <v>950480</v>
      </c>
      <c r="F194" s="79">
        <f t="shared" si="10"/>
        <v>12831480</v>
      </c>
      <c r="G194" s="54">
        <v>12831480</v>
      </c>
      <c r="H194" s="55">
        <f t="shared" si="8"/>
        <v>0</v>
      </c>
      <c r="I194" s="65">
        <v>45023</v>
      </c>
      <c r="J194" s="2" t="s">
        <v>51</v>
      </c>
    </row>
    <row r="195" spans="1:10" ht="16.5" customHeight="1" x14ac:dyDescent="0.35">
      <c r="A195" s="76" t="s">
        <v>967</v>
      </c>
      <c r="B195" s="77">
        <v>44981</v>
      </c>
      <c r="C195" s="78" t="s">
        <v>1145</v>
      </c>
      <c r="D195" s="58">
        <v>641500</v>
      </c>
      <c r="E195" s="58">
        <f t="shared" si="11"/>
        <v>51320</v>
      </c>
      <c r="F195" s="79">
        <f t="shared" si="10"/>
        <v>692820</v>
      </c>
      <c r="G195" s="54">
        <v>692820</v>
      </c>
      <c r="H195" s="55">
        <f t="shared" si="8"/>
        <v>0</v>
      </c>
      <c r="I195" s="65">
        <v>45023</v>
      </c>
      <c r="J195" s="2" t="s">
        <v>51</v>
      </c>
    </row>
    <row r="196" spans="1:10" ht="16.5" customHeight="1" x14ac:dyDescent="0.35">
      <c r="A196" s="76" t="s">
        <v>1146</v>
      </c>
      <c r="B196" s="77">
        <v>44981</v>
      </c>
      <c r="C196" s="78" t="s">
        <v>481</v>
      </c>
      <c r="D196" s="58">
        <v>9510500</v>
      </c>
      <c r="E196" s="58">
        <f t="shared" si="11"/>
        <v>760840</v>
      </c>
      <c r="F196" s="79">
        <f t="shared" si="10"/>
        <v>10271340</v>
      </c>
      <c r="G196" s="54">
        <v>10271340</v>
      </c>
      <c r="H196" s="55">
        <f t="shared" si="8"/>
        <v>0</v>
      </c>
      <c r="I196" s="65">
        <v>45023</v>
      </c>
      <c r="J196" s="2" t="s">
        <v>51</v>
      </c>
    </row>
    <row r="197" spans="1:10" ht="16.5" customHeight="1" x14ac:dyDescent="0.35">
      <c r="A197" s="76" t="s">
        <v>893</v>
      </c>
      <c r="B197" s="77">
        <v>44984</v>
      </c>
      <c r="C197" s="78" t="s">
        <v>1147</v>
      </c>
      <c r="D197" s="58">
        <v>2178000</v>
      </c>
      <c r="E197" s="58">
        <f t="shared" si="11"/>
        <v>174240</v>
      </c>
      <c r="F197" s="79">
        <f t="shared" si="10"/>
        <v>2352240</v>
      </c>
      <c r="G197" s="54">
        <v>2352240</v>
      </c>
      <c r="H197" s="55">
        <f t="shared" si="8"/>
        <v>0</v>
      </c>
      <c r="I197" s="65">
        <v>45023</v>
      </c>
      <c r="J197" s="2" t="s">
        <v>51</v>
      </c>
    </row>
    <row r="198" spans="1:10" ht="16.5" customHeight="1" x14ac:dyDescent="0.35">
      <c r="A198" s="76" t="s">
        <v>1148</v>
      </c>
      <c r="B198" s="77">
        <v>44984</v>
      </c>
      <c r="C198" s="78" t="s">
        <v>1149</v>
      </c>
      <c r="D198" s="58">
        <v>11622800</v>
      </c>
      <c r="E198" s="58">
        <f>+D198*0.1</f>
        <v>1162280</v>
      </c>
      <c r="F198" s="79">
        <f t="shared" si="10"/>
        <v>12785080</v>
      </c>
      <c r="G198" s="54">
        <v>12785080</v>
      </c>
      <c r="H198" s="55">
        <f t="shared" si="8"/>
        <v>0</v>
      </c>
      <c r="I198" s="65">
        <v>45023</v>
      </c>
      <c r="J198" s="2" t="s">
        <v>51</v>
      </c>
    </row>
    <row r="199" spans="1:10" ht="16.5" customHeight="1" x14ac:dyDescent="0.35">
      <c r="A199" s="76" t="s">
        <v>874</v>
      </c>
      <c r="B199" s="77">
        <v>44984</v>
      </c>
      <c r="C199" s="78" t="s">
        <v>1150</v>
      </c>
      <c r="D199" s="58">
        <v>1231000</v>
      </c>
      <c r="E199" s="58">
        <f t="shared" si="11"/>
        <v>98480</v>
      </c>
      <c r="F199" s="79">
        <f t="shared" si="10"/>
        <v>1329480</v>
      </c>
      <c r="G199" s="54">
        <v>1329480</v>
      </c>
      <c r="H199" s="55">
        <f t="shared" si="8"/>
        <v>0</v>
      </c>
      <c r="I199" s="65">
        <v>45023</v>
      </c>
      <c r="J199" s="2" t="s">
        <v>51</v>
      </c>
    </row>
    <row r="200" spans="1:10" ht="16.5" customHeight="1" x14ac:dyDescent="0.35">
      <c r="A200" s="76" t="s">
        <v>874</v>
      </c>
      <c r="B200" s="77">
        <v>44984</v>
      </c>
      <c r="C200" s="78" t="s">
        <v>1151</v>
      </c>
      <c r="D200" s="58">
        <v>5050000</v>
      </c>
      <c r="E200" s="58">
        <f t="shared" si="11"/>
        <v>404000</v>
      </c>
      <c r="F200" s="79">
        <f t="shared" si="10"/>
        <v>5454000</v>
      </c>
      <c r="G200" s="54">
        <v>5454000</v>
      </c>
      <c r="H200" s="55">
        <f t="shared" si="8"/>
        <v>0</v>
      </c>
      <c r="I200" s="65">
        <v>45023</v>
      </c>
      <c r="J200" s="2" t="s">
        <v>51</v>
      </c>
    </row>
    <row r="201" spans="1:10" ht="16.5" customHeight="1" x14ac:dyDescent="0.35">
      <c r="A201" s="76" t="s">
        <v>866</v>
      </c>
      <c r="B201" s="77">
        <v>44984</v>
      </c>
      <c r="C201" s="78" t="s">
        <v>1084</v>
      </c>
      <c r="D201" s="58">
        <v>13448900</v>
      </c>
      <c r="E201" s="58">
        <f t="shared" si="11"/>
        <v>1075912</v>
      </c>
      <c r="F201" s="79">
        <f t="shared" si="10"/>
        <v>14524812</v>
      </c>
      <c r="G201" s="54">
        <v>14524812</v>
      </c>
      <c r="H201" s="55">
        <f t="shared" si="8"/>
        <v>0</v>
      </c>
      <c r="I201" s="65">
        <v>45023</v>
      </c>
      <c r="J201" s="2" t="s">
        <v>51</v>
      </c>
    </row>
    <row r="202" spans="1:10" ht="16.5" customHeight="1" x14ac:dyDescent="0.35">
      <c r="A202" s="76" t="s">
        <v>948</v>
      </c>
      <c r="B202" s="77">
        <v>44984</v>
      </c>
      <c r="C202" s="78" t="s">
        <v>1152</v>
      </c>
      <c r="D202" s="58">
        <v>2266000</v>
      </c>
      <c r="E202" s="58">
        <f t="shared" si="11"/>
        <v>181280</v>
      </c>
      <c r="F202" s="79">
        <f t="shared" si="10"/>
        <v>2447280</v>
      </c>
      <c r="G202" s="54">
        <v>2447280</v>
      </c>
      <c r="H202" s="55">
        <f t="shared" ref="H202:H336" si="12">+F202-G202</f>
        <v>0</v>
      </c>
      <c r="I202" s="65">
        <v>45023</v>
      </c>
      <c r="J202" s="2" t="s">
        <v>51</v>
      </c>
    </row>
    <row r="203" spans="1:10" ht="16.5" customHeight="1" x14ac:dyDescent="0.35">
      <c r="A203" s="76" t="s">
        <v>1094</v>
      </c>
      <c r="B203" s="77">
        <v>44984</v>
      </c>
      <c r="C203" s="78" t="s">
        <v>1111</v>
      </c>
      <c r="D203" s="58">
        <v>825000</v>
      </c>
      <c r="E203" s="58">
        <f>+D203*0.1</f>
        <v>82500</v>
      </c>
      <c r="F203" s="79">
        <f t="shared" si="10"/>
        <v>907500</v>
      </c>
      <c r="G203" s="54">
        <v>907500</v>
      </c>
      <c r="H203" s="55">
        <f t="shared" si="12"/>
        <v>0</v>
      </c>
      <c r="I203" s="65">
        <v>45023</v>
      </c>
      <c r="J203" s="2" t="s">
        <v>51</v>
      </c>
    </row>
    <row r="204" spans="1:10" ht="16.5" customHeight="1" x14ac:dyDescent="0.35">
      <c r="A204" s="76" t="s">
        <v>1153</v>
      </c>
      <c r="B204" s="77">
        <v>44987</v>
      </c>
      <c r="C204" s="78" t="s">
        <v>1154</v>
      </c>
      <c r="D204" s="58">
        <v>1598000</v>
      </c>
      <c r="E204" s="58">
        <f>+D204*0.1</f>
        <v>159800</v>
      </c>
      <c r="F204" s="79">
        <f>+E204+D204</f>
        <v>1757800</v>
      </c>
      <c r="G204" s="54">
        <v>1757800</v>
      </c>
      <c r="H204" s="55">
        <f t="shared" si="12"/>
        <v>0</v>
      </c>
      <c r="I204" s="65">
        <v>45023</v>
      </c>
      <c r="J204" s="2" t="s">
        <v>51</v>
      </c>
    </row>
    <row r="205" spans="1:10" ht="16.5" customHeight="1" x14ac:dyDescent="0.35">
      <c r="A205" s="76" t="s">
        <v>1155</v>
      </c>
      <c r="B205" s="77">
        <v>44987</v>
      </c>
      <c r="C205" s="78" t="s">
        <v>1156</v>
      </c>
      <c r="D205" s="58">
        <v>4440000</v>
      </c>
      <c r="E205" s="58">
        <f t="shared" si="11"/>
        <v>355200</v>
      </c>
      <c r="F205" s="79">
        <f t="shared" si="10"/>
        <v>4795200</v>
      </c>
      <c r="G205" s="54">
        <v>4795200</v>
      </c>
      <c r="H205" s="55">
        <f t="shared" si="12"/>
        <v>0</v>
      </c>
      <c r="I205" s="65">
        <v>45023</v>
      </c>
      <c r="J205" s="2" t="s">
        <v>51</v>
      </c>
    </row>
    <row r="206" spans="1:10" ht="16.5" customHeight="1" x14ac:dyDescent="0.35">
      <c r="A206" s="76" t="s">
        <v>970</v>
      </c>
      <c r="B206" s="77">
        <v>44986</v>
      </c>
      <c r="C206" s="78" t="s">
        <v>1157</v>
      </c>
      <c r="D206" s="58">
        <v>85498500</v>
      </c>
      <c r="E206" s="58">
        <f t="shared" si="11"/>
        <v>6839880</v>
      </c>
      <c r="F206" s="79">
        <f t="shared" si="10"/>
        <v>92338380</v>
      </c>
      <c r="G206" s="54">
        <v>92338380</v>
      </c>
      <c r="H206" s="55">
        <f t="shared" si="12"/>
        <v>0</v>
      </c>
      <c r="I206" s="65">
        <v>45023</v>
      </c>
      <c r="J206" s="2" t="s">
        <v>51</v>
      </c>
    </row>
    <row r="207" spans="1:10" ht="16.5" customHeight="1" x14ac:dyDescent="0.35">
      <c r="A207" s="76" t="s">
        <v>1158</v>
      </c>
      <c r="B207" s="77">
        <v>44986</v>
      </c>
      <c r="C207" s="78" t="s">
        <v>1159</v>
      </c>
      <c r="D207" s="58">
        <v>3234400</v>
      </c>
      <c r="E207" s="58">
        <f t="shared" si="11"/>
        <v>258752</v>
      </c>
      <c r="F207" s="79">
        <f t="shared" si="10"/>
        <v>3493152</v>
      </c>
      <c r="G207" s="54">
        <v>3493152</v>
      </c>
      <c r="H207" s="55">
        <f t="shared" si="12"/>
        <v>0</v>
      </c>
      <c r="I207" s="65">
        <v>45023</v>
      </c>
      <c r="J207" s="2" t="s">
        <v>51</v>
      </c>
    </row>
    <row r="208" spans="1:10" ht="16.5" customHeight="1" x14ac:dyDescent="0.35">
      <c r="A208" s="76" t="s">
        <v>1160</v>
      </c>
      <c r="B208" s="77">
        <v>44992</v>
      </c>
      <c r="C208" s="78" t="s">
        <v>1161</v>
      </c>
      <c r="D208" s="58">
        <v>13207100</v>
      </c>
      <c r="E208" s="58">
        <f t="shared" si="11"/>
        <v>1056568</v>
      </c>
      <c r="F208" s="79">
        <f t="shared" si="10"/>
        <v>14263668</v>
      </c>
      <c r="G208" s="54">
        <v>14263668</v>
      </c>
      <c r="H208" s="55">
        <f t="shared" si="12"/>
        <v>0</v>
      </c>
      <c r="I208" s="65">
        <v>45023</v>
      </c>
      <c r="J208" s="2" t="s">
        <v>51</v>
      </c>
    </row>
    <row r="209" spans="1:10" ht="16.5" customHeight="1" x14ac:dyDescent="0.35">
      <c r="A209" s="76" t="s">
        <v>993</v>
      </c>
      <c r="B209" s="77">
        <v>44994</v>
      </c>
      <c r="C209" s="78" t="s">
        <v>1162</v>
      </c>
      <c r="D209" s="58">
        <v>10935000</v>
      </c>
      <c r="E209" s="58">
        <f t="shared" si="11"/>
        <v>874800</v>
      </c>
      <c r="F209" s="79">
        <f t="shared" si="10"/>
        <v>11809800</v>
      </c>
      <c r="G209" s="54">
        <v>11809800</v>
      </c>
      <c r="H209" s="55">
        <f t="shared" si="12"/>
        <v>0</v>
      </c>
      <c r="I209" s="65">
        <v>45023</v>
      </c>
      <c r="J209" s="2" t="s">
        <v>51</v>
      </c>
    </row>
    <row r="210" spans="1:10" ht="16.5" customHeight="1" x14ac:dyDescent="0.35">
      <c r="A210" s="76" t="s">
        <v>1163</v>
      </c>
      <c r="B210" s="77">
        <v>44994</v>
      </c>
      <c r="C210" s="78" t="s">
        <v>1061</v>
      </c>
      <c r="D210" s="58">
        <v>5416000</v>
      </c>
      <c r="E210" s="58">
        <f t="shared" si="11"/>
        <v>433280</v>
      </c>
      <c r="F210" s="79">
        <f t="shared" si="10"/>
        <v>5849280</v>
      </c>
      <c r="G210" s="54">
        <v>5849280</v>
      </c>
      <c r="H210" s="55">
        <f t="shared" si="12"/>
        <v>0</v>
      </c>
      <c r="I210" s="65">
        <v>45023</v>
      </c>
      <c r="J210" s="2" t="s">
        <v>51</v>
      </c>
    </row>
    <row r="211" spans="1:10" ht="16.5" customHeight="1" x14ac:dyDescent="0.35">
      <c r="A211" s="76" t="s">
        <v>1164</v>
      </c>
      <c r="B211" s="77">
        <v>44992</v>
      </c>
      <c r="C211" s="78" t="s">
        <v>1165</v>
      </c>
      <c r="D211" s="58">
        <v>4048500</v>
      </c>
      <c r="E211" s="58">
        <f t="shared" si="11"/>
        <v>323880</v>
      </c>
      <c r="F211" s="79">
        <f t="shared" si="10"/>
        <v>4372380</v>
      </c>
      <c r="G211" s="54">
        <v>4372380</v>
      </c>
      <c r="H211" s="55">
        <f t="shared" si="12"/>
        <v>0</v>
      </c>
      <c r="I211" s="65">
        <v>45023</v>
      </c>
      <c r="J211" s="2" t="s">
        <v>51</v>
      </c>
    </row>
    <row r="212" spans="1:10" ht="16.5" customHeight="1" x14ac:dyDescent="0.35">
      <c r="A212" s="76" t="s">
        <v>1166</v>
      </c>
      <c r="B212" s="77">
        <v>44992</v>
      </c>
      <c r="C212" s="78" t="s">
        <v>1167</v>
      </c>
      <c r="D212" s="58">
        <v>34990300</v>
      </c>
      <c r="E212" s="58">
        <f t="shared" si="11"/>
        <v>2799224</v>
      </c>
      <c r="F212" s="79">
        <f t="shared" si="10"/>
        <v>37789524</v>
      </c>
      <c r="G212" s="54">
        <v>37789524</v>
      </c>
      <c r="H212" s="55">
        <f t="shared" si="12"/>
        <v>0</v>
      </c>
      <c r="I212" s="65">
        <v>45023</v>
      </c>
      <c r="J212" s="2" t="s">
        <v>51</v>
      </c>
    </row>
    <row r="213" spans="1:10" ht="16.5" customHeight="1" x14ac:dyDescent="0.35">
      <c r="A213" s="76" t="s">
        <v>920</v>
      </c>
      <c r="B213" s="77">
        <v>44988</v>
      </c>
      <c r="C213" s="78" t="s">
        <v>1168</v>
      </c>
      <c r="D213" s="58">
        <v>234000</v>
      </c>
      <c r="E213" s="58">
        <f t="shared" si="11"/>
        <v>18720</v>
      </c>
      <c r="F213" s="79">
        <f t="shared" si="10"/>
        <v>252720</v>
      </c>
      <c r="G213" s="54">
        <v>252720</v>
      </c>
      <c r="H213" s="55">
        <f t="shared" si="12"/>
        <v>0</v>
      </c>
      <c r="I213" s="65">
        <v>45023</v>
      </c>
      <c r="J213" s="2" t="s">
        <v>51</v>
      </c>
    </row>
    <row r="214" spans="1:10" ht="16.5" customHeight="1" x14ac:dyDescent="0.35">
      <c r="A214" s="76" t="s">
        <v>1169</v>
      </c>
      <c r="B214" s="77">
        <v>44993</v>
      </c>
      <c r="C214" s="78" t="s">
        <v>1151</v>
      </c>
      <c r="D214" s="58">
        <v>4903800</v>
      </c>
      <c r="E214" s="58">
        <f t="shared" si="11"/>
        <v>392304</v>
      </c>
      <c r="F214" s="79">
        <f t="shared" si="10"/>
        <v>5296104</v>
      </c>
      <c r="G214" s="54">
        <v>5296104</v>
      </c>
      <c r="H214" s="55">
        <f t="shared" si="12"/>
        <v>0</v>
      </c>
      <c r="I214" s="65">
        <v>45023</v>
      </c>
      <c r="J214" s="2" t="s">
        <v>51</v>
      </c>
    </row>
    <row r="215" spans="1:10" ht="16.5" customHeight="1" x14ac:dyDescent="0.35">
      <c r="A215" s="76" t="s">
        <v>963</v>
      </c>
      <c r="B215" s="77">
        <v>44994</v>
      </c>
      <c r="C215" s="78" t="s">
        <v>1136</v>
      </c>
      <c r="D215" s="58">
        <v>5319000</v>
      </c>
      <c r="E215" s="58">
        <f>+D215*0.1</f>
        <v>531900</v>
      </c>
      <c r="F215" s="79">
        <f t="shared" si="10"/>
        <v>5850900</v>
      </c>
      <c r="G215" s="54">
        <v>5850900</v>
      </c>
      <c r="H215" s="55">
        <f t="shared" si="12"/>
        <v>0</v>
      </c>
      <c r="I215" s="65">
        <v>45023</v>
      </c>
      <c r="J215" s="2" t="s">
        <v>51</v>
      </c>
    </row>
    <row r="216" spans="1:10" ht="16.5" customHeight="1" x14ac:dyDescent="0.35">
      <c r="A216" s="76" t="s">
        <v>948</v>
      </c>
      <c r="B216" s="77">
        <v>44920</v>
      </c>
      <c r="C216" s="78" t="s">
        <v>1170</v>
      </c>
      <c r="D216" s="58">
        <v>117000</v>
      </c>
      <c r="E216" s="58">
        <f t="shared" si="11"/>
        <v>9360</v>
      </c>
      <c r="F216" s="79">
        <f t="shared" si="10"/>
        <v>126360</v>
      </c>
      <c r="G216" s="54">
        <v>126360</v>
      </c>
      <c r="H216" s="55">
        <f t="shared" si="12"/>
        <v>0</v>
      </c>
      <c r="I216" s="65">
        <v>44981</v>
      </c>
    </row>
    <row r="217" spans="1:10" s="62" customFormat="1" ht="16.5" customHeight="1" x14ac:dyDescent="0.35">
      <c r="A217" s="76" t="s">
        <v>961</v>
      </c>
      <c r="B217" s="77">
        <v>44996</v>
      </c>
      <c r="C217" s="78" t="s">
        <v>1108</v>
      </c>
      <c r="D217" s="58">
        <v>17332000</v>
      </c>
      <c r="E217" s="58">
        <f t="shared" si="11"/>
        <v>1386560</v>
      </c>
      <c r="F217" s="59">
        <f t="shared" si="10"/>
        <v>18718560</v>
      </c>
      <c r="G217" s="60">
        <v>18718560</v>
      </c>
      <c r="H217" s="61">
        <f t="shared" si="12"/>
        <v>0</v>
      </c>
      <c r="I217" s="80" t="s">
        <v>1171</v>
      </c>
    </row>
    <row r="218" spans="1:10" s="62" customFormat="1" ht="16.5" customHeight="1" x14ac:dyDescent="0.35">
      <c r="A218" s="76" t="s">
        <v>961</v>
      </c>
      <c r="B218" s="77">
        <v>44996</v>
      </c>
      <c r="C218" s="78" t="s">
        <v>1105</v>
      </c>
      <c r="D218" s="58">
        <v>15757300</v>
      </c>
      <c r="E218" s="58">
        <f t="shared" si="11"/>
        <v>1260584</v>
      </c>
      <c r="F218" s="59">
        <f t="shared" si="10"/>
        <v>17017884</v>
      </c>
      <c r="G218" s="60">
        <v>17017884</v>
      </c>
      <c r="H218" s="61">
        <f t="shared" si="12"/>
        <v>0</v>
      </c>
      <c r="I218" s="80" t="s">
        <v>1171</v>
      </c>
    </row>
    <row r="219" spans="1:10" ht="16.5" customHeight="1" x14ac:dyDescent="0.35">
      <c r="A219" s="76" t="s">
        <v>946</v>
      </c>
      <c r="B219" s="77">
        <v>44999</v>
      </c>
      <c r="C219" s="78" t="s">
        <v>1172</v>
      </c>
      <c r="D219" s="58">
        <v>11451400</v>
      </c>
      <c r="E219" s="58">
        <f t="shared" si="11"/>
        <v>916112</v>
      </c>
      <c r="F219" s="79">
        <f t="shared" si="10"/>
        <v>12367512</v>
      </c>
      <c r="G219" s="54">
        <v>12367512</v>
      </c>
      <c r="H219" s="55">
        <f t="shared" si="12"/>
        <v>0</v>
      </c>
      <c r="I219" s="65">
        <v>45023</v>
      </c>
      <c r="J219" s="2" t="s">
        <v>51</v>
      </c>
    </row>
    <row r="220" spans="1:10" ht="16.5" customHeight="1" x14ac:dyDescent="0.35">
      <c r="A220" s="76" t="s">
        <v>930</v>
      </c>
      <c r="B220" s="77">
        <v>44999</v>
      </c>
      <c r="C220" s="78" t="s">
        <v>1173</v>
      </c>
      <c r="D220" s="58">
        <v>47808300</v>
      </c>
      <c r="E220" s="58">
        <f t="shared" si="11"/>
        <v>3824664</v>
      </c>
      <c r="F220" s="79">
        <f t="shared" si="10"/>
        <v>51632964</v>
      </c>
      <c r="G220" s="54">
        <v>51632964</v>
      </c>
      <c r="H220" s="55">
        <f t="shared" si="12"/>
        <v>0</v>
      </c>
      <c r="I220" s="65">
        <v>45023</v>
      </c>
      <c r="J220" s="2" t="s">
        <v>51</v>
      </c>
    </row>
    <row r="221" spans="1:10" ht="16.5" customHeight="1" x14ac:dyDescent="0.35">
      <c r="A221" s="76" t="s">
        <v>955</v>
      </c>
      <c r="B221" s="77">
        <v>44984</v>
      </c>
      <c r="C221" s="78" t="s">
        <v>1077</v>
      </c>
      <c r="D221" s="58">
        <v>62711600</v>
      </c>
      <c r="E221" s="58">
        <f t="shared" si="11"/>
        <v>5016928</v>
      </c>
      <c r="F221" s="79">
        <f t="shared" si="10"/>
        <v>67728528</v>
      </c>
      <c r="G221" s="54">
        <v>67728528</v>
      </c>
      <c r="H221" s="55">
        <f t="shared" si="12"/>
        <v>0</v>
      </c>
      <c r="I221" s="65">
        <v>45023</v>
      </c>
      <c r="J221" s="2" t="s">
        <v>51</v>
      </c>
    </row>
    <row r="222" spans="1:10" ht="16.5" customHeight="1" x14ac:dyDescent="0.35">
      <c r="A222" s="76" t="s">
        <v>1174</v>
      </c>
      <c r="B222" s="77">
        <v>44964</v>
      </c>
      <c r="C222" s="78" t="s">
        <v>1059</v>
      </c>
      <c r="D222" s="58">
        <v>20168909</v>
      </c>
      <c r="E222" s="58">
        <f t="shared" si="11"/>
        <v>1613512.72</v>
      </c>
      <c r="F222" s="79">
        <f t="shared" si="10"/>
        <v>21782421.719999999</v>
      </c>
      <c r="G222" s="54">
        <v>21782421.719999999</v>
      </c>
      <c r="H222" s="55">
        <f t="shared" si="12"/>
        <v>0</v>
      </c>
      <c r="I222" s="65">
        <v>45023</v>
      </c>
      <c r="J222" s="2" t="s">
        <v>51</v>
      </c>
    </row>
    <row r="223" spans="1:10" ht="16.5" customHeight="1" x14ac:dyDescent="0.35">
      <c r="A223" s="76" t="s">
        <v>928</v>
      </c>
      <c r="B223" s="77">
        <v>44966</v>
      </c>
      <c r="C223" s="78" t="s">
        <v>1068</v>
      </c>
      <c r="D223" s="58">
        <v>18868400</v>
      </c>
      <c r="E223" s="58">
        <f t="shared" si="11"/>
        <v>1509472</v>
      </c>
      <c r="F223" s="79">
        <f t="shared" si="10"/>
        <v>20377872</v>
      </c>
      <c r="G223" s="54">
        <v>20377872</v>
      </c>
      <c r="H223" s="55">
        <f t="shared" si="12"/>
        <v>0</v>
      </c>
      <c r="I223" s="65">
        <v>45023</v>
      </c>
      <c r="J223" s="2" t="s">
        <v>51</v>
      </c>
    </row>
    <row r="224" spans="1:10" ht="16.5" customHeight="1" x14ac:dyDescent="0.35">
      <c r="A224" s="76" t="s">
        <v>932</v>
      </c>
      <c r="B224" s="77">
        <v>44964</v>
      </c>
      <c r="C224" s="78" t="s">
        <v>1175</v>
      </c>
      <c r="D224" s="58">
        <v>10327000</v>
      </c>
      <c r="E224" s="58">
        <f>+D224*0.1</f>
        <v>1032700</v>
      </c>
      <c r="F224" s="79">
        <f t="shared" si="10"/>
        <v>11359700</v>
      </c>
      <c r="G224" s="54">
        <v>11359700</v>
      </c>
      <c r="H224" s="55">
        <f t="shared" si="12"/>
        <v>0</v>
      </c>
      <c r="I224" s="65">
        <v>45023</v>
      </c>
      <c r="J224" s="2" t="s">
        <v>51</v>
      </c>
    </row>
    <row r="225" spans="1:10" ht="16.5" customHeight="1" x14ac:dyDescent="0.35">
      <c r="A225" s="76" t="s">
        <v>1176</v>
      </c>
      <c r="B225" s="77">
        <v>44975</v>
      </c>
      <c r="C225" s="78" t="s">
        <v>1046</v>
      </c>
      <c r="D225" s="58">
        <v>30194100</v>
      </c>
      <c r="E225" s="58">
        <f t="shared" si="11"/>
        <v>2415528</v>
      </c>
      <c r="F225" s="79">
        <f t="shared" si="10"/>
        <v>32609628</v>
      </c>
      <c r="G225" s="54">
        <v>32609628</v>
      </c>
      <c r="H225" s="55">
        <f t="shared" si="12"/>
        <v>0</v>
      </c>
      <c r="I225" s="65">
        <v>45023</v>
      </c>
      <c r="J225" s="2" t="s">
        <v>51</v>
      </c>
    </row>
    <row r="226" spans="1:10" ht="16.5" customHeight="1" x14ac:dyDescent="0.35">
      <c r="A226" s="76" t="s">
        <v>1174</v>
      </c>
      <c r="B226" s="77">
        <v>44964</v>
      </c>
      <c r="C226" s="78" t="s">
        <v>1177</v>
      </c>
      <c r="D226" s="58">
        <v>8443500</v>
      </c>
      <c r="E226" s="58">
        <f t="shared" si="11"/>
        <v>675480</v>
      </c>
      <c r="F226" s="79">
        <f t="shared" si="10"/>
        <v>9118980</v>
      </c>
      <c r="G226" s="54">
        <v>9118980</v>
      </c>
      <c r="H226" s="55">
        <f t="shared" si="12"/>
        <v>0</v>
      </c>
      <c r="I226" s="65">
        <v>45023</v>
      </c>
      <c r="J226" s="2" t="s">
        <v>51</v>
      </c>
    </row>
    <row r="227" spans="1:10" ht="16.5" customHeight="1" x14ac:dyDescent="0.35">
      <c r="A227" s="76" t="s">
        <v>1178</v>
      </c>
      <c r="B227" s="77">
        <v>45000</v>
      </c>
      <c r="C227" s="78" t="s">
        <v>1179</v>
      </c>
      <c r="D227" s="58">
        <v>1672000</v>
      </c>
      <c r="E227" s="58">
        <f>+D227*0.1</f>
        <v>167200</v>
      </c>
      <c r="F227" s="79">
        <f t="shared" si="10"/>
        <v>1839200</v>
      </c>
      <c r="G227" s="54">
        <v>1839200</v>
      </c>
      <c r="H227" s="55">
        <f t="shared" si="12"/>
        <v>0</v>
      </c>
      <c r="I227" s="65">
        <v>45023</v>
      </c>
      <c r="J227" s="2" t="s">
        <v>51</v>
      </c>
    </row>
    <row r="228" spans="1:10" ht="16.5" customHeight="1" x14ac:dyDescent="0.35">
      <c r="A228" s="76" t="s">
        <v>1178</v>
      </c>
      <c r="B228" s="77">
        <v>45000</v>
      </c>
      <c r="C228" s="78" t="s">
        <v>1168</v>
      </c>
      <c r="D228" s="58">
        <v>2202900</v>
      </c>
      <c r="E228" s="58">
        <f>+D228*0.1</f>
        <v>220290</v>
      </c>
      <c r="F228" s="79">
        <f t="shared" si="10"/>
        <v>2423190</v>
      </c>
      <c r="G228" s="54">
        <v>2423190</v>
      </c>
      <c r="H228" s="55">
        <f t="shared" si="12"/>
        <v>0</v>
      </c>
      <c r="I228" s="65">
        <v>45023</v>
      </c>
      <c r="J228" s="2" t="s">
        <v>51</v>
      </c>
    </row>
    <row r="229" spans="1:10" ht="16.5" customHeight="1" x14ac:dyDescent="0.35">
      <c r="A229" s="76" t="s">
        <v>1180</v>
      </c>
      <c r="B229" s="77">
        <v>44989</v>
      </c>
      <c r="C229" s="78" t="s">
        <v>1079</v>
      </c>
      <c r="D229" s="58">
        <v>19110550</v>
      </c>
      <c r="E229" s="58">
        <f t="shared" si="11"/>
        <v>1528844</v>
      </c>
      <c r="F229" s="79">
        <f t="shared" ref="F229:F240" si="13">+E229+D229</f>
        <v>20639394</v>
      </c>
      <c r="G229" s="54">
        <v>20639394</v>
      </c>
      <c r="H229" s="55">
        <f t="shared" si="12"/>
        <v>0</v>
      </c>
      <c r="I229" s="65">
        <v>45023</v>
      </c>
      <c r="J229" s="2" t="s">
        <v>51</v>
      </c>
    </row>
    <row r="230" spans="1:10" ht="16.5" customHeight="1" x14ac:dyDescent="0.35">
      <c r="A230" s="76" t="s">
        <v>965</v>
      </c>
      <c r="B230" s="77">
        <v>44993</v>
      </c>
      <c r="C230" s="78" t="s">
        <v>1061</v>
      </c>
      <c r="D230" s="58">
        <v>2110000</v>
      </c>
      <c r="E230" s="58">
        <f>+D230*0.1</f>
        <v>211000</v>
      </c>
      <c r="F230" s="79">
        <f t="shared" si="13"/>
        <v>2321000</v>
      </c>
      <c r="G230" s="54">
        <v>2321000</v>
      </c>
      <c r="H230" s="55">
        <f t="shared" si="12"/>
        <v>0</v>
      </c>
      <c r="I230" s="65">
        <v>45023</v>
      </c>
      <c r="J230" s="83" t="s">
        <v>51</v>
      </c>
    </row>
    <row r="231" spans="1:10" ht="16.5" customHeight="1" x14ac:dyDescent="0.35">
      <c r="A231" s="76" t="s">
        <v>946</v>
      </c>
      <c r="B231" s="77">
        <v>45000</v>
      </c>
      <c r="C231" s="78" t="s">
        <v>447</v>
      </c>
      <c r="D231" s="58">
        <v>16868000</v>
      </c>
      <c r="E231" s="58">
        <f t="shared" si="11"/>
        <v>1349440</v>
      </c>
      <c r="F231" s="79">
        <f t="shared" si="13"/>
        <v>18217440</v>
      </c>
      <c r="G231" s="54">
        <v>18217440</v>
      </c>
      <c r="H231" s="55">
        <f t="shared" si="12"/>
        <v>0</v>
      </c>
      <c r="I231" s="65">
        <v>45023</v>
      </c>
      <c r="J231" s="5" t="s">
        <v>51</v>
      </c>
    </row>
    <row r="232" spans="1:10" s="62" customFormat="1" ht="16.5" customHeight="1" x14ac:dyDescent="0.35">
      <c r="A232" s="76" t="s">
        <v>965</v>
      </c>
      <c r="B232" s="77">
        <v>44993</v>
      </c>
      <c r="C232" s="78" t="s">
        <v>1061</v>
      </c>
      <c r="D232" s="58">
        <v>2110000</v>
      </c>
      <c r="E232" s="58">
        <f>+D232*0.1</f>
        <v>211000</v>
      </c>
      <c r="F232" s="59">
        <f t="shared" si="13"/>
        <v>2321000</v>
      </c>
      <c r="G232" s="60">
        <v>2321000</v>
      </c>
      <c r="H232" s="61">
        <f t="shared" si="12"/>
        <v>0</v>
      </c>
      <c r="I232" s="80" t="s">
        <v>51</v>
      </c>
    </row>
    <row r="233" spans="1:10" ht="16.5" customHeight="1" x14ac:dyDescent="0.35">
      <c r="A233" s="76" t="s">
        <v>1181</v>
      </c>
      <c r="B233" s="77">
        <v>44925</v>
      </c>
      <c r="C233" s="78" t="s">
        <v>1182</v>
      </c>
      <c r="D233" s="58">
        <v>4272500</v>
      </c>
      <c r="E233" s="58">
        <f t="shared" si="11"/>
        <v>341800</v>
      </c>
      <c r="F233" s="79">
        <f t="shared" si="13"/>
        <v>4614300</v>
      </c>
      <c r="G233" s="54">
        <v>4614300</v>
      </c>
      <c r="H233" s="55">
        <f t="shared" si="12"/>
        <v>0</v>
      </c>
      <c r="I233" s="65">
        <v>45023</v>
      </c>
      <c r="J233" s="2" t="s">
        <v>51</v>
      </c>
    </row>
    <row r="234" spans="1:10" ht="16.5" customHeight="1" x14ac:dyDescent="0.35">
      <c r="A234" s="76" t="s">
        <v>995</v>
      </c>
      <c r="B234" s="77">
        <v>45014</v>
      </c>
      <c r="C234" s="78" t="s">
        <v>1183</v>
      </c>
      <c r="D234" s="58">
        <v>3451000</v>
      </c>
      <c r="E234" s="58">
        <f t="shared" si="11"/>
        <v>276080</v>
      </c>
      <c r="F234" s="79">
        <f t="shared" si="13"/>
        <v>3727080</v>
      </c>
      <c r="G234" s="54">
        <v>3727080</v>
      </c>
      <c r="H234" s="55">
        <f t="shared" si="12"/>
        <v>0</v>
      </c>
      <c r="I234" s="65">
        <v>45105</v>
      </c>
    </row>
    <row r="235" spans="1:10" ht="16.5" customHeight="1" x14ac:dyDescent="0.35">
      <c r="A235" s="76" t="s">
        <v>1184</v>
      </c>
      <c r="B235" s="77">
        <v>45029</v>
      </c>
      <c r="C235" s="78" t="s">
        <v>1185</v>
      </c>
      <c r="D235" s="58">
        <v>4864582</v>
      </c>
      <c r="E235" s="58">
        <f>+D235*0.1</f>
        <v>486458.2</v>
      </c>
      <c r="F235" s="79">
        <f t="shared" si="13"/>
        <v>5351040.2</v>
      </c>
      <c r="G235" s="54">
        <v>5351040.2</v>
      </c>
      <c r="H235" s="55">
        <f t="shared" si="12"/>
        <v>0</v>
      </c>
      <c r="I235" s="65">
        <v>45128</v>
      </c>
    </row>
    <row r="236" spans="1:10" ht="16.5" customHeight="1" x14ac:dyDescent="0.35">
      <c r="A236" s="76" t="s">
        <v>1184</v>
      </c>
      <c r="B236" s="77">
        <v>45030</v>
      </c>
      <c r="C236" s="78" t="s">
        <v>1186</v>
      </c>
      <c r="D236" s="58">
        <v>9296000</v>
      </c>
      <c r="E236" s="58">
        <f>+D236*0.1</f>
        <v>929600</v>
      </c>
      <c r="F236" s="79">
        <f t="shared" si="13"/>
        <v>10225600</v>
      </c>
      <c r="G236" s="54">
        <v>10225600</v>
      </c>
      <c r="H236" s="55">
        <f t="shared" si="12"/>
        <v>0</v>
      </c>
      <c r="I236" s="65">
        <v>45128</v>
      </c>
    </row>
    <row r="237" spans="1:10" ht="16.5" customHeight="1" x14ac:dyDescent="0.35">
      <c r="A237" s="76" t="s">
        <v>1155</v>
      </c>
      <c r="B237" s="77">
        <v>45037</v>
      </c>
      <c r="C237" s="78" t="s">
        <v>1187</v>
      </c>
      <c r="D237" s="58">
        <v>1143000</v>
      </c>
      <c r="E237" s="58">
        <f t="shared" ref="E237:E240" si="14">+D237*0.08</f>
        <v>91440</v>
      </c>
      <c r="F237" s="79">
        <f t="shared" si="13"/>
        <v>1234440</v>
      </c>
      <c r="G237" s="54">
        <v>1234440</v>
      </c>
      <c r="H237" s="55">
        <f t="shared" si="12"/>
        <v>0</v>
      </c>
      <c r="I237" s="65">
        <v>45128</v>
      </c>
    </row>
    <row r="238" spans="1:10" ht="16.5" customHeight="1" x14ac:dyDescent="0.35">
      <c r="A238" s="76" t="s">
        <v>1188</v>
      </c>
      <c r="B238" s="77">
        <v>45024</v>
      </c>
      <c r="C238" s="78" t="s">
        <v>1189</v>
      </c>
      <c r="D238" s="58">
        <v>67000</v>
      </c>
      <c r="E238" s="58">
        <f t="shared" si="14"/>
        <v>5360</v>
      </c>
      <c r="F238" s="79">
        <f t="shared" si="13"/>
        <v>72360</v>
      </c>
      <c r="G238" s="54">
        <v>72360</v>
      </c>
      <c r="H238" s="55">
        <f t="shared" si="12"/>
        <v>0</v>
      </c>
      <c r="I238" s="65">
        <v>45128</v>
      </c>
    </row>
    <row r="239" spans="1:10" ht="16.5" customHeight="1" x14ac:dyDescent="0.35">
      <c r="A239" s="76" t="s">
        <v>1188</v>
      </c>
      <c r="B239" s="77">
        <v>45024</v>
      </c>
      <c r="C239" s="78" t="s">
        <v>1190</v>
      </c>
      <c r="D239" s="58">
        <v>7258100</v>
      </c>
      <c r="E239" s="58">
        <f>+D239*0.1</f>
        <v>725810</v>
      </c>
      <c r="F239" s="79">
        <f t="shared" si="13"/>
        <v>7983910</v>
      </c>
      <c r="G239" s="54">
        <v>7983910</v>
      </c>
      <c r="H239" s="55">
        <f t="shared" si="12"/>
        <v>0</v>
      </c>
      <c r="I239" s="65">
        <v>45128</v>
      </c>
    </row>
    <row r="240" spans="1:10" ht="16.5" customHeight="1" x14ac:dyDescent="0.35">
      <c r="A240" s="76" t="s">
        <v>1124</v>
      </c>
      <c r="B240" s="77">
        <v>45098</v>
      </c>
      <c r="C240" s="78" t="s">
        <v>1191</v>
      </c>
      <c r="D240" s="58">
        <v>1880000</v>
      </c>
      <c r="E240" s="58">
        <f t="shared" si="14"/>
        <v>150400</v>
      </c>
      <c r="F240" s="79">
        <f t="shared" si="13"/>
        <v>2030400</v>
      </c>
      <c r="G240" s="54">
        <v>2030400</v>
      </c>
      <c r="H240" s="55">
        <f t="shared" si="12"/>
        <v>0</v>
      </c>
      <c r="I240" s="65">
        <v>45128</v>
      </c>
    </row>
    <row r="241" spans="1:10" ht="16.5" customHeight="1" x14ac:dyDescent="0.35">
      <c r="A241" s="76" t="s">
        <v>941</v>
      </c>
      <c r="B241" s="77">
        <v>45099</v>
      </c>
      <c r="C241" s="78" t="s">
        <v>1192</v>
      </c>
      <c r="D241" s="58">
        <v>720000</v>
      </c>
      <c r="E241" s="58">
        <f>+D241*0.08</f>
        <v>57600</v>
      </c>
      <c r="F241" s="79">
        <f>+E241+D241</f>
        <v>777600</v>
      </c>
      <c r="G241" s="54">
        <v>777600</v>
      </c>
      <c r="H241" s="55">
        <f t="shared" si="12"/>
        <v>0</v>
      </c>
      <c r="I241" s="65">
        <v>45194</v>
      </c>
    </row>
    <row r="242" spans="1:10" ht="16.5" customHeight="1" x14ac:dyDescent="0.35">
      <c r="A242" s="76" t="s">
        <v>1174</v>
      </c>
      <c r="B242" s="77">
        <v>45104</v>
      </c>
      <c r="C242" s="78" t="s">
        <v>1193</v>
      </c>
      <c r="D242" s="58">
        <v>707000</v>
      </c>
      <c r="E242" s="58">
        <f>+D242*0.1</f>
        <v>70700</v>
      </c>
      <c r="F242" s="79">
        <f>+E242+D242</f>
        <v>777700</v>
      </c>
      <c r="G242" s="54">
        <v>777700</v>
      </c>
      <c r="H242" s="55">
        <f t="shared" si="12"/>
        <v>0</v>
      </c>
      <c r="I242" s="65">
        <v>45128</v>
      </c>
    </row>
    <row r="243" spans="1:10" ht="16.5" customHeight="1" x14ac:dyDescent="0.35">
      <c r="A243" s="76" t="s">
        <v>1141</v>
      </c>
      <c r="B243" s="77">
        <v>45106</v>
      </c>
      <c r="C243" s="78" t="s">
        <v>1145</v>
      </c>
      <c r="D243" s="58">
        <v>3050000</v>
      </c>
      <c r="E243" s="58">
        <f t="shared" ref="E243:E245" si="15">+D243*0.1</f>
        <v>305000</v>
      </c>
      <c r="F243" s="79">
        <f t="shared" ref="F243:F333" si="16">+E243+D243</f>
        <v>3355000</v>
      </c>
      <c r="G243" s="54">
        <v>3355000</v>
      </c>
      <c r="H243" s="55">
        <f t="shared" si="12"/>
        <v>0</v>
      </c>
      <c r="I243" s="65">
        <v>45163</v>
      </c>
    </row>
    <row r="244" spans="1:10" ht="16.5" customHeight="1" x14ac:dyDescent="0.35">
      <c r="A244" s="76" t="s">
        <v>1194</v>
      </c>
      <c r="B244" s="77">
        <v>45112</v>
      </c>
      <c r="C244" s="78" t="s">
        <v>1195</v>
      </c>
      <c r="D244" s="58">
        <v>33076800</v>
      </c>
      <c r="E244" s="58">
        <f t="shared" si="15"/>
        <v>3307680</v>
      </c>
      <c r="F244" s="79">
        <f t="shared" si="16"/>
        <v>36384480</v>
      </c>
      <c r="G244" s="54">
        <v>36384480</v>
      </c>
      <c r="H244" s="55">
        <f t="shared" si="12"/>
        <v>0</v>
      </c>
      <c r="I244" s="65">
        <v>45163</v>
      </c>
    </row>
    <row r="245" spans="1:10" ht="16.5" customHeight="1" x14ac:dyDescent="0.35">
      <c r="A245" s="76" t="s">
        <v>1196</v>
      </c>
      <c r="B245" s="77">
        <v>45112</v>
      </c>
      <c r="C245" s="78" t="s">
        <v>1197</v>
      </c>
      <c r="D245" s="58">
        <v>41600</v>
      </c>
      <c r="E245" s="58">
        <f t="shared" si="15"/>
        <v>4160</v>
      </c>
      <c r="F245" s="79">
        <f t="shared" si="16"/>
        <v>45760</v>
      </c>
      <c r="G245" s="54">
        <v>45760</v>
      </c>
      <c r="H245" s="55">
        <f t="shared" si="12"/>
        <v>0</v>
      </c>
      <c r="I245" s="65">
        <v>45128</v>
      </c>
    </row>
    <row r="246" spans="1:10" ht="16.5" customHeight="1" x14ac:dyDescent="0.35">
      <c r="A246" s="76" t="s">
        <v>974</v>
      </c>
      <c r="B246" s="77">
        <v>45044</v>
      </c>
      <c r="C246" s="78" t="s">
        <v>1198</v>
      </c>
      <c r="D246" s="58">
        <v>2864000</v>
      </c>
      <c r="E246" s="58">
        <f>+D246*0.08</f>
        <v>229120</v>
      </c>
      <c r="F246" s="79">
        <f t="shared" si="16"/>
        <v>3093120</v>
      </c>
      <c r="G246" s="54">
        <v>3093120</v>
      </c>
      <c r="H246" s="55">
        <f t="shared" si="12"/>
        <v>0</v>
      </c>
      <c r="I246" s="65">
        <v>45128</v>
      </c>
    </row>
    <row r="247" spans="1:10" ht="16.5" customHeight="1" x14ac:dyDescent="0.35">
      <c r="A247" s="76" t="s">
        <v>1199</v>
      </c>
      <c r="B247" s="77">
        <v>45013</v>
      </c>
      <c r="C247" s="78" t="s">
        <v>1200</v>
      </c>
      <c r="D247" s="58">
        <v>32969800</v>
      </c>
      <c r="E247" s="58">
        <f>+D247*0.08</f>
        <v>2637584</v>
      </c>
      <c r="F247" s="79">
        <f t="shared" si="16"/>
        <v>35607384</v>
      </c>
      <c r="G247" s="54">
        <v>35607384</v>
      </c>
      <c r="H247" s="55">
        <f t="shared" si="12"/>
        <v>0</v>
      </c>
      <c r="I247" s="65">
        <v>45128</v>
      </c>
    </row>
    <row r="248" spans="1:10" ht="16.5" customHeight="1" x14ac:dyDescent="0.35">
      <c r="A248" s="76" t="s">
        <v>1008</v>
      </c>
      <c r="B248" s="77">
        <v>45131</v>
      </c>
      <c r="C248" s="78" t="s">
        <v>1201</v>
      </c>
      <c r="D248" s="58">
        <v>440400</v>
      </c>
      <c r="E248" s="58">
        <f>+D248*0.08</f>
        <v>35232</v>
      </c>
      <c r="F248" s="79">
        <f t="shared" si="16"/>
        <v>475632</v>
      </c>
      <c r="G248" s="54">
        <v>475632</v>
      </c>
      <c r="H248" s="55">
        <f t="shared" si="12"/>
        <v>0</v>
      </c>
      <c r="I248" s="65">
        <v>45163</v>
      </c>
    </row>
    <row r="249" spans="1:10" ht="16.5" customHeight="1" x14ac:dyDescent="0.35">
      <c r="A249" s="76" t="s">
        <v>1008</v>
      </c>
      <c r="B249" s="77">
        <v>45131</v>
      </c>
      <c r="C249" s="78" t="s">
        <v>1202</v>
      </c>
      <c r="D249" s="58">
        <v>80400</v>
      </c>
      <c r="E249" s="58">
        <f t="shared" ref="E249:E333" si="17">+D249*0.08</f>
        <v>6432</v>
      </c>
      <c r="F249" s="79">
        <f t="shared" si="16"/>
        <v>86832</v>
      </c>
      <c r="G249" s="54">
        <v>86832</v>
      </c>
      <c r="H249" s="55">
        <f t="shared" si="12"/>
        <v>0</v>
      </c>
      <c r="I249" s="65">
        <v>45163</v>
      </c>
    </row>
    <row r="250" spans="1:10" ht="16.5" customHeight="1" x14ac:dyDescent="0.35">
      <c r="A250" s="76" t="s">
        <v>1203</v>
      </c>
      <c r="B250" s="77">
        <v>45142</v>
      </c>
      <c r="C250" s="78" t="s">
        <v>1204</v>
      </c>
      <c r="D250" s="58">
        <v>1248500</v>
      </c>
      <c r="E250" s="58">
        <f t="shared" si="17"/>
        <v>99880</v>
      </c>
      <c r="F250" s="79">
        <f t="shared" si="16"/>
        <v>1348380</v>
      </c>
      <c r="G250" s="54">
        <v>1348380</v>
      </c>
      <c r="H250" s="55">
        <f t="shared" si="12"/>
        <v>0</v>
      </c>
      <c r="I250" s="65">
        <v>45163</v>
      </c>
    </row>
    <row r="251" spans="1:10" ht="16.5" customHeight="1" x14ac:dyDescent="0.35">
      <c r="A251" s="76" t="s">
        <v>1055</v>
      </c>
      <c r="B251" s="77">
        <v>45149</v>
      </c>
      <c r="C251" s="78" t="s">
        <v>1205</v>
      </c>
      <c r="D251" s="58">
        <v>104000</v>
      </c>
      <c r="E251" s="58">
        <f t="shared" si="17"/>
        <v>8320</v>
      </c>
      <c r="F251" s="79">
        <f t="shared" si="16"/>
        <v>112320</v>
      </c>
      <c r="G251" s="79">
        <v>112320</v>
      </c>
      <c r="H251" s="55">
        <f t="shared" si="12"/>
        <v>0</v>
      </c>
      <c r="I251" s="65">
        <v>45163</v>
      </c>
    </row>
    <row r="252" spans="1:10" ht="16.5" customHeight="1" x14ac:dyDescent="0.35">
      <c r="A252" s="76" t="s">
        <v>911</v>
      </c>
      <c r="B252" s="77">
        <v>45260</v>
      </c>
      <c r="C252" s="78" t="s">
        <v>1206</v>
      </c>
      <c r="D252" s="58">
        <v>800000</v>
      </c>
      <c r="E252" s="58">
        <f t="shared" si="17"/>
        <v>64000</v>
      </c>
      <c r="F252" s="79">
        <f t="shared" si="16"/>
        <v>864000</v>
      </c>
      <c r="G252" s="79">
        <v>864000</v>
      </c>
      <c r="H252" s="55">
        <f>+F252-G252</f>
        <v>0</v>
      </c>
      <c r="I252" s="84">
        <v>45278</v>
      </c>
      <c r="J252" s="2" t="s">
        <v>231</v>
      </c>
    </row>
    <row r="253" spans="1:10" ht="16.5" customHeight="1" x14ac:dyDescent="0.35">
      <c r="A253" s="76" t="s">
        <v>1207</v>
      </c>
      <c r="B253" s="77">
        <v>45265</v>
      </c>
      <c r="C253" s="78" t="s">
        <v>1208</v>
      </c>
      <c r="D253" s="58">
        <v>629800</v>
      </c>
      <c r="E253" s="58">
        <f t="shared" si="17"/>
        <v>50384</v>
      </c>
      <c r="F253" s="79">
        <f t="shared" si="16"/>
        <v>680184</v>
      </c>
      <c r="G253" s="54">
        <v>680184</v>
      </c>
      <c r="H253" s="55">
        <f>+F253-G253</f>
        <v>0</v>
      </c>
      <c r="I253" s="85">
        <v>45496</v>
      </c>
      <c r="J253" s="2" t="s">
        <v>231</v>
      </c>
    </row>
    <row r="254" spans="1:10" ht="16.5" customHeight="1" x14ac:dyDescent="0.35">
      <c r="A254" s="76" t="s">
        <v>998</v>
      </c>
      <c r="B254" s="77">
        <v>45265</v>
      </c>
      <c r="C254" s="78" t="s">
        <v>1209</v>
      </c>
      <c r="D254" s="58">
        <v>3523400</v>
      </c>
      <c r="E254" s="58">
        <f t="shared" si="17"/>
        <v>281872</v>
      </c>
      <c r="F254" s="79">
        <f t="shared" si="16"/>
        <v>3805272</v>
      </c>
      <c r="G254" s="54">
        <v>3805272</v>
      </c>
      <c r="H254" s="55">
        <f t="shared" si="12"/>
        <v>0</v>
      </c>
      <c r="I254" s="65">
        <v>45278</v>
      </c>
    </row>
    <row r="255" spans="1:10" ht="16.5" customHeight="1" x14ac:dyDescent="0.35">
      <c r="A255" s="76" t="s">
        <v>1119</v>
      </c>
      <c r="B255" s="77">
        <v>45264</v>
      </c>
      <c r="C255" s="78" t="s">
        <v>1210</v>
      </c>
      <c r="D255" s="58">
        <v>790000</v>
      </c>
      <c r="E255" s="58">
        <f t="shared" si="17"/>
        <v>63200</v>
      </c>
      <c r="F255" s="79">
        <f t="shared" si="16"/>
        <v>853200</v>
      </c>
      <c r="G255" s="54">
        <v>853200</v>
      </c>
      <c r="H255" s="55">
        <f t="shared" si="12"/>
        <v>0</v>
      </c>
      <c r="I255" s="65">
        <v>45278</v>
      </c>
    </row>
    <row r="256" spans="1:10" ht="16.5" customHeight="1" x14ac:dyDescent="0.35">
      <c r="A256" s="76" t="s">
        <v>1211</v>
      </c>
      <c r="B256" s="77">
        <v>45273</v>
      </c>
      <c r="C256" s="78" t="s">
        <v>624</v>
      </c>
      <c r="D256" s="58">
        <v>468000</v>
      </c>
      <c r="E256" s="58">
        <f t="shared" si="17"/>
        <v>37440</v>
      </c>
      <c r="F256" s="79">
        <f t="shared" si="16"/>
        <v>505440</v>
      </c>
      <c r="G256" s="54">
        <v>505440</v>
      </c>
      <c r="H256" s="55">
        <f t="shared" si="12"/>
        <v>0</v>
      </c>
      <c r="I256" s="65">
        <v>45309</v>
      </c>
      <c r="J256" s="2" t="s">
        <v>231</v>
      </c>
    </row>
    <row r="257" spans="1:10" ht="16.5" customHeight="1" x14ac:dyDescent="0.35">
      <c r="A257" s="76" t="s">
        <v>1080</v>
      </c>
      <c r="B257" s="77">
        <v>45275</v>
      </c>
      <c r="C257" s="78" t="s">
        <v>1212</v>
      </c>
      <c r="D257" s="58">
        <v>2200000</v>
      </c>
      <c r="E257" s="58">
        <f t="shared" si="17"/>
        <v>176000</v>
      </c>
      <c r="F257" s="79">
        <f t="shared" si="16"/>
        <v>2376000</v>
      </c>
      <c r="G257" s="54">
        <v>2376000</v>
      </c>
      <c r="H257" s="55">
        <f t="shared" si="12"/>
        <v>0</v>
      </c>
      <c r="I257" s="65">
        <v>45309</v>
      </c>
      <c r="J257" s="2" t="s">
        <v>231</v>
      </c>
    </row>
    <row r="258" spans="1:10" ht="16.5" customHeight="1" x14ac:dyDescent="0.35">
      <c r="A258" s="76" t="s">
        <v>959</v>
      </c>
      <c r="B258" s="77">
        <v>45278</v>
      </c>
      <c r="C258" s="78" t="s">
        <v>1213</v>
      </c>
      <c r="D258" s="58">
        <v>234000</v>
      </c>
      <c r="E258" s="58">
        <f t="shared" si="17"/>
        <v>18720</v>
      </c>
      <c r="F258" s="79">
        <f t="shared" si="16"/>
        <v>252720</v>
      </c>
      <c r="G258" s="54">
        <v>252720</v>
      </c>
      <c r="H258" s="55">
        <f t="shared" si="12"/>
        <v>0</v>
      </c>
      <c r="I258" s="65">
        <v>45371</v>
      </c>
      <c r="J258" s="2" t="s">
        <v>231</v>
      </c>
    </row>
    <row r="259" spans="1:10" ht="16.5" customHeight="1" x14ac:dyDescent="0.35">
      <c r="A259" s="76" t="s">
        <v>891</v>
      </c>
      <c r="B259" s="77">
        <v>45285</v>
      </c>
      <c r="C259" s="78" t="s">
        <v>1214</v>
      </c>
      <c r="D259" s="58">
        <v>540400</v>
      </c>
      <c r="E259" s="58">
        <f t="shared" si="17"/>
        <v>43232</v>
      </c>
      <c r="F259" s="79">
        <f t="shared" si="16"/>
        <v>583632</v>
      </c>
      <c r="G259" s="54">
        <v>583632</v>
      </c>
      <c r="H259" s="55">
        <f t="shared" si="12"/>
        <v>0</v>
      </c>
      <c r="I259" s="65">
        <v>45341</v>
      </c>
      <c r="J259" s="2" t="s">
        <v>231</v>
      </c>
    </row>
    <row r="260" spans="1:10" ht="16.5" customHeight="1" x14ac:dyDescent="0.35">
      <c r="A260" s="76" t="s">
        <v>893</v>
      </c>
      <c r="B260" s="77">
        <v>45344</v>
      </c>
      <c r="C260" s="78" t="s">
        <v>1215</v>
      </c>
      <c r="D260" s="58">
        <v>16890200</v>
      </c>
      <c r="E260" s="58">
        <f t="shared" si="17"/>
        <v>1351216</v>
      </c>
      <c r="F260" s="79">
        <f>+E260+D260</f>
        <v>18241416</v>
      </c>
      <c r="G260" s="54">
        <v>18241416</v>
      </c>
      <c r="H260" s="55">
        <f t="shared" si="12"/>
        <v>0</v>
      </c>
      <c r="I260" s="85">
        <v>45496</v>
      </c>
    </row>
    <row r="261" spans="1:10" ht="16.5" customHeight="1" x14ac:dyDescent="0.35">
      <c r="A261" s="76" t="s">
        <v>1216</v>
      </c>
      <c r="B261" s="77">
        <v>45327</v>
      </c>
      <c r="C261" s="78" t="s">
        <v>1217</v>
      </c>
      <c r="D261" s="58">
        <v>62400</v>
      </c>
      <c r="E261" s="58">
        <f t="shared" si="17"/>
        <v>4992</v>
      </c>
      <c r="F261" s="79">
        <f t="shared" si="16"/>
        <v>67392</v>
      </c>
      <c r="G261" s="54">
        <v>67392</v>
      </c>
      <c r="H261" s="55">
        <f t="shared" si="12"/>
        <v>0</v>
      </c>
      <c r="I261" s="65">
        <v>45392</v>
      </c>
    </row>
    <row r="262" spans="1:10" ht="16.5" customHeight="1" x14ac:dyDescent="0.35">
      <c r="A262" s="76" t="s">
        <v>922</v>
      </c>
      <c r="B262" s="77">
        <v>45341</v>
      </c>
      <c r="C262" s="78" t="s">
        <v>949</v>
      </c>
      <c r="D262" s="58">
        <v>18949600</v>
      </c>
      <c r="E262" s="58">
        <f t="shared" si="17"/>
        <v>1515968</v>
      </c>
      <c r="F262" s="79">
        <f t="shared" si="16"/>
        <v>20465568</v>
      </c>
      <c r="G262" s="54">
        <v>20465568</v>
      </c>
      <c r="H262" s="55">
        <f t="shared" si="12"/>
        <v>0</v>
      </c>
      <c r="I262" s="84">
        <v>45392</v>
      </c>
    </row>
    <row r="263" spans="1:10" ht="16.5" customHeight="1" x14ac:dyDescent="0.35">
      <c r="A263" s="76" t="s">
        <v>1218</v>
      </c>
      <c r="B263" s="77">
        <v>45341</v>
      </c>
      <c r="C263" s="78" t="s">
        <v>1219</v>
      </c>
      <c r="D263" s="58">
        <v>9285000</v>
      </c>
      <c r="E263" s="58">
        <f t="shared" si="17"/>
        <v>742800</v>
      </c>
      <c r="F263" s="79">
        <f t="shared" si="16"/>
        <v>10027800</v>
      </c>
      <c r="G263" s="54">
        <v>10027800</v>
      </c>
      <c r="H263" s="55">
        <f t="shared" si="12"/>
        <v>0</v>
      </c>
      <c r="I263" s="84">
        <v>45496</v>
      </c>
    </row>
    <row r="264" spans="1:10" ht="16.5" customHeight="1" x14ac:dyDescent="0.35">
      <c r="A264" s="76" t="s">
        <v>1027</v>
      </c>
      <c r="B264" s="77">
        <v>45342</v>
      </c>
      <c r="C264" s="78" t="s">
        <v>1091</v>
      </c>
      <c r="D264" s="58">
        <v>12055000</v>
      </c>
      <c r="E264" s="58">
        <f t="shared" si="17"/>
        <v>964400</v>
      </c>
      <c r="F264" s="79">
        <f t="shared" si="16"/>
        <v>13019400</v>
      </c>
      <c r="G264" s="54">
        <v>13019400</v>
      </c>
      <c r="H264" s="55">
        <f t="shared" si="12"/>
        <v>0</v>
      </c>
      <c r="I264" s="84">
        <v>45392</v>
      </c>
    </row>
    <row r="265" spans="1:10" ht="16.5" customHeight="1" x14ac:dyDescent="0.35">
      <c r="A265" s="76" t="s">
        <v>1220</v>
      </c>
      <c r="B265" s="77">
        <v>45342</v>
      </c>
      <c r="C265" s="78" t="s">
        <v>1221</v>
      </c>
      <c r="D265" s="58">
        <v>6591000</v>
      </c>
      <c r="E265" s="58">
        <f t="shared" si="17"/>
        <v>527280</v>
      </c>
      <c r="F265" s="79">
        <f t="shared" si="16"/>
        <v>7118280</v>
      </c>
      <c r="G265" s="54">
        <v>7118280</v>
      </c>
      <c r="H265" s="55">
        <f t="shared" si="12"/>
        <v>0</v>
      </c>
      <c r="I265" s="84">
        <v>45496</v>
      </c>
    </row>
    <row r="266" spans="1:10" ht="16.5" customHeight="1" x14ac:dyDescent="0.35">
      <c r="A266" s="76" t="s">
        <v>1222</v>
      </c>
      <c r="B266" s="77">
        <v>45342</v>
      </c>
      <c r="C266" s="78" t="s">
        <v>1223</v>
      </c>
      <c r="D266" s="58">
        <v>228800</v>
      </c>
      <c r="E266" s="58">
        <f t="shared" si="17"/>
        <v>18304</v>
      </c>
      <c r="F266" s="79">
        <f t="shared" si="16"/>
        <v>247104</v>
      </c>
      <c r="G266" s="54">
        <v>247104</v>
      </c>
      <c r="H266" s="55">
        <f t="shared" si="12"/>
        <v>0</v>
      </c>
      <c r="I266" s="65">
        <v>45392</v>
      </c>
    </row>
    <row r="267" spans="1:10" ht="16.5" customHeight="1" x14ac:dyDescent="0.35">
      <c r="A267" s="76" t="s">
        <v>911</v>
      </c>
      <c r="B267" s="77">
        <v>45344</v>
      </c>
      <c r="C267" s="78" t="s">
        <v>1224</v>
      </c>
      <c r="D267" s="58">
        <v>23509500</v>
      </c>
      <c r="E267" s="58">
        <f t="shared" si="17"/>
        <v>1880760</v>
      </c>
      <c r="F267" s="79">
        <f t="shared" si="16"/>
        <v>25390260</v>
      </c>
      <c r="G267" s="54">
        <v>25390260</v>
      </c>
      <c r="H267" s="55">
        <f t="shared" si="12"/>
        <v>0</v>
      </c>
      <c r="I267" s="84">
        <v>45496</v>
      </c>
    </row>
    <row r="268" spans="1:10" ht="16.5" customHeight="1" x14ac:dyDescent="0.35">
      <c r="A268" s="76" t="s">
        <v>1158</v>
      </c>
      <c r="B268" s="77">
        <v>45344</v>
      </c>
      <c r="C268" s="78" t="s">
        <v>1079</v>
      </c>
      <c r="D268" s="58">
        <v>16593600</v>
      </c>
      <c r="E268" s="58">
        <f t="shared" si="17"/>
        <v>1327488</v>
      </c>
      <c r="F268" s="79">
        <f t="shared" si="16"/>
        <v>17921088</v>
      </c>
      <c r="G268" s="54">
        <v>17921088</v>
      </c>
      <c r="H268" s="55">
        <f t="shared" si="12"/>
        <v>0</v>
      </c>
      <c r="I268" s="85">
        <v>45496</v>
      </c>
    </row>
    <row r="269" spans="1:10" ht="16.5" customHeight="1" x14ac:dyDescent="0.35">
      <c r="A269" s="76" t="s">
        <v>998</v>
      </c>
      <c r="B269" s="77">
        <v>45345</v>
      </c>
      <c r="C269" s="78" t="s">
        <v>1081</v>
      </c>
      <c r="D269" s="58">
        <v>1826000</v>
      </c>
      <c r="E269" s="58">
        <f t="shared" si="17"/>
        <v>146080</v>
      </c>
      <c r="F269" s="79">
        <f t="shared" si="16"/>
        <v>1972080</v>
      </c>
      <c r="G269" s="54">
        <v>1972080</v>
      </c>
      <c r="H269" s="55">
        <f t="shared" si="12"/>
        <v>0</v>
      </c>
      <c r="I269" s="84">
        <v>45392</v>
      </c>
    </row>
    <row r="270" spans="1:10" ht="16.5" customHeight="1" x14ac:dyDescent="0.35">
      <c r="A270" s="76" t="s">
        <v>1124</v>
      </c>
      <c r="B270" s="77">
        <v>45345</v>
      </c>
      <c r="C270" s="78" t="s">
        <v>1064</v>
      </c>
      <c r="D270" s="58">
        <v>10300600</v>
      </c>
      <c r="E270" s="58">
        <f t="shared" si="17"/>
        <v>824048</v>
      </c>
      <c r="F270" s="79">
        <f t="shared" si="16"/>
        <v>11124648</v>
      </c>
      <c r="G270" s="54">
        <v>11124648</v>
      </c>
      <c r="H270" s="55">
        <f t="shared" si="12"/>
        <v>0</v>
      </c>
      <c r="I270" s="85">
        <v>45496</v>
      </c>
    </row>
    <row r="271" spans="1:10" ht="16.5" customHeight="1" x14ac:dyDescent="0.35">
      <c r="A271" s="76" t="s">
        <v>1225</v>
      </c>
      <c r="B271" s="77">
        <v>45345</v>
      </c>
      <c r="C271" s="78" t="s">
        <v>873</v>
      </c>
      <c r="D271" s="58">
        <v>8932000</v>
      </c>
      <c r="E271" s="58">
        <f t="shared" si="17"/>
        <v>714560</v>
      </c>
      <c r="F271" s="79">
        <f t="shared" si="16"/>
        <v>9646560</v>
      </c>
      <c r="G271" s="54">
        <v>9646560</v>
      </c>
      <c r="H271" s="55">
        <f t="shared" si="12"/>
        <v>0</v>
      </c>
      <c r="I271" s="85">
        <v>45496</v>
      </c>
    </row>
    <row r="272" spans="1:10" s="82" customFormat="1" ht="16.5" customHeight="1" x14ac:dyDescent="0.35">
      <c r="A272" s="47" t="s">
        <v>1085</v>
      </c>
      <c r="B272" s="48">
        <v>45355</v>
      </c>
      <c r="C272" s="50" t="s">
        <v>1226</v>
      </c>
      <c r="D272" s="51">
        <v>1861000</v>
      </c>
      <c r="E272" s="51">
        <f t="shared" si="17"/>
        <v>148880</v>
      </c>
      <c r="F272" s="79">
        <f t="shared" si="16"/>
        <v>2009880</v>
      </c>
      <c r="G272" s="54">
        <v>2009880</v>
      </c>
      <c r="H272" s="55">
        <f t="shared" si="12"/>
        <v>0</v>
      </c>
      <c r="I272" s="86">
        <v>45496</v>
      </c>
    </row>
    <row r="273" spans="1:9" ht="16.5" customHeight="1" x14ac:dyDescent="0.35">
      <c r="A273" s="76" t="s">
        <v>1227</v>
      </c>
      <c r="B273" s="77">
        <v>45346</v>
      </c>
      <c r="C273" s="78" t="s">
        <v>1228</v>
      </c>
      <c r="D273" s="58">
        <v>11041500</v>
      </c>
      <c r="E273" s="58">
        <f t="shared" si="17"/>
        <v>883320</v>
      </c>
      <c r="F273" s="79">
        <f t="shared" si="16"/>
        <v>11924820</v>
      </c>
      <c r="G273" s="54">
        <v>11924820</v>
      </c>
      <c r="H273" s="55">
        <f t="shared" si="12"/>
        <v>0</v>
      </c>
      <c r="I273" s="85">
        <v>45496</v>
      </c>
    </row>
    <row r="274" spans="1:9" ht="16.5" customHeight="1" x14ac:dyDescent="0.35">
      <c r="A274" s="76" t="s">
        <v>1229</v>
      </c>
      <c r="B274" s="77">
        <v>45346</v>
      </c>
      <c r="C274" s="78" t="s">
        <v>1041</v>
      </c>
      <c r="D274" s="58">
        <v>961000</v>
      </c>
      <c r="E274" s="58">
        <f t="shared" si="17"/>
        <v>76880</v>
      </c>
      <c r="F274" s="79">
        <f t="shared" si="16"/>
        <v>1037880</v>
      </c>
      <c r="G274" s="54">
        <v>1037880</v>
      </c>
      <c r="H274" s="55">
        <f t="shared" si="12"/>
        <v>0</v>
      </c>
      <c r="I274" s="85">
        <v>45496</v>
      </c>
    </row>
    <row r="275" spans="1:9" ht="16.5" customHeight="1" x14ac:dyDescent="0.35">
      <c r="A275" s="76" t="s">
        <v>1230</v>
      </c>
      <c r="B275" s="77">
        <v>45346</v>
      </c>
      <c r="C275" s="78" t="s">
        <v>1231</v>
      </c>
      <c r="D275" s="58">
        <v>249600</v>
      </c>
      <c r="E275" s="58">
        <f t="shared" si="17"/>
        <v>19968</v>
      </c>
      <c r="F275" s="79">
        <f t="shared" si="16"/>
        <v>269568</v>
      </c>
      <c r="G275" s="54">
        <v>269568</v>
      </c>
      <c r="H275" s="55">
        <f t="shared" si="12"/>
        <v>0</v>
      </c>
      <c r="I275" s="65">
        <v>45392</v>
      </c>
    </row>
    <row r="276" spans="1:9" ht="16.5" customHeight="1" x14ac:dyDescent="0.35">
      <c r="A276" s="76" t="s">
        <v>891</v>
      </c>
      <c r="B276" s="77">
        <v>45348</v>
      </c>
      <c r="C276" s="78" t="s">
        <v>1068</v>
      </c>
      <c r="D276" s="58">
        <v>19541300</v>
      </c>
      <c r="E276" s="58">
        <f t="shared" si="17"/>
        <v>1563304</v>
      </c>
      <c r="F276" s="79">
        <f t="shared" si="16"/>
        <v>21104604</v>
      </c>
      <c r="G276" s="54">
        <v>21104604</v>
      </c>
      <c r="H276" s="55">
        <f t="shared" si="12"/>
        <v>0</v>
      </c>
      <c r="I276" s="84">
        <v>45392</v>
      </c>
    </row>
    <row r="277" spans="1:9" ht="16.5" customHeight="1" x14ac:dyDescent="0.35">
      <c r="A277" s="76" t="s">
        <v>948</v>
      </c>
      <c r="B277" s="77">
        <v>45348</v>
      </c>
      <c r="C277" s="78" t="s">
        <v>880</v>
      </c>
      <c r="D277" s="58">
        <v>1906000</v>
      </c>
      <c r="E277" s="58">
        <f t="shared" si="17"/>
        <v>152480</v>
      </c>
      <c r="F277" s="79">
        <f t="shared" si="16"/>
        <v>2058480</v>
      </c>
      <c r="G277" s="54">
        <v>2058480</v>
      </c>
      <c r="H277" s="55">
        <f t="shared" si="12"/>
        <v>0</v>
      </c>
      <c r="I277" s="65">
        <v>45371</v>
      </c>
    </row>
    <row r="278" spans="1:9" ht="16.5" customHeight="1" x14ac:dyDescent="0.35">
      <c r="A278" s="76" t="s">
        <v>1037</v>
      </c>
      <c r="B278" s="77">
        <v>45348</v>
      </c>
      <c r="C278" s="78" t="s">
        <v>1047</v>
      </c>
      <c r="D278" s="58">
        <v>20272700</v>
      </c>
      <c r="E278" s="58">
        <f t="shared" si="17"/>
        <v>1621816</v>
      </c>
      <c r="F278" s="79">
        <f t="shared" si="16"/>
        <v>21894516</v>
      </c>
      <c r="G278" s="54">
        <v>21894516</v>
      </c>
      <c r="H278" s="55">
        <f t="shared" si="12"/>
        <v>0</v>
      </c>
      <c r="I278" s="65">
        <v>45371</v>
      </c>
    </row>
    <row r="279" spans="1:9" ht="16.5" customHeight="1" x14ac:dyDescent="0.35">
      <c r="A279" s="76" t="s">
        <v>914</v>
      </c>
      <c r="B279" s="77">
        <v>45348</v>
      </c>
      <c r="C279" s="78" t="s">
        <v>1232</v>
      </c>
      <c r="D279" s="58">
        <v>6420400</v>
      </c>
      <c r="E279" s="58">
        <f t="shared" si="17"/>
        <v>513632</v>
      </c>
      <c r="F279" s="79">
        <f t="shared" si="16"/>
        <v>6934032</v>
      </c>
      <c r="G279" s="54">
        <v>6934032</v>
      </c>
      <c r="H279" s="55">
        <f t="shared" si="12"/>
        <v>0</v>
      </c>
      <c r="I279" s="85">
        <v>45496</v>
      </c>
    </row>
    <row r="280" spans="1:9" ht="16.5" customHeight="1" x14ac:dyDescent="0.35">
      <c r="A280" s="76" t="s">
        <v>943</v>
      </c>
      <c r="B280" s="77">
        <v>45348</v>
      </c>
      <c r="C280" s="78" t="s">
        <v>1066</v>
      </c>
      <c r="D280" s="58">
        <v>3762400</v>
      </c>
      <c r="E280" s="58">
        <f t="shared" si="17"/>
        <v>300992</v>
      </c>
      <c r="F280" s="79">
        <f t="shared" si="16"/>
        <v>4063392</v>
      </c>
      <c r="G280" s="54">
        <v>4063392</v>
      </c>
      <c r="H280" s="55">
        <f t="shared" si="12"/>
        <v>0</v>
      </c>
      <c r="I280" s="84">
        <v>45392</v>
      </c>
    </row>
    <row r="281" spans="1:9" ht="16.5" customHeight="1" x14ac:dyDescent="0.35">
      <c r="A281" s="76" t="s">
        <v>965</v>
      </c>
      <c r="B281" s="77">
        <v>45349</v>
      </c>
      <c r="C281" s="78" t="s">
        <v>1233</v>
      </c>
      <c r="D281" s="58">
        <v>2334800</v>
      </c>
      <c r="E281" s="58">
        <f t="shared" si="17"/>
        <v>186784</v>
      </c>
      <c r="F281" s="79">
        <f t="shared" si="16"/>
        <v>2521584</v>
      </c>
      <c r="G281" s="54">
        <v>2521584</v>
      </c>
      <c r="H281" s="55">
        <f t="shared" si="12"/>
        <v>0</v>
      </c>
      <c r="I281" s="85">
        <v>45496</v>
      </c>
    </row>
    <row r="282" spans="1:9" ht="16.5" customHeight="1" x14ac:dyDescent="0.35">
      <c r="A282" s="76" t="s">
        <v>965</v>
      </c>
      <c r="B282" s="77">
        <v>45349</v>
      </c>
      <c r="C282" s="78" t="s">
        <v>1221</v>
      </c>
      <c r="D282" s="58">
        <v>1845800</v>
      </c>
      <c r="E282" s="58">
        <f t="shared" si="17"/>
        <v>147664</v>
      </c>
      <c r="F282" s="79">
        <f t="shared" si="16"/>
        <v>1993464</v>
      </c>
      <c r="G282" s="54">
        <v>1993464</v>
      </c>
      <c r="H282" s="55">
        <f t="shared" si="12"/>
        <v>0</v>
      </c>
      <c r="I282" s="85">
        <v>45496</v>
      </c>
    </row>
    <row r="283" spans="1:9" ht="16.5" customHeight="1" x14ac:dyDescent="0.35">
      <c r="A283" s="76" t="s">
        <v>1058</v>
      </c>
      <c r="B283" s="77">
        <v>45349</v>
      </c>
      <c r="C283" s="78" t="s">
        <v>1234</v>
      </c>
      <c r="D283" s="58">
        <v>3684000</v>
      </c>
      <c r="E283" s="58">
        <f t="shared" si="17"/>
        <v>294720</v>
      </c>
      <c r="F283" s="79">
        <f t="shared" si="16"/>
        <v>3978720</v>
      </c>
      <c r="G283" s="54">
        <v>3978720</v>
      </c>
      <c r="H283" s="55">
        <f t="shared" si="12"/>
        <v>0</v>
      </c>
      <c r="I283" s="84">
        <v>45392</v>
      </c>
    </row>
    <row r="284" spans="1:9" ht="16.5" customHeight="1" x14ac:dyDescent="0.35">
      <c r="A284" s="76" t="s">
        <v>1113</v>
      </c>
      <c r="B284" s="77">
        <v>45349</v>
      </c>
      <c r="C284" s="78" t="s">
        <v>1235</v>
      </c>
      <c r="D284" s="58">
        <v>5168800</v>
      </c>
      <c r="E284" s="58">
        <f t="shared" si="17"/>
        <v>413504</v>
      </c>
      <c r="F284" s="79">
        <f t="shared" si="16"/>
        <v>5582304</v>
      </c>
      <c r="G284" s="54">
        <v>5582304</v>
      </c>
      <c r="H284" s="55">
        <f t="shared" si="12"/>
        <v>0</v>
      </c>
      <c r="I284" s="84">
        <v>45392</v>
      </c>
    </row>
    <row r="285" spans="1:9" ht="16.5" customHeight="1" x14ac:dyDescent="0.35">
      <c r="A285" s="76" t="s">
        <v>1178</v>
      </c>
      <c r="B285" s="77">
        <v>45349</v>
      </c>
      <c r="C285" s="78" t="s">
        <v>1129</v>
      </c>
      <c r="D285" s="58">
        <v>7302000</v>
      </c>
      <c r="E285" s="58">
        <f t="shared" si="17"/>
        <v>584160</v>
      </c>
      <c r="F285" s="79">
        <f t="shared" si="16"/>
        <v>7886160</v>
      </c>
      <c r="G285" s="54">
        <v>7886160</v>
      </c>
      <c r="H285" s="55">
        <f t="shared" si="12"/>
        <v>0</v>
      </c>
      <c r="I285" s="85">
        <v>45496</v>
      </c>
    </row>
    <row r="286" spans="1:9" ht="16.5" customHeight="1" x14ac:dyDescent="0.35">
      <c r="A286" s="76" t="s">
        <v>1236</v>
      </c>
      <c r="B286" s="77">
        <v>45350</v>
      </c>
      <c r="C286" s="78" t="s">
        <v>1134</v>
      </c>
      <c r="D286" s="58">
        <v>23261500</v>
      </c>
      <c r="E286" s="58">
        <f t="shared" si="17"/>
        <v>1860920</v>
      </c>
      <c r="F286" s="79">
        <f t="shared" si="16"/>
        <v>25122420</v>
      </c>
      <c r="G286" s="54">
        <v>25122420</v>
      </c>
      <c r="H286" s="55">
        <f t="shared" si="12"/>
        <v>0</v>
      </c>
      <c r="I286" s="85">
        <v>45496</v>
      </c>
    </row>
    <row r="287" spans="1:9" ht="16.5" customHeight="1" x14ac:dyDescent="0.35">
      <c r="A287" s="76" t="s">
        <v>1102</v>
      </c>
      <c r="B287" s="77">
        <v>45350</v>
      </c>
      <c r="C287" s="78" t="s">
        <v>1237</v>
      </c>
      <c r="D287" s="58">
        <v>5416400</v>
      </c>
      <c r="E287" s="58">
        <f t="shared" si="17"/>
        <v>433312</v>
      </c>
      <c r="F287" s="79">
        <f t="shared" si="16"/>
        <v>5849712</v>
      </c>
      <c r="G287" s="54">
        <v>5849712</v>
      </c>
      <c r="H287" s="55">
        <f t="shared" si="12"/>
        <v>0</v>
      </c>
      <c r="I287" s="65">
        <v>45371</v>
      </c>
    </row>
    <row r="288" spans="1:9" ht="16.5" customHeight="1" x14ac:dyDescent="0.35">
      <c r="A288" s="76" t="s">
        <v>982</v>
      </c>
      <c r="B288" s="77">
        <v>45350</v>
      </c>
      <c r="C288" s="78" t="s">
        <v>908</v>
      </c>
      <c r="D288" s="58">
        <v>3682600</v>
      </c>
      <c r="E288" s="58">
        <f t="shared" si="17"/>
        <v>294608</v>
      </c>
      <c r="F288" s="79">
        <f t="shared" si="16"/>
        <v>3977208</v>
      </c>
      <c r="G288" s="54">
        <v>3977208</v>
      </c>
      <c r="H288" s="55">
        <f t="shared" si="12"/>
        <v>0</v>
      </c>
      <c r="I288" s="85">
        <v>45496</v>
      </c>
    </row>
    <row r="289" spans="1:10" ht="16.5" customHeight="1" x14ac:dyDescent="0.35">
      <c r="A289" s="76" t="s">
        <v>1078</v>
      </c>
      <c r="B289" s="77">
        <v>45350</v>
      </c>
      <c r="C289" s="78" t="s">
        <v>1238</v>
      </c>
      <c r="D289" s="58">
        <v>15010700</v>
      </c>
      <c r="E289" s="58">
        <f t="shared" si="17"/>
        <v>1200856</v>
      </c>
      <c r="F289" s="79">
        <f t="shared" si="16"/>
        <v>16211556</v>
      </c>
      <c r="G289" s="54">
        <v>16211556</v>
      </c>
      <c r="H289" s="55">
        <f t="shared" si="12"/>
        <v>0</v>
      </c>
      <c r="I289" s="85">
        <v>45496</v>
      </c>
    </row>
    <row r="290" spans="1:10" ht="16.5" customHeight="1" x14ac:dyDescent="0.35">
      <c r="A290" s="76" t="s">
        <v>1100</v>
      </c>
      <c r="B290" s="77">
        <v>45350</v>
      </c>
      <c r="C290" s="78" t="s">
        <v>1144</v>
      </c>
      <c r="D290" s="58">
        <v>9917200</v>
      </c>
      <c r="E290" s="58">
        <f t="shared" si="17"/>
        <v>793376</v>
      </c>
      <c r="F290" s="79">
        <f t="shared" si="16"/>
        <v>10710576</v>
      </c>
      <c r="G290" s="54">
        <v>10710576</v>
      </c>
      <c r="H290" s="55">
        <f t="shared" si="12"/>
        <v>0</v>
      </c>
      <c r="I290" s="85">
        <v>45496</v>
      </c>
    </row>
    <row r="291" spans="1:10" ht="16.5" customHeight="1" x14ac:dyDescent="0.35">
      <c r="A291" s="76" t="s">
        <v>936</v>
      </c>
      <c r="B291" s="77">
        <v>45351</v>
      </c>
      <c r="C291" s="78" t="s">
        <v>1059</v>
      </c>
      <c r="D291" s="58">
        <v>14048000</v>
      </c>
      <c r="E291" s="58">
        <f t="shared" si="17"/>
        <v>1123840</v>
      </c>
      <c r="F291" s="79">
        <f t="shared" si="16"/>
        <v>15171840</v>
      </c>
      <c r="G291" s="54">
        <v>15171840</v>
      </c>
      <c r="H291" s="55">
        <f t="shared" si="12"/>
        <v>0</v>
      </c>
      <c r="I291" s="65">
        <v>45371</v>
      </c>
    </row>
    <row r="292" spans="1:10" ht="16.5" customHeight="1" x14ac:dyDescent="0.35">
      <c r="A292" s="76" t="s">
        <v>932</v>
      </c>
      <c r="B292" s="77">
        <v>45351</v>
      </c>
      <c r="C292" s="78" t="s">
        <v>1052</v>
      </c>
      <c r="D292" s="58">
        <v>16244600</v>
      </c>
      <c r="E292" s="58">
        <f t="shared" si="17"/>
        <v>1299568</v>
      </c>
      <c r="F292" s="79">
        <f t="shared" si="16"/>
        <v>17544168</v>
      </c>
      <c r="G292" s="54">
        <v>17544168</v>
      </c>
      <c r="H292" s="55">
        <f t="shared" si="12"/>
        <v>0</v>
      </c>
      <c r="I292" s="85">
        <v>45496</v>
      </c>
    </row>
    <row r="293" spans="1:10" ht="16.5" customHeight="1" x14ac:dyDescent="0.35">
      <c r="A293" s="76" t="s">
        <v>941</v>
      </c>
      <c r="B293" s="77">
        <v>45351</v>
      </c>
      <c r="C293" s="78" t="s">
        <v>1239</v>
      </c>
      <c r="D293" s="58">
        <v>33934600</v>
      </c>
      <c r="E293" s="58">
        <f t="shared" si="17"/>
        <v>2714768</v>
      </c>
      <c r="F293" s="79">
        <f t="shared" si="16"/>
        <v>36649368</v>
      </c>
      <c r="G293" s="54">
        <v>36649368</v>
      </c>
      <c r="H293" s="55">
        <f t="shared" si="12"/>
        <v>0</v>
      </c>
      <c r="I293" s="85">
        <v>45496</v>
      </c>
    </row>
    <row r="294" spans="1:10" ht="16.5" customHeight="1" x14ac:dyDescent="0.35">
      <c r="A294" s="76" t="s">
        <v>1240</v>
      </c>
      <c r="B294" s="77">
        <v>45351</v>
      </c>
      <c r="C294" s="78" t="s">
        <v>1241</v>
      </c>
      <c r="D294" s="58">
        <v>17073100</v>
      </c>
      <c r="E294" s="58">
        <f t="shared" si="17"/>
        <v>1365848</v>
      </c>
      <c r="F294" s="79">
        <f t="shared" si="16"/>
        <v>18438948</v>
      </c>
      <c r="G294" s="54">
        <v>18438948</v>
      </c>
      <c r="H294" s="55">
        <f t="shared" si="12"/>
        <v>0</v>
      </c>
      <c r="I294" s="85">
        <v>45496</v>
      </c>
    </row>
    <row r="295" spans="1:10" ht="16.5" customHeight="1" x14ac:dyDescent="0.35">
      <c r="A295" s="76" t="s">
        <v>1118</v>
      </c>
      <c r="B295" s="77">
        <v>45351</v>
      </c>
      <c r="C295" s="78" t="s">
        <v>1101</v>
      </c>
      <c r="D295" s="58">
        <v>5622000</v>
      </c>
      <c r="E295" s="58">
        <f t="shared" si="17"/>
        <v>449760</v>
      </c>
      <c r="F295" s="79">
        <f t="shared" si="16"/>
        <v>6071760</v>
      </c>
      <c r="G295" s="54">
        <v>6071760</v>
      </c>
      <c r="H295" s="55">
        <f t="shared" si="12"/>
        <v>0</v>
      </c>
      <c r="I295" s="85">
        <v>45496</v>
      </c>
    </row>
    <row r="296" spans="1:10" ht="16.5" customHeight="1" x14ac:dyDescent="0.35">
      <c r="A296" s="76" t="s">
        <v>1242</v>
      </c>
      <c r="B296" s="77">
        <v>45272</v>
      </c>
      <c r="C296" s="78" t="s">
        <v>1243</v>
      </c>
      <c r="D296" s="58">
        <v>270400</v>
      </c>
      <c r="E296" s="58">
        <f t="shared" si="17"/>
        <v>21632</v>
      </c>
      <c r="F296" s="79">
        <f t="shared" si="16"/>
        <v>292032</v>
      </c>
      <c r="G296" s="54">
        <v>292032</v>
      </c>
      <c r="H296" s="55">
        <f t="shared" si="12"/>
        <v>0</v>
      </c>
      <c r="I296" s="65">
        <v>45309</v>
      </c>
      <c r="J296" s="2" t="s">
        <v>231</v>
      </c>
    </row>
    <row r="297" spans="1:10" ht="16.5" customHeight="1" x14ac:dyDescent="0.35">
      <c r="A297" s="76" t="s">
        <v>1035</v>
      </c>
      <c r="B297" s="77">
        <v>45352</v>
      </c>
      <c r="C297" s="78" t="s">
        <v>897</v>
      </c>
      <c r="D297" s="58">
        <v>4289000</v>
      </c>
      <c r="E297" s="58">
        <f t="shared" si="17"/>
        <v>343120</v>
      </c>
      <c r="F297" s="79">
        <f t="shared" si="16"/>
        <v>4632120</v>
      </c>
      <c r="G297" s="54">
        <v>4632120</v>
      </c>
      <c r="H297" s="55">
        <f t="shared" si="12"/>
        <v>0</v>
      </c>
      <c r="I297" s="85">
        <v>45496</v>
      </c>
    </row>
    <row r="298" spans="1:10" ht="16.5" customHeight="1" x14ac:dyDescent="0.35">
      <c r="A298" s="76" t="s">
        <v>1076</v>
      </c>
      <c r="B298" s="77">
        <v>45352</v>
      </c>
      <c r="C298" s="78" t="s">
        <v>1244</v>
      </c>
      <c r="D298" s="58">
        <v>1714000</v>
      </c>
      <c r="E298" s="58">
        <f t="shared" si="17"/>
        <v>137120</v>
      </c>
      <c r="F298" s="79">
        <f t="shared" si="16"/>
        <v>1851120</v>
      </c>
      <c r="G298" s="54">
        <v>1851120</v>
      </c>
      <c r="H298" s="55">
        <f t="shared" si="12"/>
        <v>0</v>
      </c>
      <c r="I298" s="85">
        <v>45496</v>
      </c>
    </row>
    <row r="299" spans="1:10" ht="16.5" customHeight="1" x14ac:dyDescent="0.35">
      <c r="A299" s="76" t="s">
        <v>961</v>
      </c>
      <c r="B299" s="77">
        <v>45352</v>
      </c>
      <c r="C299" s="78" t="s">
        <v>1046</v>
      </c>
      <c r="D299" s="58">
        <v>82967200</v>
      </c>
      <c r="E299" s="58">
        <f t="shared" si="17"/>
        <v>6637376</v>
      </c>
      <c r="F299" s="79">
        <f t="shared" si="16"/>
        <v>89604576</v>
      </c>
      <c r="G299" s="54">
        <v>89604576</v>
      </c>
      <c r="H299" s="55">
        <f t="shared" si="12"/>
        <v>0</v>
      </c>
      <c r="I299" s="85">
        <v>45496</v>
      </c>
    </row>
    <row r="300" spans="1:10" ht="16.5" customHeight="1" x14ac:dyDescent="0.35">
      <c r="A300" s="76" t="s">
        <v>1245</v>
      </c>
      <c r="B300" s="77">
        <v>45352</v>
      </c>
      <c r="C300" s="78" t="s">
        <v>1246</v>
      </c>
      <c r="D300" s="58">
        <v>985000</v>
      </c>
      <c r="E300" s="58">
        <f t="shared" si="17"/>
        <v>78800</v>
      </c>
      <c r="F300" s="79">
        <f t="shared" si="16"/>
        <v>1063800</v>
      </c>
      <c r="G300" s="54">
        <v>1063800</v>
      </c>
      <c r="H300" s="55">
        <f t="shared" si="12"/>
        <v>0</v>
      </c>
      <c r="I300" s="85">
        <v>45496</v>
      </c>
    </row>
    <row r="301" spans="1:10" ht="16.5" customHeight="1" x14ac:dyDescent="0.35">
      <c r="A301" s="76" t="s">
        <v>1247</v>
      </c>
      <c r="B301" s="77">
        <v>45352</v>
      </c>
      <c r="C301" s="78" t="s">
        <v>1248</v>
      </c>
      <c r="D301" s="58">
        <v>3582000</v>
      </c>
      <c r="E301" s="58">
        <f t="shared" si="17"/>
        <v>286560</v>
      </c>
      <c r="F301" s="79">
        <f t="shared" si="16"/>
        <v>3868560</v>
      </c>
      <c r="G301" s="54">
        <v>3868560</v>
      </c>
      <c r="H301" s="55">
        <f t="shared" si="12"/>
        <v>0</v>
      </c>
      <c r="I301" s="84">
        <v>45392</v>
      </c>
    </row>
    <row r="302" spans="1:10" ht="16.5" customHeight="1" x14ac:dyDescent="0.35">
      <c r="A302" s="76" t="s">
        <v>1119</v>
      </c>
      <c r="B302" s="77">
        <v>45352</v>
      </c>
      <c r="C302" s="78" t="s">
        <v>1249</v>
      </c>
      <c r="D302" s="58">
        <v>32993700</v>
      </c>
      <c r="E302" s="58">
        <f t="shared" si="17"/>
        <v>2639496</v>
      </c>
      <c r="F302" s="79">
        <f>+E302+D302</f>
        <v>35633196</v>
      </c>
      <c r="G302" s="54">
        <v>35633196</v>
      </c>
      <c r="H302" s="55">
        <f t="shared" si="12"/>
        <v>0</v>
      </c>
      <c r="I302" s="85">
        <v>45496</v>
      </c>
    </row>
    <row r="303" spans="1:10" ht="16.5" customHeight="1" x14ac:dyDescent="0.35">
      <c r="A303" s="76" t="s">
        <v>1250</v>
      </c>
      <c r="B303" s="77">
        <v>45352</v>
      </c>
      <c r="C303" s="78" t="s">
        <v>1112</v>
      </c>
      <c r="D303" s="58">
        <v>6446000</v>
      </c>
      <c r="E303" s="58">
        <f t="shared" si="17"/>
        <v>515680</v>
      </c>
      <c r="F303" s="79">
        <f t="shared" si="16"/>
        <v>6961680</v>
      </c>
      <c r="G303" s="54">
        <v>6961680</v>
      </c>
      <c r="H303" s="55">
        <f t="shared" si="12"/>
        <v>0</v>
      </c>
      <c r="I303" s="85">
        <v>45496</v>
      </c>
    </row>
    <row r="304" spans="1:10" ht="16.5" customHeight="1" x14ac:dyDescent="0.35">
      <c r="A304" s="76" t="s">
        <v>909</v>
      </c>
      <c r="B304" s="77">
        <v>45352</v>
      </c>
      <c r="C304" s="78" t="s">
        <v>985</v>
      </c>
      <c r="D304" s="58">
        <v>234000</v>
      </c>
      <c r="E304" s="58">
        <f t="shared" si="17"/>
        <v>18720</v>
      </c>
      <c r="F304" s="79">
        <f t="shared" si="16"/>
        <v>252720</v>
      </c>
      <c r="G304" s="54">
        <v>252720</v>
      </c>
      <c r="H304" s="55">
        <f t="shared" si="12"/>
        <v>0</v>
      </c>
      <c r="I304" s="85">
        <v>45496</v>
      </c>
    </row>
    <row r="305" spans="1:9" ht="16.5" customHeight="1" x14ac:dyDescent="0.35">
      <c r="A305" s="76" t="s">
        <v>1160</v>
      </c>
      <c r="B305" s="77">
        <v>45352</v>
      </c>
      <c r="C305" s="78" t="s">
        <v>1251</v>
      </c>
      <c r="D305" s="58">
        <v>16323600</v>
      </c>
      <c r="E305" s="58">
        <f t="shared" si="17"/>
        <v>1305888</v>
      </c>
      <c r="F305" s="79">
        <f t="shared" si="16"/>
        <v>17629488</v>
      </c>
      <c r="G305" s="54">
        <v>17629488</v>
      </c>
      <c r="H305" s="55">
        <f t="shared" si="12"/>
        <v>0</v>
      </c>
      <c r="I305" s="85">
        <v>45496</v>
      </c>
    </row>
    <row r="306" spans="1:9" ht="16.5" customHeight="1" x14ac:dyDescent="0.35">
      <c r="A306" s="76" t="s">
        <v>961</v>
      </c>
      <c r="B306" s="77">
        <v>45352</v>
      </c>
      <c r="C306" s="78" t="s">
        <v>1221</v>
      </c>
      <c r="D306" s="58">
        <v>12343000</v>
      </c>
      <c r="E306" s="58">
        <f t="shared" si="17"/>
        <v>987440</v>
      </c>
      <c r="F306" s="79">
        <f t="shared" si="16"/>
        <v>13330440</v>
      </c>
      <c r="G306" s="54">
        <v>13330440</v>
      </c>
      <c r="H306" s="55">
        <f t="shared" si="12"/>
        <v>0</v>
      </c>
      <c r="I306" s="85">
        <v>45496</v>
      </c>
    </row>
    <row r="307" spans="1:9" ht="16.5" customHeight="1" x14ac:dyDescent="0.35">
      <c r="A307" s="76" t="s">
        <v>959</v>
      </c>
      <c r="B307" s="77">
        <v>45352</v>
      </c>
      <c r="C307" s="78" t="s">
        <v>1252</v>
      </c>
      <c r="D307" s="58">
        <v>23205300</v>
      </c>
      <c r="E307" s="58">
        <f t="shared" si="17"/>
        <v>1856424</v>
      </c>
      <c r="F307" s="79">
        <f t="shared" si="16"/>
        <v>25061724</v>
      </c>
      <c r="G307" s="54">
        <v>25061724</v>
      </c>
      <c r="H307" s="55">
        <f t="shared" si="12"/>
        <v>0</v>
      </c>
      <c r="I307" s="85">
        <v>45496</v>
      </c>
    </row>
    <row r="308" spans="1:9" ht="16.5" customHeight="1" x14ac:dyDescent="0.35">
      <c r="A308" s="76" t="s">
        <v>1142</v>
      </c>
      <c r="B308" s="77">
        <v>45353</v>
      </c>
      <c r="C308" s="78" t="s">
        <v>1224</v>
      </c>
      <c r="D308" s="58">
        <v>4930800</v>
      </c>
      <c r="E308" s="58">
        <f t="shared" si="17"/>
        <v>394464</v>
      </c>
      <c r="F308" s="79">
        <f t="shared" si="16"/>
        <v>5325264</v>
      </c>
      <c r="G308" s="54">
        <v>5325264</v>
      </c>
      <c r="H308" s="55">
        <f t="shared" si="12"/>
        <v>0</v>
      </c>
      <c r="I308" s="85">
        <v>45496</v>
      </c>
    </row>
    <row r="309" spans="1:9" ht="16.5" customHeight="1" x14ac:dyDescent="0.35">
      <c r="A309" s="76" t="s">
        <v>895</v>
      </c>
      <c r="B309" s="77">
        <v>45353</v>
      </c>
      <c r="C309" s="78" t="s">
        <v>1253</v>
      </c>
      <c r="D309" s="58">
        <v>120000</v>
      </c>
      <c r="E309" s="58">
        <f t="shared" si="17"/>
        <v>9600</v>
      </c>
      <c r="F309" s="79">
        <f t="shared" si="16"/>
        <v>129600</v>
      </c>
      <c r="G309" s="54">
        <v>129600</v>
      </c>
      <c r="H309" s="55">
        <f t="shared" si="12"/>
        <v>0</v>
      </c>
      <c r="I309" s="85">
        <v>45496</v>
      </c>
    </row>
    <row r="310" spans="1:9" ht="16.5" customHeight="1" x14ac:dyDescent="0.35">
      <c r="A310" s="76" t="s">
        <v>1055</v>
      </c>
      <c r="B310" s="77">
        <v>45353</v>
      </c>
      <c r="C310" s="78" t="s">
        <v>1067</v>
      </c>
      <c r="D310" s="58">
        <v>20476700</v>
      </c>
      <c r="E310" s="58">
        <f t="shared" si="17"/>
        <v>1638136</v>
      </c>
      <c r="F310" s="79">
        <f t="shared" si="16"/>
        <v>22114836</v>
      </c>
      <c r="G310" s="54">
        <v>22114836</v>
      </c>
      <c r="H310" s="55">
        <f t="shared" si="12"/>
        <v>0</v>
      </c>
      <c r="I310" s="84">
        <v>45392</v>
      </c>
    </row>
    <row r="311" spans="1:9" ht="16.5" customHeight="1" x14ac:dyDescent="0.35">
      <c r="A311" s="76" t="s">
        <v>1006</v>
      </c>
      <c r="B311" s="77">
        <v>45353</v>
      </c>
      <c r="C311" s="78" t="s">
        <v>1254</v>
      </c>
      <c r="D311" s="58">
        <v>14951600</v>
      </c>
      <c r="E311" s="58">
        <f t="shared" si="17"/>
        <v>1196128</v>
      </c>
      <c r="F311" s="79">
        <f t="shared" si="16"/>
        <v>16147728</v>
      </c>
      <c r="G311" s="54">
        <v>16147728</v>
      </c>
      <c r="H311" s="55">
        <f t="shared" si="12"/>
        <v>0</v>
      </c>
      <c r="I311" s="85">
        <v>45496</v>
      </c>
    </row>
    <row r="312" spans="1:9" ht="16.5" customHeight="1" x14ac:dyDescent="0.35">
      <c r="A312" s="76" t="s">
        <v>1174</v>
      </c>
      <c r="B312" s="77">
        <v>45355</v>
      </c>
      <c r="C312" s="78" t="s">
        <v>1075</v>
      </c>
      <c r="D312" s="58">
        <v>26884000</v>
      </c>
      <c r="E312" s="58">
        <f t="shared" si="17"/>
        <v>2150720</v>
      </c>
      <c r="F312" s="79">
        <f t="shared" si="16"/>
        <v>29034720</v>
      </c>
      <c r="G312" s="54">
        <v>29034720</v>
      </c>
      <c r="H312" s="55">
        <f t="shared" si="12"/>
        <v>0</v>
      </c>
      <c r="I312" s="84">
        <v>45392</v>
      </c>
    </row>
    <row r="313" spans="1:9" ht="16.5" customHeight="1" x14ac:dyDescent="0.35">
      <c r="A313" s="76" t="s">
        <v>1255</v>
      </c>
      <c r="B313" s="77">
        <v>45355</v>
      </c>
      <c r="C313" s="78" t="s">
        <v>1256</v>
      </c>
      <c r="D313" s="58">
        <v>902000</v>
      </c>
      <c r="E313" s="58">
        <f t="shared" si="17"/>
        <v>72160</v>
      </c>
      <c r="F313" s="79">
        <f t="shared" si="16"/>
        <v>974160</v>
      </c>
      <c r="G313" s="54">
        <v>974160</v>
      </c>
      <c r="H313" s="55">
        <f t="shared" si="12"/>
        <v>0</v>
      </c>
      <c r="I313" s="84">
        <v>45392</v>
      </c>
    </row>
    <row r="314" spans="1:9" ht="16.5" customHeight="1" x14ac:dyDescent="0.35">
      <c r="A314" s="76" t="s">
        <v>901</v>
      </c>
      <c r="B314" s="77">
        <v>45355</v>
      </c>
      <c r="C314" s="78" t="s">
        <v>1257</v>
      </c>
      <c r="D314" s="58">
        <v>27783500</v>
      </c>
      <c r="E314" s="58">
        <f t="shared" si="17"/>
        <v>2222680</v>
      </c>
      <c r="F314" s="79">
        <f t="shared" si="16"/>
        <v>30006180</v>
      </c>
      <c r="G314" s="54">
        <v>30006180</v>
      </c>
      <c r="H314" s="55">
        <f t="shared" si="12"/>
        <v>0</v>
      </c>
      <c r="I314" s="85">
        <v>45496</v>
      </c>
    </row>
    <row r="315" spans="1:9" ht="16.5" customHeight="1" x14ac:dyDescent="0.35">
      <c r="A315" s="76" t="s">
        <v>1042</v>
      </c>
      <c r="B315" s="77">
        <v>45355</v>
      </c>
      <c r="C315" s="78" t="s">
        <v>1075</v>
      </c>
      <c r="D315" s="58">
        <v>4028000</v>
      </c>
      <c r="E315" s="58">
        <f t="shared" si="17"/>
        <v>322240</v>
      </c>
      <c r="F315" s="79">
        <f t="shared" si="16"/>
        <v>4350240</v>
      </c>
      <c r="G315" s="54">
        <v>4350240</v>
      </c>
      <c r="H315" s="55">
        <f t="shared" si="12"/>
        <v>0</v>
      </c>
      <c r="I315" s="84">
        <v>45392</v>
      </c>
    </row>
    <row r="316" spans="1:9" ht="16.5" customHeight="1" x14ac:dyDescent="0.35">
      <c r="A316" s="76" t="s">
        <v>1258</v>
      </c>
      <c r="B316" s="77">
        <v>45355</v>
      </c>
      <c r="C316" s="78" t="s">
        <v>1259</v>
      </c>
      <c r="D316" s="58">
        <v>14630200</v>
      </c>
      <c r="E316" s="58">
        <f t="shared" si="17"/>
        <v>1170416</v>
      </c>
      <c r="F316" s="79">
        <f>+E316+D316</f>
        <v>15800616</v>
      </c>
      <c r="G316" s="54">
        <v>15800616</v>
      </c>
      <c r="H316" s="55">
        <f t="shared" si="12"/>
        <v>0</v>
      </c>
      <c r="I316" s="85">
        <v>45496</v>
      </c>
    </row>
    <row r="317" spans="1:9" ht="16.5" customHeight="1" x14ac:dyDescent="0.35">
      <c r="A317" s="76" t="s">
        <v>1130</v>
      </c>
      <c r="B317" s="77">
        <v>45355</v>
      </c>
      <c r="C317" s="78" t="s">
        <v>1260</v>
      </c>
      <c r="D317" s="58">
        <v>21163200</v>
      </c>
      <c r="E317" s="58">
        <f t="shared" si="17"/>
        <v>1693056</v>
      </c>
      <c r="F317" s="79">
        <f t="shared" si="16"/>
        <v>22856256</v>
      </c>
      <c r="G317" s="54">
        <v>22856256</v>
      </c>
      <c r="H317" s="55">
        <f t="shared" si="12"/>
        <v>0</v>
      </c>
      <c r="I317" s="85">
        <v>45496</v>
      </c>
    </row>
    <row r="318" spans="1:9" ht="16.5" customHeight="1" x14ac:dyDescent="0.35">
      <c r="A318" s="76" t="s">
        <v>1211</v>
      </c>
      <c r="B318" s="77">
        <v>45353</v>
      </c>
      <c r="C318" s="78" t="s">
        <v>1066</v>
      </c>
      <c r="D318" s="58">
        <v>4145800</v>
      </c>
      <c r="E318" s="58">
        <f t="shared" si="17"/>
        <v>331664</v>
      </c>
      <c r="F318" s="79">
        <f t="shared" si="16"/>
        <v>4477464</v>
      </c>
      <c r="G318" s="54">
        <v>4477464</v>
      </c>
      <c r="H318" s="55">
        <f t="shared" si="12"/>
        <v>0</v>
      </c>
      <c r="I318" s="85">
        <v>45496</v>
      </c>
    </row>
    <row r="319" spans="1:9" ht="16.5" customHeight="1" x14ac:dyDescent="0.35">
      <c r="A319" s="76" t="s">
        <v>866</v>
      </c>
      <c r="B319" s="77">
        <v>45353</v>
      </c>
      <c r="C319" s="78" t="s">
        <v>1090</v>
      </c>
      <c r="D319" s="58">
        <v>13950400</v>
      </c>
      <c r="E319" s="58">
        <f t="shared" si="17"/>
        <v>1116032</v>
      </c>
      <c r="F319" s="79">
        <f t="shared" si="16"/>
        <v>15066432</v>
      </c>
      <c r="G319" s="54">
        <v>15066432</v>
      </c>
      <c r="H319" s="55">
        <f t="shared" si="12"/>
        <v>0</v>
      </c>
      <c r="I319" s="85">
        <v>45496</v>
      </c>
    </row>
    <row r="320" spans="1:9" ht="16.5" customHeight="1" x14ac:dyDescent="0.35">
      <c r="A320" s="76" t="s">
        <v>878</v>
      </c>
      <c r="B320" s="77">
        <v>45353</v>
      </c>
      <c r="C320" s="78" t="s">
        <v>1033</v>
      </c>
      <c r="D320" s="58">
        <v>17351100</v>
      </c>
      <c r="E320" s="58">
        <f t="shared" si="17"/>
        <v>1388088</v>
      </c>
      <c r="F320" s="79">
        <f t="shared" si="16"/>
        <v>18739188</v>
      </c>
      <c r="G320" s="54">
        <v>18739188</v>
      </c>
      <c r="H320" s="55">
        <f t="shared" si="12"/>
        <v>0</v>
      </c>
      <c r="I320" s="85">
        <v>45496</v>
      </c>
    </row>
    <row r="321" spans="1:9" ht="16.5" customHeight="1" x14ac:dyDescent="0.35">
      <c r="A321" s="76" t="s">
        <v>1116</v>
      </c>
      <c r="B321" s="77">
        <v>45353</v>
      </c>
      <c r="C321" s="78" t="s">
        <v>1261</v>
      </c>
      <c r="D321" s="58">
        <v>5368000</v>
      </c>
      <c r="E321" s="58">
        <f t="shared" si="17"/>
        <v>429440</v>
      </c>
      <c r="F321" s="79">
        <f t="shared" si="16"/>
        <v>5797440</v>
      </c>
      <c r="G321" s="54">
        <v>5797440</v>
      </c>
      <c r="H321" s="55">
        <f t="shared" si="12"/>
        <v>0</v>
      </c>
      <c r="I321" s="85">
        <v>45496</v>
      </c>
    </row>
    <row r="322" spans="1:9" ht="16.5" customHeight="1" x14ac:dyDescent="0.35">
      <c r="A322" s="76" t="s">
        <v>928</v>
      </c>
      <c r="B322" s="77">
        <v>45353</v>
      </c>
      <c r="C322" s="78" t="s">
        <v>1262</v>
      </c>
      <c r="D322" s="58">
        <v>17534100</v>
      </c>
      <c r="E322" s="58">
        <f t="shared" si="17"/>
        <v>1402728</v>
      </c>
      <c r="F322" s="79">
        <f t="shared" si="16"/>
        <v>18936828</v>
      </c>
      <c r="G322" s="54">
        <v>18936828</v>
      </c>
      <c r="H322" s="55">
        <f t="shared" si="12"/>
        <v>0</v>
      </c>
      <c r="I322" s="85">
        <v>45496</v>
      </c>
    </row>
    <row r="323" spans="1:9" ht="16.5" customHeight="1" x14ac:dyDescent="0.35">
      <c r="A323" s="76" t="s">
        <v>874</v>
      </c>
      <c r="B323" s="77">
        <v>45356</v>
      </c>
      <c r="C323" s="78" t="s">
        <v>1239</v>
      </c>
      <c r="D323" s="58">
        <v>3720400</v>
      </c>
      <c r="E323" s="58">
        <f t="shared" si="17"/>
        <v>297632</v>
      </c>
      <c r="F323" s="79">
        <f t="shared" si="16"/>
        <v>4018032</v>
      </c>
      <c r="G323" s="54">
        <v>4018032</v>
      </c>
      <c r="H323" s="55">
        <f t="shared" si="12"/>
        <v>0</v>
      </c>
      <c r="I323" s="85">
        <v>45496</v>
      </c>
    </row>
    <row r="324" spans="1:9" ht="16.5" customHeight="1" x14ac:dyDescent="0.35">
      <c r="A324" s="76" t="s">
        <v>1004</v>
      </c>
      <c r="B324" s="77">
        <v>45356</v>
      </c>
      <c r="C324" s="78" t="s">
        <v>1072</v>
      </c>
      <c r="D324" s="58">
        <v>5856000</v>
      </c>
      <c r="E324" s="58">
        <f t="shared" si="17"/>
        <v>468480</v>
      </c>
      <c r="F324" s="79">
        <f t="shared" si="16"/>
        <v>6324480</v>
      </c>
      <c r="G324" s="54">
        <v>6324480</v>
      </c>
      <c r="H324" s="55">
        <f t="shared" si="12"/>
        <v>0</v>
      </c>
      <c r="I324" s="85">
        <v>45496</v>
      </c>
    </row>
    <row r="325" spans="1:9" ht="16.5" customHeight="1" x14ac:dyDescent="0.35">
      <c r="A325" s="76" t="s">
        <v>1263</v>
      </c>
      <c r="B325" s="77">
        <v>45356</v>
      </c>
      <c r="C325" s="78" t="s">
        <v>1264</v>
      </c>
      <c r="D325" s="58">
        <v>9505000</v>
      </c>
      <c r="E325" s="58">
        <f t="shared" si="17"/>
        <v>760400</v>
      </c>
      <c r="F325" s="79">
        <f t="shared" si="16"/>
        <v>10265400</v>
      </c>
      <c r="G325" s="54">
        <v>10265400</v>
      </c>
      <c r="H325" s="55">
        <f t="shared" si="12"/>
        <v>0</v>
      </c>
      <c r="I325" s="84">
        <v>45392</v>
      </c>
    </row>
    <row r="326" spans="1:9" ht="16.5" customHeight="1" x14ac:dyDescent="0.35">
      <c r="A326" s="76" t="s">
        <v>1265</v>
      </c>
      <c r="B326" s="77">
        <v>45356</v>
      </c>
      <c r="C326" s="78" t="s">
        <v>1266</v>
      </c>
      <c r="D326" s="58">
        <v>3004200</v>
      </c>
      <c r="E326" s="58">
        <f t="shared" si="17"/>
        <v>240336</v>
      </c>
      <c r="F326" s="79">
        <f t="shared" si="16"/>
        <v>3244536</v>
      </c>
      <c r="G326" s="54">
        <v>3244536</v>
      </c>
      <c r="H326" s="55">
        <f t="shared" si="12"/>
        <v>0</v>
      </c>
      <c r="I326" s="85">
        <v>45496</v>
      </c>
    </row>
    <row r="327" spans="1:9" ht="16.5" customHeight="1" x14ac:dyDescent="0.35">
      <c r="A327" s="76" t="s">
        <v>1051</v>
      </c>
      <c r="B327" s="77">
        <v>45356</v>
      </c>
      <c r="C327" s="78" t="s">
        <v>1267</v>
      </c>
      <c r="D327" s="58">
        <v>5152200</v>
      </c>
      <c r="E327" s="58">
        <f t="shared" si="17"/>
        <v>412176</v>
      </c>
      <c r="F327" s="79">
        <f t="shared" si="16"/>
        <v>5564376</v>
      </c>
      <c r="G327" s="54">
        <v>5564376</v>
      </c>
      <c r="H327" s="55">
        <f t="shared" si="12"/>
        <v>0</v>
      </c>
      <c r="I327" s="84">
        <v>45392</v>
      </c>
    </row>
    <row r="328" spans="1:9" ht="16.5" customHeight="1" x14ac:dyDescent="0.35">
      <c r="A328" s="76" t="s">
        <v>938</v>
      </c>
      <c r="B328" s="77">
        <v>45356</v>
      </c>
      <c r="C328" s="78" t="s">
        <v>1252</v>
      </c>
      <c r="D328" s="58">
        <v>5002600</v>
      </c>
      <c r="E328" s="58">
        <f>+D328*0.08</f>
        <v>400208</v>
      </c>
      <c r="F328" s="79">
        <f t="shared" si="16"/>
        <v>5402808</v>
      </c>
      <c r="G328" s="54">
        <v>5402808</v>
      </c>
      <c r="H328" s="55">
        <f t="shared" si="12"/>
        <v>0</v>
      </c>
      <c r="I328" s="85">
        <v>45496</v>
      </c>
    </row>
    <row r="329" spans="1:9" ht="16.5" customHeight="1" x14ac:dyDescent="0.35">
      <c r="A329" s="76" t="s">
        <v>1268</v>
      </c>
      <c r="B329" s="77">
        <v>45356</v>
      </c>
      <c r="C329" s="78" t="s">
        <v>1047</v>
      </c>
      <c r="D329" s="58">
        <v>5703200</v>
      </c>
      <c r="E329" s="58">
        <f t="shared" si="17"/>
        <v>456256</v>
      </c>
      <c r="F329" s="79">
        <f t="shared" si="16"/>
        <v>6159456</v>
      </c>
      <c r="G329" s="54">
        <v>6159456</v>
      </c>
      <c r="H329" s="55">
        <f t="shared" si="12"/>
        <v>0</v>
      </c>
      <c r="I329" s="85">
        <v>45496</v>
      </c>
    </row>
    <row r="330" spans="1:9" ht="16.5" customHeight="1" x14ac:dyDescent="0.35">
      <c r="A330" s="76" t="s">
        <v>1070</v>
      </c>
      <c r="B330" s="77">
        <v>45357</v>
      </c>
      <c r="C330" s="78" t="s">
        <v>1269</v>
      </c>
      <c r="D330" s="58">
        <v>10637400</v>
      </c>
      <c r="E330" s="58">
        <f t="shared" si="17"/>
        <v>850992</v>
      </c>
      <c r="F330" s="79">
        <f t="shared" si="16"/>
        <v>11488392</v>
      </c>
      <c r="G330" s="54">
        <v>11488392</v>
      </c>
      <c r="H330" s="55">
        <f t="shared" si="12"/>
        <v>0</v>
      </c>
      <c r="I330" s="65">
        <v>45371</v>
      </c>
    </row>
    <row r="331" spans="1:9" s="62" customFormat="1" ht="16.5" customHeight="1" x14ac:dyDescent="0.35">
      <c r="A331" s="76" t="s">
        <v>961</v>
      </c>
      <c r="B331" s="77">
        <v>45357</v>
      </c>
      <c r="C331" s="78" t="s">
        <v>1067</v>
      </c>
      <c r="D331" s="58">
        <v>326000</v>
      </c>
      <c r="E331" s="58">
        <f t="shared" si="17"/>
        <v>26080</v>
      </c>
      <c r="F331" s="59">
        <f t="shared" si="16"/>
        <v>352080</v>
      </c>
      <c r="G331" s="60">
        <v>352080</v>
      </c>
      <c r="H331" s="61">
        <f t="shared" si="12"/>
        <v>0</v>
      </c>
      <c r="I331" s="80"/>
    </row>
    <row r="332" spans="1:9" ht="16.5" customHeight="1" x14ac:dyDescent="0.35">
      <c r="A332" s="76" t="s">
        <v>1025</v>
      </c>
      <c r="B332" s="77">
        <v>45357</v>
      </c>
      <c r="C332" s="78" t="s">
        <v>1088</v>
      </c>
      <c r="D332" s="58">
        <v>34756600</v>
      </c>
      <c r="E332" s="58">
        <f t="shared" si="17"/>
        <v>2780528</v>
      </c>
      <c r="F332" s="79">
        <f t="shared" si="16"/>
        <v>37537128</v>
      </c>
      <c r="G332" s="54">
        <v>37537128</v>
      </c>
      <c r="H332" s="55">
        <f t="shared" si="12"/>
        <v>0</v>
      </c>
      <c r="I332" s="85">
        <v>45496</v>
      </c>
    </row>
    <row r="333" spans="1:9" ht="16.5" customHeight="1" x14ac:dyDescent="0.35">
      <c r="A333" s="76" t="s">
        <v>982</v>
      </c>
      <c r="B333" s="77">
        <v>45359</v>
      </c>
      <c r="C333" s="78" t="s">
        <v>1270</v>
      </c>
      <c r="D333" s="58">
        <v>313000</v>
      </c>
      <c r="E333" s="58">
        <f t="shared" si="17"/>
        <v>25040</v>
      </c>
      <c r="F333" s="79">
        <f t="shared" si="16"/>
        <v>338040</v>
      </c>
      <c r="G333" s="54">
        <v>338040</v>
      </c>
      <c r="H333" s="55">
        <f t="shared" si="12"/>
        <v>0</v>
      </c>
      <c r="I333" s="65">
        <v>45496</v>
      </c>
    </row>
    <row r="334" spans="1:9" ht="16.5" customHeight="1" x14ac:dyDescent="0.35">
      <c r="A334" s="76" t="s">
        <v>1096</v>
      </c>
      <c r="B334" s="77">
        <v>45359</v>
      </c>
      <c r="C334" s="78" t="s">
        <v>1150</v>
      </c>
      <c r="D334" s="58">
        <v>7202000</v>
      </c>
      <c r="E334" s="58">
        <f t="shared" ref="E334:E397" si="18">+D334*0.08</f>
        <v>576160</v>
      </c>
      <c r="F334" s="79">
        <f t="shared" ref="F334:F414" si="19">+E334+D334</f>
        <v>7778160</v>
      </c>
      <c r="G334" s="54">
        <v>7778160</v>
      </c>
      <c r="H334" s="55">
        <f t="shared" si="12"/>
        <v>0</v>
      </c>
      <c r="I334" s="84">
        <v>45392</v>
      </c>
    </row>
    <row r="335" spans="1:9" ht="16.5" customHeight="1" x14ac:dyDescent="0.35">
      <c r="A335" s="76" t="s">
        <v>1271</v>
      </c>
      <c r="B335" s="77">
        <v>45358</v>
      </c>
      <c r="C335" s="78" t="s">
        <v>1272</v>
      </c>
      <c r="D335" s="58">
        <v>1376000</v>
      </c>
      <c r="E335" s="58">
        <f t="shared" si="18"/>
        <v>110080</v>
      </c>
      <c r="F335" s="79">
        <f t="shared" si="19"/>
        <v>1486080</v>
      </c>
      <c r="G335" s="54">
        <v>1486080</v>
      </c>
      <c r="H335" s="55">
        <f t="shared" si="12"/>
        <v>0</v>
      </c>
      <c r="I335" s="85">
        <v>45496</v>
      </c>
    </row>
    <row r="336" spans="1:9" ht="16.5" customHeight="1" x14ac:dyDescent="0.35">
      <c r="A336" s="76" t="s">
        <v>884</v>
      </c>
      <c r="B336" s="77">
        <v>45358</v>
      </c>
      <c r="C336" s="78" t="s">
        <v>1273</v>
      </c>
      <c r="D336" s="58">
        <v>12495500</v>
      </c>
      <c r="E336" s="58">
        <f t="shared" si="18"/>
        <v>999640</v>
      </c>
      <c r="F336" s="79">
        <f t="shared" si="19"/>
        <v>13495140</v>
      </c>
      <c r="G336" s="54">
        <v>13495140</v>
      </c>
      <c r="H336" s="55">
        <f t="shared" si="12"/>
        <v>0</v>
      </c>
      <c r="I336" s="84">
        <v>45392</v>
      </c>
    </row>
    <row r="337" spans="1:9" ht="16.5" customHeight="1" x14ac:dyDescent="0.35">
      <c r="A337" s="76" t="s">
        <v>1089</v>
      </c>
      <c r="B337" s="77">
        <v>45358</v>
      </c>
      <c r="C337" s="78" t="s">
        <v>1115</v>
      </c>
      <c r="D337" s="58">
        <v>26598100</v>
      </c>
      <c r="E337" s="58">
        <f t="shared" si="18"/>
        <v>2127848</v>
      </c>
      <c r="F337" s="79">
        <f t="shared" si="19"/>
        <v>28725948</v>
      </c>
      <c r="G337" s="54">
        <v>28725948</v>
      </c>
      <c r="H337" s="55">
        <f t="shared" ref="H337:H338" si="20">+F337-G337</f>
        <v>0</v>
      </c>
      <c r="I337" s="84">
        <v>45392</v>
      </c>
    </row>
    <row r="338" spans="1:9" ht="16.5" customHeight="1" x14ac:dyDescent="0.35">
      <c r="A338" s="76" t="s">
        <v>1000</v>
      </c>
      <c r="B338" s="77">
        <v>45358</v>
      </c>
      <c r="C338" s="78" t="s">
        <v>1274</v>
      </c>
      <c r="D338" s="58">
        <v>297400</v>
      </c>
      <c r="E338" s="58">
        <f t="shared" si="18"/>
        <v>23792</v>
      </c>
      <c r="F338" s="79">
        <f t="shared" si="19"/>
        <v>321192</v>
      </c>
      <c r="G338" s="54">
        <v>321192</v>
      </c>
      <c r="H338" s="55">
        <f t="shared" si="20"/>
        <v>0</v>
      </c>
      <c r="I338" s="85">
        <v>45496</v>
      </c>
    </row>
    <row r="339" spans="1:9" ht="16.5" customHeight="1" x14ac:dyDescent="0.35">
      <c r="A339" s="76" t="s">
        <v>1019</v>
      </c>
      <c r="B339" s="77">
        <v>45360</v>
      </c>
      <c r="C339" s="78" t="s">
        <v>1047</v>
      </c>
      <c r="D339" s="58">
        <v>6130800</v>
      </c>
      <c r="E339" s="58">
        <f t="shared" si="18"/>
        <v>490464</v>
      </c>
      <c r="F339" s="79">
        <f t="shared" si="19"/>
        <v>6621264</v>
      </c>
      <c r="G339" s="54">
        <v>6621264</v>
      </c>
      <c r="H339" s="55">
        <f>+F339-G339</f>
        <v>0</v>
      </c>
      <c r="I339" s="85">
        <v>45496</v>
      </c>
    </row>
    <row r="340" spans="1:9" ht="16.5" customHeight="1" x14ac:dyDescent="0.35">
      <c r="A340" s="76" t="s">
        <v>1011</v>
      </c>
      <c r="B340" s="77">
        <v>45360</v>
      </c>
      <c r="C340" s="78" t="s">
        <v>1123</v>
      </c>
      <c r="D340" s="58">
        <v>7942000</v>
      </c>
      <c r="E340" s="58">
        <f t="shared" si="18"/>
        <v>635360</v>
      </c>
      <c r="F340" s="79">
        <f t="shared" si="19"/>
        <v>8577360</v>
      </c>
      <c r="G340" s="54">
        <v>8577360</v>
      </c>
      <c r="H340" s="55">
        <f t="shared" ref="H340:H403" si="21">+F340-G340</f>
        <v>0</v>
      </c>
      <c r="I340" s="84">
        <v>45392</v>
      </c>
    </row>
    <row r="341" spans="1:9" ht="16.5" customHeight="1" x14ac:dyDescent="0.35">
      <c r="A341" s="76" t="s">
        <v>1275</v>
      </c>
      <c r="B341" s="77">
        <v>45359</v>
      </c>
      <c r="C341" s="78" t="s">
        <v>1276</v>
      </c>
      <c r="D341" s="58">
        <v>104000</v>
      </c>
      <c r="E341" s="58">
        <f t="shared" si="18"/>
        <v>8320</v>
      </c>
      <c r="F341" s="79">
        <f t="shared" si="19"/>
        <v>112320</v>
      </c>
      <c r="G341" s="54">
        <v>112320</v>
      </c>
      <c r="H341" s="55">
        <f t="shared" si="21"/>
        <v>0</v>
      </c>
      <c r="I341" s="85">
        <v>45496</v>
      </c>
    </row>
    <row r="342" spans="1:9" ht="16.5" customHeight="1" x14ac:dyDescent="0.35">
      <c r="A342" s="76" t="s">
        <v>1040</v>
      </c>
      <c r="B342" s="77">
        <v>45360</v>
      </c>
      <c r="C342" s="78" t="s">
        <v>1277</v>
      </c>
      <c r="D342" s="58">
        <v>10914800</v>
      </c>
      <c r="E342" s="58">
        <f t="shared" si="18"/>
        <v>873184</v>
      </c>
      <c r="F342" s="79">
        <f t="shared" si="19"/>
        <v>11787984</v>
      </c>
      <c r="G342" s="54">
        <v>11787984</v>
      </c>
      <c r="H342" s="55">
        <f t="shared" si="21"/>
        <v>0</v>
      </c>
      <c r="I342" s="85">
        <v>45496</v>
      </c>
    </row>
    <row r="343" spans="1:9" ht="16.5" customHeight="1" x14ac:dyDescent="0.35">
      <c r="A343" s="76" t="s">
        <v>1278</v>
      </c>
      <c r="B343" s="77">
        <v>45360</v>
      </c>
      <c r="C343" s="78" t="s">
        <v>1279</v>
      </c>
      <c r="D343" s="58">
        <v>1834200</v>
      </c>
      <c r="E343" s="58">
        <f t="shared" si="18"/>
        <v>146736</v>
      </c>
      <c r="F343" s="79">
        <f t="shared" si="19"/>
        <v>1980936</v>
      </c>
      <c r="G343" s="54">
        <v>1980936</v>
      </c>
      <c r="H343" s="55">
        <f t="shared" si="21"/>
        <v>0</v>
      </c>
      <c r="I343" s="85">
        <v>45496</v>
      </c>
    </row>
    <row r="344" spans="1:9" ht="16.5" customHeight="1" x14ac:dyDescent="0.35">
      <c r="A344" s="76" t="s">
        <v>1280</v>
      </c>
      <c r="B344" s="77">
        <v>45360</v>
      </c>
      <c r="C344" s="78" t="s">
        <v>1281</v>
      </c>
      <c r="D344" s="58">
        <v>16103900</v>
      </c>
      <c r="E344" s="58">
        <f t="shared" si="18"/>
        <v>1288312</v>
      </c>
      <c r="F344" s="79">
        <f t="shared" si="19"/>
        <v>17392212</v>
      </c>
      <c r="G344" s="54">
        <v>17392212</v>
      </c>
      <c r="H344" s="55">
        <f t="shared" si="21"/>
        <v>0</v>
      </c>
      <c r="I344" s="85">
        <v>45496</v>
      </c>
    </row>
    <row r="345" spans="1:9" ht="16.5" customHeight="1" x14ac:dyDescent="0.35">
      <c r="A345" s="76" t="s">
        <v>1282</v>
      </c>
      <c r="B345" s="77">
        <v>45362</v>
      </c>
      <c r="C345" s="78" t="s">
        <v>1281</v>
      </c>
      <c r="D345" s="58">
        <v>15285300</v>
      </c>
      <c r="E345" s="58">
        <f t="shared" si="18"/>
        <v>1222824</v>
      </c>
      <c r="F345" s="79">
        <f t="shared" si="19"/>
        <v>16508124</v>
      </c>
      <c r="G345" s="54">
        <v>16508124</v>
      </c>
      <c r="H345" s="55">
        <f t="shared" si="21"/>
        <v>0</v>
      </c>
      <c r="I345" s="84">
        <v>45392</v>
      </c>
    </row>
    <row r="346" spans="1:9" ht="16.5" customHeight="1" x14ac:dyDescent="0.35">
      <c r="A346" s="76" t="s">
        <v>1283</v>
      </c>
      <c r="B346" s="77">
        <v>45362</v>
      </c>
      <c r="C346" s="78" t="s">
        <v>1284</v>
      </c>
      <c r="D346" s="58">
        <v>786000</v>
      </c>
      <c r="E346" s="58">
        <f t="shared" si="18"/>
        <v>62880</v>
      </c>
      <c r="F346" s="79">
        <f t="shared" si="19"/>
        <v>848880</v>
      </c>
      <c r="G346" s="54">
        <v>848880</v>
      </c>
      <c r="H346" s="55">
        <f t="shared" si="21"/>
        <v>0</v>
      </c>
      <c r="I346" s="65">
        <v>45371</v>
      </c>
    </row>
    <row r="347" spans="1:9" ht="16.5" customHeight="1" x14ac:dyDescent="0.35">
      <c r="A347" s="76" t="s">
        <v>1283</v>
      </c>
      <c r="B347" s="77">
        <v>45362</v>
      </c>
      <c r="C347" s="78" t="s">
        <v>1129</v>
      </c>
      <c r="D347" s="58">
        <v>8328000</v>
      </c>
      <c r="E347" s="58">
        <f t="shared" si="18"/>
        <v>666240</v>
      </c>
      <c r="F347" s="79">
        <f t="shared" si="19"/>
        <v>8994240</v>
      </c>
      <c r="G347" s="54">
        <v>8994240</v>
      </c>
      <c r="H347" s="55">
        <f t="shared" si="21"/>
        <v>0</v>
      </c>
      <c r="I347" s="65">
        <v>45371</v>
      </c>
    </row>
    <row r="348" spans="1:9" ht="16.5" customHeight="1" x14ac:dyDescent="0.35">
      <c r="A348" s="76" t="s">
        <v>920</v>
      </c>
      <c r="B348" s="77">
        <v>45362</v>
      </c>
      <c r="C348" s="78" t="s">
        <v>1285</v>
      </c>
      <c r="D348" s="58">
        <v>47672400</v>
      </c>
      <c r="E348" s="58">
        <f t="shared" si="18"/>
        <v>3813792</v>
      </c>
      <c r="F348" s="79">
        <f t="shared" si="19"/>
        <v>51486192</v>
      </c>
      <c r="G348" s="54">
        <v>51486192</v>
      </c>
      <c r="H348" s="55">
        <f t="shared" si="21"/>
        <v>0</v>
      </c>
      <c r="I348" s="85">
        <v>45496</v>
      </c>
    </row>
    <row r="349" spans="1:9" ht="16.5" customHeight="1" x14ac:dyDescent="0.35">
      <c r="A349" s="76" t="s">
        <v>1286</v>
      </c>
      <c r="B349" s="77">
        <v>45362</v>
      </c>
      <c r="C349" s="78" t="s">
        <v>1287</v>
      </c>
      <c r="D349" s="58">
        <v>145600</v>
      </c>
      <c r="E349" s="58">
        <f t="shared" si="18"/>
        <v>11648</v>
      </c>
      <c r="F349" s="79">
        <f t="shared" si="19"/>
        <v>157248</v>
      </c>
      <c r="G349" s="54">
        <v>157248</v>
      </c>
      <c r="H349" s="55">
        <f t="shared" si="21"/>
        <v>0</v>
      </c>
      <c r="I349" s="85">
        <v>45496</v>
      </c>
    </row>
    <row r="350" spans="1:9" ht="16.5" customHeight="1" x14ac:dyDescent="0.35">
      <c r="A350" s="76" t="s">
        <v>1288</v>
      </c>
      <c r="B350" s="77">
        <v>45362</v>
      </c>
      <c r="C350" s="78" t="s">
        <v>1289</v>
      </c>
      <c r="D350" s="58">
        <v>561600</v>
      </c>
      <c r="E350" s="58">
        <f t="shared" si="18"/>
        <v>44928</v>
      </c>
      <c r="F350" s="79">
        <f t="shared" si="19"/>
        <v>606528</v>
      </c>
      <c r="G350" s="54">
        <v>606528</v>
      </c>
      <c r="H350" s="55">
        <f t="shared" si="21"/>
        <v>0</v>
      </c>
      <c r="I350" s="85">
        <v>45496</v>
      </c>
    </row>
    <row r="351" spans="1:9" ht="16.5" customHeight="1" x14ac:dyDescent="0.35">
      <c r="A351" s="76" t="s">
        <v>1290</v>
      </c>
      <c r="B351" s="77">
        <v>45362</v>
      </c>
      <c r="C351" s="78" t="s">
        <v>1291</v>
      </c>
      <c r="D351" s="58">
        <v>707200</v>
      </c>
      <c r="E351" s="58">
        <f t="shared" si="18"/>
        <v>56576</v>
      </c>
      <c r="F351" s="79">
        <f t="shared" si="19"/>
        <v>763776</v>
      </c>
      <c r="G351" s="54">
        <v>763776</v>
      </c>
      <c r="H351" s="55">
        <f t="shared" si="21"/>
        <v>0</v>
      </c>
      <c r="I351" s="85">
        <v>45496</v>
      </c>
    </row>
    <row r="352" spans="1:9" ht="16.5" customHeight="1" x14ac:dyDescent="0.35">
      <c r="A352" s="76" t="s">
        <v>871</v>
      </c>
      <c r="B352" s="77">
        <v>45362</v>
      </c>
      <c r="C352" s="78" t="s">
        <v>1292</v>
      </c>
      <c r="D352" s="58">
        <v>9640600</v>
      </c>
      <c r="E352" s="58">
        <f t="shared" si="18"/>
        <v>771248</v>
      </c>
      <c r="F352" s="79">
        <f t="shared" si="19"/>
        <v>10411848</v>
      </c>
      <c r="G352" s="54">
        <v>10411848</v>
      </c>
      <c r="H352" s="55">
        <f t="shared" si="21"/>
        <v>0</v>
      </c>
      <c r="I352" s="85">
        <v>45496</v>
      </c>
    </row>
    <row r="353" spans="1:9" ht="16.5" customHeight="1" x14ac:dyDescent="0.35">
      <c r="A353" s="76" t="s">
        <v>1293</v>
      </c>
      <c r="B353" s="77">
        <v>45363</v>
      </c>
      <c r="C353" s="78" t="s">
        <v>1294</v>
      </c>
      <c r="D353" s="58">
        <v>9323400</v>
      </c>
      <c r="E353" s="58">
        <f t="shared" si="18"/>
        <v>745872</v>
      </c>
      <c r="F353" s="79">
        <f t="shared" si="19"/>
        <v>10069272</v>
      </c>
      <c r="G353" s="54">
        <v>10069272</v>
      </c>
      <c r="H353" s="55">
        <f t="shared" si="21"/>
        <v>0</v>
      </c>
      <c r="I353" s="65">
        <v>45371</v>
      </c>
    </row>
    <row r="354" spans="1:9" ht="16.5" customHeight="1" x14ac:dyDescent="0.35">
      <c r="A354" s="76" t="s">
        <v>952</v>
      </c>
      <c r="B354" s="77">
        <v>45363</v>
      </c>
      <c r="C354" s="78" t="s">
        <v>1140</v>
      </c>
      <c r="D354" s="58">
        <v>68912300</v>
      </c>
      <c r="E354" s="58">
        <f t="shared" si="18"/>
        <v>5512984</v>
      </c>
      <c r="F354" s="79">
        <f t="shared" si="19"/>
        <v>74425284</v>
      </c>
      <c r="G354" s="54">
        <v>74425284</v>
      </c>
      <c r="H354" s="55">
        <f t="shared" si="21"/>
        <v>0</v>
      </c>
      <c r="I354" s="84">
        <v>45392</v>
      </c>
    </row>
    <row r="355" spans="1:9" ht="16.5" customHeight="1" x14ac:dyDescent="0.35">
      <c r="A355" s="76" t="s">
        <v>1008</v>
      </c>
      <c r="B355" s="77">
        <v>45363</v>
      </c>
      <c r="C355" s="78" t="s">
        <v>1295</v>
      </c>
      <c r="D355" s="58">
        <v>3686000</v>
      </c>
      <c r="E355" s="58">
        <f t="shared" si="18"/>
        <v>294880</v>
      </c>
      <c r="F355" s="79">
        <f t="shared" si="19"/>
        <v>3980880</v>
      </c>
      <c r="G355" s="54">
        <v>3980880</v>
      </c>
      <c r="H355" s="55">
        <f t="shared" si="21"/>
        <v>0</v>
      </c>
      <c r="I355" s="85">
        <v>45496</v>
      </c>
    </row>
    <row r="356" spans="1:9" s="62" customFormat="1" ht="16.5" customHeight="1" x14ac:dyDescent="0.35">
      <c r="A356" s="76" t="s">
        <v>1296</v>
      </c>
      <c r="B356" s="77">
        <v>45363</v>
      </c>
      <c r="C356" s="78" t="s">
        <v>1297</v>
      </c>
      <c r="D356" s="58">
        <v>5973124.0800000001</v>
      </c>
      <c r="E356" s="58">
        <f t="shared" si="18"/>
        <v>477849.9264</v>
      </c>
      <c r="F356" s="59">
        <f t="shared" si="19"/>
        <v>6450974.0064000003</v>
      </c>
      <c r="G356" s="60">
        <v>6450974.0064000003</v>
      </c>
      <c r="H356" s="61">
        <f t="shared" si="21"/>
        <v>0</v>
      </c>
      <c r="I356" s="80"/>
    </row>
    <row r="357" spans="1:9" ht="16.5" customHeight="1" x14ac:dyDescent="0.35">
      <c r="A357" s="76" t="s">
        <v>1176</v>
      </c>
      <c r="B357" s="77">
        <v>45367</v>
      </c>
      <c r="C357" s="78" t="s">
        <v>1298</v>
      </c>
      <c r="D357" s="58">
        <v>22083800</v>
      </c>
      <c r="E357" s="58">
        <f t="shared" si="18"/>
        <v>1766704</v>
      </c>
      <c r="F357" s="79">
        <f t="shared" si="19"/>
        <v>23850504</v>
      </c>
      <c r="G357" s="54">
        <v>23850504</v>
      </c>
      <c r="H357" s="55">
        <f t="shared" si="21"/>
        <v>0</v>
      </c>
      <c r="I357" s="65">
        <v>45392</v>
      </c>
    </row>
    <row r="358" spans="1:9" ht="16.5" customHeight="1" x14ac:dyDescent="0.35">
      <c r="A358" s="76" t="s">
        <v>1299</v>
      </c>
      <c r="B358" s="77">
        <v>45366</v>
      </c>
      <c r="C358" s="78" t="s">
        <v>1300</v>
      </c>
      <c r="D358" s="58">
        <v>28972800</v>
      </c>
      <c r="E358" s="58">
        <f t="shared" si="18"/>
        <v>2317824</v>
      </c>
      <c r="F358" s="79">
        <f t="shared" si="19"/>
        <v>31290624</v>
      </c>
      <c r="G358" s="54">
        <v>31290624</v>
      </c>
      <c r="H358" s="55">
        <f t="shared" si="21"/>
        <v>0</v>
      </c>
      <c r="I358" s="85">
        <v>45496</v>
      </c>
    </row>
    <row r="359" spans="1:9" ht="16.5" customHeight="1" x14ac:dyDescent="0.35">
      <c r="A359" s="76" t="s">
        <v>1148</v>
      </c>
      <c r="B359" s="77">
        <v>45364</v>
      </c>
      <c r="C359" s="78" t="s">
        <v>1050</v>
      </c>
      <c r="D359" s="58">
        <v>1906000</v>
      </c>
      <c r="E359" s="58">
        <f t="shared" si="18"/>
        <v>152480</v>
      </c>
      <c r="F359" s="79">
        <f t="shared" si="19"/>
        <v>2058480</v>
      </c>
      <c r="G359" s="54">
        <v>2058480</v>
      </c>
      <c r="H359" s="55">
        <f t="shared" si="21"/>
        <v>0</v>
      </c>
      <c r="I359" s="84">
        <v>45392</v>
      </c>
    </row>
    <row r="360" spans="1:9" ht="16.5" customHeight="1" x14ac:dyDescent="0.35">
      <c r="A360" s="76" t="s">
        <v>1082</v>
      </c>
      <c r="B360" s="77">
        <v>45364</v>
      </c>
      <c r="C360" s="78" t="s">
        <v>1301</v>
      </c>
      <c r="D360" s="58">
        <v>846000</v>
      </c>
      <c r="E360" s="58">
        <f t="shared" si="18"/>
        <v>67680</v>
      </c>
      <c r="F360" s="79">
        <f t="shared" si="19"/>
        <v>913680</v>
      </c>
      <c r="G360" s="54">
        <v>913680</v>
      </c>
      <c r="H360" s="55">
        <f t="shared" si="21"/>
        <v>0</v>
      </c>
      <c r="I360" s="84">
        <v>45392</v>
      </c>
    </row>
    <row r="361" spans="1:9" ht="16.5" customHeight="1" x14ac:dyDescent="0.35">
      <c r="A361" s="76" t="s">
        <v>1109</v>
      </c>
      <c r="B361" s="77">
        <v>45364</v>
      </c>
      <c r="C361" s="78" t="s">
        <v>1302</v>
      </c>
      <c r="D361" s="58">
        <v>6050400</v>
      </c>
      <c r="E361" s="58">
        <f t="shared" si="18"/>
        <v>484032</v>
      </c>
      <c r="F361" s="79">
        <f t="shared" si="19"/>
        <v>6534432</v>
      </c>
      <c r="G361" s="54">
        <v>6534432</v>
      </c>
      <c r="H361" s="55">
        <f t="shared" si="21"/>
        <v>0</v>
      </c>
      <c r="I361" s="65">
        <v>45371</v>
      </c>
    </row>
    <row r="362" spans="1:9" ht="16.5" customHeight="1" x14ac:dyDescent="0.35">
      <c r="A362" s="76" t="s">
        <v>874</v>
      </c>
      <c r="B362" s="77">
        <v>45364</v>
      </c>
      <c r="C362" s="78" t="s">
        <v>1091</v>
      </c>
      <c r="D362" s="58">
        <v>6677400</v>
      </c>
      <c r="E362" s="58">
        <f t="shared" si="18"/>
        <v>534192</v>
      </c>
      <c r="F362" s="79">
        <f t="shared" si="19"/>
        <v>7211592</v>
      </c>
      <c r="G362" s="54">
        <v>7211592</v>
      </c>
      <c r="H362" s="55">
        <f t="shared" si="21"/>
        <v>0</v>
      </c>
      <c r="I362" s="85">
        <v>45496</v>
      </c>
    </row>
    <row r="363" spans="1:9" ht="16.5" customHeight="1" x14ac:dyDescent="0.35">
      <c r="A363" s="76" t="s">
        <v>1207</v>
      </c>
      <c r="B363" s="77">
        <v>45364</v>
      </c>
      <c r="C363" s="78" t="s">
        <v>1303</v>
      </c>
      <c r="D363" s="58">
        <v>3248400</v>
      </c>
      <c r="E363" s="58">
        <f t="shared" si="18"/>
        <v>259872</v>
      </c>
      <c r="F363" s="79">
        <f t="shared" si="19"/>
        <v>3508272</v>
      </c>
      <c r="G363" s="54">
        <v>3508272</v>
      </c>
      <c r="H363" s="55">
        <f t="shared" si="21"/>
        <v>0</v>
      </c>
      <c r="I363" s="85">
        <v>45496</v>
      </c>
    </row>
    <row r="364" spans="1:9" ht="16.5" customHeight="1" x14ac:dyDescent="0.35">
      <c r="A364" s="76" t="s">
        <v>1069</v>
      </c>
      <c r="B364" s="77">
        <v>45364</v>
      </c>
      <c r="C364" s="78" t="s">
        <v>1304</v>
      </c>
      <c r="D364" s="58">
        <v>16253600</v>
      </c>
      <c r="E364" s="58">
        <f t="shared" si="18"/>
        <v>1300288</v>
      </c>
      <c r="F364" s="79">
        <f t="shared" si="19"/>
        <v>17553888</v>
      </c>
      <c r="G364" s="54">
        <v>17553888</v>
      </c>
      <c r="H364" s="55">
        <f t="shared" si="21"/>
        <v>0</v>
      </c>
      <c r="I364" s="65">
        <v>45392</v>
      </c>
    </row>
    <row r="365" spans="1:9" ht="16.5" customHeight="1" x14ac:dyDescent="0.35">
      <c r="A365" s="76" t="s">
        <v>898</v>
      </c>
      <c r="B365" s="77">
        <v>45365</v>
      </c>
      <c r="C365" s="78" t="s">
        <v>897</v>
      </c>
      <c r="D365" s="58">
        <v>19953200</v>
      </c>
      <c r="E365" s="58">
        <f t="shared" si="18"/>
        <v>1596256</v>
      </c>
      <c r="F365" s="79">
        <f t="shared" si="19"/>
        <v>21549456</v>
      </c>
      <c r="G365" s="54">
        <v>21549456</v>
      </c>
      <c r="H365" s="55">
        <f t="shared" si="21"/>
        <v>0</v>
      </c>
      <c r="I365" s="84">
        <v>45392</v>
      </c>
    </row>
    <row r="366" spans="1:9" ht="16.5" customHeight="1" x14ac:dyDescent="0.35">
      <c r="A366" s="76" t="s">
        <v>918</v>
      </c>
      <c r="B366" s="77">
        <v>45365</v>
      </c>
      <c r="C366" s="78" t="s">
        <v>1091</v>
      </c>
      <c r="D366" s="58">
        <v>200000</v>
      </c>
      <c r="E366" s="58">
        <f t="shared" si="18"/>
        <v>16000</v>
      </c>
      <c r="F366" s="79">
        <f t="shared" si="19"/>
        <v>216000</v>
      </c>
      <c r="G366" s="54">
        <v>216000</v>
      </c>
      <c r="H366" s="55">
        <f t="shared" si="21"/>
        <v>0</v>
      </c>
      <c r="I366" s="85">
        <v>45496</v>
      </c>
    </row>
    <row r="367" spans="1:9" ht="16.5" customHeight="1" x14ac:dyDescent="0.35">
      <c r="A367" s="76" t="s">
        <v>972</v>
      </c>
      <c r="B367" s="77">
        <v>45366</v>
      </c>
      <c r="C367" s="78" t="s">
        <v>1305</v>
      </c>
      <c r="D367" s="58">
        <v>12392000</v>
      </c>
      <c r="E367" s="58">
        <f t="shared" si="18"/>
        <v>991360</v>
      </c>
      <c r="F367" s="79">
        <f t="shared" si="19"/>
        <v>13383360</v>
      </c>
      <c r="G367" s="54">
        <v>13383360</v>
      </c>
      <c r="H367" s="55">
        <f t="shared" si="21"/>
        <v>0</v>
      </c>
      <c r="I367" s="85">
        <v>45496</v>
      </c>
    </row>
    <row r="368" spans="1:9" ht="16.5" customHeight="1" x14ac:dyDescent="0.35">
      <c r="A368" s="76" t="s">
        <v>1306</v>
      </c>
      <c r="B368" s="77">
        <v>45367</v>
      </c>
      <c r="C368" s="78" t="s">
        <v>1307</v>
      </c>
      <c r="D368" s="58">
        <v>14688800</v>
      </c>
      <c r="E368" s="58">
        <f t="shared" si="18"/>
        <v>1175104</v>
      </c>
      <c r="F368" s="79">
        <f t="shared" si="19"/>
        <v>15863904</v>
      </c>
      <c r="G368" s="54">
        <v>15863904</v>
      </c>
      <c r="H368" s="55">
        <f t="shared" si="21"/>
        <v>0</v>
      </c>
      <c r="I368" s="84">
        <v>45392</v>
      </c>
    </row>
    <row r="369" spans="1:9" ht="16.2" customHeight="1" x14ac:dyDescent="0.35">
      <c r="A369" s="76" t="s">
        <v>1308</v>
      </c>
      <c r="B369" s="77">
        <v>45367</v>
      </c>
      <c r="C369" s="78" t="s">
        <v>1309</v>
      </c>
      <c r="D369" s="58">
        <v>13659500</v>
      </c>
      <c r="E369" s="58">
        <f t="shared" si="18"/>
        <v>1092760</v>
      </c>
      <c r="F369" s="79">
        <f t="shared" si="19"/>
        <v>14752260</v>
      </c>
      <c r="G369" s="54">
        <v>14752260</v>
      </c>
      <c r="H369" s="55">
        <f t="shared" si="21"/>
        <v>0</v>
      </c>
      <c r="I369" s="65">
        <v>45496</v>
      </c>
    </row>
    <row r="370" spans="1:9" ht="16.2" customHeight="1" x14ac:dyDescent="0.35">
      <c r="A370" s="76" t="s">
        <v>955</v>
      </c>
      <c r="B370" s="77">
        <v>45369</v>
      </c>
      <c r="C370" s="78" t="s">
        <v>1139</v>
      </c>
      <c r="D370" s="58">
        <v>12589700</v>
      </c>
      <c r="E370" s="58">
        <f t="shared" si="18"/>
        <v>1007176</v>
      </c>
      <c r="F370" s="79">
        <f t="shared" si="19"/>
        <v>13596876</v>
      </c>
      <c r="G370" s="54">
        <v>13596876</v>
      </c>
      <c r="H370" s="55">
        <f t="shared" si="21"/>
        <v>0</v>
      </c>
      <c r="I370" s="85">
        <v>45496</v>
      </c>
    </row>
    <row r="371" spans="1:9" ht="16.2" customHeight="1" x14ac:dyDescent="0.35">
      <c r="A371" s="76" t="s">
        <v>1310</v>
      </c>
      <c r="B371" s="77">
        <v>45369</v>
      </c>
      <c r="C371" s="78" t="s">
        <v>1311</v>
      </c>
      <c r="D371" s="58">
        <v>13580400</v>
      </c>
      <c r="E371" s="58">
        <f t="shared" si="18"/>
        <v>1086432</v>
      </c>
      <c r="F371" s="79">
        <f t="shared" si="19"/>
        <v>14666832</v>
      </c>
      <c r="G371" s="54">
        <v>14666832</v>
      </c>
      <c r="H371" s="55">
        <f t="shared" si="21"/>
        <v>0</v>
      </c>
      <c r="I371" s="85">
        <v>45496</v>
      </c>
    </row>
    <row r="372" spans="1:9" ht="16.2" customHeight="1" x14ac:dyDescent="0.35">
      <c r="A372" s="76" t="s">
        <v>978</v>
      </c>
      <c r="B372" s="77">
        <v>45369</v>
      </c>
      <c r="C372" s="78" t="s">
        <v>1312</v>
      </c>
      <c r="D372" s="58">
        <v>5190500</v>
      </c>
      <c r="E372" s="58">
        <f t="shared" si="18"/>
        <v>415240</v>
      </c>
      <c r="F372" s="79">
        <f t="shared" si="19"/>
        <v>5605740</v>
      </c>
      <c r="G372" s="54">
        <v>5605740</v>
      </c>
      <c r="H372" s="55">
        <f t="shared" si="21"/>
        <v>0</v>
      </c>
      <c r="I372" s="84">
        <v>45392</v>
      </c>
    </row>
    <row r="373" spans="1:9" ht="16.2" customHeight="1" x14ac:dyDescent="0.35">
      <c r="A373" s="76" t="s">
        <v>924</v>
      </c>
      <c r="B373" s="77">
        <v>45370</v>
      </c>
      <c r="C373" s="78" t="s">
        <v>1313</v>
      </c>
      <c r="D373" s="58">
        <v>12402100</v>
      </c>
      <c r="E373" s="58">
        <f t="shared" si="18"/>
        <v>992168</v>
      </c>
      <c r="F373" s="79">
        <f t="shared" si="19"/>
        <v>13394268</v>
      </c>
      <c r="G373" s="54">
        <v>13394268</v>
      </c>
      <c r="H373" s="55">
        <f t="shared" si="21"/>
        <v>0</v>
      </c>
      <c r="I373" s="85">
        <v>45496</v>
      </c>
    </row>
    <row r="374" spans="1:9" ht="16.2" customHeight="1" x14ac:dyDescent="0.35">
      <c r="A374" s="76" t="s">
        <v>1314</v>
      </c>
      <c r="B374" s="77">
        <v>45371</v>
      </c>
      <c r="C374" s="78" t="s">
        <v>1315</v>
      </c>
      <c r="D374" s="58">
        <v>540800</v>
      </c>
      <c r="E374" s="58">
        <f t="shared" si="18"/>
        <v>43264</v>
      </c>
      <c r="F374" s="79">
        <f t="shared" si="19"/>
        <v>584064</v>
      </c>
      <c r="G374" s="54">
        <v>584064</v>
      </c>
      <c r="H374" s="55">
        <f t="shared" si="21"/>
        <v>0</v>
      </c>
      <c r="I374" s="85">
        <v>45496</v>
      </c>
    </row>
    <row r="375" spans="1:9" ht="16.2" customHeight="1" x14ac:dyDescent="0.35">
      <c r="A375" s="76" t="s">
        <v>1316</v>
      </c>
      <c r="B375" s="77">
        <v>45371</v>
      </c>
      <c r="C375" s="78" t="s">
        <v>1317</v>
      </c>
      <c r="D375" s="58">
        <v>228800</v>
      </c>
      <c r="E375" s="58">
        <f t="shared" si="18"/>
        <v>18304</v>
      </c>
      <c r="F375" s="79">
        <f t="shared" si="19"/>
        <v>247104</v>
      </c>
      <c r="G375" s="54">
        <v>247104</v>
      </c>
      <c r="H375" s="55">
        <f t="shared" si="21"/>
        <v>0</v>
      </c>
      <c r="I375" s="85">
        <v>45496</v>
      </c>
    </row>
    <row r="376" spans="1:9" ht="16.2" customHeight="1" x14ac:dyDescent="0.35">
      <c r="A376" s="76" t="s">
        <v>1094</v>
      </c>
      <c r="B376" s="77">
        <v>45372</v>
      </c>
      <c r="C376" s="78" t="s">
        <v>1318</v>
      </c>
      <c r="D376" s="58">
        <v>130000</v>
      </c>
      <c r="E376" s="58">
        <f t="shared" si="18"/>
        <v>10400</v>
      </c>
      <c r="F376" s="79">
        <f t="shared" si="19"/>
        <v>140400</v>
      </c>
      <c r="G376" s="54">
        <v>140400</v>
      </c>
      <c r="H376" s="55">
        <f t="shared" si="21"/>
        <v>0</v>
      </c>
      <c r="I376" s="85">
        <v>45496</v>
      </c>
    </row>
    <row r="377" spans="1:9" ht="16.2" customHeight="1" x14ac:dyDescent="0.35">
      <c r="A377" s="76" t="s">
        <v>1199</v>
      </c>
      <c r="B377" s="77">
        <v>45373</v>
      </c>
      <c r="C377" s="78" t="s">
        <v>1319</v>
      </c>
      <c r="D377" s="58">
        <v>3752000</v>
      </c>
      <c r="E377" s="58">
        <f t="shared" si="18"/>
        <v>300160</v>
      </c>
      <c r="F377" s="79">
        <f t="shared" si="19"/>
        <v>4052160</v>
      </c>
      <c r="G377" s="54">
        <v>4052160</v>
      </c>
      <c r="H377" s="55">
        <f t="shared" si="21"/>
        <v>0</v>
      </c>
      <c r="I377" s="85">
        <v>45496</v>
      </c>
    </row>
    <row r="378" spans="1:9" ht="16.2" customHeight="1" x14ac:dyDescent="0.35">
      <c r="A378" s="76" t="s">
        <v>1320</v>
      </c>
      <c r="B378" s="77">
        <v>45374</v>
      </c>
      <c r="C378" s="78" t="s">
        <v>1321</v>
      </c>
      <c r="D378" s="58">
        <v>2370000</v>
      </c>
      <c r="E378" s="58">
        <f t="shared" si="18"/>
        <v>189600</v>
      </c>
      <c r="F378" s="79">
        <f t="shared" si="19"/>
        <v>2559600</v>
      </c>
      <c r="G378" s="54">
        <v>2559600</v>
      </c>
      <c r="H378" s="55">
        <f t="shared" si="21"/>
        <v>0</v>
      </c>
      <c r="I378" s="84">
        <v>45496</v>
      </c>
    </row>
    <row r="379" spans="1:9" ht="16.2" customHeight="1" x14ac:dyDescent="0.35">
      <c r="A379" s="76" t="s">
        <v>1322</v>
      </c>
      <c r="B379" s="77">
        <v>45374</v>
      </c>
      <c r="C379" s="78" t="s">
        <v>1323</v>
      </c>
      <c r="D379" s="58">
        <v>644800</v>
      </c>
      <c r="E379" s="58">
        <f t="shared" si="18"/>
        <v>51584</v>
      </c>
      <c r="F379" s="79">
        <f t="shared" si="19"/>
        <v>696384</v>
      </c>
      <c r="G379" s="54">
        <v>696384</v>
      </c>
      <c r="H379" s="55">
        <f t="shared" si="21"/>
        <v>0</v>
      </c>
      <c r="I379" s="85">
        <v>45496</v>
      </c>
    </row>
    <row r="380" spans="1:9" ht="16.2" customHeight="1" x14ac:dyDescent="0.35">
      <c r="A380" s="76" t="s">
        <v>1169</v>
      </c>
      <c r="B380" s="77">
        <v>45373</v>
      </c>
      <c r="C380" s="78" t="s">
        <v>1324</v>
      </c>
      <c r="D380" s="58">
        <v>10336000</v>
      </c>
      <c r="E380" s="58">
        <f t="shared" si="18"/>
        <v>826880</v>
      </c>
      <c r="F380" s="79">
        <f t="shared" si="19"/>
        <v>11162880</v>
      </c>
      <c r="G380" s="54">
        <v>11162880</v>
      </c>
      <c r="H380" s="55">
        <f t="shared" si="21"/>
        <v>0</v>
      </c>
      <c r="I380" s="85">
        <v>45496</v>
      </c>
    </row>
    <row r="381" spans="1:9" ht="16.2" customHeight="1" x14ac:dyDescent="0.35">
      <c r="A381" s="76" t="s">
        <v>1325</v>
      </c>
      <c r="B381" s="77">
        <v>45373</v>
      </c>
      <c r="C381" s="78" t="s">
        <v>1326</v>
      </c>
      <c r="D381" s="58">
        <v>4791600</v>
      </c>
      <c r="E381" s="58">
        <f t="shared" si="18"/>
        <v>383328</v>
      </c>
      <c r="F381" s="79">
        <f t="shared" si="19"/>
        <v>5174928</v>
      </c>
      <c r="G381" s="54">
        <v>5174928</v>
      </c>
      <c r="H381" s="55">
        <f t="shared" si="21"/>
        <v>0</v>
      </c>
      <c r="I381" s="84">
        <v>45392</v>
      </c>
    </row>
    <row r="382" spans="1:9" ht="16.2" customHeight="1" x14ac:dyDescent="0.35">
      <c r="A382" s="76" t="s">
        <v>1155</v>
      </c>
      <c r="B382" s="77">
        <v>45377</v>
      </c>
      <c r="C382" s="78" t="s">
        <v>1156</v>
      </c>
      <c r="D382" s="58">
        <v>3136000</v>
      </c>
      <c r="E382" s="58">
        <f t="shared" si="18"/>
        <v>250880</v>
      </c>
      <c r="F382" s="79">
        <f t="shared" si="19"/>
        <v>3386880</v>
      </c>
      <c r="G382" s="54">
        <v>3386880</v>
      </c>
      <c r="H382" s="55">
        <f t="shared" si="21"/>
        <v>0</v>
      </c>
      <c r="I382" s="84">
        <v>45392</v>
      </c>
    </row>
    <row r="383" spans="1:9" ht="16.2" customHeight="1" x14ac:dyDescent="0.35">
      <c r="A383" s="76" t="s">
        <v>1327</v>
      </c>
      <c r="B383" s="77">
        <v>45381</v>
      </c>
      <c r="C383" s="78" t="s">
        <v>1328</v>
      </c>
      <c r="D383" s="58">
        <v>8040500</v>
      </c>
      <c r="E383" s="58">
        <f t="shared" si="18"/>
        <v>643240</v>
      </c>
      <c r="F383" s="79">
        <f t="shared" si="19"/>
        <v>8683740</v>
      </c>
      <c r="G383" s="54">
        <v>8683740</v>
      </c>
      <c r="H383" s="55">
        <f t="shared" si="21"/>
        <v>0</v>
      </c>
      <c r="I383" s="85">
        <v>45496</v>
      </c>
    </row>
    <row r="384" spans="1:9" ht="16.2" customHeight="1" x14ac:dyDescent="0.35">
      <c r="A384" s="76" t="s">
        <v>1329</v>
      </c>
      <c r="B384" s="77">
        <v>45380</v>
      </c>
      <c r="C384" s="78" t="s">
        <v>1123</v>
      </c>
      <c r="D384" s="58">
        <v>4843200</v>
      </c>
      <c r="E384" s="58">
        <f t="shared" si="18"/>
        <v>387456</v>
      </c>
      <c r="F384" s="79">
        <f t="shared" si="19"/>
        <v>5230656</v>
      </c>
      <c r="G384" s="54">
        <v>5230656</v>
      </c>
      <c r="H384" s="55">
        <f t="shared" si="21"/>
        <v>0</v>
      </c>
      <c r="I384" s="85">
        <v>45496</v>
      </c>
    </row>
    <row r="385" spans="1:10" ht="16.2" customHeight="1" x14ac:dyDescent="0.35">
      <c r="A385" s="76" t="s">
        <v>1153</v>
      </c>
      <c r="B385" s="77">
        <v>45384</v>
      </c>
      <c r="C385" s="78" t="s">
        <v>1330</v>
      </c>
      <c r="D385" s="58">
        <v>2708000</v>
      </c>
      <c r="E385" s="58">
        <f t="shared" si="18"/>
        <v>216640</v>
      </c>
      <c r="F385" s="79">
        <f t="shared" si="19"/>
        <v>2924640</v>
      </c>
      <c r="G385" s="54">
        <v>2924640</v>
      </c>
      <c r="H385" s="55">
        <f t="shared" si="21"/>
        <v>0</v>
      </c>
      <c r="I385" s="65">
        <v>45531</v>
      </c>
    </row>
    <row r="386" spans="1:10" ht="16.2" customHeight="1" x14ac:dyDescent="0.35">
      <c r="A386" s="76" t="s">
        <v>926</v>
      </c>
      <c r="B386" s="77">
        <v>45363</v>
      </c>
      <c r="C386" s="78" t="s">
        <v>1304</v>
      </c>
      <c r="D386" s="58">
        <v>23032800</v>
      </c>
      <c r="E386" s="58">
        <f t="shared" si="18"/>
        <v>1842624</v>
      </c>
      <c r="F386" s="79">
        <f t="shared" si="19"/>
        <v>24875424</v>
      </c>
      <c r="G386" s="54">
        <v>24875424</v>
      </c>
      <c r="H386" s="55">
        <f t="shared" si="21"/>
        <v>0</v>
      </c>
      <c r="I386" s="85">
        <v>45496</v>
      </c>
    </row>
    <row r="387" spans="1:10" ht="16.2" customHeight="1" x14ac:dyDescent="0.35">
      <c r="A387" s="76" t="s">
        <v>963</v>
      </c>
      <c r="B387" s="77">
        <v>45365</v>
      </c>
      <c r="C387" s="78" t="s">
        <v>1331</v>
      </c>
      <c r="D387" s="58">
        <v>1920000</v>
      </c>
      <c r="E387" s="58">
        <f t="shared" si="18"/>
        <v>153600</v>
      </c>
      <c r="F387" s="79">
        <f t="shared" si="19"/>
        <v>2073600</v>
      </c>
      <c r="G387" s="54">
        <v>2073600</v>
      </c>
      <c r="H387" s="55">
        <f t="shared" si="21"/>
        <v>0</v>
      </c>
      <c r="I387" s="85">
        <v>45496</v>
      </c>
    </row>
    <row r="388" spans="1:10" ht="16.2" customHeight="1" x14ac:dyDescent="0.35">
      <c r="A388" s="76" t="s">
        <v>930</v>
      </c>
      <c r="B388" s="77">
        <v>45379</v>
      </c>
      <c r="C388" s="78" t="s">
        <v>1332</v>
      </c>
      <c r="D388" s="58">
        <v>14900100</v>
      </c>
      <c r="E388" s="58">
        <f t="shared" si="18"/>
        <v>1192008</v>
      </c>
      <c r="F388" s="79">
        <f t="shared" si="19"/>
        <v>16092108</v>
      </c>
      <c r="G388" s="54">
        <v>16092108</v>
      </c>
      <c r="H388" s="55">
        <f t="shared" si="21"/>
        <v>0</v>
      </c>
      <c r="I388" s="85">
        <v>45496</v>
      </c>
    </row>
    <row r="389" spans="1:10" ht="16.2" customHeight="1" x14ac:dyDescent="0.35">
      <c r="A389" s="76" t="s">
        <v>948</v>
      </c>
      <c r="B389" s="77">
        <v>45380</v>
      </c>
      <c r="C389" s="78" t="s">
        <v>1333</v>
      </c>
      <c r="D389" s="58">
        <v>206000</v>
      </c>
      <c r="E389" s="58">
        <f t="shared" si="18"/>
        <v>16480</v>
      </c>
      <c r="F389" s="79">
        <f t="shared" si="19"/>
        <v>222480</v>
      </c>
      <c r="G389" s="54">
        <v>222480</v>
      </c>
      <c r="H389" s="55">
        <f t="shared" si="21"/>
        <v>0</v>
      </c>
      <c r="I389" s="85">
        <v>45496</v>
      </c>
    </row>
    <row r="390" spans="1:10" ht="16.2" customHeight="1" x14ac:dyDescent="0.35">
      <c r="A390" s="76" t="s">
        <v>1132</v>
      </c>
      <c r="B390" s="77">
        <v>45370</v>
      </c>
      <c r="C390" s="78" t="s">
        <v>1105</v>
      </c>
      <c r="D390" s="58">
        <v>1461200</v>
      </c>
      <c r="E390" s="58">
        <f t="shared" si="18"/>
        <v>116896</v>
      </c>
      <c r="F390" s="79">
        <f t="shared" si="19"/>
        <v>1578096</v>
      </c>
      <c r="G390" s="54">
        <v>1578096</v>
      </c>
      <c r="H390" s="55">
        <f t="shared" si="21"/>
        <v>0</v>
      </c>
      <c r="I390" s="85">
        <v>45496</v>
      </c>
    </row>
    <row r="391" spans="1:10" ht="16.2" customHeight="1" x14ac:dyDescent="0.35">
      <c r="A391" s="76" t="s">
        <v>1137</v>
      </c>
      <c r="B391" s="77">
        <v>45379</v>
      </c>
      <c r="C391" s="78" t="s">
        <v>1252</v>
      </c>
      <c r="D391" s="58">
        <v>3850300</v>
      </c>
      <c r="E391" s="58">
        <f t="shared" si="18"/>
        <v>308024</v>
      </c>
      <c r="F391" s="79">
        <f t="shared" si="19"/>
        <v>4158324</v>
      </c>
      <c r="G391" s="54">
        <v>4158324</v>
      </c>
      <c r="H391" s="55">
        <f t="shared" si="21"/>
        <v>0</v>
      </c>
      <c r="I391" s="84">
        <v>45392</v>
      </c>
    </row>
    <row r="392" spans="1:10" ht="16.2" customHeight="1" x14ac:dyDescent="0.35">
      <c r="A392" s="76" t="s">
        <v>1124</v>
      </c>
      <c r="B392" s="77">
        <v>45343</v>
      </c>
      <c r="C392" s="78" t="s">
        <v>1221</v>
      </c>
      <c r="D392" s="58">
        <v>2256000</v>
      </c>
      <c r="E392" s="58">
        <f t="shared" si="18"/>
        <v>180480</v>
      </c>
      <c r="F392" s="79">
        <f t="shared" si="19"/>
        <v>2436480</v>
      </c>
      <c r="G392" s="54">
        <v>2436480</v>
      </c>
      <c r="H392" s="55">
        <f t="shared" si="21"/>
        <v>0</v>
      </c>
      <c r="I392" s="85">
        <v>45496</v>
      </c>
    </row>
    <row r="393" spans="1:10" ht="16.2" customHeight="1" x14ac:dyDescent="0.35">
      <c r="A393" s="76" t="s">
        <v>1240</v>
      </c>
      <c r="B393" s="77">
        <v>45310</v>
      </c>
      <c r="C393" s="78" t="s">
        <v>1334</v>
      </c>
      <c r="D393" s="58">
        <v>2376000</v>
      </c>
      <c r="E393" s="58">
        <f t="shared" si="18"/>
        <v>190080</v>
      </c>
      <c r="F393" s="79">
        <f t="shared" si="19"/>
        <v>2566080</v>
      </c>
      <c r="G393" s="54">
        <v>2566080</v>
      </c>
      <c r="H393" s="55">
        <f t="shared" si="21"/>
        <v>0</v>
      </c>
      <c r="I393" s="85">
        <v>45496</v>
      </c>
    </row>
    <row r="394" spans="1:10" ht="16.2" customHeight="1" x14ac:dyDescent="0.35">
      <c r="A394" s="76" t="s">
        <v>1335</v>
      </c>
      <c r="B394" s="77">
        <v>45323</v>
      </c>
      <c r="C394" s="78" t="s">
        <v>1336</v>
      </c>
      <c r="D394" s="58">
        <v>187200</v>
      </c>
      <c r="E394" s="58">
        <f t="shared" si="18"/>
        <v>14976</v>
      </c>
      <c r="F394" s="79">
        <f t="shared" si="19"/>
        <v>202176</v>
      </c>
      <c r="G394" s="54">
        <v>202176</v>
      </c>
      <c r="H394" s="55">
        <f t="shared" si="21"/>
        <v>0</v>
      </c>
      <c r="I394" s="85">
        <v>45496</v>
      </c>
    </row>
    <row r="395" spans="1:10" ht="16.2" customHeight="1" x14ac:dyDescent="0.35">
      <c r="A395" s="76" t="s">
        <v>993</v>
      </c>
      <c r="B395" s="77">
        <v>45385</v>
      </c>
      <c r="C395" s="78" t="s">
        <v>1337</v>
      </c>
      <c r="D395" s="58">
        <v>9699000</v>
      </c>
      <c r="E395" s="58">
        <f t="shared" si="18"/>
        <v>775920</v>
      </c>
      <c r="F395" s="79">
        <f t="shared" si="19"/>
        <v>10474920</v>
      </c>
      <c r="G395" s="54">
        <v>10474920</v>
      </c>
      <c r="H395" s="55">
        <f t="shared" si="21"/>
        <v>0</v>
      </c>
      <c r="I395" s="85">
        <v>45496</v>
      </c>
    </row>
    <row r="396" spans="1:10" ht="16.2" customHeight="1" x14ac:dyDescent="0.35">
      <c r="A396" s="76" t="s">
        <v>1338</v>
      </c>
      <c r="B396" s="77">
        <v>45385</v>
      </c>
      <c r="C396" s="78" t="s">
        <v>1339</v>
      </c>
      <c r="D396" s="58">
        <v>374400</v>
      </c>
      <c r="E396" s="58">
        <f t="shared" si="18"/>
        <v>29952</v>
      </c>
      <c r="F396" s="79">
        <f t="shared" si="19"/>
        <v>404352</v>
      </c>
      <c r="G396" s="54">
        <v>404352</v>
      </c>
      <c r="H396" s="55">
        <f t="shared" si="21"/>
        <v>0</v>
      </c>
      <c r="I396" s="65">
        <v>45531</v>
      </c>
      <c r="J396" s="84" t="s">
        <v>1340</v>
      </c>
    </row>
    <row r="397" spans="1:10" ht="16.2" customHeight="1" x14ac:dyDescent="0.35">
      <c r="A397" s="76" t="s">
        <v>1141</v>
      </c>
      <c r="B397" s="77">
        <v>45384</v>
      </c>
      <c r="C397" s="78" t="s">
        <v>1341</v>
      </c>
      <c r="D397" s="58">
        <v>14877800</v>
      </c>
      <c r="E397" s="58">
        <f t="shared" si="18"/>
        <v>1190224</v>
      </c>
      <c r="F397" s="79">
        <f t="shared" si="19"/>
        <v>16068024</v>
      </c>
      <c r="G397" s="54">
        <v>16068024</v>
      </c>
      <c r="H397" s="55">
        <f t="shared" si="21"/>
        <v>0</v>
      </c>
      <c r="I397" s="85">
        <v>45496</v>
      </c>
    </row>
    <row r="398" spans="1:10" ht="16.2" customHeight="1" x14ac:dyDescent="0.35">
      <c r="A398" s="76" t="s">
        <v>1342</v>
      </c>
      <c r="B398" s="77">
        <v>45391</v>
      </c>
      <c r="C398" s="78" t="s">
        <v>1343</v>
      </c>
      <c r="D398" s="58">
        <v>374400</v>
      </c>
      <c r="E398" s="58">
        <f t="shared" ref="E398:E440" si="22">+D398*0.08</f>
        <v>29952</v>
      </c>
      <c r="F398" s="79">
        <f t="shared" si="19"/>
        <v>404352</v>
      </c>
      <c r="G398" s="54">
        <v>404352</v>
      </c>
      <c r="H398" s="55">
        <f t="shared" si="21"/>
        <v>0</v>
      </c>
      <c r="I398" s="65">
        <v>45531</v>
      </c>
    </row>
    <row r="399" spans="1:10" ht="16.2" customHeight="1" x14ac:dyDescent="0.35">
      <c r="A399" s="76" t="s">
        <v>1344</v>
      </c>
      <c r="B399" s="77">
        <v>45388</v>
      </c>
      <c r="C399" s="78" t="s">
        <v>1345</v>
      </c>
      <c r="D399" s="58">
        <v>644800</v>
      </c>
      <c r="E399" s="58">
        <f t="shared" si="22"/>
        <v>51584</v>
      </c>
      <c r="F399" s="79">
        <f t="shared" si="19"/>
        <v>696384</v>
      </c>
      <c r="G399" s="54">
        <v>696384</v>
      </c>
      <c r="H399" s="55">
        <f t="shared" si="21"/>
        <v>0</v>
      </c>
      <c r="I399" s="65">
        <v>45531</v>
      </c>
    </row>
    <row r="400" spans="1:10" ht="16.2" customHeight="1" x14ac:dyDescent="0.35">
      <c r="A400" s="76" t="s">
        <v>909</v>
      </c>
      <c r="B400" s="77">
        <v>45366</v>
      </c>
      <c r="C400" s="78" t="s">
        <v>1133</v>
      </c>
      <c r="D400" s="58">
        <v>1882000</v>
      </c>
      <c r="E400" s="58">
        <f t="shared" si="22"/>
        <v>150560</v>
      </c>
      <c r="F400" s="79">
        <f t="shared" si="19"/>
        <v>2032560</v>
      </c>
      <c r="G400" s="54">
        <v>2032560</v>
      </c>
      <c r="H400" s="55">
        <f t="shared" si="21"/>
        <v>0</v>
      </c>
      <c r="I400" s="85">
        <v>45496</v>
      </c>
    </row>
    <row r="401" spans="1:10" ht="15.75" customHeight="1" x14ac:dyDescent="0.35">
      <c r="A401" s="76" t="s">
        <v>1184</v>
      </c>
      <c r="B401" s="77">
        <v>45392</v>
      </c>
      <c r="C401" s="78" t="s">
        <v>1346</v>
      </c>
      <c r="D401" s="58">
        <v>9772200</v>
      </c>
      <c r="E401" s="58">
        <f t="shared" si="22"/>
        <v>781776</v>
      </c>
      <c r="F401" s="79">
        <f t="shared" si="19"/>
        <v>10553976</v>
      </c>
      <c r="G401" s="54">
        <v>10553976</v>
      </c>
      <c r="H401" s="55">
        <f t="shared" si="21"/>
        <v>0</v>
      </c>
      <c r="I401" s="81">
        <v>45531</v>
      </c>
    </row>
    <row r="402" spans="1:10" ht="18.75" customHeight="1" x14ac:dyDescent="0.35">
      <c r="A402" s="76" t="s">
        <v>1180</v>
      </c>
      <c r="B402" s="77">
        <v>45351</v>
      </c>
      <c r="C402" s="78" t="s">
        <v>1043</v>
      </c>
      <c r="D402" s="58">
        <v>13707000</v>
      </c>
      <c r="E402" s="58">
        <f t="shared" si="22"/>
        <v>1096560</v>
      </c>
      <c r="F402" s="79">
        <f t="shared" si="19"/>
        <v>14803560</v>
      </c>
      <c r="G402" s="54">
        <v>14803560</v>
      </c>
      <c r="H402" s="55">
        <f t="shared" si="21"/>
        <v>0</v>
      </c>
      <c r="I402" s="65">
        <v>45392</v>
      </c>
    </row>
    <row r="403" spans="1:10" ht="15" customHeight="1" x14ac:dyDescent="0.35">
      <c r="A403" s="76" t="s">
        <v>1347</v>
      </c>
      <c r="B403" s="77">
        <v>45324</v>
      </c>
      <c r="C403" s="78" t="s">
        <v>1348</v>
      </c>
      <c r="D403" s="58">
        <v>603200</v>
      </c>
      <c r="E403" s="58">
        <f t="shared" si="22"/>
        <v>48256</v>
      </c>
      <c r="F403" s="79">
        <f t="shared" si="19"/>
        <v>651456</v>
      </c>
      <c r="G403" s="54">
        <v>651456</v>
      </c>
      <c r="H403" s="55">
        <f t="shared" si="21"/>
        <v>0</v>
      </c>
      <c r="I403" s="65">
        <v>45392</v>
      </c>
      <c r="J403" s="2" t="s">
        <v>1349</v>
      </c>
    </row>
    <row r="404" spans="1:10" ht="16.2" customHeight="1" x14ac:dyDescent="0.35">
      <c r="A404" s="76" t="s">
        <v>934</v>
      </c>
      <c r="B404" s="77">
        <v>45355</v>
      </c>
      <c r="C404" s="78" t="s">
        <v>1262</v>
      </c>
      <c r="D404" s="58">
        <v>11449800</v>
      </c>
      <c r="E404" s="58">
        <f t="shared" si="22"/>
        <v>915984</v>
      </c>
      <c r="F404" s="79">
        <f t="shared" si="19"/>
        <v>12365784</v>
      </c>
      <c r="G404" s="54">
        <v>12365784</v>
      </c>
      <c r="H404" s="55">
        <f t="shared" ref="H404:H440" si="23">+F404-G404</f>
        <v>0</v>
      </c>
      <c r="I404" s="85">
        <v>45496</v>
      </c>
      <c r="J404" s="2" t="s">
        <v>1349</v>
      </c>
    </row>
    <row r="405" spans="1:10" ht="16.2" customHeight="1" x14ac:dyDescent="0.35">
      <c r="A405" s="76" t="s">
        <v>957</v>
      </c>
      <c r="B405" s="77">
        <v>45365</v>
      </c>
      <c r="C405" s="78" t="s">
        <v>908</v>
      </c>
      <c r="D405" s="58">
        <v>11053200</v>
      </c>
      <c r="E405" s="58">
        <f t="shared" si="22"/>
        <v>884256</v>
      </c>
      <c r="F405" s="79">
        <f t="shared" si="19"/>
        <v>11937456</v>
      </c>
      <c r="G405" s="54">
        <v>11937456</v>
      </c>
      <c r="H405" s="55">
        <f t="shared" si="23"/>
        <v>0</v>
      </c>
      <c r="I405" s="85">
        <v>45496</v>
      </c>
      <c r="J405" s="68" t="s">
        <v>1349</v>
      </c>
    </row>
    <row r="406" spans="1:10" ht="18.75" customHeight="1" x14ac:dyDescent="0.35">
      <c r="A406" s="76" t="s">
        <v>1350</v>
      </c>
      <c r="B406" s="77">
        <v>45402</v>
      </c>
      <c r="C406" s="78" t="s">
        <v>1351</v>
      </c>
      <c r="D406" s="58">
        <v>1517400</v>
      </c>
      <c r="E406" s="58">
        <f t="shared" si="22"/>
        <v>121392</v>
      </c>
      <c r="F406" s="79">
        <f t="shared" si="19"/>
        <v>1638792</v>
      </c>
      <c r="G406" s="54">
        <v>1638792</v>
      </c>
      <c r="H406" s="55">
        <f t="shared" si="23"/>
        <v>0</v>
      </c>
      <c r="I406" s="65">
        <v>45531</v>
      </c>
      <c r="J406" s="65" t="s">
        <v>1352</v>
      </c>
    </row>
    <row r="407" spans="1:10" ht="16.2" customHeight="1" x14ac:dyDescent="0.35">
      <c r="A407" s="76" t="s">
        <v>967</v>
      </c>
      <c r="B407" s="77">
        <v>45405</v>
      </c>
      <c r="C407" s="78" t="s">
        <v>1353</v>
      </c>
      <c r="D407" s="58">
        <v>2016000</v>
      </c>
      <c r="E407" s="58">
        <f t="shared" si="22"/>
        <v>161280</v>
      </c>
      <c r="F407" s="79">
        <f t="shared" si="19"/>
        <v>2177280</v>
      </c>
      <c r="G407" s="54">
        <v>2177280</v>
      </c>
      <c r="H407" s="55">
        <f t="shared" si="23"/>
        <v>0</v>
      </c>
      <c r="I407" s="81">
        <v>45531</v>
      </c>
    </row>
    <row r="408" spans="1:10" ht="16.2" customHeight="1" x14ac:dyDescent="0.35">
      <c r="A408" s="76" t="s">
        <v>1354</v>
      </c>
      <c r="B408" s="77">
        <v>45406</v>
      </c>
      <c r="C408" s="78" t="s">
        <v>1355</v>
      </c>
      <c r="D408" s="58">
        <v>582400</v>
      </c>
      <c r="E408" s="58">
        <f t="shared" si="22"/>
        <v>46592</v>
      </c>
      <c r="F408" s="79">
        <f t="shared" si="19"/>
        <v>628992</v>
      </c>
      <c r="G408" s="54">
        <v>628992</v>
      </c>
      <c r="H408" s="55">
        <f t="shared" si="23"/>
        <v>0</v>
      </c>
      <c r="I408" s="65">
        <v>45531</v>
      </c>
    </row>
    <row r="409" spans="1:10" ht="16.2" customHeight="1" x14ac:dyDescent="0.35">
      <c r="A409" s="76" t="s">
        <v>1356</v>
      </c>
      <c r="B409" s="77">
        <v>45408</v>
      </c>
      <c r="C409" s="78" t="s">
        <v>1357</v>
      </c>
      <c r="D409" s="58">
        <v>10522400</v>
      </c>
      <c r="E409" s="58">
        <f t="shared" si="22"/>
        <v>841792</v>
      </c>
      <c r="F409" s="79">
        <f t="shared" si="19"/>
        <v>11364192</v>
      </c>
      <c r="G409" s="54">
        <v>11364192</v>
      </c>
      <c r="H409" s="55">
        <f t="shared" si="23"/>
        <v>0</v>
      </c>
      <c r="I409" s="65">
        <v>45531</v>
      </c>
    </row>
    <row r="410" spans="1:10" s="62" customFormat="1" ht="16.2" customHeight="1" x14ac:dyDescent="0.35">
      <c r="A410" s="76" t="s">
        <v>1350</v>
      </c>
      <c r="B410" s="77">
        <v>45402</v>
      </c>
      <c r="C410" s="78" t="s">
        <v>1358</v>
      </c>
      <c r="D410" s="58">
        <v>1517400</v>
      </c>
      <c r="E410" s="58">
        <f t="shared" si="22"/>
        <v>121392</v>
      </c>
      <c r="F410" s="59">
        <f t="shared" si="19"/>
        <v>1638792</v>
      </c>
      <c r="G410" s="60">
        <v>1638792</v>
      </c>
      <c r="H410" s="61">
        <f t="shared" si="23"/>
        <v>0</v>
      </c>
      <c r="I410" s="80" t="s">
        <v>1352</v>
      </c>
    </row>
    <row r="411" spans="1:10" ht="16.2" customHeight="1" x14ac:dyDescent="0.35">
      <c r="A411" s="76" t="s">
        <v>946</v>
      </c>
      <c r="B411" s="77">
        <v>45418</v>
      </c>
      <c r="C411" s="78" t="s">
        <v>1359</v>
      </c>
      <c r="D411" s="58">
        <v>19378100</v>
      </c>
      <c r="E411" s="58">
        <f t="shared" si="22"/>
        <v>1550248</v>
      </c>
      <c r="F411" s="79">
        <f t="shared" si="19"/>
        <v>20928348</v>
      </c>
      <c r="G411" s="54">
        <v>20928348</v>
      </c>
      <c r="H411" s="55">
        <f t="shared" si="23"/>
        <v>0</v>
      </c>
      <c r="I411" s="65">
        <v>45644</v>
      </c>
    </row>
    <row r="412" spans="1:10" ht="16.2" customHeight="1" x14ac:dyDescent="0.35">
      <c r="A412" s="76" t="s">
        <v>1163</v>
      </c>
      <c r="B412" s="77">
        <v>45426</v>
      </c>
      <c r="C412" s="78" t="s">
        <v>1360</v>
      </c>
      <c r="D412" s="58">
        <v>18544500</v>
      </c>
      <c r="E412" s="58">
        <f t="shared" si="22"/>
        <v>1483560</v>
      </c>
      <c r="F412" s="79">
        <f t="shared" si="19"/>
        <v>20028060</v>
      </c>
      <c r="G412" s="54">
        <v>20028060</v>
      </c>
      <c r="H412" s="55">
        <f t="shared" si="23"/>
        <v>0</v>
      </c>
      <c r="I412" s="65">
        <v>45559</v>
      </c>
    </row>
    <row r="413" spans="1:10" ht="16.2" customHeight="1" x14ac:dyDescent="0.35">
      <c r="A413" s="87" t="s">
        <v>1361</v>
      </c>
      <c r="B413" s="77">
        <v>45446</v>
      </c>
      <c r="C413" s="78" t="s">
        <v>1362</v>
      </c>
      <c r="D413" s="58">
        <v>187200</v>
      </c>
      <c r="E413" s="58">
        <f t="shared" si="22"/>
        <v>14976</v>
      </c>
      <c r="F413" s="79">
        <f t="shared" si="19"/>
        <v>202176</v>
      </c>
      <c r="G413" s="54">
        <v>202176</v>
      </c>
      <c r="H413" s="55">
        <f t="shared" si="23"/>
        <v>0</v>
      </c>
      <c r="I413" s="65">
        <v>45531</v>
      </c>
    </row>
    <row r="414" spans="1:10" ht="16.2" customHeight="1" x14ac:dyDescent="0.35">
      <c r="A414" s="76" t="s">
        <v>1361</v>
      </c>
      <c r="B414" s="77">
        <v>45446</v>
      </c>
      <c r="C414" s="78" t="s">
        <v>1363</v>
      </c>
      <c r="D414" s="58">
        <v>270400</v>
      </c>
      <c r="E414" s="58">
        <f t="shared" si="22"/>
        <v>21632</v>
      </c>
      <c r="F414" s="79">
        <f t="shared" si="19"/>
        <v>292032</v>
      </c>
      <c r="G414" s="54">
        <v>292032</v>
      </c>
      <c r="H414" s="55">
        <f t="shared" si="23"/>
        <v>0</v>
      </c>
      <c r="I414" s="65">
        <v>45531</v>
      </c>
    </row>
    <row r="415" spans="1:10" ht="16.2" customHeight="1" x14ac:dyDescent="0.35">
      <c r="A415" s="76" t="s">
        <v>1132</v>
      </c>
      <c r="B415" s="77">
        <v>45408</v>
      </c>
      <c r="C415" s="78" t="s">
        <v>1364</v>
      </c>
      <c r="D415" s="58">
        <v>1030000</v>
      </c>
      <c r="E415" s="58">
        <f>+D415*0.08</f>
        <v>82400</v>
      </c>
      <c r="F415" s="79">
        <f t="shared" ref="F415:F440" si="24">+E415+D415</f>
        <v>1112400</v>
      </c>
      <c r="G415" s="54">
        <v>1112400</v>
      </c>
      <c r="H415" s="55">
        <f t="shared" si="23"/>
        <v>0</v>
      </c>
      <c r="I415" s="65">
        <v>45531</v>
      </c>
    </row>
    <row r="416" spans="1:10" s="62" customFormat="1" ht="16.2" customHeight="1" x14ac:dyDescent="0.35">
      <c r="A416" s="76" t="s">
        <v>888</v>
      </c>
      <c r="B416" s="77">
        <v>45364</v>
      </c>
      <c r="C416" s="78" t="s">
        <v>1256</v>
      </c>
      <c r="D416" s="58">
        <v>8124840</v>
      </c>
      <c r="E416" s="58">
        <f t="shared" si="22"/>
        <v>649987.20000000007</v>
      </c>
      <c r="F416" s="59">
        <f t="shared" si="24"/>
        <v>8774827.1999999993</v>
      </c>
      <c r="G416" s="60">
        <v>8774827.1999999993</v>
      </c>
      <c r="H416" s="61">
        <f t="shared" si="23"/>
        <v>0</v>
      </c>
      <c r="I416" s="80"/>
    </row>
    <row r="417" spans="1:9" ht="16.2" customHeight="1" x14ac:dyDescent="0.35">
      <c r="A417" s="76" t="s">
        <v>1365</v>
      </c>
      <c r="B417" s="77">
        <v>45461</v>
      </c>
      <c r="C417" s="78" t="s">
        <v>1366</v>
      </c>
      <c r="D417" s="58">
        <v>249600</v>
      </c>
      <c r="E417" s="58">
        <f t="shared" si="22"/>
        <v>19968</v>
      </c>
      <c r="F417" s="79">
        <f t="shared" si="24"/>
        <v>269568</v>
      </c>
      <c r="G417" s="54">
        <v>269568</v>
      </c>
      <c r="H417" s="55">
        <f t="shared" si="23"/>
        <v>0</v>
      </c>
      <c r="I417" s="65">
        <v>45531</v>
      </c>
    </row>
    <row r="418" spans="1:9" ht="16.2" customHeight="1" x14ac:dyDescent="0.35">
      <c r="A418" s="76" t="s">
        <v>1367</v>
      </c>
      <c r="B418" s="77">
        <v>45465</v>
      </c>
      <c r="C418" s="78" t="s">
        <v>1368</v>
      </c>
      <c r="D418" s="58">
        <v>228800</v>
      </c>
      <c r="E418" s="58">
        <f t="shared" si="22"/>
        <v>18304</v>
      </c>
      <c r="F418" s="79">
        <f t="shared" si="24"/>
        <v>247104</v>
      </c>
      <c r="G418" s="54">
        <v>247104</v>
      </c>
      <c r="H418" s="55">
        <f t="shared" si="23"/>
        <v>0</v>
      </c>
      <c r="I418" s="65">
        <v>45531</v>
      </c>
    </row>
    <row r="419" spans="1:9" ht="16.2" customHeight="1" x14ac:dyDescent="0.35">
      <c r="A419" s="76" t="s">
        <v>1369</v>
      </c>
      <c r="B419" s="77">
        <v>45466</v>
      </c>
      <c r="C419" s="78" t="s">
        <v>1370</v>
      </c>
      <c r="D419" s="58">
        <v>561600</v>
      </c>
      <c r="E419" s="58">
        <f t="shared" si="22"/>
        <v>44928</v>
      </c>
      <c r="F419" s="79">
        <f t="shared" si="24"/>
        <v>606528</v>
      </c>
      <c r="G419" s="54">
        <v>606528</v>
      </c>
      <c r="H419" s="55">
        <f t="shared" si="23"/>
        <v>0</v>
      </c>
      <c r="I419" s="65">
        <v>45531</v>
      </c>
    </row>
    <row r="420" spans="1:9" ht="16.2" customHeight="1" x14ac:dyDescent="0.35">
      <c r="A420" s="76" t="s">
        <v>967</v>
      </c>
      <c r="B420" s="77">
        <v>45486</v>
      </c>
      <c r="C420" s="78" t="s">
        <v>1371</v>
      </c>
      <c r="D420" s="58">
        <v>276000</v>
      </c>
      <c r="E420" s="58">
        <f t="shared" si="22"/>
        <v>22080</v>
      </c>
      <c r="F420" s="79">
        <f t="shared" si="24"/>
        <v>298080</v>
      </c>
      <c r="G420" s="54">
        <v>298080</v>
      </c>
      <c r="H420" s="55">
        <f t="shared" si="23"/>
        <v>0</v>
      </c>
      <c r="I420" s="65">
        <v>45589</v>
      </c>
    </row>
    <row r="421" spans="1:9" ht="16.2" customHeight="1" x14ac:dyDescent="0.35">
      <c r="A421" s="76" t="s">
        <v>998</v>
      </c>
      <c r="B421" s="77">
        <v>45617</v>
      </c>
      <c r="C421" s="78" t="s">
        <v>1620</v>
      </c>
      <c r="D421" s="58">
        <v>6690000</v>
      </c>
      <c r="E421" s="58">
        <f t="shared" si="22"/>
        <v>535200</v>
      </c>
      <c r="F421" s="79">
        <f t="shared" si="24"/>
        <v>7225200</v>
      </c>
      <c r="G421" s="54">
        <v>7225200</v>
      </c>
      <c r="H421" s="55">
        <f t="shared" si="23"/>
        <v>0</v>
      </c>
      <c r="I421" s="65">
        <v>45644</v>
      </c>
    </row>
    <row r="422" spans="1:9" ht="16.2" customHeight="1" x14ac:dyDescent="0.35">
      <c r="A422" s="76" t="s">
        <v>1236</v>
      </c>
      <c r="B422" s="77">
        <v>45642</v>
      </c>
      <c r="C422" s="78" t="s">
        <v>1653</v>
      </c>
      <c r="D422" s="58">
        <v>1222450</v>
      </c>
      <c r="E422" s="58">
        <f t="shared" si="22"/>
        <v>97796</v>
      </c>
      <c r="F422" s="79">
        <f t="shared" si="24"/>
        <v>1320246</v>
      </c>
      <c r="G422" s="54">
        <v>1320246</v>
      </c>
      <c r="H422" s="55">
        <f t="shared" si="23"/>
        <v>0</v>
      </c>
      <c r="I422" s="65">
        <v>45734</v>
      </c>
    </row>
    <row r="423" spans="1:9" ht="16.2" customHeight="1" x14ac:dyDescent="0.35">
      <c r="A423" s="76" t="s">
        <v>1008</v>
      </c>
      <c r="B423" s="77">
        <v>45630</v>
      </c>
      <c r="C423" s="78" t="s">
        <v>1655</v>
      </c>
      <c r="D423" s="58">
        <v>864500</v>
      </c>
      <c r="E423" s="58">
        <f t="shared" si="22"/>
        <v>69160</v>
      </c>
      <c r="F423" s="79">
        <f t="shared" si="24"/>
        <v>933660</v>
      </c>
      <c r="G423" s="54">
        <v>933660</v>
      </c>
      <c r="H423" s="55">
        <f t="shared" si="23"/>
        <v>0</v>
      </c>
      <c r="I423" s="65">
        <v>45644</v>
      </c>
    </row>
    <row r="424" spans="1:9" ht="16.2" customHeight="1" x14ac:dyDescent="0.35">
      <c r="A424" s="76" t="s">
        <v>957</v>
      </c>
      <c r="B424" s="77">
        <v>45630</v>
      </c>
      <c r="C424" s="78" t="s">
        <v>1656</v>
      </c>
      <c r="D424" s="58">
        <v>9768100</v>
      </c>
      <c r="E424" s="58">
        <f t="shared" si="22"/>
        <v>781448</v>
      </c>
      <c r="F424" s="79">
        <f t="shared" si="24"/>
        <v>10549548</v>
      </c>
      <c r="G424" s="54">
        <v>10549548</v>
      </c>
      <c r="H424" s="55">
        <f t="shared" si="23"/>
        <v>0</v>
      </c>
      <c r="I424" s="65">
        <v>45769</v>
      </c>
    </row>
    <row r="425" spans="1:9" ht="16.2" customHeight="1" x14ac:dyDescent="0.35">
      <c r="A425" s="76" t="s">
        <v>1118</v>
      </c>
      <c r="B425" s="77">
        <v>45629</v>
      </c>
      <c r="C425" s="78" t="s">
        <v>1657</v>
      </c>
      <c r="D425" s="58">
        <v>617250</v>
      </c>
      <c r="E425" s="58">
        <f t="shared" si="22"/>
        <v>49380</v>
      </c>
      <c r="F425" s="79">
        <f t="shared" si="24"/>
        <v>666630</v>
      </c>
      <c r="G425" s="54">
        <v>666630</v>
      </c>
      <c r="H425" s="55">
        <f t="shared" si="23"/>
        <v>0</v>
      </c>
      <c r="I425" s="65">
        <v>45644</v>
      </c>
    </row>
    <row r="426" spans="1:9" ht="16.2" customHeight="1" x14ac:dyDescent="0.35">
      <c r="A426" s="76" t="s">
        <v>1245</v>
      </c>
      <c r="B426" s="77">
        <v>45629</v>
      </c>
      <c r="C426" s="78" t="s">
        <v>1658</v>
      </c>
      <c r="D426" s="58">
        <v>403000</v>
      </c>
      <c r="E426" s="58">
        <f t="shared" si="22"/>
        <v>32240</v>
      </c>
      <c r="F426" s="79">
        <f t="shared" si="24"/>
        <v>435240</v>
      </c>
      <c r="G426" s="54">
        <v>435240</v>
      </c>
      <c r="H426" s="55">
        <f t="shared" si="23"/>
        <v>0</v>
      </c>
      <c r="I426" s="65">
        <v>45674</v>
      </c>
    </row>
    <row r="427" spans="1:9" ht="16.2" customHeight="1" x14ac:dyDescent="0.35">
      <c r="A427" s="76" t="s">
        <v>1102</v>
      </c>
      <c r="B427" s="77">
        <v>45616</v>
      </c>
      <c r="C427" s="78" t="s">
        <v>1659</v>
      </c>
      <c r="D427" s="58">
        <v>710450</v>
      </c>
      <c r="E427" s="58">
        <f t="shared" si="22"/>
        <v>56836</v>
      </c>
      <c r="F427" s="79">
        <f t="shared" si="24"/>
        <v>767286</v>
      </c>
      <c r="G427" s="54">
        <v>767286</v>
      </c>
      <c r="H427" s="55">
        <f t="shared" si="23"/>
        <v>0</v>
      </c>
      <c r="I427" s="65">
        <v>45644</v>
      </c>
    </row>
    <row r="428" spans="1:9" ht="16.2" customHeight="1" x14ac:dyDescent="0.35">
      <c r="A428" s="76" t="s">
        <v>1735</v>
      </c>
      <c r="B428" s="77">
        <v>45626</v>
      </c>
      <c r="C428" s="78" t="s">
        <v>1736</v>
      </c>
      <c r="D428" s="58">
        <v>480400</v>
      </c>
      <c r="E428" s="58">
        <f t="shared" si="22"/>
        <v>38432</v>
      </c>
      <c r="F428" s="79">
        <f t="shared" si="24"/>
        <v>518832</v>
      </c>
      <c r="G428" s="54">
        <v>518832</v>
      </c>
      <c r="H428" s="55">
        <f t="shared" si="23"/>
        <v>0</v>
      </c>
      <c r="I428" s="65">
        <v>45644</v>
      </c>
    </row>
    <row r="429" spans="1:9" s="102" customFormat="1" ht="16.2" customHeight="1" x14ac:dyDescent="0.35">
      <c r="A429" s="95" t="s">
        <v>1130</v>
      </c>
      <c r="B429" s="96">
        <v>45706</v>
      </c>
      <c r="C429" s="97" t="s">
        <v>908</v>
      </c>
      <c r="D429" s="98">
        <v>17718700</v>
      </c>
      <c r="E429" s="98">
        <f t="shared" si="22"/>
        <v>1417496</v>
      </c>
      <c r="F429" s="99">
        <f t="shared" si="24"/>
        <v>19136196</v>
      </c>
      <c r="G429" s="100">
        <v>19136196</v>
      </c>
      <c r="H429" s="101">
        <f t="shared" si="23"/>
        <v>0</v>
      </c>
      <c r="I429" s="72">
        <v>45828</v>
      </c>
    </row>
    <row r="430" spans="1:9" ht="16.2" customHeight="1" x14ac:dyDescent="0.35">
      <c r="A430" s="76" t="s">
        <v>1069</v>
      </c>
      <c r="B430" s="77">
        <v>45700</v>
      </c>
      <c r="C430" s="78" t="s">
        <v>1034</v>
      </c>
      <c r="D430" s="58">
        <v>21075250</v>
      </c>
      <c r="E430" s="58">
        <f t="shared" si="22"/>
        <v>1686020</v>
      </c>
      <c r="F430" s="79">
        <f t="shared" si="24"/>
        <v>22761270</v>
      </c>
      <c r="G430" s="54">
        <v>22761270</v>
      </c>
      <c r="H430" s="55">
        <f t="shared" si="23"/>
        <v>0</v>
      </c>
      <c r="I430" s="65">
        <v>45734</v>
      </c>
    </row>
    <row r="431" spans="1:9" ht="16.2" customHeight="1" x14ac:dyDescent="0.35">
      <c r="A431" s="76" t="s">
        <v>893</v>
      </c>
      <c r="B431" s="77">
        <v>45700</v>
      </c>
      <c r="C431" s="78" t="s">
        <v>1908</v>
      </c>
      <c r="D431" s="58">
        <v>19437050</v>
      </c>
      <c r="E431" s="58">
        <f t="shared" si="22"/>
        <v>1554964</v>
      </c>
      <c r="F431" s="79">
        <f t="shared" si="24"/>
        <v>20992014</v>
      </c>
      <c r="G431" s="54">
        <v>20992014</v>
      </c>
      <c r="H431" s="55">
        <f t="shared" si="23"/>
        <v>0</v>
      </c>
      <c r="I431" s="65">
        <v>45796</v>
      </c>
    </row>
    <row r="432" spans="1:9" ht="16.2" customHeight="1" x14ac:dyDescent="0.35">
      <c r="A432" s="76" t="s">
        <v>1227</v>
      </c>
      <c r="B432" s="77">
        <v>45700</v>
      </c>
      <c r="C432" s="78" t="s">
        <v>418</v>
      </c>
      <c r="D432" s="58">
        <v>1244200</v>
      </c>
      <c r="E432" s="58">
        <f t="shared" si="22"/>
        <v>99536</v>
      </c>
      <c r="F432" s="79">
        <f t="shared" si="24"/>
        <v>1343736</v>
      </c>
      <c r="G432" s="54">
        <v>1343736</v>
      </c>
      <c r="H432" s="55">
        <f t="shared" si="23"/>
        <v>0</v>
      </c>
      <c r="I432" s="65">
        <v>45796</v>
      </c>
    </row>
    <row r="433" spans="1:9" ht="16.2" customHeight="1" x14ac:dyDescent="0.35">
      <c r="A433" s="76" t="s">
        <v>1909</v>
      </c>
      <c r="B433" s="77">
        <v>45700</v>
      </c>
      <c r="C433" s="78" t="s">
        <v>1910</v>
      </c>
      <c r="D433" s="58">
        <v>16326900</v>
      </c>
      <c r="E433" s="58">
        <f t="shared" si="22"/>
        <v>1306152</v>
      </c>
      <c r="F433" s="79">
        <f t="shared" si="24"/>
        <v>17633052</v>
      </c>
      <c r="G433" s="54">
        <v>17633052</v>
      </c>
      <c r="H433" s="55">
        <f t="shared" si="23"/>
        <v>0</v>
      </c>
      <c r="I433" s="65">
        <v>45734</v>
      </c>
    </row>
    <row r="434" spans="1:9" ht="16.2" customHeight="1" x14ac:dyDescent="0.35">
      <c r="A434" s="76" t="s">
        <v>1225</v>
      </c>
      <c r="B434" s="77">
        <v>45699</v>
      </c>
      <c r="C434" s="78" t="s">
        <v>1911</v>
      </c>
      <c r="D434" s="58">
        <v>629300</v>
      </c>
      <c r="E434" s="58">
        <f t="shared" si="22"/>
        <v>50344</v>
      </c>
      <c r="F434" s="79">
        <f t="shared" si="24"/>
        <v>679644</v>
      </c>
      <c r="G434" s="54">
        <v>679644</v>
      </c>
      <c r="H434" s="55">
        <f t="shared" si="23"/>
        <v>0</v>
      </c>
      <c r="I434" s="65">
        <v>45734</v>
      </c>
    </row>
    <row r="435" spans="1:9" ht="16.2" customHeight="1" x14ac:dyDescent="0.35">
      <c r="A435" s="76" t="s">
        <v>1912</v>
      </c>
      <c r="B435" s="77">
        <v>45698</v>
      </c>
      <c r="C435" s="78" t="s">
        <v>1032</v>
      </c>
      <c r="D435" s="58">
        <v>24805450</v>
      </c>
      <c r="E435" s="58">
        <f t="shared" si="22"/>
        <v>1984436</v>
      </c>
      <c r="F435" s="79">
        <f t="shared" si="24"/>
        <v>26789886</v>
      </c>
      <c r="G435" s="54">
        <v>26789886</v>
      </c>
      <c r="H435" s="55">
        <f t="shared" si="23"/>
        <v>0</v>
      </c>
      <c r="I435" s="65">
        <v>45796</v>
      </c>
    </row>
    <row r="436" spans="1:9" ht="16.2" customHeight="1" x14ac:dyDescent="0.35">
      <c r="A436" s="76" t="s">
        <v>1174</v>
      </c>
      <c r="B436" s="77">
        <v>45698</v>
      </c>
      <c r="C436" s="78" t="s">
        <v>1913</v>
      </c>
      <c r="D436" s="58">
        <v>20854400</v>
      </c>
      <c r="E436" s="58">
        <f t="shared" si="22"/>
        <v>1668352</v>
      </c>
      <c r="F436" s="79">
        <f t="shared" si="24"/>
        <v>22522752</v>
      </c>
      <c r="G436" s="54">
        <v>22522752</v>
      </c>
      <c r="H436" s="55">
        <f t="shared" si="23"/>
        <v>0</v>
      </c>
      <c r="I436" s="65">
        <v>45734</v>
      </c>
    </row>
    <row r="437" spans="1:9" ht="16.2" customHeight="1" x14ac:dyDescent="0.35">
      <c r="A437" s="76" t="s">
        <v>941</v>
      </c>
      <c r="B437" s="77">
        <v>45696</v>
      </c>
      <c r="C437" s="78" t="s">
        <v>1053</v>
      </c>
      <c r="D437" s="58">
        <v>28783600</v>
      </c>
      <c r="E437" s="58">
        <f t="shared" si="22"/>
        <v>2302688</v>
      </c>
      <c r="F437" s="79">
        <f t="shared" si="24"/>
        <v>31086288</v>
      </c>
      <c r="G437" s="54">
        <v>31086288</v>
      </c>
      <c r="H437" s="55">
        <f t="shared" si="23"/>
        <v>0</v>
      </c>
      <c r="I437" s="65">
        <v>45769</v>
      </c>
    </row>
    <row r="438" spans="1:9" ht="16.2" customHeight="1" x14ac:dyDescent="0.35">
      <c r="A438" s="76" t="s">
        <v>1125</v>
      </c>
      <c r="B438" s="77">
        <v>45697</v>
      </c>
      <c r="C438" s="78" t="s">
        <v>1914</v>
      </c>
      <c r="D438" s="58">
        <v>3484500</v>
      </c>
      <c r="E438" s="58">
        <f t="shared" si="22"/>
        <v>278760</v>
      </c>
      <c r="F438" s="79">
        <f t="shared" si="24"/>
        <v>3763260</v>
      </c>
      <c r="G438" s="54">
        <v>3763260</v>
      </c>
      <c r="H438" s="55">
        <f t="shared" si="23"/>
        <v>0</v>
      </c>
      <c r="I438" s="65">
        <v>45863</v>
      </c>
    </row>
    <row r="439" spans="1:9" ht="16.2" customHeight="1" x14ac:dyDescent="0.35">
      <c r="A439" s="76" t="s">
        <v>1158</v>
      </c>
      <c r="B439" s="77">
        <v>45695</v>
      </c>
      <c r="C439" s="78" t="s">
        <v>1038</v>
      </c>
      <c r="D439" s="58">
        <v>11509800</v>
      </c>
      <c r="E439" s="58">
        <f t="shared" si="22"/>
        <v>920784</v>
      </c>
      <c r="F439" s="79">
        <f t="shared" si="24"/>
        <v>12430584</v>
      </c>
      <c r="G439" s="54">
        <v>12430584</v>
      </c>
      <c r="H439" s="55">
        <f t="shared" si="23"/>
        <v>0</v>
      </c>
      <c r="I439" s="65">
        <v>45828</v>
      </c>
    </row>
    <row r="440" spans="1:9" ht="16.2" customHeight="1" x14ac:dyDescent="0.35">
      <c r="A440" s="76" t="s">
        <v>1085</v>
      </c>
      <c r="B440" s="77">
        <v>45701</v>
      </c>
      <c r="C440" s="78" t="s">
        <v>1139</v>
      </c>
      <c r="D440" s="58">
        <v>5229000</v>
      </c>
      <c r="E440" s="58">
        <f t="shared" si="22"/>
        <v>418320</v>
      </c>
      <c r="F440" s="79">
        <f t="shared" si="24"/>
        <v>5647320</v>
      </c>
      <c r="G440" s="54">
        <v>5647320</v>
      </c>
      <c r="H440" s="55">
        <f t="shared" si="23"/>
        <v>0</v>
      </c>
      <c r="I440" s="65">
        <v>45734</v>
      </c>
    </row>
    <row r="441" spans="1:9" ht="16.2" customHeight="1" x14ac:dyDescent="0.35">
      <c r="A441" s="76" t="s">
        <v>1265</v>
      </c>
      <c r="B441" s="77">
        <v>45701</v>
      </c>
      <c r="C441" s="78" t="s">
        <v>1241</v>
      </c>
      <c r="D441" s="58">
        <v>5858200</v>
      </c>
      <c r="E441" s="58">
        <f t="shared" ref="E441:E473" si="25">+D441*0.08</f>
        <v>468656</v>
      </c>
      <c r="F441" s="79">
        <f t="shared" ref="F441:F473" si="26">+E441+D441</f>
        <v>6326856</v>
      </c>
      <c r="G441" s="54">
        <v>6326856</v>
      </c>
      <c r="H441" s="55">
        <f t="shared" ref="H441:H473" si="27">+F441-G441</f>
        <v>0</v>
      </c>
      <c r="I441" s="65">
        <v>45894</v>
      </c>
    </row>
    <row r="442" spans="1:9" ht="16.2" customHeight="1" x14ac:dyDescent="0.35">
      <c r="A442" s="76" t="s">
        <v>922</v>
      </c>
      <c r="B442" s="77">
        <v>45701</v>
      </c>
      <c r="C442" s="78" t="s">
        <v>1110</v>
      </c>
      <c r="D442" s="58">
        <v>19147650</v>
      </c>
      <c r="E442" s="58">
        <f t="shared" si="25"/>
        <v>1531812</v>
      </c>
      <c r="F442" s="79">
        <f t="shared" si="26"/>
        <v>20679462</v>
      </c>
      <c r="G442" s="54">
        <v>20679462</v>
      </c>
      <c r="H442" s="55">
        <f t="shared" si="27"/>
        <v>0</v>
      </c>
      <c r="I442" s="65">
        <v>45769</v>
      </c>
    </row>
    <row r="443" spans="1:9" ht="16.2" customHeight="1" x14ac:dyDescent="0.35">
      <c r="A443" s="76" t="s">
        <v>1051</v>
      </c>
      <c r="B443" s="77">
        <v>45702</v>
      </c>
      <c r="C443" s="78" t="s">
        <v>1061</v>
      </c>
      <c r="D443" s="58">
        <v>765500</v>
      </c>
      <c r="E443" s="58">
        <f t="shared" si="25"/>
        <v>61240</v>
      </c>
      <c r="F443" s="79">
        <f t="shared" si="26"/>
        <v>826740</v>
      </c>
      <c r="G443" s="54">
        <v>826740</v>
      </c>
      <c r="H443" s="55">
        <f t="shared" si="27"/>
        <v>0</v>
      </c>
      <c r="I443" s="65" t="s">
        <v>2124</v>
      </c>
    </row>
    <row r="444" spans="1:9" ht="16.2" customHeight="1" x14ac:dyDescent="0.35">
      <c r="A444" s="76" t="s">
        <v>1142</v>
      </c>
      <c r="B444" s="77">
        <v>45702</v>
      </c>
      <c r="C444" s="78" t="s">
        <v>1224</v>
      </c>
      <c r="D444" s="58">
        <v>4022800</v>
      </c>
      <c r="E444" s="58">
        <f t="shared" si="25"/>
        <v>321824</v>
      </c>
      <c r="F444" s="79">
        <f t="shared" si="26"/>
        <v>4344624</v>
      </c>
      <c r="G444" s="54">
        <v>4344624</v>
      </c>
      <c r="H444" s="55">
        <f t="shared" si="27"/>
        <v>0</v>
      </c>
      <c r="I444" s="65">
        <v>45918</v>
      </c>
    </row>
    <row r="445" spans="1:9" ht="16.2" customHeight="1" x14ac:dyDescent="0.35">
      <c r="A445" s="76" t="s">
        <v>1124</v>
      </c>
      <c r="B445" s="77">
        <v>45702</v>
      </c>
      <c r="C445" s="78" t="s">
        <v>1092</v>
      </c>
      <c r="D445" s="58">
        <v>4591500</v>
      </c>
      <c r="E445" s="58">
        <f t="shared" si="25"/>
        <v>367320</v>
      </c>
      <c r="F445" s="79">
        <f t="shared" si="26"/>
        <v>4958820</v>
      </c>
      <c r="G445" s="54">
        <v>4958820</v>
      </c>
      <c r="H445" s="55">
        <f t="shared" si="27"/>
        <v>0</v>
      </c>
      <c r="I445" s="65">
        <v>45734</v>
      </c>
    </row>
    <row r="446" spans="1:9" ht="16.2" customHeight="1" x14ac:dyDescent="0.35">
      <c r="A446" s="76" t="s">
        <v>1070</v>
      </c>
      <c r="B446" s="77">
        <v>45702</v>
      </c>
      <c r="C446" s="78" t="s">
        <v>1915</v>
      </c>
      <c r="D446" s="58">
        <v>24505700</v>
      </c>
      <c r="E446" s="58">
        <f t="shared" si="25"/>
        <v>1960456</v>
      </c>
      <c r="F446" s="79">
        <f t="shared" si="26"/>
        <v>26466156</v>
      </c>
      <c r="G446" s="54">
        <v>26466156</v>
      </c>
      <c r="H446" s="55">
        <f t="shared" si="27"/>
        <v>0</v>
      </c>
      <c r="I446" s="65">
        <v>45734</v>
      </c>
    </row>
    <row r="447" spans="1:9" ht="16.2" customHeight="1" x14ac:dyDescent="0.35">
      <c r="A447" s="76" t="s">
        <v>1094</v>
      </c>
      <c r="B447" s="77">
        <v>45702</v>
      </c>
      <c r="C447" s="78" t="s">
        <v>1244</v>
      </c>
      <c r="D447" s="58">
        <v>200000</v>
      </c>
      <c r="E447" s="58">
        <f t="shared" si="25"/>
        <v>16000</v>
      </c>
      <c r="F447" s="79">
        <f t="shared" si="26"/>
        <v>216000</v>
      </c>
      <c r="G447" s="54">
        <v>216000</v>
      </c>
      <c r="H447" s="55">
        <f t="shared" si="27"/>
        <v>0</v>
      </c>
      <c r="I447" s="65">
        <v>45734</v>
      </c>
    </row>
    <row r="448" spans="1:9" ht="16.2" customHeight="1" x14ac:dyDescent="0.35">
      <c r="A448" s="76" t="s">
        <v>1916</v>
      </c>
      <c r="B448" s="77">
        <v>45702</v>
      </c>
      <c r="C448" s="78" t="s">
        <v>1090</v>
      </c>
      <c r="D448" s="58">
        <v>4404500</v>
      </c>
      <c r="E448" s="58">
        <f t="shared" si="25"/>
        <v>352360</v>
      </c>
      <c r="F448" s="79">
        <f t="shared" si="26"/>
        <v>4756860</v>
      </c>
      <c r="G448" s="54">
        <v>4756860</v>
      </c>
      <c r="H448" s="55">
        <f t="shared" si="27"/>
        <v>0</v>
      </c>
      <c r="I448" s="65">
        <v>45734</v>
      </c>
    </row>
    <row r="449" spans="1:9" ht="16.2" customHeight="1" x14ac:dyDescent="0.35">
      <c r="A449" s="76" t="s">
        <v>888</v>
      </c>
      <c r="B449" s="77">
        <v>45705</v>
      </c>
      <c r="C449" s="78" t="s">
        <v>1039</v>
      </c>
      <c r="D449" s="58">
        <v>3495300</v>
      </c>
      <c r="E449" s="58">
        <f t="shared" si="25"/>
        <v>279624</v>
      </c>
      <c r="F449" s="79">
        <f t="shared" si="26"/>
        <v>3774924</v>
      </c>
      <c r="G449" s="54">
        <v>3774924</v>
      </c>
      <c r="H449" s="55">
        <f t="shared" si="27"/>
        <v>0</v>
      </c>
      <c r="I449" s="65">
        <v>45734</v>
      </c>
    </row>
    <row r="450" spans="1:9" ht="16.2" customHeight="1" x14ac:dyDescent="0.35">
      <c r="A450" s="76" t="s">
        <v>982</v>
      </c>
      <c r="B450" s="77">
        <v>45705</v>
      </c>
      <c r="C450" s="78" t="s">
        <v>897</v>
      </c>
      <c r="D450" s="58">
        <v>17362900</v>
      </c>
      <c r="E450" s="58">
        <f t="shared" si="25"/>
        <v>1389032</v>
      </c>
      <c r="F450" s="79">
        <f t="shared" si="26"/>
        <v>18751932</v>
      </c>
      <c r="G450" s="54">
        <v>18751932</v>
      </c>
      <c r="H450" s="55">
        <f t="shared" si="27"/>
        <v>0</v>
      </c>
      <c r="I450" s="65">
        <v>45828</v>
      </c>
    </row>
    <row r="451" spans="1:9" ht="16.2" customHeight="1" x14ac:dyDescent="0.35">
      <c r="A451" s="76" t="s">
        <v>1100</v>
      </c>
      <c r="B451" s="77">
        <v>45705</v>
      </c>
      <c r="C451" s="78" t="s">
        <v>1324</v>
      </c>
      <c r="D451" s="58">
        <v>9823850</v>
      </c>
      <c r="E451" s="58">
        <f t="shared" si="25"/>
        <v>785908</v>
      </c>
      <c r="F451" s="79">
        <f t="shared" si="26"/>
        <v>10609758</v>
      </c>
      <c r="G451" s="54">
        <v>10609758</v>
      </c>
      <c r="H451" s="55">
        <f t="shared" si="27"/>
        <v>0</v>
      </c>
      <c r="I451" s="65">
        <v>45734</v>
      </c>
    </row>
    <row r="452" spans="1:9" ht="16.2" customHeight="1" x14ac:dyDescent="0.35">
      <c r="A452" s="76" t="s">
        <v>1037</v>
      </c>
      <c r="B452" s="77">
        <v>45705</v>
      </c>
      <c r="C452" s="78" t="s">
        <v>1091</v>
      </c>
      <c r="D452" s="58">
        <v>20694250</v>
      </c>
      <c r="E452" s="58">
        <f t="shared" si="25"/>
        <v>1655540</v>
      </c>
      <c r="F452" s="79">
        <f t="shared" si="26"/>
        <v>22349790</v>
      </c>
      <c r="G452" s="54">
        <v>22349790</v>
      </c>
      <c r="H452" s="55">
        <f t="shared" si="27"/>
        <v>0</v>
      </c>
      <c r="I452" s="65">
        <v>45769</v>
      </c>
    </row>
    <row r="453" spans="1:9" ht="16.2" customHeight="1" x14ac:dyDescent="0.35">
      <c r="A453" s="76" t="s">
        <v>959</v>
      </c>
      <c r="B453" s="77">
        <v>45705</v>
      </c>
      <c r="C453" s="78" t="s">
        <v>1254</v>
      </c>
      <c r="D453" s="58">
        <v>6539800</v>
      </c>
      <c r="E453" s="58">
        <f t="shared" si="25"/>
        <v>523184</v>
      </c>
      <c r="F453" s="79">
        <f t="shared" si="26"/>
        <v>7062984</v>
      </c>
      <c r="G453" s="54">
        <v>7062984</v>
      </c>
      <c r="H453" s="55">
        <f t="shared" si="27"/>
        <v>0</v>
      </c>
      <c r="I453" s="65">
        <v>45769</v>
      </c>
    </row>
    <row r="454" spans="1:9" ht="16.2" customHeight="1" x14ac:dyDescent="0.35">
      <c r="A454" s="76" t="s">
        <v>901</v>
      </c>
      <c r="B454" s="77">
        <v>45705</v>
      </c>
      <c r="C454" s="78" t="s">
        <v>1239</v>
      </c>
      <c r="D454" s="58">
        <v>23093450</v>
      </c>
      <c r="E454" s="58">
        <f t="shared" si="25"/>
        <v>1847476</v>
      </c>
      <c r="F454" s="79">
        <f t="shared" si="26"/>
        <v>24940926</v>
      </c>
      <c r="G454" s="54">
        <v>24940926</v>
      </c>
      <c r="H454" s="55">
        <f t="shared" si="27"/>
        <v>0</v>
      </c>
      <c r="I454" s="65">
        <v>45918</v>
      </c>
    </row>
    <row r="455" spans="1:9" ht="16.2" customHeight="1" x14ac:dyDescent="0.35">
      <c r="A455" s="76" t="s">
        <v>888</v>
      </c>
      <c r="B455" s="77">
        <v>45705</v>
      </c>
      <c r="C455" s="78" t="s">
        <v>1039</v>
      </c>
      <c r="D455" s="58">
        <v>3495300</v>
      </c>
      <c r="E455" s="58">
        <f t="shared" si="25"/>
        <v>279624</v>
      </c>
      <c r="F455" s="79">
        <f t="shared" si="26"/>
        <v>3774924</v>
      </c>
      <c r="G455" s="54">
        <v>3774924</v>
      </c>
      <c r="H455" s="55">
        <f t="shared" si="27"/>
        <v>0</v>
      </c>
      <c r="I455" s="65">
        <v>45734</v>
      </c>
    </row>
    <row r="456" spans="1:9" ht="16.2" customHeight="1" x14ac:dyDescent="0.35">
      <c r="A456" s="76" t="s">
        <v>1025</v>
      </c>
      <c r="B456" s="77">
        <v>45705</v>
      </c>
      <c r="C456" s="78" t="s">
        <v>1917</v>
      </c>
      <c r="D456" s="58">
        <v>86225450</v>
      </c>
      <c r="E456" s="58">
        <f t="shared" si="25"/>
        <v>6898036</v>
      </c>
      <c r="F456" s="79">
        <f t="shared" si="26"/>
        <v>93123486</v>
      </c>
      <c r="G456" s="54">
        <v>93123486</v>
      </c>
      <c r="H456" s="55">
        <f t="shared" si="27"/>
        <v>0</v>
      </c>
      <c r="I456" s="65">
        <v>45918</v>
      </c>
    </row>
    <row r="457" spans="1:9" ht="16.2" customHeight="1" x14ac:dyDescent="0.35">
      <c r="A457" s="76" t="s">
        <v>1169</v>
      </c>
      <c r="B457" s="77">
        <v>45706</v>
      </c>
      <c r="C457" s="78" t="s">
        <v>1918</v>
      </c>
      <c r="D457" s="58">
        <v>12363250</v>
      </c>
      <c r="E457" s="58">
        <f t="shared" si="25"/>
        <v>989060</v>
      </c>
      <c r="F457" s="79">
        <f t="shared" si="26"/>
        <v>13352310</v>
      </c>
      <c r="G457" s="54">
        <v>13352310</v>
      </c>
      <c r="H457" s="55">
        <f t="shared" si="27"/>
        <v>0</v>
      </c>
      <c r="I457" s="65" t="s">
        <v>2124</v>
      </c>
    </row>
    <row r="458" spans="1:9" ht="16.2" customHeight="1" x14ac:dyDescent="0.35">
      <c r="A458" s="76" t="s">
        <v>1919</v>
      </c>
      <c r="B458" s="77">
        <v>45706</v>
      </c>
      <c r="C458" s="78" t="s">
        <v>1920</v>
      </c>
      <c r="D458" s="58">
        <v>5468000</v>
      </c>
      <c r="E458" s="58">
        <f t="shared" si="25"/>
        <v>437440</v>
      </c>
      <c r="F458" s="79">
        <f t="shared" si="26"/>
        <v>5905440</v>
      </c>
      <c r="G458" s="54">
        <v>5905440</v>
      </c>
      <c r="H458" s="55">
        <f t="shared" si="27"/>
        <v>0</v>
      </c>
      <c r="I458" s="65">
        <v>45796</v>
      </c>
    </row>
    <row r="459" spans="1:9" ht="16.2" customHeight="1" x14ac:dyDescent="0.35">
      <c r="A459" s="76" t="s">
        <v>905</v>
      </c>
      <c r="B459" s="77">
        <v>45706</v>
      </c>
      <c r="C459" s="78" t="s">
        <v>1075</v>
      </c>
      <c r="D459" s="58">
        <v>5145150</v>
      </c>
      <c r="E459" s="58">
        <f t="shared" si="25"/>
        <v>411612</v>
      </c>
      <c r="F459" s="79">
        <f t="shared" si="26"/>
        <v>5556762</v>
      </c>
      <c r="G459" s="54">
        <v>5556762</v>
      </c>
      <c r="H459" s="55">
        <f t="shared" si="27"/>
        <v>0</v>
      </c>
      <c r="I459" s="65">
        <v>45769</v>
      </c>
    </row>
    <row r="460" spans="1:9" ht="16.2" customHeight="1" x14ac:dyDescent="0.35">
      <c r="A460" s="76" t="s">
        <v>1080</v>
      </c>
      <c r="B460" s="77">
        <v>45706</v>
      </c>
      <c r="C460" s="78" t="s">
        <v>1047</v>
      </c>
      <c r="D460" s="58">
        <v>2285700</v>
      </c>
      <c r="E460" s="58">
        <f t="shared" si="25"/>
        <v>182856</v>
      </c>
      <c r="F460" s="79">
        <f t="shared" si="26"/>
        <v>2468556</v>
      </c>
      <c r="G460" s="54">
        <v>2468556</v>
      </c>
      <c r="H460" s="55">
        <f t="shared" si="27"/>
        <v>0</v>
      </c>
      <c r="I460" s="65">
        <v>45769</v>
      </c>
    </row>
    <row r="461" spans="1:9" ht="16.2" customHeight="1" x14ac:dyDescent="0.35">
      <c r="A461" s="76" t="s">
        <v>1055</v>
      </c>
      <c r="B461" s="77">
        <v>45706</v>
      </c>
      <c r="C461" s="78" t="s">
        <v>1048</v>
      </c>
      <c r="D461" s="58">
        <v>26627900</v>
      </c>
      <c r="E461" s="58">
        <f t="shared" si="25"/>
        <v>2130232</v>
      </c>
      <c r="F461" s="79">
        <f t="shared" si="26"/>
        <v>28758132</v>
      </c>
      <c r="G461" s="54">
        <v>28758132</v>
      </c>
      <c r="H461" s="55">
        <f t="shared" si="27"/>
        <v>0</v>
      </c>
      <c r="I461" s="65">
        <v>45734</v>
      </c>
    </row>
    <row r="462" spans="1:9" ht="16.2" customHeight="1" x14ac:dyDescent="0.35">
      <c r="A462" s="76" t="s">
        <v>959</v>
      </c>
      <c r="B462" s="77">
        <v>45706</v>
      </c>
      <c r="C462" s="78" t="s">
        <v>1097</v>
      </c>
      <c r="D462" s="58">
        <v>14823850</v>
      </c>
      <c r="E462" s="58">
        <f t="shared" si="25"/>
        <v>1185908</v>
      </c>
      <c r="F462" s="79">
        <f t="shared" si="26"/>
        <v>16009758</v>
      </c>
      <c r="G462" s="54">
        <v>16009758</v>
      </c>
      <c r="H462" s="55">
        <f t="shared" si="27"/>
        <v>0</v>
      </c>
      <c r="I462" s="65">
        <v>45769</v>
      </c>
    </row>
    <row r="463" spans="1:9" ht="16.2" customHeight="1" x14ac:dyDescent="0.35">
      <c r="A463" s="76" t="s">
        <v>1082</v>
      </c>
      <c r="B463" s="77">
        <v>45707</v>
      </c>
      <c r="C463" s="78" t="s">
        <v>1131</v>
      </c>
      <c r="D463" s="58">
        <v>998500</v>
      </c>
      <c r="E463" s="58">
        <f t="shared" si="25"/>
        <v>79880</v>
      </c>
      <c r="F463" s="79">
        <f t="shared" si="26"/>
        <v>1078380</v>
      </c>
      <c r="G463" s="54">
        <v>1078380</v>
      </c>
      <c r="H463" s="55">
        <f t="shared" si="27"/>
        <v>0</v>
      </c>
      <c r="I463" s="65">
        <v>45734</v>
      </c>
    </row>
    <row r="464" spans="1:9" ht="16.2" customHeight="1" x14ac:dyDescent="0.35">
      <c r="A464" s="76" t="s">
        <v>1296</v>
      </c>
      <c r="B464" s="77">
        <v>45707</v>
      </c>
      <c r="C464" s="78" t="s">
        <v>1056</v>
      </c>
      <c r="D464" s="58">
        <v>6746200</v>
      </c>
      <c r="E464" s="58">
        <f t="shared" si="25"/>
        <v>539696</v>
      </c>
      <c r="F464" s="79">
        <f t="shared" si="26"/>
        <v>7285896</v>
      </c>
      <c r="G464" s="54">
        <v>7285896</v>
      </c>
      <c r="H464" s="55">
        <f t="shared" si="27"/>
        <v>0</v>
      </c>
      <c r="I464" s="65">
        <v>46042</v>
      </c>
    </row>
    <row r="465" spans="1:9" ht="16.2" customHeight="1" x14ac:dyDescent="0.35">
      <c r="A465" s="76" t="s">
        <v>932</v>
      </c>
      <c r="B465" s="77">
        <v>45707</v>
      </c>
      <c r="C465" s="78" t="s">
        <v>1266</v>
      </c>
      <c r="D465" s="58">
        <v>17655700</v>
      </c>
      <c r="E465" s="58">
        <f t="shared" si="25"/>
        <v>1412456</v>
      </c>
      <c r="F465" s="79">
        <f t="shared" si="26"/>
        <v>19068156</v>
      </c>
      <c r="G465" s="54">
        <v>19068156</v>
      </c>
      <c r="H465" s="55">
        <f t="shared" si="27"/>
        <v>0</v>
      </c>
      <c r="I465" s="65">
        <v>45769</v>
      </c>
    </row>
    <row r="466" spans="1:9" ht="16.2" customHeight="1" x14ac:dyDescent="0.35">
      <c r="A466" s="76" t="s">
        <v>1113</v>
      </c>
      <c r="B466" s="77">
        <v>45707</v>
      </c>
      <c r="C466" s="78" t="s">
        <v>1237</v>
      </c>
      <c r="D466" s="58">
        <v>5830500</v>
      </c>
      <c r="E466" s="58">
        <f t="shared" si="25"/>
        <v>466440</v>
      </c>
      <c r="F466" s="79">
        <f t="shared" si="26"/>
        <v>6296940</v>
      </c>
      <c r="G466" s="54">
        <v>6296940</v>
      </c>
      <c r="H466" s="55">
        <f t="shared" si="27"/>
        <v>0</v>
      </c>
      <c r="I466" s="65">
        <v>45769</v>
      </c>
    </row>
    <row r="467" spans="1:9" ht="16.2" customHeight="1" x14ac:dyDescent="0.35">
      <c r="A467" s="76" t="s">
        <v>1921</v>
      </c>
      <c r="B467" s="77">
        <v>45707</v>
      </c>
      <c r="C467" s="78" t="s">
        <v>1922</v>
      </c>
      <c r="D467" s="58">
        <v>21358800</v>
      </c>
      <c r="E467" s="58">
        <f t="shared" si="25"/>
        <v>1708704</v>
      </c>
      <c r="F467" s="79">
        <f t="shared" si="26"/>
        <v>23067504</v>
      </c>
      <c r="G467" s="54">
        <v>23067504</v>
      </c>
      <c r="H467" s="55">
        <f t="shared" si="27"/>
        <v>0</v>
      </c>
      <c r="I467" s="65">
        <v>45863</v>
      </c>
    </row>
    <row r="468" spans="1:9" ht="16.2" customHeight="1" x14ac:dyDescent="0.35">
      <c r="A468" s="76" t="s">
        <v>866</v>
      </c>
      <c r="B468" s="77">
        <v>45707</v>
      </c>
      <c r="C468" s="78" t="s">
        <v>1134</v>
      </c>
      <c r="D468" s="58">
        <v>14463300</v>
      </c>
      <c r="E468" s="58">
        <f t="shared" si="25"/>
        <v>1157064</v>
      </c>
      <c r="F468" s="79">
        <f t="shared" si="26"/>
        <v>15620364</v>
      </c>
      <c r="G468" s="54">
        <v>15620364</v>
      </c>
      <c r="H468" s="55">
        <f t="shared" si="27"/>
        <v>0</v>
      </c>
      <c r="I468" s="65">
        <v>45769</v>
      </c>
    </row>
    <row r="469" spans="1:9" ht="16.2" customHeight="1" x14ac:dyDescent="0.35">
      <c r="A469" s="76" t="s">
        <v>1027</v>
      </c>
      <c r="B469" s="77">
        <v>45707</v>
      </c>
      <c r="C469" s="78" t="s">
        <v>1254</v>
      </c>
      <c r="D469" s="58">
        <v>220000</v>
      </c>
      <c r="E469" s="58">
        <f t="shared" si="25"/>
        <v>17600</v>
      </c>
      <c r="F469" s="79">
        <f t="shared" si="26"/>
        <v>237600</v>
      </c>
      <c r="G469" s="54">
        <v>237600</v>
      </c>
      <c r="H469" s="55">
        <f t="shared" si="27"/>
        <v>0</v>
      </c>
      <c r="I469" s="65">
        <v>45734</v>
      </c>
    </row>
    <row r="470" spans="1:9" ht="16.2" customHeight="1" x14ac:dyDescent="0.35">
      <c r="A470" s="76" t="s">
        <v>943</v>
      </c>
      <c r="B470" s="77">
        <v>45707</v>
      </c>
      <c r="C470" s="78" t="s">
        <v>1923</v>
      </c>
      <c r="D470" s="58">
        <v>18474600</v>
      </c>
      <c r="E470" s="58">
        <f t="shared" si="25"/>
        <v>1477968</v>
      </c>
      <c r="F470" s="79">
        <f t="shared" si="26"/>
        <v>19952568</v>
      </c>
      <c r="G470" s="54">
        <v>19952568</v>
      </c>
      <c r="H470" s="55">
        <f t="shared" si="27"/>
        <v>0</v>
      </c>
      <c r="I470" s="65">
        <v>45863</v>
      </c>
    </row>
    <row r="471" spans="1:9" ht="16.2" customHeight="1" x14ac:dyDescent="0.35">
      <c r="A471" s="76" t="s">
        <v>1089</v>
      </c>
      <c r="B471" s="77">
        <v>45707</v>
      </c>
      <c r="C471" s="78" t="s">
        <v>1924</v>
      </c>
      <c r="D471" s="58">
        <v>22459700</v>
      </c>
      <c r="E471" s="58">
        <f t="shared" si="25"/>
        <v>1796776</v>
      </c>
      <c r="F471" s="79">
        <f t="shared" si="26"/>
        <v>24256476</v>
      </c>
      <c r="G471" s="54">
        <v>24256476</v>
      </c>
      <c r="H471" s="55">
        <f t="shared" si="27"/>
        <v>0</v>
      </c>
      <c r="I471" s="65">
        <v>45918</v>
      </c>
    </row>
    <row r="472" spans="1:9" ht="16.2" customHeight="1" x14ac:dyDescent="0.35">
      <c r="A472" s="76" t="s">
        <v>1268</v>
      </c>
      <c r="B472" s="77">
        <v>45707</v>
      </c>
      <c r="C472" s="78" t="s">
        <v>1232</v>
      </c>
      <c r="D472" s="58">
        <v>12418250</v>
      </c>
      <c r="E472" s="58">
        <f t="shared" si="25"/>
        <v>993460</v>
      </c>
      <c r="F472" s="79">
        <f t="shared" si="26"/>
        <v>13411710</v>
      </c>
      <c r="G472" s="54">
        <v>13411710</v>
      </c>
      <c r="H472" s="55">
        <f t="shared" si="27"/>
        <v>0</v>
      </c>
      <c r="I472" s="65">
        <v>45863</v>
      </c>
    </row>
    <row r="473" spans="1:9" ht="16.2" customHeight="1" x14ac:dyDescent="0.35">
      <c r="A473" s="76" t="s">
        <v>914</v>
      </c>
      <c r="B473" s="77">
        <v>45708</v>
      </c>
      <c r="C473" s="78" t="s">
        <v>1143</v>
      </c>
      <c r="D473" s="58">
        <v>672000</v>
      </c>
      <c r="E473" s="58">
        <f t="shared" si="25"/>
        <v>53760</v>
      </c>
      <c r="F473" s="79">
        <f t="shared" si="26"/>
        <v>725760</v>
      </c>
      <c r="G473" s="54">
        <v>725760</v>
      </c>
      <c r="H473" s="55">
        <f t="shared" si="27"/>
        <v>0</v>
      </c>
      <c r="I473" s="65">
        <v>45796</v>
      </c>
    </row>
    <row r="474" spans="1:9" ht="16.2" customHeight="1" x14ac:dyDescent="0.35">
      <c r="A474" s="76" t="s">
        <v>884</v>
      </c>
      <c r="B474" s="77">
        <v>45708</v>
      </c>
      <c r="C474" s="78" t="s">
        <v>1246</v>
      </c>
      <c r="D474" s="58">
        <v>7523100</v>
      </c>
      <c r="E474" s="58">
        <f t="shared" ref="E474:E484" si="28">+D474*0.08</f>
        <v>601848</v>
      </c>
      <c r="F474" s="79">
        <f t="shared" ref="F474:F484" si="29">+E474+D474</f>
        <v>8124948</v>
      </c>
      <c r="G474" s="54">
        <v>8124948</v>
      </c>
      <c r="H474" s="55">
        <f t="shared" ref="H474:H484" si="30">+F474-G474</f>
        <v>0</v>
      </c>
      <c r="I474" s="65">
        <v>45769</v>
      </c>
    </row>
    <row r="475" spans="1:9" ht="16.2" customHeight="1" x14ac:dyDescent="0.35">
      <c r="A475" s="76" t="s">
        <v>869</v>
      </c>
      <c r="B475" s="77">
        <v>45708</v>
      </c>
      <c r="C475" s="78" t="s">
        <v>1925</v>
      </c>
      <c r="D475" s="58">
        <v>12195300</v>
      </c>
      <c r="E475" s="58">
        <f t="shared" si="28"/>
        <v>975624</v>
      </c>
      <c r="F475" s="79">
        <f t="shared" si="29"/>
        <v>13170924</v>
      </c>
      <c r="G475" s="54">
        <v>13170924</v>
      </c>
      <c r="H475" s="55">
        <f t="shared" si="30"/>
        <v>0</v>
      </c>
      <c r="I475" s="65">
        <v>45863</v>
      </c>
    </row>
    <row r="476" spans="1:9" ht="16.2" customHeight="1" x14ac:dyDescent="0.35">
      <c r="A476" s="76" t="s">
        <v>874</v>
      </c>
      <c r="B476" s="77">
        <v>45709</v>
      </c>
      <c r="C476" s="78" t="s">
        <v>1074</v>
      </c>
      <c r="D476" s="58">
        <v>1865500</v>
      </c>
      <c r="E476" s="58">
        <f t="shared" si="28"/>
        <v>149240</v>
      </c>
      <c r="F476" s="79">
        <f t="shared" si="29"/>
        <v>2014740</v>
      </c>
      <c r="G476" s="54">
        <v>2014740</v>
      </c>
      <c r="H476" s="55">
        <f t="shared" si="30"/>
        <v>0</v>
      </c>
      <c r="I476" s="65">
        <v>45769</v>
      </c>
    </row>
    <row r="477" spans="1:9" ht="16.2" customHeight="1" x14ac:dyDescent="0.35">
      <c r="A477" s="76" t="s">
        <v>952</v>
      </c>
      <c r="B477" s="77">
        <v>45709</v>
      </c>
      <c r="C477" s="78" t="s">
        <v>1077</v>
      </c>
      <c r="D477" s="58">
        <v>39594000</v>
      </c>
      <c r="E477" s="58">
        <f t="shared" si="28"/>
        <v>3167520</v>
      </c>
      <c r="F477" s="79">
        <f t="shared" si="29"/>
        <v>42761520</v>
      </c>
      <c r="G477" s="54">
        <v>42761520</v>
      </c>
      <c r="H477" s="55">
        <f t="shared" si="30"/>
        <v>0</v>
      </c>
      <c r="I477" s="65">
        <v>45734</v>
      </c>
    </row>
    <row r="478" spans="1:9" ht="16.2" customHeight="1" x14ac:dyDescent="0.35">
      <c r="A478" s="76" t="s">
        <v>970</v>
      </c>
      <c r="B478" s="77">
        <v>45709</v>
      </c>
      <c r="C478" s="78" t="s">
        <v>1926</v>
      </c>
      <c r="D478" s="58">
        <v>8233650</v>
      </c>
      <c r="E478" s="58">
        <f t="shared" si="28"/>
        <v>658692</v>
      </c>
      <c r="F478" s="79">
        <f t="shared" si="29"/>
        <v>8892342</v>
      </c>
      <c r="G478" s="54">
        <v>8892342</v>
      </c>
      <c r="H478" s="55">
        <f t="shared" si="30"/>
        <v>0</v>
      </c>
      <c r="I478" s="65">
        <v>45734</v>
      </c>
    </row>
    <row r="479" spans="1:9" ht="16.2" customHeight="1" x14ac:dyDescent="0.35">
      <c r="A479" s="76" t="s">
        <v>1000</v>
      </c>
      <c r="B479" s="77">
        <v>45711</v>
      </c>
      <c r="C479" s="78" t="s">
        <v>1927</v>
      </c>
      <c r="D479" s="58">
        <v>4009200</v>
      </c>
      <c r="E479" s="58">
        <f t="shared" si="28"/>
        <v>320736</v>
      </c>
      <c r="F479" s="79">
        <f t="shared" si="29"/>
        <v>4329936</v>
      </c>
      <c r="G479" s="54">
        <v>4329936</v>
      </c>
      <c r="H479" s="55">
        <f t="shared" si="30"/>
        <v>0</v>
      </c>
      <c r="I479" s="65">
        <v>45863</v>
      </c>
    </row>
    <row r="480" spans="1:9" ht="16.2" customHeight="1" x14ac:dyDescent="0.35">
      <c r="A480" s="76" t="s">
        <v>1928</v>
      </c>
      <c r="B480" s="77">
        <v>45712</v>
      </c>
      <c r="C480" s="78" t="s">
        <v>1929</v>
      </c>
      <c r="D480" s="58">
        <v>5533950</v>
      </c>
      <c r="E480" s="58">
        <f t="shared" si="28"/>
        <v>442716</v>
      </c>
      <c r="F480" s="79">
        <f t="shared" si="29"/>
        <v>5976666</v>
      </c>
      <c r="G480" s="54">
        <v>5976666</v>
      </c>
      <c r="H480" s="55">
        <f t="shared" si="30"/>
        <v>0</v>
      </c>
      <c r="I480" s="65">
        <v>45769</v>
      </c>
    </row>
    <row r="481" spans="1:9" ht="16.2" customHeight="1" x14ac:dyDescent="0.35">
      <c r="A481" s="76" t="s">
        <v>898</v>
      </c>
      <c r="B481" s="77">
        <v>45712</v>
      </c>
      <c r="C481" s="78" t="s">
        <v>1044</v>
      </c>
      <c r="D481" s="58">
        <v>20766900</v>
      </c>
      <c r="E481" s="58">
        <f t="shared" si="28"/>
        <v>1661352</v>
      </c>
      <c r="F481" s="79">
        <f t="shared" si="29"/>
        <v>22428252</v>
      </c>
      <c r="G481" s="54">
        <v>22428252</v>
      </c>
      <c r="H481" s="55">
        <f t="shared" si="30"/>
        <v>0</v>
      </c>
      <c r="I481" s="65">
        <v>45734</v>
      </c>
    </row>
    <row r="482" spans="1:9" ht="16.2" customHeight="1" x14ac:dyDescent="0.35">
      <c r="A482" s="76" t="s">
        <v>967</v>
      </c>
      <c r="B482" s="77">
        <v>45713</v>
      </c>
      <c r="C482" s="78" t="s">
        <v>1292</v>
      </c>
      <c r="D482" s="58">
        <v>835000</v>
      </c>
      <c r="E482" s="58">
        <f t="shared" si="28"/>
        <v>66800</v>
      </c>
      <c r="F482" s="79">
        <f t="shared" si="29"/>
        <v>901800</v>
      </c>
      <c r="G482" s="54">
        <v>901800</v>
      </c>
      <c r="H482" s="55">
        <f t="shared" si="30"/>
        <v>0</v>
      </c>
      <c r="I482" s="65">
        <v>45734</v>
      </c>
    </row>
    <row r="483" spans="1:9" ht="16.2" customHeight="1" x14ac:dyDescent="0.35">
      <c r="A483" s="76" t="s">
        <v>930</v>
      </c>
      <c r="B483" s="77">
        <v>45713</v>
      </c>
      <c r="C483" s="78" t="s">
        <v>1930</v>
      </c>
      <c r="D483" s="58">
        <v>1280700</v>
      </c>
      <c r="E483" s="58">
        <f t="shared" si="28"/>
        <v>102456</v>
      </c>
      <c r="F483" s="79">
        <f t="shared" si="29"/>
        <v>1383156</v>
      </c>
      <c r="G483" s="54">
        <v>1383156</v>
      </c>
      <c r="H483" s="55">
        <f t="shared" si="30"/>
        <v>0</v>
      </c>
      <c r="I483" s="65">
        <v>45769</v>
      </c>
    </row>
    <row r="484" spans="1:9" ht="16.2" customHeight="1" x14ac:dyDescent="0.35">
      <c r="A484" s="76" t="s">
        <v>1280</v>
      </c>
      <c r="B484" s="77">
        <v>45713</v>
      </c>
      <c r="C484" s="78" t="s">
        <v>1075</v>
      </c>
      <c r="D484" s="58">
        <v>8784000</v>
      </c>
      <c r="E484" s="58">
        <f t="shared" si="28"/>
        <v>702720</v>
      </c>
      <c r="F484" s="79">
        <f t="shared" si="29"/>
        <v>9486720</v>
      </c>
      <c r="G484" s="54">
        <v>9486720</v>
      </c>
      <c r="H484" s="55">
        <f t="shared" si="30"/>
        <v>0</v>
      </c>
      <c r="I484" s="65">
        <v>45769</v>
      </c>
    </row>
    <row r="485" spans="1:9" ht="16.2" customHeight="1" x14ac:dyDescent="0.35">
      <c r="A485" s="76" t="s">
        <v>936</v>
      </c>
      <c r="B485" s="77">
        <v>45713</v>
      </c>
      <c r="C485" s="78" t="s">
        <v>1057</v>
      </c>
      <c r="D485" s="58">
        <v>19622000</v>
      </c>
      <c r="E485" s="58">
        <f t="shared" ref="E485:E547" si="31">+D485*0.08</f>
        <v>1569760</v>
      </c>
      <c r="F485" s="79">
        <f t="shared" ref="F485:F547" si="32">+E485+D485</f>
        <v>21191760</v>
      </c>
      <c r="G485" s="54">
        <v>21191760</v>
      </c>
      <c r="H485" s="55">
        <f t="shared" ref="H485:H547" si="33">+F485-G485</f>
        <v>0</v>
      </c>
      <c r="I485" s="65">
        <v>45734</v>
      </c>
    </row>
    <row r="486" spans="1:9" ht="16.2" customHeight="1" x14ac:dyDescent="0.35">
      <c r="A486" s="76" t="s">
        <v>924</v>
      </c>
      <c r="B486" s="77">
        <v>45713</v>
      </c>
      <c r="C486" s="78" t="s">
        <v>1252</v>
      </c>
      <c r="D486" s="58">
        <v>15013650</v>
      </c>
      <c r="E486" s="58">
        <f t="shared" si="31"/>
        <v>1201092</v>
      </c>
      <c r="F486" s="79">
        <f t="shared" si="32"/>
        <v>16214742</v>
      </c>
      <c r="G486" s="54">
        <v>16214742</v>
      </c>
      <c r="H486" s="55">
        <f t="shared" si="33"/>
        <v>0</v>
      </c>
      <c r="I486" s="65" t="s">
        <v>2124</v>
      </c>
    </row>
    <row r="487" spans="1:9" ht="16.2" customHeight="1" x14ac:dyDescent="0.35">
      <c r="A487" s="76" t="s">
        <v>1240</v>
      </c>
      <c r="B487" s="77">
        <v>45713</v>
      </c>
      <c r="C487" s="78" t="s">
        <v>1044</v>
      </c>
      <c r="D487" s="58">
        <v>19716700</v>
      </c>
      <c r="E487" s="58">
        <f t="shared" si="31"/>
        <v>1577336</v>
      </c>
      <c r="F487" s="79">
        <f t="shared" si="32"/>
        <v>21294036</v>
      </c>
      <c r="G487" s="54">
        <v>21294036</v>
      </c>
      <c r="H487" s="55">
        <f t="shared" si="33"/>
        <v>0</v>
      </c>
      <c r="I487" s="65" t="s">
        <v>2124</v>
      </c>
    </row>
    <row r="488" spans="1:9" ht="16.2" customHeight="1" x14ac:dyDescent="0.35">
      <c r="A488" s="76" t="s">
        <v>1931</v>
      </c>
      <c r="B488" s="77">
        <v>45714</v>
      </c>
      <c r="C488" s="78" t="s">
        <v>1156</v>
      </c>
      <c r="D488" s="58">
        <v>3018000</v>
      </c>
      <c r="E488" s="58">
        <f t="shared" si="31"/>
        <v>241440</v>
      </c>
      <c r="F488" s="79">
        <f t="shared" si="32"/>
        <v>3259440</v>
      </c>
      <c r="G488" s="54">
        <v>3259440</v>
      </c>
      <c r="H488" s="55">
        <f t="shared" si="33"/>
        <v>0</v>
      </c>
      <c r="I488" s="65" t="s">
        <v>2124</v>
      </c>
    </row>
    <row r="489" spans="1:9" ht="16.2" customHeight="1" x14ac:dyDescent="0.35">
      <c r="A489" s="76" t="s">
        <v>1132</v>
      </c>
      <c r="B489" s="77">
        <v>45714</v>
      </c>
      <c r="C489" s="78" t="s">
        <v>1932</v>
      </c>
      <c r="D489" s="58">
        <v>2675400</v>
      </c>
      <c r="E489" s="58">
        <f t="shared" si="31"/>
        <v>214032</v>
      </c>
      <c r="F489" s="79">
        <f t="shared" si="32"/>
        <v>2889432</v>
      </c>
      <c r="G489" s="54">
        <v>2889432</v>
      </c>
      <c r="H489" s="55">
        <f t="shared" si="33"/>
        <v>0</v>
      </c>
      <c r="I489" s="65">
        <v>45769</v>
      </c>
    </row>
    <row r="490" spans="1:9" ht="16.2" customHeight="1" x14ac:dyDescent="0.35">
      <c r="A490" s="76" t="s">
        <v>934</v>
      </c>
      <c r="B490" s="77">
        <v>45715</v>
      </c>
      <c r="C490" s="78" t="s">
        <v>1097</v>
      </c>
      <c r="D490" s="58">
        <v>16246950</v>
      </c>
      <c r="E490" s="58">
        <f t="shared" si="31"/>
        <v>1299756</v>
      </c>
      <c r="F490" s="79">
        <f t="shared" si="32"/>
        <v>17546706</v>
      </c>
      <c r="G490" s="54">
        <v>17546706</v>
      </c>
      <c r="H490" s="55">
        <f t="shared" si="33"/>
        <v>0</v>
      </c>
      <c r="I490" s="65">
        <v>45769</v>
      </c>
    </row>
    <row r="491" spans="1:9" ht="16.2" customHeight="1" x14ac:dyDescent="0.35">
      <c r="A491" s="76" t="s">
        <v>1933</v>
      </c>
      <c r="B491" s="77">
        <v>45715</v>
      </c>
      <c r="C491" s="78" t="s">
        <v>327</v>
      </c>
      <c r="D491" s="58">
        <v>13201794</v>
      </c>
      <c r="E491" s="58">
        <f t="shared" si="31"/>
        <v>1056143.52</v>
      </c>
      <c r="F491" s="79">
        <f t="shared" si="32"/>
        <v>14257937.52</v>
      </c>
      <c r="G491" s="54">
        <v>14257937.52</v>
      </c>
      <c r="H491" s="55">
        <f t="shared" si="33"/>
        <v>0</v>
      </c>
      <c r="I491" s="65">
        <v>45706</v>
      </c>
    </row>
    <row r="492" spans="1:9" ht="16.2" customHeight="1" x14ac:dyDescent="0.35">
      <c r="A492" s="76" t="s">
        <v>993</v>
      </c>
      <c r="B492" s="77">
        <v>45715</v>
      </c>
      <c r="C492" s="78" t="s">
        <v>1934</v>
      </c>
      <c r="D492" s="58">
        <v>13826850</v>
      </c>
      <c r="E492" s="58">
        <f t="shared" si="31"/>
        <v>1106148</v>
      </c>
      <c r="F492" s="79">
        <f t="shared" si="32"/>
        <v>14932998</v>
      </c>
      <c r="G492" s="54">
        <v>14932998</v>
      </c>
      <c r="H492" s="55">
        <f t="shared" si="33"/>
        <v>0</v>
      </c>
      <c r="I492" s="65">
        <v>45734</v>
      </c>
    </row>
    <row r="493" spans="1:9" ht="16.2" customHeight="1" x14ac:dyDescent="0.35">
      <c r="A493" s="76" t="s">
        <v>909</v>
      </c>
      <c r="B493" s="77">
        <v>45715</v>
      </c>
      <c r="C493" s="78" t="s">
        <v>1935</v>
      </c>
      <c r="D493" s="58">
        <v>18704600</v>
      </c>
      <c r="E493" s="58">
        <f t="shared" si="31"/>
        <v>1496368</v>
      </c>
      <c r="F493" s="79">
        <f t="shared" si="32"/>
        <v>20200968</v>
      </c>
      <c r="G493" s="54">
        <v>20200968</v>
      </c>
      <c r="H493" s="55">
        <f t="shared" si="33"/>
        <v>0</v>
      </c>
      <c r="I493" s="65">
        <v>45769</v>
      </c>
    </row>
    <row r="494" spans="1:9" ht="16.2" customHeight="1" x14ac:dyDescent="0.35">
      <c r="A494" s="76" t="s">
        <v>1124</v>
      </c>
      <c r="B494" s="77">
        <v>45716</v>
      </c>
      <c r="C494" s="78" t="s">
        <v>1106</v>
      </c>
      <c r="D494" s="58">
        <v>2498068</v>
      </c>
      <c r="E494" s="58">
        <f t="shared" si="31"/>
        <v>199845.44</v>
      </c>
      <c r="F494" s="79">
        <f t="shared" si="32"/>
        <v>2697913.44</v>
      </c>
      <c r="G494" s="54">
        <v>2697913.44</v>
      </c>
      <c r="H494" s="55">
        <f t="shared" si="33"/>
        <v>0</v>
      </c>
      <c r="I494" s="65">
        <v>45734</v>
      </c>
    </row>
    <row r="495" spans="1:9" ht="16.2" customHeight="1" x14ac:dyDescent="0.35">
      <c r="A495" s="76" t="s">
        <v>1306</v>
      </c>
      <c r="B495" s="77">
        <v>45716</v>
      </c>
      <c r="C495" s="78" t="s">
        <v>1936</v>
      </c>
      <c r="D495" s="58">
        <v>15268900</v>
      </c>
      <c r="E495" s="58">
        <f t="shared" si="31"/>
        <v>1221512</v>
      </c>
      <c r="F495" s="79">
        <f t="shared" si="32"/>
        <v>16490412</v>
      </c>
      <c r="G495" s="54">
        <v>16490412</v>
      </c>
      <c r="H495" s="55">
        <f t="shared" si="33"/>
        <v>0</v>
      </c>
      <c r="I495" s="65">
        <v>45769</v>
      </c>
    </row>
    <row r="496" spans="1:9" ht="16.2" customHeight="1" x14ac:dyDescent="0.35">
      <c r="A496" s="76" t="s">
        <v>938</v>
      </c>
      <c r="B496" s="77">
        <v>45716</v>
      </c>
      <c r="C496" s="78" t="s">
        <v>1937</v>
      </c>
      <c r="D496" s="58">
        <v>10194600</v>
      </c>
      <c r="E496" s="58">
        <f t="shared" si="31"/>
        <v>815568</v>
      </c>
      <c r="F496" s="79">
        <f t="shared" si="32"/>
        <v>11010168</v>
      </c>
      <c r="G496" s="54">
        <v>11010168</v>
      </c>
      <c r="H496" s="55">
        <f t="shared" si="33"/>
        <v>0</v>
      </c>
      <c r="I496" s="65">
        <v>45796</v>
      </c>
    </row>
    <row r="497" spans="1:9" ht="16.2" customHeight="1" x14ac:dyDescent="0.35">
      <c r="A497" s="76" t="s">
        <v>920</v>
      </c>
      <c r="B497" s="77">
        <v>45717</v>
      </c>
      <c r="C497" s="78" t="s">
        <v>890</v>
      </c>
      <c r="D497" s="58">
        <v>3308200</v>
      </c>
      <c r="E497" s="58">
        <f t="shared" si="31"/>
        <v>264656</v>
      </c>
      <c r="F497" s="79">
        <f t="shared" si="32"/>
        <v>3572856</v>
      </c>
      <c r="G497" s="54">
        <v>3572856</v>
      </c>
      <c r="H497" s="55">
        <f t="shared" si="33"/>
        <v>0</v>
      </c>
      <c r="I497" s="65">
        <v>45769</v>
      </c>
    </row>
    <row r="498" spans="1:9" ht="16.2" customHeight="1" x14ac:dyDescent="0.35">
      <c r="A498" s="76" t="s">
        <v>1160</v>
      </c>
      <c r="B498" s="77">
        <v>45717</v>
      </c>
      <c r="C498" s="78" t="s">
        <v>1252</v>
      </c>
      <c r="D498" s="58">
        <v>20386050</v>
      </c>
      <c r="E498" s="58">
        <f t="shared" si="31"/>
        <v>1630884</v>
      </c>
      <c r="F498" s="79">
        <f t="shared" si="32"/>
        <v>22016934</v>
      </c>
      <c r="G498" s="54">
        <v>22016934</v>
      </c>
      <c r="H498" s="55">
        <f t="shared" si="33"/>
        <v>0</v>
      </c>
      <c r="I498" s="65">
        <v>45769</v>
      </c>
    </row>
    <row r="499" spans="1:9" ht="16.2" customHeight="1" x14ac:dyDescent="0.35">
      <c r="A499" s="76" t="s">
        <v>1293</v>
      </c>
      <c r="B499" s="77">
        <v>45717</v>
      </c>
      <c r="C499" s="78" t="s">
        <v>1072</v>
      </c>
      <c r="D499" s="58">
        <v>19054400</v>
      </c>
      <c r="E499" s="58">
        <f t="shared" si="31"/>
        <v>1524352</v>
      </c>
      <c r="F499" s="79">
        <f t="shared" si="32"/>
        <v>20578752</v>
      </c>
      <c r="G499" s="54">
        <v>20578752</v>
      </c>
      <c r="H499" s="55">
        <f t="shared" si="33"/>
        <v>0</v>
      </c>
      <c r="I499" s="65">
        <v>45734</v>
      </c>
    </row>
    <row r="500" spans="1:9" ht="16.2" customHeight="1" x14ac:dyDescent="0.35">
      <c r="A500" s="76" t="s">
        <v>965</v>
      </c>
      <c r="B500" s="77">
        <v>45717</v>
      </c>
      <c r="C500" s="78" t="s">
        <v>1924</v>
      </c>
      <c r="D500" s="58">
        <v>15154900</v>
      </c>
      <c r="E500" s="58">
        <f t="shared" si="31"/>
        <v>1212392</v>
      </c>
      <c r="F500" s="79">
        <f t="shared" si="32"/>
        <v>16367292</v>
      </c>
      <c r="G500" s="54">
        <v>16367292</v>
      </c>
      <c r="H500" s="55">
        <f t="shared" si="33"/>
        <v>0</v>
      </c>
      <c r="I500" s="65">
        <v>45796</v>
      </c>
    </row>
    <row r="501" spans="1:9" ht="16.2" customHeight="1" x14ac:dyDescent="0.35">
      <c r="A501" s="76" t="s">
        <v>1176</v>
      </c>
      <c r="B501" s="77">
        <v>45720</v>
      </c>
      <c r="C501" s="78" t="s">
        <v>1237</v>
      </c>
      <c r="D501" s="58">
        <v>23102400</v>
      </c>
      <c r="E501" s="58">
        <f t="shared" si="31"/>
        <v>1848192</v>
      </c>
      <c r="F501" s="79">
        <f t="shared" si="32"/>
        <v>24950592</v>
      </c>
      <c r="G501" s="54">
        <v>24950592</v>
      </c>
      <c r="H501" s="55">
        <f t="shared" si="33"/>
        <v>0</v>
      </c>
      <c r="I501" s="65">
        <v>45769</v>
      </c>
    </row>
    <row r="502" spans="1:9" ht="16.2" customHeight="1" x14ac:dyDescent="0.35">
      <c r="A502" s="76" t="s">
        <v>1283</v>
      </c>
      <c r="B502" s="77">
        <v>45720</v>
      </c>
      <c r="C502" s="78" t="s">
        <v>1938</v>
      </c>
      <c r="D502" s="58">
        <v>5667200</v>
      </c>
      <c r="E502" s="58">
        <f t="shared" si="31"/>
        <v>453376</v>
      </c>
      <c r="F502" s="79">
        <f t="shared" si="32"/>
        <v>6120576</v>
      </c>
      <c r="G502" s="54">
        <v>6120576</v>
      </c>
      <c r="H502" s="55">
        <f t="shared" si="33"/>
        <v>0</v>
      </c>
      <c r="I502" s="65">
        <v>45734</v>
      </c>
    </row>
    <row r="503" spans="1:9" ht="16.2" customHeight="1" x14ac:dyDescent="0.35">
      <c r="A503" s="76" t="s">
        <v>1119</v>
      </c>
      <c r="B503" s="77">
        <v>45720</v>
      </c>
      <c r="C503" s="78" t="s">
        <v>1939</v>
      </c>
      <c r="D503" s="58">
        <v>1918500</v>
      </c>
      <c r="E503" s="58">
        <f t="shared" si="31"/>
        <v>153480</v>
      </c>
      <c r="F503" s="79">
        <f t="shared" si="32"/>
        <v>2071980</v>
      </c>
      <c r="G503" s="54">
        <v>2071980</v>
      </c>
      <c r="H503" s="55">
        <f t="shared" si="33"/>
        <v>0</v>
      </c>
      <c r="I503" s="65">
        <v>45734</v>
      </c>
    </row>
    <row r="504" spans="1:9" ht="16.2" customHeight="1" x14ac:dyDescent="0.35">
      <c r="A504" s="76" t="s">
        <v>914</v>
      </c>
      <c r="B504" s="77">
        <v>45721</v>
      </c>
      <c r="C504" s="78" t="s">
        <v>1031</v>
      </c>
      <c r="D504" s="58">
        <v>350000</v>
      </c>
      <c r="E504" s="58">
        <f t="shared" si="31"/>
        <v>28000</v>
      </c>
      <c r="F504" s="79">
        <f t="shared" si="32"/>
        <v>378000</v>
      </c>
      <c r="G504" s="54">
        <v>378000</v>
      </c>
      <c r="H504" s="55">
        <f t="shared" si="33"/>
        <v>0</v>
      </c>
      <c r="I504" s="65">
        <v>45734</v>
      </c>
    </row>
    <row r="505" spans="1:9" ht="16.2" customHeight="1" x14ac:dyDescent="0.35">
      <c r="A505" s="76" t="s">
        <v>1356</v>
      </c>
      <c r="B505" s="77">
        <v>45722</v>
      </c>
      <c r="C505" s="78" t="s">
        <v>1940</v>
      </c>
      <c r="D505" s="58">
        <v>3168350</v>
      </c>
      <c r="E505" s="58">
        <f t="shared" si="31"/>
        <v>253468</v>
      </c>
      <c r="F505" s="79">
        <f t="shared" si="32"/>
        <v>3421818</v>
      </c>
      <c r="G505" s="54">
        <v>3421818</v>
      </c>
      <c r="H505" s="55">
        <f t="shared" si="33"/>
        <v>0</v>
      </c>
      <c r="I505" s="65">
        <v>45734</v>
      </c>
    </row>
    <row r="506" spans="1:9" ht="16.2" customHeight="1" x14ac:dyDescent="0.35">
      <c r="A506" s="76" t="s">
        <v>1102</v>
      </c>
      <c r="B506" s="77">
        <v>45723</v>
      </c>
      <c r="C506" s="78" t="s">
        <v>1929</v>
      </c>
      <c r="D506" s="103">
        <v>12783900</v>
      </c>
      <c r="E506" s="58">
        <f t="shared" si="31"/>
        <v>1022712</v>
      </c>
      <c r="F506" s="79">
        <f t="shared" si="32"/>
        <v>13806612</v>
      </c>
      <c r="G506" s="54">
        <v>13806612</v>
      </c>
      <c r="H506" s="55">
        <f t="shared" si="33"/>
        <v>0</v>
      </c>
      <c r="I506" s="65">
        <v>45978</v>
      </c>
    </row>
    <row r="507" spans="1:9" ht="16.2" customHeight="1" x14ac:dyDescent="0.35">
      <c r="A507" s="76" t="s">
        <v>878</v>
      </c>
      <c r="B507" s="77">
        <v>45723</v>
      </c>
      <c r="C507" s="78" t="s">
        <v>1941</v>
      </c>
      <c r="D507" s="58">
        <v>18468550</v>
      </c>
      <c r="E507" s="58">
        <f t="shared" si="31"/>
        <v>1477484</v>
      </c>
      <c r="F507" s="79">
        <f t="shared" si="32"/>
        <v>19946034</v>
      </c>
      <c r="G507" s="54">
        <v>19946034</v>
      </c>
      <c r="H507" s="55">
        <f t="shared" si="33"/>
        <v>0</v>
      </c>
      <c r="I507" s="65">
        <v>45894</v>
      </c>
    </row>
    <row r="508" spans="1:9" ht="16.2" customHeight="1" x14ac:dyDescent="0.35">
      <c r="A508" s="76" t="s">
        <v>1118</v>
      </c>
      <c r="B508" s="77">
        <v>45723</v>
      </c>
      <c r="C508" s="78" t="s">
        <v>1252</v>
      </c>
      <c r="D508" s="58">
        <v>1698000</v>
      </c>
      <c r="E508" s="58">
        <f t="shared" si="31"/>
        <v>135840</v>
      </c>
      <c r="F508" s="79">
        <f t="shared" si="32"/>
        <v>1833840</v>
      </c>
      <c r="G508" s="54">
        <v>1833840</v>
      </c>
      <c r="H508" s="55">
        <f t="shared" si="33"/>
        <v>0</v>
      </c>
      <c r="I508" s="65">
        <v>45828</v>
      </c>
    </row>
    <row r="509" spans="1:9" ht="16.2" customHeight="1" x14ac:dyDescent="0.35">
      <c r="A509" s="76" t="s">
        <v>1008</v>
      </c>
      <c r="B509" s="77">
        <v>45723</v>
      </c>
      <c r="C509" s="78" t="s">
        <v>1942</v>
      </c>
      <c r="D509" s="58">
        <v>8897300</v>
      </c>
      <c r="E509" s="58">
        <f t="shared" si="31"/>
        <v>711784</v>
      </c>
      <c r="F509" s="79">
        <f t="shared" si="32"/>
        <v>9609084</v>
      </c>
      <c r="G509" s="54">
        <v>9609084</v>
      </c>
      <c r="H509" s="55">
        <f t="shared" si="33"/>
        <v>0</v>
      </c>
      <c r="I509" s="65">
        <v>45918</v>
      </c>
    </row>
    <row r="510" spans="1:9" ht="16.2" customHeight="1" x14ac:dyDescent="0.35">
      <c r="A510" s="76" t="s">
        <v>1142</v>
      </c>
      <c r="B510" s="77">
        <v>45727</v>
      </c>
      <c r="C510" s="78" t="s">
        <v>1192</v>
      </c>
      <c r="D510" s="58">
        <v>810000</v>
      </c>
      <c r="E510" s="58">
        <f t="shared" si="31"/>
        <v>64800</v>
      </c>
      <c r="F510" s="79">
        <f t="shared" si="32"/>
        <v>874800</v>
      </c>
      <c r="G510" s="54">
        <v>874800</v>
      </c>
      <c r="H510" s="55">
        <f t="shared" si="33"/>
        <v>0</v>
      </c>
      <c r="I510" s="65">
        <v>45918</v>
      </c>
    </row>
    <row r="511" spans="1:9" ht="16.2" customHeight="1" x14ac:dyDescent="0.35">
      <c r="A511" s="76" t="s">
        <v>871</v>
      </c>
      <c r="B511" s="77">
        <v>45723</v>
      </c>
      <c r="C511" s="78" t="s">
        <v>1284</v>
      </c>
      <c r="D511" s="58">
        <v>12060100</v>
      </c>
      <c r="E511" s="58">
        <f t="shared" si="31"/>
        <v>964808</v>
      </c>
      <c r="F511" s="79">
        <f t="shared" si="32"/>
        <v>13024908</v>
      </c>
      <c r="G511" s="54">
        <v>13024908</v>
      </c>
      <c r="H511" s="55">
        <f t="shared" si="33"/>
        <v>0</v>
      </c>
      <c r="I511" s="65">
        <v>45978</v>
      </c>
    </row>
    <row r="512" spans="1:9" ht="16.2" customHeight="1" x14ac:dyDescent="0.35">
      <c r="A512" s="76" t="s">
        <v>948</v>
      </c>
      <c r="B512" s="77">
        <v>45724</v>
      </c>
      <c r="C512" s="78" t="s">
        <v>1219</v>
      </c>
      <c r="D512" s="58">
        <v>18796197</v>
      </c>
      <c r="E512" s="58">
        <f t="shared" si="31"/>
        <v>1503695.76</v>
      </c>
      <c r="F512" s="79">
        <f t="shared" si="32"/>
        <v>20299892.760000002</v>
      </c>
      <c r="G512" s="54">
        <v>20299892.760000002</v>
      </c>
      <c r="H512" s="55">
        <f t="shared" si="33"/>
        <v>0</v>
      </c>
      <c r="I512" s="65">
        <v>45769</v>
      </c>
    </row>
    <row r="513" spans="1:9" ht="16.2" customHeight="1" x14ac:dyDescent="0.35">
      <c r="A513" s="76" t="s">
        <v>1116</v>
      </c>
      <c r="B513" s="77">
        <v>45726</v>
      </c>
      <c r="C513" s="78" t="s">
        <v>1272</v>
      </c>
      <c r="D513" s="58">
        <v>5074450</v>
      </c>
      <c r="E513" s="58">
        <f t="shared" si="31"/>
        <v>405956</v>
      </c>
      <c r="F513" s="79">
        <f t="shared" si="32"/>
        <v>5480406</v>
      </c>
      <c r="G513" s="54">
        <v>5480406</v>
      </c>
      <c r="H513" s="55">
        <f t="shared" si="33"/>
        <v>0</v>
      </c>
      <c r="I513" s="65">
        <v>45828</v>
      </c>
    </row>
    <row r="514" spans="1:9" ht="16.2" customHeight="1" x14ac:dyDescent="0.35">
      <c r="A514" s="76" t="s">
        <v>1096</v>
      </c>
      <c r="B514" s="77">
        <v>45726</v>
      </c>
      <c r="C514" s="78" t="s">
        <v>1943</v>
      </c>
      <c r="D514" s="58">
        <v>626000</v>
      </c>
      <c r="E514" s="58">
        <f t="shared" si="31"/>
        <v>50080</v>
      </c>
      <c r="F514" s="79">
        <f t="shared" si="32"/>
        <v>676080</v>
      </c>
      <c r="G514" s="54">
        <v>676080</v>
      </c>
      <c r="H514" s="55">
        <f t="shared" si="33"/>
        <v>0</v>
      </c>
      <c r="I514" s="65">
        <v>45863</v>
      </c>
    </row>
    <row r="515" spans="1:9" ht="16.2" customHeight="1" x14ac:dyDescent="0.35">
      <c r="A515" s="76" t="s">
        <v>918</v>
      </c>
      <c r="B515" s="77">
        <v>45726</v>
      </c>
      <c r="C515" s="78" t="s">
        <v>1144</v>
      </c>
      <c r="D515" s="58">
        <v>1436100</v>
      </c>
      <c r="E515" s="58">
        <f t="shared" si="31"/>
        <v>114888</v>
      </c>
      <c r="F515" s="79">
        <f t="shared" si="32"/>
        <v>1550988</v>
      </c>
      <c r="G515" s="54">
        <v>1550988</v>
      </c>
      <c r="H515" s="55">
        <f t="shared" si="33"/>
        <v>0</v>
      </c>
      <c r="I515" s="65">
        <v>45796</v>
      </c>
    </row>
    <row r="516" spans="1:9" ht="16.2" customHeight="1" x14ac:dyDescent="0.35">
      <c r="A516" s="76" t="s">
        <v>998</v>
      </c>
      <c r="B516" s="77">
        <v>45727</v>
      </c>
      <c r="C516" s="78" t="s">
        <v>1944</v>
      </c>
      <c r="D516" s="58">
        <v>2110000</v>
      </c>
      <c r="E516" s="58">
        <f t="shared" si="31"/>
        <v>168800</v>
      </c>
      <c r="F516" s="79">
        <f t="shared" si="32"/>
        <v>2278800</v>
      </c>
      <c r="G516" s="54">
        <v>2278800</v>
      </c>
      <c r="H516" s="55">
        <f t="shared" si="33"/>
        <v>0</v>
      </c>
      <c r="I516" s="65">
        <v>45769</v>
      </c>
    </row>
    <row r="517" spans="1:9" ht="16.2" customHeight="1" x14ac:dyDescent="0.35">
      <c r="A517" s="76" t="s">
        <v>1153</v>
      </c>
      <c r="B517" s="77">
        <v>45727</v>
      </c>
      <c r="C517" s="78" t="s">
        <v>1238</v>
      </c>
      <c r="D517" s="58">
        <v>552000</v>
      </c>
      <c r="E517" s="58">
        <f t="shared" si="31"/>
        <v>44160</v>
      </c>
      <c r="F517" s="79">
        <f t="shared" si="32"/>
        <v>596160</v>
      </c>
      <c r="G517" s="54">
        <v>596160</v>
      </c>
      <c r="H517" s="55">
        <f t="shared" si="33"/>
        <v>0</v>
      </c>
      <c r="I517" s="65">
        <v>45769</v>
      </c>
    </row>
    <row r="518" spans="1:9" ht="16.2" customHeight="1" x14ac:dyDescent="0.35">
      <c r="A518" s="76" t="s">
        <v>974</v>
      </c>
      <c r="B518" s="77">
        <v>45727</v>
      </c>
      <c r="C518" s="78" t="s">
        <v>1945</v>
      </c>
      <c r="D518" s="58">
        <v>1364450</v>
      </c>
      <c r="E518" s="58">
        <f t="shared" si="31"/>
        <v>109156</v>
      </c>
      <c r="F518" s="79">
        <f t="shared" si="32"/>
        <v>1473606</v>
      </c>
      <c r="G518" s="54">
        <v>1473606</v>
      </c>
      <c r="H518" s="55">
        <f t="shared" si="33"/>
        <v>0</v>
      </c>
      <c r="I518" s="65">
        <v>45796</v>
      </c>
    </row>
    <row r="519" spans="1:9" ht="16.2" customHeight="1" x14ac:dyDescent="0.35">
      <c r="A519" s="76" t="s">
        <v>1247</v>
      </c>
      <c r="B519" s="77">
        <v>45728</v>
      </c>
      <c r="C519" s="78" t="s">
        <v>1946</v>
      </c>
      <c r="D519" s="58">
        <v>6257700</v>
      </c>
      <c r="E519" s="58">
        <f t="shared" si="31"/>
        <v>500616</v>
      </c>
      <c r="F519" s="79">
        <f t="shared" si="32"/>
        <v>6758316</v>
      </c>
      <c r="G519" s="54">
        <v>6758316</v>
      </c>
      <c r="H519" s="55">
        <f t="shared" si="33"/>
        <v>0</v>
      </c>
      <c r="I519" s="65" t="s">
        <v>2124</v>
      </c>
    </row>
    <row r="520" spans="1:9" ht="16.2" customHeight="1" x14ac:dyDescent="0.35">
      <c r="A520" s="76" t="s">
        <v>1258</v>
      </c>
      <c r="B520" s="77">
        <v>45728</v>
      </c>
      <c r="C520" s="78" t="s">
        <v>1947</v>
      </c>
      <c r="D520" s="58">
        <v>11417050</v>
      </c>
      <c r="E520" s="58">
        <f t="shared" si="31"/>
        <v>913364</v>
      </c>
      <c r="F520" s="79">
        <f t="shared" si="32"/>
        <v>12330414</v>
      </c>
      <c r="G520" s="54">
        <v>12330414</v>
      </c>
      <c r="H520" s="55">
        <f t="shared" si="33"/>
        <v>0</v>
      </c>
      <c r="I520" s="65">
        <v>45828</v>
      </c>
    </row>
    <row r="521" spans="1:9" ht="16.2" customHeight="1" x14ac:dyDescent="0.35">
      <c r="A521" s="76" t="s">
        <v>1058</v>
      </c>
      <c r="B521" s="77">
        <v>45728</v>
      </c>
      <c r="C521" s="78" t="s">
        <v>1061</v>
      </c>
      <c r="D521" s="58">
        <v>2252000</v>
      </c>
      <c r="E521" s="58">
        <f t="shared" si="31"/>
        <v>180160</v>
      </c>
      <c r="F521" s="79">
        <f t="shared" si="32"/>
        <v>2432160</v>
      </c>
      <c r="G521" s="54">
        <v>2432160</v>
      </c>
      <c r="H521" s="55">
        <f t="shared" si="33"/>
        <v>0</v>
      </c>
      <c r="I521" s="65">
        <v>45796</v>
      </c>
    </row>
    <row r="522" spans="1:9" ht="16.2" customHeight="1" x14ac:dyDescent="0.35">
      <c r="A522" s="76" t="s">
        <v>1011</v>
      </c>
      <c r="B522" s="77">
        <v>45729</v>
      </c>
      <c r="C522" s="78" t="s">
        <v>1936</v>
      </c>
      <c r="D522" s="58">
        <v>10425300</v>
      </c>
      <c r="E522" s="58">
        <f t="shared" si="31"/>
        <v>834024</v>
      </c>
      <c r="F522" s="79">
        <f t="shared" si="32"/>
        <v>11259324</v>
      </c>
      <c r="G522" s="54">
        <v>11259324</v>
      </c>
      <c r="H522" s="55">
        <f t="shared" si="33"/>
        <v>0</v>
      </c>
      <c r="I522" s="65" t="s">
        <v>2124</v>
      </c>
    </row>
    <row r="523" spans="1:9" ht="16.2" customHeight="1" x14ac:dyDescent="0.35">
      <c r="A523" s="76" t="s">
        <v>1178</v>
      </c>
      <c r="B523" s="77">
        <v>45729</v>
      </c>
      <c r="C523" s="78" t="s">
        <v>1304</v>
      </c>
      <c r="D523" s="58">
        <v>12106100</v>
      </c>
      <c r="E523" s="58">
        <f t="shared" si="31"/>
        <v>968488</v>
      </c>
      <c r="F523" s="79">
        <f t="shared" si="32"/>
        <v>13074588</v>
      </c>
      <c r="G523" s="54">
        <v>13074588</v>
      </c>
      <c r="H523" s="55">
        <f t="shared" si="33"/>
        <v>0</v>
      </c>
      <c r="I523" s="65" t="s">
        <v>2124</v>
      </c>
    </row>
    <row r="524" spans="1:9" ht="16.2" customHeight="1" x14ac:dyDescent="0.35">
      <c r="A524" s="76" t="s">
        <v>1042</v>
      </c>
      <c r="B524" s="77">
        <v>45729</v>
      </c>
      <c r="C524" s="78" t="s">
        <v>1062</v>
      </c>
      <c r="D524" s="58">
        <v>10531200</v>
      </c>
      <c r="E524" s="58">
        <f t="shared" si="31"/>
        <v>842496</v>
      </c>
      <c r="F524" s="79">
        <f t="shared" si="32"/>
        <v>11373696</v>
      </c>
      <c r="G524" s="54">
        <v>11373696</v>
      </c>
      <c r="H524" s="55">
        <f t="shared" si="33"/>
        <v>0</v>
      </c>
      <c r="I524" s="65">
        <v>45769</v>
      </c>
    </row>
    <row r="525" spans="1:9" ht="16.2" customHeight="1" x14ac:dyDescent="0.35">
      <c r="A525" s="76" t="s">
        <v>1040</v>
      </c>
      <c r="B525" s="77">
        <v>45729</v>
      </c>
      <c r="C525" s="78" t="s">
        <v>1277</v>
      </c>
      <c r="D525" s="58">
        <v>15669450</v>
      </c>
      <c r="E525" s="58">
        <f t="shared" si="31"/>
        <v>1253556</v>
      </c>
      <c r="F525" s="79">
        <f t="shared" si="32"/>
        <v>16923006</v>
      </c>
      <c r="G525" s="54">
        <v>16923006</v>
      </c>
      <c r="H525" s="55">
        <f t="shared" si="33"/>
        <v>0</v>
      </c>
      <c r="I525" s="65">
        <v>45978</v>
      </c>
    </row>
    <row r="526" spans="1:9" ht="16.2" customHeight="1" x14ac:dyDescent="0.35">
      <c r="A526" s="76" t="s">
        <v>1040</v>
      </c>
      <c r="B526" s="77">
        <v>45729</v>
      </c>
      <c r="C526" s="78" t="s">
        <v>1932</v>
      </c>
      <c r="D526" s="58">
        <v>675000</v>
      </c>
      <c r="E526" s="58">
        <f t="shared" si="31"/>
        <v>54000</v>
      </c>
      <c r="F526" s="79">
        <f t="shared" si="32"/>
        <v>729000</v>
      </c>
      <c r="G526" s="54">
        <v>729000</v>
      </c>
      <c r="H526" s="55">
        <f t="shared" si="33"/>
        <v>0</v>
      </c>
      <c r="I526" s="65">
        <v>45978</v>
      </c>
    </row>
    <row r="527" spans="1:9" ht="16.2" customHeight="1" x14ac:dyDescent="0.35">
      <c r="A527" s="76" t="s">
        <v>1948</v>
      </c>
      <c r="B527" s="77">
        <v>45729</v>
      </c>
      <c r="C527" s="78" t="s">
        <v>1949</v>
      </c>
      <c r="D527" s="58">
        <v>3882700</v>
      </c>
      <c r="E527" s="58">
        <f t="shared" si="31"/>
        <v>310616</v>
      </c>
      <c r="F527" s="79">
        <f t="shared" si="32"/>
        <v>4193316</v>
      </c>
      <c r="G527" s="54">
        <v>4193316</v>
      </c>
      <c r="H527" s="55">
        <f t="shared" si="33"/>
        <v>0</v>
      </c>
      <c r="I527" s="65">
        <v>45769</v>
      </c>
    </row>
    <row r="528" spans="1:9" ht="16.2" customHeight="1" x14ac:dyDescent="0.35">
      <c r="A528" s="76" t="s">
        <v>1282</v>
      </c>
      <c r="B528" s="77">
        <v>45730</v>
      </c>
      <c r="C528" s="78" t="s">
        <v>1950</v>
      </c>
      <c r="D528" s="58">
        <v>312200</v>
      </c>
      <c r="E528" s="58">
        <f t="shared" si="31"/>
        <v>24976</v>
      </c>
      <c r="F528" s="79">
        <f t="shared" si="32"/>
        <v>337176</v>
      </c>
      <c r="G528" s="54">
        <v>337176</v>
      </c>
      <c r="H528" s="55">
        <f t="shared" si="33"/>
        <v>0</v>
      </c>
      <c r="I528" s="65">
        <v>45769</v>
      </c>
    </row>
    <row r="529" spans="1:9" ht="16.2" customHeight="1" x14ac:dyDescent="0.35">
      <c r="A529" s="76" t="s">
        <v>903</v>
      </c>
      <c r="B529" s="77">
        <v>45730</v>
      </c>
      <c r="C529" s="78" t="s">
        <v>1103</v>
      </c>
      <c r="D529" s="58">
        <v>21261750</v>
      </c>
      <c r="E529" s="58">
        <f t="shared" si="31"/>
        <v>1700940</v>
      </c>
      <c r="F529" s="79">
        <f t="shared" si="32"/>
        <v>22962690</v>
      </c>
      <c r="G529" s="54">
        <v>22962690</v>
      </c>
      <c r="H529" s="55">
        <f t="shared" si="33"/>
        <v>0</v>
      </c>
      <c r="I529" s="65">
        <v>45796</v>
      </c>
    </row>
    <row r="530" spans="1:9" ht="16.2" customHeight="1" x14ac:dyDescent="0.35">
      <c r="A530" s="76" t="s">
        <v>1076</v>
      </c>
      <c r="B530" s="77">
        <v>45731</v>
      </c>
      <c r="C530" s="78" t="s">
        <v>1215</v>
      </c>
      <c r="D530" s="58">
        <v>2161000</v>
      </c>
      <c r="E530" s="58">
        <f t="shared" si="31"/>
        <v>172880</v>
      </c>
      <c r="F530" s="79">
        <f t="shared" si="32"/>
        <v>2333880</v>
      </c>
      <c r="G530" s="54">
        <v>2333880</v>
      </c>
      <c r="H530" s="55">
        <f t="shared" si="33"/>
        <v>0</v>
      </c>
      <c r="I530" s="65">
        <v>45769</v>
      </c>
    </row>
    <row r="531" spans="1:9" ht="16.2" customHeight="1" x14ac:dyDescent="0.35">
      <c r="A531" s="76" t="s">
        <v>1141</v>
      </c>
      <c r="B531" s="77">
        <v>45734</v>
      </c>
      <c r="C531" s="78" t="s">
        <v>1057</v>
      </c>
      <c r="D531" s="58">
        <v>17854800</v>
      </c>
      <c r="E531" s="58">
        <f t="shared" si="31"/>
        <v>1428384</v>
      </c>
      <c r="F531" s="79">
        <f t="shared" si="32"/>
        <v>19283184</v>
      </c>
      <c r="G531" s="54">
        <v>19283184</v>
      </c>
      <c r="H531" s="55">
        <f t="shared" si="33"/>
        <v>0</v>
      </c>
      <c r="I531" s="65">
        <v>45769</v>
      </c>
    </row>
    <row r="532" spans="1:9" ht="16.2" customHeight="1" x14ac:dyDescent="0.35">
      <c r="A532" s="76" t="s">
        <v>1327</v>
      </c>
      <c r="B532" s="77">
        <v>45735</v>
      </c>
      <c r="C532" s="78" t="s">
        <v>1951</v>
      </c>
      <c r="D532" s="58">
        <v>7261100</v>
      </c>
      <c r="E532" s="58">
        <f t="shared" si="31"/>
        <v>580888</v>
      </c>
      <c r="F532" s="79">
        <f t="shared" si="32"/>
        <v>7841988</v>
      </c>
      <c r="G532" s="54">
        <v>7841988</v>
      </c>
      <c r="H532" s="55">
        <f t="shared" si="33"/>
        <v>0</v>
      </c>
      <c r="I532" s="65">
        <v>45769</v>
      </c>
    </row>
    <row r="533" spans="1:9" ht="16.2" customHeight="1" x14ac:dyDescent="0.35">
      <c r="A533" s="76" t="s">
        <v>961</v>
      </c>
      <c r="B533" s="77">
        <v>45735</v>
      </c>
      <c r="C533" s="78" t="s">
        <v>1336</v>
      </c>
      <c r="D533" s="58">
        <v>11893734</v>
      </c>
      <c r="E533" s="58">
        <f t="shared" si="31"/>
        <v>951498.72</v>
      </c>
      <c r="F533" s="79">
        <f t="shared" si="32"/>
        <v>12845232.720000001</v>
      </c>
      <c r="G533" s="54">
        <v>12845232.720000001</v>
      </c>
      <c r="H533" s="55">
        <f t="shared" si="33"/>
        <v>0</v>
      </c>
      <c r="I533" s="65">
        <v>45863</v>
      </c>
    </row>
    <row r="534" spans="1:9" ht="16.2" customHeight="1" x14ac:dyDescent="0.35">
      <c r="A534" s="76" t="s">
        <v>1952</v>
      </c>
      <c r="B534" s="77">
        <v>45735</v>
      </c>
      <c r="C534" s="78" t="s">
        <v>1953</v>
      </c>
      <c r="D534" s="58">
        <v>16806650</v>
      </c>
      <c r="E534" s="58">
        <f t="shared" si="31"/>
        <v>1344532</v>
      </c>
      <c r="F534" s="79">
        <f t="shared" si="32"/>
        <v>18151182</v>
      </c>
      <c r="G534" s="54">
        <v>18151182</v>
      </c>
      <c r="H534" s="55">
        <f t="shared" si="33"/>
        <v>0</v>
      </c>
      <c r="I534" s="65">
        <v>45828</v>
      </c>
    </row>
    <row r="535" spans="1:9" ht="16.2" customHeight="1" x14ac:dyDescent="0.35">
      <c r="A535" s="76" t="s">
        <v>995</v>
      </c>
      <c r="B535" s="77">
        <v>45737</v>
      </c>
      <c r="C535" s="78" t="s">
        <v>1954</v>
      </c>
      <c r="D535" s="58">
        <v>7639500</v>
      </c>
      <c r="E535" s="58">
        <f t="shared" si="31"/>
        <v>611160</v>
      </c>
      <c r="F535" s="79">
        <f t="shared" si="32"/>
        <v>8250660</v>
      </c>
      <c r="G535" s="54">
        <v>8250660</v>
      </c>
      <c r="H535" s="55">
        <f t="shared" si="33"/>
        <v>0</v>
      </c>
      <c r="I535" s="65">
        <v>45796</v>
      </c>
    </row>
    <row r="536" spans="1:9" ht="16.2" customHeight="1" x14ac:dyDescent="0.35">
      <c r="A536" s="76" t="s">
        <v>1132</v>
      </c>
      <c r="B536" s="77">
        <v>45740</v>
      </c>
      <c r="C536" s="78" t="s">
        <v>1955</v>
      </c>
      <c r="D536" s="58">
        <v>220000</v>
      </c>
      <c r="E536" s="58">
        <f t="shared" si="31"/>
        <v>17600</v>
      </c>
      <c r="F536" s="79">
        <f t="shared" si="32"/>
        <v>237600</v>
      </c>
      <c r="G536" s="54">
        <v>237600</v>
      </c>
      <c r="H536" s="55">
        <f t="shared" si="33"/>
        <v>0</v>
      </c>
      <c r="I536" s="65">
        <v>45796</v>
      </c>
    </row>
    <row r="537" spans="1:9" ht="16.2" customHeight="1" x14ac:dyDescent="0.35">
      <c r="A537" s="76" t="s">
        <v>1006</v>
      </c>
      <c r="B537" s="77">
        <v>45740</v>
      </c>
      <c r="C537" s="78" t="s">
        <v>1279</v>
      </c>
      <c r="D537" s="58">
        <v>19758800</v>
      </c>
      <c r="E537" s="58">
        <f t="shared" si="31"/>
        <v>1580704</v>
      </c>
      <c r="F537" s="79">
        <f t="shared" si="32"/>
        <v>21339504</v>
      </c>
      <c r="G537" s="54">
        <v>21339504</v>
      </c>
      <c r="H537" s="55">
        <f t="shared" si="33"/>
        <v>0</v>
      </c>
      <c r="I537" s="65">
        <v>45796</v>
      </c>
    </row>
    <row r="538" spans="1:9" ht="16.2" customHeight="1" x14ac:dyDescent="0.35">
      <c r="A538" s="76" t="s">
        <v>972</v>
      </c>
      <c r="B538" s="77">
        <v>45742</v>
      </c>
      <c r="C538" s="78" t="s">
        <v>958</v>
      </c>
      <c r="D538" s="58">
        <v>19917850</v>
      </c>
      <c r="E538" s="58">
        <f t="shared" si="31"/>
        <v>1593428</v>
      </c>
      <c r="F538" s="79">
        <f t="shared" si="32"/>
        <v>21511278</v>
      </c>
      <c r="G538" s="54">
        <v>21511278</v>
      </c>
      <c r="H538" s="55">
        <f t="shared" si="33"/>
        <v>0</v>
      </c>
      <c r="I538" s="65">
        <v>45769</v>
      </c>
    </row>
    <row r="539" spans="1:9" ht="16.2" customHeight="1" x14ac:dyDescent="0.35">
      <c r="A539" s="76" t="s">
        <v>1236</v>
      </c>
      <c r="B539" s="77">
        <v>45720</v>
      </c>
      <c r="C539" s="78" t="s">
        <v>1956</v>
      </c>
      <c r="D539" s="58">
        <v>23305100</v>
      </c>
      <c r="E539" s="58">
        <f t="shared" si="31"/>
        <v>1864408</v>
      </c>
      <c r="F539" s="79">
        <f t="shared" si="32"/>
        <v>25169508</v>
      </c>
      <c r="G539" s="54">
        <v>25169508</v>
      </c>
      <c r="H539" s="55">
        <f t="shared" si="33"/>
        <v>0</v>
      </c>
      <c r="I539" s="65">
        <v>46105</v>
      </c>
    </row>
    <row r="540" spans="1:9" ht="16.2" customHeight="1" x14ac:dyDescent="0.35">
      <c r="A540" s="76" t="s">
        <v>1207</v>
      </c>
      <c r="B540" s="77">
        <v>45721</v>
      </c>
      <c r="C540" s="78" t="s">
        <v>1156</v>
      </c>
      <c r="D540" s="58">
        <v>10621400</v>
      </c>
      <c r="E540" s="58">
        <f t="shared" si="31"/>
        <v>849712</v>
      </c>
      <c r="F540" s="79">
        <f t="shared" si="32"/>
        <v>11471112</v>
      </c>
      <c r="G540" s="54">
        <v>11471112</v>
      </c>
      <c r="H540" s="55">
        <f t="shared" si="33"/>
        <v>0</v>
      </c>
      <c r="I540" s="65">
        <v>45796</v>
      </c>
    </row>
    <row r="541" spans="1:9" ht="16.2" customHeight="1" x14ac:dyDescent="0.35">
      <c r="A541" s="76" t="s">
        <v>1019</v>
      </c>
      <c r="B541" s="77">
        <v>45701</v>
      </c>
      <c r="C541" s="78" t="s">
        <v>1043</v>
      </c>
      <c r="D541" s="58">
        <v>6653650</v>
      </c>
      <c r="E541" s="58">
        <f t="shared" si="31"/>
        <v>532292</v>
      </c>
      <c r="F541" s="79">
        <f t="shared" si="32"/>
        <v>7185942</v>
      </c>
      <c r="G541" s="54">
        <v>7185942</v>
      </c>
      <c r="H541" s="55">
        <f t="shared" si="33"/>
        <v>0</v>
      </c>
      <c r="I541" s="65">
        <v>45769</v>
      </c>
    </row>
    <row r="542" spans="1:9" ht="16.2" customHeight="1" x14ac:dyDescent="0.35">
      <c r="A542" s="76" t="s">
        <v>1211</v>
      </c>
      <c r="B542" s="77">
        <v>45699</v>
      </c>
      <c r="C542" s="78" t="s">
        <v>1253</v>
      </c>
      <c r="D542" s="58">
        <v>3229700</v>
      </c>
      <c r="E542" s="58">
        <f t="shared" si="31"/>
        <v>258376</v>
      </c>
      <c r="F542" s="79">
        <f t="shared" si="32"/>
        <v>3488076</v>
      </c>
      <c r="G542" s="54">
        <v>3488076</v>
      </c>
      <c r="H542" s="55">
        <f t="shared" si="33"/>
        <v>0</v>
      </c>
      <c r="I542" s="65">
        <v>45769</v>
      </c>
    </row>
    <row r="543" spans="1:9" ht="16.2" customHeight="1" x14ac:dyDescent="0.35">
      <c r="A543" s="76" t="s">
        <v>928</v>
      </c>
      <c r="B543" s="77">
        <v>45708</v>
      </c>
      <c r="C543" s="78" t="s">
        <v>1248</v>
      </c>
      <c r="D543" s="58">
        <v>22690050</v>
      </c>
      <c r="E543" s="58">
        <f t="shared" si="31"/>
        <v>1815204</v>
      </c>
      <c r="F543" s="79">
        <f t="shared" si="32"/>
        <v>24505254</v>
      </c>
      <c r="G543" s="54">
        <v>24505254</v>
      </c>
      <c r="H543" s="55">
        <f t="shared" si="33"/>
        <v>0</v>
      </c>
      <c r="I543" s="65">
        <v>45769</v>
      </c>
    </row>
    <row r="544" spans="1:9" ht="16.2" customHeight="1" x14ac:dyDescent="0.35">
      <c r="A544" s="76" t="s">
        <v>1035</v>
      </c>
      <c r="B544" s="77">
        <v>45702</v>
      </c>
      <c r="C544" s="78" t="s">
        <v>1920</v>
      </c>
      <c r="D544" s="58">
        <v>2899800</v>
      </c>
      <c r="E544" s="58">
        <f t="shared" si="31"/>
        <v>231984</v>
      </c>
      <c r="F544" s="79">
        <f t="shared" si="32"/>
        <v>3131784</v>
      </c>
      <c r="G544" s="54">
        <v>3131784</v>
      </c>
      <c r="H544" s="55">
        <f t="shared" si="33"/>
        <v>0</v>
      </c>
      <c r="I544" s="65">
        <v>45769</v>
      </c>
    </row>
    <row r="545" spans="1:9" ht="16.2" customHeight="1" x14ac:dyDescent="0.35">
      <c r="A545" s="76" t="s">
        <v>895</v>
      </c>
      <c r="B545" s="77">
        <v>45720</v>
      </c>
      <c r="C545" s="78" t="s">
        <v>1103</v>
      </c>
      <c r="D545" s="58">
        <v>1426400</v>
      </c>
      <c r="E545" s="58">
        <f t="shared" si="31"/>
        <v>114112</v>
      </c>
      <c r="F545" s="79">
        <f t="shared" si="32"/>
        <v>1540512</v>
      </c>
      <c r="G545" s="54">
        <v>1540512</v>
      </c>
      <c r="H545" s="55">
        <f t="shared" si="33"/>
        <v>0</v>
      </c>
      <c r="I545" s="65">
        <v>45734</v>
      </c>
    </row>
    <row r="546" spans="1:9" ht="16.2" customHeight="1" x14ac:dyDescent="0.35">
      <c r="A546" s="76" t="s">
        <v>1199</v>
      </c>
      <c r="B546" s="77">
        <v>45744</v>
      </c>
      <c r="C546" s="78" t="s">
        <v>1957</v>
      </c>
      <c r="D546" s="58">
        <v>7816250</v>
      </c>
      <c r="E546" s="58">
        <f t="shared" si="31"/>
        <v>625300</v>
      </c>
      <c r="F546" s="79">
        <f t="shared" si="32"/>
        <v>8441550</v>
      </c>
      <c r="G546" s="54">
        <v>8441550</v>
      </c>
      <c r="H546" s="55">
        <f t="shared" si="33"/>
        <v>0</v>
      </c>
      <c r="I546" s="65">
        <v>45894</v>
      </c>
    </row>
    <row r="547" spans="1:9" ht="16.2" customHeight="1" x14ac:dyDescent="0.35">
      <c r="A547" s="76" t="s">
        <v>978</v>
      </c>
      <c r="B547" s="77">
        <v>45744</v>
      </c>
      <c r="C547" s="78" t="s">
        <v>1958</v>
      </c>
      <c r="D547" s="58">
        <v>7807500</v>
      </c>
      <c r="E547" s="58">
        <f t="shared" si="31"/>
        <v>624600</v>
      </c>
      <c r="F547" s="79">
        <f t="shared" si="32"/>
        <v>8432100</v>
      </c>
      <c r="G547" s="54">
        <v>8432100</v>
      </c>
      <c r="H547" s="55">
        <f t="shared" si="33"/>
        <v>0</v>
      </c>
      <c r="I547" s="65">
        <v>45796</v>
      </c>
    </row>
    <row r="548" spans="1:9" ht="16.2" customHeight="1" x14ac:dyDescent="0.35">
      <c r="A548" s="76" t="s">
        <v>891</v>
      </c>
      <c r="B548" s="77">
        <v>45745</v>
      </c>
      <c r="C548" s="78" t="s">
        <v>1095</v>
      </c>
      <c r="D548" s="58">
        <v>12690250</v>
      </c>
      <c r="E548" s="58">
        <f t="shared" ref="E548:E611" si="34">+D548*0.08</f>
        <v>1015220</v>
      </c>
      <c r="F548" s="79">
        <f t="shared" ref="F548:F611" si="35">+E548+D548</f>
        <v>13705470</v>
      </c>
      <c r="G548" s="54">
        <v>13705470</v>
      </c>
      <c r="H548" s="55">
        <f t="shared" ref="H548:H611" si="36">+F548-G548</f>
        <v>0</v>
      </c>
      <c r="I548" s="65">
        <v>45769</v>
      </c>
    </row>
    <row r="549" spans="1:9" ht="16.2" customHeight="1" x14ac:dyDescent="0.35">
      <c r="A549" s="76" t="s">
        <v>1255</v>
      </c>
      <c r="B549" s="77">
        <v>45747</v>
      </c>
      <c r="C549" s="78" t="s">
        <v>1959</v>
      </c>
      <c r="D549" s="58">
        <v>3137400</v>
      </c>
      <c r="E549" s="58">
        <f t="shared" si="34"/>
        <v>250992</v>
      </c>
      <c r="F549" s="79">
        <f t="shared" si="35"/>
        <v>3388392</v>
      </c>
      <c r="G549" s="54">
        <v>3388392</v>
      </c>
      <c r="H549" s="55">
        <f t="shared" si="36"/>
        <v>0</v>
      </c>
      <c r="I549" s="65">
        <v>45769</v>
      </c>
    </row>
    <row r="550" spans="1:9" ht="16.2" customHeight="1" x14ac:dyDescent="0.35">
      <c r="A550" s="76" t="s">
        <v>1350</v>
      </c>
      <c r="B550" s="77">
        <v>45707</v>
      </c>
      <c r="C550" s="78" t="s">
        <v>1052</v>
      </c>
      <c r="D550" s="58">
        <v>3722100</v>
      </c>
      <c r="E550" s="58">
        <f t="shared" si="34"/>
        <v>297768</v>
      </c>
      <c r="F550" s="79">
        <f t="shared" si="35"/>
        <v>4019868</v>
      </c>
      <c r="G550" s="54">
        <v>4019868</v>
      </c>
      <c r="H550" s="55">
        <f t="shared" si="36"/>
        <v>0</v>
      </c>
      <c r="I550" s="65">
        <v>45734</v>
      </c>
    </row>
    <row r="551" spans="1:9" ht="16.2" customHeight="1" x14ac:dyDescent="0.35">
      <c r="A551" s="76" t="s">
        <v>946</v>
      </c>
      <c r="B551" s="77">
        <v>45750</v>
      </c>
      <c r="C551" s="78" t="s">
        <v>2009</v>
      </c>
      <c r="D551" s="58">
        <v>11312650</v>
      </c>
      <c r="E551" s="58">
        <f t="shared" si="34"/>
        <v>905012</v>
      </c>
      <c r="F551" s="79">
        <f t="shared" si="35"/>
        <v>12217662</v>
      </c>
      <c r="G551" s="54">
        <v>12217662</v>
      </c>
      <c r="H551" s="55">
        <f t="shared" si="36"/>
        <v>0</v>
      </c>
      <c r="I551" s="65">
        <v>46076</v>
      </c>
    </row>
    <row r="552" spans="1:9" ht="16.2" customHeight="1" x14ac:dyDescent="0.35">
      <c r="A552" s="76" t="s">
        <v>2010</v>
      </c>
      <c r="B552" s="77">
        <v>45750</v>
      </c>
      <c r="C552" s="78" t="s">
        <v>2011</v>
      </c>
      <c r="D552" s="58">
        <v>23625350</v>
      </c>
      <c r="E552" s="58">
        <f t="shared" si="34"/>
        <v>1890028</v>
      </c>
      <c r="F552" s="79">
        <f t="shared" si="35"/>
        <v>25515378</v>
      </c>
      <c r="G552" s="54">
        <v>25515378</v>
      </c>
      <c r="H552" s="55">
        <f t="shared" si="36"/>
        <v>0</v>
      </c>
      <c r="I552" s="65">
        <v>46076</v>
      </c>
    </row>
    <row r="553" spans="1:9" ht="16.2" customHeight="1" x14ac:dyDescent="0.35">
      <c r="A553" s="76" t="s">
        <v>1184</v>
      </c>
      <c r="B553" s="77">
        <v>45724</v>
      </c>
      <c r="C553" s="78" t="s">
        <v>1313</v>
      </c>
      <c r="D553" s="58">
        <v>14383800</v>
      </c>
      <c r="E553" s="58">
        <f t="shared" si="34"/>
        <v>1150704</v>
      </c>
      <c r="F553" s="79">
        <f t="shared" si="35"/>
        <v>15534504</v>
      </c>
      <c r="G553" s="54">
        <v>15534504</v>
      </c>
      <c r="H553" s="55">
        <f t="shared" si="36"/>
        <v>0</v>
      </c>
      <c r="I553" s="65">
        <v>45769</v>
      </c>
    </row>
    <row r="554" spans="1:9" ht="16.2" customHeight="1" x14ac:dyDescent="0.35">
      <c r="A554" s="76" t="s">
        <v>1735</v>
      </c>
      <c r="B554" s="77">
        <v>45706</v>
      </c>
      <c r="C554" s="78" t="s">
        <v>2125</v>
      </c>
      <c r="D554" s="58">
        <v>20635550</v>
      </c>
      <c r="E554" s="58">
        <f t="shared" si="34"/>
        <v>1650844</v>
      </c>
      <c r="F554" s="79">
        <f t="shared" si="35"/>
        <v>22286394</v>
      </c>
      <c r="G554" s="54">
        <v>22286394</v>
      </c>
      <c r="H554" s="55">
        <f t="shared" si="36"/>
        <v>0</v>
      </c>
      <c r="I554" s="65">
        <v>45769</v>
      </c>
    </row>
    <row r="555" spans="1:9" ht="16.2" customHeight="1" x14ac:dyDescent="0.35">
      <c r="A555" s="76" t="s">
        <v>2137</v>
      </c>
      <c r="B555" s="77">
        <v>45758</v>
      </c>
      <c r="C555" s="78" t="s">
        <v>2138</v>
      </c>
      <c r="D555" s="58">
        <v>10485000</v>
      </c>
      <c r="E555" s="58">
        <f t="shared" si="34"/>
        <v>838800</v>
      </c>
      <c r="F555" s="79">
        <f t="shared" si="35"/>
        <v>11323800</v>
      </c>
      <c r="G555" s="54">
        <v>11323800</v>
      </c>
      <c r="H555" s="55">
        <f t="shared" si="36"/>
        <v>0</v>
      </c>
      <c r="I555" s="65">
        <v>45796</v>
      </c>
    </row>
    <row r="556" spans="1:9" ht="16.2" customHeight="1" x14ac:dyDescent="0.35">
      <c r="A556" s="76" t="s">
        <v>957</v>
      </c>
      <c r="B556" s="77">
        <v>45756</v>
      </c>
      <c r="C556" s="78" t="s">
        <v>1152</v>
      </c>
      <c r="D556" s="58">
        <v>18460150</v>
      </c>
      <c r="E556" s="58">
        <f t="shared" si="34"/>
        <v>1476812</v>
      </c>
      <c r="F556" s="79">
        <f t="shared" si="35"/>
        <v>19936962</v>
      </c>
      <c r="G556" s="54">
        <v>19936962</v>
      </c>
      <c r="H556" s="55">
        <f t="shared" si="36"/>
        <v>0</v>
      </c>
      <c r="I556" s="65">
        <v>45918</v>
      </c>
    </row>
    <row r="557" spans="1:9" ht="16.2" customHeight="1" x14ac:dyDescent="0.35">
      <c r="A557" s="76" t="s">
        <v>1104</v>
      </c>
      <c r="B557" s="77">
        <v>45771</v>
      </c>
      <c r="C557" s="78" t="s">
        <v>2163</v>
      </c>
      <c r="D557" s="58">
        <v>9194200</v>
      </c>
      <c r="E557" s="58">
        <f t="shared" si="34"/>
        <v>735536</v>
      </c>
      <c r="F557" s="79">
        <f t="shared" si="35"/>
        <v>9929736</v>
      </c>
      <c r="G557" s="54">
        <v>9929736</v>
      </c>
      <c r="H557" s="55">
        <f t="shared" si="36"/>
        <v>0</v>
      </c>
      <c r="I557" s="65">
        <v>45828</v>
      </c>
    </row>
    <row r="558" spans="1:9" ht="16.2" customHeight="1" x14ac:dyDescent="0.35">
      <c r="A558" s="76" t="s">
        <v>1603</v>
      </c>
      <c r="B558" s="77">
        <v>45783</v>
      </c>
      <c r="C558" s="78" t="s">
        <v>3142</v>
      </c>
      <c r="D558" s="58">
        <v>2273750</v>
      </c>
      <c r="E558" s="58">
        <f t="shared" si="34"/>
        <v>181900</v>
      </c>
      <c r="F558" s="79">
        <f t="shared" si="35"/>
        <v>2455650</v>
      </c>
      <c r="G558" s="54">
        <v>2455650</v>
      </c>
      <c r="H558" s="55">
        <f t="shared" si="36"/>
        <v>0</v>
      </c>
    </row>
    <row r="559" spans="1:9" ht="16.2" customHeight="1" x14ac:dyDescent="0.35">
      <c r="A559" s="76" t="s">
        <v>3129</v>
      </c>
      <c r="B559" s="77">
        <v>45783</v>
      </c>
      <c r="C559" s="78" t="s">
        <v>1261</v>
      </c>
      <c r="D559" s="58">
        <v>7085050</v>
      </c>
      <c r="E559" s="58">
        <f t="shared" si="34"/>
        <v>566804</v>
      </c>
      <c r="F559" s="79">
        <f t="shared" si="35"/>
        <v>7651854</v>
      </c>
      <c r="G559" s="54">
        <v>7651854</v>
      </c>
      <c r="H559" s="55">
        <f t="shared" si="36"/>
        <v>0</v>
      </c>
    </row>
    <row r="560" spans="1:9" ht="16.2" customHeight="1" x14ac:dyDescent="0.35">
      <c r="A560" s="76" t="s">
        <v>3130</v>
      </c>
      <c r="B560" s="77">
        <v>45784</v>
      </c>
      <c r="C560" s="78" t="s">
        <v>3143</v>
      </c>
      <c r="D560" s="58">
        <v>18024550</v>
      </c>
      <c r="E560" s="58">
        <f t="shared" si="34"/>
        <v>1441964</v>
      </c>
      <c r="F560" s="79">
        <f t="shared" si="35"/>
        <v>19466514</v>
      </c>
      <c r="G560" s="54">
        <v>19466514</v>
      </c>
      <c r="H560" s="55">
        <f t="shared" si="36"/>
        <v>0</v>
      </c>
    </row>
    <row r="561" spans="1:9" ht="16.2" customHeight="1" x14ac:dyDescent="0.35">
      <c r="A561" s="76" t="s">
        <v>3131</v>
      </c>
      <c r="B561" s="77">
        <v>45791</v>
      </c>
      <c r="C561" s="78" t="s">
        <v>3144</v>
      </c>
      <c r="D561" s="58">
        <v>11517800</v>
      </c>
      <c r="E561" s="58">
        <f t="shared" si="34"/>
        <v>921424</v>
      </c>
      <c r="F561" s="79">
        <f t="shared" si="35"/>
        <v>12439224</v>
      </c>
      <c r="G561" s="54">
        <v>12439224</v>
      </c>
      <c r="H561" s="55">
        <f t="shared" si="36"/>
        <v>0</v>
      </c>
      <c r="I561" s="65">
        <v>46042</v>
      </c>
    </row>
    <row r="562" spans="1:9" ht="16.2" customHeight="1" x14ac:dyDescent="0.35">
      <c r="A562" s="76" t="s">
        <v>3132</v>
      </c>
      <c r="B562" s="77">
        <v>45805</v>
      </c>
      <c r="C562" s="78"/>
      <c r="D562" s="58">
        <v>22100</v>
      </c>
      <c r="E562" s="58">
        <f t="shared" si="34"/>
        <v>1768</v>
      </c>
      <c r="F562" s="79">
        <f t="shared" si="35"/>
        <v>23868</v>
      </c>
      <c r="G562" s="54">
        <v>23868</v>
      </c>
      <c r="H562" s="55">
        <f t="shared" si="36"/>
        <v>0</v>
      </c>
    </row>
    <row r="563" spans="1:9" ht="16.2" customHeight="1" x14ac:dyDescent="0.35">
      <c r="A563" s="76" t="s">
        <v>3133</v>
      </c>
      <c r="B563" s="77">
        <v>45827</v>
      </c>
      <c r="C563" s="78" t="s">
        <v>3145</v>
      </c>
      <c r="D563" s="58">
        <v>5910200</v>
      </c>
      <c r="E563" s="58">
        <f t="shared" si="34"/>
        <v>472816</v>
      </c>
      <c r="F563" s="79">
        <f t="shared" si="35"/>
        <v>6383016</v>
      </c>
      <c r="G563" s="54">
        <v>6383016</v>
      </c>
      <c r="H563" s="55">
        <f t="shared" si="36"/>
        <v>0</v>
      </c>
    </row>
    <row r="564" spans="1:9" ht="16.2" customHeight="1" x14ac:dyDescent="0.35">
      <c r="A564" s="76" t="s">
        <v>1137</v>
      </c>
      <c r="B564" s="77">
        <v>45759</v>
      </c>
      <c r="C564" s="78"/>
      <c r="D564" s="58">
        <v>687000</v>
      </c>
      <c r="E564" s="58">
        <f t="shared" si="34"/>
        <v>54960</v>
      </c>
      <c r="F564" s="79">
        <f t="shared" si="35"/>
        <v>741960</v>
      </c>
      <c r="G564" s="54">
        <v>741960</v>
      </c>
      <c r="H564" s="55">
        <f t="shared" si="36"/>
        <v>0</v>
      </c>
    </row>
    <row r="565" spans="1:9" ht="16.2" customHeight="1" x14ac:dyDescent="0.35">
      <c r="A565" s="76" t="s">
        <v>3134</v>
      </c>
      <c r="B565" s="77">
        <v>45776</v>
      </c>
      <c r="C565" s="78" t="s">
        <v>3135</v>
      </c>
      <c r="D565" s="58">
        <v>2400000</v>
      </c>
      <c r="E565" s="58">
        <f t="shared" si="34"/>
        <v>192000</v>
      </c>
      <c r="F565" s="79">
        <f t="shared" si="35"/>
        <v>2592000</v>
      </c>
      <c r="G565" s="54">
        <v>2592000</v>
      </c>
      <c r="H565" s="55">
        <f t="shared" si="36"/>
        <v>0</v>
      </c>
    </row>
    <row r="566" spans="1:9" ht="16.2" customHeight="1" x14ac:dyDescent="0.35">
      <c r="A566" s="76" t="s">
        <v>1027</v>
      </c>
      <c r="B566" s="77">
        <v>45835</v>
      </c>
      <c r="C566" s="78" t="s">
        <v>3136</v>
      </c>
      <c r="D566" s="58">
        <v>59500</v>
      </c>
      <c r="E566" s="58">
        <f t="shared" si="34"/>
        <v>4760</v>
      </c>
      <c r="F566" s="79">
        <f t="shared" si="35"/>
        <v>64260</v>
      </c>
      <c r="G566" s="54">
        <v>64260</v>
      </c>
      <c r="H566" s="55">
        <f t="shared" si="36"/>
        <v>0</v>
      </c>
    </row>
    <row r="567" spans="1:9" ht="16.2" customHeight="1" x14ac:dyDescent="0.35">
      <c r="A567" s="76" t="s">
        <v>1283</v>
      </c>
      <c r="B567" s="77">
        <v>45841</v>
      </c>
      <c r="C567" s="78" t="s">
        <v>3137</v>
      </c>
      <c r="D567" s="58">
        <v>241200</v>
      </c>
      <c r="E567" s="58">
        <f t="shared" si="34"/>
        <v>19296</v>
      </c>
      <c r="F567" s="79">
        <f t="shared" si="35"/>
        <v>260496</v>
      </c>
      <c r="G567" s="54">
        <v>260496</v>
      </c>
      <c r="H567" s="55">
        <f t="shared" si="36"/>
        <v>0</v>
      </c>
    </row>
    <row r="568" spans="1:9" ht="16.2" customHeight="1" x14ac:dyDescent="0.35">
      <c r="A568" s="76" t="s">
        <v>957</v>
      </c>
      <c r="B568" s="77">
        <v>45818</v>
      </c>
      <c r="C568" s="78" t="s">
        <v>3138</v>
      </c>
      <c r="D568" s="58">
        <v>700000</v>
      </c>
      <c r="E568" s="58">
        <f t="shared" si="34"/>
        <v>56000</v>
      </c>
      <c r="F568" s="79">
        <f t="shared" si="35"/>
        <v>756000</v>
      </c>
      <c r="G568" s="54">
        <v>756000</v>
      </c>
      <c r="H568" s="55">
        <f t="shared" si="36"/>
        <v>0</v>
      </c>
    </row>
    <row r="569" spans="1:9" ht="16.2" customHeight="1" x14ac:dyDescent="0.35">
      <c r="A569" s="76" t="s">
        <v>1148</v>
      </c>
      <c r="B569" s="77">
        <v>45852</v>
      </c>
      <c r="C569" s="78" t="s">
        <v>3139</v>
      </c>
      <c r="D569" s="58">
        <v>795000</v>
      </c>
      <c r="E569" s="58">
        <f t="shared" si="34"/>
        <v>63600</v>
      </c>
      <c r="F569" s="79">
        <f t="shared" si="35"/>
        <v>858600</v>
      </c>
      <c r="G569" s="54">
        <v>858600</v>
      </c>
      <c r="H569" s="55">
        <f t="shared" si="36"/>
        <v>0</v>
      </c>
    </row>
    <row r="570" spans="1:9" ht="16.2" customHeight="1" x14ac:dyDescent="0.35">
      <c r="A570" s="76" t="s">
        <v>1113</v>
      </c>
      <c r="B570" s="77">
        <v>45919</v>
      </c>
      <c r="C570" s="78" t="s">
        <v>3140</v>
      </c>
      <c r="D570" s="58">
        <v>72900</v>
      </c>
      <c r="E570" s="58">
        <f t="shared" si="34"/>
        <v>5832</v>
      </c>
      <c r="F570" s="79">
        <f t="shared" si="35"/>
        <v>78732</v>
      </c>
      <c r="G570" s="54">
        <v>78732</v>
      </c>
      <c r="H570" s="55">
        <f t="shared" si="36"/>
        <v>0</v>
      </c>
    </row>
    <row r="571" spans="1:9" ht="16.2" customHeight="1" x14ac:dyDescent="0.35">
      <c r="A571" s="76" t="s">
        <v>1119</v>
      </c>
      <c r="B571" s="77">
        <v>45919</v>
      </c>
      <c r="C571" s="78" t="s">
        <v>3141</v>
      </c>
      <c r="D571" s="58">
        <v>12150</v>
      </c>
      <c r="E571" s="58">
        <f t="shared" si="34"/>
        <v>972</v>
      </c>
      <c r="F571" s="79">
        <f t="shared" si="35"/>
        <v>13122</v>
      </c>
      <c r="G571" s="54">
        <v>13122</v>
      </c>
      <c r="H571" s="55">
        <f t="shared" si="36"/>
        <v>0</v>
      </c>
    </row>
    <row r="572" spans="1:9" ht="16.2" customHeight="1" x14ac:dyDescent="0.35">
      <c r="A572" s="76" t="s">
        <v>978</v>
      </c>
      <c r="B572" s="77">
        <v>45801</v>
      </c>
      <c r="C572" s="78" t="s">
        <v>2788</v>
      </c>
      <c r="D572" s="58">
        <v>66300</v>
      </c>
      <c r="E572" s="58">
        <f t="shared" si="34"/>
        <v>5304</v>
      </c>
      <c r="F572" s="79">
        <f t="shared" si="35"/>
        <v>71604</v>
      </c>
      <c r="G572" s="54">
        <v>71604</v>
      </c>
      <c r="H572" s="55">
        <f t="shared" si="36"/>
        <v>0</v>
      </c>
    </row>
    <row r="573" spans="1:9" ht="16.2" customHeight="1" x14ac:dyDescent="0.35">
      <c r="A573" s="76" t="s">
        <v>941</v>
      </c>
      <c r="B573" s="77">
        <v>45933</v>
      </c>
      <c r="C573" s="78" t="s">
        <v>3146</v>
      </c>
      <c r="D573" s="58">
        <v>45900</v>
      </c>
      <c r="E573" s="58">
        <f t="shared" si="34"/>
        <v>3672</v>
      </c>
      <c r="F573" s="79">
        <f t="shared" si="35"/>
        <v>49572</v>
      </c>
      <c r="G573" s="54">
        <v>49572</v>
      </c>
      <c r="H573" s="55">
        <f t="shared" si="36"/>
        <v>0</v>
      </c>
    </row>
    <row r="574" spans="1:9" ht="16.2" customHeight="1" x14ac:dyDescent="0.35">
      <c r="A574" s="76" t="s">
        <v>1130</v>
      </c>
      <c r="B574" s="77">
        <v>45952</v>
      </c>
      <c r="C574" s="78" t="s">
        <v>3147</v>
      </c>
      <c r="D574" s="58">
        <v>46800</v>
      </c>
      <c r="E574" s="58">
        <f t="shared" si="34"/>
        <v>3744</v>
      </c>
      <c r="F574" s="79">
        <f t="shared" si="35"/>
        <v>50544</v>
      </c>
      <c r="G574" s="54">
        <v>50544</v>
      </c>
      <c r="H574" s="55">
        <f t="shared" si="36"/>
        <v>0</v>
      </c>
    </row>
    <row r="575" spans="1:9" ht="16.2" customHeight="1" x14ac:dyDescent="0.35">
      <c r="A575" s="76" t="s">
        <v>982</v>
      </c>
      <c r="B575" s="77">
        <v>46006</v>
      </c>
      <c r="C575" s="78" t="s">
        <v>3148</v>
      </c>
      <c r="D575" s="58">
        <v>368000</v>
      </c>
      <c r="E575" s="58">
        <f t="shared" si="34"/>
        <v>29440</v>
      </c>
      <c r="F575" s="79">
        <f t="shared" si="35"/>
        <v>397440</v>
      </c>
      <c r="G575" s="54">
        <v>397440</v>
      </c>
      <c r="H575" s="55">
        <f t="shared" si="36"/>
        <v>0</v>
      </c>
      <c r="I575" s="65">
        <v>46042</v>
      </c>
    </row>
    <row r="576" spans="1:9" ht="16.2" customHeight="1" x14ac:dyDescent="0.35">
      <c r="A576" s="76" t="s">
        <v>3149</v>
      </c>
      <c r="B576" s="77">
        <v>46010</v>
      </c>
      <c r="C576" s="78" t="s">
        <v>3150</v>
      </c>
      <c r="D576" s="58">
        <v>618000</v>
      </c>
      <c r="E576" s="58">
        <f t="shared" si="34"/>
        <v>49440</v>
      </c>
      <c r="F576" s="79">
        <f t="shared" si="35"/>
        <v>667440</v>
      </c>
      <c r="G576" s="54">
        <v>667440</v>
      </c>
      <c r="H576" s="55">
        <f t="shared" si="36"/>
        <v>0</v>
      </c>
      <c r="I576" s="65">
        <v>46042</v>
      </c>
    </row>
    <row r="577" spans="1:9" ht="16.2" customHeight="1" x14ac:dyDescent="0.35">
      <c r="A577" s="76" t="s">
        <v>1058</v>
      </c>
      <c r="B577" s="77">
        <v>46010</v>
      </c>
      <c r="C577" s="78" t="s">
        <v>3151</v>
      </c>
      <c r="D577" s="58">
        <v>1380000</v>
      </c>
      <c r="E577" s="58">
        <f t="shared" si="34"/>
        <v>110400</v>
      </c>
      <c r="F577" s="79">
        <f t="shared" si="35"/>
        <v>1490400</v>
      </c>
      <c r="G577" s="54">
        <v>1490400</v>
      </c>
      <c r="H577" s="55">
        <f t="shared" si="36"/>
        <v>0</v>
      </c>
      <c r="I577" s="65">
        <v>46042</v>
      </c>
    </row>
    <row r="578" spans="1:9" ht="16.2" customHeight="1" x14ac:dyDescent="0.35">
      <c r="A578" s="76" t="s">
        <v>1040</v>
      </c>
      <c r="B578" s="77">
        <v>46015</v>
      </c>
      <c r="C578" s="78" t="s">
        <v>3152</v>
      </c>
      <c r="D578" s="58">
        <v>877800</v>
      </c>
      <c r="E578" s="58">
        <f t="shared" si="34"/>
        <v>70224</v>
      </c>
      <c r="F578" s="79">
        <f t="shared" si="35"/>
        <v>948024</v>
      </c>
      <c r="G578" s="54">
        <v>948024</v>
      </c>
      <c r="H578" s="55">
        <f t="shared" si="36"/>
        <v>0</v>
      </c>
      <c r="I578" s="65">
        <v>46042</v>
      </c>
    </row>
    <row r="579" spans="1:9" ht="16.2" customHeight="1" x14ac:dyDescent="0.35">
      <c r="A579" s="76" t="s">
        <v>1130</v>
      </c>
      <c r="B579" s="77">
        <v>46015</v>
      </c>
      <c r="C579" s="78" t="s">
        <v>3153</v>
      </c>
      <c r="D579" s="58">
        <v>686000</v>
      </c>
      <c r="E579" s="58">
        <f t="shared" si="34"/>
        <v>54880</v>
      </c>
      <c r="F579" s="79">
        <f t="shared" si="35"/>
        <v>740880</v>
      </c>
      <c r="G579" s="54">
        <v>740880</v>
      </c>
      <c r="H579" s="55">
        <f t="shared" si="36"/>
        <v>0</v>
      </c>
      <c r="I579" s="65">
        <v>46042</v>
      </c>
    </row>
    <row r="580" spans="1:9" ht="16.2" customHeight="1" x14ac:dyDescent="0.35">
      <c r="A580" s="76" t="s">
        <v>3154</v>
      </c>
      <c r="B580" s="77">
        <v>46022</v>
      </c>
      <c r="C580" s="78" t="s">
        <v>3155</v>
      </c>
      <c r="D580" s="58">
        <v>576200</v>
      </c>
      <c r="E580" s="58">
        <f t="shared" si="34"/>
        <v>46096</v>
      </c>
      <c r="F580" s="79">
        <f t="shared" si="35"/>
        <v>622296</v>
      </c>
      <c r="G580" s="54"/>
      <c r="H580" s="55">
        <f t="shared" si="36"/>
        <v>622296</v>
      </c>
    </row>
    <row r="581" spans="1:9" ht="16.2" customHeight="1" x14ac:dyDescent="0.35">
      <c r="A581" s="76" t="s">
        <v>3154</v>
      </c>
      <c r="B581" s="77">
        <v>46025</v>
      </c>
      <c r="C581" s="78" t="s">
        <v>3395</v>
      </c>
      <c r="D581" s="58">
        <v>125400</v>
      </c>
      <c r="E581" s="58">
        <f t="shared" si="34"/>
        <v>10032</v>
      </c>
      <c r="F581" s="79">
        <f t="shared" si="35"/>
        <v>135432</v>
      </c>
      <c r="G581" s="54"/>
      <c r="H581" s="55">
        <f t="shared" si="36"/>
        <v>135432</v>
      </c>
    </row>
    <row r="582" spans="1:9" ht="16.2" customHeight="1" x14ac:dyDescent="0.35">
      <c r="A582" s="76" t="s">
        <v>1306</v>
      </c>
      <c r="B582" s="77">
        <v>46044</v>
      </c>
      <c r="C582" s="78" t="s">
        <v>1106</v>
      </c>
      <c r="D582" s="58">
        <v>496000</v>
      </c>
      <c r="E582" s="58">
        <f t="shared" si="34"/>
        <v>39680</v>
      </c>
      <c r="F582" s="79">
        <f t="shared" si="35"/>
        <v>535680</v>
      </c>
      <c r="G582" s="54">
        <v>535680</v>
      </c>
      <c r="H582" s="55">
        <f t="shared" si="36"/>
        <v>0</v>
      </c>
      <c r="I582" s="65">
        <v>46105</v>
      </c>
    </row>
    <row r="583" spans="1:9" ht="16.2" customHeight="1" x14ac:dyDescent="0.35">
      <c r="A583" s="76" t="s">
        <v>3154</v>
      </c>
      <c r="B583" s="77">
        <v>46046</v>
      </c>
      <c r="C583" s="78" t="s">
        <v>3396</v>
      </c>
      <c r="D583" s="58">
        <v>940406</v>
      </c>
      <c r="E583" s="58">
        <f t="shared" si="34"/>
        <v>75232.479999999996</v>
      </c>
      <c r="F583" s="79">
        <f t="shared" si="35"/>
        <v>1015638.48</v>
      </c>
      <c r="G583" s="54"/>
      <c r="H583" s="55">
        <f t="shared" si="36"/>
        <v>1015638.48</v>
      </c>
    </row>
    <row r="584" spans="1:9" ht="16.2" customHeight="1" x14ac:dyDescent="0.35">
      <c r="A584" s="76" t="s">
        <v>3397</v>
      </c>
      <c r="B584" s="77">
        <v>46051</v>
      </c>
      <c r="C584" s="78" t="s">
        <v>3398</v>
      </c>
      <c r="D584" s="58">
        <v>445795147</v>
      </c>
      <c r="E584" s="58">
        <f t="shared" si="34"/>
        <v>35663611.759999998</v>
      </c>
      <c r="F584" s="79">
        <f t="shared" si="35"/>
        <v>481458758.75999999</v>
      </c>
      <c r="G584" s="54">
        <v>481458758.75999999</v>
      </c>
      <c r="H584" s="55">
        <f t="shared" si="36"/>
        <v>0</v>
      </c>
      <c r="I584" s="65">
        <v>46042</v>
      </c>
    </row>
    <row r="585" spans="1:9" ht="16.2" customHeight="1" x14ac:dyDescent="0.35">
      <c r="A585" s="76" t="s">
        <v>1125</v>
      </c>
      <c r="B585" s="77">
        <v>46057</v>
      </c>
      <c r="C585" s="78" t="s">
        <v>1093</v>
      </c>
      <c r="D585" s="58">
        <v>1380000</v>
      </c>
      <c r="E585" s="58">
        <f t="shared" si="34"/>
        <v>110400</v>
      </c>
      <c r="F585" s="79">
        <f t="shared" si="35"/>
        <v>1490400</v>
      </c>
      <c r="G585" s="54">
        <v>1490400</v>
      </c>
      <c r="H585" s="55">
        <f t="shared" si="36"/>
        <v>0</v>
      </c>
      <c r="I585" s="65">
        <v>46170</v>
      </c>
    </row>
    <row r="586" spans="1:9" ht="16.2" customHeight="1" x14ac:dyDescent="0.35">
      <c r="A586" s="76" t="s">
        <v>1035</v>
      </c>
      <c r="B586" s="77">
        <v>46078</v>
      </c>
      <c r="C586" s="78" t="s">
        <v>1177</v>
      </c>
      <c r="D586" s="58">
        <v>18277450</v>
      </c>
      <c r="E586" s="58">
        <f t="shared" si="34"/>
        <v>1462196</v>
      </c>
      <c r="F586" s="79">
        <f t="shared" si="35"/>
        <v>19739646</v>
      </c>
      <c r="G586" s="54">
        <v>19739646</v>
      </c>
      <c r="H586" s="55">
        <f t="shared" si="36"/>
        <v>0</v>
      </c>
      <c r="I586" s="65">
        <v>46135</v>
      </c>
    </row>
    <row r="587" spans="1:9" ht="16.2" customHeight="1" x14ac:dyDescent="0.35">
      <c r="A587" s="76" t="s">
        <v>3397</v>
      </c>
      <c r="B587" s="77">
        <v>46080</v>
      </c>
      <c r="C587" s="78" t="s">
        <v>3399</v>
      </c>
      <c r="D587" s="58">
        <v>164491828</v>
      </c>
      <c r="E587" s="58">
        <f t="shared" si="34"/>
        <v>13159346.24</v>
      </c>
      <c r="F587" s="79">
        <f t="shared" si="35"/>
        <v>177651174.24000001</v>
      </c>
      <c r="G587" s="54">
        <v>177651174.24000001</v>
      </c>
      <c r="H587" s="55">
        <f t="shared" si="36"/>
        <v>0</v>
      </c>
      <c r="I587" s="65">
        <v>46076</v>
      </c>
    </row>
    <row r="588" spans="1:9" ht="16.2" customHeight="1" x14ac:dyDescent="0.35">
      <c r="A588" s="76" t="s">
        <v>941</v>
      </c>
      <c r="B588" s="77">
        <v>46080</v>
      </c>
      <c r="C588" s="78" t="s">
        <v>3400</v>
      </c>
      <c r="D588" s="58">
        <v>5570400</v>
      </c>
      <c r="E588" s="58">
        <f t="shared" si="34"/>
        <v>445632</v>
      </c>
      <c r="F588" s="79">
        <f t="shared" si="35"/>
        <v>6016032</v>
      </c>
      <c r="G588" s="54">
        <v>6016032</v>
      </c>
      <c r="H588" s="55">
        <f t="shared" si="36"/>
        <v>0</v>
      </c>
      <c r="I588" s="65">
        <v>46170</v>
      </c>
    </row>
    <row r="589" spans="1:9" ht="16.2" customHeight="1" x14ac:dyDescent="0.35">
      <c r="A589" s="76" t="s">
        <v>1160</v>
      </c>
      <c r="B589" s="77">
        <v>46080</v>
      </c>
      <c r="C589" s="78" t="s">
        <v>1336</v>
      </c>
      <c r="D589" s="58">
        <v>35008250</v>
      </c>
      <c r="E589" s="58">
        <f t="shared" si="34"/>
        <v>2800660</v>
      </c>
      <c r="F589" s="79">
        <f t="shared" si="35"/>
        <v>37808910</v>
      </c>
      <c r="G589" s="54">
        <v>37808910</v>
      </c>
      <c r="H589" s="55">
        <f t="shared" si="36"/>
        <v>0</v>
      </c>
      <c r="I589" s="65">
        <v>46135</v>
      </c>
    </row>
    <row r="590" spans="1:9" ht="16.2" customHeight="1" x14ac:dyDescent="0.35">
      <c r="A590" s="76" t="s">
        <v>1255</v>
      </c>
      <c r="B590" s="77">
        <v>46081</v>
      </c>
      <c r="C590" s="78" t="s">
        <v>1336</v>
      </c>
      <c r="D590" s="58">
        <v>2306000</v>
      </c>
      <c r="E590" s="58">
        <f t="shared" si="34"/>
        <v>184480</v>
      </c>
      <c r="F590" s="79">
        <f t="shared" si="35"/>
        <v>2490480</v>
      </c>
      <c r="G590" s="54">
        <v>2490480</v>
      </c>
      <c r="H590" s="55">
        <f t="shared" si="36"/>
        <v>0</v>
      </c>
      <c r="I590" s="65">
        <v>46135</v>
      </c>
    </row>
    <row r="591" spans="1:9" ht="16.2" customHeight="1" x14ac:dyDescent="0.35">
      <c r="A591" s="76" t="s">
        <v>959</v>
      </c>
      <c r="B591" s="77">
        <v>46082</v>
      </c>
      <c r="C591" s="78" t="s">
        <v>1135</v>
      </c>
      <c r="D591" s="58">
        <v>11194200</v>
      </c>
      <c r="E591" s="58">
        <f t="shared" si="34"/>
        <v>895536</v>
      </c>
      <c r="F591" s="79">
        <f t="shared" si="35"/>
        <v>12089736</v>
      </c>
      <c r="G591" s="54">
        <v>12089736</v>
      </c>
      <c r="H591" s="55">
        <f t="shared" si="36"/>
        <v>0</v>
      </c>
      <c r="I591" s="65">
        <v>46135</v>
      </c>
    </row>
    <row r="592" spans="1:9" ht="16.2" customHeight="1" x14ac:dyDescent="0.35">
      <c r="A592" s="76" t="s">
        <v>1016</v>
      </c>
      <c r="B592" s="77">
        <v>46083</v>
      </c>
      <c r="C592" s="78" t="s">
        <v>1298</v>
      </c>
      <c r="D592" s="58">
        <v>848200</v>
      </c>
      <c r="E592" s="58">
        <f t="shared" si="34"/>
        <v>67856</v>
      </c>
      <c r="F592" s="79">
        <f t="shared" si="35"/>
        <v>916056</v>
      </c>
      <c r="G592" s="54">
        <v>916056</v>
      </c>
      <c r="H592" s="55">
        <f t="shared" si="36"/>
        <v>0</v>
      </c>
      <c r="I592" s="65">
        <v>46196</v>
      </c>
    </row>
    <row r="593" spans="1:9" ht="16.2" customHeight="1" x14ac:dyDescent="0.35">
      <c r="A593" s="76" t="s">
        <v>893</v>
      </c>
      <c r="B593" s="77">
        <v>46083</v>
      </c>
      <c r="C593" s="78" t="s">
        <v>1117</v>
      </c>
      <c r="D593" s="58">
        <v>1903000</v>
      </c>
      <c r="E593" s="58">
        <f t="shared" si="34"/>
        <v>152240</v>
      </c>
      <c r="F593" s="79">
        <f t="shared" si="35"/>
        <v>2055240</v>
      </c>
      <c r="G593" s="54">
        <v>2055240</v>
      </c>
      <c r="H593" s="55">
        <f t="shared" si="36"/>
        <v>0</v>
      </c>
      <c r="I593" s="65">
        <v>46135</v>
      </c>
    </row>
    <row r="594" spans="1:9" ht="16.2" customHeight="1" x14ac:dyDescent="0.35">
      <c r="A594" s="76" t="s">
        <v>1137</v>
      </c>
      <c r="B594" s="77">
        <v>46083</v>
      </c>
      <c r="C594" s="78" t="s">
        <v>1047</v>
      </c>
      <c r="D594" s="58">
        <v>16806400</v>
      </c>
      <c r="E594" s="58">
        <f t="shared" si="34"/>
        <v>1344512</v>
      </c>
      <c r="F594" s="79">
        <f t="shared" si="35"/>
        <v>18150912</v>
      </c>
      <c r="G594" s="54">
        <v>18150912</v>
      </c>
      <c r="H594" s="55">
        <f t="shared" si="36"/>
        <v>0</v>
      </c>
      <c r="I594" s="65">
        <v>46135</v>
      </c>
    </row>
    <row r="595" spans="1:9" ht="16.2" customHeight="1" x14ac:dyDescent="0.35">
      <c r="A595" s="76" t="s">
        <v>932</v>
      </c>
      <c r="B595" s="77">
        <v>46084</v>
      </c>
      <c r="C595" s="78" t="s">
        <v>3401</v>
      </c>
      <c r="D595" s="58">
        <v>9097250</v>
      </c>
      <c r="E595" s="58">
        <f t="shared" si="34"/>
        <v>727780</v>
      </c>
      <c r="F595" s="79">
        <f t="shared" si="35"/>
        <v>9825030</v>
      </c>
      <c r="G595" s="54">
        <v>9825030</v>
      </c>
      <c r="H595" s="55">
        <f t="shared" si="36"/>
        <v>0</v>
      </c>
      <c r="I595" s="65">
        <v>46170</v>
      </c>
    </row>
    <row r="596" spans="1:9" ht="16.2" customHeight="1" x14ac:dyDescent="0.35">
      <c r="A596" s="76" t="s">
        <v>1070</v>
      </c>
      <c r="B596" s="77">
        <v>46084</v>
      </c>
      <c r="C596" s="78" t="s">
        <v>1957</v>
      </c>
      <c r="D596" s="58">
        <v>42262800</v>
      </c>
      <c r="E596" s="58">
        <f t="shared" si="34"/>
        <v>3381024</v>
      </c>
      <c r="F596" s="79">
        <f t="shared" si="35"/>
        <v>45643824</v>
      </c>
      <c r="G596" s="54">
        <v>45643824</v>
      </c>
      <c r="H596" s="55">
        <f t="shared" si="36"/>
        <v>0</v>
      </c>
      <c r="I596" s="65">
        <v>46105</v>
      </c>
    </row>
    <row r="597" spans="1:9" ht="16.2" customHeight="1" x14ac:dyDescent="0.35">
      <c r="A597" s="76" t="s">
        <v>1148</v>
      </c>
      <c r="B597" s="77">
        <v>46085</v>
      </c>
      <c r="C597" s="78" t="s">
        <v>3402</v>
      </c>
      <c r="D597" s="58">
        <v>232700</v>
      </c>
      <c r="E597" s="58">
        <f t="shared" si="34"/>
        <v>18616</v>
      </c>
      <c r="F597" s="79">
        <f t="shared" si="35"/>
        <v>251316</v>
      </c>
      <c r="G597" s="54">
        <v>251316</v>
      </c>
      <c r="H597" s="55">
        <f t="shared" si="36"/>
        <v>0</v>
      </c>
      <c r="I597" s="65">
        <v>46105</v>
      </c>
    </row>
    <row r="598" spans="1:9" ht="16.2" customHeight="1" x14ac:dyDescent="0.35">
      <c r="A598" s="76" t="s">
        <v>903</v>
      </c>
      <c r="B598" s="77">
        <v>46085</v>
      </c>
      <c r="C598" s="78" t="s">
        <v>1253</v>
      </c>
      <c r="D598" s="58">
        <v>1338100</v>
      </c>
      <c r="E598" s="58">
        <f t="shared" si="34"/>
        <v>107048</v>
      </c>
      <c r="F598" s="79">
        <f t="shared" si="35"/>
        <v>1445148</v>
      </c>
      <c r="G598" s="54">
        <v>1445148</v>
      </c>
      <c r="H598" s="55">
        <f t="shared" si="36"/>
        <v>0</v>
      </c>
      <c r="I598" s="65">
        <v>46170</v>
      </c>
    </row>
    <row r="599" spans="1:9" ht="16.2" customHeight="1" x14ac:dyDescent="0.35">
      <c r="A599" s="76" t="s">
        <v>1037</v>
      </c>
      <c r="B599" s="77">
        <v>46085</v>
      </c>
      <c r="C599" s="78" t="s">
        <v>880</v>
      </c>
      <c r="D599" s="58">
        <v>3596200</v>
      </c>
      <c r="E599" s="58">
        <f t="shared" si="34"/>
        <v>287696</v>
      </c>
      <c r="F599" s="79">
        <f t="shared" si="35"/>
        <v>3883896</v>
      </c>
      <c r="G599" s="54">
        <v>3883896</v>
      </c>
      <c r="H599" s="55">
        <f t="shared" si="36"/>
        <v>0</v>
      </c>
      <c r="I599" s="65">
        <v>46170</v>
      </c>
    </row>
    <row r="600" spans="1:9" ht="16.2" customHeight="1" x14ac:dyDescent="0.35">
      <c r="A600" s="76" t="s">
        <v>3403</v>
      </c>
      <c r="B600" s="77">
        <v>46085</v>
      </c>
      <c r="C600" s="78" t="s">
        <v>1151</v>
      </c>
      <c r="D600" s="58">
        <v>645000</v>
      </c>
      <c r="E600" s="58">
        <f t="shared" si="34"/>
        <v>51600</v>
      </c>
      <c r="F600" s="79">
        <f t="shared" si="35"/>
        <v>696600</v>
      </c>
      <c r="G600" s="54">
        <v>696600</v>
      </c>
      <c r="H600" s="55">
        <f t="shared" si="36"/>
        <v>0</v>
      </c>
      <c r="I600" s="65">
        <v>46105</v>
      </c>
    </row>
    <row r="601" spans="1:9" ht="16.2" customHeight="1" x14ac:dyDescent="0.35">
      <c r="A601" s="76" t="s">
        <v>1113</v>
      </c>
      <c r="B601" s="77">
        <v>46085</v>
      </c>
      <c r="C601" s="78" t="s">
        <v>1103</v>
      </c>
      <c r="D601" s="58">
        <v>5827800</v>
      </c>
      <c r="E601" s="58">
        <f t="shared" si="34"/>
        <v>466224</v>
      </c>
      <c r="F601" s="79">
        <f t="shared" si="35"/>
        <v>6294024</v>
      </c>
      <c r="G601" s="54">
        <v>6294024</v>
      </c>
      <c r="H601" s="55">
        <f t="shared" si="36"/>
        <v>0</v>
      </c>
      <c r="I601" s="65">
        <v>46135</v>
      </c>
    </row>
    <row r="602" spans="1:9" ht="16.2" customHeight="1" x14ac:dyDescent="0.35">
      <c r="A602" s="76" t="s">
        <v>922</v>
      </c>
      <c r="B602" s="77">
        <v>46085</v>
      </c>
      <c r="C602" s="78" t="s">
        <v>3401</v>
      </c>
      <c r="D602" s="58">
        <v>2736450</v>
      </c>
      <c r="E602" s="58">
        <f t="shared" si="34"/>
        <v>218916</v>
      </c>
      <c r="F602" s="79">
        <f t="shared" si="35"/>
        <v>2955366</v>
      </c>
      <c r="G602" s="54">
        <v>2955366</v>
      </c>
      <c r="H602" s="55">
        <f t="shared" si="36"/>
        <v>0</v>
      </c>
      <c r="I602" s="65">
        <v>46135</v>
      </c>
    </row>
    <row r="603" spans="1:9" ht="16.2" customHeight="1" x14ac:dyDescent="0.35">
      <c r="A603" s="76" t="s">
        <v>1184</v>
      </c>
      <c r="B603" s="77">
        <v>46086</v>
      </c>
      <c r="C603" s="78" t="s">
        <v>1152</v>
      </c>
      <c r="D603" s="58">
        <v>7910100</v>
      </c>
      <c r="E603" s="58">
        <f t="shared" si="34"/>
        <v>632808</v>
      </c>
      <c r="F603" s="79">
        <f t="shared" si="35"/>
        <v>8542908</v>
      </c>
      <c r="G603" s="54">
        <v>8542908</v>
      </c>
      <c r="H603" s="55">
        <f t="shared" si="36"/>
        <v>0</v>
      </c>
      <c r="I603" s="65">
        <v>46135</v>
      </c>
    </row>
    <row r="604" spans="1:9" ht="16.2" customHeight="1" x14ac:dyDescent="0.35">
      <c r="A604" s="76" t="s">
        <v>952</v>
      </c>
      <c r="B604" s="77">
        <v>46086</v>
      </c>
      <c r="C604" s="78" t="s">
        <v>3404</v>
      </c>
      <c r="D604" s="58">
        <v>66329450</v>
      </c>
      <c r="E604" s="58">
        <f t="shared" si="34"/>
        <v>5306356</v>
      </c>
      <c r="F604" s="79">
        <f t="shared" si="35"/>
        <v>71635806</v>
      </c>
      <c r="G604" s="54">
        <v>71635806</v>
      </c>
      <c r="H604" s="55">
        <f t="shared" si="36"/>
        <v>0</v>
      </c>
      <c r="I604" s="65">
        <v>46170</v>
      </c>
    </row>
    <row r="605" spans="1:9" ht="16.2" customHeight="1" x14ac:dyDescent="0.35">
      <c r="A605" s="76" t="s">
        <v>1306</v>
      </c>
      <c r="B605" s="77">
        <v>46086</v>
      </c>
      <c r="C605" s="78" t="s">
        <v>1944</v>
      </c>
      <c r="D605" s="58">
        <v>873200</v>
      </c>
      <c r="E605" s="58">
        <f t="shared" si="34"/>
        <v>69856</v>
      </c>
      <c r="F605" s="79">
        <f t="shared" si="35"/>
        <v>943056</v>
      </c>
      <c r="G605" s="54">
        <v>943056</v>
      </c>
      <c r="H605" s="55">
        <f t="shared" si="36"/>
        <v>0</v>
      </c>
      <c r="I605" s="65">
        <v>46105</v>
      </c>
    </row>
    <row r="606" spans="1:9" ht="16.2" customHeight="1" x14ac:dyDescent="0.35">
      <c r="A606" s="76" t="s">
        <v>1919</v>
      </c>
      <c r="B606" s="77">
        <v>46086</v>
      </c>
      <c r="C606" s="78" t="s">
        <v>1233</v>
      </c>
      <c r="D606" s="58">
        <v>6926200</v>
      </c>
      <c r="E606" s="58">
        <f t="shared" si="34"/>
        <v>554096</v>
      </c>
      <c r="F606" s="79">
        <f t="shared" si="35"/>
        <v>7480296</v>
      </c>
      <c r="G606" s="54">
        <v>7480296</v>
      </c>
      <c r="H606" s="55">
        <f t="shared" si="36"/>
        <v>0</v>
      </c>
      <c r="I606" s="65">
        <v>46135</v>
      </c>
    </row>
    <row r="607" spans="1:9" ht="16.2" customHeight="1" x14ac:dyDescent="0.35">
      <c r="A607" s="76" t="s">
        <v>1155</v>
      </c>
      <c r="B607" s="77">
        <v>46086</v>
      </c>
      <c r="C607" s="78" t="s">
        <v>1932</v>
      </c>
      <c r="D607" s="58">
        <v>3308750</v>
      </c>
      <c r="E607" s="58">
        <f t="shared" si="34"/>
        <v>264700</v>
      </c>
      <c r="F607" s="79">
        <f t="shared" si="35"/>
        <v>3573450</v>
      </c>
      <c r="G607" s="54">
        <v>3573450</v>
      </c>
      <c r="H607" s="55">
        <f t="shared" si="36"/>
        <v>0</v>
      </c>
      <c r="I607" s="65">
        <v>46105</v>
      </c>
    </row>
    <row r="608" spans="1:9" ht="16.2" customHeight="1" x14ac:dyDescent="0.35">
      <c r="A608" s="76" t="s">
        <v>1142</v>
      </c>
      <c r="B608" s="77">
        <v>46086</v>
      </c>
      <c r="C608" s="78" t="s">
        <v>3405</v>
      </c>
      <c r="D608" s="58">
        <v>2485900</v>
      </c>
      <c r="E608" s="58">
        <f t="shared" si="34"/>
        <v>198872</v>
      </c>
      <c r="F608" s="79">
        <f t="shared" si="35"/>
        <v>2684772</v>
      </c>
      <c r="G608" s="54"/>
      <c r="H608" s="55">
        <f t="shared" si="36"/>
        <v>2684772</v>
      </c>
    </row>
    <row r="609" spans="1:9" ht="16.2" customHeight="1" x14ac:dyDescent="0.35">
      <c r="A609" s="76" t="s">
        <v>1006</v>
      </c>
      <c r="B609" s="77">
        <v>46086</v>
      </c>
      <c r="C609" s="78" t="s">
        <v>1150</v>
      </c>
      <c r="D609" s="58">
        <v>3524998</v>
      </c>
      <c r="E609" s="58">
        <f t="shared" si="34"/>
        <v>281999.84000000003</v>
      </c>
      <c r="F609" s="79">
        <f t="shared" si="35"/>
        <v>3806997.84</v>
      </c>
      <c r="G609" s="54">
        <v>3806997.84</v>
      </c>
      <c r="H609" s="55">
        <f t="shared" si="36"/>
        <v>0</v>
      </c>
      <c r="I609" s="65">
        <v>46170</v>
      </c>
    </row>
    <row r="610" spans="1:9" ht="16.2" customHeight="1" x14ac:dyDescent="0.35">
      <c r="A610" s="76" t="s">
        <v>866</v>
      </c>
      <c r="B610" s="77">
        <v>46086</v>
      </c>
      <c r="C610" s="78" t="s">
        <v>1054</v>
      </c>
      <c r="D610" s="58">
        <v>38924900</v>
      </c>
      <c r="E610" s="58">
        <f t="shared" si="34"/>
        <v>3113992</v>
      </c>
      <c r="F610" s="79">
        <f t="shared" si="35"/>
        <v>42038892</v>
      </c>
      <c r="G610" s="54">
        <v>42038892</v>
      </c>
      <c r="H610" s="55">
        <f t="shared" si="36"/>
        <v>0</v>
      </c>
      <c r="I610" s="65">
        <v>46170</v>
      </c>
    </row>
    <row r="611" spans="1:9" ht="16.2" customHeight="1" x14ac:dyDescent="0.35">
      <c r="A611" s="76" t="s">
        <v>1132</v>
      </c>
      <c r="B611" s="77">
        <v>46087</v>
      </c>
      <c r="C611" s="78" t="s">
        <v>1944</v>
      </c>
      <c r="D611" s="58">
        <v>2241600</v>
      </c>
      <c r="E611" s="58">
        <f t="shared" si="34"/>
        <v>179328</v>
      </c>
      <c r="F611" s="79">
        <f t="shared" si="35"/>
        <v>2420928</v>
      </c>
      <c r="G611" s="54">
        <v>2420928</v>
      </c>
      <c r="H611" s="55">
        <f t="shared" si="36"/>
        <v>0</v>
      </c>
      <c r="I611" s="65">
        <v>46135</v>
      </c>
    </row>
    <row r="612" spans="1:9" ht="16.2" customHeight="1" x14ac:dyDescent="0.35">
      <c r="A612" s="76" t="s">
        <v>1735</v>
      </c>
      <c r="B612" s="77">
        <v>46087</v>
      </c>
      <c r="C612" s="78" t="s">
        <v>3406</v>
      </c>
      <c r="D612" s="58">
        <v>6958600</v>
      </c>
      <c r="E612" s="58">
        <f t="shared" ref="E612:E675" si="37">+D612*0.08</f>
        <v>556688</v>
      </c>
      <c r="F612" s="79">
        <f t="shared" ref="F612:F708" si="38">+E612+D612</f>
        <v>7515288</v>
      </c>
      <c r="G612" s="54">
        <v>7515288</v>
      </c>
      <c r="H612" s="55">
        <f t="shared" ref="H612:H675" si="39">+F612-G612</f>
        <v>0</v>
      </c>
      <c r="I612" s="65">
        <v>46105</v>
      </c>
    </row>
    <row r="613" spans="1:9" ht="16.2" customHeight="1" x14ac:dyDescent="0.35">
      <c r="A613" s="76" t="s">
        <v>1102</v>
      </c>
      <c r="B613" s="77">
        <v>46087</v>
      </c>
      <c r="C613" s="78" t="s">
        <v>1177</v>
      </c>
      <c r="D613" s="58">
        <v>5757950</v>
      </c>
      <c r="E613" s="58">
        <f t="shared" si="37"/>
        <v>460636</v>
      </c>
      <c r="F613" s="79">
        <f t="shared" si="38"/>
        <v>6218586</v>
      </c>
      <c r="G613" s="54">
        <v>6218586</v>
      </c>
      <c r="H613" s="55">
        <f t="shared" si="39"/>
        <v>0</v>
      </c>
      <c r="I613" s="65">
        <v>46105</v>
      </c>
    </row>
    <row r="614" spans="1:9" ht="16.2" customHeight="1" x14ac:dyDescent="0.35">
      <c r="A614" s="76" t="s">
        <v>943</v>
      </c>
      <c r="B614" s="77">
        <v>46087</v>
      </c>
      <c r="C614" s="78" t="s">
        <v>1936</v>
      </c>
      <c r="D614" s="58">
        <v>4200000</v>
      </c>
      <c r="E614" s="58">
        <f t="shared" si="37"/>
        <v>336000</v>
      </c>
      <c r="F614" s="79">
        <f t="shared" si="38"/>
        <v>4536000</v>
      </c>
      <c r="G614" s="54">
        <v>4536000</v>
      </c>
      <c r="H614" s="55">
        <f t="shared" si="39"/>
        <v>0</v>
      </c>
      <c r="I614" s="65">
        <v>46170</v>
      </c>
    </row>
    <row r="615" spans="1:9" ht="16.2" customHeight="1" x14ac:dyDescent="0.35">
      <c r="A615" s="76" t="s">
        <v>895</v>
      </c>
      <c r="B615" s="77">
        <v>46087</v>
      </c>
      <c r="C615" s="78" t="s">
        <v>1048</v>
      </c>
      <c r="D615" s="58">
        <v>1220400</v>
      </c>
      <c r="E615" s="58">
        <f t="shared" si="37"/>
        <v>97632</v>
      </c>
      <c r="F615" s="79">
        <f t="shared" si="38"/>
        <v>1318032</v>
      </c>
      <c r="G615" s="54">
        <v>1318032</v>
      </c>
      <c r="H615" s="55">
        <f t="shared" si="39"/>
        <v>0</v>
      </c>
      <c r="I615" s="65">
        <v>46135</v>
      </c>
    </row>
    <row r="616" spans="1:9" ht="16.2" customHeight="1" x14ac:dyDescent="0.35">
      <c r="A616" s="76" t="s">
        <v>878</v>
      </c>
      <c r="B616" s="77">
        <v>46087</v>
      </c>
      <c r="C616" s="78" t="s">
        <v>1091</v>
      </c>
      <c r="D616" s="58">
        <v>18920950</v>
      </c>
      <c r="E616" s="58">
        <f t="shared" si="37"/>
        <v>1513676</v>
      </c>
      <c r="F616" s="79">
        <f t="shared" si="38"/>
        <v>20434626</v>
      </c>
      <c r="G616" s="54">
        <v>20434626</v>
      </c>
      <c r="H616" s="55">
        <f t="shared" si="39"/>
        <v>0</v>
      </c>
      <c r="I616" s="65">
        <v>46135</v>
      </c>
    </row>
    <row r="617" spans="1:9" ht="16.2" customHeight="1" x14ac:dyDescent="0.35">
      <c r="A617" s="76" t="s">
        <v>961</v>
      </c>
      <c r="B617" s="77">
        <v>46087</v>
      </c>
      <c r="C617" s="78" t="s">
        <v>1112</v>
      </c>
      <c r="D617" s="58">
        <v>10351100</v>
      </c>
      <c r="E617" s="58">
        <f t="shared" si="37"/>
        <v>828088</v>
      </c>
      <c r="F617" s="79">
        <f t="shared" si="38"/>
        <v>11179188</v>
      </c>
      <c r="G617" s="54">
        <v>11179188</v>
      </c>
      <c r="H617" s="55">
        <f t="shared" si="39"/>
        <v>0</v>
      </c>
      <c r="I617" s="65">
        <v>46196</v>
      </c>
    </row>
    <row r="618" spans="1:9" ht="16.2" customHeight="1" x14ac:dyDescent="0.35">
      <c r="A618" s="76" t="s">
        <v>1211</v>
      </c>
      <c r="B618" s="77">
        <v>46087</v>
      </c>
      <c r="C618" s="78" t="s">
        <v>3407</v>
      </c>
      <c r="D618" s="58">
        <v>2547000</v>
      </c>
      <c r="E618" s="58">
        <f t="shared" si="37"/>
        <v>203760</v>
      </c>
      <c r="F618" s="79">
        <f t="shared" si="38"/>
        <v>2750760</v>
      </c>
      <c r="G618" s="54">
        <v>2750760</v>
      </c>
      <c r="H618" s="55">
        <f t="shared" si="39"/>
        <v>0</v>
      </c>
      <c r="I618" s="65">
        <v>46170</v>
      </c>
    </row>
    <row r="619" spans="1:9" ht="16.2" customHeight="1" x14ac:dyDescent="0.35">
      <c r="A619" s="76" t="s">
        <v>1132</v>
      </c>
      <c r="B619" s="77">
        <v>46088</v>
      </c>
      <c r="C619" s="78" t="s">
        <v>3408</v>
      </c>
      <c r="D619" s="58">
        <v>154700</v>
      </c>
      <c r="E619" s="58">
        <f t="shared" si="37"/>
        <v>12376</v>
      </c>
      <c r="F619" s="79">
        <f t="shared" si="38"/>
        <v>167076</v>
      </c>
      <c r="G619" s="54">
        <v>167076</v>
      </c>
      <c r="H619" s="55">
        <f t="shared" si="39"/>
        <v>0</v>
      </c>
      <c r="I619" s="65">
        <v>46135</v>
      </c>
    </row>
    <row r="620" spans="1:9" ht="16.2" customHeight="1" x14ac:dyDescent="0.35">
      <c r="A620" s="76" t="s">
        <v>1025</v>
      </c>
      <c r="B620" s="77">
        <v>46090</v>
      </c>
      <c r="C620" s="78" t="s">
        <v>1252</v>
      </c>
      <c r="D620" s="58">
        <v>55987100</v>
      </c>
      <c r="E620" s="58">
        <f t="shared" si="37"/>
        <v>4478968</v>
      </c>
      <c r="F620" s="79">
        <f t="shared" si="38"/>
        <v>60466068</v>
      </c>
      <c r="G620" s="54"/>
      <c r="H620" s="55">
        <f t="shared" si="39"/>
        <v>60466068</v>
      </c>
    </row>
    <row r="621" spans="1:9" ht="16.2" customHeight="1" x14ac:dyDescent="0.35">
      <c r="A621" s="76" t="s">
        <v>963</v>
      </c>
      <c r="B621" s="77">
        <v>46090</v>
      </c>
      <c r="C621" s="78" t="s">
        <v>1285</v>
      </c>
      <c r="D621" s="58">
        <v>2017650</v>
      </c>
      <c r="E621" s="58">
        <f t="shared" si="37"/>
        <v>161412</v>
      </c>
      <c r="F621" s="79">
        <f t="shared" si="38"/>
        <v>2179062</v>
      </c>
      <c r="G621" s="54">
        <v>2179062</v>
      </c>
      <c r="H621" s="55">
        <f t="shared" si="39"/>
        <v>0</v>
      </c>
      <c r="I621" s="65">
        <v>46135</v>
      </c>
    </row>
    <row r="622" spans="1:9" ht="16.2" customHeight="1" x14ac:dyDescent="0.35">
      <c r="A622" s="76" t="s">
        <v>1153</v>
      </c>
      <c r="B622" s="77">
        <v>46090</v>
      </c>
      <c r="C622" s="78" t="s">
        <v>1046</v>
      </c>
      <c r="D622" s="58">
        <v>7274900</v>
      </c>
      <c r="E622" s="58">
        <f t="shared" si="37"/>
        <v>581992</v>
      </c>
      <c r="F622" s="79">
        <f t="shared" si="38"/>
        <v>7856892</v>
      </c>
      <c r="G622" s="54">
        <v>7856892</v>
      </c>
      <c r="H622" s="55">
        <f t="shared" si="39"/>
        <v>0</v>
      </c>
      <c r="I622" s="65">
        <v>46232</v>
      </c>
    </row>
    <row r="623" spans="1:9" ht="16.2" customHeight="1" x14ac:dyDescent="0.35">
      <c r="A623" s="76" t="s">
        <v>1082</v>
      </c>
      <c r="B623" s="77">
        <v>46090</v>
      </c>
      <c r="C623" s="78" t="s">
        <v>3409</v>
      </c>
      <c r="D623" s="58">
        <v>826500</v>
      </c>
      <c r="E623" s="58">
        <f t="shared" si="37"/>
        <v>66120</v>
      </c>
      <c r="F623" s="79">
        <f t="shared" si="38"/>
        <v>892620</v>
      </c>
      <c r="G623" s="54">
        <v>892620</v>
      </c>
      <c r="H623" s="55">
        <f t="shared" si="39"/>
        <v>0</v>
      </c>
      <c r="I623" s="65">
        <v>46135</v>
      </c>
    </row>
    <row r="624" spans="1:9" ht="16.2" customHeight="1" x14ac:dyDescent="0.35">
      <c r="A624" s="76" t="s">
        <v>914</v>
      </c>
      <c r="B624" s="77">
        <v>46090</v>
      </c>
      <c r="C624" s="78" t="s">
        <v>1934</v>
      </c>
      <c r="D624" s="58">
        <v>62700</v>
      </c>
      <c r="E624" s="58">
        <f t="shared" si="37"/>
        <v>5016</v>
      </c>
      <c r="F624" s="79">
        <f t="shared" si="38"/>
        <v>67716</v>
      </c>
      <c r="G624" s="54">
        <v>67716</v>
      </c>
      <c r="H624" s="55">
        <f t="shared" si="39"/>
        <v>0</v>
      </c>
      <c r="I624" s="65">
        <v>46135</v>
      </c>
    </row>
    <row r="625" spans="1:9" ht="16.2" customHeight="1" x14ac:dyDescent="0.35">
      <c r="A625" s="76" t="s">
        <v>928</v>
      </c>
      <c r="B625" s="77">
        <v>46090</v>
      </c>
      <c r="C625" s="78" t="s">
        <v>1923</v>
      </c>
      <c r="D625" s="58">
        <v>12836550</v>
      </c>
      <c r="E625" s="58">
        <f t="shared" si="37"/>
        <v>1026924</v>
      </c>
      <c r="F625" s="79">
        <f t="shared" si="38"/>
        <v>13863474</v>
      </c>
      <c r="G625" s="54">
        <v>13863474</v>
      </c>
      <c r="H625" s="55">
        <f t="shared" si="39"/>
        <v>0</v>
      </c>
      <c r="I625" s="65">
        <v>46170</v>
      </c>
    </row>
    <row r="626" spans="1:9" ht="16.2" customHeight="1" x14ac:dyDescent="0.35">
      <c r="A626" s="76" t="s">
        <v>1174</v>
      </c>
      <c r="B626" s="77">
        <v>46090</v>
      </c>
      <c r="C626" s="78" t="s">
        <v>1956</v>
      </c>
      <c r="D626" s="58">
        <v>20916650</v>
      </c>
      <c r="E626" s="58">
        <f t="shared" si="37"/>
        <v>1673332</v>
      </c>
      <c r="F626" s="79">
        <f t="shared" si="38"/>
        <v>22589982</v>
      </c>
      <c r="G626" s="54"/>
      <c r="H626" s="55">
        <f t="shared" si="39"/>
        <v>22589982</v>
      </c>
    </row>
    <row r="627" spans="1:9" ht="16.2" customHeight="1" x14ac:dyDescent="0.35">
      <c r="A627" s="76" t="s">
        <v>1085</v>
      </c>
      <c r="B627" s="77">
        <v>46090</v>
      </c>
      <c r="C627" s="78" t="s">
        <v>3402</v>
      </c>
      <c r="D627" s="58">
        <v>855000</v>
      </c>
      <c r="E627" s="58">
        <f t="shared" si="37"/>
        <v>68400</v>
      </c>
      <c r="F627" s="79">
        <f t="shared" si="38"/>
        <v>923400</v>
      </c>
      <c r="G627" s="54">
        <v>923400</v>
      </c>
      <c r="H627" s="55">
        <f t="shared" si="39"/>
        <v>0</v>
      </c>
      <c r="I627" s="65">
        <v>46170</v>
      </c>
    </row>
    <row r="628" spans="1:9" ht="16.2" customHeight="1" x14ac:dyDescent="0.35">
      <c r="A628" s="76" t="s">
        <v>888</v>
      </c>
      <c r="B628" s="77">
        <v>46091</v>
      </c>
      <c r="C628" s="78" t="s">
        <v>3410</v>
      </c>
      <c r="D628" s="58">
        <v>1488100</v>
      </c>
      <c r="E628" s="58">
        <f t="shared" si="37"/>
        <v>119048</v>
      </c>
      <c r="F628" s="79">
        <f t="shared" si="38"/>
        <v>1607148</v>
      </c>
      <c r="G628" s="54">
        <v>1607148</v>
      </c>
      <c r="H628" s="55">
        <f t="shared" si="39"/>
        <v>0</v>
      </c>
      <c r="I628" s="65">
        <v>46135</v>
      </c>
    </row>
    <row r="629" spans="1:9" ht="16.2" customHeight="1" x14ac:dyDescent="0.35">
      <c r="A629" s="76" t="s">
        <v>1265</v>
      </c>
      <c r="B629" s="77">
        <v>46091</v>
      </c>
      <c r="C629" s="78" t="s">
        <v>3411</v>
      </c>
      <c r="D629" s="58">
        <v>618100</v>
      </c>
      <c r="E629" s="58">
        <f t="shared" si="37"/>
        <v>49448</v>
      </c>
      <c r="F629" s="79">
        <f t="shared" si="38"/>
        <v>667548</v>
      </c>
      <c r="G629" s="54">
        <v>667548</v>
      </c>
      <c r="H629" s="55">
        <f t="shared" si="39"/>
        <v>0</v>
      </c>
      <c r="I629" s="65">
        <v>46170</v>
      </c>
    </row>
    <row r="630" spans="1:9" ht="16.2" customHeight="1" x14ac:dyDescent="0.35">
      <c r="A630" s="76" t="s">
        <v>3403</v>
      </c>
      <c r="B630" s="77">
        <v>46092</v>
      </c>
      <c r="C630" s="78" t="s">
        <v>1129</v>
      </c>
      <c r="D630" s="58">
        <v>188100</v>
      </c>
      <c r="E630" s="58">
        <f t="shared" si="37"/>
        <v>15048</v>
      </c>
      <c r="F630" s="79">
        <f t="shared" si="38"/>
        <v>203148</v>
      </c>
      <c r="G630" s="54">
        <v>203148</v>
      </c>
      <c r="H630" s="55">
        <f t="shared" si="39"/>
        <v>0</v>
      </c>
      <c r="I630" s="65">
        <v>46105</v>
      </c>
    </row>
    <row r="631" spans="1:9" ht="16.2" customHeight="1" x14ac:dyDescent="0.35">
      <c r="A631" s="76" t="s">
        <v>936</v>
      </c>
      <c r="B631" s="77">
        <v>46092</v>
      </c>
      <c r="C631" s="78" t="s">
        <v>1106</v>
      </c>
      <c r="D631" s="58">
        <v>9970500</v>
      </c>
      <c r="E631" s="58">
        <f t="shared" si="37"/>
        <v>797640</v>
      </c>
      <c r="F631" s="79">
        <f t="shared" si="38"/>
        <v>10768140</v>
      </c>
      <c r="G631" s="54">
        <v>10768140</v>
      </c>
      <c r="H631" s="55">
        <f t="shared" si="39"/>
        <v>0</v>
      </c>
      <c r="I631" s="65">
        <v>46135</v>
      </c>
    </row>
    <row r="632" spans="1:9" ht="16.2" customHeight="1" x14ac:dyDescent="0.35">
      <c r="A632" s="76" t="s">
        <v>1069</v>
      </c>
      <c r="B632" s="89">
        <v>46092</v>
      </c>
      <c r="C632" s="91" t="s">
        <v>1234</v>
      </c>
      <c r="D632" s="58">
        <v>2014150</v>
      </c>
      <c r="E632" s="58">
        <f t="shared" si="37"/>
        <v>161132</v>
      </c>
      <c r="F632" s="79">
        <f t="shared" si="38"/>
        <v>2175282</v>
      </c>
      <c r="G632" s="54">
        <v>2175282</v>
      </c>
      <c r="H632" s="55">
        <f t="shared" si="39"/>
        <v>0</v>
      </c>
      <c r="I632" s="65">
        <v>46105</v>
      </c>
    </row>
    <row r="633" spans="1:9" ht="16.2" customHeight="1" x14ac:dyDescent="0.35">
      <c r="A633" s="76" t="s">
        <v>3412</v>
      </c>
      <c r="B633" s="89">
        <v>46092</v>
      </c>
      <c r="C633" s="91" t="s">
        <v>1238</v>
      </c>
      <c r="D633" s="58">
        <v>13932000</v>
      </c>
      <c r="E633" s="58">
        <f t="shared" si="37"/>
        <v>1114560</v>
      </c>
      <c r="F633" s="79">
        <f t="shared" si="38"/>
        <v>15046560</v>
      </c>
      <c r="G633" s="54"/>
      <c r="H633" s="55">
        <f t="shared" si="39"/>
        <v>15046560</v>
      </c>
    </row>
    <row r="634" spans="1:9" ht="16.2" customHeight="1" x14ac:dyDescent="0.35">
      <c r="A634" s="76" t="s">
        <v>1169</v>
      </c>
      <c r="B634" s="89">
        <v>46092</v>
      </c>
      <c r="C634" s="91" t="s">
        <v>1068</v>
      </c>
      <c r="D634" s="58">
        <v>11114500</v>
      </c>
      <c r="E634" s="58">
        <f t="shared" si="37"/>
        <v>889160</v>
      </c>
      <c r="F634" s="79">
        <f t="shared" si="38"/>
        <v>12003660</v>
      </c>
      <c r="G634" s="54">
        <v>12003660</v>
      </c>
      <c r="H634" s="55">
        <f t="shared" si="39"/>
        <v>0</v>
      </c>
      <c r="I634" s="65">
        <v>46135</v>
      </c>
    </row>
    <row r="635" spans="1:9" ht="16.2" customHeight="1" x14ac:dyDescent="0.35">
      <c r="A635" s="76" t="s">
        <v>1280</v>
      </c>
      <c r="B635" s="89">
        <v>46092</v>
      </c>
      <c r="C635" s="91" t="s">
        <v>1302</v>
      </c>
      <c r="D635" s="58">
        <v>7807500</v>
      </c>
      <c r="E635" s="58">
        <f t="shared" si="37"/>
        <v>624600</v>
      </c>
      <c r="F635" s="79">
        <f t="shared" si="38"/>
        <v>8432100</v>
      </c>
      <c r="G635" s="54">
        <v>8432100</v>
      </c>
      <c r="H635" s="55">
        <f t="shared" si="39"/>
        <v>0</v>
      </c>
      <c r="I635" s="65">
        <v>46196</v>
      </c>
    </row>
    <row r="636" spans="1:9" ht="16.2" customHeight="1" x14ac:dyDescent="0.35">
      <c r="A636" s="76" t="s">
        <v>1125</v>
      </c>
      <c r="B636" s="89">
        <v>46092</v>
      </c>
      <c r="C636" s="91" t="s">
        <v>1033</v>
      </c>
      <c r="D636" s="58">
        <v>518900</v>
      </c>
      <c r="E636" s="58">
        <f t="shared" si="37"/>
        <v>41512</v>
      </c>
      <c r="F636" s="79">
        <f t="shared" si="38"/>
        <v>560412</v>
      </c>
      <c r="G636" s="54">
        <v>560412</v>
      </c>
      <c r="H636" s="55">
        <f t="shared" si="39"/>
        <v>0</v>
      </c>
      <c r="I636" s="65">
        <v>46170</v>
      </c>
    </row>
    <row r="637" spans="1:9" ht="16.2" customHeight="1" x14ac:dyDescent="0.35">
      <c r="A637" s="76" t="s">
        <v>948</v>
      </c>
      <c r="B637" s="89">
        <v>46093</v>
      </c>
      <c r="C637" s="91" t="s">
        <v>3413</v>
      </c>
      <c r="D637" s="58">
        <v>5930850</v>
      </c>
      <c r="E637" s="58">
        <f t="shared" si="37"/>
        <v>474468</v>
      </c>
      <c r="F637" s="79">
        <f t="shared" si="38"/>
        <v>6405318</v>
      </c>
      <c r="G637" s="54">
        <v>6405318</v>
      </c>
      <c r="H637" s="55">
        <f t="shared" si="39"/>
        <v>0</v>
      </c>
      <c r="I637" s="65">
        <v>46135</v>
      </c>
    </row>
    <row r="638" spans="1:9" ht="16.2" customHeight="1" x14ac:dyDescent="0.35">
      <c r="A638" s="76" t="s">
        <v>920</v>
      </c>
      <c r="B638" s="89">
        <v>46093</v>
      </c>
      <c r="C638" s="91" t="s">
        <v>1133</v>
      </c>
      <c r="D638" s="58">
        <v>8485750</v>
      </c>
      <c r="E638" s="58">
        <f t="shared" si="37"/>
        <v>678860</v>
      </c>
      <c r="F638" s="79">
        <f t="shared" si="38"/>
        <v>9164610</v>
      </c>
      <c r="G638" s="54">
        <v>9164610</v>
      </c>
      <c r="H638" s="55">
        <f t="shared" si="39"/>
        <v>0</v>
      </c>
      <c r="I638" s="65">
        <v>46105</v>
      </c>
    </row>
    <row r="639" spans="1:9" ht="16.2" customHeight="1" x14ac:dyDescent="0.35">
      <c r="A639" s="76" t="s">
        <v>1268</v>
      </c>
      <c r="B639" s="89">
        <v>46093</v>
      </c>
      <c r="C639" s="91" t="s">
        <v>1944</v>
      </c>
      <c r="D639" s="58">
        <v>2372250</v>
      </c>
      <c r="E639" s="58">
        <f t="shared" si="37"/>
        <v>189780</v>
      </c>
      <c r="F639" s="79">
        <f t="shared" si="38"/>
        <v>2562030</v>
      </c>
      <c r="G639" s="54"/>
      <c r="H639" s="55">
        <f t="shared" si="39"/>
        <v>2562030</v>
      </c>
    </row>
    <row r="640" spans="1:9" ht="16.2" customHeight="1" x14ac:dyDescent="0.35">
      <c r="A640" s="76" t="s">
        <v>1058</v>
      </c>
      <c r="B640" s="89">
        <v>46093</v>
      </c>
      <c r="C640" s="91" t="s">
        <v>1139</v>
      </c>
      <c r="D640" s="58">
        <v>250800</v>
      </c>
      <c r="E640" s="58">
        <f t="shared" si="37"/>
        <v>20064</v>
      </c>
      <c r="F640" s="79">
        <f t="shared" si="38"/>
        <v>270864</v>
      </c>
      <c r="G640" s="54">
        <v>270864</v>
      </c>
      <c r="H640" s="55">
        <f t="shared" si="39"/>
        <v>0</v>
      </c>
      <c r="I640" s="65">
        <v>46170</v>
      </c>
    </row>
    <row r="641" spans="1:9" ht="16.2" customHeight="1" x14ac:dyDescent="0.35">
      <c r="A641" s="76" t="s">
        <v>1176</v>
      </c>
      <c r="B641" s="89">
        <v>46093</v>
      </c>
      <c r="C641" s="91" t="s">
        <v>1097</v>
      </c>
      <c r="D641" s="58">
        <v>18528000</v>
      </c>
      <c r="E641" s="58">
        <f t="shared" si="37"/>
        <v>1482240</v>
      </c>
      <c r="F641" s="79">
        <f t="shared" si="38"/>
        <v>20010240</v>
      </c>
      <c r="G641" s="54">
        <v>20010240</v>
      </c>
      <c r="H641" s="55">
        <f t="shared" si="39"/>
        <v>0</v>
      </c>
      <c r="I641" s="65">
        <v>46232</v>
      </c>
    </row>
    <row r="642" spans="1:9" ht="16.2" customHeight="1" x14ac:dyDescent="0.35">
      <c r="A642" s="76" t="s">
        <v>1199</v>
      </c>
      <c r="B642" s="89">
        <v>46093</v>
      </c>
      <c r="C642" s="91" t="s">
        <v>1149</v>
      </c>
      <c r="D642" s="58">
        <v>72000</v>
      </c>
      <c r="E642" s="58">
        <f t="shared" si="37"/>
        <v>5760</v>
      </c>
      <c r="F642" s="79">
        <f t="shared" si="38"/>
        <v>77760</v>
      </c>
      <c r="G642" s="54"/>
      <c r="H642" s="55">
        <f t="shared" si="39"/>
        <v>77760</v>
      </c>
    </row>
    <row r="643" spans="1:9" ht="16.2" customHeight="1" x14ac:dyDescent="0.35">
      <c r="A643" s="76" t="s">
        <v>1100</v>
      </c>
      <c r="B643" s="89">
        <v>46093</v>
      </c>
      <c r="C643" s="91" t="s">
        <v>1294</v>
      </c>
      <c r="D643" s="58">
        <v>1366800</v>
      </c>
      <c r="E643" s="58">
        <f t="shared" si="37"/>
        <v>109344</v>
      </c>
      <c r="F643" s="79">
        <f t="shared" si="38"/>
        <v>1476144</v>
      </c>
      <c r="G643" s="54">
        <v>1476144</v>
      </c>
      <c r="H643" s="55">
        <f t="shared" si="39"/>
        <v>0</v>
      </c>
      <c r="I643" s="65">
        <v>46135</v>
      </c>
    </row>
    <row r="644" spans="1:9" ht="16.2" customHeight="1" x14ac:dyDescent="0.35">
      <c r="A644" s="76" t="s">
        <v>1124</v>
      </c>
      <c r="B644" s="89">
        <v>46094</v>
      </c>
      <c r="C644" s="91" t="s">
        <v>3414</v>
      </c>
      <c r="D644" s="58">
        <v>3789950</v>
      </c>
      <c r="E644" s="58">
        <f t="shared" si="37"/>
        <v>303196</v>
      </c>
      <c r="F644" s="79">
        <f t="shared" si="38"/>
        <v>4093146</v>
      </c>
      <c r="G644" s="54">
        <v>4093146</v>
      </c>
      <c r="H644" s="55">
        <f t="shared" si="39"/>
        <v>0</v>
      </c>
      <c r="I644" s="65">
        <v>46135</v>
      </c>
    </row>
    <row r="645" spans="1:9" ht="16.2" customHeight="1" x14ac:dyDescent="0.35">
      <c r="A645" s="76" t="s">
        <v>1236</v>
      </c>
      <c r="B645" s="89">
        <v>46094</v>
      </c>
      <c r="C645" s="91" t="s">
        <v>1047</v>
      </c>
      <c r="D645" s="58">
        <v>17263200</v>
      </c>
      <c r="E645" s="58">
        <f t="shared" si="37"/>
        <v>1381056</v>
      </c>
      <c r="F645" s="79">
        <f t="shared" si="38"/>
        <v>18644256</v>
      </c>
      <c r="G645" s="54">
        <v>18644256</v>
      </c>
      <c r="H645" s="55">
        <f t="shared" si="39"/>
        <v>0</v>
      </c>
      <c r="I645" s="65">
        <v>46170</v>
      </c>
    </row>
    <row r="646" spans="1:9" ht="16.2" customHeight="1" x14ac:dyDescent="0.35">
      <c r="A646" s="76" t="s">
        <v>930</v>
      </c>
      <c r="B646" s="89">
        <v>46094</v>
      </c>
      <c r="C646" s="91" t="s">
        <v>3415</v>
      </c>
      <c r="D646" s="58">
        <v>31134500</v>
      </c>
      <c r="E646" s="58">
        <f t="shared" si="37"/>
        <v>2490760</v>
      </c>
      <c r="F646" s="79">
        <f t="shared" si="38"/>
        <v>33625260</v>
      </c>
      <c r="G646" s="54">
        <v>33625260</v>
      </c>
      <c r="H646" s="55">
        <f t="shared" si="39"/>
        <v>0</v>
      </c>
      <c r="I646" s="65">
        <v>46135</v>
      </c>
    </row>
    <row r="647" spans="1:9" ht="16.2" customHeight="1" x14ac:dyDescent="0.35">
      <c r="A647" s="76" t="s">
        <v>1119</v>
      </c>
      <c r="B647" s="89">
        <v>46094</v>
      </c>
      <c r="C647" s="78" t="s">
        <v>3416</v>
      </c>
      <c r="D647" s="58">
        <v>543000</v>
      </c>
      <c r="E647" s="58">
        <f t="shared" si="37"/>
        <v>43440</v>
      </c>
      <c r="F647" s="79">
        <f t="shared" si="38"/>
        <v>586440</v>
      </c>
      <c r="G647" s="54">
        <v>586440</v>
      </c>
      <c r="H647" s="55">
        <f t="shared" si="39"/>
        <v>0</v>
      </c>
      <c r="I647" s="65">
        <v>46135</v>
      </c>
    </row>
    <row r="648" spans="1:9" ht="16.2" customHeight="1" x14ac:dyDescent="0.35">
      <c r="A648" s="76" t="s">
        <v>934</v>
      </c>
      <c r="B648" s="89">
        <v>46094</v>
      </c>
      <c r="C648" s="78" t="s">
        <v>1066</v>
      </c>
      <c r="D648" s="58">
        <v>7446150</v>
      </c>
      <c r="E648" s="58">
        <f t="shared" si="37"/>
        <v>595692</v>
      </c>
      <c r="F648" s="79">
        <f t="shared" si="38"/>
        <v>8041842</v>
      </c>
      <c r="G648" s="54">
        <v>8041842</v>
      </c>
      <c r="H648" s="55">
        <f t="shared" si="39"/>
        <v>0</v>
      </c>
      <c r="I648" s="65">
        <v>46210</v>
      </c>
    </row>
    <row r="649" spans="1:9" ht="16.2" customHeight="1" x14ac:dyDescent="0.35">
      <c r="A649" s="76" t="s">
        <v>3417</v>
      </c>
      <c r="B649" s="89">
        <v>46094</v>
      </c>
      <c r="C649" s="78" t="s">
        <v>1034</v>
      </c>
      <c r="D649" s="58">
        <v>15296300</v>
      </c>
      <c r="E649" s="58">
        <f t="shared" si="37"/>
        <v>1223704</v>
      </c>
      <c r="F649" s="79">
        <f t="shared" si="38"/>
        <v>16520004</v>
      </c>
      <c r="G649" s="54">
        <v>16520004</v>
      </c>
      <c r="H649" s="55">
        <f t="shared" si="39"/>
        <v>0</v>
      </c>
      <c r="I649" s="65">
        <v>46254</v>
      </c>
    </row>
    <row r="650" spans="1:9" ht="16.2" customHeight="1" x14ac:dyDescent="0.35">
      <c r="A650" s="76" t="s">
        <v>1948</v>
      </c>
      <c r="B650" s="77">
        <v>46094</v>
      </c>
      <c r="C650" s="78" t="s">
        <v>3418</v>
      </c>
      <c r="D650" s="58">
        <v>1355700</v>
      </c>
      <c r="E650" s="58">
        <f t="shared" si="37"/>
        <v>108456</v>
      </c>
      <c r="F650" s="79">
        <f t="shared" si="38"/>
        <v>1464156</v>
      </c>
      <c r="G650" s="54">
        <v>1464156</v>
      </c>
      <c r="H650" s="55">
        <f t="shared" si="39"/>
        <v>0</v>
      </c>
      <c r="I650" s="65">
        <v>46135</v>
      </c>
    </row>
    <row r="651" spans="1:9" ht="16.2" customHeight="1" x14ac:dyDescent="0.35">
      <c r="A651" s="76" t="s">
        <v>3134</v>
      </c>
      <c r="B651" s="77">
        <v>46094</v>
      </c>
      <c r="C651" s="78" t="s">
        <v>3419</v>
      </c>
      <c r="D651" s="58">
        <v>3338150</v>
      </c>
      <c r="E651" s="58">
        <f t="shared" si="37"/>
        <v>267052</v>
      </c>
      <c r="F651" s="79">
        <f t="shared" si="38"/>
        <v>3605202</v>
      </c>
      <c r="G651" s="54">
        <v>3605202</v>
      </c>
      <c r="H651" s="55">
        <f t="shared" si="39"/>
        <v>0</v>
      </c>
      <c r="I651" s="65">
        <v>46135</v>
      </c>
    </row>
    <row r="652" spans="1:9" ht="16.2" customHeight="1" x14ac:dyDescent="0.35">
      <c r="A652" s="76" t="s">
        <v>1141</v>
      </c>
      <c r="B652" s="77">
        <v>46095</v>
      </c>
      <c r="C652" s="78" t="s">
        <v>3420</v>
      </c>
      <c r="D652" s="58">
        <v>13659150</v>
      </c>
      <c r="E652" s="58">
        <f t="shared" si="37"/>
        <v>1092732</v>
      </c>
      <c r="F652" s="79">
        <f t="shared" si="38"/>
        <v>14751882</v>
      </c>
      <c r="G652" s="54">
        <v>14751882</v>
      </c>
      <c r="H652" s="55">
        <f t="shared" si="39"/>
        <v>0</v>
      </c>
      <c r="I652" s="65">
        <v>46105</v>
      </c>
    </row>
    <row r="653" spans="1:9" ht="16.2" customHeight="1" x14ac:dyDescent="0.35">
      <c r="A653" s="76" t="s">
        <v>1130</v>
      </c>
      <c r="B653" s="77">
        <v>46095</v>
      </c>
      <c r="C653" s="78" t="s">
        <v>1097</v>
      </c>
      <c r="D653" s="58">
        <v>4625710</v>
      </c>
      <c r="E653" s="58">
        <f t="shared" si="37"/>
        <v>370056.8</v>
      </c>
      <c r="F653" s="79">
        <f t="shared" si="38"/>
        <v>4995766.8</v>
      </c>
      <c r="G653" s="54"/>
      <c r="H653" s="55">
        <f t="shared" si="39"/>
        <v>4995766.8</v>
      </c>
    </row>
    <row r="654" spans="1:9" ht="16.2" customHeight="1" x14ac:dyDescent="0.35">
      <c r="A654" s="76" t="s">
        <v>1283</v>
      </c>
      <c r="B654" s="77">
        <v>46095</v>
      </c>
      <c r="C654" s="78" t="s">
        <v>1932</v>
      </c>
      <c r="D654" s="58">
        <v>503500</v>
      </c>
      <c r="E654" s="58">
        <f t="shared" si="37"/>
        <v>40280</v>
      </c>
      <c r="F654" s="79">
        <f t="shared" si="38"/>
        <v>543780</v>
      </c>
      <c r="G654" s="54">
        <v>543780</v>
      </c>
      <c r="H654" s="55">
        <f t="shared" si="39"/>
        <v>0</v>
      </c>
      <c r="I654" s="65">
        <v>46105</v>
      </c>
    </row>
    <row r="655" spans="1:9" ht="16.2" customHeight="1" x14ac:dyDescent="0.35">
      <c r="A655" s="76" t="s">
        <v>978</v>
      </c>
      <c r="B655" s="77">
        <v>46095</v>
      </c>
      <c r="C655" s="78" t="s">
        <v>3421</v>
      </c>
      <c r="D655" s="58">
        <v>6894800</v>
      </c>
      <c r="E655" s="58">
        <f t="shared" si="37"/>
        <v>551584</v>
      </c>
      <c r="F655" s="79">
        <f t="shared" si="38"/>
        <v>7446384</v>
      </c>
      <c r="G655" s="54">
        <v>7446384</v>
      </c>
      <c r="H655" s="55">
        <f t="shared" si="39"/>
        <v>0</v>
      </c>
      <c r="I655" s="65">
        <v>46135</v>
      </c>
    </row>
    <row r="656" spans="1:9" ht="16.2" customHeight="1" x14ac:dyDescent="0.35">
      <c r="A656" s="76" t="s">
        <v>965</v>
      </c>
      <c r="B656" s="77">
        <v>46097</v>
      </c>
      <c r="C656" s="78" t="s">
        <v>1235</v>
      </c>
      <c r="D656" s="58">
        <v>10086600</v>
      </c>
      <c r="E656" s="58">
        <f t="shared" si="37"/>
        <v>806928</v>
      </c>
      <c r="F656" s="79">
        <f t="shared" si="38"/>
        <v>10893528</v>
      </c>
      <c r="G656" s="54">
        <v>10893528</v>
      </c>
      <c r="H656" s="55">
        <f t="shared" si="39"/>
        <v>0</v>
      </c>
      <c r="I656" s="65">
        <v>46135</v>
      </c>
    </row>
    <row r="657" spans="1:9" ht="16.2" customHeight="1" x14ac:dyDescent="0.35">
      <c r="A657" s="76" t="s">
        <v>901</v>
      </c>
      <c r="B657" s="77">
        <v>46097</v>
      </c>
      <c r="C657" s="78" t="s">
        <v>1943</v>
      </c>
      <c r="D657" s="58">
        <v>18112100</v>
      </c>
      <c r="E657" s="58">
        <f t="shared" si="37"/>
        <v>1448968</v>
      </c>
      <c r="F657" s="79">
        <f t="shared" si="38"/>
        <v>19561068</v>
      </c>
      <c r="G657" s="54">
        <v>19561068</v>
      </c>
      <c r="H657" s="55">
        <f t="shared" si="39"/>
        <v>0</v>
      </c>
      <c r="I657" s="65">
        <v>46135</v>
      </c>
    </row>
    <row r="658" spans="1:9" ht="16.2" customHeight="1" x14ac:dyDescent="0.35">
      <c r="A658" s="76" t="s">
        <v>993</v>
      </c>
      <c r="B658" s="77">
        <v>46097</v>
      </c>
      <c r="C658" s="78" t="s">
        <v>3422</v>
      </c>
      <c r="D658" s="58">
        <v>2188250</v>
      </c>
      <c r="E658" s="58">
        <f t="shared" si="37"/>
        <v>175060</v>
      </c>
      <c r="F658" s="79">
        <f t="shared" si="38"/>
        <v>2363310</v>
      </c>
      <c r="G658" s="54">
        <v>2363310</v>
      </c>
      <c r="H658" s="55">
        <f t="shared" si="39"/>
        <v>0</v>
      </c>
      <c r="I658" s="65">
        <v>46135</v>
      </c>
    </row>
    <row r="659" spans="1:9" ht="16.2" customHeight="1" x14ac:dyDescent="0.35">
      <c r="A659" s="76" t="s">
        <v>1207</v>
      </c>
      <c r="B659" s="77">
        <v>46098</v>
      </c>
      <c r="C659" s="78" t="s">
        <v>3423</v>
      </c>
      <c r="D659" s="58">
        <v>11206600</v>
      </c>
      <c r="E659" s="58">
        <f t="shared" si="37"/>
        <v>896528</v>
      </c>
      <c r="F659" s="79">
        <f t="shared" si="38"/>
        <v>12103128</v>
      </c>
      <c r="G659" s="54">
        <v>12103128</v>
      </c>
      <c r="H659" s="55">
        <f t="shared" si="39"/>
        <v>0</v>
      </c>
      <c r="I659" s="65">
        <v>46135</v>
      </c>
    </row>
    <row r="660" spans="1:9" ht="16.2" customHeight="1" x14ac:dyDescent="0.35">
      <c r="A660" s="76" t="s">
        <v>1040</v>
      </c>
      <c r="B660" s="77">
        <v>46098</v>
      </c>
      <c r="C660" s="78" t="s">
        <v>1260</v>
      </c>
      <c r="D660" s="58">
        <v>9505400</v>
      </c>
      <c r="E660" s="58">
        <f t="shared" si="37"/>
        <v>760432</v>
      </c>
      <c r="F660" s="79">
        <f t="shared" si="38"/>
        <v>10265832</v>
      </c>
      <c r="G660" s="54">
        <v>10265832</v>
      </c>
      <c r="H660" s="55">
        <f t="shared" si="39"/>
        <v>0</v>
      </c>
      <c r="I660" s="65">
        <v>46210</v>
      </c>
    </row>
    <row r="661" spans="1:9" ht="16.2" customHeight="1" x14ac:dyDescent="0.35">
      <c r="A661" s="76" t="s">
        <v>871</v>
      </c>
      <c r="B661" s="77">
        <v>46098</v>
      </c>
      <c r="C661" s="78" t="s">
        <v>3424</v>
      </c>
      <c r="D661" s="58">
        <v>1622550</v>
      </c>
      <c r="E661" s="58">
        <f t="shared" si="37"/>
        <v>129804</v>
      </c>
      <c r="F661" s="79">
        <f t="shared" si="38"/>
        <v>1752354</v>
      </c>
      <c r="G661" s="54">
        <v>1752354</v>
      </c>
      <c r="H661" s="55">
        <f t="shared" si="39"/>
        <v>0</v>
      </c>
      <c r="I661" s="65">
        <v>46170</v>
      </c>
    </row>
    <row r="662" spans="1:9" ht="16.2" customHeight="1" x14ac:dyDescent="0.35">
      <c r="A662" s="76" t="s">
        <v>1055</v>
      </c>
      <c r="B662" s="77">
        <v>46098</v>
      </c>
      <c r="C662" s="78" t="s">
        <v>3425</v>
      </c>
      <c r="D662" s="58">
        <v>10399200</v>
      </c>
      <c r="E662" s="58">
        <f t="shared" si="37"/>
        <v>831936</v>
      </c>
      <c r="F662" s="79">
        <f t="shared" si="38"/>
        <v>11231136</v>
      </c>
      <c r="G662" s="54">
        <v>11231136</v>
      </c>
      <c r="H662" s="55">
        <f t="shared" si="39"/>
        <v>0</v>
      </c>
      <c r="I662" s="65">
        <v>46170</v>
      </c>
    </row>
    <row r="663" spans="1:9" ht="16.2" customHeight="1" x14ac:dyDescent="0.35">
      <c r="A663" s="76" t="s">
        <v>1008</v>
      </c>
      <c r="B663" s="77">
        <v>46098</v>
      </c>
      <c r="C663" s="78" t="s">
        <v>1099</v>
      </c>
      <c r="D663" s="58">
        <v>9461434</v>
      </c>
      <c r="E663" s="58">
        <f t="shared" si="37"/>
        <v>756914.72</v>
      </c>
      <c r="F663" s="79">
        <f t="shared" si="38"/>
        <v>10218348.720000001</v>
      </c>
      <c r="G663" s="54">
        <v>10218348.720000001</v>
      </c>
      <c r="H663" s="55">
        <f t="shared" si="39"/>
        <v>0</v>
      </c>
      <c r="I663" s="65">
        <v>46232</v>
      </c>
    </row>
    <row r="664" spans="1:9" ht="16.2" customHeight="1" x14ac:dyDescent="0.35">
      <c r="A664" s="76" t="s">
        <v>1124</v>
      </c>
      <c r="B664" s="77">
        <v>46098</v>
      </c>
      <c r="C664" s="78" t="s">
        <v>1252</v>
      </c>
      <c r="D664" s="58">
        <v>3662800</v>
      </c>
      <c r="E664" s="58">
        <f t="shared" si="37"/>
        <v>293024</v>
      </c>
      <c r="F664" s="79">
        <f t="shared" si="38"/>
        <v>3955824</v>
      </c>
      <c r="G664" s="54">
        <v>3955824</v>
      </c>
      <c r="H664" s="55">
        <f t="shared" si="39"/>
        <v>0</v>
      </c>
      <c r="I664" s="65">
        <v>46135</v>
      </c>
    </row>
    <row r="665" spans="1:9" ht="16.2" customHeight="1" x14ac:dyDescent="0.35">
      <c r="A665" s="76" t="s">
        <v>938</v>
      </c>
      <c r="B665" s="77">
        <v>46098</v>
      </c>
      <c r="C665" s="78" t="s">
        <v>1159</v>
      </c>
      <c r="D665" s="58">
        <v>6056950</v>
      </c>
      <c r="E665" s="58">
        <f t="shared" si="37"/>
        <v>484556</v>
      </c>
      <c r="F665" s="79">
        <f t="shared" si="38"/>
        <v>6541506</v>
      </c>
      <c r="G665" s="54">
        <v>6541506</v>
      </c>
      <c r="H665" s="55">
        <f t="shared" si="39"/>
        <v>0</v>
      </c>
      <c r="I665" s="65">
        <v>46196</v>
      </c>
    </row>
    <row r="666" spans="1:9" ht="16.2" customHeight="1" x14ac:dyDescent="0.35">
      <c r="A666" s="76" t="s">
        <v>995</v>
      </c>
      <c r="B666" s="77">
        <v>46099</v>
      </c>
      <c r="C666" s="78" t="s">
        <v>1311</v>
      </c>
      <c r="D666" s="58">
        <v>70000</v>
      </c>
      <c r="E666" s="58">
        <f t="shared" si="37"/>
        <v>5600</v>
      </c>
      <c r="F666" s="79">
        <f t="shared" si="38"/>
        <v>75600</v>
      </c>
      <c r="G666" s="54">
        <v>75600</v>
      </c>
      <c r="H666" s="55">
        <f t="shared" si="39"/>
        <v>0</v>
      </c>
      <c r="I666" s="65">
        <v>46135</v>
      </c>
    </row>
    <row r="667" spans="1:9" ht="16.2" customHeight="1" x14ac:dyDescent="0.35">
      <c r="A667" s="76" t="s">
        <v>1104</v>
      </c>
      <c r="B667" s="77">
        <v>46099</v>
      </c>
      <c r="C667" s="78" t="s">
        <v>1932</v>
      </c>
      <c r="D667" s="58">
        <v>2356000</v>
      </c>
      <c r="E667" s="58">
        <f t="shared" si="37"/>
        <v>188480</v>
      </c>
      <c r="F667" s="79">
        <f t="shared" si="38"/>
        <v>2544480</v>
      </c>
      <c r="G667" s="54"/>
      <c r="H667" s="55">
        <f t="shared" si="39"/>
        <v>2544480</v>
      </c>
    </row>
    <row r="668" spans="1:9" ht="16.2" customHeight="1" x14ac:dyDescent="0.35">
      <c r="A668" s="76" t="s">
        <v>1912</v>
      </c>
      <c r="B668" s="77">
        <v>46099</v>
      </c>
      <c r="C668" s="78" t="s">
        <v>1257</v>
      </c>
      <c r="D668" s="58">
        <v>16200300</v>
      </c>
      <c r="E668" s="58">
        <f t="shared" si="37"/>
        <v>1296024</v>
      </c>
      <c r="F668" s="79">
        <f t="shared" si="38"/>
        <v>17496324</v>
      </c>
      <c r="G668" s="54">
        <v>17496324</v>
      </c>
      <c r="H668" s="55">
        <f t="shared" si="39"/>
        <v>0</v>
      </c>
      <c r="I668" s="65">
        <v>46135</v>
      </c>
    </row>
    <row r="669" spans="1:9" ht="16.2" customHeight="1" x14ac:dyDescent="0.35">
      <c r="A669" s="76" t="s">
        <v>1000</v>
      </c>
      <c r="B669" s="77">
        <v>46099</v>
      </c>
      <c r="C669" s="78" t="s">
        <v>2011</v>
      </c>
      <c r="D669" s="58">
        <v>5659300</v>
      </c>
      <c r="E669" s="58">
        <f t="shared" si="37"/>
        <v>452744</v>
      </c>
      <c r="F669" s="79">
        <f t="shared" si="38"/>
        <v>6112044</v>
      </c>
      <c r="G669" s="54">
        <v>6112044</v>
      </c>
      <c r="H669" s="55">
        <f t="shared" si="39"/>
        <v>0</v>
      </c>
      <c r="I669" s="65">
        <v>46196</v>
      </c>
    </row>
    <row r="670" spans="1:9" ht="16.2" customHeight="1" x14ac:dyDescent="0.35">
      <c r="A670" s="76" t="s">
        <v>3426</v>
      </c>
      <c r="B670" s="77">
        <v>46099</v>
      </c>
      <c r="C670" s="78" t="s">
        <v>3427</v>
      </c>
      <c r="D670" s="58">
        <v>15565600</v>
      </c>
      <c r="E670" s="58">
        <f t="shared" si="37"/>
        <v>1245248</v>
      </c>
      <c r="F670" s="79">
        <f t="shared" si="38"/>
        <v>16810848</v>
      </c>
      <c r="G670" s="54">
        <v>16810848</v>
      </c>
      <c r="H670" s="55">
        <f t="shared" si="39"/>
        <v>0</v>
      </c>
      <c r="I670" s="65">
        <v>46254</v>
      </c>
    </row>
    <row r="671" spans="1:9" ht="16.2" customHeight="1" x14ac:dyDescent="0.35">
      <c r="A671" s="76" t="s">
        <v>1142</v>
      </c>
      <c r="B671" s="77">
        <v>46100</v>
      </c>
      <c r="C671" s="78" t="s">
        <v>3428</v>
      </c>
      <c r="D671" s="58">
        <v>3589800</v>
      </c>
      <c r="E671" s="58">
        <f t="shared" si="37"/>
        <v>287184</v>
      </c>
      <c r="F671" s="79">
        <f t="shared" si="38"/>
        <v>3876984</v>
      </c>
      <c r="G671" s="54">
        <v>3876984</v>
      </c>
      <c r="H671" s="55">
        <f t="shared" si="39"/>
        <v>0</v>
      </c>
      <c r="I671" s="65">
        <v>46196</v>
      </c>
    </row>
    <row r="672" spans="1:9" ht="16.2" customHeight="1" x14ac:dyDescent="0.35">
      <c r="A672" s="76" t="s">
        <v>1258</v>
      </c>
      <c r="B672" s="77">
        <v>46100</v>
      </c>
      <c r="C672" s="78" t="s">
        <v>3429</v>
      </c>
      <c r="D672" s="58">
        <v>11415850</v>
      </c>
      <c r="E672" s="58">
        <f t="shared" si="37"/>
        <v>913268</v>
      </c>
      <c r="F672" s="79">
        <f t="shared" si="38"/>
        <v>12329118</v>
      </c>
      <c r="G672" s="54">
        <v>12329118</v>
      </c>
      <c r="H672" s="55">
        <f t="shared" si="39"/>
        <v>0</v>
      </c>
      <c r="I672" s="65">
        <v>46105</v>
      </c>
    </row>
    <row r="673" spans="1:9" ht="16.2" customHeight="1" x14ac:dyDescent="0.35">
      <c r="A673" s="76" t="s">
        <v>1019</v>
      </c>
      <c r="B673" s="77">
        <v>46100</v>
      </c>
      <c r="C673" s="78" t="s">
        <v>3430</v>
      </c>
      <c r="D673" s="58">
        <v>511750</v>
      </c>
      <c r="E673" s="58">
        <f t="shared" si="37"/>
        <v>40940</v>
      </c>
      <c r="F673" s="79">
        <f t="shared" si="38"/>
        <v>552690</v>
      </c>
      <c r="G673" s="54">
        <v>552690</v>
      </c>
      <c r="H673" s="55">
        <f t="shared" si="39"/>
        <v>0</v>
      </c>
      <c r="I673" s="65">
        <v>46135</v>
      </c>
    </row>
    <row r="674" spans="1:9" ht="16.2" customHeight="1" x14ac:dyDescent="0.35">
      <c r="A674" s="76" t="s">
        <v>924</v>
      </c>
      <c r="B674" s="77">
        <v>46100</v>
      </c>
      <c r="C674" s="78" t="s">
        <v>3431</v>
      </c>
      <c r="D674" s="58">
        <v>7223700</v>
      </c>
      <c r="E674" s="58">
        <f t="shared" si="37"/>
        <v>577896</v>
      </c>
      <c r="F674" s="79">
        <f t="shared" si="38"/>
        <v>7801596</v>
      </c>
      <c r="G674" s="54">
        <v>7801596</v>
      </c>
      <c r="H674" s="55">
        <f t="shared" si="39"/>
        <v>0</v>
      </c>
      <c r="I674" s="65">
        <v>46135</v>
      </c>
    </row>
    <row r="675" spans="1:9" ht="16.2" customHeight="1" x14ac:dyDescent="0.35">
      <c r="A675" s="76" t="s">
        <v>905</v>
      </c>
      <c r="B675" s="77">
        <v>46100</v>
      </c>
      <c r="C675" s="78" t="s">
        <v>1934</v>
      </c>
      <c r="D675" s="58">
        <v>5220100</v>
      </c>
      <c r="E675" s="58">
        <f t="shared" si="37"/>
        <v>417608</v>
      </c>
      <c r="F675" s="79">
        <f t="shared" si="38"/>
        <v>5637708</v>
      </c>
      <c r="G675" s="54"/>
      <c r="H675" s="55">
        <f t="shared" si="39"/>
        <v>5637708</v>
      </c>
    </row>
    <row r="676" spans="1:9" ht="16.2" customHeight="1" x14ac:dyDescent="0.35">
      <c r="A676" s="76" t="s">
        <v>982</v>
      </c>
      <c r="B676" s="77">
        <v>46102</v>
      </c>
      <c r="C676" s="78" t="s">
        <v>1090</v>
      </c>
      <c r="D676" s="58">
        <v>8501700</v>
      </c>
      <c r="E676" s="58">
        <f t="shared" ref="E676:E708" si="40">+D676*0.08</f>
        <v>680136</v>
      </c>
      <c r="F676" s="79">
        <f t="shared" si="38"/>
        <v>9181836</v>
      </c>
      <c r="G676" s="54">
        <v>9181836</v>
      </c>
      <c r="H676" s="55">
        <f t="shared" ref="H676:H709" si="41">+F676-G676</f>
        <v>0</v>
      </c>
      <c r="I676" s="65">
        <v>46170</v>
      </c>
    </row>
    <row r="677" spans="1:9" ht="16.2" customHeight="1" x14ac:dyDescent="0.35">
      <c r="A677" s="76" t="s">
        <v>1916</v>
      </c>
      <c r="B677" s="77">
        <v>46102</v>
      </c>
      <c r="C677" s="78" t="s">
        <v>3430</v>
      </c>
      <c r="D677" s="58">
        <v>2302100</v>
      </c>
      <c r="E677" s="58">
        <f t="shared" si="40"/>
        <v>184168</v>
      </c>
      <c r="F677" s="79">
        <f t="shared" si="38"/>
        <v>2486268</v>
      </c>
      <c r="G677" s="54">
        <v>2486268</v>
      </c>
      <c r="H677" s="55">
        <f t="shared" si="41"/>
        <v>0</v>
      </c>
      <c r="I677" s="65">
        <v>46135</v>
      </c>
    </row>
    <row r="678" spans="1:9" ht="16.2" customHeight="1" x14ac:dyDescent="0.35">
      <c r="A678" s="76" t="s">
        <v>1178</v>
      </c>
      <c r="B678" s="77">
        <v>46102</v>
      </c>
      <c r="C678" s="78" t="s">
        <v>3432</v>
      </c>
      <c r="D678" s="58">
        <v>7249700</v>
      </c>
      <c r="E678" s="58">
        <f t="shared" si="40"/>
        <v>579976</v>
      </c>
      <c r="F678" s="79">
        <f t="shared" si="38"/>
        <v>7829676</v>
      </c>
      <c r="G678" s="54">
        <v>7829676</v>
      </c>
      <c r="H678" s="55">
        <f t="shared" si="41"/>
        <v>0</v>
      </c>
      <c r="I678" s="65">
        <v>46135</v>
      </c>
    </row>
    <row r="679" spans="1:9" ht="16.2" customHeight="1" x14ac:dyDescent="0.35">
      <c r="A679" s="76" t="s">
        <v>1076</v>
      </c>
      <c r="B679" s="77">
        <v>46104</v>
      </c>
      <c r="C679" s="78" t="s">
        <v>3413</v>
      </c>
      <c r="D679" s="58">
        <v>4144100</v>
      </c>
      <c r="E679" s="58">
        <f t="shared" si="40"/>
        <v>331528</v>
      </c>
      <c r="F679" s="79">
        <f t="shared" si="38"/>
        <v>4475628</v>
      </c>
      <c r="G679" s="54">
        <v>4475628</v>
      </c>
      <c r="H679" s="55">
        <f t="shared" si="41"/>
        <v>0</v>
      </c>
      <c r="I679" s="65">
        <v>46135</v>
      </c>
    </row>
    <row r="680" spans="1:9" ht="16.2" customHeight="1" x14ac:dyDescent="0.35">
      <c r="A680" s="76" t="s">
        <v>891</v>
      </c>
      <c r="B680" s="77">
        <v>46104</v>
      </c>
      <c r="C680" s="78" t="s">
        <v>3410</v>
      </c>
      <c r="D680" s="58">
        <v>9454500</v>
      </c>
      <c r="E680" s="58">
        <f t="shared" si="40"/>
        <v>756360</v>
      </c>
      <c r="F680" s="79">
        <f t="shared" si="38"/>
        <v>10210860</v>
      </c>
      <c r="G680" s="54"/>
      <c r="H680" s="55">
        <f t="shared" si="41"/>
        <v>10210860</v>
      </c>
    </row>
    <row r="681" spans="1:9" ht="16.2" customHeight="1" x14ac:dyDescent="0.35">
      <c r="A681" s="76" t="s">
        <v>1163</v>
      </c>
      <c r="B681" s="77">
        <v>46104</v>
      </c>
      <c r="C681" s="78" t="s">
        <v>1117</v>
      </c>
      <c r="D681" s="58">
        <v>11671100</v>
      </c>
      <c r="E681" s="58">
        <f t="shared" si="40"/>
        <v>933688</v>
      </c>
      <c r="F681" s="79">
        <f t="shared" si="38"/>
        <v>12604788</v>
      </c>
      <c r="G681" s="54">
        <v>12604788</v>
      </c>
      <c r="H681" s="55">
        <f t="shared" si="41"/>
        <v>0</v>
      </c>
      <c r="I681" s="65">
        <v>46135</v>
      </c>
    </row>
    <row r="682" spans="1:9" ht="16.2" customHeight="1" x14ac:dyDescent="0.35">
      <c r="A682" s="76" t="s">
        <v>3149</v>
      </c>
      <c r="B682" s="77">
        <v>46105</v>
      </c>
      <c r="C682" s="78" t="s">
        <v>1941</v>
      </c>
      <c r="D682" s="58">
        <v>376008</v>
      </c>
      <c r="E682" s="58">
        <f t="shared" si="40"/>
        <v>30080.639999999999</v>
      </c>
      <c r="F682" s="79">
        <f t="shared" si="38"/>
        <v>406088.64</v>
      </c>
      <c r="G682" s="54">
        <v>406088.64</v>
      </c>
      <c r="H682" s="55">
        <f t="shared" si="41"/>
        <v>0</v>
      </c>
      <c r="I682" s="65">
        <v>46135</v>
      </c>
    </row>
    <row r="683" spans="1:9" ht="16.2" customHeight="1" x14ac:dyDescent="0.35">
      <c r="A683" s="76" t="s">
        <v>3617</v>
      </c>
      <c r="B683" s="77">
        <v>46105</v>
      </c>
      <c r="C683" s="78" t="s">
        <v>3618</v>
      </c>
      <c r="D683" s="58">
        <v>7344900</v>
      </c>
      <c r="E683" s="58">
        <f t="shared" ref="E683" si="42">+D683*0.08</f>
        <v>587592</v>
      </c>
      <c r="F683" s="79">
        <f t="shared" ref="F683" si="43">+E683+D683</f>
        <v>7932492</v>
      </c>
      <c r="G683" s="54">
        <v>7932492</v>
      </c>
      <c r="H683" s="55">
        <f t="shared" ref="H683" si="44">+F683-G683</f>
        <v>0</v>
      </c>
      <c r="I683" s="65">
        <v>46135</v>
      </c>
    </row>
    <row r="684" spans="1:9" ht="16.2" customHeight="1" x14ac:dyDescent="0.35">
      <c r="A684" s="76" t="s">
        <v>972</v>
      </c>
      <c r="B684" s="77">
        <v>46106</v>
      </c>
      <c r="C684" s="78" t="s">
        <v>3433</v>
      </c>
      <c r="D684" s="58">
        <v>9752500</v>
      </c>
      <c r="E684" s="58">
        <f t="shared" si="40"/>
        <v>780200</v>
      </c>
      <c r="F684" s="79">
        <f t="shared" si="38"/>
        <v>10532700</v>
      </c>
      <c r="G684" s="54">
        <v>10532700</v>
      </c>
      <c r="H684" s="55">
        <f t="shared" si="41"/>
        <v>0</v>
      </c>
      <c r="I684" s="65">
        <v>46135</v>
      </c>
    </row>
    <row r="685" spans="1:9" ht="16.2" customHeight="1" x14ac:dyDescent="0.35">
      <c r="A685" s="76" t="s">
        <v>918</v>
      </c>
      <c r="B685" s="77">
        <v>46109</v>
      </c>
      <c r="C685" s="78" t="s">
        <v>1129</v>
      </c>
      <c r="D685" s="58">
        <v>4350200</v>
      </c>
      <c r="E685" s="58">
        <f t="shared" si="40"/>
        <v>348016</v>
      </c>
      <c r="F685" s="79">
        <f t="shared" si="38"/>
        <v>4698216</v>
      </c>
      <c r="G685" s="54">
        <v>4698216</v>
      </c>
      <c r="H685" s="55">
        <f t="shared" si="41"/>
        <v>0</v>
      </c>
      <c r="I685" s="65">
        <v>46196</v>
      </c>
    </row>
    <row r="686" spans="1:9" ht="16.2" customHeight="1" x14ac:dyDescent="0.35">
      <c r="A686" s="76" t="s">
        <v>1933</v>
      </c>
      <c r="B686" s="77">
        <v>46111</v>
      </c>
      <c r="C686" s="78" t="s">
        <v>3434</v>
      </c>
      <c r="D686" s="58">
        <v>91514646</v>
      </c>
      <c r="E686" s="58">
        <f t="shared" si="40"/>
        <v>7321171.6799999997</v>
      </c>
      <c r="F686" s="79">
        <f t="shared" si="38"/>
        <v>98835817.680000007</v>
      </c>
      <c r="G686" s="54">
        <v>98835817.680000007</v>
      </c>
      <c r="H686" s="55">
        <f t="shared" si="41"/>
        <v>0</v>
      </c>
    </row>
    <row r="687" spans="1:9" ht="16.2" customHeight="1" x14ac:dyDescent="0.35">
      <c r="A687" s="76" t="s">
        <v>957</v>
      </c>
      <c r="B687" s="77">
        <v>46112</v>
      </c>
      <c r="C687" s="78" t="s">
        <v>3435</v>
      </c>
      <c r="D687" s="58">
        <v>18512250</v>
      </c>
      <c r="E687" s="58">
        <f t="shared" si="40"/>
        <v>1480980</v>
      </c>
      <c r="F687" s="79">
        <f t="shared" si="38"/>
        <v>19993230</v>
      </c>
      <c r="G687" s="54">
        <v>19993230</v>
      </c>
      <c r="H687" s="55">
        <f t="shared" si="41"/>
        <v>0</v>
      </c>
      <c r="I687" s="65">
        <v>46254</v>
      </c>
    </row>
    <row r="688" spans="1:9" ht="16.2" customHeight="1" x14ac:dyDescent="0.35">
      <c r="A688" s="76" t="s">
        <v>1094</v>
      </c>
      <c r="B688" s="77">
        <v>46108</v>
      </c>
      <c r="C688" s="78" t="s">
        <v>1149</v>
      </c>
      <c r="D688" s="58">
        <v>40000</v>
      </c>
      <c r="E688" s="58">
        <f t="shared" si="40"/>
        <v>3200</v>
      </c>
      <c r="F688" s="79">
        <f t="shared" si="38"/>
        <v>43200</v>
      </c>
      <c r="G688" s="54">
        <v>43200</v>
      </c>
      <c r="H688" s="55">
        <f t="shared" si="41"/>
        <v>0</v>
      </c>
      <c r="I688" s="65">
        <v>46135</v>
      </c>
    </row>
    <row r="689" spans="1:9" ht="16.2" customHeight="1" x14ac:dyDescent="0.35">
      <c r="A689" s="76" t="s">
        <v>926</v>
      </c>
      <c r="B689" s="77">
        <v>46107</v>
      </c>
      <c r="C689" s="78" t="s">
        <v>1336</v>
      </c>
      <c r="D689" s="58">
        <v>2014000</v>
      </c>
      <c r="E689" s="58">
        <f t="shared" si="40"/>
        <v>161120</v>
      </c>
      <c r="F689" s="79">
        <f t="shared" si="38"/>
        <v>2175120</v>
      </c>
      <c r="G689" s="54">
        <v>2175120</v>
      </c>
      <c r="H689" s="55">
        <f t="shared" si="41"/>
        <v>0</v>
      </c>
      <c r="I689" s="65">
        <v>46135</v>
      </c>
    </row>
    <row r="690" spans="1:9" ht="16.2" customHeight="1" x14ac:dyDescent="0.35">
      <c r="A690" s="76" t="s">
        <v>1327</v>
      </c>
      <c r="B690" s="77">
        <v>46107</v>
      </c>
      <c r="C690" s="78" t="s">
        <v>3436</v>
      </c>
      <c r="D690" s="58">
        <v>1182700</v>
      </c>
      <c r="E690" s="58">
        <f t="shared" si="40"/>
        <v>94616</v>
      </c>
      <c r="F690" s="79">
        <f t="shared" si="38"/>
        <v>1277316</v>
      </c>
      <c r="G690" s="54">
        <v>1277316</v>
      </c>
      <c r="H690" s="55">
        <f t="shared" si="41"/>
        <v>0</v>
      </c>
      <c r="I690" s="65">
        <v>46135</v>
      </c>
    </row>
    <row r="691" spans="1:9" ht="16.2" customHeight="1" x14ac:dyDescent="0.35">
      <c r="A691" s="76" t="s">
        <v>1180</v>
      </c>
      <c r="B691" s="77">
        <v>46113</v>
      </c>
      <c r="C691" s="78" t="s">
        <v>1075</v>
      </c>
      <c r="D691" s="58">
        <v>2029100</v>
      </c>
      <c r="E691" s="58">
        <f t="shared" si="40"/>
        <v>162328</v>
      </c>
      <c r="F691" s="79">
        <f t="shared" si="38"/>
        <v>2191428</v>
      </c>
      <c r="G691" s="54">
        <v>2191428</v>
      </c>
      <c r="H691" s="55">
        <f t="shared" si="41"/>
        <v>0</v>
      </c>
      <c r="I691" s="65">
        <v>46170</v>
      </c>
    </row>
    <row r="692" spans="1:9" ht="16.2" customHeight="1" x14ac:dyDescent="0.35">
      <c r="A692" s="76" t="s">
        <v>1909</v>
      </c>
      <c r="B692" s="77">
        <v>46115</v>
      </c>
      <c r="C692" s="78" t="s">
        <v>3437</v>
      </c>
      <c r="D692" s="58">
        <v>67500</v>
      </c>
      <c r="E692" s="58">
        <f t="shared" si="40"/>
        <v>5400</v>
      </c>
      <c r="F692" s="79">
        <f t="shared" si="38"/>
        <v>72900</v>
      </c>
      <c r="G692" s="54">
        <v>72900</v>
      </c>
      <c r="H692" s="55">
        <f t="shared" si="41"/>
        <v>0</v>
      </c>
      <c r="I692" s="65">
        <v>46170</v>
      </c>
    </row>
    <row r="693" spans="1:9" ht="16.2" customHeight="1" x14ac:dyDescent="0.35">
      <c r="A693" s="76" t="s">
        <v>1909</v>
      </c>
      <c r="B693" s="77">
        <v>46115</v>
      </c>
      <c r="C693" s="78" t="s">
        <v>3438</v>
      </c>
      <c r="D693" s="58">
        <v>15377250</v>
      </c>
      <c r="E693" s="58">
        <f t="shared" si="40"/>
        <v>1230180</v>
      </c>
      <c r="F693" s="79">
        <f t="shared" si="38"/>
        <v>16607430</v>
      </c>
      <c r="G693" s="54">
        <v>16607430</v>
      </c>
      <c r="H693" s="55">
        <f t="shared" si="41"/>
        <v>0</v>
      </c>
      <c r="I693" s="65">
        <v>46170</v>
      </c>
    </row>
    <row r="694" spans="1:9" ht="16.2" customHeight="1" x14ac:dyDescent="0.35">
      <c r="A694" s="76" t="s">
        <v>955</v>
      </c>
      <c r="B694" s="77">
        <v>46115</v>
      </c>
      <c r="C694" s="78" t="s">
        <v>1099</v>
      </c>
      <c r="D694" s="58">
        <v>8540950</v>
      </c>
      <c r="E694" s="58">
        <f t="shared" si="40"/>
        <v>683276</v>
      </c>
      <c r="F694" s="79">
        <f t="shared" si="38"/>
        <v>9224226</v>
      </c>
      <c r="G694" s="54">
        <v>9224226</v>
      </c>
      <c r="H694" s="55">
        <f t="shared" si="41"/>
        <v>0</v>
      </c>
      <c r="I694" s="65">
        <v>46254</v>
      </c>
    </row>
    <row r="695" spans="1:9" ht="16.2" customHeight="1" x14ac:dyDescent="0.35">
      <c r="A695" s="76" t="s">
        <v>1282</v>
      </c>
      <c r="B695" s="77">
        <v>46119</v>
      </c>
      <c r="C695" s="78" t="s">
        <v>3505</v>
      </c>
      <c r="D695" s="58">
        <v>1040000</v>
      </c>
      <c r="E695" s="58">
        <f t="shared" si="40"/>
        <v>83200</v>
      </c>
      <c r="F695" s="79">
        <f t="shared" si="38"/>
        <v>1123200</v>
      </c>
      <c r="G695" s="54">
        <v>1123200</v>
      </c>
      <c r="H695" s="55">
        <f t="shared" si="41"/>
        <v>0</v>
      </c>
      <c r="I695" s="65">
        <v>46170</v>
      </c>
    </row>
    <row r="696" spans="1:9" ht="16.2" customHeight="1" x14ac:dyDescent="0.35">
      <c r="A696" s="76" t="s">
        <v>909</v>
      </c>
      <c r="B696" s="77">
        <v>46121</v>
      </c>
      <c r="C696" s="78" t="s">
        <v>3506</v>
      </c>
      <c r="D696" s="58">
        <v>3243450</v>
      </c>
      <c r="E696" s="58">
        <f t="shared" si="40"/>
        <v>259476</v>
      </c>
      <c r="F696" s="79">
        <f t="shared" si="38"/>
        <v>3502926</v>
      </c>
      <c r="G696" s="54">
        <v>3502926</v>
      </c>
      <c r="H696" s="55">
        <f t="shared" si="41"/>
        <v>0</v>
      </c>
      <c r="I696" s="65">
        <v>46210</v>
      </c>
    </row>
    <row r="697" spans="1:9" ht="16.2" customHeight="1" x14ac:dyDescent="0.35">
      <c r="A697" s="76" t="s">
        <v>911</v>
      </c>
      <c r="B697" s="77">
        <v>46121</v>
      </c>
      <c r="C697" s="78" t="s">
        <v>3507</v>
      </c>
      <c r="D697" s="58">
        <v>5633150</v>
      </c>
      <c r="E697" s="58">
        <f t="shared" si="40"/>
        <v>450652</v>
      </c>
      <c r="F697" s="79">
        <f t="shared" si="38"/>
        <v>6083802</v>
      </c>
      <c r="G697" s="54">
        <v>6083802</v>
      </c>
      <c r="H697" s="55">
        <f t="shared" si="41"/>
        <v>0</v>
      </c>
      <c r="I697" s="65">
        <v>46210</v>
      </c>
    </row>
    <row r="698" spans="1:9" ht="16.2" customHeight="1" x14ac:dyDescent="0.35">
      <c r="A698" s="76" t="s">
        <v>1931</v>
      </c>
      <c r="B698" s="77">
        <v>46125</v>
      </c>
      <c r="C698" s="78" t="s">
        <v>3508</v>
      </c>
      <c r="D698" s="58">
        <v>1084000</v>
      </c>
      <c r="E698" s="58">
        <f t="shared" si="40"/>
        <v>86720</v>
      </c>
      <c r="F698" s="79">
        <f t="shared" si="38"/>
        <v>1170720</v>
      </c>
      <c r="G698" s="54">
        <v>1170720</v>
      </c>
      <c r="H698" s="55">
        <f t="shared" si="41"/>
        <v>0</v>
      </c>
      <c r="I698" s="65">
        <v>46196</v>
      </c>
    </row>
    <row r="699" spans="1:9" ht="16.2" customHeight="1" x14ac:dyDescent="0.35">
      <c r="A699" s="76" t="s">
        <v>1247</v>
      </c>
      <c r="B699" s="77">
        <v>46133</v>
      </c>
      <c r="C699" s="78" t="s">
        <v>3510</v>
      </c>
      <c r="D699" s="58">
        <v>902700</v>
      </c>
      <c r="E699" s="58">
        <f t="shared" si="40"/>
        <v>72216</v>
      </c>
      <c r="F699" s="79">
        <f t="shared" si="38"/>
        <v>974916</v>
      </c>
      <c r="G699" s="54">
        <v>974916</v>
      </c>
      <c r="H699" s="55">
        <f t="shared" si="41"/>
        <v>0</v>
      </c>
      <c r="I699" s="65">
        <v>46210</v>
      </c>
    </row>
    <row r="700" spans="1:9" ht="16.2" customHeight="1" x14ac:dyDescent="0.35">
      <c r="A700" s="76" t="s">
        <v>974</v>
      </c>
      <c r="B700" s="77">
        <v>46162</v>
      </c>
      <c r="C700" s="78" t="s">
        <v>3580</v>
      </c>
      <c r="D700" s="58">
        <v>325400</v>
      </c>
      <c r="E700" s="58">
        <f t="shared" si="40"/>
        <v>26032</v>
      </c>
      <c r="F700" s="79">
        <f t="shared" si="38"/>
        <v>351432</v>
      </c>
      <c r="G700" s="54">
        <v>351432</v>
      </c>
      <c r="H700" s="55">
        <f t="shared" si="41"/>
        <v>0</v>
      </c>
      <c r="I700" s="65">
        <v>46210</v>
      </c>
    </row>
    <row r="701" spans="1:9" ht="16.2" customHeight="1" x14ac:dyDescent="0.35">
      <c r="A701" s="76" t="s">
        <v>1011</v>
      </c>
      <c r="B701" s="77">
        <v>46119</v>
      </c>
      <c r="C701" s="78" t="s">
        <v>1122</v>
      </c>
      <c r="D701" s="58">
        <v>1140000</v>
      </c>
      <c r="E701" s="58">
        <f t="shared" si="40"/>
        <v>91200</v>
      </c>
      <c r="F701" s="79">
        <f t="shared" si="38"/>
        <v>1231200</v>
      </c>
      <c r="G701" s="54">
        <v>1231200</v>
      </c>
      <c r="H701" s="55">
        <f t="shared" si="41"/>
        <v>0</v>
      </c>
      <c r="I701" s="65">
        <v>46170</v>
      </c>
    </row>
    <row r="702" spans="1:9" ht="16.2" customHeight="1" x14ac:dyDescent="0.35">
      <c r="A702" s="76" t="s">
        <v>972</v>
      </c>
      <c r="B702" s="77">
        <v>46134</v>
      </c>
      <c r="C702" s="78" t="s">
        <v>1312</v>
      </c>
      <c r="D702" s="58">
        <v>201000</v>
      </c>
      <c r="E702" s="58">
        <f t="shared" si="40"/>
        <v>16080</v>
      </c>
      <c r="F702" s="79">
        <f t="shared" si="38"/>
        <v>217080</v>
      </c>
      <c r="G702" s="54">
        <v>217080</v>
      </c>
      <c r="H702" s="55"/>
      <c r="I702" s="65">
        <v>46170</v>
      </c>
    </row>
    <row r="703" spans="1:9" ht="16.2" customHeight="1" x14ac:dyDescent="0.35">
      <c r="A703" s="76" t="s">
        <v>1158</v>
      </c>
      <c r="B703" s="77">
        <v>46235</v>
      </c>
      <c r="C703" s="78" t="s">
        <v>3824</v>
      </c>
      <c r="D703" s="58">
        <v>1995200</v>
      </c>
      <c r="E703" s="58">
        <f t="shared" si="40"/>
        <v>159616</v>
      </c>
      <c r="F703" s="79">
        <f t="shared" si="38"/>
        <v>2154816</v>
      </c>
      <c r="G703" s="54">
        <v>2154816</v>
      </c>
      <c r="H703" s="55">
        <f t="shared" si="41"/>
        <v>0</v>
      </c>
      <c r="I703" s="65">
        <v>46254</v>
      </c>
    </row>
    <row r="704" spans="1:9" ht="16.2" customHeight="1" x14ac:dyDescent="0.35">
      <c r="A704" s="76" t="s">
        <v>895</v>
      </c>
      <c r="B704" s="77">
        <v>46245</v>
      </c>
      <c r="C704" s="78" t="s">
        <v>1187</v>
      </c>
      <c r="D704" s="58">
        <v>466650</v>
      </c>
      <c r="E704" s="58">
        <f t="shared" si="40"/>
        <v>37332</v>
      </c>
      <c r="F704" s="79">
        <f t="shared" si="38"/>
        <v>503982</v>
      </c>
      <c r="G704" s="54"/>
      <c r="H704" s="55">
        <f t="shared" si="41"/>
        <v>503982</v>
      </c>
    </row>
    <row r="705" spans="1:9" ht="16.2" customHeight="1" x14ac:dyDescent="0.35">
      <c r="A705" s="76" t="s">
        <v>2137</v>
      </c>
      <c r="B705" s="77">
        <v>46237</v>
      </c>
      <c r="C705" s="78" t="s">
        <v>3877</v>
      </c>
      <c r="D705" s="58">
        <v>2830000</v>
      </c>
      <c r="E705" s="58">
        <f t="shared" si="40"/>
        <v>226400</v>
      </c>
      <c r="F705" s="79">
        <f t="shared" si="38"/>
        <v>3056400</v>
      </c>
      <c r="G705" s="54"/>
      <c r="H705" s="55">
        <f t="shared" si="41"/>
        <v>3056400</v>
      </c>
    </row>
    <row r="706" spans="1:9" ht="16.2" customHeight="1" x14ac:dyDescent="0.35">
      <c r="A706" s="76" t="s">
        <v>3403</v>
      </c>
      <c r="B706" s="77">
        <v>46252</v>
      </c>
      <c r="C706" s="78" t="s">
        <v>915</v>
      </c>
      <c r="D706" s="58">
        <v>93600</v>
      </c>
      <c r="E706" s="58">
        <f t="shared" si="40"/>
        <v>7488</v>
      </c>
      <c r="F706" s="79">
        <f t="shared" si="38"/>
        <v>101088</v>
      </c>
      <c r="G706" s="54"/>
      <c r="H706" s="55">
        <f t="shared" si="41"/>
        <v>101088</v>
      </c>
    </row>
    <row r="707" spans="1:9" ht="16.2" customHeight="1" x14ac:dyDescent="0.35">
      <c r="A707" s="76" t="s">
        <v>1042</v>
      </c>
      <c r="B707" s="77">
        <v>46091</v>
      </c>
      <c r="C707" s="78" t="s">
        <v>3425</v>
      </c>
      <c r="D707" s="58">
        <v>790000</v>
      </c>
      <c r="E707" s="58">
        <f t="shared" si="40"/>
        <v>63200</v>
      </c>
      <c r="F707" s="79">
        <f t="shared" si="38"/>
        <v>853200</v>
      </c>
      <c r="G707" s="54">
        <v>853200</v>
      </c>
      <c r="H707" s="55">
        <f t="shared" si="41"/>
        <v>0</v>
      </c>
      <c r="I707" s="65">
        <v>46254</v>
      </c>
    </row>
    <row r="708" spans="1:9" ht="16.2" customHeight="1" x14ac:dyDescent="0.35">
      <c r="A708" s="76" t="s">
        <v>2010</v>
      </c>
      <c r="B708" s="77">
        <v>46154</v>
      </c>
      <c r="C708" s="78" t="s">
        <v>3883</v>
      </c>
      <c r="D708" s="58">
        <v>251750</v>
      </c>
      <c r="E708" s="58">
        <f t="shared" si="40"/>
        <v>20140</v>
      </c>
      <c r="F708" s="79">
        <f t="shared" si="38"/>
        <v>271890</v>
      </c>
      <c r="G708" s="54">
        <v>271890</v>
      </c>
      <c r="H708" s="55">
        <f t="shared" si="41"/>
        <v>0</v>
      </c>
      <c r="I708" s="65">
        <v>46254</v>
      </c>
    </row>
    <row r="709" spans="1:9" ht="16.2" customHeight="1" x14ac:dyDescent="0.35">
      <c r="A709" s="76"/>
      <c r="B709" s="77"/>
      <c r="C709" s="78"/>
      <c r="D709" s="58"/>
      <c r="E709" s="58"/>
      <c r="F709" s="79"/>
      <c r="G709" s="54"/>
      <c r="H709" s="55">
        <f t="shared" si="41"/>
        <v>0</v>
      </c>
    </row>
    <row r="710" spans="1:9" ht="16.2" customHeight="1" x14ac:dyDescent="0.35">
      <c r="A710" s="76"/>
      <c r="B710" s="77"/>
      <c r="C710" s="78"/>
      <c r="D710" s="58"/>
      <c r="E710" s="58"/>
      <c r="F710" s="79"/>
      <c r="G710" s="54"/>
      <c r="H710" s="55"/>
    </row>
    <row r="711" spans="1:9" ht="16.2" customHeight="1" x14ac:dyDescent="0.35">
      <c r="A711" s="76"/>
      <c r="B711" s="77"/>
      <c r="C711" s="78"/>
      <c r="D711" s="58"/>
      <c r="E711" s="58"/>
      <c r="F711" s="79"/>
      <c r="G711" s="54"/>
      <c r="H711" s="55"/>
    </row>
    <row r="712" spans="1:9" ht="16.2" customHeight="1" x14ac:dyDescent="0.35">
      <c r="A712" s="76"/>
      <c r="B712" s="77"/>
      <c r="C712" s="78"/>
      <c r="D712" s="58"/>
      <c r="E712" s="58"/>
      <c r="F712" s="79"/>
      <c r="G712" s="54"/>
      <c r="H712" s="55"/>
    </row>
    <row r="713" spans="1:9" ht="16.2" customHeight="1" x14ac:dyDescent="0.35">
      <c r="A713" s="76"/>
      <c r="B713" s="77"/>
      <c r="C713" s="78"/>
      <c r="D713" s="58"/>
      <c r="E713" s="58"/>
      <c r="F713" s="79"/>
      <c r="G713" s="54"/>
      <c r="H713" s="55"/>
    </row>
    <row r="714" spans="1:9" ht="16.2" customHeight="1" x14ac:dyDescent="0.35">
      <c r="A714" s="76"/>
      <c r="B714" s="77"/>
      <c r="C714" s="78"/>
      <c r="D714" s="58"/>
      <c r="E714" s="58"/>
      <c r="F714" s="79"/>
      <c r="G714" s="54"/>
      <c r="H714" s="55"/>
    </row>
    <row r="715" spans="1:9" ht="16.2" customHeight="1" x14ac:dyDescent="0.35">
      <c r="A715" s="76"/>
      <c r="B715" s="77"/>
      <c r="C715" s="78"/>
      <c r="D715" s="58"/>
      <c r="E715" s="58"/>
      <c r="F715" s="79"/>
      <c r="G715" s="54"/>
      <c r="H715" s="55"/>
    </row>
    <row r="716" spans="1:9" ht="16.2" customHeight="1" x14ac:dyDescent="0.35">
      <c r="A716" s="76"/>
      <c r="B716" s="77"/>
      <c r="C716" s="78"/>
      <c r="D716" s="58"/>
      <c r="E716" s="58"/>
      <c r="F716" s="79"/>
      <c r="G716" s="54"/>
      <c r="H716" s="55"/>
    </row>
    <row r="717" spans="1:9" ht="16.2" customHeight="1" x14ac:dyDescent="0.35">
      <c r="A717" s="76"/>
      <c r="B717" s="77"/>
      <c r="C717" s="78"/>
      <c r="D717" s="58"/>
      <c r="E717" s="58"/>
      <c r="F717" s="79"/>
      <c r="G717" s="54"/>
      <c r="H717" s="55"/>
    </row>
    <row r="718" spans="1:9" ht="16.2" customHeight="1" x14ac:dyDescent="0.35">
      <c r="A718" s="76"/>
      <c r="B718" s="77"/>
      <c r="C718" s="78"/>
      <c r="D718" s="58"/>
      <c r="E718" s="58"/>
      <c r="F718" s="79"/>
      <c r="G718" s="54"/>
      <c r="H718" s="55"/>
    </row>
    <row r="719" spans="1:9" ht="16.2" customHeight="1" x14ac:dyDescent="0.35">
      <c r="A719" s="76"/>
      <c r="B719" s="77"/>
      <c r="C719" s="78"/>
      <c r="D719" s="58"/>
      <c r="E719" s="58"/>
      <c r="F719" s="79"/>
      <c r="G719" s="54"/>
      <c r="H719" s="55"/>
    </row>
    <row r="720" spans="1:9" ht="16.2" customHeight="1" x14ac:dyDescent="0.35">
      <c r="A720" s="76"/>
      <c r="B720" s="77"/>
      <c r="C720" s="78"/>
      <c r="D720" s="58"/>
      <c r="E720" s="58"/>
      <c r="F720" s="79"/>
      <c r="G720" s="54"/>
      <c r="H720" s="55"/>
    </row>
    <row r="721" spans="1:8" ht="16.2" customHeight="1" x14ac:dyDescent="0.35">
      <c r="A721" s="76"/>
      <c r="B721" s="77"/>
      <c r="C721" s="78"/>
      <c r="D721" s="58"/>
      <c r="E721" s="58"/>
      <c r="F721" s="79"/>
      <c r="G721" s="54"/>
      <c r="H721" s="55"/>
    </row>
    <row r="722" spans="1:8" ht="16.2" customHeight="1" x14ac:dyDescent="0.35">
      <c r="A722" s="76"/>
      <c r="B722" s="77"/>
      <c r="C722" s="78"/>
      <c r="D722" s="58"/>
      <c r="E722" s="58"/>
      <c r="F722" s="79"/>
      <c r="G722" s="54"/>
      <c r="H722" s="55"/>
    </row>
    <row r="723" spans="1:8" ht="16.2" customHeight="1" x14ac:dyDescent="0.35">
      <c r="A723" s="76"/>
      <c r="B723" s="77"/>
      <c r="C723" s="78"/>
      <c r="D723" s="58"/>
      <c r="E723" s="58"/>
      <c r="F723" s="79"/>
      <c r="G723" s="54"/>
      <c r="H723" s="55"/>
    </row>
    <row r="724" spans="1:8" ht="16.2" customHeight="1" x14ac:dyDescent="0.35">
      <c r="A724" s="76"/>
      <c r="B724" s="77"/>
      <c r="C724" s="78"/>
      <c r="D724" s="58"/>
      <c r="E724" s="58"/>
      <c r="F724" s="79"/>
      <c r="G724" s="54"/>
      <c r="H724" s="55"/>
    </row>
    <row r="725" spans="1:8" ht="16.2" customHeight="1" x14ac:dyDescent="0.35">
      <c r="A725" s="76"/>
      <c r="B725" s="77"/>
      <c r="C725" s="78"/>
      <c r="D725" s="58"/>
      <c r="E725" s="58"/>
      <c r="F725" s="79"/>
      <c r="G725" s="54"/>
      <c r="H725" s="55"/>
    </row>
    <row r="726" spans="1:8" ht="16.2" customHeight="1" x14ac:dyDescent="0.35">
      <c r="A726" s="76"/>
      <c r="B726" s="77"/>
      <c r="C726" s="78"/>
      <c r="D726" s="58"/>
      <c r="E726" s="58"/>
      <c r="F726" s="79"/>
      <c r="G726" s="54"/>
      <c r="H726" s="55"/>
    </row>
    <row r="727" spans="1:8" ht="16.2" customHeight="1" x14ac:dyDescent="0.35">
      <c r="A727" s="76"/>
      <c r="B727" s="77"/>
      <c r="C727" s="78"/>
      <c r="D727" s="58"/>
      <c r="E727" s="58"/>
      <c r="F727" s="79"/>
      <c r="G727" s="54"/>
      <c r="H727" s="55"/>
    </row>
    <row r="728" spans="1:8" ht="16.2" customHeight="1" x14ac:dyDescent="0.35">
      <c r="A728" s="76"/>
      <c r="B728" s="77"/>
      <c r="C728" s="78"/>
      <c r="D728" s="58"/>
      <c r="E728" s="58"/>
      <c r="F728" s="79"/>
      <c r="G728" s="54"/>
      <c r="H728" s="55"/>
    </row>
    <row r="729" spans="1:8" ht="16.2" customHeight="1" x14ac:dyDescent="0.35">
      <c r="A729" s="76"/>
      <c r="B729" s="77"/>
      <c r="C729" s="78"/>
      <c r="D729" s="58"/>
      <c r="E729" s="58"/>
      <c r="F729" s="79"/>
      <c r="G729" s="54"/>
      <c r="H729" s="55"/>
    </row>
    <row r="730" spans="1:8" ht="16.2" customHeight="1" x14ac:dyDescent="0.35">
      <c r="A730" s="76"/>
      <c r="B730" s="77"/>
      <c r="C730" s="78"/>
      <c r="D730" s="58"/>
      <c r="E730" s="58"/>
      <c r="F730" s="79"/>
      <c r="G730" s="54"/>
      <c r="H730" s="55"/>
    </row>
    <row r="731" spans="1:8" ht="16.2" customHeight="1" x14ac:dyDescent="0.35">
      <c r="A731" s="76"/>
      <c r="B731" s="77"/>
      <c r="C731" s="78"/>
      <c r="D731" s="58"/>
      <c r="E731" s="58"/>
      <c r="F731" s="79"/>
      <c r="G731" s="54"/>
      <c r="H731" s="55"/>
    </row>
    <row r="732" spans="1:8" ht="16.2" customHeight="1" x14ac:dyDescent="0.35">
      <c r="A732" s="76"/>
      <c r="B732" s="77"/>
      <c r="C732" s="78"/>
      <c r="D732" s="58"/>
      <c r="E732" s="58"/>
      <c r="F732" s="79"/>
      <c r="G732" s="54"/>
      <c r="H732" s="55"/>
    </row>
    <row r="733" spans="1:8" ht="16.2" customHeight="1" x14ac:dyDescent="0.35">
      <c r="A733" s="76"/>
      <c r="B733" s="77"/>
      <c r="C733" s="78"/>
      <c r="D733" s="58"/>
      <c r="E733" s="58"/>
      <c r="F733" s="79"/>
      <c r="G733" s="54"/>
      <c r="H733" s="55"/>
    </row>
    <row r="734" spans="1:8" ht="16.2" customHeight="1" x14ac:dyDescent="0.35">
      <c r="A734" s="76"/>
      <c r="B734" s="77"/>
      <c r="C734" s="78"/>
      <c r="D734" s="58"/>
      <c r="E734" s="58"/>
      <c r="F734" s="79"/>
      <c r="G734" s="54"/>
      <c r="H734" s="55"/>
    </row>
    <row r="735" spans="1:8" ht="15.75" customHeight="1" x14ac:dyDescent="0.3"/>
    <row r="736" spans="1:8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</sheetData>
  <autoFilter ref="A9:XEA709" xr:uid="{00000000-0009-0000-0000-000010000000}"/>
  <mergeCells count="5">
    <mergeCell ref="A2:H2"/>
    <mergeCell ref="A3:H3"/>
    <mergeCell ref="D5:H5"/>
    <mergeCell ref="A7:C7"/>
    <mergeCell ref="A8:B8"/>
  </mergeCells>
  <conditionalFormatting sqref="C192:C251 C253:C383">
    <cfRule type="duplicateValues" dxfId="60" priority="62"/>
  </conditionalFormatting>
  <conditionalFormatting sqref="C252">
    <cfRule type="duplicateValues" dxfId="59" priority="59"/>
  </conditionalFormatting>
  <conditionalFormatting sqref="C384:C386">
    <cfRule type="duplicateValues" dxfId="58" priority="61"/>
    <cfRule type="duplicateValues" dxfId="57" priority="60"/>
  </conditionalFormatting>
  <conditionalFormatting sqref="C387:C403">
    <cfRule type="duplicateValues" dxfId="56" priority="57"/>
    <cfRule type="duplicateValues" dxfId="55" priority="58"/>
  </conditionalFormatting>
  <conditionalFormatting sqref="C404:C440">
    <cfRule type="duplicateValues" dxfId="54" priority="56"/>
    <cfRule type="duplicateValues" dxfId="53" priority="55"/>
  </conditionalFormatting>
  <conditionalFormatting sqref="C441:C451">
    <cfRule type="duplicateValues" dxfId="52" priority="54"/>
    <cfRule type="duplicateValues" dxfId="51" priority="53"/>
  </conditionalFormatting>
  <conditionalFormatting sqref="C452:C462">
    <cfRule type="duplicateValues" dxfId="50" priority="51"/>
    <cfRule type="duplicateValues" dxfId="49" priority="52"/>
  </conditionalFormatting>
  <conditionalFormatting sqref="C463:C473">
    <cfRule type="duplicateValues" dxfId="48" priority="50"/>
    <cfRule type="duplicateValues" dxfId="47" priority="49"/>
  </conditionalFormatting>
  <conditionalFormatting sqref="C474:C484">
    <cfRule type="duplicateValues" dxfId="46" priority="48"/>
    <cfRule type="duplicateValues" dxfId="45" priority="47"/>
  </conditionalFormatting>
  <conditionalFormatting sqref="C485:C487">
    <cfRule type="duplicateValues" dxfId="44" priority="46"/>
    <cfRule type="duplicateValues" dxfId="43" priority="45"/>
  </conditionalFormatting>
  <conditionalFormatting sqref="C488:C490">
    <cfRule type="duplicateValues" dxfId="42" priority="44"/>
    <cfRule type="duplicateValues" dxfId="41" priority="43"/>
  </conditionalFormatting>
  <conditionalFormatting sqref="C491:C493">
    <cfRule type="duplicateValues" dxfId="40" priority="42"/>
    <cfRule type="duplicateValues" dxfId="39" priority="41"/>
  </conditionalFormatting>
  <conditionalFormatting sqref="C494:C496">
    <cfRule type="duplicateValues" dxfId="38" priority="40"/>
    <cfRule type="duplicateValues" dxfId="37" priority="39"/>
  </conditionalFormatting>
  <conditionalFormatting sqref="C497:C499">
    <cfRule type="duplicateValues" dxfId="36" priority="38"/>
    <cfRule type="duplicateValues" dxfId="35" priority="37"/>
  </conditionalFormatting>
  <conditionalFormatting sqref="C500:C502">
    <cfRule type="duplicateValues" dxfId="34" priority="35"/>
    <cfRule type="duplicateValues" dxfId="33" priority="36"/>
  </conditionalFormatting>
  <conditionalFormatting sqref="C503:C505">
    <cfRule type="duplicateValues" dxfId="32" priority="34"/>
    <cfRule type="duplicateValues" dxfId="31" priority="33"/>
  </conditionalFormatting>
  <conditionalFormatting sqref="C506:C508">
    <cfRule type="duplicateValues" dxfId="30" priority="32"/>
    <cfRule type="duplicateValues" dxfId="29" priority="31"/>
  </conditionalFormatting>
  <conditionalFormatting sqref="C509:C511">
    <cfRule type="duplicateValues" dxfId="28" priority="30"/>
    <cfRule type="duplicateValues" dxfId="27" priority="29"/>
  </conditionalFormatting>
  <conditionalFormatting sqref="C512:C514">
    <cfRule type="duplicateValues" dxfId="26" priority="28"/>
    <cfRule type="duplicateValues" dxfId="25" priority="27"/>
  </conditionalFormatting>
  <conditionalFormatting sqref="C515:C516">
    <cfRule type="duplicateValues" dxfId="24" priority="293"/>
    <cfRule type="duplicateValues" dxfId="23" priority="292"/>
  </conditionalFormatting>
  <conditionalFormatting sqref="C517:C519">
    <cfRule type="duplicateValues" dxfId="22" priority="24"/>
    <cfRule type="duplicateValues" dxfId="21" priority="23"/>
  </conditionalFormatting>
  <conditionalFormatting sqref="C520:C522">
    <cfRule type="duplicateValues" dxfId="20" priority="22"/>
    <cfRule type="duplicateValues" dxfId="19" priority="21"/>
  </conditionalFormatting>
  <conditionalFormatting sqref="C523:C525">
    <cfRule type="duplicateValues" dxfId="18" priority="20"/>
    <cfRule type="duplicateValues" dxfId="17" priority="19"/>
  </conditionalFormatting>
  <conditionalFormatting sqref="C526:C528">
    <cfRule type="duplicateValues" dxfId="16" priority="18"/>
    <cfRule type="duplicateValues" dxfId="15" priority="17"/>
  </conditionalFormatting>
  <conditionalFormatting sqref="C529:C531">
    <cfRule type="duplicateValues" dxfId="14" priority="16"/>
    <cfRule type="duplicateValues" dxfId="13" priority="15"/>
  </conditionalFormatting>
  <conditionalFormatting sqref="C532:C534">
    <cfRule type="duplicateValues" dxfId="12" priority="14"/>
    <cfRule type="duplicateValues" dxfId="11" priority="13"/>
  </conditionalFormatting>
  <conditionalFormatting sqref="C535:C556">
    <cfRule type="duplicateValues" dxfId="10" priority="10"/>
    <cfRule type="duplicateValues" dxfId="9" priority="9"/>
  </conditionalFormatting>
  <conditionalFormatting sqref="C557:C637">
    <cfRule type="duplicateValues" dxfId="8" priority="8"/>
    <cfRule type="duplicateValues" dxfId="7" priority="7"/>
  </conditionalFormatting>
  <conditionalFormatting sqref="C638:C650">
    <cfRule type="duplicateValues" dxfId="6" priority="6"/>
    <cfRule type="duplicateValues" dxfId="5" priority="5"/>
  </conditionalFormatting>
  <conditionalFormatting sqref="C651:C659">
    <cfRule type="duplicateValues" dxfId="4" priority="3"/>
    <cfRule type="duplicateValues" dxfId="3" priority="4"/>
  </conditionalFormatting>
  <conditionalFormatting sqref="C660:C734">
    <cfRule type="duplicateValues" dxfId="2" priority="2"/>
    <cfRule type="duplicateValues" dxfId="1" priority="1"/>
  </conditionalFormatting>
  <conditionalFormatting sqref="C735:C1048576 C376:C383 C1:C191">
    <cfRule type="duplicateValues" dxfId="0" priority="63"/>
  </conditionalFormatting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HOA DON TRA LAI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2026-08-21T02:22:54Z</dcterms:modified>
</cp:coreProperties>
</file>