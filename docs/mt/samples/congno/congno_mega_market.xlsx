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8BF9DC3-D841-49EC-82C9-B1EBBD36C62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0.2020" sheetId="2" r:id="rId1"/>
    <sheet name="Sheet1" sheetId="1" r:id="rId2"/>
  </sheets>
  <definedNames>
    <definedName name="_xlnm._FilterDatabase" localSheetId="0" hidden="1">'10.2020'!$A$7:$Z$357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0" i="2" l="1"/>
  <c r="Q343" i="2"/>
  <c r="J385" i="2"/>
  <c r="J386" i="2"/>
  <c r="G381" i="2"/>
  <c r="J381" i="2" s="1"/>
  <c r="G382" i="2"/>
  <c r="J382" i="2" s="1"/>
  <c r="G383" i="2"/>
  <c r="J383" i="2" s="1"/>
  <c r="G384" i="2"/>
  <c r="J384" i="2" s="1"/>
  <c r="G385" i="2"/>
  <c r="F382" i="2"/>
  <c r="F383" i="2"/>
  <c r="F384" i="2"/>
  <c r="F385" i="2"/>
  <c r="G366" i="2"/>
  <c r="J366" i="2" s="1"/>
  <c r="G367" i="2"/>
  <c r="J367" i="2" s="1"/>
  <c r="G368" i="2"/>
  <c r="J368" i="2" s="1"/>
  <c r="G369" i="2"/>
  <c r="J369" i="2" s="1"/>
  <c r="G370" i="2"/>
  <c r="J370" i="2" s="1"/>
  <c r="G371" i="2"/>
  <c r="J371" i="2" s="1"/>
  <c r="G372" i="2"/>
  <c r="J372" i="2" s="1"/>
  <c r="G373" i="2"/>
  <c r="J373" i="2" s="1"/>
  <c r="G374" i="2"/>
  <c r="J374" i="2" s="1"/>
  <c r="G375" i="2"/>
  <c r="J375" i="2" s="1"/>
  <c r="G376" i="2"/>
  <c r="J376" i="2" s="1"/>
  <c r="G377" i="2"/>
  <c r="J377" i="2" s="1"/>
  <c r="G378" i="2"/>
  <c r="J378" i="2" s="1"/>
  <c r="G379" i="2"/>
  <c r="J379" i="2" s="1"/>
  <c r="G380" i="2"/>
  <c r="J380" i="2" s="1"/>
  <c r="F364" i="2"/>
  <c r="G364" i="2" s="1"/>
  <c r="J364" i="2" s="1"/>
  <c r="F365" i="2"/>
  <c r="G365" i="2" s="1"/>
  <c r="J365" i="2" s="1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G360" i="2"/>
  <c r="J360" i="2" s="1"/>
  <c r="G363" i="2"/>
  <c r="J363" i="2" s="1"/>
  <c r="F334" i="2"/>
  <c r="G334" i="2" s="1"/>
  <c r="J334" i="2" s="1"/>
  <c r="F335" i="2"/>
  <c r="F336" i="2"/>
  <c r="F337" i="2"/>
  <c r="F338" i="2"/>
  <c r="F339" i="2"/>
  <c r="F340" i="2"/>
  <c r="F341" i="2"/>
  <c r="G341" i="2" s="1"/>
  <c r="J341" i="2" s="1"/>
  <c r="F342" i="2"/>
  <c r="G342" i="2" s="1"/>
  <c r="J342" i="2" s="1"/>
  <c r="F343" i="2"/>
  <c r="G343" i="2" s="1"/>
  <c r="J343" i="2" s="1"/>
  <c r="F344" i="2"/>
  <c r="G344" i="2" s="1"/>
  <c r="J344" i="2" s="1"/>
  <c r="F345" i="2"/>
  <c r="G345" i="2" s="1"/>
  <c r="J345" i="2" s="1"/>
  <c r="F346" i="2"/>
  <c r="G346" i="2" s="1"/>
  <c r="J346" i="2" s="1"/>
  <c r="F347" i="2"/>
  <c r="G347" i="2" s="1"/>
  <c r="J347" i="2" s="1"/>
  <c r="F348" i="2"/>
  <c r="G348" i="2" s="1"/>
  <c r="J348" i="2" s="1"/>
  <c r="F349" i="2"/>
  <c r="G349" i="2" s="1"/>
  <c r="J349" i="2" s="1"/>
  <c r="F350" i="2"/>
  <c r="G350" i="2" s="1"/>
  <c r="J350" i="2" s="1"/>
  <c r="F351" i="2"/>
  <c r="G351" i="2" s="1"/>
  <c r="J351" i="2" s="1"/>
  <c r="F352" i="2"/>
  <c r="G352" i="2" s="1"/>
  <c r="J352" i="2" s="1"/>
  <c r="F353" i="2"/>
  <c r="G353" i="2" s="1"/>
  <c r="J353" i="2" s="1"/>
  <c r="F354" i="2"/>
  <c r="G354" i="2" s="1"/>
  <c r="J354" i="2" s="1"/>
  <c r="F355" i="2"/>
  <c r="G355" i="2" s="1"/>
  <c r="J355" i="2" s="1"/>
  <c r="F356" i="2"/>
  <c r="G356" i="2" s="1"/>
  <c r="J356" i="2" s="1"/>
  <c r="F357" i="2"/>
  <c r="G357" i="2" s="1"/>
  <c r="J357" i="2" s="1"/>
  <c r="F358" i="2"/>
  <c r="G358" i="2" s="1"/>
  <c r="J358" i="2" s="1"/>
  <c r="F359" i="2"/>
  <c r="G359" i="2" s="1"/>
  <c r="J359" i="2" s="1"/>
  <c r="F360" i="2"/>
  <c r="F361" i="2"/>
  <c r="G361" i="2" s="1"/>
  <c r="J361" i="2" s="1"/>
  <c r="F362" i="2"/>
  <c r="G362" i="2" s="1"/>
  <c r="J362" i="2" s="1"/>
  <c r="F363" i="2"/>
  <c r="F206" i="2"/>
  <c r="G206" i="2" s="1"/>
  <c r="J206" i="2" s="1"/>
  <c r="F207" i="2"/>
  <c r="G207" i="2" s="1"/>
  <c r="J207" i="2" s="1"/>
  <c r="F208" i="2"/>
  <c r="G208" i="2" s="1"/>
  <c r="J208" i="2" s="1"/>
  <c r="F209" i="2"/>
  <c r="G209" i="2" s="1"/>
  <c r="J209" i="2" s="1"/>
  <c r="F210" i="2"/>
  <c r="G210" i="2" s="1"/>
  <c r="J210" i="2" s="1"/>
  <c r="F211" i="2"/>
  <c r="G211" i="2" s="1"/>
  <c r="J211" i="2" s="1"/>
  <c r="F212" i="2"/>
  <c r="G212" i="2" s="1"/>
  <c r="J212" i="2" s="1"/>
  <c r="F213" i="2"/>
  <c r="G213" i="2" s="1"/>
  <c r="J213" i="2" s="1"/>
  <c r="F214" i="2"/>
  <c r="G214" i="2" s="1"/>
  <c r="J214" i="2" s="1"/>
  <c r="F215" i="2"/>
  <c r="G215" i="2" s="1"/>
  <c r="J215" i="2" s="1"/>
  <c r="F216" i="2"/>
  <c r="G216" i="2" s="1"/>
  <c r="J216" i="2" s="1"/>
  <c r="F217" i="2"/>
  <c r="G217" i="2" s="1"/>
  <c r="J217" i="2" s="1"/>
  <c r="F218" i="2"/>
  <c r="G218" i="2" s="1"/>
  <c r="J218" i="2" s="1"/>
  <c r="F219" i="2"/>
  <c r="G219" i="2" s="1"/>
  <c r="J219" i="2" s="1"/>
  <c r="F220" i="2"/>
  <c r="G220" i="2" s="1"/>
  <c r="J220" i="2" s="1"/>
  <c r="F221" i="2"/>
  <c r="G221" i="2" s="1"/>
  <c r="J221" i="2" s="1"/>
  <c r="F222" i="2"/>
  <c r="G222" i="2" s="1"/>
  <c r="J222" i="2" s="1"/>
  <c r="F223" i="2"/>
  <c r="G223" i="2" s="1"/>
  <c r="J223" i="2" s="1"/>
  <c r="F224" i="2"/>
  <c r="G224" i="2" s="1"/>
  <c r="J224" i="2" s="1"/>
  <c r="F225" i="2"/>
  <c r="G225" i="2" s="1"/>
  <c r="J225" i="2" s="1"/>
  <c r="F226" i="2"/>
  <c r="G226" i="2" s="1"/>
  <c r="J226" i="2" s="1"/>
  <c r="F227" i="2"/>
  <c r="G227" i="2" s="1"/>
  <c r="J227" i="2" s="1"/>
  <c r="F228" i="2"/>
  <c r="G228" i="2" s="1"/>
  <c r="J228" i="2" s="1"/>
  <c r="F229" i="2"/>
  <c r="G229" i="2" s="1"/>
  <c r="J229" i="2" s="1"/>
  <c r="F230" i="2"/>
  <c r="G230" i="2" s="1"/>
  <c r="J230" i="2" s="1"/>
  <c r="F231" i="2"/>
  <c r="G231" i="2" s="1"/>
  <c r="J231" i="2" s="1"/>
  <c r="F232" i="2"/>
  <c r="G232" i="2" s="1"/>
  <c r="J232" i="2" s="1"/>
  <c r="F233" i="2"/>
  <c r="G233" i="2" s="1"/>
  <c r="J233" i="2" s="1"/>
  <c r="F234" i="2"/>
  <c r="G234" i="2" s="1"/>
  <c r="J234" i="2" s="1"/>
  <c r="F235" i="2"/>
  <c r="G235" i="2" s="1"/>
  <c r="J235" i="2" s="1"/>
  <c r="F236" i="2"/>
  <c r="G236" i="2" s="1"/>
  <c r="J236" i="2" s="1"/>
  <c r="F237" i="2"/>
  <c r="G237" i="2" s="1"/>
  <c r="J237" i="2" s="1"/>
  <c r="F238" i="2"/>
  <c r="G238" i="2" s="1"/>
  <c r="J238" i="2" s="1"/>
  <c r="F239" i="2"/>
  <c r="G239" i="2" s="1"/>
  <c r="J239" i="2" s="1"/>
  <c r="F240" i="2"/>
  <c r="G240" i="2" s="1"/>
  <c r="J240" i="2" s="1"/>
  <c r="F241" i="2"/>
  <c r="G241" i="2" s="1"/>
  <c r="J241" i="2" s="1"/>
  <c r="F242" i="2"/>
  <c r="G242" i="2" s="1"/>
  <c r="J242" i="2" s="1"/>
  <c r="F243" i="2"/>
  <c r="G243" i="2" s="1"/>
  <c r="J243" i="2" s="1"/>
  <c r="F244" i="2"/>
  <c r="G244" i="2" s="1"/>
  <c r="J244" i="2" s="1"/>
  <c r="F245" i="2"/>
  <c r="G245" i="2" s="1"/>
  <c r="J245" i="2" s="1"/>
  <c r="F246" i="2"/>
  <c r="G246" i="2" s="1"/>
  <c r="J246" i="2" s="1"/>
  <c r="F247" i="2"/>
  <c r="G247" i="2" s="1"/>
  <c r="J247" i="2" s="1"/>
  <c r="F248" i="2"/>
  <c r="G248" i="2" s="1"/>
  <c r="J248" i="2" s="1"/>
  <c r="F249" i="2"/>
  <c r="G249" i="2" s="1"/>
  <c r="J249" i="2" s="1"/>
  <c r="F250" i="2"/>
  <c r="G250" i="2" s="1"/>
  <c r="J250" i="2" s="1"/>
  <c r="F251" i="2"/>
  <c r="G251" i="2" s="1"/>
  <c r="J251" i="2" s="1"/>
  <c r="F252" i="2"/>
  <c r="G252" i="2" s="1"/>
  <c r="J252" i="2" s="1"/>
  <c r="F253" i="2"/>
  <c r="G253" i="2" s="1"/>
  <c r="J253" i="2" s="1"/>
  <c r="F254" i="2"/>
  <c r="G254" i="2" s="1"/>
  <c r="J254" i="2" s="1"/>
  <c r="F255" i="2"/>
  <c r="G255" i="2" s="1"/>
  <c r="J255" i="2" s="1"/>
  <c r="F256" i="2"/>
  <c r="G256" i="2" s="1"/>
  <c r="J256" i="2" s="1"/>
  <c r="F257" i="2"/>
  <c r="G257" i="2" s="1"/>
  <c r="J257" i="2" s="1"/>
  <c r="F258" i="2"/>
  <c r="G258" i="2" s="1"/>
  <c r="J258" i="2" s="1"/>
  <c r="F259" i="2"/>
  <c r="G259" i="2" s="1"/>
  <c r="J259" i="2" s="1"/>
  <c r="F260" i="2"/>
  <c r="G260" i="2" s="1"/>
  <c r="J260" i="2" s="1"/>
  <c r="F261" i="2"/>
  <c r="G261" i="2" s="1"/>
  <c r="J261" i="2" s="1"/>
  <c r="F262" i="2"/>
  <c r="G262" i="2" s="1"/>
  <c r="J262" i="2" s="1"/>
  <c r="F263" i="2"/>
  <c r="G263" i="2" s="1"/>
  <c r="J263" i="2" s="1"/>
  <c r="F264" i="2"/>
  <c r="G264" i="2" s="1"/>
  <c r="J264" i="2" s="1"/>
  <c r="F265" i="2"/>
  <c r="G265" i="2" s="1"/>
  <c r="J265" i="2" s="1"/>
  <c r="F266" i="2"/>
  <c r="G266" i="2" s="1"/>
  <c r="J266" i="2" s="1"/>
  <c r="F267" i="2"/>
  <c r="G267" i="2" s="1"/>
  <c r="J267" i="2" s="1"/>
  <c r="F268" i="2"/>
  <c r="G268" i="2" s="1"/>
  <c r="J268" i="2" s="1"/>
  <c r="F269" i="2"/>
  <c r="G269" i="2" s="1"/>
  <c r="J269" i="2" s="1"/>
  <c r="F270" i="2"/>
  <c r="G270" i="2" s="1"/>
  <c r="J270" i="2" s="1"/>
  <c r="F271" i="2"/>
  <c r="G271" i="2" s="1"/>
  <c r="J271" i="2" s="1"/>
  <c r="F272" i="2"/>
  <c r="G272" i="2" s="1"/>
  <c r="J272" i="2" s="1"/>
  <c r="F273" i="2"/>
  <c r="G273" i="2" s="1"/>
  <c r="J273" i="2" s="1"/>
  <c r="F274" i="2"/>
  <c r="G274" i="2" s="1"/>
  <c r="J274" i="2" s="1"/>
  <c r="F275" i="2"/>
  <c r="G275" i="2" s="1"/>
  <c r="J275" i="2" s="1"/>
  <c r="F276" i="2"/>
  <c r="G276" i="2" s="1"/>
  <c r="J276" i="2" s="1"/>
  <c r="F277" i="2"/>
  <c r="G277" i="2" s="1"/>
  <c r="J277" i="2" s="1"/>
  <c r="F278" i="2"/>
  <c r="G278" i="2" s="1"/>
  <c r="J278" i="2" s="1"/>
  <c r="F279" i="2"/>
  <c r="G279" i="2" s="1"/>
  <c r="J279" i="2" s="1"/>
  <c r="F280" i="2"/>
  <c r="G280" i="2" s="1"/>
  <c r="J280" i="2" s="1"/>
  <c r="F281" i="2"/>
  <c r="G281" i="2" s="1"/>
  <c r="J281" i="2" s="1"/>
  <c r="F282" i="2"/>
  <c r="G282" i="2" s="1"/>
  <c r="J282" i="2" s="1"/>
  <c r="F283" i="2"/>
  <c r="G283" i="2" s="1"/>
  <c r="J283" i="2" s="1"/>
  <c r="F284" i="2"/>
  <c r="G284" i="2" s="1"/>
  <c r="J284" i="2" s="1"/>
  <c r="F285" i="2"/>
  <c r="G285" i="2" s="1"/>
  <c r="J285" i="2" s="1"/>
  <c r="F286" i="2"/>
  <c r="G286" i="2" s="1"/>
  <c r="J286" i="2" s="1"/>
  <c r="F287" i="2"/>
  <c r="G287" i="2" s="1"/>
  <c r="J287" i="2" s="1"/>
  <c r="F288" i="2"/>
  <c r="G288" i="2" s="1"/>
  <c r="J288" i="2" s="1"/>
  <c r="F289" i="2"/>
  <c r="G289" i="2" s="1"/>
  <c r="J289" i="2" s="1"/>
  <c r="F290" i="2"/>
  <c r="G290" i="2" s="1"/>
  <c r="J290" i="2" s="1"/>
  <c r="F291" i="2"/>
  <c r="G291" i="2" s="1"/>
  <c r="J291" i="2" s="1"/>
  <c r="F292" i="2"/>
  <c r="G292" i="2" s="1"/>
  <c r="J292" i="2" s="1"/>
  <c r="F293" i="2"/>
  <c r="G293" i="2" s="1"/>
  <c r="J293" i="2" s="1"/>
  <c r="F294" i="2"/>
  <c r="G294" i="2" s="1"/>
  <c r="J294" i="2" s="1"/>
  <c r="F295" i="2"/>
  <c r="G295" i="2" s="1"/>
  <c r="J295" i="2" s="1"/>
  <c r="F296" i="2"/>
  <c r="G296" i="2" s="1"/>
  <c r="J296" i="2" s="1"/>
  <c r="F297" i="2"/>
  <c r="G297" i="2" s="1"/>
  <c r="J297" i="2" s="1"/>
  <c r="F298" i="2"/>
  <c r="G298" i="2" s="1"/>
  <c r="J298" i="2" s="1"/>
  <c r="F299" i="2"/>
  <c r="G299" i="2" s="1"/>
  <c r="J299" i="2" s="1"/>
  <c r="F300" i="2"/>
  <c r="G300" i="2" s="1"/>
  <c r="J300" i="2" s="1"/>
  <c r="F301" i="2"/>
  <c r="G301" i="2" s="1"/>
  <c r="J301" i="2" s="1"/>
  <c r="F302" i="2"/>
  <c r="G302" i="2" s="1"/>
  <c r="J302" i="2" s="1"/>
  <c r="F303" i="2"/>
  <c r="G303" i="2" s="1"/>
  <c r="J303" i="2" s="1"/>
  <c r="F304" i="2"/>
  <c r="G304" i="2" s="1"/>
  <c r="J304" i="2" s="1"/>
  <c r="F305" i="2"/>
  <c r="G305" i="2" s="1"/>
  <c r="J305" i="2" s="1"/>
  <c r="F306" i="2"/>
  <c r="G306" i="2" s="1"/>
  <c r="J306" i="2" s="1"/>
  <c r="F307" i="2"/>
  <c r="G307" i="2" s="1"/>
  <c r="J307" i="2" s="1"/>
  <c r="F308" i="2"/>
  <c r="G308" i="2" s="1"/>
  <c r="J308" i="2" s="1"/>
  <c r="F309" i="2"/>
  <c r="G309" i="2" s="1"/>
  <c r="J309" i="2" s="1"/>
  <c r="F310" i="2"/>
  <c r="G310" i="2" s="1"/>
  <c r="J310" i="2" s="1"/>
  <c r="F311" i="2"/>
  <c r="G311" i="2" s="1"/>
  <c r="J311" i="2" s="1"/>
  <c r="F312" i="2"/>
  <c r="G312" i="2" s="1"/>
  <c r="J312" i="2" s="1"/>
  <c r="F313" i="2"/>
  <c r="G313" i="2" s="1"/>
  <c r="J313" i="2" s="1"/>
  <c r="F314" i="2"/>
  <c r="G314" i="2" s="1"/>
  <c r="J314" i="2" s="1"/>
  <c r="F315" i="2"/>
  <c r="G315" i="2" s="1"/>
  <c r="J315" i="2" s="1"/>
  <c r="F316" i="2"/>
  <c r="G316" i="2" s="1"/>
  <c r="J316" i="2" s="1"/>
  <c r="F317" i="2"/>
  <c r="G317" i="2" s="1"/>
  <c r="J317" i="2" s="1"/>
  <c r="F318" i="2"/>
  <c r="G318" i="2" s="1"/>
  <c r="J318" i="2" s="1"/>
  <c r="F319" i="2"/>
  <c r="G319" i="2" s="1"/>
  <c r="J319" i="2" s="1"/>
  <c r="F320" i="2"/>
  <c r="G320" i="2" s="1"/>
  <c r="J320" i="2" s="1"/>
  <c r="F321" i="2"/>
  <c r="G321" i="2" s="1"/>
  <c r="J321" i="2" s="1"/>
  <c r="F322" i="2"/>
  <c r="G322" i="2" s="1"/>
  <c r="J322" i="2" s="1"/>
  <c r="F323" i="2"/>
  <c r="G323" i="2" s="1"/>
  <c r="J323" i="2" s="1"/>
  <c r="F324" i="2"/>
  <c r="G324" i="2" s="1"/>
  <c r="J324" i="2" s="1"/>
  <c r="F325" i="2"/>
  <c r="G325" i="2" s="1"/>
  <c r="J325" i="2" s="1"/>
  <c r="F326" i="2"/>
  <c r="G326" i="2" s="1"/>
  <c r="J326" i="2" s="1"/>
  <c r="F327" i="2"/>
  <c r="G327" i="2" s="1"/>
  <c r="J327" i="2" s="1"/>
  <c r="F328" i="2"/>
  <c r="G328" i="2" s="1"/>
  <c r="J328" i="2" s="1"/>
  <c r="F329" i="2"/>
  <c r="G329" i="2" s="1"/>
  <c r="J329" i="2" s="1"/>
  <c r="F330" i="2"/>
  <c r="G330" i="2" s="1"/>
  <c r="J330" i="2" s="1"/>
  <c r="F331" i="2"/>
  <c r="G331" i="2" s="1"/>
  <c r="J331" i="2" s="1"/>
  <c r="F332" i="2"/>
  <c r="G332" i="2" s="1"/>
  <c r="J332" i="2" s="1"/>
  <c r="F333" i="2"/>
  <c r="G333" i="2" s="1"/>
  <c r="J333" i="2" s="1"/>
  <c r="G335" i="2" l="1"/>
  <c r="J335" i="2" s="1"/>
  <c r="G338" i="2"/>
  <c r="J338" i="2" s="1"/>
  <c r="G340" i="2"/>
  <c r="J340" i="2" s="1"/>
  <c r="G336" i="2"/>
  <c r="J336" i="2" s="1"/>
  <c r="G337" i="2"/>
  <c r="J337" i="2" s="1"/>
  <c r="G339" i="2"/>
  <c r="J339" i="2" s="1"/>
  <c r="F205" i="2"/>
  <c r="G205" i="2" s="1"/>
  <c r="J205" i="2" s="1"/>
  <c r="F204" i="2"/>
  <c r="G204" i="2" s="1"/>
  <c r="J204" i="2" s="1"/>
  <c r="F203" i="2"/>
  <c r="G203" i="2" s="1"/>
  <c r="J203" i="2" s="1"/>
  <c r="F202" i="2"/>
  <c r="G202" i="2" s="1"/>
  <c r="J202" i="2" s="1"/>
  <c r="F201" i="2"/>
  <c r="G201" i="2" s="1"/>
  <c r="J201" i="2" s="1"/>
  <c r="F200" i="2"/>
  <c r="G200" i="2" s="1"/>
  <c r="J200" i="2" s="1"/>
  <c r="F199" i="2"/>
  <c r="G199" i="2" s="1"/>
  <c r="J199" i="2" s="1"/>
  <c r="F198" i="2"/>
  <c r="G198" i="2" s="1"/>
  <c r="J198" i="2" s="1"/>
  <c r="F197" i="2"/>
  <c r="G197" i="2" s="1"/>
  <c r="J197" i="2" s="1"/>
  <c r="F196" i="2"/>
  <c r="G196" i="2" s="1"/>
  <c r="J196" i="2" s="1"/>
  <c r="F195" i="2"/>
  <c r="G195" i="2" s="1"/>
  <c r="J195" i="2" s="1"/>
  <c r="F194" i="2"/>
  <c r="G194" i="2" s="1"/>
  <c r="J194" i="2" s="1"/>
  <c r="F193" i="2" l="1"/>
  <c r="G193" i="2" s="1"/>
  <c r="J193" i="2" s="1"/>
  <c r="F192" i="2"/>
  <c r="G192" i="2" s="1"/>
  <c r="J192" i="2" s="1"/>
  <c r="F191" i="2"/>
  <c r="G191" i="2" s="1"/>
  <c r="J191" i="2" s="1"/>
  <c r="F190" i="2"/>
  <c r="G190" i="2" s="1"/>
  <c r="J190" i="2" s="1"/>
  <c r="F189" i="2"/>
  <c r="G189" i="2" s="1"/>
  <c r="J189" i="2" s="1"/>
  <c r="F188" i="2"/>
  <c r="G188" i="2" s="1"/>
  <c r="J188" i="2" s="1"/>
  <c r="F187" i="2"/>
  <c r="G187" i="2" s="1"/>
  <c r="J187" i="2" s="1"/>
  <c r="F186" i="2"/>
  <c r="G186" i="2" s="1"/>
  <c r="J186" i="2" s="1"/>
  <c r="F185" i="2"/>
  <c r="G185" i="2" s="1"/>
  <c r="J185" i="2" s="1"/>
  <c r="F184" i="2"/>
  <c r="G184" i="2" s="1"/>
  <c r="J184" i="2" s="1"/>
  <c r="F183" i="2"/>
  <c r="G183" i="2" s="1"/>
  <c r="J183" i="2" s="1"/>
  <c r="F182" i="2"/>
  <c r="G182" i="2" s="1"/>
  <c r="J182" i="2" s="1"/>
  <c r="F181" i="2"/>
  <c r="G181" i="2" s="1"/>
  <c r="J181" i="2" s="1"/>
  <c r="F180" i="2"/>
  <c r="G180" i="2" s="1"/>
  <c r="J180" i="2" s="1"/>
  <c r="F179" i="2"/>
  <c r="G179" i="2" s="1"/>
  <c r="J179" i="2" s="1"/>
  <c r="F178" i="2"/>
  <c r="G178" i="2" s="1"/>
  <c r="J178" i="2" s="1"/>
  <c r="F177" i="2"/>
  <c r="G177" i="2" s="1"/>
  <c r="J177" i="2" s="1"/>
  <c r="F176" i="2"/>
  <c r="G176" i="2" s="1"/>
  <c r="J176" i="2" s="1"/>
  <c r="F175" i="2"/>
  <c r="G175" i="2" s="1"/>
  <c r="J175" i="2" s="1"/>
  <c r="F174" i="2"/>
  <c r="G174" i="2" s="1"/>
  <c r="J174" i="2" s="1"/>
  <c r="F173" i="2"/>
  <c r="G173" i="2" s="1"/>
  <c r="J173" i="2" s="1"/>
  <c r="F172" i="2"/>
  <c r="G172" i="2" s="1"/>
  <c r="J172" i="2" s="1"/>
  <c r="F171" i="2"/>
  <c r="G171" i="2" s="1"/>
  <c r="J171" i="2" s="1"/>
  <c r="F170" i="2"/>
  <c r="G170" i="2" s="1"/>
  <c r="J170" i="2" s="1"/>
  <c r="F169" i="2"/>
  <c r="G169" i="2" s="1"/>
  <c r="J169" i="2" s="1"/>
  <c r="F168" i="2"/>
  <c r="G168" i="2" s="1"/>
  <c r="J168" i="2" s="1"/>
  <c r="F167" i="2"/>
  <c r="G167" i="2" s="1"/>
  <c r="J167" i="2" s="1"/>
  <c r="F166" i="2"/>
  <c r="G166" i="2" s="1"/>
  <c r="J166" i="2" s="1"/>
  <c r="F165" i="2"/>
  <c r="G165" i="2" s="1"/>
  <c r="J165" i="2" s="1"/>
  <c r="F164" i="2"/>
  <c r="G164" i="2" s="1"/>
  <c r="J164" i="2" s="1"/>
  <c r="F163" i="2"/>
  <c r="G163" i="2" s="1"/>
  <c r="J163" i="2" s="1"/>
  <c r="F162" i="2"/>
  <c r="G162" i="2" s="1"/>
  <c r="J162" i="2" s="1"/>
  <c r="F161" i="2"/>
  <c r="G161" i="2" s="1"/>
  <c r="J161" i="2" s="1"/>
  <c r="F160" i="2"/>
  <c r="G160" i="2" s="1"/>
  <c r="J160" i="2" s="1"/>
  <c r="F159" i="2"/>
  <c r="G159" i="2" s="1"/>
  <c r="J159" i="2" s="1"/>
  <c r="F158" i="2"/>
  <c r="G158" i="2" s="1"/>
  <c r="J158" i="2" s="1"/>
  <c r="F157" i="2"/>
  <c r="G157" i="2" s="1"/>
  <c r="J157" i="2" s="1"/>
  <c r="F156" i="2"/>
  <c r="G156" i="2" s="1"/>
  <c r="J156" i="2" s="1"/>
  <c r="F155" i="2"/>
  <c r="G155" i="2" s="1"/>
  <c r="J155" i="2" s="1"/>
  <c r="F154" i="2"/>
  <c r="G154" i="2" s="1"/>
  <c r="J154" i="2" s="1"/>
  <c r="F153" i="2"/>
  <c r="G153" i="2" s="1"/>
  <c r="J153" i="2" s="1"/>
  <c r="F152" i="2"/>
  <c r="G152" i="2" s="1"/>
  <c r="J152" i="2" s="1"/>
  <c r="F151" i="2"/>
  <c r="G151" i="2" s="1"/>
  <c r="J151" i="2" s="1"/>
  <c r="F150" i="2"/>
  <c r="G150" i="2" s="1"/>
  <c r="J150" i="2" s="1"/>
  <c r="F149" i="2"/>
  <c r="G149" i="2" s="1"/>
  <c r="J149" i="2" s="1"/>
  <c r="F148" i="2"/>
  <c r="G148" i="2" s="1"/>
  <c r="J148" i="2" s="1"/>
  <c r="F147" i="2"/>
  <c r="G147" i="2" s="1"/>
  <c r="J147" i="2" s="1"/>
  <c r="F146" i="2"/>
  <c r="G146" i="2" s="1"/>
  <c r="J146" i="2" s="1"/>
  <c r="F145" i="2"/>
  <c r="G145" i="2" s="1"/>
  <c r="J145" i="2" s="1"/>
  <c r="F144" i="2"/>
  <c r="G144" i="2" s="1"/>
  <c r="J144" i="2" s="1"/>
  <c r="F143" i="2"/>
  <c r="G143" i="2" s="1"/>
  <c r="J143" i="2" s="1"/>
  <c r="F142" i="2"/>
  <c r="G142" i="2" s="1"/>
  <c r="J142" i="2" s="1"/>
  <c r="F141" i="2"/>
  <c r="G141" i="2" s="1"/>
  <c r="J141" i="2" s="1"/>
  <c r="F140" i="2"/>
  <c r="G140" i="2" s="1"/>
  <c r="J140" i="2" s="1"/>
  <c r="F139" i="2"/>
  <c r="G139" i="2" s="1"/>
  <c r="J139" i="2" s="1"/>
  <c r="F138" i="2"/>
  <c r="G138" i="2" s="1"/>
  <c r="J138" i="2" s="1"/>
  <c r="F137" i="2"/>
  <c r="G137" i="2" s="1"/>
  <c r="J137" i="2" s="1"/>
  <c r="F136" i="2"/>
  <c r="G136" i="2" s="1"/>
  <c r="J136" i="2" s="1"/>
  <c r="F135" i="2"/>
  <c r="G135" i="2" s="1"/>
  <c r="J135" i="2" s="1"/>
  <c r="F134" i="2"/>
  <c r="G134" i="2" s="1"/>
  <c r="J134" i="2" s="1"/>
  <c r="F133" i="2"/>
  <c r="G133" i="2" s="1"/>
  <c r="J133" i="2" s="1"/>
  <c r="F132" i="2"/>
  <c r="G132" i="2" s="1"/>
  <c r="J132" i="2" s="1"/>
  <c r="F131" i="2"/>
  <c r="G131" i="2" s="1"/>
  <c r="J131" i="2" s="1"/>
  <c r="F130" i="2"/>
  <c r="G130" i="2" s="1"/>
  <c r="J130" i="2" s="1"/>
  <c r="F129" i="2"/>
  <c r="G129" i="2" s="1"/>
  <c r="J129" i="2" s="1"/>
  <c r="F128" i="2"/>
  <c r="G128" i="2" s="1"/>
  <c r="J128" i="2" s="1"/>
  <c r="F127" i="2"/>
  <c r="G127" i="2" s="1"/>
  <c r="J127" i="2" s="1"/>
  <c r="F126" i="2"/>
  <c r="G126" i="2" s="1"/>
  <c r="J126" i="2" s="1"/>
  <c r="F125" i="2"/>
  <c r="G125" i="2" s="1"/>
  <c r="J125" i="2" s="1"/>
  <c r="F124" i="2"/>
  <c r="G124" i="2" s="1"/>
  <c r="J124" i="2" s="1"/>
  <c r="F123" i="2"/>
  <c r="G123" i="2" s="1"/>
  <c r="J123" i="2" s="1"/>
  <c r="F122" i="2"/>
  <c r="G122" i="2" s="1"/>
  <c r="J122" i="2" s="1"/>
  <c r="F121" i="2"/>
  <c r="G121" i="2" s="1"/>
  <c r="J121" i="2" s="1"/>
  <c r="F120" i="2"/>
  <c r="G120" i="2" s="1"/>
  <c r="J120" i="2" s="1"/>
  <c r="F119" i="2"/>
  <c r="G119" i="2" s="1"/>
  <c r="J119" i="2" s="1"/>
  <c r="F118" i="2"/>
  <c r="G118" i="2" s="1"/>
  <c r="J118" i="2" s="1"/>
  <c r="F117" i="2"/>
  <c r="G117" i="2" s="1"/>
  <c r="J117" i="2" s="1"/>
  <c r="F116" i="2"/>
  <c r="G116" i="2" s="1"/>
  <c r="J116" i="2" s="1"/>
  <c r="F115" i="2"/>
  <c r="G115" i="2" s="1"/>
  <c r="J115" i="2" s="1"/>
  <c r="F114" i="2"/>
  <c r="G114" i="2" s="1"/>
  <c r="J114" i="2" s="1"/>
  <c r="F113" i="2"/>
  <c r="G113" i="2" s="1"/>
  <c r="J113" i="2" s="1"/>
  <c r="F112" i="2"/>
  <c r="G112" i="2" s="1"/>
  <c r="J112" i="2" s="1"/>
  <c r="F111" i="2"/>
  <c r="G111" i="2" s="1"/>
  <c r="J111" i="2" s="1"/>
  <c r="F110" i="2"/>
  <c r="G110" i="2" s="1"/>
  <c r="J110" i="2" s="1"/>
  <c r="F109" i="2"/>
  <c r="G109" i="2" s="1"/>
  <c r="J109" i="2" s="1"/>
  <c r="F108" i="2"/>
  <c r="G108" i="2" s="1"/>
  <c r="J108" i="2" s="1"/>
  <c r="F107" i="2"/>
  <c r="G107" i="2" s="1"/>
  <c r="J107" i="2" s="1"/>
  <c r="F106" i="2"/>
  <c r="G106" i="2" s="1"/>
  <c r="J106" i="2" s="1"/>
  <c r="F105" i="2"/>
  <c r="G105" i="2" s="1"/>
  <c r="J105" i="2" s="1"/>
  <c r="F104" i="2"/>
  <c r="G104" i="2" s="1"/>
  <c r="J104" i="2" s="1"/>
  <c r="F103" i="2"/>
  <c r="J103" i="2" s="1"/>
  <c r="F102" i="2"/>
  <c r="J102" i="2" s="1"/>
  <c r="F101" i="2"/>
  <c r="G101" i="2" s="1"/>
  <c r="J101" i="2" s="1"/>
  <c r="F100" i="2"/>
  <c r="G100" i="2" s="1"/>
  <c r="J100" i="2" s="1"/>
  <c r="F99" i="2"/>
  <c r="G99" i="2" s="1"/>
  <c r="J99" i="2" s="1"/>
  <c r="F98" i="2"/>
  <c r="G98" i="2" s="1"/>
  <c r="J98" i="2" s="1"/>
  <c r="F97" i="2"/>
  <c r="G97" i="2" s="1"/>
  <c r="J97" i="2" s="1"/>
  <c r="F96" i="2"/>
  <c r="G96" i="2" s="1"/>
  <c r="J96" i="2" s="1"/>
  <c r="F95" i="2"/>
  <c r="G95" i="2" s="1"/>
  <c r="J95" i="2" s="1"/>
  <c r="F94" i="2"/>
  <c r="G94" i="2" s="1"/>
  <c r="J94" i="2" s="1"/>
  <c r="F93" i="2"/>
  <c r="G93" i="2" s="1"/>
  <c r="J93" i="2" s="1"/>
  <c r="F92" i="2"/>
  <c r="G92" i="2" s="1"/>
  <c r="J92" i="2" s="1"/>
  <c r="F91" i="2"/>
  <c r="G91" i="2" s="1"/>
  <c r="J91" i="2" s="1"/>
  <c r="F90" i="2"/>
  <c r="G90" i="2" s="1"/>
  <c r="J90" i="2" s="1"/>
  <c r="F89" i="2"/>
  <c r="G89" i="2" s="1"/>
  <c r="J89" i="2" s="1"/>
  <c r="F88" i="2"/>
  <c r="G88" i="2" s="1"/>
  <c r="J88" i="2" s="1"/>
  <c r="F87" i="2"/>
  <c r="G87" i="2" s="1"/>
  <c r="J87" i="2" s="1"/>
  <c r="F86" i="2"/>
  <c r="G86" i="2" s="1"/>
  <c r="J86" i="2" s="1"/>
  <c r="F85" i="2"/>
  <c r="G85" i="2" s="1"/>
  <c r="J85" i="2" s="1"/>
  <c r="F84" i="2"/>
  <c r="G84" i="2" s="1"/>
  <c r="J84" i="2" s="1"/>
  <c r="F83" i="2"/>
  <c r="G83" i="2" s="1"/>
  <c r="J83" i="2" s="1"/>
  <c r="F82" i="2"/>
  <c r="G82" i="2" s="1"/>
  <c r="J82" i="2" s="1"/>
  <c r="F81" i="2"/>
  <c r="G81" i="2" s="1"/>
  <c r="J81" i="2" s="1"/>
  <c r="F80" i="2"/>
  <c r="G80" i="2" s="1"/>
  <c r="J80" i="2" s="1"/>
  <c r="F79" i="2"/>
  <c r="G79" i="2" s="1"/>
  <c r="J79" i="2" s="1"/>
  <c r="F78" i="2"/>
  <c r="G78" i="2" s="1"/>
  <c r="J78" i="2" s="1"/>
  <c r="F77" i="2"/>
  <c r="G77" i="2" s="1"/>
  <c r="J77" i="2" s="1"/>
  <c r="F76" i="2"/>
  <c r="G76" i="2" s="1"/>
  <c r="J76" i="2" s="1"/>
  <c r="F75" i="2"/>
  <c r="G75" i="2" s="1"/>
  <c r="J75" i="2" s="1"/>
  <c r="F74" i="2"/>
  <c r="G74" i="2" s="1"/>
  <c r="J74" i="2" s="1"/>
  <c r="F73" i="2"/>
  <c r="G73" i="2" s="1"/>
  <c r="J73" i="2" s="1"/>
  <c r="F72" i="2"/>
  <c r="G72" i="2" s="1"/>
  <c r="J72" i="2" s="1"/>
  <c r="F71" i="2"/>
  <c r="G71" i="2" s="1"/>
  <c r="J71" i="2" s="1"/>
  <c r="F70" i="2"/>
  <c r="G70" i="2" s="1"/>
  <c r="J70" i="2" s="1"/>
  <c r="F69" i="2"/>
  <c r="G69" i="2" s="1"/>
  <c r="J69" i="2" s="1"/>
  <c r="F68" i="2"/>
  <c r="G68" i="2" s="1"/>
  <c r="J68" i="2" s="1"/>
  <c r="F67" i="2"/>
  <c r="G67" i="2" s="1"/>
  <c r="J67" i="2" s="1"/>
  <c r="F66" i="2"/>
  <c r="G66" i="2" s="1"/>
  <c r="J66" i="2" s="1"/>
  <c r="F65" i="2"/>
  <c r="G65" i="2" s="1"/>
  <c r="J65" i="2" s="1"/>
  <c r="F64" i="2"/>
  <c r="G64" i="2" s="1"/>
  <c r="J64" i="2" s="1"/>
  <c r="F63" i="2"/>
  <c r="G63" i="2" s="1"/>
  <c r="J63" i="2" s="1"/>
  <c r="F62" i="2"/>
  <c r="G62" i="2" s="1"/>
  <c r="J62" i="2" s="1"/>
  <c r="F61" i="2"/>
  <c r="G61" i="2" s="1"/>
  <c r="J61" i="2" s="1"/>
  <c r="F60" i="2"/>
  <c r="G60" i="2" s="1"/>
  <c r="J60" i="2" s="1"/>
  <c r="F59" i="2"/>
  <c r="G59" i="2" s="1"/>
  <c r="J59" i="2" s="1"/>
  <c r="F58" i="2"/>
  <c r="G58" i="2" s="1"/>
  <c r="J58" i="2" s="1"/>
  <c r="F57" i="2"/>
  <c r="G57" i="2" s="1"/>
  <c r="J57" i="2" s="1"/>
  <c r="F56" i="2"/>
  <c r="G56" i="2" s="1"/>
  <c r="J56" i="2" s="1"/>
  <c r="F55" i="2"/>
  <c r="G55" i="2" s="1"/>
  <c r="J55" i="2" s="1"/>
  <c r="F54" i="2"/>
  <c r="G54" i="2" s="1"/>
  <c r="J54" i="2" s="1"/>
  <c r="F53" i="2"/>
  <c r="G53" i="2" s="1"/>
  <c r="J53" i="2" s="1"/>
  <c r="F52" i="2"/>
  <c r="G52" i="2" s="1"/>
  <c r="J52" i="2" s="1"/>
  <c r="F51" i="2"/>
  <c r="G51" i="2" s="1"/>
  <c r="J51" i="2" s="1"/>
  <c r="F50" i="2"/>
  <c r="G50" i="2" s="1"/>
  <c r="J50" i="2" s="1"/>
  <c r="F49" i="2"/>
  <c r="G49" i="2" s="1"/>
  <c r="J49" i="2" s="1"/>
  <c r="F48" i="2"/>
  <c r="G48" i="2" s="1"/>
  <c r="J48" i="2" s="1"/>
  <c r="F47" i="2"/>
  <c r="G47" i="2" s="1"/>
  <c r="J47" i="2" s="1"/>
  <c r="F46" i="2"/>
  <c r="G46" i="2" s="1"/>
  <c r="J46" i="2" s="1"/>
  <c r="F45" i="2"/>
  <c r="G45" i="2" s="1"/>
  <c r="J45" i="2" s="1"/>
  <c r="F44" i="2"/>
  <c r="G44" i="2" s="1"/>
  <c r="J44" i="2" s="1"/>
  <c r="F43" i="2"/>
  <c r="G43" i="2" s="1"/>
  <c r="J43" i="2" s="1"/>
  <c r="F42" i="2"/>
  <c r="G42" i="2" s="1"/>
  <c r="J42" i="2" s="1"/>
  <c r="F41" i="2"/>
  <c r="G41" i="2" s="1"/>
  <c r="J41" i="2" s="1"/>
  <c r="F40" i="2"/>
  <c r="G40" i="2" s="1"/>
  <c r="J40" i="2" s="1"/>
  <c r="F39" i="2"/>
  <c r="G39" i="2" s="1"/>
  <c r="J39" i="2" s="1"/>
  <c r="F38" i="2"/>
  <c r="G38" i="2" s="1"/>
  <c r="J38" i="2" s="1"/>
  <c r="F37" i="2"/>
  <c r="G37" i="2" s="1"/>
  <c r="J37" i="2" s="1"/>
  <c r="F36" i="2"/>
  <c r="G36" i="2" s="1"/>
  <c r="J36" i="2" s="1"/>
  <c r="F35" i="2"/>
  <c r="G35" i="2" s="1"/>
  <c r="J35" i="2" s="1"/>
  <c r="F34" i="2"/>
  <c r="G34" i="2" s="1"/>
  <c r="J34" i="2" s="1"/>
  <c r="F33" i="2"/>
  <c r="G33" i="2" s="1"/>
  <c r="J33" i="2" s="1"/>
  <c r="F32" i="2"/>
  <c r="G32" i="2" s="1"/>
  <c r="J32" i="2" s="1"/>
  <c r="F31" i="2"/>
  <c r="G31" i="2" s="1"/>
  <c r="J31" i="2" s="1"/>
  <c r="F30" i="2"/>
  <c r="G30" i="2" s="1"/>
  <c r="J30" i="2" s="1"/>
  <c r="F29" i="2"/>
  <c r="G29" i="2" s="1"/>
  <c r="J29" i="2" s="1"/>
  <c r="F28" i="2"/>
  <c r="G28" i="2" s="1"/>
  <c r="J28" i="2" s="1"/>
  <c r="F27" i="2"/>
  <c r="G27" i="2" s="1"/>
  <c r="J27" i="2" s="1"/>
  <c r="F26" i="2"/>
  <c r="G26" i="2" s="1"/>
  <c r="J26" i="2" s="1"/>
  <c r="F25" i="2"/>
  <c r="G25" i="2" s="1"/>
  <c r="J25" i="2" s="1"/>
  <c r="F24" i="2"/>
  <c r="G24" i="2" s="1"/>
  <c r="J24" i="2" s="1"/>
  <c r="F23" i="2"/>
  <c r="G23" i="2" s="1"/>
  <c r="J23" i="2" s="1"/>
  <c r="F22" i="2"/>
  <c r="G22" i="2" s="1"/>
  <c r="J22" i="2" s="1"/>
  <c r="F21" i="2"/>
  <c r="G21" i="2" s="1"/>
  <c r="J21" i="2" s="1"/>
  <c r="F20" i="2"/>
  <c r="G20" i="2" s="1"/>
  <c r="J20" i="2" s="1"/>
  <c r="F19" i="2"/>
  <c r="G19" i="2" s="1"/>
  <c r="J19" i="2" s="1"/>
  <c r="F18" i="2"/>
  <c r="G18" i="2" s="1"/>
  <c r="J18" i="2" s="1"/>
  <c r="F17" i="2"/>
  <c r="G17" i="2" s="1"/>
  <c r="J17" i="2" s="1"/>
  <c r="F16" i="2"/>
  <c r="G16" i="2" s="1"/>
  <c r="J16" i="2" s="1"/>
  <c r="F15" i="2"/>
  <c r="G15" i="2" s="1"/>
  <c r="J15" i="2" s="1"/>
  <c r="F14" i="2"/>
  <c r="G14" i="2" s="1"/>
  <c r="J14" i="2" s="1"/>
  <c r="F13" i="2"/>
  <c r="G13" i="2" s="1"/>
  <c r="J13" i="2" s="1"/>
  <c r="F12" i="2"/>
  <c r="G12" i="2" s="1"/>
  <c r="J12" i="2" s="1"/>
  <c r="F11" i="2"/>
  <c r="G11" i="2" s="1"/>
  <c r="J11" i="2" s="1"/>
  <c r="F10" i="2"/>
  <c r="G10" i="2" s="1"/>
  <c r="J10" i="2" s="1"/>
  <c r="F9" i="2"/>
  <c r="G9" i="2" s="1"/>
  <c r="J9" i="2" s="1"/>
  <c r="F8" i="2"/>
  <c r="G8" i="2" s="1"/>
  <c r="J8" i="2" s="1"/>
  <c r="N6" i="2"/>
  <c r="I6" i="2"/>
  <c r="H6" i="2"/>
  <c r="E6" i="2"/>
  <c r="F6" i="2" l="1"/>
  <c r="M6" i="2" l="1"/>
  <c r="L6" i="2"/>
  <c r="G6" i="2"/>
  <c r="K6" i="2"/>
  <c r="J6" i="2" l="1"/>
  <c r="P6" i="2" s="1"/>
</calcChain>
</file>

<file path=xl/sharedStrings.xml><?xml version="1.0" encoding="utf-8"?>
<sst xmlns="http://schemas.openxmlformats.org/spreadsheetml/2006/main" count="1067" uniqueCount="852">
  <si>
    <t>CÔNG NỢ MEGA</t>
  </si>
  <si>
    <t>Tên khác hàng: CÔNG TY TNHH MM MEGA MARKET (VIỆT NAM)</t>
  </si>
  <si>
    <t>Đơn vị tính: VNĐ</t>
  </si>
  <si>
    <t>Tên khách hàng</t>
  </si>
  <si>
    <t>Date HĐ</t>
  </si>
  <si>
    <t>SỐ HĐ</t>
  </si>
  <si>
    <t>Số tiền</t>
  </si>
  <si>
    <t>Chiết khấu</t>
  </si>
  <si>
    <t>Ngày TT</t>
  </si>
  <si>
    <t>Ghi Chú</t>
  </si>
  <si>
    <t>phieu giao hang</t>
  </si>
  <si>
    <t>Dịch vụ</t>
  </si>
  <si>
    <t>VAT 10%</t>
  </si>
  <si>
    <t>TỔNG</t>
  </si>
  <si>
    <t>Số đã trả</t>
  </si>
  <si>
    <t>HTL</t>
  </si>
  <si>
    <t>Số còn nợ</t>
  </si>
  <si>
    <t>Hỗ trợ tiếp thị 1%</t>
  </si>
  <si>
    <t>Hỗ trợ thêm 3%</t>
  </si>
  <si>
    <t>hỗ trợ trưng bày sản phẩm 3%</t>
  </si>
  <si>
    <t>TỔNG CỘNG</t>
  </si>
  <si>
    <t>KHỚP CÔNG NỢ TẠI NGÀY 19/11/2023</t>
  </si>
  <si>
    <t>Dư nợ Tháng 10/2018</t>
  </si>
  <si>
    <t>PO72095777</t>
  </si>
  <si>
    <t>09/11/2023</t>
  </si>
  <si>
    <t>00003064</t>
  </si>
  <si>
    <t>28/12 MỚI GỬI MAIL CHO MEGA</t>
  </si>
  <si>
    <t>PO72096861</t>
  </si>
  <si>
    <t>30/11/2023</t>
  </si>
  <si>
    <t>00003410</t>
  </si>
  <si>
    <t>PO72096890</t>
  </si>
  <si>
    <t>00003411</t>
  </si>
  <si>
    <t>PO72097248</t>
  </si>
  <si>
    <t>06/12/2023</t>
  </si>
  <si>
    <t>00003544</t>
  </si>
  <si>
    <t>PO72097611</t>
  </si>
  <si>
    <t>13/12/2023</t>
  </si>
  <si>
    <t>00003699</t>
  </si>
  <si>
    <t>PO72097648</t>
  </si>
  <si>
    <t>00003700</t>
  </si>
  <si>
    <t>PO72097692</t>
  </si>
  <si>
    <t>15/12/2023</t>
  </si>
  <si>
    <t>00003727</t>
  </si>
  <si>
    <t>PO72097812</t>
  </si>
  <si>
    <t>19/12/2023</t>
  </si>
  <si>
    <t>00003817</t>
  </si>
  <si>
    <t>PO72097911</t>
  </si>
  <si>
    <t>00003818</t>
  </si>
  <si>
    <t>PO72098108</t>
  </si>
  <si>
    <t>20/12/2023</t>
  </si>
  <si>
    <t>00003831</t>
  </si>
  <si>
    <t>PO72098754</t>
  </si>
  <si>
    <t>01/01/2024</t>
  </si>
  <si>
    <t>00000005</t>
  </si>
  <si>
    <t>PO72098715</t>
  </si>
  <si>
    <t>00000007</t>
  </si>
  <si>
    <t>PO72098596</t>
  </si>
  <si>
    <t>00000008</t>
  </si>
  <si>
    <t>PO72098548</t>
  </si>
  <si>
    <t>00000009</t>
  </si>
  <si>
    <t>PO72098494</t>
  </si>
  <si>
    <t>00000010</t>
  </si>
  <si>
    <t>PO72098480</t>
  </si>
  <si>
    <t>00000011</t>
  </si>
  <si>
    <t>PO72100117</t>
  </si>
  <si>
    <t>22/01/2024</t>
  </si>
  <si>
    <t>00000469</t>
  </si>
  <si>
    <t>PO72100049</t>
  </si>
  <si>
    <t>00000470</t>
  </si>
  <si>
    <t>PO72100030</t>
  </si>
  <si>
    <t>00000471</t>
  </si>
  <si>
    <t>PO72100264</t>
  </si>
  <si>
    <t>24/01/2024</t>
  </si>
  <si>
    <t>00000506</t>
  </si>
  <si>
    <t>PO72100403</t>
  </si>
  <si>
    <t>26/01/2024</t>
  </si>
  <si>
    <t>00000528</t>
  </si>
  <si>
    <t>PO72100741</t>
  </si>
  <si>
    <t>31/01/2024</t>
  </si>
  <si>
    <t>00000630</t>
  </si>
  <si>
    <t>PO72100919</t>
  </si>
  <si>
    <t>03/02/2024</t>
  </si>
  <si>
    <t>00000661</t>
  </si>
  <si>
    <t>PO72101587</t>
  </si>
  <si>
    <t>806</t>
  </si>
  <si>
    <t>PO72101738</t>
  </si>
  <si>
    <t>807</t>
  </si>
  <si>
    <t>PO72102177</t>
  </si>
  <si>
    <t>880</t>
  </si>
  <si>
    <t>PO72102102</t>
  </si>
  <si>
    <t>881</t>
  </si>
  <si>
    <t>PO72102548</t>
  </si>
  <si>
    <t>986</t>
  </si>
  <si>
    <t>PO72102608</t>
  </si>
  <si>
    <t>987</t>
  </si>
  <si>
    <t>PO72102904</t>
  </si>
  <si>
    <t>14/03/2024</t>
  </si>
  <si>
    <t>00001048</t>
  </si>
  <si>
    <t>PO72103276</t>
  </si>
  <si>
    <t>20/03/2024</t>
  </si>
  <si>
    <t>00001158</t>
  </si>
  <si>
    <t>PO72103303</t>
  </si>
  <si>
    <t>00001163</t>
  </si>
  <si>
    <t>PO72103669</t>
  </si>
  <si>
    <t>28/03/2024</t>
  </si>
  <si>
    <t>00001246</t>
  </si>
  <si>
    <t>PO72103703</t>
  </si>
  <si>
    <t>00001247</t>
  </si>
  <si>
    <t>PO72103787</t>
  </si>
  <si>
    <t>00001248</t>
  </si>
  <si>
    <t>PO72104084</t>
  </si>
  <si>
    <t>04/04/2024</t>
  </si>
  <si>
    <t>PO72104440</t>
  </si>
  <si>
    <t>10/04/2024</t>
  </si>
  <si>
    <t>00001466</t>
  </si>
  <si>
    <t>24/05/2024 ok</t>
  </si>
  <si>
    <t>PO72104826</t>
  </si>
  <si>
    <t>17/04/2024</t>
  </si>
  <si>
    <t>00001579</t>
  </si>
  <si>
    <t>PO72104873</t>
  </si>
  <si>
    <t>18/04/2024</t>
  </si>
  <si>
    <t>00001584</t>
  </si>
  <si>
    <t>PO72105180</t>
  </si>
  <si>
    <t>24/04/2024</t>
  </si>
  <si>
    <t>00001671</t>
  </si>
  <si>
    <t>10/06/2024 ok</t>
  </si>
  <si>
    <t>PO72105217</t>
  </si>
  <si>
    <t>00001672</t>
  </si>
  <si>
    <t>PO72105543</t>
  </si>
  <si>
    <t>02/05/2024</t>
  </si>
  <si>
    <t>00001750</t>
  </si>
  <si>
    <t>PO72105613</t>
  </si>
  <si>
    <t>03/05/2024</t>
  </si>
  <si>
    <t>00001754</t>
  </si>
  <si>
    <t>PO72105898</t>
  </si>
  <si>
    <t>08/05/2024</t>
  </si>
  <si>
    <t>00001814</t>
  </si>
  <si>
    <t>PO72106007</t>
  </si>
  <si>
    <t>09/05/2024</t>
  </si>
  <si>
    <t>00001827</t>
  </si>
  <si>
    <t>PO72100137</t>
  </si>
  <si>
    <t>1847</t>
  </si>
  <si>
    <t>PO72101047</t>
  </si>
  <si>
    <t>1848</t>
  </si>
  <si>
    <t>PO72106266</t>
  </si>
  <si>
    <t>1874</t>
  </si>
  <si>
    <t>PO72106296</t>
  </si>
  <si>
    <t>1883</t>
  </si>
  <si>
    <t>24/06/2024 ok</t>
  </si>
  <si>
    <t>PO72106613</t>
  </si>
  <si>
    <t>22/05/2024</t>
  </si>
  <si>
    <t>00001943</t>
  </si>
  <si>
    <t>PO72106943</t>
  </si>
  <si>
    <t>29/05/2024</t>
  </si>
  <si>
    <t>00002015</t>
  </si>
  <si>
    <t>PO72107061</t>
  </si>
  <si>
    <t>30/05/2024</t>
  </si>
  <si>
    <t>00002024</t>
  </si>
  <si>
    <t>PO72107358</t>
  </si>
  <si>
    <t>06/06/2024</t>
  </si>
  <si>
    <t>00002089</t>
  </si>
  <si>
    <t>PO72107316</t>
  </si>
  <si>
    <t>00002090</t>
  </si>
  <si>
    <t>PO72107701</t>
  </si>
  <si>
    <t>13/06/2024</t>
  </si>
  <si>
    <t>00002150</t>
  </si>
  <si>
    <t>PO72107658</t>
  </si>
  <si>
    <t>00002151</t>
  </si>
  <si>
    <t>PO72107746</t>
  </si>
  <si>
    <t>00002152</t>
  </si>
  <si>
    <t>PO72108089</t>
  </si>
  <si>
    <t>00002253</t>
  </si>
  <si>
    <t>PO72108445</t>
  </si>
  <si>
    <t>26/06/2024</t>
  </si>
  <si>
    <t>00002315</t>
  </si>
  <si>
    <t>PO72108810</t>
  </si>
  <si>
    <t>03/07/2024</t>
  </si>
  <si>
    <t>00002439</t>
  </si>
  <si>
    <t>PO72108852</t>
  </si>
  <si>
    <t>04/07/2024</t>
  </si>
  <si>
    <t>00002445</t>
  </si>
  <si>
    <t>PO72108898</t>
  </si>
  <si>
    <t>00002449</t>
  </si>
  <si>
    <t>PO72109169</t>
  </si>
  <si>
    <t>10/07/2024</t>
  </si>
  <si>
    <t>00002524</t>
  </si>
  <si>
    <t>PO72109554</t>
  </si>
  <si>
    <t>17/07/2024</t>
  </si>
  <si>
    <t>00002627</t>
  </si>
  <si>
    <t>PO72109594</t>
  </si>
  <si>
    <t>18/07/2024</t>
  </si>
  <si>
    <t>00002636</t>
  </si>
  <si>
    <t>PO72109931</t>
  </si>
  <si>
    <t>24/07/2024</t>
  </si>
  <si>
    <t>00002701</t>
  </si>
  <si>
    <t>PO72110284</t>
  </si>
  <si>
    <t>31/07/2024</t>
  </si>
  <si>
    <t>00002830</t>
  </si>
  <si>
    <t>PO72110317</t>
  </si>
  <si>
    <t>00002831</t>
  </si>
  <si>
    <t>PO72110635</t>
  </si>
  <si>
    <t>07/08/2024</t>
  </si>
  <si>
    <t>00002900</t>
  </si>
  <si>
    <t>PO72110961</t>
  </si>
  <si>
    <t>14/08/2024</t>
  </si>
  <si>
    <t>00003019</t>
  </si>
  <si>
    <t>PO72111340</t>
  </si>
  <si>
    <t>21/08/2024</t>
  </si>
  <si>
    <t>00003131</t>
  </si>
  <si>
    <t>PO72111427</t>
  </si>
  <si>
    <t>23/08/2024</t>
  </si>
  <si>
    <t>00003143</t>
  </si>
  <si>
    <t>PO72111377</t>
  </si>
  <si>
    <t>00003144</t>
  </si>
  <si>
    <t>PO72111746</t>
  </si>
  <si>
    <t>29/08/2024</t>
  </si>
  <si>
    <t>00003263</t>
  </si>
  <si>
    <t>PO72111717</t>
  </si>
  <si>
    <t>00003264</t>
  </si>
  <si>
    <t>PO72112063</t>
  </si>
  <si>
    <t>05/09/2024</t>
  </si>
  <si>
    <t>00003334</t>
  </si>
  <si>
    <t>PO72112494</t>
  </si>
  <si>
    <t>13/09/2024</t>
  </si>
  <si>
    <t>00003413</t>
  </si>
  <si>
    <t>PO72112384</t>
  </si>
  <si>
    <t>00003414</t>
  </si>
  <si>
    <t>PO72112185</t>
  </si>
  <si>
    <t>00003415</t>
  </si>
  <si>
    <t>PO72112919</t>
  </si>
  <si>
    <t>18/09/2024</t>
  </si>
  <si>
    <t>00003471</t>
  </si>
  <si>
    <t>PO72113283</t>
  </si>
  <si>
    <t>25/09/2024</t>
  </si>
  <si>
    <t>00003580</t>
  </si>
  <si>
    <t>01/10/2024</t>
  </si>
  <si>
    <t>03/10/2024</t>
  </si>
  <si>
    <t>04/10/2024</t>
  </si>
  <si>
    <t>09/10/2024</t>
  </si>
  <si>
    <t>11/10/2024</t>
  </si>
  <si>
    <t>PO72113427</t>
  </si>
  <si>
    <t>90072RN0113074</t>
  </si>
  <si>
    <t>90072RN0113112</t>
  </si>
  <si>
    <t>PO72113741</t>
  </si>
  <si>
    <t>PO72114079</t>
  </si>
  <si>
    <t>90072RN0114089</t>
  </si>
  <si>
    <t>PO72114207</t>
  </si>
  <si>
    <t>00003663</t>
  </si>
  <si>
    <t>00003670</t>
  </si>
  <si>
    <t>00003671</t>
  </si>
  <si>
    <t>00003691</t>
  </si>
  <si>
    <t>00003779</t>
  </si>
  <si>
    <t>00003790</t>
  </si>
  <si>
    <t>00003801</t>
  </si>
  <si>
    <t>00003870</t>
  </si>
  <si>
    <t>00003884</t>
  </si>
  <si>
    <t>00003927</t>
  </si>
  <si>
    <t>00003928</t>
  </si>
  <si>
    <t>00003929</t>
  </si>
  <si>
    <t>00003930</t>
  </si>
  <si>
    <t>16/10/2024</t>
  </si>
  <si>
    <t>18/10/2024</t>
  </si>
  <si>
    <t>21/10/2024</t>
  </si>
  <si>
    <t>PO72114441</t>
  </si>
  <si>
    <t>PO72114480</t>
  </si>
  <si>
    <t>90072RN0113886</t>
  </si>
  <si>
    <t>90072RN0113906</t>
  </si>
  <si>
    <t>90072RN0113907</t>
  </si>
  <si>
    <t>90072RN0114265</t>
  </si>
  <si>
    <t>Phí vc quý 3</t>
  </si>
  <si>
    <t>PVC tháng 9</t>
  </si>
  <si>
    <t>10716</t>
  </si>
  <si>
    <t>10301</t>
  </si>
  <si>
    <t>00003969</t>
  </si>
  <si>
    <t>00004061</t>
  </si>
  <si>
    <t>00004062</t>
  </si>
  <si>
    <t>00004164</t>
  </si>
  <si>
    <t>00004165</t>
  </si>
  <si>
    <t>00004406</t>
  </si>
  <si>
    <t>00004407</t>
  </si>
  <si>
    <t>00004408</t>
  </si>
  <si>
    <t>00004461</t>
  </si>
  <si>
    <t>00004462</t>
  </si>
  <si>
    <t>00004576</t>
  </si>
  <si>
    <t>00004604</t>
  </si>
  <si>
    <t>00004735</t>
  </si>
  <si>
    <t>00004736</t>
  </si>
  <si>
    <t>00004751</t>
  </si>
  <si>
    <t>00004752</t>
  </si>
  <si>
    <t>00004753</t>
  </si>
  <si>
    <t>PO72114818</t>
  </si>
  <si>
    <t>PO72115250</t>
  </si>
  <si>
    <t>PO72115211</t>
  </si>
  <si>
    <t>PO72115629</t>
  </si>
  <si>
    <t>PO72115582</t>
  </si>
  <si>
    <t>PO72116013</t>
  </si>
  <si>
    <t>PO72115984</t>
  </si>
  <si>
    <t>PO72115916</t>
  </si>
  <si>
    <t>90072RN0114405</t>
  </si>
  <si>
    <t>90072RN0114404</t>
  </si>
  <si>
    <t>PO72116443</t>
  </si>
  <si>
    <t>PO72116388</t>
  </si>
  <si>
    <t>PO72116909</t>
  </si>
  <si>
    <t>PO72116865</t>
  </si>
  <si>
    <t>PO72116812</t>
  </si>
  <si>
    <t>PO72116932</t>
  </si>
  <si>
    <t>PO72116933</t>
  </si>
  <si>
    <t>24/10/2024</t>
  </si>
  <si>
    <t>31/10/2024</t>
  </si>
  <si>
    <t>08/11/2024</t>
  </si>
  <si>
    <t>15/11/2024</t>
  </si>
  <si>
    <t>16/11/2024</t>
  </si>
  <si>
    <t>21/11/2024</t>
  </si>
  <si>
    <t>22/11/2024</t>
  </si>
  <si>
    <t>28/11/2024</t>
  </si>
  <si>
    <t>29/11/2024</t>
  </si>
  <si>
    <t>00004900</t>
  </si>
  <si>
    <t>00004939</t>
  </si>
  <si>
    <t>00004940</t>
  </si>
  <si>
    <t>00005107</t>
  </si>
  <si>
    <t>00005108</t>
  </si>
  <si>
    <t>00005110</t>
  </si>
  <si>
    <t>00005244</t>
  </si>
  <si>
    <t>00005311</t>
  </si>
  <si>
    <t>00005312</t>
  </si>
  <si>
    <t>00005313</t>
  </si>
  <si>
    <t>00005314</t>
  </si>
  <si>
    <t>05/12/2024</t>
  </si>
  <si>
    <t>06/12/2024</t>
  </si>
  <si>
    <t>13/12/2024</t>
  </si>
  <si>
    <t>18/12/2024</t>
  </si>
  <si>
    <t>20/12/2024</t>
  </si>
  <si>
    <t>90072RN0115993</t>
  </si>
  <si>
    <t>PO72117212</t>
  </si>
  <si>
    <t>PO72117309</t>
  </si>
  <si>
    <t>PO72117665</t>
  </si>
  <si>
    <t>PO72117744</t>
  </si>
  <si>
    <t>PO72117329</t>
  </si>
  <si>
    <t>90072RN099383</t>
  </si>
  <si>
    <t>PO72117762</t>
  </si>
  <si>
    <t>PO72118070</t>
  </si>
  <si>
    <t>PO72117761</t>
  </si>
  <si>
    <t>PO72118023</t>
  </si>
  <si>
    <t>00005483</t>
  </si>
  <si>
    <t>00005484</t>
  </si>
  <si>
    <t>00005485</t>
  </si>
  <si>
    <t>27/12/2024</t>
  </si>
  <si>
    <t>PO72118511</t>
  </si>
  <si>
    <t>PO72118435</t>
  </si>
  <si>
    <t>PO72118393</t>
  </si>
  <si>
    <t>5502</t>
  </si>
  <si>
    <t>00000024</t>
  </si>
  <si>
    <t>00000225</t>
  </si>
  <si>
    <t>00000227</t>
  </si>
  <si>
    <t>00000228</t>
  </si>
  <si>
    <t>00000353</t>
  </si>
  <si>
    <t>00000373</t>
  </si>
  <si>
    <t>00000374</t>
  </si>
  <si>
    <t>00000377</t>
  </si>
  <si>
    <t>00000427</t>
  </si>
  <si>
    <t>00000428</t>
  </si>
  <si>
    <t>00000429</t>
  </si>
  <si>
    <t>00000430</t>
  </si>
  <si>
    <t>00000481</t>
  </si>
  <si>
    <t>00000556</t>
  </si>
  <si>
    <t>00000557</t>
  </si>
  <si>
    <t>00000558</t>
  </si>
  <si>
    <t>02/01/2025</t>
  </si>
  <si>
    <t>09/01/2025</t>
  </si>
  <si>
    <t>15/01/2025</t>
  </si>
  <si>
    <t>17/01/2025</t>
  </si>
  <si>
    <t>21/01/2025</t>
  </si>
  <si>
    <t>22/01/2025</t>
  </si>
  <si>
    <t>07/02/2025</t>
  </si>
  <si>
    <t>PO72118904</t>
  </si>
  <si>
    <t>PO72118853</t>
  </si>
  <si>
    <t>PO72119145</t>
  </si>
  <si>
    <t>PO72119017</t>
  </si>
  <si>
    <t>PO72119283</t>
  </si>
  <si>
    <t>PO72119658</t>
  </si>
  <si>
    <t>PO72119681</t>
  </si>
  <si>
    <t>PO72119672</t>
  </si>
  <si>
    <t>PO72119713</t>
  </si>
  <si>
    <t>PO72119659</t>
  </si>
  <si>
    <t>PO72119196</t>
  </si>
  <si>
    <t>PO72119817</t>
  </si>
  <si>
    <t>PO72119763</t>
  </si>
  <si>
    <t>PO72120060</t>
  </si>
  <si>
    <t>PO72120198</t>
  </si>
  <si>
    <t>PO72120752</t>
  </si>
  <si>
    <t>PO72120625</t>
  </si>
  <si>
    <t>PO72120689</t>
  </si>
  <si>
    <t>ok</t>
  </si>
  <si>
    <t>00000686</t>
  </si>
  <si>
    <t>00000687</t>
  </si>
  <si>
    <t>PO72121067</t>
  </si>
  <si>
    <t>PO72121011</t>
  </si>
  <si>
    <t>13/02/2025</t>
  </si>
  <si>
    <t>748</t>
  </si>
  <si>
    <t>90072RN0120923</t>
  </si>
  <si>
    <t>803</t>
  </si>
  <si>
    <t>804</t>
  </si>
  <si>
    <t>PO72121471</t>
  </si>
  <si>
    <t>PO72121400</t>
  </si>
  <si>
    <t>00000913</t>
  </si>
  <si>
    <t>00000914</t>
  </si>
  <si>
    <t>00000995</t>
  </si>
  <si>
    <t>00000996</t>
  </si>
  <si>
    <t>00001103</t>
  </si>
  <si>
    <t>00001104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</si>
  <si>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</si>
  <si>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</si>
  <si>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</si>
  <si>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</si>
  <si>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</si>
  <si>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</si>
  <si>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</si>
  <si>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</si>
  <si>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</si>
  <si>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</si>
  <si>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00001159</t>
  </si>
  <si>
    <t>00001160</t>
  </si>
  <si>
    <t>00001161</t>
  </si>
  <si>
    <t>00001162</t>
  </si>
  <si>
    <t>00001164</t>
  </si>
  <si>
    <t>00001166</t>
  </si>
  <si>
    <t>00001167</t>
  </si>
  <si>
    <t>00001168</t>
  </si>
  <si>
    <t>00001169</t>
  </si>
  <si>
    <t>00001170</t>
  </si>
  <si>
    <t>00001205</t>
  </si>
  <si>
    <t>27/02/2025</t>
  </si>
  <si>
    <t>06/03/2025</t>
  </si>
  <si>
    <t>14/03/2025</t>
  </si>
  <si>
    <t>17/03/2025</t>
  </si>
  <si>
    <t>19/03/2025</t>
  </si>
  <si>
    <t>PO72121758</t>
  </si>
  <si>
    <t>PO72121829</t>
  </si>
  <si>
    <t>PO72121880</t>
  </si>
  <si>
    <t>PO72122147</t>
  </si>
  <si>
    <t>PO72122627</t>
  </si>
  <si>
    <t>PO72122521</t>
  </si>
  <si>
    <t>90072RN0121415</t>
  </si>
  <si>
    <t>90072RN0121362</t>
  </si>
  <si>
    <t>90072RN0121489</t>
  </si>
  <si>
    <t>90072RN0121025</t>
  </si>
  <si>
    <t>90072RN0121423</t>
  </si>
  <si>
    <t>90072RN0121123</t>
  </si>
  <si>
    <t>90072RN0121372</t>
  </si>
  <si>
    <t>90072RN0121492</t>
  </si>
  <si>
    <t>90072RN0121447</t>
  </si>
  <si>
    <t>90072RN0121303</t>
  </si>
  <si>
    <t>90072RN0121803</t>
  </si>
  <si>
    <t>90072RN0121734</t>
  </si>
  <si>
    <t>90072RN0121357</t>
  </si>
  <si>
    <t>90072RN0121662</t>
  </si>
  <si>
    <t>90072RN0121410</t>
  </si>
  <si>
    <t>90072RN0121503</t>
  </si>
  <si>
    <t>90072RN0120838</t>
  </si>
  <si>
    <t>90072RN0122122</t>
  </si>
  <si>
    <t>PO72122878</t>
  </si>
  <si>
    <t>00001340</t>
  </si>
  <si>
    <t>00001341</t>
  </si>
  <si>
    <t>00001342</t>
  </si>
  <si>
    <t>00001365</t>
  </si>
  <si>
    <t>00001366</t>
  </si>
  <si>
    <t>00001573</t>
  </si>
  <si>
    <t>00001574</t>
  </si>
  <si>
    <t>00001683</t>
  </si>
  <si>
    <t>00001684</t>
  </si>
  <si>
    <t>00001777</t>
  </si>
  <si>
    <t>00001939</t>
  </si>
  <si>
    <t>00001940</t>
  </si>
  <si>
    <t>00001941</t>
  </si>
  <si>
    <t>00002000</t>
  </si>
  <si>
    <t>00002001</t>
  </si>
  <si>
    <t>00002044</t>
  </si>
  <si>
    <t>00002045</t>
  </si>
  <si>
    <t>27/03/2025</t>
  </si>
  <si>
    <t>28/03/2025</t>
  </si>
  <si>
    <t>03/04/2025</t>
  </si>
  <si>
    <t>10/04/2025</t>
  </si>
  <si>
    <t>17/04/2025</t>
  </si>
  <si>
    <t>25/04/2025</t>
  </si>
  <si>
    <t>27/04/2025</t>
  </si>
  <si>
    <t>02/05/2025</t>
  </si>
  <si>
    <t>PO72123296</t>
  </si>
  <si>
    <t>PO72123251</t>
  </si>
  <si>
    <t>PO72123008</t>
  </si>
  <si>
    <t>90072RN0122333</t>
  </si>
  <si>
    <t>PO72123606</t>
  </si>
  <si>
    <t>PO72123365</t>
  </si>
  <si>
    <t>PO72123925</t>
  </si>
  <si>
    <t>PO72123999</t>
  </si>
  <si>
    <t>PO72124310</t>
  </si>
  <si>
    <t>PO72124666</t>
  </si>
  <si>
    <t>PO72124749</t>
  </si>
  <si>
    <t>PO72124818</t>
  </si>
  <si>
    <t>90072RN0122533</t>
  </si>
  <si>
    <t>90072RN0124381</t>
  </si>
  <si>
    <t>PO72125104</t>
  </si>
  <si>
    <t>PO72125134</t>
  </si>
  <si>
    <t>00002158</t>
  </si>
  <si>
    <t>00002160</t>
  </si>
  <si>
    <t>00002294</t>
  </si>
  <si>
    <t>00002295</t>
  </si>
  <si>
    <t>00002296</t>
  </si>
  <si>
    <t>00002391</t>
  </si>
  <si>
    <t>00002392</t>
  </si>
  <si>
    <t>00002454</t>
  </si>
  <si>
    <t>00002622</t>
  </si>
  <si>
    <t>00002738</t>
  </si>
  <si>
    <t>00003026</t>
  </si>
  <si>
    <t>00003125</t>
  </si>
  <si>
    <t>00003416</t>
  </si>
  <si>
    <t>00003441</t>
  </si>
  <si>
    <t>00003594</t>
  </si>
  <si>
    <t>00003595</t>
  </si>
  <si>
    <t>00003823</t>
  </si>
  <si>
    <t>00003824</t>
  </si>
  <si>
    <t>00003825</t>
  </si>
  <si>
    <t>00003975</t>
  </si>
  <si>
    <t>00003976</t>
  </si>
  <si>
    <t>00004127</t>
  </si>
  <si>
    <t>00004128</t>
  </si>
  <si>
    <t>00004264</t>
  </si>
  <si>
    <t>00004265</t>
  </si>
  <si>
    <t>00004447</t>
  </si>
  <si>
    <t>00004657</t>
  </si>
  <si>
    <t>00004658</t>
  </si>
  <si>
    <t>00004659</t>
  </si>
  <si>
    <t>00004660</t>
  </si>
  <si>
    <t>00005061</t>
  </si>
  <si>
    <t>00005062</t>
  </si>
  <si>
    <t>00005301</t>
  </si>
  <si>
    <t>00005325</t>
  </si>
  <si>
    <t>00005326</t>
  </si>
  <si>
    <t>00005327</t>
  </si>
  <si>
    <t>00005515</t>
  </si>
  <si>
    <t>00005666</t>
  </si>
  <si>
    <t>00005678</t>
  </si>
  <si>
    <t>07/05/2025</t>
  </si>
  <si>
    <t>15/05/2025</t>
  </si>
  <si>
    <t>19/05/2025</t>
  </si>
  <si>
    <t>22/05/2025</t>
  </si>
  <si>
    <t>30/05/2025</t>
  </si>
  <si>
    <t>05/06/2025</t>
  </si>
  <si>
    <t>19/06/2025</t>
  </si>
  <si>
    <t>24/06/2025</t>
  </si>
  <si>
    <t>07/07/2025</t>
  </si>
  <si>
    <t>08/07/2025</t>
  </si>
  <si>
    <t>16/07/2025</t>
  </si>
  <si>
    <t>28/07/2025</t>
  </si>
  <si>
    <t>04/08/2025</t>
  </si>
  <si>
    <t>12/08/2025</t>
  </si>
  <si>
    <t>19/08/2025</t>
  </si>
  <si>
    <t>29/08/2025</t>
  </si>
  <si>
    <t>05/09/2025</t>
  </si>
  <si>
    <t>24/09/2025</t>
  </si>
  <si>
    <t>07/10/2025</t>
  </si>
  <si>
    <t>17/10/2025</t>
  </si>
  <si>
    <t>23/10/2025</t>
  </si>
  <si>
    <t>25/10/2025</t>
  </si>
  <si>
    <t>PO72125318</t>
  </si>
  <si>
    <t>PO72125440</t>
  </si>
  <si>
    <t>PO72125905</t>
  </si>
  <si>
    <t>PO72125847</t>
  </si>
  <si>
    <t>PO72125752</t>
  </si>
  <si>
    <t>90072RN0124565</t>
  </si>
  <si>
    <t>90072RN0124578</t>
  </si>
  <si>
    <t>PO72126224</t>
  </si>
  <si>
    <t>PO72126558</t>
  </si>
  <si>
    <t>PO72126903</t>
  </si>
  <si>
    <t>PO72127211</t>
  </si>
  <si>
    <t>PO72127612</t>
  </si>
  <si>
    <t>PO72127927</t>
  </si>
  <si>
    <t>PO72127966</t>
  </si>
  <si>
    <t>PO72128299</t>
  </si>
  <si>
    <t>PO72128669</t>
  </si>
  <si>
    <t>PO72128617</t>
  </si>
  <si>
    <t>PO72129387</t>
  </si>
  <si>
    <t>PO72129345</t>
  </si>
  <si>
    <t>PO72129015</t>
  </si>
  <si>
    <t>PO72129746</t>
  </si>
  <si>
    <t>PO72129795</t>
  </si>
  <si>
    <t>PO72130084</t>
  </si>
  <si>
    <t>PO72130152</t>
  </si>
  <si>
    <t>PO72130508</t>
  </si>
  <si>
    <t>PO72130557</t>
  </si>
  <si>
    <t>PO72130877</t>
  </si>
  <si>
    <t>PO72131030</t>
  </si>
  <si>
    <t>PO72131271</t>
  </si>
  <si>
    <t>PO72130986</t>
  </si>
  <si>
    <t>PO72131574</t>
  </si>
  <si>
    <t>PO72131923</t>
  </si>
  <si>
    <t>PO72132376</t>
  </si>
  <si>
    <t>PO72132722</t>
  </si>
  <si>
    <t>PO72133232</t>
  </si>
  <si>
    <t>PO72133287</t>
  </si>
  <si>
    <t>PO72133344</t>
  </si>
  <si>
    <t>PO72133629</t>
  </si>
  <si>
    <t>PO72134104</t>
  </si>
  <si>
    <t>PO72134608</t>
  </si>
  <si>
    <t>09/11/2025</t>
  </si>
  <si>
    <t>00006040</t>
  </si>
  <si>
    <t>00006041</t>
  </si>
  <si>
    <t>00006042</t>
  </si>
  <si>
    <t>PO72135038</t>
  </si>
  <si>
    <t>PO72135407</t>
  </si>
  <si>
    <t>PO72135094</t>
  </si>
  <si>
    <t>24/03/2025 và 10/4/2025</t>
  </si>
  <si>
    <t>3055</t>
  </si>
  <si>
    <t>00006242</t>
  </si>
  <si>
    <t>00006243</t>
  </si>
  <si>
    <t>00006244</t>
  </si>
  <si>
    <t>00006374</t>
  </si>
  <si>
    <t>00006571</t>
  </si>
  <si>
    <t>00006572</t>
  </si>
  <si>
    <t>00006991</t>
  </si>
  <si>
    <t>00006992</t>
  </si>
  <si>
    <t>00006993</t>
  </si>
  <si>
    <t>00007189</t>
  </si>
  <si>
    <t>00007429</t>
  </si>
  <si>
    <t>00007430</t>
  </si>
  <si>
    <t>00007431</t>
  </si>
  <si>
    <t>00007523</t>
  </si>
  <si>
    <t>00007524</t>
  </si>
  <si>
    <t>00007525</t>
  </si>
  <si>
    <t>00007713</t>
  </si>
  <si>
    <t>00007794</t>
  </si>
  <si>
    <t>00007795</t>
  </si>
  <si>
    <t>00007796</t>
  </si>
  <si>
    <t>00007797</t>
  </si>
  <si>
    <t>00007798</t>
  </si>
  <si>
    <t>00007799</t>
  </si>
  <si>
    <t>00007800</t>
  </si>
  <si>
    <t>00007801</t>
  </si>
  <si>
    <t>17/11/2025</t>
  </si>
  <si>
    <t>22/11/2025</t>
  </si>
  <si>
    <t>29/11/2025</t>
  </si>
  <si>
    <t>11/12/2025</t>
  </si>
  <si>
    <t>15/12/2025</t>
  </si>
  <si>
    <t>20/12/2025</t>
  </si>
  <si>
    <t>24/12/2025</t>
  </si>
  <si>
    <t>27/12/2025</t>
  </si>
  <si>
    <t>30/12/2025</t>
  </si>
  <si>
    <t>PO72135548</t>
  </si>
  <si>
    <t>PO72135498</t>
  </si>
  <si>
    <t>PO72135811</t>
  </si>
  <si>
    <t>PO72136207</t>
  </si>
  <si>
    <t>PO72136591</t>
  </si>
  <si>
    <t>PO72136318</t>
  </si>
  <si>
    <t>PO72137166</t>
  </si>
  <si>
    <t>PO72136801</t>
  </si>
  <si>
    <t>PO72136641</t>
  </si>
  <si>
    <t>PO72137575</t>
  </si>
  <si>
    <t>PO72137940</t>
  </si>
  <si>
    <t>PO72137997</t>
  </si>
  <si>
    <t>PO72137646</t>
  </si>
  <si>
    <t>PO72138097</t>
  </si>
  <si>
    <t>PO72138108</t>
  </si>
  <si>
    <t>PO72138056</t>
  </si>
  <si>
    <t>PO72138382</t>
  </si>
  <si>
    <t xml:space="preserve"> PO72138588</t>
  </si>
  <si>
    <t>PO72138557</t>
  </si>
  <si>
    <t>PO72138472</t>
  </si>
  <si>
    <t>PO72138589</t>
  </si>
  <si>
    <t>PO72138540</t>
  </si>
  <si>
    <t>PO72138725</t>
  </si>
  <si>
    <t>PO72138605</t>
  </si>
  <si>
    <t xml:space="preserve"> PO72138733</t>
  </si>
  <si>
    <t>00000284</t>
  </si>
  <si>
    <t>00000285</t>
  </si>
  <si>
    <t>00000286</t>
  </si>
  <si>
    <t>00000287</t>
  </si>
  <si>
    <t>00000288</t>
  </si>
  <si>
    <t>00000289</t>
  </si>
  <si>
    <t>00000290</t>
  </si>
  <si>
    <t>00000444</t>
  </si>
  <si>
    <t>00000751</t>
  </si>
  <si>
    <t>00000752</t>
  </si>
  <si>
    <t>00000753</t>
  </si>
  <si>
    <t>00000948</t>
  </si>
  <si>
    <t>00000949</t>
  </si>
  <si>
    <t>00000950</t>
  </si>
  <si>
    <t>00000978</t>
  </si>
  <si>
    <t>00001222</t>
  </si>
  <si>
    <t>00001223</t>
  </si>
  <si>
    <t>00001383</t>
  </si>
  <si>
    <t>00001384</t>
  </si>
  <si>
    <t>00001500</t>
  </si>
  <si>
    <t>09/01/2026</t>
  </si>
  <si>
    <t>11/01/2026</t>
  </si>
  <si>
    <t>21/01/2026</t>
  </si>
  <si>
    <t>25/01/2026</t>
  </si>
  <si>
    <t>27/01/2026</t>
  </si>
  <si>
    <t>31/01/2026</t>
  </si>
  <si>
    <t>06/02/2026</t>
  </si>
  <si>
    <t>10/02/2026</t>
  </si>
  <si>
    <t>PO72138860</t>
  </si>
  <si>
    <t>PO72139271</t>
  </si>
  <si>
    <t>PO72139190</t>
  </si>
  <si>
    <t>PO72139028</t>
  </si>
  <si>
    <t>PO72139018</t>
  </si>
  <si>
    <t>PO72138950</t>
  </si>
  <si>
    <t>PO72139298</t>
  </si>
  <si>
    <t>PO72139345</t>
  </si>
  <si>
    <t>PO72139838</t>
  </si>
  <si>
    <t>PO72139403</t>
  </si>
  <si>
    <t>PO72139861</t>
  </si>
  <si>
    <t>PO72140167</t>
  </si>
  <si>
    <t>PO72140317</t>
  </si>
  <si>
    <t>PO72140408</t>
  </si>
  <si>
    <t>PO72140256</t>
  </si>
  <si>
    <t>PO72140851</t>
  </si>
  <si>
    <t>PO72140822</t>
  </si>
  <si>
    <t>PO72141322</t>
  </si>
  <si>
    <t>PO72141361</t>
  </si>
  <si>
    <t>PO72141490</t>
  </si>
  <si>
    <t>00001752</t>
  </si>
  <si>
    <t>00001753</t>
  </si>
  <si>
    <t>00001999</t>
  </si>
  <si>
    <t>00002168</t>
  </si>
  <si>
    <t>00002400</t>
  </si>
  <si>
    <t>00002401</t>
  </si>
  <si>
    <t>00002402</t>
  </si>
  <si>
    <t>00002403</t>
  </si>
  <si>
    <t>28/02/2026</t>
  </si>
  <si>
    <t>07/03/2026</t>
  </si>
  <si>
    <t>16/03/2026</t>
  </si>
  <si>
    <t>24/03/2026</t>
  </si>
  <si>
    <t>PO72142196</t>
  </si>
  <si>
    <t>PO72142037</t>
  </si>
  <si>
    <t>PO72142753</t>
  </si>
  <si>
    <t>PO72143095</t>
  </si>
  <si>
    <t>PO72142849</t>
  </si>
  <si>
    <t>PO72142804</t>
  </si>
  <si>
    <t>PO72143640</t>
  </si>
  <si>
    <t>PO72143587</t>
  </si>
  <si>
    <t>974</t>
  </si>
  <si>
    <t>972</t>
  </si>
  <si>
    <t>975</t>
  </si>
  <si>
    <t>976</t>
  </si>
  <si>
    <t>978</t>
  </si>
  <si>
    <t>979</t>
  </si>
  <si>
    <t>983</t>
  </si>
  <si>
    <t>Hàng xuất trả</t>
  </si>
  <si>
    <t>00002605</t>
  </si>
  <si>
    <t>00002669</t>
  </si>
  <si>
    <t>02/04/2026</t>
  </si>
  <si>
    <t>06/04/2026</t>
  </si>
  <si>
    <t>PO72143931</t>
  </si>
  <si>
    <t>PO72144346</t>
  </si>
  <si>
    <t>1457</t>
  </si>
  <si>
    <t>1442</t>
  </si>
  <si>
    <t>1459</t>
  </si>
  <si>
    <t>1443</t>
  </si>
  <si>
    <t>1445</t>
  </si>
  <si>
    <t>1446</t>
  </si>
  <si>
    <t>1449</t>
  </si>
  <si>
    <t>1450</t>
  </si>
  <si>
    <t>1451</t>
  </si>
  <si>
    <t>00003142</t>
  </si>
  <si>
    <t>00003311</t>
  </si>
  <si>
    <t>00003312</t>
  </si>
  <si>
    <t>22/04/2026</t>
  </si>
  <si>
    <t>27/04/2026</t>
  </si>
  <si>
    <t>PO72145212</t>
  </si>
  <si>
    <t>PO72144849</t>
  </si>
  <si>
    <t>PO72144789</t>
  </si>
  <si>
    <t>PO72145693</t>
  </si>
  <si>
    <t>PO72145326</t>
  </si>
  <si>
    <t>2079</t>
  </si>
  <si>
    <t>2083</t>
  </si>
  <si>
    <t>00003624</t>
  </si>
  <si>
    <t>00004016</t>
  </si>
  <si>
    <t>00004017</t>
  </si>
  <si>
    <t>00004018</t>
  </si>
  <si>
    <t>00004019</t>
  </si>
  <si>
    <t>08/05/2026</t>
  </si>
  <si>
    <t>19/05/2026</t>
  </si>
  <si>
    <t>PO72146073</t>
  </si>
  <si>
    <t>PO72146497</t>
  </si>
  <si>
    <t>PO72146877</t>
  </si>
  <si>
    <t>PO72146141</t>
  </si>
  <si>
    <t>PO72146436</t>
  </si>
  <si>
    <t>00004231</t>
  </si>
  <si>
    <t>00004232</t>
  </si>
  <si>
    <t>00004450</t>
  </si>
  <si>
    <t>00004783</t>
  </si>
  <si>
    <t>00004784</t>
  </si>
  <si>
    <t>00004785</t>
  </si>
  <si>
    <t>00004786</t>
  </si>
  <si>
    <t>00005240</t>
  </si>
  <si>
    <t>26/05/2026</t>
  </si>
  <si>
    <t>02/06/2026</t>
  </si>
  <si>
    <t>13/06/2026</t>
  </si>
  <si>
    <t>27/06/2026</t>
  </si>
  <si>
    <t>PO72147284</t>
  </si>
  <si>
    <t>PO72146946</t>
  </si>
  <si>
    <t>PO72147649</t>
  </si>
  <si>
    <t>PO72148478</t>
  </si>
  <si>
    <t>PO72148155</t>
  </si>
  <si>
    <t>PO72148090</t>
  </si>
  <si>
    <t>PO72147741</t>
  </si>
  <si>
    <t>PO72148940</t>
  </si>
  <si>
    <t>ghi nhận DS</t>
  </si>
  <si>
    <t>5545</t>
  </si>
  <si>
    <t>5546</t>
  </si>
  <si>
    <t>PO72149369</t>
  </si>
  <si>
    <t>PO72148538</t>
  </si>
  <si>
    <t>HXT</t>
  </si>
  <si>
    <t>3264</t>
  </si>
  <si>
    <t>3265</t>
  </si>
  <si>
    <t>3267</t>
  </si>
  <si>
    <t>3269</t>
  </si>
  <si>
    <t>3270</t>
  </si>
  <si>
    <t>3271</t>
  </si>
  <si>
    <t>3273</t>
  </si>
  <si>
    <t>3274</t>
  </si>
  <si>
    <t>3275</t>
  </si>
  <si>
    <t>3303</t>
  </si>
  <si>
    <t>3306</t>
  </si>
  <si>
    <t>3310</t>
  </si>
  <si>
    <t>PO72150191</t>
  </si>
  <si>
    <t>PO72149826</t>
  </si>
  <si>
    <t>5868</t>
  </si>
  <si>
    <t>5869</t>
  </si>
  <si>
    <t>5870</t>
  </si>
  <si>
    <t>PO72149429</t>
  </si>
  <si>
    <t>10/07/2026 và 24/7/2026</t>
  </si>
  <si>
    <t xml:space="preserve"> </t>
  </si>
  <si>
    <t>00006083</t>
  </si>
  <si>
    <t>00006084</t>
  </si>
  <si>
    <t>00006245</t>
  </si>
  <si>
    <t>00006349</t>
  </si>
  <si>
    <t>00006555</t>
  </si>
  <si>
    <t>17/07/2026</t>
  </si>
  <si>
    <t>22/07/2026</t>
  </si>
  <si>
    <t>27/07/2026</t>
  </si>
  <si>
    <t>31/07/2026</t>
  </si>
  <si>
    <t>PO72150291</t>
  </si>
  <si>
    <t>PO72150464</t>
  </si>
  <si>
    <t>PO72150830</t>
  </si>
  <si>
    <t>PO72151237</t>
  </si>
  <si>
    <t>PO72151636</t>
  </si>
  <si>
    <t>24/07/2026 và 10/8/2026</t>
  </si>
  <si>
    <t>3674</t>
  </si>
  <si>
    <t>6870</t>
  </si>
  <si>
    <t>6871</t>
  </si>
  <si>
    <t>PO72151724</t>
  </si>
  <si>
    <t>PO72152065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</si>
</sst>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rgb="FF000000"/>
      <name val="Cambria"/>
      <family val="1"/>
    </font>
    <font>
      <b/>
      <i/>
      <sz val="12"/>
      <color rgb="FF000000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mbria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mbria"/>
      <family val="1"/>
    </font>
    <font>
      <b/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1F497D"/>
      <name val="Times New Roman"/>
      <family val="1"/>
    </font>
    <font>
      <b/>
      <i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mbria"/>
      <family val="1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6E3BC"/>
      </patternFill>
    </fill>
    <fill>
      <patternFill patternType="solid">
        <fgColor rgb="FFFFFF00"/>
        <bgColor rgb="FF8DB3E2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3">
    <xf numFmtId="0" fontId="0" fillId="0" borderId="0"/>
    <xf numFmtId="0" fontId="1" fillId="0" borderId="0"/>
    <xf numFmtId="43" fontId="22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1"/>
    <xf numFmtId="0" fontId="4" fillId="0" borderId="0" xfId="1" applyFont="1" applyAlignment="1">
      <alignment horizontal="left"/>
    </xf>
    <xf numFmtId="0" fontId="1" fillId="2" borderId="0" xfId="1" applyFill="1"/>
    <xf numFmtId="0" fontId="1" fillId="3" borderId="0" xfId="1" applyFill="1"/>
    <xf numFmtId="0" fontId="7" fillId="4" borderId="2" xfId="1" applyFont="1" applyFill="1" applyBorder="1" applyAlignment="1">
      <alignment horizontal="left" vertical="center" wrapText="1"/>
    </xf>
    <xf numFmtId="14" fontId="8" fillId="4" borderId="3" xfId="1" applyNumberFormat="1" applyFont="1" applyFill="1" applyBorder="1" applyAlignment="1">
      <alignment horizontal="center" vertical="center" wrapText="1"/>
    </xf>
    <xf numFmtId="49" fontId="8" fillId="4" borderId="3" xfId="1" applyNumberFormat="1" applyFont="1" applyFill="1" applyBorder="1" applyAlignment="1">
      <alignment horizontal="center" vertical="center" wrapText="1"/>
    </xf>
    <xf numFmtId="49" fontId="8" fillId="4" borderId="4" xfId="1" applyNumberFormat="1" applyFont="1" applyFill="1" applyBorder="1" applyAlignment="1">
      <alignment horizontal="center" vertical="center" wrapText="1"/>
    </xf>
    <xf numFmtId="14" fontId="7" fillId="4" borderId="3" xfId="1" applyNumberFormat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6" fillId="0" borderId="0" xfId="1" applyFont="1"/>
    <xf numFmtId="0" fontId="7" fillId="4" borderId="12" xfId="1" applyFont="1" applyFill="1" applyBorder="1" applyAlignment="1">
      <alignment horizontal="left" vertical="center" wrapText="1"/>
    </xf>
    <xf numFmtId="14" fontId="8" fillId="4" borderId="13" xfId="1" applyNumberFormat="1" applyFont="1" applyFill="1" applyBorder="1" applyAlignment="1">
      <alignment horizontal="center" vertical="center" wrapText="1"/>
    </xf>
    <xf numFmtId="49" fontId="8" fillId="4" borderId="13" xfId="1" applyNumberFormat="1" applyFont="1" applyFill="1" applyBorder="1" applyAlignment="1">
      <alignment horizontal="center" vertical="center" wrapText="1"/>
    </xf>
    <xf numFmtId="3" fontId="7" fillId="4" borderId="13" xfId="1" applyNumberFormat="1" applyFont="1" applyFill="1" applyBorder="1" applyAlignment="1">
      <alignment horizontal="center" vertical="center"/>
    </xf>
    <xf numFmtId="3" fontId="7" fillId="2" borderId="13" xfId="1" applyNumberFormat="1" applyFont="1" applyFill="1" applyBorder="1" applyAlignment="1">
      <alignment horizontal="center" vertical="center"/>
    </xf>
    <xf numFmtId="164" fontId="7" fillId="2" borderId="14" xfId="1" applyNumberFormat="1" applyFont="1" applyFill="1" applyBorder="1" applyAlignment="1">
      <alignment vertical="center"/>
    </xf>
    <xf numFmtId="3" fontId="7" fillId="3" borderId="14" xfId="1" applyNumberFormat="1" applyFont="1" applyFill="1" applyBorder="1" applyAlignment="1">
      <alignment horizontal="center" vertical="center" wrapText="1"/>
    </xf>
    <xf numFmtId="3" fontId="7" fillId="3" borderId="14" xfId="1" applyNumberFormat="1" applyFont="1" applyFill="1" applyBorder="1" applyAlignment="1">
      <alignment horizontal="center" vertical="center"/>
    </xf>
    <xf numFmtId="14" fontId="7" fillId="4" borderId="13" xfId="1" applyNumberFormat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center" vertical="center"/>
    </xf>
    <xf numFmtId="0" fontId="6" fillId="0" borderId="17" xfId="1" applyFont="1" applyBorder="1"/>
    <xf numFmtId="3" fontId="7" fillId="4" borderId="18" xfId="1" applyNumberFormat="1" applyFont="1" applyFill="1" applyBorder="1" applyAlignment="1">
      <alignment horizontal="center" vertical="center"/>
    </xf>
    <xf numFmtId="3" fontId="7" fillId="2" borderId="18" xfId="1" applyNumberFormat="1" applyFont="1" applyFill="1" applyBorder="1" applyAlignment="1">
      <alignment horizontal="center" vertical="center"/>
    </xf>
    <xf numFmtId="14" fontId="7" fillId="4" borderId="18" xfId="1" applyNumberFormat="1" applyFont="1" applyFill="1" applyBorder="1" applyAlignment="1">
      <alignment horizontal="center" vertical="center"/>
    </xf>
    <xf numFmtId="0" fontId="4" fillId="0" borderId="0" xfId="1" applyFont="1"/>
    <xf numFmtId="49" fontId="11" fillId="5" borderId="22" xfId="1" applyNumberFormat="1" applyFont="1" applyFill="1" applyBorder="1" applyAlignment="1">
      <alignment horizontal="center" wrapText="1"/>
    </xf>
    <xf numFmtId="3" fontId="12" fillId="5" borderId="22" xfId="1" applyNumberFormat="1" applyFont="1" applyFill="1" applyBorder="1" applyAlignment="1">
      <alignment horizontal="right"/>
    </xf>
    <xf numFmtId="3" fontId="13" fillId="5" borderId="22" xfId="1" applyNumberFormat="1" applyFont="1" applyFill="1" applyBorder="1" applyAlignment="1">
      <alignment horizontal="right"/>
    </xf>
    <xf numFmtId="3" fontId="14" fillId="2" borderId="22" xfId="1" applyNumberFormat="1" applyFont="1" applyFill="1" applyBorder="1" applyAlignment="1">
      <alignment horizontal="right"/>
    </xf>
    <xf numFmtId="3" fontId="13" fillId="2" borderId="22" xfId="1" applyNumberFormat="1" applyFont="1" applyFill="1" applyBorder="1"/>
    <xf numFmtId="164" fontId="14" fillId="2" borderId="22" xfId="1" applyNumberFormat="1" applyFont="1" applyFill="1" applyBorder="1" applyAlignment="1">
      <alignment horizontal="center"/>
    </xf>
    <xf numFmtId="3" fontId="7" fillId="3" borderId="23" xfId="1" applyNumberFormat="1" applyFont="1" applyFill="1" applyBorder="1" applyAlignment="1">
      <alignment horizontal="center" vertical="center"/>
    </xf>
    <xf numFmtId="14" fontId="13" fillId="5" borderId="22" xfId="1" applyNumberFormat="1" applyFont="1" applyFill="1" applyBorder="1" applyAlignment="1">
      <alignment horizontal="center"/>
    </xf>
    <xf numFmtId="0" fontId="5" fillId="0" borderId="24" xfId="1" applyFont="1" applyBorder="1"/>
    <xf numFmtId="0" fontId="10" fillId="5" borderId="25" xfId="1" applyFont="1" applyFill="1" applyBorder="1" applyAlignment="1">
      <alignment horizontal="left"/>
    </xf>
    <xf numFmtId="14" fontId="11" fillId="0" borderId="23" xfId="1" applyNumberFormat="1" applyFont="1" applyBorder="1" applyAlignment="1">
      <alignment horizontal="center" wrapText="1"/>
    </xf>
    <xf numFmtId="49" fontId="11" fillId="0" borderId="23" xfId="1" applyNumberFormat="1" applyFont="1" applyBorder="1" applyAlignment="1">
      <alignment horizontal="center" wrapText="1"/>
    </xf>
    <xf numFmtId="3" fontId="13" fillId="5" borderId="23" xfId="1" applyNumberFormat="1" applyFont="1" applyFill="1" applyBorder="1" applyAlignment="1">
      <alignment horizontal="right"/>
    </xf>
    <xf numFmtId="3" fontId="13" fillId="2" borderId="23" xfId="1" applyNumberFormat="1" applyFont="1" applyFill="1" applyBorder="1" applyAlignment="1">
      <alignment horizontal="right"/>
    </xf>
    <xf numFmtId="3" fontId="13" fillId="2" borderId="26" xfId="1" applyNumberFormat="1" applyFont="1" applyFill="1" applyBorder="1"/>
    <xf numFmtId="164" fontId="13" fillId="2" borderId="26" xfId="1" applyNumberFormat="1" applyFont="1" applyFill="1" applyBorder="1"/>
    <xf numFmtId="3" fontId="15" fillId="3" borderId="27" xfId="1" applyNumberFormat="1" applyFont="1" applyFill="1" applyBorder="1" applyAlignment="1">
      <alignment horizontal="right"/>
    </xf>
    <xf numFmtId="3" fontId="15" fillId="3" borderId="23" xfId="1" applyNumberFormat="1" applyFont="1" applyFill="1" applyBorder="1" applyAlignment="1">
      <alignment horizontal="right"/>
    </xf>
    <xf numFmtId="14" fontId="13" fillId="5" borderId="26" xfId="1" applyNumberFormat="1" applyFont="1" applyFill="1" applyBorder="1" applyAlignment="1">
      <alignment horizontal="center"/>
    </xf>
    <xf numFmtId="0" fontId="5" fillId="0" borderId="28" xfId="1" applyFont="1" applyBorder="1"/>
    <xf numFmtId="3" fontId="13" fillId="0" borderId="26" xfId="1" applyNumberFormat="1" applyFont="1" applyBorder="1"/>
    <xf numFmtId="3" fontId="15" fillId="3" borderId="26" xfId="1" applyNumberFormat="1" applyFont="1" applyFill="1" applyBorder="1" applyAlignment="1">
      <alignment horizontal="right"/>
    </xf>
    <xf numFmtId="49" fontId="11" fillId="6" borderId="23" xfId="1" applyNumberFormat="1" applyFont="1" applyFill="1" applyBorder="1" applyAlignment="1">
      <alignment horizontal="center" wrapText="1"/>
    </xf>
    <xf numFmtId="0" fontId="10" fillId="0" borderId="25" xfId="1" applyFont="1" applyBorder="1" applyAlignment="1">
      <alignment horizontal="left"/>
    </xf>
    <xf numFmtId="14" fontId="11" fillId="5" borderId="26" xfId="1" applyNumberFormat="1" applyFont="1" applyFill="1" applyBorder="1" applyAlignment="1">
      <alignment horizontal="center" wrapText="1"/>
    </xf>
    <xf numFmtId="49" fontId="11" fillId="5" borderId="26" xfId="1" applyNumberFormat="1" applyFont="1" applyFill="1" applyBorder="1" applyAlignment="1">
      <alignment horizontal="center" wrapText="1"/>
    </xf>
    <xf numFmtId="3" fontId="13" fillId="5" borderId="26" xfId="1" applyNumberFormat="1" applyFont="1" applyFill="1" applyBorder="1"/>
    <xf numFmtId="3" fontId="15" fillId="3" borderId="25" xfId="1" applyNumberFormat="1" applyFont="1" applyFill="1" applyBorder="1" applyAlignment="1">
      <alignment horizontal="right"/>
    </xf>
    <xf numFmtId="14" fontId="1" fillId="0" borderId="0" xfId="1" applyNumberFormat="1"/>
    <xf numFmtId="3" fontId="9" fillId="4" borderId="19" xfId="1" applyNumberFormat="1" applyFont="1" applyFill="1" applyBorder="1" applyAlignment="1">
      <alignment horizontal="center" vertical="center"/>
    </xf>
    <xf numFmtId="0" fontId="10" fillId="7" borderId="25" xfId="1" applyFont="1" applyFill="1" applyBorder="1" applyAlignment="1">
      <alignment horizontal="left"/>
    </xf>
    <xf numFmtId="14" fontId="11" fillId="6" borderId="23" xfId="1" applyNumberFormat="1" applyFont="1" applyFill="1" applyBorder="1" applyAlignment="1">
      <alignment horizontal="center" wrapText="1"/>
    </xf>
    <xf numFmtId="3" fontId="13" fillId="6" borderId="26" xfId="1" applyNumberFormat="1" applyFont="1" applyFill="1" applyBorder="1"/>
    <xf numFmtId="3" fontId="13" fillId="7" borderId="23" xfId="1" applyNumberFormat="1" applyFont="1" applyFill="1" applyBorder="1" applyAlignment="1">
      <alignment horizontal="right"/>
    </xf>
    <xf numFmtId="3" fontId="13" fillId="8" borderId="23" xfId="1" applyNumberFormat="1" applyFont="1" applyFill="1" applyBorder="1" applyAlignment="1">
      <alignment horizontal="right"/>
    </xf>
    <xf numFmtId="3" fontId="13" fillId="8" borderId="26" xfId="1" applyNumberFormat="1" applyFont="1" applyFill="1" applyBorder="1"/>
    <xf numFmtId="164" fontId="13" fillId="8" borderId="26" xfId="1" applyNumberFormat="1" applyFont="1" applyFill="1" applyBorder="1"/>
    <xf numFmtId="3" fontId="15" fillId="9" borderId="27" xfId="1" applyNumberFormat="1" applyFont="1" applyFill="1" applyBorder="1" applyAlignment="1">
      <alignment horizontal="right"/>
    </xf>
    <xf numFmtId="3" fontId="15" fillId="9" borderId="23" xfId="1" applyNumberFormat="1" applyFont="1" applyFill="1" applyBorder="1" applyAlignment="1">
      <alignment horizontal="right"/>
    </xf>
    <xf numFmtId="3" fontId="15" fillId="9" borderId="26" xfId="1" applyNumberFormat="1" applyFont="1" applyFill="1" applyBorder="1" applyAlignment="1">
      <alignment horizontal="right"/>
    </xf>
    <xf numFmtId="14" fontId="13" fillId="7" borderId="26" xfId="1" applyNumberFormat="1" applyFont="1" applyFill="1" applyBorder="1" applyAlignment="1">
      <alignment horizontal="center"/>
    </xf>
    <xf numFmtId="0" fontId="5" fillId="6" borderId="28" xfId="1" applyFont="1" applyFill="1" applyBorder="1"/>
    <xf numFmtId="0" fontId="1" fillId="6" borderId="0" xfId="1" applyFill="1"/>
    <xf numFmtId="0" fontId="16" fillId="5" borderId="25" xfId="1" applyFont="1" applyFill="1" applyBorder="1" applyAlignment="1">
      <alignment horizontal="left"/>
    </xf>
    <xf numFmtId="14" fontId="17" fillId="5" borderId="26" xfId="1" applyNumberFormat="1" applyFont="1" applyFill="1" applyBorder="1" applyAlignment="1">
      <alignment horizontal="center" wrapText="1"/>
    </xf>
    <xf numFmtId="49" fontId="17" fillId="5" borderId="26" xfId="1" applyNumberFormat="1" applyFont="1" applyFill="1" applyBorder="1" applyAlignment="1">
      <alignment horizontal="center" wrapText="1"/>
    </xf>
    <xf numFmtId="3" fontId="18" fillId="5" borderId="26" xfId="1" applyNumberFormat="1" applyFont="1" applyFill="1" applyBorder="1"/>
    <xf numFmtId="3" fontId="18" fillId="5" borderId="23" xfId="1" applyNumberFormat="1" applyFont="1" applyFill="1" applyBorder="1" applyAlignment="1">
      <alignment horizontal="right"/>
    </xf>
    <xf numFmtId="3" fontId="18" fillId="2" borderId="23" xfId="1" applyNumberFormat="1" applyFont="1" applyFill="1" applyBorder="1" applyAlignment="1">
      <alignment horizontal="right"/>
    </xf>
    <xf numFmtId="3" fontId="18" fillId="2" borderId="26" xfId="1" applyNumberFormat="1" applyFont="1" applyFill="1" applyBorder="1"/>
    <xf numFmtId="164" fontId="18" fillId="2" borderId="26" xfId="1" applyNumberFormat="1" applyFont="1" applyFill="1" applyBorder="1"/>
    <xf numFmtId="3" fontId="18" fillId="3" borderId="25" xfId="1" applyNumberFormat="1" applyFont="1" applyFill="1" applyBorder="1" applyAlignment="1">
      <alignment horizontal="right"/>
    </xf>
    <xf numFmtId="3" fontId="18" fillId="3" borderId="26" xfId="1" applyNumberFormat="1" applyFont="1" applyFill="1" applyBorder="1" applyAlignment="1">
      <alignment horizontal="right"/>
    </xf>
    <xf numFmtId="14" fontId="18" fillId="5" borderId="26" xfId="1" applyNumberFormat="1" applyFont="1" applyFill="1" applyBorder="1" applyAlignment="1">
      <alignment horizontal="center"/>
    </xf>
    <xf numFmtId="0" fontId="19" fillId="0" borderId="28" xfId="1" applyFont="1" applyBorder="1"/>
    <xf numFmtId="0" fontId="20" fillId="0" borderId="0" xfId="1" applyFont="1"/>
    <xf numFmtId="165" fontId="5" fillId="0" borderId="28" xfId="2" applyNumberFormat="1" applyFont="1" applyBorder="1"/>
    <xf numFmtId="165" fontId="1" fillId="0" borderId="0" xfId="1" applyNumberFormat="1"/>
    <xf numFmtId="165" fontId="1" fillId="0" borderId="0" xfId="2" applyNumberFormat="1" applyFont="1"/>
    <xf numFmtId="0" fontId="10" fillId="5" borderId="20" xfId="1" applyFont="1" applyFill="1" applyBorder="1" applyAlignment="1">
      <alignment horizontal="center"/>
    </xf>
    <xf numFmtId="0" fontId="6" fillId="0" borderId="21" xfId="1" applyFont="1" applyBorder="1"/>
    <xf numFmtId="0" fontId="2" fillId="0" borderId="0" xfId="1" applyFont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/>
    <xf numFmtId="3" fontId="7" fillId="4" borderId="5" xfId="1" applyNumberFormat="1" applyFont="1" applyFill="1" applyBorder="1" applyAlignment="1">
      <alignment horizontal="center" vertical="center"/>
    </xf>
    <xf numFmtId="0" fontId="6" fillId="0" borderId="6" xfId="1" applyFont="1" applyBorder="1"/>
    <xf numFmtId="0" fontId="6" fillId="0" borderId="7" xfId="1" applyFont="1" applyBorder="1"/>
    <xf numFmtId="0" fontId="9" fillId="3" borderId="8" xfId="1" applyFont="1" applyFill="1" applyBorder="1" applyAlignment="1">
      <alignment horizontal="center" vertical="center"/>
    </xf>
    <xf numFmtId="0" fontId="6" fillId="0" borderId="9" xfId="1" applyFont="1" applyBorder="1"/>
    <xf numFmtId="0" fontId="6" fillId="0" borderId="10" xfId="1" applyFont="1" applyBorder="1"/>
    <xf numFmtId="0" fontId="7" fillId="4" borderId="16" xfId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23E5020F-785D-4A3F-8878-139291BC09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9ACA-EF32-47E3-B7EA-78F1A96C397A}">
  <sheetPr>
    <outlinePr summaryBelow="0" summaryRight="0"/>
  </sheetPr>
  <dimension ref="A1:U386"/>
  <sheetViews>
    <sheetView tabSelected="1" zoomScale="140" zoomScaleNormal="140" workbookViewId="0">
      <pane xSplit="1" ySplit="7" topLeftCell="B355" activePane="bottomRight" state="frozen"/>
      <selection pane="topRight" activeCell="B1" sqref="B1"/>
      <selection pane="bottomLeft" activeCell="A9" sqref="A9"/>
      <selection pane="bottomRight" activeCell="E364" sqref="E364"/>
    </sheetView>
  </sheetViews>
  <sheetFormatPr defaultColWidth="14.44140625" defaultRowHeight="15" customHeight="1" x14ac:dyDescent="0.3"/>
  <cols>
    <col min="1" max="1" width="21.5546875" style="1" customWidth="1"/>
    <col min="2" max="2" width="14.109375" style="1" customWidth="1"/>
    <col min="3" max="3" width="9.44140625" style="1" customWidth="1"/>
    <col min="4" max="4" width="9.44140625" style="1" hidden="1" customWidth="1"/>
    <col min="5" max="5" width="16.33203125" style="1" customWidth="1"/>
    <col min="6" max="6" width="15.33203125" style="1" hidden="1" customWidth="1"/>
    <col min="7" max="7" width="15" style="1" customWidth="1"/>
    <col min="8" max="9" width="15.88671875" style="1" customWidth="1"/>
    <col min="10" max="10" width="17.44140625" style="1" customWidth="1"/>
    <col min="11" max="11" width="15.109375" style="1" hidden="1" customWidth="1"/>
    <col min="12" max="12" width="14.88671875" style="1" hidden="1" customWidth="1"/>
    <col min="13" max="13" width="14.5546875" style="1" hidden="1" customWidth="1"/>
    <col min="14" max="14" width="15" style="1" hidden="1" customWidth="1"/>
    <col min="15" max="15" width="23.5546875" style="55" customWidth="1"/>
    <col min="16" max="16" width="16.77734375" style="1" customWidth="1"/>
    <col min="17" max="17" width="16.109375" style="1" customWidth="1"/>
    <col min="18" max="18" width="13.77734375" style="1" customWidth="1"/>
    <col min="19" max="20" width="8" style="1" customWidth="1"/>
    <col min="21" max="21" width="15.88671875" style="1" customWidth="1"/>
    <col min="22" max="26" width="8" style="1" customWidth="1"/>
    <col min="27" max="16384" width="14.44140625" style="1"/>
  </cols>
  <sheetData>
    <row r="1" spans="1:21" ht="29.2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21" ht="18.75" customHeight="1" x14ac:dyDescent="0.3">
      <c r="A2" s="90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</row>
    <row r="3" spans="1:21" ht="15.75" customHeight="1" thickBot="1" x14ac:dyDescent="0.35">
      <c r="A3" s="2"/>
      <c r="G3" s="3"/>
      <c r="H3" s="3"/>
      <c r="I3" s="3"/>
      <c r="J3" s="3"/>
      <c r="K3" s="4"/>
      <c r="L3" s="4"/>
      <c r="M3" s="4"/>
      <c r="N3" s="4"/>
      <c r="O3" s="91" t="s">
        <v>2</v>
      </c>
      <c r="P3" s="92"/>
    </row>
    <row r="4" spans="1:21" ht="22.5" customHeight="1" x14ac:dyDescent="0.3">
      <c r="A4" s="5" t="s">
        <v>3</v>
      </c>
      <c r="B4" s="6" t="s">
        <v>4</v>
      </c>
      <c r="C4" s="7" t="s">
        <v>5</v>
      </c>
      <c r="D4" s="8"/>
      <c r="E4" s="93" t="s">
        <v>6</v>
      </c>
      <c r="F4" s="94"/>
      <c r="G4" s="94"/>
      <c r="H4" s="94"/>
      <c r="I4" s="94"/>
      <c r="J4" s="95"/>
      <c r="K4" s="96" t="s">
        <v>7</v>
      </c>
      <c r="L4" s="97"/>
      <c r="M4" s="97"/>
      <c r="N4" s="98"/>
      <c r="O4" s="9" t="s">
        <v>8</v>
      </c>
      <c r="P4" s="10" t="s">
        <v>9</v>
      </c>
      <c r="U4" s="11" t="s">
        <v>10</v>
      </c>
    </row>
    <row r="5" spans="1:21" ht="21.75" customHeight="1" x14ac:dyDescent="0.3">
      <c r="A5" s="12"/>
      <c r="B5" s="13"/>
      <c r="C5" s="14"/>
      <c r="D5" s="14"/>
      <c r="E5" s="15" t="s">
        <v>11</v>
      </c>
      <c r="F5" s="15" t="s">
        <v>12</v>
      </c>
      <c r="G5" s="16" t="s">
        <v>13</v>
      </c>
      <c r="H5" s="16" t="s">
        <v>14</v>
      </c>
      <c r="I5" s="16" t="s">
        <v>15</v>
      </c>
      <c r="J5" s="17" t="s">
        <v>16</v>
      </c>
      <c r="K5" s="18" t="s">
        <v>17</v>
      </c>
      <c r="L5" s="18" t="s">
        <v>18</v>
      </c>
      <c r="M5" s="18" t="s">
        <v>19</v>
      </c>
      <c r="N5" s="19"/>
      <c r="O5" s="20"/>
      <c r="P5" s="21"/>
    </row>
    <row r="6" spans="1:21" ht="28.5" customHeight="1" x14ac:dyDescent="0.3">
      <c r="A6" s="99" t="s">
        <v>20</v>
      </c>
      <c r="B6" s="97"/>
      <c r="C6" s="98"/>
      <c r="D6" s="22"/>
      <c r="E6" s="23">
        <f>SUM(E8:E789)</f>
        <v>12915155628</v>
      </c>
      <c r="F6" s="23">
        <f>SUM(F8:F789)</f>
        <v>1033212450.24</v>
      </c>
      <c r="G6" s="24">
        <f>SUM(G8:G796)+G7</f>
        <v>13940895324.24</v>
      </c>
      <c r="H6" s="24">
        <f>SUM(H8:H796)+H7</f>
        <v>13846314324</v>
      </c>
      <c r="I6" s="24">
        <f>SUM(I7:I409)</f>
        <v>395388594</v>
      </c>
      <c r="J6" s="24">
        <f>G6-H6+J7</f>
        <v>94581000.239999771</v>
      </c>
      <c r="K6" s="19">
        <f>SUM(K7:K7)</f>
        <v>0</v>
      </c>
      <c r="L6" s="19">
        <f>SUM(L7:L7)</f>
        <v>0</v>
      </c>
      <c r="M6" s="19">
        <f>SUM(M7:M7)</f>
        <v>0</v>
      </c>
      <c r="N6" s="19">
        <f>SUM(N7:N7)</f>
        <v>0</v>
      </c>
      <c r="O6" s="25"/>
      <c r="P6" s="56">
        <f>+J6-I350-I351</f>
        <v>28108512.239999771</v>
      </c>
      <c r="Q6" s="26" t="s">
        <v>21</v>
      </c>
    </row>
    <row r="7" spans="1:21" ht="16.5" customHeight="1" x14ac:dyDescent="0.35">
      <c r="A7" s="86" t="s">
        <v>22</v>
      </c>
      <c r="B7" s="87"/>
      <c r="C7" s="27"/>
      <c r="D7" s="27"/>
      <c r="E7" s="28"/>
      <c r="F7" s="29"/>
      <c r="G7" s="30"/>
      <c r="H7" s="31"/>
      <c r="I7" s="31"/>
      <c r="J7" s="32"/>
      <c r="K7" s="33"/>
      <c r="L7" s="33"/>
      <c r="M7" s="33"/>
      <c r="N7" s="33"/>
      <c r="O7" s="34"/>
      <c r="P7" s="35"/>
    </row>
    <row r="8" spans="1:21" ht="16.5" customHeight="1" x14ac:dyDescent="0.35">
      <c r="A8" s="36" t="s">
        <v>23</v>
      </c>
      <c r="B8" s="37" t="s">
        <v>24</v>
      </c>
      <c r="C8" s="38" t="s">
        <v>25</v>
      </c>
      <c r="D8" s="38"/>
      <c r="E8" s="47">
        <v>6725000</v>
      </c>
      <c r="F8" s="39">
        <f t="shared" ref="F8:F26" si="0">+E8*0.08</f>
        <v>538000</v>
      </c>
      <c r="G8" s="40">
        <f t="shared" ref="G8:G52" si="1">E8+F8</f>
        <v>7263000</v>
      </c>
      <c r="H8" s="41">
        <v>7263000</v>
      </c>
      <c r="I8" s="41"/>
      <c r="J8" s="42">
        <f t="shared" ref="J8:J14" si="2">G8-H8</f>
        <v>0</v>
      </c>
      <c r="K8" s="43"/>
      <c r="L8" s="44"/>
      <c r="M8" s="44"/>
      <c r="N8" s="48"/>
      <c r="O8" s="45">
        <v>45392</v>
      </c>
      <c r="P8" s="46" t="s">
        <v>26</v>
      </c>
      <c r="Q8" s="1">
        <v>27235</v>
      </c>
    </row>
    <row r="9" spans="1:21" ht="16.5" customHeight="1" x14ac:dyDescent="0.35">
      <c r="A9" s="36" t="s">
        <v>27</v>
      </c>
      <c r="B9" s="37" t="s">
        <v>28</v>
      </c>
      <c r="C9" s="38" t="s">
        <v>29</v>
      </c>
      <c r="D9" s="38"/>
      <c r="E9" s="47">
        <v>1728000</v>
      </c>
      <c r="F9" s="39">
        <f t="shared" si="0"/>
        <v>138240</v>
      </c>
      <c r="G9" s="40">
        <f t="shared" si="1"/>
        <v>1866240</v>
      </c>
      <c r="H9" s="41">
        <v>1866240</v>
      </c>
      <c r="I9" s="41"/>
      <c r="J9" s="42">
        <f t="shared" si="2"/>
        <v>0</v>
      </c>
      <c r="K9" s="43"/>
      <c r="L9" s="44"/>
      <c r="M9" s="44"/>
      <c r="N9" s="48"/>
      <c r="O9" s="45">
        <v>45392</v>
      </c>
      <c r="P9" s="46"/>
    </row>
    <row r="10" spans="1:21" ht="16.5" customHeight="1" x14ac:dyDescent="0.35">
      <c r="A10" s="36" t="s">
        <v>30</v>
      </c>
      <c r="B10" s="37" t="s">
        <v>28</v>
      </c>
      <c r="C10" s="38" t="s">
        <v>31</v>
      </c>
      <c r="D10" s="38"/>
      <c r="E10" s="47">
        <v>12703500</v>
      </c>
      <c r="F10" s="39">
        <f t="shared" si="0"/>
        <v>1016280</v>
      </c>
      <c r="G10" s="40">
        <f t="shared" si="1"/>
        <v>13719780</v>
      </c>
      <c r="H10" s="41">
        <v>13719780</v>
      </c>
      <c r="I10" s="41"/>
      <c r="J10" s="42">
        <f t="shared" si="2"/>
        <v>0</v>
      </c>
      <c r="K10" s="43"/>
      <c r="L10" s="44"/>
      <c r="M10" s="44"/>
      <c r="N10" s="48"/>
      <c r="O10" s="45">
        <v>45392</v>
      </c>
      <c r="P10" s="46"/>
    </row>
    <row r="11" spans="1:21" ht="16.5" customHeight="1" x14ac:dyDescent="0.35">
      <c r="A11" s="36" t="s">
        <v>32</v>
      </c>
      <c r="B11" s="37" t="s">
        <v>33</v>
      </c>
      <c r="C11" s="38" t="s">
        <v>34</v>
      </c>
      <c r="D11" s="38"/>
      <c r="E11" s="47">
        <v>21028500</v>
      </c>
      <c r="F11" s="39">
        <f t="shared" si="0"/>
        <v>1682280</v>
      </c>
      <c r="G11" s="40">
        <f t="shared" si="1"/>
        <v>22710780</v>
      </c>
      <c r="H11" s="41">
        <v>22710780</v>
      </c>
      <c r="I11" s="41"/>
      <c r="J11" s="42">
        <f t="shared" si="2"/>
        <v>0</v>
      </c>
      <c r="K11" s="43"/>
      <c r="L11" s="44"/>
      <c r="M11" s="44"/>
      <c r="N11" s="48"/>
      <c r="O11" s="45">
        <v>45392</v>
      </c>
      <c r="P11" s="46"/>
    </row>
    <row r="12" spans="1:21" ht="16.5" customHeight="1" x14ac:dyDescent="0.35">
      <c r="A12" s="36" t="s">
        <v>35</v>
      </c>
      <c r="B12" s="37" t="s">
        <v>36</v>
      </c>
      <c r="C12" s="38" t="s">
        <v>37</v>
      </c>
      <c r="D12" s="38"/>
      <c r="E12" s="47">
        <v>1920000</v>
      </c>
      <c r="F12" s="39">
        <f t="shared" si="0"/>
        <v>153600</v>
      </c>
      <c r="G12" s="40">
        <f t="shared" si="1"/>
        <v>2073600</v>
      </c>
      <c r="H12" s="41">
        <v>2073600</v>
      </c>
      <c r="I12" s="41"/>
      <c r="J12" s="42">
        <f t="shared" si="2"/>
        <v>0</v>
      </c>
      <c r="K12" s="43"/>
      <c r="L12" s="44"/>
      <c r="M12" s="44"/>
      <c r="N12" s="48"/>
      <c r="O12" s="45">
        <v>45392</v>
      </c>
      <c r="P12" s="46"/>
    </row>
    <row r="13" spans="1:21" ht="16.5" customHeight="1" x14ac:dyDescent="0.35">
      <c r="A13" s="36" t="s">
        <v>38</v>
      </c>
      <c r="B13" s="37" t="s">
        <v>36</v>
      </c>
      <c r="C13" s="38" t="s">
        <v>39</v>
      </c>
      <c r="D13" s="38"/>
      <c r="E13" s="47">
        <v>13975000</v>
      </c>
      <c r="F13" s="39">
        <f t="shared" si="0"/>
        <v>1118000</v>
      </c>
      <c r="G13" s="40">
        <f t="shared" si="1"/>
        <v>15093000</v>
      </c>
      <c r="H13" s="41">
        <v>15093000</v>
      </c>
      <c r="I13" s="41"/>
      <c r="J13" s="42">
        <f t="shared" si="2"/>
        <v>0</v>
      </c>
      <c r="K13" s="43"/>
      <c r="L13" s="44"/>
      <c r="M13" s="44"/>
      <c r="N13" s="48"/>
      <c r="O13" s="45">
        <v>45392</v>
      </c>
      <c r="P13" s="46"/>
    </row>
    <row r="14" spans="1:21" ht="16.5" customHeight="1" x14ac:dyDescent="0.35">
      <c r="A14" s="36" t="s">
        <v>40</v>
      </c>
      <c r="B14" s="37" t="s">
        <v>41</v>
      </c>
      <c r="C14" s="38" t="s">
        <v>42</v>
      </c>
      <c r="D14" s="38"/>
      <c r="E14" s="47">
        <v>6635000</v>
      </c>
      <c r="F14" s="39">
        <f t="shared" si="0"/>
        <v>530800</v>
      </c>
      <c r="G14" s="40">
        <f t="shared" si="1"/>
        <v>7165800</v>
      </c>
      <c r="H14" s="41">
        <v>7165800</v>
      </c>
      <c r="I14" s="41"/>
      <c r="J14" s="42">
        <f t="shared" si="2"/>
        <v>0</v>
      </c>
      <c r="K14" s="43"/>
      <c r="L14" s="44"/>
      <c r="M14" s="44"/>
      <c r="N14" s="48"/>
      <c r="O14" s="45">
        <v>45392</v>
      </c>
      <c r="P14" s="46"/>
      <c r="Q14" s="1">
        <v>27063</v>
      </c>
    </row>
    <row r="15" spans="1:21" ht="16.5" customHeight="1" x14ac:dyDescent="0.35">
      <c r="A15" s="36" t="s">
        <v>43</v>
      </c>
      <c r="B15" s="37" t="s">
        <v>44</v>
      </c>
      <c r="C15" s="38" t="s">
        <v>45</v>
      </c>
      <c r="D15" s="38"/>
      <c r="E15" s="47">
        <v>49875000</v>
      </c>
      <c r="F15" s="39">
        <f t="shared" si="0"/>
        <v>3990000</v>
      </c>
      <c r="G15" s="40">
        <f t="shared" si="1"/>
        <v>53865000</v>
      </c>
      <c r="H15" s="41">
        <v>53865000</v>
      </c>
      <c r="I15" s="41"/>
      <c r="J15" s="42">
        <f t="shared" ref="J15:J78" si="3">G15-H15</f>
        <v>0</v>
      </c>
      <c r="K15" s="43"/>
      <c r="L15" s="44"/>
      <c r="M15" s="44"/>
      <c r="N15" s="48"/>
      <c r="O15" s="45">
        <v>45392</v>
      </c>
      <c r="P15" s="46"/>
      <c r="Q15" s="1">
        <v>27235</v>
      </c>
    </row>
    <row r="16" spans="1:21" ht="16.5" customHeight="1" x14ac:dyDescent="0.35">
      <c r="A16" s="36" t="s">
        <v>46</v>
      </c>
      <c r="B16" s="37" t="s">
        <v>44</v>
      </c>
      <c r="C16" s="38" t="s">
        <v>47</v>
      </c>
      <c r="D16" s="38"/>
      <c r="E16" s="47">
        <v>172956000</v>
      </c>
      <c r="F16" s="39">
        <f t="shared" si="0"/>
        <v>13836480</v>
      </c>
      <c r="G16" s="40">
        <f t="shared" si="1"/>
        <v>186792480</v>
      </c>
      <c r="H16" s="41">
        <v>186792480</v>
      </c>
      <c r="I16" s="41"/>
      <c r="J16" s="42">
        <f t="shared" si="3"/>
        <v>0</v>
      </c>
      <c r="K16" s="43"/>
      <c r="L16" s="44"/>
      <c r="M16" s="44"/>
      <c r="N16" s="48"/>
      <c r="O16" s="45">
        <v>45392</v>
      </c>
      <c r="P16" s="46"/>
    </row>
    <row r="17" spans="1:17" ht="16.5" customHeight="1" x14ac:dyDescent="0.35">
      <c r="A17" s="36" t="s">
        <v>48</v>
      </c>
      <c r="B17" s="37" t="s">
        <v>49</v>
      </c>
      <c r="C17" s="38" t="s">
        <v>50</v>
      </c>
      <c r="D17" s="38"/>
      <c r="E17" s="47">
        <v>1204350200</v>
      </c>
      <c r="F17" s="39">
        <f t="shared" si="0"/>
        <v>96348016</v>
      </c>
      <c r="G17" s="40">
        <f t="shared" si="1"/>
        <v>1300698216</v>
      </c>
      <c r="H17" s="41">
        <v>1300698216</v>
      </c>
      <c r="I17" s="41"/>
      <c r="J17" s="42">
        <f t="shared" si="3"/>
        <v>0</v>
      </c>
      <c r="K17" s="43"/>
      <c r="L17" s="44"/>
      <c r="M17" s="44"/>
      <c r="N17" s="48"/>
      <c r="O17" s="45">
        <v>45392</v>
      </c>
      <c r="P17" s="46"/>
    </row>
    <row r="18" spans="1:17" ht="16.5" customHeight="1" x14ac:dyDescent="0.35">
      <c r="A18" s="36" t="s">
        <v>51</v>
      </c>
      <c r="B18" s="37" t="s">
        <v>52</v>
      </c>
      <c r="C18" s="38" t="s">
        <v>53</v>
      </c>
      <c r="D18" s="38"/>
      <c r="E18" s="47">
        <v>46140000</v>
      </c>
      <c r="F18" s="39">
        <f t="shared" si="0"/>
        <v>3691200</v>
      </c>
      <c r="G18" s="40">
        <f t="shared" si="1"/>
        <v>49831200</v>
      </c>
      <c r="H18" s="41">
        <v>49831200</v>
      </c>
      <c r="I18" s="41"/>
      <c r="J18" s="42">
        <f>G18-H18</f>
        <v>0</v>
      </c>
      <c r="K18" s="43"/>
      <c r="L18" s="44"/>
      <c r="M18" s="44"/>
      <c r="N18" s="48"/>
      <c r="O18" s="45">
        <v>45392</v>
      </c>
      <c r="P18" s="46"/>
    </row>
    <row r="19" spans="1:17" ht="16.5" customHeight="1" x14ac:dyDescent="0.35">
      <c r="A19" s="36" t="s">
        <v>54</v>
      </c>
      <c r="B19" s="37" t="s">
        <v>52</v>
      </c>
      <c r="C19" s="38" t="s">
        <v>55</v>
      </c>
      <c r="D19" s="38"/>
      <c r="E19" s="47">
        <v>7125000</v>
      </c>
      <c r="F19" s="39">
        <f t="shared" si="0"/>
        <v>570000</v>
      </c>
      <c r="G19" s="40">
        <f t="shared" si="1"/>
        <v>7695000</v>
      </c>
      <c r="H19" s="41">
        <v>7695000</v>
      </c>
      <c r="I19" s="41"/>
      <c r="J19" s="42">
        <f t="shared" si="3"/>
        <v>0</v>
      </c>
      <c r="K19" s="43"/>
      <c r="L19" s="44"/>
      <c r="M19" s="44"/>
      <c r="N19" s="48"/>
      <c r="O19" s="45">
        <v>45392</v>
      </c>
      <c r="P19" s="46"/>
    </row>
    <row r="20" spans="1:17" ht="16.5" customHeight="1" x14ac:dyDescent="0.35">
      <c r="A20" s="36" t="s">
        <v>56</v>
      </c>
      <c r="B20" s="37" t="s">
        <v>52</v>
      </c>
      <c r="C20" s="38" t="s">
        <v>57</v>
      </c>
      <c r="D20" s="38"/>
      <c r="E20" s="47">
        <v>750000</v>
      </c>
      <c r="F20" s="39">
        <f t="shared" si="0"/>
        <v>60000</v>
      </c>
      <c r="G20" s="40">
        <f t="shared" si="1"/>
        <v>810000</v>
      </c>
      <c r="H20" s="41">
        <v>810000</v>
      </c>
      <c r="I20" s="41"/>
      <c r="J20" s="42">
        <f t="shared" si="3"/>
        <v>0</v>
      </c>
      <c r="K20" s="43"/>
      <c r="L20" s="44"/>
      <c r="M20" s="44"/>
      <c r="N20" s="48"/>
      <c r="O20" s="45">
        <v>45392</v>
      </c>
      <c r="P20" s="46"/>
    </row>
    <row r="21" spans="1:17" ht="16.5" customHeight="1" x14ac:dyDescent="0.35">
      <c r="A21" s="36" t="s">
        <v>58</v>
      </c>
      <c r="B21" s="37" t="s">
        <v>52</v>
      </c>
      <c r="C21" s="38" t="s">
        <v>59</v>
      </c>
      <c r="D21" s="38"/>
      <c r="E21" s="47">
        <v>196583400</v>
      </c>
      <c r="F21" s="39">
        <f t="shared" si="0"/>
        <v>15726672</v>
      </c>
      <c r="G21" s="40">
        <f t="shared" si="1"/>
        <v>212310072</v>
      </c>
      <c r="H21" s="41">
        <v>212310072</v>
      </c>
      <c r="I21" s="41"/>
      <c r="J21" s="42">
        <f t="shared" si="3"/>
        <v>0</v>
      </c>
      <c r="K21" s="43"/>
      <c r="L21" s="44"/>
      <c r="M21" s="44"/>
      <c r="N21" s="48"/>
      <c r="O21" s="45">
        <v>45392</v>
      </c>
      <c r="P21" s="46"/>
    </row>
    <row r="22" spans="1:17" ht="16.5" customHeight="1" x14ac:dyDescent="0.35">
      <c r="A22" s="36" t="s">
        <v>60</v>
      </c>
      <c r="B22" s="37" t="s">
        <v>52</v>
      </c>
      <c r="C22" s="38" t="s">
        <v>61</v>
      </c>
      <c r="D22" s="38"/>
      <c r="E22" s="47">
        <v>284950000</v>
      </c>
      <c r="F22" s="39">
        <f t="shared" si="0"/>
        <v>22796000</v>
      </c>
      <c r="G22" s="40">
        <f t="shared" si="1"/>
        <v>307746000</v>
      </c>
      <c r="H22" s="41">
        <v>307746000</v>
      </c>
      <c r="I22" s="41"/>
      <c r="J22" s="42">
        <f t="shared" si="3"/>
        <v>0</v>
      </c>
      <c r="K22" s="43"/>
      <c r="L22" s="44"/>
      <c r="M22" s="44"/>
      <c r="N22" s="48"/>
      <c r="O22" s="45">
        <v>45392</v>
      </c>
      <c r="P22" s="46"/>
    </row>
    <row r="23" spans="1:17" ht="16.5" customHeight="1" x14ac:dyDescent="0.35">
      <c r="A23" s="36" t="s">
        <v>62</v>
      </c>
      <c r="B23" s="37" t="s">
        <v>52</v>
      </c>
      <c r="C23" s="38" t="s">
        <v>63</v>
      </c>
      <c r="D23" s="38"/>
      <c r="E23" s="47">
        <v>258825000</v>
      </c>
      <c r="F23" s="39">
        <f t="shared" si="0"/>
        <v>20706000</v>
      </c>
      <c r="G23" s="40">
        <f t="shared" si="1"/>
        <v>279531000</v>
      </c>
      <c r="H23" s="41">
        <v>279531000</v>
      </c>
      <c r="I23" s="41"/>
      <c r="J23" s="42">
        <f t="shared" si="3"/>
        <v>0</v>
      </c>
      <c r="K23" s="43"/>
      <c r="L23" s="44"/>
      <c r="M23" s="44"/>
      <c r="N23" s="48"/>
      <c r="O23" s="45">
        <v>45392</v>
      </c>
      <c r="P23" s="46"/>
      <c r="Q23" s="1">
        <v>27235</v>
      </c>
    </row>
    <row r="24" spans="1:17" ht="16.5" customHeight="1" x14ac:dyDescent="0.35">
      <c r="A24" s="36" t="s">
        <v>64</v>
      </c>
      <c r="B24" s="37" t="s">
        <v>65</v>
      </c>
      <c r="C24" s="38" t="s">
        <v>66</v>
      </c>
      <c r="D24" s="38"/>
      <c r="E24" s="47">
        <v>117600000</v>
      </c>
      <c r="F24" s="39">
        <f t="shared" si="0"/>
        <v>9408000</v>
      </c>
      <c r="G24" s="40">
        <f t="shared" si="1"/>
        <v>127008000</v>
      </c>
      <c r="H24" s="41">
        <v>127008000</v>
      </c>
      <c r="I24" s="41"/>
      <c r="J24" s="42">
        <f t="shared" si="3"/>
        <v>0</v>
      </c>
      <c r="K24" s="43"/>
      <c r="L24" s="44"/>
      <c r="M24" s="44"/>
      <c r="N24" s="48"/>
      <c r="O24" s="45">
        <v>45392</v>
      </c>
      <c r="P24" s="46"/>
      <c r="Q24" s="1">
        <v>27063</v>
      </c>
    </row>
    <row r="25" spans="1:17" ht="16.5" customHeight="1" x14ac:dyDescent="0.35">
      <c r="A25" s="36" t="s">
        <v>67</v>
      </c>
      <c r="B25" s="37" t="s">
        <v>65</v>
      </c>
      <c r="C25" s="38" t="s">
        <v>68</v>
      </c>
      <c r="D25" s="38"/>
      <c r="E25" s="47">
        <v>1538408000</v>
      </c>
      <c r="F25" s="39">
        <f t="shared" si="0"/>
        <v>123072640</v>
      </c>
      <c r="G25" s="40">
        <f t="shared" si="1"/>
        <v>1661480640</v>
      </c>
      <c r="H25" s="41">
        <v>1661480640</v>
      </c>
      <c r="I25" s="41"/>
      <c r="J25" s="42">
        <f t="shared" si="3"/>
        <v>0</v>
      </c>
      <c r="K25" s="43"/>
      <c r="L25" s="44"/>
      <c r="M25" s="44"/>
      <c r="N25" s="48"/>
      <c r="O25" s="45">
        <v>45392</v>
      </c>
      <c r="P25" s="46"/>
    </row>
    <row r="26" spans="1:17" ht="16.5" customHeight="1" x14ac:dyDescent="0.35">
      <c r="A26" s="36" t="s">
        <v>69</v>
      </c>
      <c r="B26" s="37" t="s">
        <v>65</v>
      </c>
      <c r="C26" s="38" t="s">
        <v>70</v>
      </c>
      <c r="D26" s="38"/>
      <c r="E26" s="47">
        <v>483530000</v>
      </c>
      <c r="F26" s="39">
        <f t="shared" si="0"/>
        <v>38682400</v>
      </c>
      <c r="G26" s="40">
        <f t="shared" si="1"/>
        <v>522212400</v>
      </c>
      <c r="H26" s="41">
        <v>522212400</v>
      </c>
      <c r="I26" s="41"/>
      <c r="J26" s="42">
        <f t="shared" si="3"/>
        <v>0</v>
      </c>
      <c r="K26" s="43"/>
      <c r="L26" s="44"/>
      <c r="M26" s="44"/>
      <c r="N26" s="48"/>
      <c r="O26" s="45">
        <v>45392</v>
      </c>
      <c r="P26" s="46"/>
    </row>
    <row r="27" spans="1:17" ht="16.5" customHeight="1" x14ac:dyDescent="0.35">
      <c r="A27" s="36" t="s">
        <v>71</v>
      </c>
      <c r="B27" s="37" t="s">
        <v>72</v>
      </c>
      <c r="C27" s="38" t="s">
        <v>73</v>
      </c>
      <c r="D27" s="38"/>
      <c r="E27" s="47">
        <v>22200000</v>
      </c>
      <c r="F27" s="39">
        <f t="shared" ref="F27:F90" si="4">+E27*0.08</f>
        <v>1776000</v>
      </c>
      <c r="G27" s="40">
        <f t="shared" si="1"/>
        <v>23976000</v>
      </c>
      <c r="H27" s="41">
        <v>23976000</v>
      </c>
      <c r="I27" s="41"/>
      <c r="J27" s="42">
        <f t="shared" si="3"/>
        <v>0</v>
      </c>
      <c r="K27" s="43"/>
      <c r="L27" s="44"/>
      <c r="M27" s="44"/>
      <c r="N27" s="48"/>
      <c r="O27" s="45">
        <v>45392</v>
      </c>
      <c r="P27" s="46"/>
    </row>
    <row r="28" spans="1:17" ht="16.5" customHeight="1" x14ac:dyDescent="0.35">
      <c r="A28" s="36" t="s">
        <v>74</v>
      </c>
      <c r="B28" s="37" t="s">
        <v>75</v>
      </c>
      <c r="C28" s="38" t="s">
        <v>76</v>
      </c>
      <c r="D28" s="38"/>
      <c r="E28" s="47">
        <v>29897000</v>
      </c>
      <c r="F28" s="39">
        <f t="shared" si="4"/>
        <v>2391760</v>
      </c>
      <c r="G28" s="40">
        <f t="shared" si="1"/>
        <v>32288760</v>
      </c>
      <c r="H28" s="41">
        <v>32288760</v>
      </c>
      <c r="I28" s="41"/>
      <c r="J28" s="42">
        <f t="shared" si="3"/>
        <v>0</v>
      </c>
      <c r="K28" s="43"/>
      <c r="L28" s="44"/>
      <c r="M28" s="44"/>
      <c r="N28" s="48"/>
      <c r="O28" s="45">
        <v>45392</v>
      </c>
      <c r="P28" s="46"/>
    </row>
    <row r="29" spans="1:17" ht="16.5" customHeight="1" x14ac:dyDescent="0.35">
      <c r="A29" s="36" t="s">
        <v>77</v>
      </c>
      <c r="B29" s="37" t="s">
        <v>78</v>
      </c>
      <c r="C29" s="38" t="s">
        <v>79</v>
      </c>
      <c r="D29" s="38"/>
      <c r="E29" s="47">
        <v>33140000</v>
      </c>
      <c r="F29" s="39">
        <f t="shared" si="4"/>
        <v>2651200</v>
      </c>
      <c r="G29" s="40">
        <f t="shared" si="1"/>
        <v>35791200</v>
      </c>
      <c r="H29" s="41">
        <v>35791200</v>
      </c>
      <c r="I29" s="41"/>
      <c r="J29" s="42">
        <f t="shared" si="3"/>
        <v>0</v>
      </c>
      <c r="K29" s="43"/>
      <c r="L29" s="44"/>
      <c r="M29" s="44"/>
      <c r="N29" s="48"/>
      <c r="O29" s="45">
        <v>45392</v>
      </c>
      <c r="P29" s="46"/>
    </row>
    <row r="30" spans="1:17" ht="16.5" customHeight="1" x14ac:dyDescent="0.35">
      <c r="A30" s="36" t="s">
        <v>80</v>
      </c>
      <c r="B30" s="37" t="s">
        <v>81</v>
      </c>
      <c r="C30" s="38" t="s">
        <v>82</v>
      </c>
      <c r="D30" s="38"/>
      <c r="E30" s="47">
        <v>68618000</v>
      </c>
      <c r="F30" s="39">
        <f t="shared" si="4"/>
        <v>5489440</v>
      </c>
      <c r="G30" s="40">
        <f t="shared" si="1"/>
        <v>74107440</v>
      </c>
      <c r="H30" s="41">
        <v>74107440</v>
      </c>
      <c r="I30" s="41"/>
      <c r="J30" s="42">
        <f t="shared" si="3"/>
        <v>0</v>
      </c>
      <c r="K30" s="43"/>
      <c r="L30" s="44"/>
      <c r="M30" s="44"/>
      <c r="N30" s="48"/>
      <c r="O30" s="45">
        <v>45392</v>
      </c>
      <c r="P30" s="46"/>
    </row>
    <row r="31" spans="1:17" ht="16.5" customHeight="1" x14ac:dyDescent="0.35">
      <c r="A31" s="36" t="s">
        <v>83</v>
      </c>
      <c r="B31" s="37">
        <v>45345</v>
      </c>
      <c r="C31" s="38" t="s">
        <v>84</v>
      </c>
      <c r="D31" s="38"/>
      <c r="E31" s="47">
        <v>7820000</v>
      </c>
      <c r="F31" s="39">
        <f t="shared" si="4"/>
        <v>625600</v>
      </c>
      <c r="G31" s="40">
        <f t="shared" si="1"/>
        <v>8445600</v>
      </c>
      <c r="H31" s="41">
        <v>8445600</v>
      </c>
      <c r="I31" s="41"/>
      <c r="J31" s="42">
        <f t="shared" si="3"/>
        <v>0</v>
      </c>
      <c r="K31" s="43"/>
      <c r="L31" s="44"/>
      <c r="M31" s="44"/>
      <c r="N31" s="48"/>
      <c r="O31" s="45">
        <v>45392</v>
      </c>
      <c r="P31" s="46"/>
    </row>
    <row r="32" spans="1:17" ht="16.5" customHeight="1" x14ac:dyDescent="0.35">
      <c r="A32" s="36" t="s">
        <v>85</v>
      </c>
      <c r="B32" s="37">
        <v>45345</v>
      </c>
      <c r="C32" s="38" t="s">
        <v>86</v>
      </c>
      <c r="D32" s="38"/>
      <c r="E32" s="47">
        <v>31840000</v>
      </c>
      <c r="F32" s="39">
        <f t="shared" si="4"/>
        <v>2547200</v>
      </c>
      <c r="G32" s="40">
        <f t="shared" si="1"/>
        <v>34387200</v>
      </c>
      <c r="H32" s="41">
        <v>34387200</v>
      </c>
      <c r="I32" s="41"/>
      <c r="J32" s="42">
        <f t="shared" si="3"/>
        <v>0</v>
      </c>
      <c r="K32" s="43"/>
      <c r="L32" s="44"/>
      <c r="M32" s="44"/>
      <c r="N32" s="48"/>
      <c r="O32" s="45">
        <v>45392</v>
      </c>
      <c r="P32" s="46"/>
    </row>
    <row r="33" spans="1:16" ht="16.5" customHeight="1" x14ac:dyDescent="0.35">
      <c r="A33" s="36" t="s">
        <v>87</v>
      </c>
      <c r="B33" s="37">
        <v>45353</v>
      </c>
      <c r="C33" s="38" t="s">
        <v>88</v>
      </c>
      <c r="D33" s="38"/>
      <c r="E33" s="47">
        <v>4020000</v>
      </c>
      <c r="F33" s="39">
        <f t="shared" si="4"/>
        <v>321600</v>
      </c>
      <c r="G33" s="40">
        <f t="shared" si="1"/>
        <v>4341600</v>
      </c>
      <c r="H33" s="41">
        <v>4341600</v>
      </c>
      <c r="I33" s="41"/>
      <c r="J33" s="42">
        <f t="shared" si="3"/>
        <v>0</v>
      </c>
      <c r="K33" s="43"/>
      <c r="L33" s="44"/>
      <c r="M33" s="44"/>
      <c r="N33" s="48"/>
      <c r="O33" s="45">
        <v>45392</v>
      </c>
      <c r="P33" s="46"/>
    </row>
    <row r="34" spans="1:16" ht="16.5" customHeight="1" x14ac:dyDescent="0.35">
      <c r="A34" s="36" t="s">
        <v>89</v>
      </c>
      <c r="B34" s="37">
        <v>45353</v>
      </c>
      <c r="C34" s="38" t="s">
        <v>90</v>
      </c>
      <c r="D34" s="38"/>
      <c r="E34" s="47">
        <v>14485000</v>
      </c>
      <c r="F34" s="39">
        <f t="shared" si="4"/>
        <v>1158800</v>
      </c>
      <c r="G34" s="40">
        <f t="shared" si="1"/>
        <v>15643800</v>
      </c>
      <c r="H34" s="41">
        <v>15643800</v>
      </c>
      <c r="I34" s="41"/>
      <c r="J34" s="42">
        <f t="shared" si="3"/>
        <v>0</v>
      </c>
      <c r="K34" s="43"/>
      <c r="L34" s="44"/>
      <c r="M34" s="44"/>
      <c r="N34" s="48"/>
      <c r="O34" s="45">
        <v>45392</v>
      </c>
      <c r="P34" s="46"/>
    </row>
    <row r="35" spans="1:16" ht="16.5" customHeight="1" x14ac:dyDescent="0.35">
      <c r="A35" s="36" t="s">
        <v>91</v>
      </c>
      <c r="B35" s="37">
        <v>45359</v>
      </c>
      <c r="C35" s="38" t="s">
        <v>92</v>
      </c>
      <c r="D35" s="38"/>
      <c r="E35" s="47">
        <v>11085000</v>
      </c>
      <c r="F35" s="39">
        <f t="shared" si="4"/>
        <v>886800</v>
      </c>
      <c r="G35" s="40">
        <f t="shared" si="1"/>
        <v>11971800</v>
      </c>
      <c r="H35" s="41">
        <v>11971800</v>
      </c>
      <c r="I35" s="41"/>
      <c r="J35" s="42">
        <f t="shared" si="3"/>
        <v>0</v>
      </c>
      <c r="K35" s="43"/>
      <c r="L35" s="44"/>
      <c r="M35" s="44"/>
      <c r="N35" s="48"/>
      <c r="O35" s="45">
        <v>45392</v>
      </c>
      <c r="P35" s="46"/>
    </row>
    <row r="36" spans="1:16" ht="16.5" customHeight="1" x14ac:dyDescent="0.35">
      <c r="A36" s="36" t="s">
        <v>93</v>
      </c>
      <c r="B36" s="37">
        <v>45359</v>
      </c>
      <c r="C36" s="38" t="s">
        <v>94</v>
      </c>
      <c r="D36" s="38"/>
      <c r="E36" s="47">
        <v>2040000</v>
      </c>
      <c r="F36" s="39">
        <f t="shared" si="4"/>
        <v>163200</v>
      </c>
      <c r="G36" s="40">
        <f t="shared" si="1"/>
        <v>2203200</v>
      </c>
      <c r="H36" s="41">
        <v>2203200</v>
      </c>
      <c r="I36" s="41"/>
      <c r="J36" s="42">
        <f t="shared" si="3"/>
        <v>0</v>
      </c>
      <c r="K36" s="43"/>
      <c r="L36" s="44"/>
      <c r="M36" s="44"/>
      <c r="N36" s="48"/>
      <c r="O36" s="45">
        <v>45392</v>
      </c>
      <c r="P36" s="46"/>
    </row>
    <row r="37" spans="1:16" ht="16.5" customHeight="1" x14ac:dyDescent="0.35">
      <c r="A37" s="36" t="s">
        <v>95</v>
      </c>
      <c r="B37" s="37" t="s">
        <v>96</v>
      </c>
      <c r="C37" s="38" t="s">
        <v>97</v>
      </c>
      <c r="D37" s="38"/>
      <c r="E37" s="47">
        <v>6030000</v>
      </c>
      <c r="F37" s="39">
        <f t="shared" si="4"/>
        <v>482400</v>
      </c>
      <c r="G37" s="40">
        <f t="shared" si="1"/>
        <v>6512400</v>
      </c>
      <c r="H37" s="41">
        <v>6512400</v>
      </c>
      <c r="I37" s="41"/>
      <c r="J37" s="42">
        <f t="shared" si="3"/>
        <v>0</v>
      </c>
      <c r="K37" s="43"/>
      <c r="L37" s="44"/>
      <c r="M37" s="44"/>
      <c r="N37" s="48"/>
      <c r="O37" s="45">
        <v>45406</v>
      </c>
      <c r="P37" s="46"/>
    </row>
    <row r="38" spans="1:16" ht="16.5" customHeight="1" x14ac:dyDescent="0.35">
      <c r="A38" s="36" t="s">
        <v>98</v>
      </c>
      <c r="B38" s="37" t="s">
        <v>99</v>
      </c>
      <c r="C38" s="38" t="s">
        <v>100</v>
      </c>
      <c r="D38" s="38"/>
      <c r="E38" s="47">
        <v>7785000</v>
      </c>
      <c r="F38" s="39">
        <f t="shared" si="4"/>
        <v>622800</v>
      </c>
      <c r="G38" s="40">
        <f t="shared" si="1"/>
        <v>8407800</v>
      </c>
      <c r="H38" s="41">
        <v>8407800</v>
      </c>
      <c r="I38" s="41"/>
      <c r="J38" s="42">
        <f t="shared" si="3"/>
        <v>0</v>
      </c>
      <c r="K38" s="43"/>
      <c r="L38" s="44"/>
      <c r="M38" s="44"/>
      <c r="N38" s="48"/>
      <c r="O38" s="45">
        <v>45406</v>
      </c>
      <c r="P38" s="46"/>
    </row>
    <row r="39" spans="1:16" ht="16.5" customHeight="1" x14ac:dyDescent="0.35">
      <c r="A39" s="36" t="s">
        <v>101</v>
      </c>
      <c r="B39" s="37" t="s">
        <v>99</v>
      </c>
      <c r="C39" s="38" t="s">
        <v>102</v>
      </c>
      <c r="D39" s="38"/>
      <c r="E39" s="47">
        <v>4020000</v>
      </c>
      <c r="F39" s="39">
        <f t="shared" si="4"/>
        <v>321600</v>
      </c>
      <c r="G39" s="40">
        <f t="shared" si="1"/>
        <v>4341600</v>
      </c>
      <c r="H39" s="41">
        <v>4341600</v>
      </c>
      <c r="I39" s="41"/>
      <c r="J39" s="42">
        <f t="shared" si="3"/>
        <v>0</v>
      </c>
      <c r="K39" s="43"/>
      <c r="L39" s="44"/>
      <c r="M39" s="44"/>
      <c r="N39" s="48"/>
      <c r="O39" s="45">
        <v>45406</v>
      </c>
      <c r="P39" s="46"/>
    </row>
    <row r="40" spans="1:16" ht="16.5" customHeight="1" x14ac:dyDescent="0.35">
      <c r="A40" s="36" t="s">
        <v>103</v>
      </c>
      <c r="B40" s="37" t="s">
        <v>104</v>
      </c>
      <c r="C40" s="38" t="s">
        <v>105</v>
      </c>
      <c r="D40" s="38"/>
      <c r="E40" s="47">
        <v>19545000</v>
      </c>
      <c r="F40" s="39">
        <f t="shared" si="4"/>
        <v>1563600</v>
      </c>
      <c r="G40" s="40">
        <f t="shared" si="1"/>
        <v>21108600</v>
      </c>
      <c r="H40" s="41">
        <v>21108600</v>
      </c>
      <c r="I40" s="41"/>
      <c r="J40" s="42">
        <f t="shared" si="3"/>
        <v>0</v>
      </c>
      <c r="K40" s="43"/>
      <c r="L40" s="44"/>
      <c r="M40" s="44"/>
      <c r="N40" s="48"/>
      <c r="O40" s="45">
        <v>45422</v>
      </c>
      <c r="P40" s="46"/>
    </row>
    <row r="41" spans="1:16" ht="16.5" customHeight="1" x14ac:dyDescent="0.35">
      <c r="A41" s="36" t="s">
        <v>106</v>
      </c>
      <c r="B41" s="37" t="s">
        <v>104</v>
      </c>
      <c r="C41" s="38" t="s">
        <v>107</v>
      </c>
      <c r="D41" s="38"/>
      <c r="E41" s="47">
        <v>1005000</v>
      </c>
      <c r="F41" s="39">
        <f t="shared" si="4"/>
        <v>80400</v>
      </c>
      <c r="G41" s="40">
        <f t="shared" si="1"/>
        <v>1085400</v>
      </c>
      <c r="H41" s="41">
        <v>1085400</v>
      </c>
      <c r="I41" s="41"/>
      <c r="J41" s="42">
        <f t="shared" si="3"/>
        <v>0</v>
      </c>
      <c r="K41" s="43"/>
      <c r="L41" s="44"/>
      <c r="M41" s="44"/>
      <c r="N41" s="48"/>
      <c r="O41" s="45">
        <v>45422</v>
      </c>
      <c r="P41" s="46"/>
    </row>
    <row r="42" spans="1:16" ht="16.5" customHeight="1" x14ac:dyDescent="0.35">
      <c r="A42" s="36" t="s">
        <v>108</v>
      </c>
      <c r="B42" s="37" t="s">
        <v>104</v>
      </c>
      <c r="C42" s="38" t="s">
        <v>109</v>
      </c>
      <c r="D42" s="38"/>
      <c r="E42" s="47">
        <v>1005000</v>
      </c>
      <c r="F42" s="39">
        <f t="shared" si="4"/>
        <v>80400</v>
      </c>
      <c r="G42" s="40">
        <f t="shared" si="1"/>
        <v>1085400</v>
      </c>
      <c r="H42" s="41">
        <v>1085400</v>
      </c>
      <c r="I42" s="41"/>
      <c r="J42" s="42">
        <f t="shared" si="3"/>
        <v>0</v>
      </c>
      <c r="K42" s="43"/>
      <c r="L42" s="44"/>
      <c r="M42" s="44"/>
      <c r="N42" s="48"/>
      <c r="O42" s="45">
        <v>45422</v>
      </c>
      <c r="P42" s="46"/>
    </row>
    <row r="43" spans="1:16" ht="16.5" customHeight="1" x14ac:dyDescent="0.35">
      <c r="A43" s="36" t="s">
        <v>110</v>
      </c>
      <c r="B43" s="37" t="s">
        <v>111</v>
      </c>
      <c r="C43" s="38">
        <v>1356</v>
      </c>
      <c r="D43" s="38"/>
      <c r="E43" s="47">
        <v>17700000</v>
      </c>
      <c r="F43" s="39">
        <f t="shared" si="4"/>
        <v>1416000</v>
      </c>
      <c r="G43" s="40">
        <f t="shared" si="1"/>
        <v>19116000</v>
      </c>
      <c r="H43" s="41">
        <v>19116000</v>
      </c>
      <c r="I43" s="41"/>
      <c r="J43" s="42">
        <f t="shared" si="3"/>
        <v>0</v>
      </c>
      <c r="K43" s="43"/>
      <c r="L43" s="44"/>
      <c r="M43" s="44"/>
      <c r="N43" s="48"/>
      <c r="O43" s="45">
        <v>45422</v>
      </c>
      <c r="P43" s="46"/>
    </row>
    <row r="44" spans="1:16" ht="16.5" customHeight="1" x14ac:dyDescent="0.35">
      <c r="A44" s="36" t="s">
        <v>112</v>
      </c>
      <c r="B44" s="37" t="s">
        <v>113</v>
      </c>
      <c r="C44" s="49" t="s">
        <v>114</v>
      </c>
      <c r="D44" s="38"/>
      <c r="E44" s="47">
        <v>2045000</v>
      </c>
      <c r="F44" s="39">
        <f t="shared" si="4"/>
        <v>163600</v>
      </c>
      <c r="G44" s="40">
        <f t="shared" si="1"/>
        <v>2208600</v>
      </c>
      <c r="H44" s="41">
        <v>2208600</v>
      </c>
      <c r="I44" s="41"/>
      <c r="J44" s="42">
        <f t="shared" si="3"/>
        <v>0</v>
      </c>
      <c r="K44" s="43"/>
      <c r="L44" s="44"/>
      <c r="M44" s="44"/>
      <c r="N44" s="48"/>
      <c r="O44" s="45" t="s">
        <v>115</v>
      </c>
      <c r="P44" s="46"/>
    </row>
    <row r="45" spans="1:16" ht="16.5" customHeight="1" x14ac:dyDescent="0.35">
      <c r="A45" s="36" t="s">
        <v>116</v>
      </c>
      <c r="B45" s="37" t="s">
        <v>117</v>
      </c>
      <c r="C45" s="49" t="s">
        <v>118</v>
      </c>
      <c r="D45" s="38"/>
      <c r="E45" s="47">
        <v>13032000</v>
      </c>
      <c r="F45" s="39">
        <f t="shared" si="4"/>
        <v>1042560</v>
      </c>
      <c r="G45" s="40">
        <f t="shared" si="1"/>
        <v>14074560</v>
      </c>
      <c r="H45" s="41">
        <v>14074560</v>
      </c>
      <c r="I45" s="41"/>
      <c r="J45" s="42">
        <f t="shared" si="3"/>
        <v>0</v>
      </c>
      <c r="K45" s="43"/>
      <c r="L45" s="44"/>
      <c r="M45" s="44"/>
      <c r="N45" s="48"/>
      <c r="O45" s="45" t="s">
        <v>115</v>
      </c>
      <c r="P45" s="46"/>
    </row>
    <row r="46" spans="1:16" ht="16.5" customHeight="1" x14ac:dyDescent="0.35">
      <c r="A46" s="36" t="s">
        <v>119</v>
      </c>
      <c r="B46" s="37" t="s">
        <v>120</v>
      </c>
      <c r="C46" s="49" t="s">
        <v>121</v>
      </c>
      <c r="D46" s="38"/>
      <c r="E46" s="47">
        <v>1836000</v>
      </c>
      <c r="F46" s="39">
        <f t="shared" si="4"/>
        <v>146880</v>
      </c>
      <c r="G46" s="40">
        <f t="shared" si="1"/>
        <v>1982880</v>
      </c>
      <c r="H46" s="41">
        <v>1982880</v>
      </c>
      <c r="I46" s="41"/>
      <c r="J46" s="42">
        <f t="shared" si="3"/>
        <v>0</v>
      </c>
      <c r="K46" s="43"/>
      <c r="L46" s="44"/>
      <c r="M46" s="44"/>
      <c r="N46" s="48"/>
      <c r="O46" s="45" t="s">
        <v>115</v>
      </c>
      <c r="P46" s="46"/>
    </row>
    <row r="47" spans="1:16" ht="16.5" customHeight="1" x14ac:dyDescent="0.35">
      <c r="A47" s="36" t="s">
        <v>122</v>
      </c>
      <c r="B47" s="37" t="s">
        <v>123</v>
      </c>
      <c r="C47" s="49" t="s">
        <v>124</v>
      </c>
      <c r="D47" s="38"/>
      <c r="E47" s="47">
        <v>9562500</v>
      </c>
      <c r="F47" s="39">
        <f t="shared" si="4"/>
        <v>765000</v>
      </c>
      <c r="G47" s="40">
        <f t="shared" si="1"/>
        <v>10327500</v>
      </c>
      <c r="H47" s="41">
        <v>10327500</v>
      </c>
      <c r="I47" s="41"/>
      <c r="J47" s="42">
        <f t="shared" si="3"/>
        <v>0</v>
      </c>
      <c r="K47" s="43"/>
      <c r="L47" s="44"/>
      <c r="M47" s="44"/>
      <c r="N47" s="48"/>
      <c r="O47" s="45" t="s">
        <v>125</v>
      </c>
      <c r="P47" s="46"/>
    </row>
    <row r="48" spans="1:16" ht="16.5" customHeight="1" x14ac:dyDescent="0.35">
      <c r="A48" s="36" t="s">
        <v>126</v>
      </c>
      <c r="B48" s="37" t="s">
        <v>123</v>
      </c>
      <c r="C48" s="49" t="s">
        <v>127</v>
      </c>
      <c r="D48" s="38"/>
      <c r="E48" s="47">
        <v>1579500</v>
      </c>
      <c r="F48" s="39">
        <f t="shared" si="4"/>
        <v>126360</v>
      </c>
      <c r="G48" s="40">
        <f t="shared" si="1"/>
        <v>1705860</v>
      </c>
      <c r="H48" s="41">
        <v>1705860</v>
      </c>
      <c r="I48" s="41"/>
      <c r="J48" s="42">
        <f t="shared" si="3"/>
        <v>0</v>
      </c>
      <c r="K48" s="43"/>
      <c r="L48" s="44"/>
      <c r="M48" s="44"/>
      <c r="N48" s="48"/>
      <c r="O48" s="45" t="s">
        <v>125</v>
      </c>
      <c r="P48" s="46"/>
    </row>
    <row r="49" spans="1:16" ht="16.5" customHeight="1" x14ac:dyDescent="0.35">
      <c r="A49" s="36" t="s">
        <v>128</v>
      </c>
      <c r="B49" s="37" t="s">
        <v>129</v>
      </c>
      <c r="C49" s="49" t="s">
        <v>130</v>
      </c>
      <c r="D49" s="38"/>
      <c r="E49" s="47">
        <v>12640500</v>
      </c>
      <c r="F49" s="39">
        <f t="shared" si="4"/>
        <v>1011240</v>
      </c>
      <c r="G49" s="40">
        <f t="shared" si="1"/>
        <v>13651740</v>
      </c>
      <c r="H49" s="41">
        <v>13651740</v>
      </c>
      <c r="I49" s="41"/>
      <c r="J49" s="42">
        <f t="shared" si="3"/>
        <v>0</v>
      </c>
      <c r="K49" s="43"/>
      <c r="L49" s="44"/>
      <c r="M49" s="44"/>
      <c r="N49" s="48"/>
      <c r="O49" s="45" t="s">
        <v>125</v>
      </c>
      <c r="P49" s="46"/>
    </row>
    <row r="50" spans="1:16" ht="16.5" customHeight="1" x14ac:dyDescent="0.35">
      <c r="A50" s="36" t="s">
        <v>131</v>
      </c>
      <c r="B50" s="37" t="s">
        <v>132</v>
      </c>
      <c r="C50" s="49" t="s">
        <v>133</v>
      </c>
      <c r="D50" s="38"/>
      <c r="E50" s="47">
        <v>675000</v>
      </c>
      <c r="F50" s="39">
        <f t="shared" si="4"/>
        <v>54000</v>
      </c>
      <c r="G50" s="40">
        <f t="shared" si="1"/>
        <v>729000</v>
      </c>
      <c r="H50" s="41">
        <v>729000</v>
      </c>
      <c r="I50" s="41"/>
      <c r="J50" s="42">
        <f t="shared" si="3"/>
        <v>0</v>
      </c>
      <c r="K50" s="43"/>
      <c r="L50" s="44"/>
      <c r="M50" s="44"/>
      <c r="N50" s="48"/>
      <c r="O50" s="45" t="s">
        <v>125</v>
      </c>
      <c r="P50" s="46"/>
    </row>
    <row r="51" spans="1:16" ht="16.5" customHeight="1" x14ac:dyDescent="0.35">
      <c r="A51" s="36" t="s">
        <v>134</v>
      </c>
      <c r="B51" s="37" t="s">
        <v>135</v>
      </c>
      <c r="C51" s="49" t="s">
        <v>136</v>
      </c>
      <c r="D51" s="38"/>
      <c r="E51" s="47">
        <v>12690000</v>
      </c>
      <c r="F51" s="39">
        <f t="shared" si="4"/>
        <v>1015200</v>
      </c>
      <c r="G51" s="40">
        <f t="shared" si="1"/>
        <v>13705200</v>
      </c>
      <c r="H51" s="41">
        <v>13705200</v>
      </c>
      <c r="I51" s="41"/>
      <c r="J51" s="42">
        <f t="shared" si="3"/>
        <v>0</v>
      </c>
      <c r="K51" s="43"/>
      <c r="L51" s="44"/>
      <c r="M51" s="44"/>
      <c r="N51" s="48"/>
      <c r="O51" s="45" t="s">
        <v>125</v>
      </c>
      <c r="P51" s="46"/>
    </row>
    <row r="52" spans="1:16" ht="16.5" customHeight="1" x14ac:dyDescent="0.35">
      <c r="A52" s="36" t="s">
        <v>137</v>
      </c>
      <c r="B52" s="37" t="s">
        <v>138</v>
      </c>
      <c r="C52" s="49" t="s">
        <v>139</v>
      </c>
      <c r="D52" s="38"/>
      <c r="E52" s="47">
        <v>3045000</v>
      </c>
      <c r="F52" s="39">
        <f t="shared" si="4"/>
        <v>243600</v>
      </c>
      <c r="G52" s="40">
        <f t="shared" si="1"/>
        <v>3288600</v>
      </c>
      <c r="H52" s="41">
        <v>3288600</v>
      </c>
      <c r="I52" s="41"/>
      <c r="J52" s="42">
        <f t="shared" si="3"/>
        <v>0</v>
      </c>
      <c r="K52" s="43"/>
      <c r="L52" s="44"/>
      <c r="M52" s="44"/>
      <c r="N52" s="48"/>
      <c r="O52" s="45" t="s">
        <v>125</v>
      </c>
      <c r="P52" s="46"/>
    </row>
    <row r="53" spans="1:16" ht="16.5" customHeight="1" x14ac:dyDescent="0.35">
      <c r="A53" s="36" t="s">
        <v>140</v>
      </c>
      <c r="B53" s="37">
        <v>45423</v>
      </c>
      <c r="C53" s="49" t="s">
        <v>141</v>
      </c>
      <c r="D53" s="38"/>
      <c r="E53" s="47">
        <v>110433000</v>
      </c>
      <c r="F53" s="39">
        <f t="shared" si="4"/>
        <v>8834640</v>
      </c>
      <c r="G53" s="40">
        <f t="shared" ref="G53:G116" si="5">E53+F53</f>
        <v>119267640</v>
      </c>
      <c r="H53" s="41">
        <v>119267640</v>
      </c>
      <c r="I53" s="41"/>
      <c r="J53" s="42">
        <f t="shared" si="3"/>
        <v>0</v>
      </c>
      <c r="K53" s="43"/>
      <c r="L53" s="44"/>
      <c r="M53" s="44"/>
      <c r="N53" s="48"/>
      <c r="O53" s="45" t="s">
        <v>115</v>
      </c>
      <c r="P53" s="46"/>
    </row>
    <row r="54" spans="1:16" ht="16.5" customHeight="1" x14ac:dyDescent="0.35">
      <c r="A54" s="36" t="s">
        <v>142</v>
      </c>
      <c r="B54" s="37">
        <v>45423</v>
      </c>
      <c r="C54" s="49" t="s">
        <v>143</v>
      </c>
      <c r="D54" s="38"/>
      <c r="E54" s="47">
        <v>68616000</v>
      </c>
      <c r="F54" s="39">
        <f t="shared" si="4"/>
        <v>5489280</v>
      </c>
      <c r="G54" s="40">
        <f t="shared" si="5"/>
        <v>74105280</v>
      </c>
      <c r="H54" s="41">
        <v>74105280</v>
      </c>
      <c r="I54" s="41"/>
      <c r="J54" s="42">
        <f t="shared" si="3"/>
        <v>0</v>
      </c>
      <c r="K54" s="43"/>
      <c r="L54" s="44"/>
      <c r="M54" s="44"/>
      <c r="N54" s="48"/>
      <c r="O54" s="45" t="s">
        <v>115</v>
      </c>
      <c r="P54" s="46"/>
    </row>
    <row r="55" spans="1:16" ht="16.5" customHeight="1" x14ac:dyDescent="0.35">
      <c r="A55" s="36" t="s">
        <v>144</v>
      </c>
      <c r="B55" s="37">
        <v>45427</v>
      </c>
      <c r="C55" s="38" t="s">
        <v>145</v>
      </c>
      <c r="D55" s="38"/>
      <c r="E55" s="47">
        <v>13595000</v>
      </c>
      <c r="F55" s="39">
        <f t="shared" si="4"/>
        <v>1087600</v>
      </c>
      <c r="G55" s="40">
        <f t="shared" si="5"/>
        <v>14682600</v>
      </c>
      <c r="H55" s="41">
        <v>14682600</v>
      </c>
      <c r="I55" s="41"/>
      <c r="J55" s="42">
        <f t="shared" si="3"/>
        <v>0</v>
      </c>
      <c r="K55" s="43"/>
      <c r="L55" s="44"/>
      <c r="M55" s="44"/>
      <c r="N55" s="48"/>
      <c r="O55" s="45">
        <v>45467</v>
      </c>
      <c r="P55" s="46"/>
    </row>
    <row r="56" spans="1:16" ht="16.5" customHeight="1" x14ac:dyDescent="0.35">
      <c r="A56" s="36" t="s">
        <v>146</v>
      </c>
      <c r="B56" s="37">
        <v>45428</v>
      </c>
      <c r="C56" s="49" t="s">
        <v>147</v>
      </c>
      <c r="D56" s="38"/>
      <c r="E56" s="47">
        <v>3015000</v>
      </c>
      <c r="F56" s="39">
        <f t="shared" si="4"/>
        <v>241200</v>
      </c>
      <c r="G56" s="40">
        <f t="shared" si="5"/>
        <v>3256200</v>
      </c>
      <c r="H56" s="41">
        <v>3256200</v>
      </c>
      <c r="I56" s="41"/>
      <c r="J56" s="42">
        <f t="shared" si="3"/>
        <v>0</v>
      </c>
      <c r="K56" s="43"/>
      <c r="L56" s="44"/>
      <c r="M56" s="44"/>
      <c r="N56" s="48"/>
      <c r="O56" s="45" t="s">
        <v>148</v>
      </c>
      <c r="P56" s="46"/>
    </row>
    <row r="57" spans="1:16" ht="16.5" customHeight="1" x14ac:dyDescent="0.35">
      <c r="A57" s="36" t="s">
        <v>149</v>
      </c>
      <c r="B57" s="37" t="s">
        <v>150</v>
      </c>
      <c r="C57" s="38" t="s">
        <v>151</v>
      </c>
      <c r="D57" s="38"/>
      <c r="E57" s="47">
        <v>15435000</v>
      </c>
      <c r="F57" s="39">
        <f t="shared" si="4"/>
        <v>1234800</v>
      </c>
      <c r="G57" s="40">
        <f t="shared" si="5"/>
        <v>16669800</v>
      </c>
      <c r="H57" s="41">
        <v>16669800</v>
      </c>
      <c r="I57" s="41"/>
      <c r="J57" s="42">
        <f t="shared" si="3"/>
        <v>0</v>
      </c>
      <c r="K57" s="43"/>
      <c r="L57" s="44"/>
      <c r="M57" s="44"/>
      <c r="N57" s="48"/>
      <c r="O57" s="45">
        <v>45467</v>
      </c>
      <c r="P57" s="46"/>
    </row>
    <row r="58" spans="1:16" ht="16.5" customHeight="1" x14ac:dyDescent="0.35">
      <c r="A58" s="36" t="s">
        <v>152</v>
      </c>
      <c r="B58" s="37" t="s">
        <v>153</v>
      </c>
      <c r="C58" s="38" t="s">
        <v>154</v>
      </c>
      <c r="D58" s="38"/>
      <c r="E58" s="47">
        <v>12185000</v>
      </c>
      <c r="F58" s="39">
        <f t="shared" si="4"/>
        <v>974800</v>
      </c>
      <c r="G58" s="40">
        <f t="shared" si="5"/>
        <v>13159800</v>
      </c>
      <c r="H58" s="41">
        <v>13159800</v>
      </c>
      <c r="I58" s="41"/>
      <c r="J58" s="42">
        <f t="shared" si="3"/>
        <v>0</v>
      </c>
      <c r="K58" s="43"/>
      <c r="L58" s="44"/>
      <c r="M58" s="44"/>
      <c r="N58" s="48"/>
      <c r="O58" s="45">
        <v>45483</v>
      </c>
      <c r="P58" s="46"/>
    </row>
    <row r="59" spans="1:16" ht="16.5" customHeight="1" x14ac:dyDescent="0.35">
      <c r="A59" s="36" t="s">
        <v>155</v>
      </c>
      <c r="B59" s="37" t="s">
        <v>156</v>
      </c>
      <c r="C59" s="38" t="s">
        <v>157</v>
      </c>
      <c r="D59" s="38"/>
      <c r="E59" s="47">
        <v>1755000</v>
      </c>
      <c r="F59" s="39">
        <f t="shared" si="4"/>
        <v>140400</v>
      </c>
      <c r="G59" s="40">
        <f t="shared" si="5"/>
        <v>1895400</v>
      </c>
      <c r="H59" s="41">
        <v>1895400</v>
      </c>
      <c r="I59" s="41"/>
      <c r="J59" s="42">
        <f t="shared" si="3"/>
        <v>0</v>
      </c>
      <c r="K59" s="43"/>
      <c r="L59" s="44"/>
      <c r="M59" s="44"/>
      <c r="N59" s="48"/>
      <c r="O59" s="45">
        <v>45483</v>
      </c>
      <c r="P59" s="46"/>
    </row>
    <row r="60" spans="1:16" ht="16.5" customHeight="1" x14ac:dyDescent="0.35">
      <c r="A60" s="36" t="s">
        <v>158</v>
      </c>
      <c r="B60" s="37" t="s">
        <v>159</v>
      </c>
      <c r="C60" s="49" t="s">
        <v>160</v>
      </c>
      <c r="D60" s="38"/>
      <c r="E60" s="47">
        <v>2040000</v>
      </c>
      <c r="F60" s="39">
        <f t="shared" si="4"/>
        <v>163200</v>
      </c>
      <c r="G60" s="40">
        <f t="shared" si="5"/>
        <v>2203200</v>
      </c>
      <c r="H60" s="41">
        <v>2203200</v>
      </c>
      <c r="I60" s="41"/>
      <c r="J60" s="42">
        <f t="shared" si="3"/>
        <v>0</v>
      </c>
      <c r="K60" s="43"/>
      <c r="L60" s="44"/>
      <c r="M60" s="44"/>
      <c r="N60" s="48"/>
      <c r="O60" s="45">
        <v>45483</v>
      </c>
      <c r="P60" s="46"/>
    </row>
    <row r="61" spans="1:16" ht="16.5" customHeight="1" x14ac:dyDescent="0.35">
      <c r="A61" s="36" t="s">
        <v>161</v>
      </c>
      <c r="B61" s="37" t="s">
        <v>159</v>
      </c>
      <c r="C61" s="49" t="s">
        <v>162</v>
      </c>
      <c r="D61" s="38"/>
      <c r="E61" s="47">
        <v>4515000</v>
      </c>
      <c r="F61" s="39">
        <f t="shared" si="4"/>
        <v>361200</v>
      </c>
      <c r="G61" s="40">
        <f t="shared" si="5"/>
        <v>4876200</v>
      </c>
      <c r="H61" s="41">
        <v>4876200</v>
      </c>
      <c r="I61" s="41"/>
      <c r="J61" s="42">
        <f t="shared" si="3"/>
        <v>0</v>
      </c>
      <c r="K61" s="43"/>
      <c r="L61" s="44"/>
      <c r="M61" s="44"/>
      <c r="N61" s="48"/>
      <c r="O61" s="45">
        <v>45483</v>
      </c>
      <c r="P61" s="46"/>
    </row>
    <row r="62" spans="1:16" ht="16.5" customHeight="1" x14ac:dyDescent="0.35">
      <c r="A62" s="36" t="s">
        <v>163</v>
      </c>
      <c r="B62" s="37" t="s">
        <v>164</v>
      </c>
      <c r="C62" s="49" t="s">
        <v>165</v>
      </c>
      <c r="D62" s="38"/>
      <c r="E62" s="47">
        <v>2760000</v>
      </c>
      <c r="F62" s="39">
        <f t="shared" si="4"/>
        <v>220800</v>
      </c>
      <c r="G62" s="40">
        <f t="shared" si="5"/>
        <v>2980800</v>
      </c>
      <c r="H62" s="41">
        <v>2980800</v>
      </c>
      <c r="I62" s="41"/>
      <c r="J62" s="42">
        <f t="shared" si="3"/>
        <v>0</v>
      </c>
      <c r="K62" s="43"/>
      <c r="L62" s="44"/>
      <c r="M62" s="44"/>
      <c r="N62" s="48"/>
      <c r="O62" s="45">
        <v>45497</v>
      </c>
      <c r="P62" s="46"/>
    </row>
    <row r="63" spans="1:16" ht="16.5" customHeight="1" x14ac:dyDescent="0.35">
      <c r="A63" s="36" t="s">
        <v>166</v>
      </c>
      <c r="B63" s="37" t="s">
        <v>164</v>
      </c>
      <c r="C63" s="49" t="s">
        <v>167</v>
      </c>
      <c r="D63" s="38"/>
      <c r="E63" s="47">
        <v>24285000</v>
      </c>
      <c r="F63" s="39">
        <f t="shared" si="4"/>
        <v>1942800</v>
      </c>
      <c r="G63" s="40">
        <f t="shared" si="5"/>
        <v>26227800</v>
      </c>
      <c r="H63" s="41">
        <v>26227800</v>
      </c>
      <c r="I63" s="41"/>
      <c r="J63" s="42">
        <f t="shared" si="3"/>
        <v>0</v>
      </c>
      <c r="K63" s="43"/>
      <c r="L63" s="44"/>
      <c r="M63" s="44"/>
      <c r="N63" s="48"/>
      <c r="O63" s="45">
        <v>45497</v>
      </c>
      <c r="P63" s="46"/>
    </row>
    <row r="64" spans="1:16" ht="16.5" customHeight="1" x14ac:dyDescent="0.35">
      <c r="A64" s="36" t="s">
        <v>168</v>
      </c>
      <c r="B64" s="37" t="s">
        <v>164</v>
      </c>
      <c r="C64" s="49" t="s">
        <v>169</v>
      </c>
      <c r="D64" s="38"/>
      <c r="E64" s="47">
        <v>750000</v>
      </c>
      <c r="F64" s="39">
        <f t="shared" si="4"/>
        <v>60000</v>
      </c>
      <c r="G64" s="40">
        <f t="shared" si="5"/>
        <v>810000</v>
      </c>
      <c r="H64" s="41">
        <v>810000</v>
      </c>
      <c r="I64" s="41"/>
      <c r="J64" s="42">
        <f t="shared" si="3"/>
        <v>0</v>
      </c>
      <c r="K64" s="43"/>
      <c r="L64" s="44"/>
      <c r="M64" s="44"/>
      <c r="N64" s="48"/>
      <c r="O64" s="45">
        <v>45575</v>
      </c>
      <c r="P64" s="46"/>
    </row>
    <row r="65" spans="1:16" ht="16.5" customHeight="1" x14ac:dyDescent="0.35">
      <c r="A65" s="36" t="s">
        <v>170</v>
      </c>
      <c r="B65" s="37">
        <v>45464</v>
      </c>
      <c r="C65" s="49" t="s">
        <v>171</v>
      </c>
      <c r="D65" s="38"/>
      <c r="E65" s="47">
        <v>28340000</v>
      </c>
      <c r="F65" s="39">
        <f t="shared" si="4"/>
        <v>2267200</v>
      </c>
      <c r="G65" s="40">
        <f t="shared" si="5"/>
        <v>30607200</v>
      </c>
      <c r="H65" s="41">
        <v>30607200</v>
      </c>
      <c r="I65" s="41"/>
      <c r="J65" s="42">
        <f t="shared" si="3"/>
        <v>0</v>
      </c>
      <c r="K65" s="43"/>
      <c r="L65" s="44"/>
      <c r="M65" s="44"/>
      <c r="N65" s="48"/>
      <c r="O65" s="45">
        <v>45497</v>
      </c>
      <c r="P65" s="46"/>
    </row>
    <row r="66" spans="1:16" ht="16.5" customHeight="1" x14ac:dyDescent="0.35">
      <c r="A66" s="36" t="s">
        <v>172</v>
      </c>
      <c r="B66" s="37" t="s">
        <v>173</v>
      </c>
      <c r="C66" s="49" t="s">
        <v>174</v>
      </c>
      <c r="D66" s="38"/>
      <c r="E66" s="47">
        <v>15960000</v>
      </c>
      <c r="F66" s="39">
        <f t="shared" si="4"/>
        <v>1276800</v>
      </c>
      <c r="G66" s="40">
        <f t="shared" si="5"/>
        <v>17236800</v>
      </c>
      <c r="H66" s="41">
        <v>17236800</v>
      </c>
      <c r="I66" s="41"/>
      <c r="J66" s="42">
        <f t="shared" si="3"/>
        <v>0</v>
      </c>
      <c r="K66" s="43"/>
      <c r="L66" s="44"/>
      <c r="M66" s="44"/>
      <c r="N66" s="48"/>
      <c r="O66" s="45">
        <v>45516</v>
      </c>
      <c r="P66" s="46"/>
    </row>
    <row r="67" spans="1:16" ht="16.5" customHeight="1" x14ac:dyDescent="0.35">
      <c r="A67" s="36" t="s">
        <v>175</v>
      </c>
      <c r="B67" s="37" t="s">
        <v>176</v>
      </c>
      <c r="C67" s="49" t="s">
        <v>177</v>
      </c>
      <c r="D67" s="38"/>
      <c r="E67" s="47">
        <v>28020000</v>
      </c>
      <c r="F67" s="39">
        <f t="shared" si="4"/>
        <v>2241600</v>
      </c>
      <c r="G67" s="40">
        <f t="shared" si="5"/>
        <v>30261600</v>
      </c>
      <c r="H67" s="41">
        <v>30261600</v>
      </c>
      <c r="I67" s="41"/>
      <c r="J67" s="42">
        <f t="shared" si="3"/>
        <v>0</v>
      </c>
      <c r="K67" s="43"/>
      <c r="L67" s="44"/>
      <c r="M67" s="44"/>
      <c r="N67" s="48"/>
      <c r="O67" s="45">
        <v>45516</v>
      </c>
      <c r="P67" s="46"/>
    </row>
    <row r="68" spans="1:16" ht="16.5" customHeight="1" x14ac:dyDescent="0.35">
      <c r="A68" s="36" t="s">
        <v>178</v>
      </c>
      <c r="B68" s="37" t="s">
        <v>179</v>
      </c>
      <c r="C68" s="49" t="s">
        <v>180</v>
      </c>
      <c r="D68" s="38"/>
      <c r="E68" s="47">
        <v>2925000</v>
      </c>
      <c r="F68" s="39">
        <f t="shared" si="4"/>
        <v>234000</v>
      </c>
      <c r="G68" s="40">
        <f t="shared" si="5"/>
        <v>3159000</v>
      </c>
      <c r="H68" s="41">
        <v>3159000</v>
      </c>
      <c r="I68" s="41"/>
      <c r="J68" s="42">
        <f t="shared" si="3"/>
        <v>0</v>
      </c>
      <c r="K68" s="43"/>
      <c r="L68" s="44"/>
      <c r="M68" s="44"/>
      <c r="N68" s="48"/>
      <c r="O68" s="45">
        <v>45516</v>
      </c>
      <c r="P68" s="46"/>
    </row>
    <row r="69" spans="1:16" ht="16.5" customHeight="1" x14ac:dyDescent="0.35">
      <c r="A69" s="36" t="s">
        <v>181</v>
      </c>
      <c r="B69" s="37" t="s">
        <v>179</v>
      </c>
      <c r="C69" s="49" t="s">
        <v>182</v>
      </c>
      <c r="D69" s="38"/>
      <c r="E69" s="47">
        <v>1040000</v>
      </c>
      <c r="F69" s="39">
        <f t="shared" si="4"/>
        <v>83200</v>
      </c>
      <c r="G69" s="40">
        <f t="shared" si="5"/>
        <v>1123200</v>
      </c>
      <c r="H69" s="41">
        <v>1123200</v>
      </c>
      <c r="I69" s="41"/>
      <c r="J69" s="42">
        <f t="shared" si="3"/>
        <v>0</v>
      </c>
      <c r="K69" s="43"/>
      <c r="L69" s="44"/>
      <c r="M69" s="44"/>
      <c r="N69" s="48"/>
      <c r="O69" s="45">
        <v>45516</v>
      </c>
      <c r="P69" s="46"/>
    </row>
    <row r="70" spans="1:16" ht="16.5" customHeight="1" x14ac:dyDescent="0.35">
      <c r="A70" s="36" t="s">
        <v>183</v>
      </c>
      <c r="B70" s="37" t="s">
        <v>184</v>
      </c>
      <c r="C70" s="49" t="s">
        <v>185</v>
      </c>
      <c r="D70" s="38"/>
      <c r="E70" s="47">
        <v>17595000</v>
      </c>
      <c r="F70" s="39">
        <f t="shared" si="4"/>
        <v>1407600</v>
      </c>
      <c r="G70" s="40">
        <f t="shared" si="5"/>
        <v>19002600</v>
      </c>
      <c r="H70" s="41">
        <v>19002600</v>
      </c>
      <c r="I70" s="41"/>
      <c r="J70" s="42">
        <f t="shared" si="3"/>
        <v>0</v>
      </c>
      <c r="K70" s="43"/>
      <c r="L70" s="44"/>
      <c r="M70" s="44"/>
      <c r="N70" s="48"/>
      <c r="O70" s="45">
        <v>45516</v>
      </c>
      <c r="P70" s="46"/>
    </row>
    <row r="71" spans="1:16" ht="16.5" customHeight="1" x14ac:dyDescent="0.35">
      <c r="A71" s="36" t="s">
        <v>186</v>
      </c>
      <c r="B71" s="37" t="s">
        <v>187</v>
      </c>
      <c r="C71" s="49" t="s">
        <v>188</v>
      </c>
      <c r="D71" s="38"/>
      <c r="E71" s="47">
        <v>20095000</v>
      </c>
      <c r="F71" s="39">
        <f t="shared" si="4"/>
        <v>1607600</v>
      </c>
      <c r="G71" s="40">
        <f t="shared" si="5"/>
        <v>21702600</v>
      </c>
      <c r="H71" s="41">
        <v>21702600</v>
      </c>
      <c r="I71" s="41"/>
      <c r="J71" s="42">
        <f t="shared" si="3"/>
        <v>0</v>
      </c>
      <c r="K71" s="43"/>
      <c r="L71" s="44"/>
      <c r="M71" s="44"/>
      <c r="N71" s="48"/>
      <c r="O71" s="45">
        <v>45530</v>
      </c>
      <c r="P71" s="46"/>
    </row>
    <row r="72" spans="1:16" ht="16.5" customHeight="1" x14ac:dyDescent="0.35">
      <c r="A72" s="36" t="s">
        <v>189</v>
      </c>
      <c r="B72" s="37" t="s">
        <v>190</v>
      </c>
      <c r="C72" s="49" t="s">
        <v>191</v>
      </c>
      <c r="D72" s="38"/>
      <c r="E72" s="47">
        <v>1005000</v>
      </c>
      <c r="F72" s="39">
        <f t="shared" si="4"/>
        <v>80400</v>
      </c>
      <c r="G72" s="40">
        <f t="shared" si="5"/>
        <v>1085400</v>
      </c>
      <c r="H72" s="41">
        <v>1085400</v>
      </c>
      <c r="I72" s="41"/>
      <c r="J72" s="42">
        <f t="shared" si="3"/>
        <v>0</v>
      </c>
      <c r="K72" s="43"/>
      <c r="L72" s="44"/>
      <c r="M72" s="44"/>
      <c r="N72" s="48"/>
      <c r="O72" s="45">
        <v>45530</v>
      </c>
      <c r="P72" s="46"/>
    </row>
    <row r="73" spans="1:16" ht="16.5" customHeight="1" x14ac:dyDescent="0.35">
      <c r="A73" s="36" t="s">
        <v>192</v>
      </c>
      <c r="B73" s="37" t="s">
        <v>193</v>
      </c>
      <c r="C73" s="49" t="s">
        <v>194</v>
      </c>
      <c r="D73" s="38"/>
      <c r="E73" s="47">
        <v>18870000</v>
      </c>
      <c r="F73" s="39">
        <f t="shared" si="4"/>
        <v>1509600</v>
      </c>
      <c r="G73" s="40">
        <f t="shared" si="5"/>
        <v>20379600</v>
      </c>
      <c r="H73" s="41">
        <v>20379600</v>
      </c>
      <c r="I73" s="41"/>
      <c r="J73" s="42">
        <f t="shared" si="3"/>
        <v>0</v>
      </c>
      <c r="K73" s="43"/>
      <c r="L73" s="44"/>
      <c r="M73" s="44"/>
      <c r="N73" s="48"/>
      <c r="O73" s="45">
        <v>45530</v>
      </c>
      <c r="P73" s="46"/>
    </row>
    <row r="74" spans="1:16" ht="16.5" customHeight="1" x14ac:dyDescent="0.35">
      <c r="A74" s="36" t="s">
        <v>195</v>
      </c>
      <c r="B74" s="37" t="s">
        <v>196</v>
      </c>
      <c r="C74" s="49" t="s">
        <v>197</v>
      </c>
      <c r="D74" s="38"/>
      <c r="E74" s="47">
        <v>14085000</v>
      </c>
      <c r="F74" s="39">
        <f t="shared" si="4"/>
        <v>1126800</v>
      </c>
      <c r="G74" s="40">
        <f t="shared" si="5"/>
        <v>15211800</v>
      </c>
      <c r="H74" s="41">
        <v>15211800</v>
      </c>
      <c r="I74" s="41"/>
      <c r="J74" s="42">
        <f t="shared" si="3"/>
        <v>0</v>
      </c>
      <c r="K74" s="43"/>
      <c r="L74" s="44"/>
      <c r="M74" s="44"/>
      <c r="N74" s="48"/>
      <c r="O74" s="45">
        <v>45545</v>
      </c>
      <c r="P74" s="46"/>
    </row>
    <row r="75" spans="1:16" ht="16.5" customHeight="1" x14ac:dyDescent="0.35">
      <c r="A75" s="36" t="s">
        <v>198</v>
      </c>
      <c r="B75" s="37" t="s">
        <v>196</v>
      </c>
      <c r="C75" s="49" t="s">
        <v>199</v>
      </c>
      <c r="D75" s="38"/>
      <c r="E75" s="47">
        <v>1040000</v>
      </c>
      <c r="F75" s="39">
        <f t="shared" si="4"/>
        <v>83200</v>
      </c>
      <c r="G75" s="40">
        <f t="shared" si="5"/>
        <v>1123200</v>
      </c>
      <c r="H75" s="41">
        <v>1123200</v>
      </c>
      <c r="I75" s="41"/>
      <c r="J75" s="42">
        <f t="shared" si="3"/>
        <v>0</v>
      </c>
      <c r="K75" s="43"/>
      <c r="L75" s="44"/>
      <c r="M75" s="44"/>
      <c r="N75" s="48"/>
      <c r="O75" s="45">
        <v>45545</v>
      </c>
      <c r="P75" s="46"/>
    </row>
    <row r="76" spans="1:16" ht="16.5" customHeight="1" x14ac:dyDescent="0.35">
      <c r="A76" s="36" t="s">
        <v>200</v>
      </c>
      <c r="B76" s="37" t="s">
        <v>201</v>
      </c>
      <c r="C76" s="49" t="s">
        <v>202</v>
      </c>
      <c r="D76" s="38"/>
      <c r="E76" s="47">
        <v>22000000</v>
      </c>
      <c r="F76" s="39">
        <f t="shared" si="4"/>
        <v>1760000</v>
      </c>
      <c r="G76" s="40">
        <f t="shared" si="5"/>
        <v>23760000</v>
      </c>
      <c r="H76" s="41">
        <v>23760000</v>
      </c>
      <c r="I76" s="41"/>
      <c r="J76" s="42">
        <f t="shared" si="3"/>
        <v>0</v>
      </c>
      <c r="K76" s="43"/>
      <c r="L76" s="44"/>
      <c r="M76" s="44"/>
      <c r="N76" s="48"/>
      <c r="O76" s="45">
        <v>45545</v>
      </c>
      <c r="P76" s="46"/>
    </row>
    <row r="77" spans="1:16" ht="16.5" customHeight="1" x14ac:dyDescent="0.35">
      <c r="A77" s="36" t="s">
        <v>203</v>
      </c>
      <c r="B77" s="37" t="s">
        <v>204</v>
      </c>
      <c r="C77" s="49" t="s">
        <v>205</v>
      </c>
      <c r="D77" s="38"/>
      <c r="E77" s="47">
        <v>13045000</v>
      </c>
      <c r="F77" s="39">
        <f t="shared" si="4"/>
        <v>1043600</v>
      </c>
      <c r="G77" s="40">
        <f t="shared" si="5"/>
        <v>14088600</v>
      </c>
      <c r="H77" s="41">
        <v>14088600</v>
      </c>
      <c r="I77" s="41"/>
      <c r="J77" s="42">
        <f t="shared" si="3"/>
        <v>0</v>
      </c>
      <c r="K77" s="43"/>
      <c r="L77" s="44"/>
      <c r="M77" s="44"/>
      <c r="N77" s="48"/>
      <c r="O77" s="45">
        <v>45559</v>
      </c>
      <c r="P77" s="46"/>
    </row>
    <row r="78" spans="1:16" ht="16.5" customHeight="1" x14ac:dyDescent="0.35">
      <c r="A78" s="36" t="s">
        <v>206</v>
      </c>
      <c r="B78" s="37" t="s">
        <v>207</v>
      </c>
      <c r="C78" s="49" t="s">
        <v>208</v>
      </c>
      <c r="D78" s="38"/>
      <c r="E78" s="47">
        <v>49290000</v>
      </c>
      <c r="F78" s="39">
        <f t="shared" si="4"/>
        <v>3943200</v>
      </c>
      <c r="G78" s="40">
        <f t="shared" si="5"/>
        <v>53233200</v>
      </c>
      <c r="H78" s="41">
        <v>53233200</v>
      </c>
      <c r="I78" s="41"/>
      <c r="J78" s="42">
        <f t="shared" si="3"/>
        <v>0</v>
      </c>
      <c r="K78" s="43"/>
      <c r="L78" s="44"/>
      <c r="M78" s="44"/>
      <c r="N78" s="48"/>
      <c r="O78" s="45">
        <v>45559</v>
      </c>
      <c r="P78" s="46"/>
    </row>
    <row r="79" spans="1:16" ht="16.5" customHeight="1" x14ac:dyDescent="0.35">
      <c r="A79" s="36" t="s">
        <v>209</v>
      </c>
      <c r="B79" s="37" t="s">
        <v>210</v>
      </c>
      <c r="C79" s="49" t="s">
        <v>211</v>
      </c>
      <c r="D79" s="38"/>
      <c r="E79" s="47">
        <v>3080000</v>
      </c>
      <c r="F79" s="39">
        <f t="shared" si="4"/>
        <v>246400</v>
      </c>
      <c r="G79" s="40">
        <f t="shared" si="5"/>
        <v>3326400</v>
      </c>
      <c r="H79" s="41">
        <v>3326400</v>
      </c>
      <c r="I79" s="41"/>
      <c r="J79" s="42">
        <f t="shared" ref="J79:J142" si="6">G79-H79</f>
        <v>0</v>
      </c>
      <c r="K79" s="43"/>
      <c r="L79" s="44"/>
      <c r="M79" s="44"/>
      <c r="N79" s="48"/>
      <c r="O79" s="45">
        <v>45559</v>
      </c>
      <c r="P79" s="46"/>
    </row>
    <row r="80" spans="1:16" ht="16.5" customHeight="1" x14ac:dyDescent="0.35">
      <c r="A80" s="36" t="s">
        <v>212</v>
      </c>
      <c r="B80" s="37" t="s">
        <v>210</v>
      </c>
      <c r="C80" s="49" t="s">
        <v>213</v>
      </c>
      <c r="D80" s="38"/>
      <c r="E80" s="47">
        <v>3045000</v>
      </c>
      <c r="F80" s="39">
        <f t="shared" si="4"/>
        <v>243600</v>
      </c>
      <c r="G80" s="40">
        <f t="shared" si="5"/>
        <v>3288600</v>
      </c>
      <c r="H80" s="41">
        <v>3288600</v>
      </c>
      <c r="I80" s="41"/>
      <c r="J80" s="42">
        <f t="shared" si="6"/>
        <v>0</v>
      </c>
      <c r="K80" s="43"/>
      <c r="L80" s="44"/>
      <c r="M80" s="44"/>
      <c r="N80" s="48"/>
      <c r="O80" s="45">
        <v>45559</v>
      </c>
      <c r="P80" s="46"/>
    </row>
    <row r="81" spans="1:16" ht="16.5" customHeight="1" x14ac:dyDescent="0.35">
      <c r="A81" s="36" t="s">
        <v>214</v>
      </c>
      <c r="B81" s="37" t="s">
        <v>215</v>
      </c>
      <c r="C81" s="49" t="s">
        <v>216</v>
      </c>
      <c r="D81" s="38"/>
      <c r="E81" s="47">
        <v>2040000</v>
      </c>
      <c r="F81" s="39">
        <f t="shared" si="4"/>
        <v>163200</v>
      </c>
      <c r="G81" s="40">
        <f t="shared" si="5"/>
        <v>2203200</v>
      </c>
      <c r="H81" s="41">
        <v>2203200</v>
      </c>
      <c r="I81" s="41"/>
      <c r="J81" s="42">
        <f t="shared" si="6"/>
        <v>0</v>
      </c>
      <c r="K81" s="43"/>
      <c r="L81" s="44"/>
      <c r="M81" s="44"/>
      <c r="N81" s="48"/>
      <c r="O81" s="45">
        <v>45575</v>
      </c>
      <c r="P81" s="46"/>
    </row>
    <row r="82" spans="1:16" ht="16.5" customHeight="1" x14ac:dyDescent="0.35">
      <c r="A82" s="50" t="s">
        <v>217</v>
      </c>
      <c r="B82" s="37" t="s">
        <v>215</v>
      </c>
      <c r="C82" s="49" t="s">
        <v>218</v>
      </c>
      <c r="D82" s="38"/>
      <c r="E82" s="47">
        <v>17180000</v>
      </c>
      <c r="F82" s="39">
        <f t="shared" si="4"/>
        <v>1374400</v>
      </c>
      <c r="G82" s="40">
        <f t="shared" si="5"/>
        <v>18554400</v>
      </c>
      <c r="H82" s="41">
        <v>18554400</v>
      </c>
      <c r="I82" s="41"/>
      <c r="J82" s="42">
        <f t="shared" si="6"/>
        <v>0</v>
      </c>
      <c r="K82" s="43"/>
      <c r="L82" s="44"/>
      <c r="M82" s="44"/>
      <c r="N82" s="48"/>
      <c r="O82" s="45">
        <v>45575</v>
      </c>
      <c r="P82" s="46"/>
    </row>
    <row r="83" spans="1:16" ht="16.5" customHeight="1" x14ac:dyDescent="0.35">
      <c r="A83" s="36" t="s">
        <v>219</v>
      </c>
      <c r="B83" s="37" t="s">
        <v>220</v>
      </c>
      <c r="C83" s="49" t="s">
        <v>221</v>
      </c>
      <c r="D83" s="38"/>
      <c r="E83" s="47">
        <v>14195000</v>
      </c>
      <c r="F83" s="39">
        <f t="shared" si="4"/>
        <v>1135600</v>
      </c>
      <c r="G83" s="40">
        <f t="shared" si="5"/>
        <v>15330600</v>
      </c>
      <c r="H83" s="41">
        <v>15330600</v>
      </c>
      <c r="I83" s="41"/>
      <c r="J83" s="42">
        <f t="shared" si="6"/>
        <v>0</v>
      </c>
      <c r="K83" s="43"/>
      <c r="L83" s="44"/>
      <c r="M83" s="44"/>
      <c r="N83" s="48"/>
      <c r="O83" s="45">
        <v>45575</v>
      </c>
      <c r="P83" s="46"/>
    </row>
    <row r="84" spans="1:16" ht="16.5" customHeight="1" x14ac:dyDescent="0.35">
      <c r="A84" s="36" t="s">
        <v>222</v>
      </c>
      <c r="B84" s="37" t="s">
        <v>223</v>
      </c>
      <c r="C84" s="49" t="s">
        <v>224</v>
      </c>
      <c r="D84" s="38"/>
      <c r="E84" s="47">
        <v>28885000</v>
      </c>
      <c r="F84" s="39">
        <f t="shared" si="4"/>
        <v>2310800</v>
      </c>
      <c r="G84" s="40">
        <f t="shared" si="5"/>
        <v>31195800</v>
      </c>
      <c r="H84" s="41">
        <v>31195800</v>
      </c>
      <c r="I84" s="41"/>
      <c r="J84" s="42">
        <f t="shared" si="6"/>
        <v>0</v>
      </c>
      <c r="K84" s="43"/>
      <c r="L84" s="44"/>
      <c r="M84" s="44"/>
      <c r="N84" s="48"/>
      <c r="O84" s="45">
        <v>45589</v>
      </c>
      <c r="P84" s="46"/>
    </row>
    <row r="85" spans="1:16" ht="16.5" customHeight="1" x14ac:dyDescent="0.35">
      <c r="A85" s="36" t="s">
        <v>225</v>
      </c>
      <c r="B85" s="37" t="s">
        <v>223</v>
      </c>
      <c r="C85" s="49" t="s">
        <v>226</v>
      </c>
      <c r="D85" s="38"/>
      <c r="E85" s="47">
        <v>2010000</v>
      </c>
      <c r="F85" s="39">
        <f t="shared" si="4"/>
        <v>160800</v>
      </c>
      <c r="G85" s="40">
        <f t="shared" si="5"/>
        <v>2170800</v>
      </c>
      <c r="H85" s="41">
        <v>2170800</v>
      </c>
      <c r="I85" s="41"/>
      <c r="J85" s="42">
        <f t="shared" si="6"/>
        <v>0</v>
      </c>
      <c r="K85" s="43"/>
      <c r="L85" s="44"/>
      <c r="M85" s="44"/>
      <c r="N85" s="48"/>
      <c r="O85" s="45">
        <v>45589</v>
      </c>
      <c r="P85" s="46"/>
    </row>
    <row r="86" spans="1:16" ht="16.5" customHeight="1" x14ac:dyDescent="0.35">
      <c r="A86" s="36" t="s">
        <v>227</v>
      </c>
      <c r="B86" s="37" t="s">
        <v>223</v>
      </c>
      <c r="C86" s="49" t="s">
        <v>228</v>
      </c>
      <c r="D86" s="38"/>
      <c r="E86" s="47">
        <v>1005000</v>
      </c>
      <c r="F86" s="39">
        <f t="shared" si="4"/>
        <v>80400</v>
      </c>
      <c r="G86" s="40">
        <f t="shared" si="5"/>
        <v>1085400</v>
      </c>
      <c r="H86" s="41">
        <v>1085400</v>
      </c>
      <c r="I86" s="41"/>
      <c r="J86" s="42">
        <f t="shared" si="6"/>
        <v>0</v>
      </c>
      <c r="K86" s="43"/>
      <c r="L86" s="44"/>
      <c r="M86" s="44"/>
      <c r="N86" s="48"/>
      <c r="O86" s="45">
        <v>45589</v>
      </c>
      <c r="P86" s="46"/>
    </row>
    <row r="87" spans="1:16" ht="16.5" customHeight="1" x14ac:dyDescent="0.35">
      <c r="A87" s="36" t="s">
        <v>229</v>
      </c>
      <c r="B87" s="37" t="s">
        <v>230</v>
      </c>
      <c r="C87" s="49" t="s">
        <v>231</v>
      </c>
      <c r="D87" s="38"/>
      <c r="E87" s="47">
        <v>26900000</v>
      </c>
      <c r="F87" s="39">
        <f t="shared" si="4"/>
        <v>2152000</v>
      </c>
      <c r="G87" s="40">
        <f t="shared" si="5"/>
        <v>29052000</v>
      </c>
      <c r="H87" s="41">
        <v>29052000</v>
      </c>
      <c r="I87" s="41"/>
      <c r="J87" s="42">
        <f t="shared" si="6"/>
        <v>0</v>
      </c>
      <c r="K87" s="43"/>
      <c r="L87" s="44"/>
      <c r="M87" s="44"/>
      <c r="N87" s="48"/>
      <c r="O87" s="45">
        <v>45589</v>
      </c>
      <c r="P87" s="46"/>
    </row>
    <row r="88" spans="1:16" ht="16.5" customHeight="1" x14ac:dyDescent="0.35">
      <c r="A88" s="36" t="s">
        <v>232</v>
      </c>
      <c r="B88" s="37" t="s">
        <v>233</v>
      </c>
      <c r="C88" s="49" t="s">
        <v>234</v>
      </c>
      <c r="D88" s="38"/>
      <c r="E88" s="47">
        <v>20935000</v>
      </c>
      <c r="F88" s="39">
        <f t="shared" si="4"/>
        <v>1674800</v>
      </c>
      <c r="G88" s="40">
        <f t="shared" si="5"/>
        <v>22609800</v>
      </c>
      <c r="H88" s="41">
        <v>22609800</v>
      </c>
      <c r="I88" s="41"/>
      <c r="J88" s="42">
        <f t="shared" si="6"/>
        <v>0</v>
      </c>
      <c r="K88" s="43"/>
      <c r="L88" s="44"/>
      <c r="M88" s="44"/>
      <c r="N88" s="48"/>
      <c r="O88" s="45">
        <v>45607</v>
      </c>
      <c r="P88" s="46"/>
    </row>
    <row r="89" spans="1:16" ht="16.5" customHeight="1" x14ac:dyDescent="0.35">
      <c r="A89" s="36" t="s">
        <v>240</v>
      </c>
      <c r="B89" s="37" t="s">
        <v>235</v>
      </c>
      <c r="C89" s="38" t="s">
        <v>247</v>
      </c>
      <c r="D89" s="38"/>
      <c r="E89" s="47">
        <v>4085000</v>
      </c>
      <c r="F89" s="39">
        <f t="shared" si="4"/>
        <v>326800</v>
      </c>
      <c r="G89" s="40">
        <f t="shared" si="5"/>
        <v>4411800</v>
      </c>
      <c r="H89" s="41">
        <v>4411800</v>
      </c>
      <c r="I89" s="41"/>
      <c r="J89" s="42">
        <f t="shared" si="6"/>
        <v>0</v>
      </c>
      <c r="K89" s="43"/>
      <c r="L89" s="44"/>
      <c r="M89" s="44"/>
      <c r="N89" s="48"/>
      <c r="O89" s="45">
        <v>45607</v>
      </c>
      <c r="P89" s="46"/>
    </row>
    <row r="90" spans="1:16" ht="16.5" customHeight="1" x14ac:dyDescent="0.35">
      <c r="A90" s="36" t="s">
        <v>241</v>
      </c>
      <c r="B90" s="37" t="s">
        <v>236</v>
      </c>
      <c r="C90" s="38" t="s">
        <v>248</v>
      </c>
      <c r="D90" s="38"/>
      <c r="E90" s="47">
        <v>-4568372</v>
      </c>
      <c r="F90" s="39">
        <f t="shared" si="4"/>
        <v>-365469.76</v>
      </c>
      <c r="G90" s="40">
        <f t="shared" si="5"/>
        <v>-4933841.76</v>
      </c>
      <c r="H90" s="41">
        <v>-4933842</v>
      </c>
      <c r="I90" s="41"/>
      <c r="J90" s="42">
        <f t="shared" si="6"/>
        <v>0.24000000022351742</v>
      </c>
      <c r="K90" s="43"/>
      <c r="L90" s="44"/>
      <c r="M90" s="44"/>
      <c r="N90" s="48"/>
      <c r="O90" s="45">
        <v>45575</v>
      </c>
      <c r="P90" s="46"/>
    </row>
    <row r="91" spans="1:16" ht="16.5" customHeight="1" x14ac:dyDescent="0.35">
      <c r="A91" s="36" t="s">
        <v>242</v>
      </c>
      <c r="B91" s="37" t="s">
        <v>236</v>
      </c>
      <c r="C91" s="38" t="s">
        <v>249</v>
      </c>
      <c r="D91" s="38"/>
      <c r="E91" s="47">
        <v>-10430500</v>
      </c>
      <c r="F91" s="39">
        <f t="shared" ref="F91:F154" si="7">+E91*0.08</f>
        <v>-834440</v>
      </c>
      <c r="G91" s="40">
        <f t="shared" si="5"/>
        <v>-11264940</v>
      </c>
      <c r="H91" s="41">
        <v>-11264940</v>
      </c>
      <c r="I91" s="41"/>
      <c r="J91" s="42">
        <f t="shared" si="6"/>
        <v>0</v>
      </c>
      <c r="K91" s="43"/>
      <c r="L91" s="44"/>
      <c r="M91" s="44"/>
      <c r="N91" s="48"/>
      <c r="O91" s="45">
        <v>45575</v>
      </c>
      <c r="P91" s="46"/>
    </row>
    <row r="92" spans="1:16" ht="16.5" customHeight="1" x14ac:dyDescent="0.35">
      <c r="A92" s="36" t="s">
        <v>243</v>
      </c>
      <c r="B92" s="37" t="s">
        <v>237</v>
      </c>
      <c r="C92" s="38" t="s">
        <v>250</v>
      </c>
      <c r="D92" s="38"/>
      <c r="E92" s="47">
        <v>7925000</v>
      </c>
      <c r="F92" s="39">
        <f t="shared" si="7"/>
        <v>634000</v>
      </c>
      <c r="G92" s="40">
        <f t="shared" si="5"/>
        <v>8559000</v>
      </c>
      <c r="H92" s="41">
        <v>8559000</v>
      </c>
      <c r="I92" s="41"/>
      <c r="J92" s="42">
        <f t="shared" si="6"/>
        <v>0</v>
      </c>
      <c r="K92" s="43"/>
      <c r="L92" s="44"/>
      <c r="M92" s="44"/>
      <c r="N92" s="48"/>
      <c r="O92" s="45">
        <v>45607</v>
      </c>
      <c r="P92" s="46"/>
    </row>
    <row r="93" spans="1:16" ht="16.5" customHeight="1" x14ac:dyDescent="0.35">
      <c r="A93" s="36" t="s">
        <v>244</v>
      </c>
      <c r="B93" s="37" t="s">
        <v>238</v>
      </c>
      <c r="C93" s="38" t="s">
        <v>251</v>
      </c>
      <c r="D93" s="38"/>
      <c r="E93" s="47">
        <v>14045000</v>
      </c>
      <c r="F93" s="39">
        <f t="shared" si="7"/>
        <v>1123600</v>
      </c>
      <c r="G93" s="40">
        <f t="shared" si="5"/>
        <v>15168600</v>
      </c>
      <c r="H93" s="41">
        <v>15168600</v>
      </c>
      <c r="I93" s="41"/>
      <c r="J93" s="42">
        <f t="shared" si="6"/>
        <v>0</v>
      </c>
      <c r="K93" s="43"/>
      <c r="L93" s="44"/>
      <c r="M93" s="44"/>
      <c r="N93" s="48"/>
      <c r="O93" s="45">
        <v>45607</v>
      </c>
      <c r="P93" s="46"/>
    </row>
    <row r="94" spans="1:16" ht="16.5" customHeight="1" x14ac:dyDescent="0.35">
      <c r="A94" s="36" t="s">
        <v>245</v>
      </c>
      <c r="B94" s="37" t="s">
        <v>239</v>
      </c>
      <c r="C94" s="38" t="s">
        <v>252</v>
      </c>
      <c r="D94" s="38"/>
      <c r="E94" s="47">
        <v>-2010000</v>
      </c>
      <c r="F94" s="39">
        <f t="shared" si="7"/>
        <v>-160800</v>
      </c>
      <c r="G94" s="40">
        <f t="shared" si="5"/>
        <v>-2170800</v>
      </c>
      <c r="H94" s="41">
        <v>-2170800</v>
      </c>
      <c r="I94" s="41"/>
      <c r="J94" s="42">
        <f t="shared" si="6"/>
        <v>0</v>
      </c>
      <c r="K94" s="43"/>
      <c r="L94" s="44"/>
      <c r="M94" s="44"/>
      <c r="N94" s="48"/>
      <c r="O94" s="45">
        <v>45589</v>
      </c>
      <c r="P94" s="46"/>
    </row>
    <row r="95" spans="1:16" ht="16.5" customHeight="1" x14ac:dyDescent="0.35">
      <c r="A95" s="36" t="s">
        <v>246</v>
      </c>
      <c r="B95" s="37" t="s">
        <v>239</v>
      </c>
      <c r="C95" s="38" t="s">
        <v>253</v>
      </c>
      <c r="D95" s="38"/>
      <c r="E95" s="47">
        <v>2010000</v>
      </c>
      <c r="F95" s="39">
        <f t="shared" si="7"/>
        <v>160800</v>
      </c>
      <c r="G95" s="40">
        <f t="shared" si="5"/>
        <v>2170800</v>
      </c>
      <c r="H95" s="41">
        <v>2170800</v>
      </c>
      <c r="I95" s="41"/>
      <c r="J95" s="42">
        <f t="shared" si="6"/>
        <v>0</v>
      </c>
      <c r="K95" s="43"/>
      <c r="L95" s="44"/>
      <c r="M95" s="44"/>
      <c r="N95" s="48"/>
      <c r="O95" s="45">
        <v>45621</v>
      </c>
      <c r="P95" s="46"/>
    </row>
    <row r="96" spans="1:16" ht="16.5" customHeight="1" x14ac:dyDescent="0.35">
      <c r="A96" s="36" t="s">
        <v>263</v>
      </c>
      <c r="B96" s="37" t="s">
        <v>260</v>
      </c>
      <c r="C96" s="38" t="s">
        <v>254</v>
      </c>
      <c r="D96" s="38"/>
      <c r="E96" s="47">
        <v>10100000</v>
      </c>
      <c r="F96" s="39">
        <f t="shared" si="7"/>
        <v>808000</v>
      </c>
      <c r="G96" s="40">
        <f t="shared" si="5"/>
        <v>10908000</v>
      </c>
      <c r="H96" s="41">
        <v>10908000</v>
      </c>
      <c r="I96" s="41"/>
      <c r="J96" s="42">
        <f t="shared" si="6"/>
        <v>0</v>
      </c>
      <c r="K96" s="43"/>
      <c r="L96" s="44"/>
      <c r="M96" s="44"/>
      <c r="N96" s="48"/>
      <c r="O96" s="45">
        <v>45621</v>
      </c>
      <c r="P96" s="46"/>
    </row>
    <row r="97" spans="1:16" ht="16.5" customHeight="1" x14ac:dyDescent="0.35">
      <c r="A97" s="36" t="s">
        <v>264</v>
      </c>
      <c r="B97" s="37" t="s">
        <v>261</v>
      </c>
      <c r="C97" s="38" t="s">
        <v>255</v>
      </c>
      <c r="D97" s="38"/>
      <c r="E97" s="47">
        <v>8935000</v>
      </c>
      <c r="F97" s="39">
        <f t="shared" si="7"/>
        <v>714800</v>
      </c>
      <c r="G97" s="40">
        <f t="shared" si="5"/>
        <v>9649800</v>
      </c>
      <c r="H97" s="41">
        <v>9649800</v>
      </c>
      <c r="I97" s="41"/>
      <c r="J97" s="42">
        <f t="shared" si="6"/>
        <v>0</v>
      </c>
      <c r="K97" s="43"/>
      <c r="L97" s="44"/>
      <c r="M97" s="44"/>
      <c r="N97" s="48"/>
      <c r="O97" s="45">
        <v>45621</v>
      </c>
      <c r="P97" s="46"/>
    </row>
    <row r="98" spans="1:16" ht="16.5" customHeight="1" x14ac:dyDescent="0.35">
      <c r="A98" s="36" t="s">
        <v>265</v>
      </c>
      <c r="B98" s="37" t="s">
        <v>262</v>
      </c>
      <c r="C98" s="38" t="s">
        <v>256</v>
      </c>
      <c r="D98" s="38"/>
      <c r="E98" s="47">
        <v>-4665000</v>
      </c>
      <c r="F98" s="39">
        <f t="shared" si="7"/>
        <v>-373200</v>
      </c>
      <c r="G98" s="40">
        <f t="shared" si="5"/>
        <v>-5038200</v>
      </c>
      <c r="H98" s="41">
        <v>-5038200</v>
      </c>
      <c r="I98" s="41"/>
      <c r="J98" s="42">
        <f t="shared" si="6"/>
        <v>0</v>
      </c>
      <c r="K98" s="43"/>
      <c r="L98" s="44"/>
      <c r="M98" s="44"/>
      <c r="N98" s="48"/>
      <c r="O98" s="45">
        <v>45589</v>
      </c>
      <c r="P98" s="46"/>
    </row>
    <row r="99" spans="1:16" ht="16.5" customHeight="1" x14ac:dyDescent="0.35">
      <c r="A99" s="36" t="s">
        <v>266</v>
      </c>
      <c r="B99" s="37" t="s">
        <v>262</v>
      </c>
      <c r="C99" s="38" t="s">
        <v>257</v>
      </c>
      <c r="D99" s="38"/>
      <c r="E99" s="47">
        <v>-1210500</v>
      </c>
      <c r="F99" s="39">
        <f t="shared" si="7"/>
        <v>-96840</v>
      </c>
      <c r="G99" s="40">
        <f t="shared" si="5"/>
        <v>-1307340</v>
      </c>
      <c r="H99" s="41">
        <v>-1307340</v>
      </c>
      <c r="I99" s="41"/>
      <c r="J99" s="42">
        <f t="shared" si="6"/>
        <v>0</v>
      </c>
      <c r="K99" s="43"/>
      <c r="L99" s="44"/>
      <c r="M99" s="44"/>
      <c r="N99" s="48"/>
      <c r="O99" s="45">
        <v>45589</v>
      </c>
      <c r="P99" s="46"/>
    </row>
    <row r="100" spans="1:16" ht="16.5" customHeight="1" x14ac:dyDescent="0.35">
      <c r="A100" s="36" t="s">
        <v>267</v>
      </c>
      <c r="B100" s="37" t="s">
        <v>262</v>
      </c>
      <c r="C100" s="38" t="s">
        <v>258</v>
      </c>
      <c r="D100" s="38"/>
      <c r="E100" s="47">
        <v>-340000</v>
      </c>
      <c r="F100" s="39">
        <f t="shared" si="7"/>
        <v>-27200</v>
      </c>
      <c r="G100" s="40">
        <f t="shared" si="5"/>
        <v>-367200</v>
      </c>
      <c r="H100" s="41">
        <v>-367200</v>
      </c>
      <c r="I100" s="41"/>
      <c r="J100" s="42">
        <f t="shared" si="6"/>
        <v>0</v>
      </c>
      <c r="K100" s="43"/>
      <c r="L100" s="44"/>
      <c r="M100" s="44"/>
      <c r="N100" s="48"/>
      <c r="O100" s="45">
        <v>45589</v>
      </c>
      <c r="P100" s="46"/>
    </row>
    <row r="101" spans="1:16" ht="16.5" customHeight="1" x14ac:dyDescent="0.35">
      <c r="A101" s="36" t="s">
        <v>268</v>
      </c>
      <c r="B101" s="37" t="s">
        <v>262</v>
      </c>
      <c r="C101" s="38" t="s">
        <v>259</v>
      </c>
      <c r="D101" s="38"/>
      <c r="E101" s="47">
        <v>-4794500</v>
      </c>
      <c r="F101" s="39">
        <f t="shared" si="7"/>
        <v>-383560</v>
      </c>
      <c r="G101" s="40">
        <f t="shared" si="5"/>
        <v>-5178060</v>
      </c>
      <c r="H101" s="41">
        <v>-5178060</v>
      </c>
      <c r="I101" s="41"/>
      <c r="J101" s="42">
        <f t="shared" si="6"/>
        <v>0</v>
      </c>
      <c r="K101" s="43"/>
      <c r="L101" s="44"/>
      <c r="M101" s="44"/>
      <c r="N101" s="48"/>
      <c r="O101" s="45">
        <v>45589</v>
      </c>
      <c r="P101" s="46"/>
    </row>
    <row r="102" spans="1:16" ht="16.5" customHeight="1" x14ac:dyDescent="0.35">
      <c r="A102" s="36" t="s">
        <v>269</v>
      </c>
      <c r="B102" s="37"/>
      <c r="C102" s="38" t="s">
        <v>271</v>
      </c>
      <c r="D102" s="38"/>
      <c r="E102" s="47"/>
      <c r="F102" s="39">
        <f t="shared" si="7"/>
        <v>0</v>
      </c>
      <c r="G102" s="40">
        <v>-1696406</v>
      </c>
      <c r="H102" s="41">
        <v>-1696406</v>
      </c>
      <c r="I102" s="41"/>
      <c r="J102" s="42">
        <f t="shared" si="6"/>
        <v>0</v>
      </c>
      <c r="K102" s="43"/>
      <c r="L102" s="44"/>
      <c r="M102" s="44"/>
      <c r="N102" s="48"/>
      <c r="O102" s="45">
        <v>45589</v>
      </c>
      <c r="P102" s="46"/>
    </row>
    <row r="103" spans="1:16" ht="16.5" customHeight="1" x14ac:dyDescent="0.35">
      <c r="A103" s="36" t="s">
        <v>270</v>
      </c>
      <c r="B103" s="37"/>
      <c r="C103" s="38" t="s">
        <v>272</v>
      </c>
      <c r="D103" s="38"/>
      <c r="E103" s="47"/>
      <c r="F103" s="39">
        <f t="shared" si="7"/>
        <v>0</v>
      </c>
      <c r="G103" s="40">
        <v>-5776348</v>
      </c>
      <c r="H103" s="41">
        <v>-5776348</v>
      </c>
      <c r="I103" s="41"/>
      <c r="J103" s="42">
        <f t="shared" si="6"/>
        <v>0</v>
      </c>
      <c r="K103" s="43"/>
      <c r="L103" s="44"/>
      <c r="M103" s="44"/>
      <c r="N103" s="48"/>
      <c r="O103" s="45">
        <v>45589</v>
      </c>
      <c r="P103" s="46"/>
    </row>
    <row r="104" spans="1:16" ht="16.5" customHeight="1" x14ac:dyDescent="0.35">
      <c r="A104" s="36" t="s">
        <v>290</v>
      </c>
      <c r="B104" s="37" t="s">
        <v>307</v>
      </c>
      <c r="C104" s="38" t="s">
        <v>273</v>
      </c>
      <c r="D104" s="38"/>
      <c r="E104" s="47">
        <v>31205000</v>
      </c>
      <c r="F104" s="39">
        <f t="shared" si="7"/>
        <v>2496400</v>
      </c>
      <c r="G104" s="40">
        <f t="shared" si="5"/>
        <v>33701400</v>
      </c>
      <c r="H104" s="41">
        <v>33701400</v>
      </c>
      <c r="I104" s="41"/>
      <c r="J104" s="42">
        <f t="shared" si="6"/>
        <v>0</v>
      </c>
      <c r="K104" s="43"/>
      <c r="L104" s="44"/>
      <c r="M104" s="44"/>
      <c r="N104" s="48"/>
      <c r="O104" s="45">
        <v>45621</v>
      </c>
      <c r="P104" s="46"/>
    </row>
    <row r="105" spans="1:16" ht="16.5" customHeight="1" x14ac:dyDescent="0.35">
      <c r="A105" s="36" t="s">
        <v>291</v>
      </c>
      <c r="B105" s="37" t="s">
        <v>308</v>
      </c>
      <c r="C105" s="38" t="s">
        <v>274</v>
      </c>
      <c r="D105" s="38"/>
      <c r="E105" s="47">
        <v>2045000</v>
      </c>
      <c r="F105" s="39">
        <f t="shared" si="7"/>
        <v>163600</v>
      </c>
      <c r="G105" s="40">
        <f t="shared" si="5"/>
        <v>2208600</v>
      </c>
      <c r="H105" s="41">
        <v>2208600</v>
      </c>
      <c r="I105" s="41"/>
      <c r="J105" s="42">
        <f t="shared" si="6"/>
        <v>0</v>
      </c>
      <c r="K105" s="43"/>
      <c r="L105" s="44"/>
      <c r="M105" s="44"/>
      <c r="N105" s="48"/>
      <c r="O105" s="45">
        <v>45636</v>
      </c>
      <c r="P105" s="46"/>
    </row>
    <row r="106" spans="1:16" ht="16.5" customHeight="1" x14ac:dyDescent="0.35">
      <c r="A106" s="36" t="s">
        <v>292</v>
      </c>
      <c r="B106" s="37" t="s">
        <v>308</v>
      </c>
      <c r="C106" s="38" t="s">
        <v>275</v>
      </c>
      <c r="D106" s="38"/>
      <c r="E106" s="47">
        <v>18005000</v>
      </c>
      <c r="F106" s="39">
        <f t="shared" si="7"/>
        <v>1440400</v>
      </c>
      <c r="G106" s="40">
        <f t="shared" si="5"/>
        <v>19445400</v>
      </c>
      <c r="H106" s="41">
        <v>19445400</v>
      </c>
      <c r="I106" s="41"/>
      <c r="J106" s="42">
        <f t="shared" si="6"/>
        <v>0</v>
      </c>
      <c r="K106" s="43"/>
      <c r="L106" s="44"/>
      <c r="M106" s="44"/>
      <c r="N106" s="48"/>
      <c r="O106" s="45">
        <v>45636</v>
      </c>
      <c r="P106" s="46"/>
    </row>
    <row r="107" spans="1:16" ht="16.5" customHeight="1" x14ac:dyDescent="0.35">
      <c r="A107" s="36" t="s">
        <v>293</v>
      </c>
      <c r="B107" s="37" t="s">
        <v>309</v>
      </c>
      <c r="C107" s="38" t="s">
        <v>276</v>
      </c>
      <c r="D107" s="38"/>
      <c r="E107" s="47">
        <v>1005000</v>
      </c>
      <c r="F107" s="39">
        <f t="shared" si="7"/>
        <v>80400</v>
      </c>
      <c r="G107" s="40">
        <f t="shared" si="5"/>
        <v>1085400</v>
      </c>
      <c r="H107" s="41">
        <v>1085400</v>
      </c>
      <c r="I107" s="41"/>
      <c r="J107" s="42">
        <f t="shared" si="6"/>
        <v>0</v>
      </c>
      <c r="K107" s="43"/>
      <c r="L107" s="44"/>
      <c r="M107" s="44"/>
      <c r="N107" s="48"/>
      <c r="O107" s="45">
        <v>45636</v>
      </c>
      <c r="P107" s="46"/>
    </row>
    <row r="108" spans="1:16" ht="16.5" customHeight="1" x14ac:dyDescent="0.35">
      <c r="A108" s="36" t="s">
        <v>294</v>
      </c>
      <c r="B108" s="37" t="s">
        <v>309</v>
      </c>
      <c r="C108" s="38" t="s">
        <v>277</v>
      </c>
      <c r="D108" s="38"/>
      <c r="E108" s="47">
        <v>32910000</v>
      </c>
      <c r="F108" s="39">
        <f t="shared" si="7"/>
        <v>2632800</v>
      </c>
      <c r="G108" s="40">
        <f t="shared" si="5"/>
        <v>35542800</v>
      </c>
      <c r="H108" s="41">
        <v>35542800</v>
      </c>
      <c r="I108" s="41"/>
      <c r="J108" s="42">
        <f t="shared" si="6"/>
        <v>0</v>
      </c>
      <c r="K108" s="43"/>
      <c r="L108" s="44"/>
      <c r="M108" s="44"/>
      <c r="N108" s="48"/>
      <c r="O108" s="45">
        <v>45636</v>
      </c>
      <c r="P108" s="46"/>
    </row>
    <row r="109" spans="1:16" ht="16.5" customHeight="1" x14ac:dyDescent="0.35">
      <c r="A109" s="36" t="s">
        <v>295</v>
      </c>
      <c r="B109" s="37" t="s">
        <v>310</v>
      </c>
      <c r="C109" s="38" t="s">
        <v>278</v>
      </c>
      <c r="D109" s="38"/>
      <c r="E109" s="47">
        <v>1005000</v>
      </c>
      <c r="F109" s="39">
        <f t="shared" si="7"/>
        <v>80400</v>
      </c>
      <c r="G109" s="40">
        <f t="shared" si="5"/>
        <v>1085400</v>
      </c>
      <c r="H109" s="41">
        <v>1085400</v>
      </c>
      <c r="I109" s="41"/>
      <c r="J109" s="42">
        <f t="shared" si="6"/>
        <v>0</v>
      </c>
      <c r="K109" s="43"/>
      <c r="L109" s="44"/>
      <c r="M109" s="44"/>
      <c r="N109" s="48"/>
      <c r="O109" s="45">
        <v>45650</v>
      </c>
      <c r="P109" s="46"/>
    </row>
    <row r="110" spans="1:16" ht="16.5" customHeight="1" x14ac:dyDescent="0.35">
      <c r="A110" s="36" t="s">
        <v>296</v>
      </c>
      <c r="B110" s="37" t="s">
        <v>310</v>
      </c>
      <c r="C110" s="38" t="s">
        <v>279</v>
      </c>
      <c r="D110" s="38"/>
      <c r="E110" s="47">
        <v>55335000</v>
      </c>
      <c r="F110" s="39">
        <f t="shared" si="7"/>
        <v>4426800</v>
      </c>
      <c r="G110" s="40">
        <f t="shared" si="5"/>
        <v>59761800</v>
      </c>
      <c r="H110" s="41">
        <v>59761800</v>
      </c>
      <c r="I110" s="41"/>
      <c r="J110" s="42">
        <f t="shared" si="6"/>
        <v>0</v>
      </c>
      <c r="K110" s="43"/>
      <c r="L110" s="44"/>
      <c r="M110" s="44"/>
      <c r="N110" s="48"/>
      <c r="O110" s="45">
        <v>45650</v>
      </c>
      <c r="P110" s="46"/>
    </row>
    <row r="111" spans="1:16" ht="16.5" customHeight="1" x14ac:dyDescent="0.35">
      <c r="A111" s="36" t="s">
        <v>297</v>
      </c>
      <c r="B111" s="37" t="s">
        <v>310</v>
      </c>
      <c r="C111" s="38" t="s">
        <v>280</v>
      </c>
      <c r="D111" s="38"/>
      <c r="E111" s="47">
        <v>3120000</v>
      </c>
      <c r="F111" s="39">
        <f t="shared" si="7"/>
        <v>249600</v>
      </c>
      <c r="G111" s="40">
        <f t="shared" si="5"/>
        <v>3369600</v>
      </c>
      <c r="H111" s="41">
        <v>3369600</v>
      </c>
      <c r="I111" s="41"/>
      <c r="J111" s="42">
        <f t="shared" si="6"/>
        <v>0</v>
      </c>
      <c r="K111" s="43"/>
      <c r="L111" s="44"/>
      <c r="M111" s="44"/>
      <c r="N111" s="48"/>
      <c r="O111" s="45">
        <v>45650</v>
      </c>
      <c r="P111" s="46"/>
    </row>
    <row r="112" spans="1:16" ht="16.5" customHeight="1" x14ac:dyDescent="0.35">
      <c r="A112" s="36" t="s">
        <v>298</v>
      </c>
      <c r="B112" s="37" t="s">
        <v>311</v>
      </c>
      <c r="C112" s="38" t="s">
        <v>281</v>
      </c>
      <c r="D112" s="38"/>
      <c r="E112" s="47">
        <v>-544000</v>
      </c>
      <c r="F112" s="39">
        <f t="shared" si="7"/>
        <v>-43520</v>
      </c>
      <c r="G112" s="40">
        <f t="shared" si="5"/>
        <v>-587520</v>
      </c>
      <c r="H112" s="41">
        <v>-587520</v>
      </c>
      <c r="I112" s="41"/>
      <c r="J112" s="42">
        <f t="shared" si="6"/>
        <v>0</v>
      </c>
      <c r="K112" s="43"/>
      <c r="L112" s="44"/>
      <c r="M112" s="44"/>
      <c r="N112" s="48"/>
      <c r="O112" s="45">
        <v>45621</v>
      </c>
      <c r="P112" s="46"/>
    </row>
    <row r="113" spans="1:16" ht="16.5" customHeight="1" x14ac:dyDescent="0.35">
      <c r="A113" s="36" t="s">
        <v>299</v>
      </c>
      <c r="B113" s="37" t="s">
        <v>311</v>
      </c>
      <c r="C113" s="38" t="s">
        <v>282</v>
      </c>
      <c r="D113" s="38"/>
      <c r="E113" s="47">
        <v>-201000</v>
      </c>
      <c r="F113" s="39">
        <f t="shared" si="7"/>
        <v>-16080</v>
      </c>
      <c r="G113" s="40">
        <f t="shared" si="5"/>
        <v>-217080</v>
      </c>
      <c r="H113" s="41">
        <v>-217080</v>
      </c>
      <c r="I113" s="41"/>
      <c r="J113" s="42">
        <f t="shared" si="6"/>
        <v>0</v>
      </c>
      <c r="K113" s="43"/>
      <c r="L113" s="44"/>
      <c r="M113" s="44"/>
      <c r="N113" s="48"/>
      <c r="O113" s="45">
        <v>45621</v>
      </c>
      <c r="P113" s="46"/>
    </row>
    <row r="114" spans="1:16" ht="16.5" customHeight="1" x14ac:dyDescent="0.35">
      <c r="A114" s="36" t="s">
        <v>300</v>
      </c>
      <c r="B114" s="37" t="s">
        <v>312</v>
      </c>
      <c r="C114" s="38" t="s">
        <v>283</v>
      </c>
      <c r="D114" s="38"/>
      <c r="E114" s="47">
        <v>1728000</v>
      </c>
      <c r="F114" s="39">
        <f t="shared" si="7"/>
        <v>138240</v>
      </c>
      <c r="G114" s="40">
        <f t="shared" si="5"/>
        <v>1866240</v>
      </c>
      <c r="H114" s="41">
        <v>1866240</v>
      </c>
      <c r="I114" s="41"/>
      <c r="J114" s="42">
        <f t="shared" si="6"/>
        <v>0</v>
      </c>
      <c r="K114" s="43"/>
      <c r="L114" s="44"/>
      <c r="M114" s="44"/>
      <c r="N114" s="48"/>
      <c r="O114" s="45">
        <v>45650</v>
      </c>
      <c r="P114" s="46"/>
    </row>
    <row r="115" spans="1:16" ht="16.5" customHeight="1" x14ac:dyDescent="0.35">
      <c r="A115" s="36" t="s">
        <v>301</v>
      </c>
      <c r="B115" s="37" t="s">
        <v>313</v>
      </c>
      <c r="C115" s="38" t="s">
        <v>284</v>
      </c>
      <c r="D115" s="38"/>
      <c r="E115" s="47">
        <v>172358500</v>
      </c>
      <c r="F115" s="39">
        <f t="shared" si="7"/>
        <v>13788680</v>
      </c>
      <c r="G115" s="40">
        <f t="shared" si="5"/>
        <v>186147180</v>
      </c>
      <c r="H115" s="41">
        <v>186147180</v>
      </c>
      <c r="I115" s="41"/>
      <c r="J115" s="42">
        <f t="shared" si="6"/>
        <v>0</v>
      </c>
      <c r="K115" s="43"/>
      <c r="L115" s="44"/>
      <c r="M115" s="44"/>
      <c r="N115" s="48"/>
      <c r="O115" s="45">
        <v>45650</v>
      </c>
      <c r="P115" s="46"/>
    </row>
    <row r="116" spans="1:16" ht="16.5" customHeight="1" x14ac:dyDescent="0.35">
      <c r="A116" s="36" t="s">
        <v>302</v>
      </c>
      <c r="B116" s="37" t="s">
        <v>314</v>
      </c>
      <c r="C116" s="38" t="s">
        <v>285</v>
      </c>
      <c r="D116" s="38"/>
      <c r="E116" s="47">
        <v>904500</v>
      </c>
      <c r="F116" s="39">
        <f t="shared" si="7"/>
        <v>72360</v>
      </c>
      <c r="G116" s="40">
        <f t="shared" si="5"/>
        <v>976860</v>
      </c>
      <c r="H116" s="41">
        <v>976860</v>
      </c>
      <c r="I116" s="41"/>
      <c r="J116" s="42">
        <f t="shared" si="6"/>
        <v>0</v>
      </c>
      <c r="K116" s="43"/>
      <c r="L116" s="44"/>
      <c r="M116" s="44"/>
      <c r="N116" s="48"/>
      <c r="O116" s="45">
        <v>45667</v>
      </c>
      <c r="P116" s="46"/>
    </row>
    <row r="117" spans="1:16" ht="16.5" customHeight="1" x14ac:dyDescent="0.35">
      <c r="A117" s="36" t="s">
        <v>303</v>
      </c>
      <c r="B117" s="37" t="s">
        <v>314</v>
      </c>
      <c r="C117" s="38" t="s">
        <v>286</v>
      </c>
      <c r="D117" s="38"/>
      <c r="E117" s="47">
        <v>936000</v>
      </c>
      <c r="F117" s="39">
        <f t="shared" si="7"/>
        <v>74880</v>
      </c>
      <c r="G117" s="40">
        <f t="shared" ref="G117:G180" si="8">E117+F117</f>
        <v>1010880</v>
      </c>
      <c r="H117" s="41">
        <v>1010880</v>
      </c>
      <c r="I117" s="41"/>
      <c r="J117" s="42">
        <f t="shared" si="6"/>
        <v>0</v>
      </c>
      <c r="K117" s="43"/>
      <c r="L117" s="44"/>
      <c r="M117" s="44"/>
      <c r="N117" s="48"/>
      <c r="O117" s="45">
        <v>45667</v>
      </c>
      <c r="P117" s="46"/>
    </row>
    <row r="118" spans="1:16" s="69" customFormat="1" ht="16.5" customHeight="1" x14ac:dyDescent="0.35">
      <c r="A118" s="57" t="s">
        <v>304</v>
      </c>
      <c r="B118" s="58" t="s">
        <v>315</v>
      </c>
      <c r="C118" s="49" t="s">
        <v>287</v>
      </c>
      <c r="D118" s="49"/>
      <c r="E118" s="59">
        <v>86414500</v>
      </c>
      <c r="F118" s="60">
        <f t="shared" si="7"/>
        <v>6913160</v>
      </c>
      <c r="G118" s="61">
        <f t="shared" si="8"/>
        <v>93327660</v>
      </c>
      <c r="H118" s="62">
        <v>93327660</v>
      </c>
      <c r="I118" s="62"/>
      <c r="J118" s="63">
        <f t="shared" si="6"/>
        <v>0</v>
      </c>
      <c r="K118" s="64"/>
      <c r="L118" s="65"/>
      <c r="M118" s="65"/>
      <c r="N118" s="66"/>
      <c r="O118" s="67">
        <v>45667</v>
      </c>
      <c r="P118" s="68"/>
    </row>
    <row r="119" spans="1:16" ht="16.5" customHeight="1" x14ac:dyDescent="0.35">
      <c r="A119" s="36" t="s">
        <v>305</v>
      </c>
      <c r="B119" s="37" t="s">
        <v>315</v>
      </c>
      <c r="C119" s="38" t="s">
        <v>288</v>
      </c>
      <c r="D119" s="38"/>
      <c r="E119" s="47">
        <v>660274000</v>
      </c>
      <c r="F119" s="39">
        <f t="shared" si="7"/>
        <v>52821920</v>
      </c>
      <c r="G119" s="40">
        <f t="shared" si="8"/>
        <v>713095920</v>
      </c>
      <c r="H119" s="41">
        <v>713095920</v>
      </c>
      <c r="I119" s="41"/>
      <c r="J119" s="42">
        <f t="shared" si="6"/>
        <v>0</v>
      </c>
      <c r="K119" s="43"/>
      <c r="L119" s="44"/>
      <c r="M119" s="44"/>
      <c r="N119" s="48"/>
      <c r="O119" s="45">
        <v>45667</v>
      </c>
      <c r="P119" s="46"/>
    </row>
    <row r="120" spans="1:16" ht="16.5" customHeight="1" x14ac:dyDescent="0.35">
      <c r="A120" s="36" t="s">
        <v>306</v>
      </c>
      <c r="B120" s="37" t="s">
        <v>315</v>
      </c>
      <c r="C120" s="38" t="s">
        <v>289</v>
      </c>
      <c r="D120" s="38"/>
      <c r="E120" s="47">
        <v>302701000</v>
      </c>
      <c r="F120" s="39">
        <f t="shared" si="7"/>
        <v>24216080</v>
      </c>
      <c r="G120" s="40">
        <f t="shared" si="8"/>
        <v>326917080</v>
      </c>
      <c r="H120" s="41">
        <v>326917080</v>
      </c>
      <c r="I120" s="41"/>
      <c r="J120" s="42">
        <f t="shared" si="6"/>
        <v>0</v>
      </c>
      <c r="K120" s="43"/>
      <c r="L120" s="44"/>
      <c r="M120" s="44"/>
      <c r="N120" s="48"/>
      <c r="O120" s="45">
        <v>45667</v>
      </c>
      <c r="P120" s="46"/>
    </row>
    <row r="121" spans="1:16" ht="16.5" customHeight="1" x14ac:dyDescent="0.35">
      <c r="A121" s="36" t="s">
        <v>332</v>
      </c>
      <c r="B121" s="37" t="s">
        <v>327</v>
      </c>
      <c r="C121" s="38" t="s">
        <v>316</v>
      </c>
      <c r="D121" s="38"/>
      <c r="E121" s="47">
        <v>-1142000</v>
      </c>
      <c r="F121" s="39">
        <f t="shared" si="7"/>
        <v>-91360</v>
      </c>
      <c r="G121" s="40">
        <f t="shared" si="8"/>
        <v>-1233360</v>
      </c>
      <c r="H121" s="41">
        <v>-1233360</v>
      </c>
      <c r="I121" s="41"/>
      <c r="J121" s="42">
        <f t="shared" si="6"/>
        <v>0</v>
      </c>
      <c r="K121" s="43"/>
      <c r="L121" s="44"/>
      <c r="M121" s="44"/>
      <c r="N121" s="48"/>
      <c r="O121" s="45">
        <v>45636</v>
      </c>
      <c r="P121" s="46"/>
    </row>
    <row r="122" spans="1:16" ht="16.5" customHeight="1" x14ac:dyDescent="0.35">
      <c r="A122" s="36" t="s">
        <v>333</v>
      </c>
      <c r="B122" s="37" t="s">
        <v>328</v>
      </c>
      <c r="C122" s="38" t="s">
        <v>317</v>
      </c>
      <c r="D122" s="38"/>
      <c r="E122" s="47">
        <v>345632500</v>
      </c>
      <c r="F122" s="39">
        <f t="shared" si="7"/>
        <v>27650600</v>
      </c>
      <c r="G122" s="40">
        <f t="shared" si="8"/>
        <v>373283100</v>
      </c>
      <c r="H122" s="41">
        <v>373283100</v>
      </c>
      <c r="I122" s="41"/>
      <c r="J122" s="42">
        <f t="shared" si="6"/>
        <v>0</v>
      </c>
      <c r="K122" s="43"/>
      <c r="L122" s="44"/>
      <c r="M122" s="44"/>
      <c r="N122" s="48"/>
      <c r="O122" s="45">
        <v>45667</v>
      </c>
      <c r="P122" s="46"/>
    </row>
    <row r="123" spans="1:16" ht="16.5" customHeight="1" x14ac:dyDescent="0.35">
      <c r="A123" s="36" t="s">
        <v>334</v>
      </c>
      <c r="B123" s="37" t="s">
        <v>328</v>
      </c>
      <c r="C123" s="38" t="s">
        <v>318</v>
      </c>
      <c r="D123" s="38"/>
      <c r="E123" s="47">
        <v>1941000</v>
      </c>
      <c r="F123" s="39">
        <f t="shared" si="7"/>
        <v>155280</v>
      </c>
      <c r="G123" s="40">
        <f t="shared" si="8"/>
        <v>2096280</v>
      </c>
      <c r="H123" s="41">
        <v>2096280</v>
      </c>
      <c r="I123" s="41"/>
      <c r="J123" s="42">
        <f t="shared" si="6"/>
        <v>0</v>
      </c>
      <c r="K123" s="43"/>
      <c r="L123" s="44"/>
      <c r="M123" s="44"/>
      <c r="N123" s="48"/>
      <c r="O123" s="45">
        <v>45667</v>
      </c>
      <c r="P123" s="46"/>
    </row>
    <row r="124" spans="1:16" ht="16.5" customHeight="1" x14ac:dyDescent="0.35">
      <c r="A124" s="36" t="s">
        <v>335</v>
      </c>
      <c r="B124" s="37" t="s">
        <v>329</v>
      </c>
      <c r="C124" s="38" t="s">
        <v>319</v>
      </c>
      <c r="D124" s="38"/>
      <c r="E124" s="47">
        <v>1809000</v>
      </c>
      <c r="F124" s="39">
        <f t="shared" si="7"/>
        <v>144720</v>
      </c>
      <c r="G124" s="40">
        <f t="shared" si="8"/>
        <v>1953720</v>
      </c>
      <c r="H124" s="41">
        <v>1953720</v>
      </c>
      <c r="I124" s="41"/>
      <c r="J124" s="42">
        <f t="shared" si="6"/>
        <v>0</v>
      </c>
      <c r="K124" s="43"/>
      <c r="L124" s="44"/>
      <c r="M124" s="44"/>
      <c r="N124" s="48"/>
      <c r="O124" s="45">
        <v>45681</v>
      </c>
      <c r="P124" s="46"/>
    </row>
    <row r="125" spans="1:16" ht="16.5" customHeight="1" x14ac:dyDescent="0.35">
      <c r="A125" s="36" t="s">
        <v>336</v>
      </c>
      <c r="B125" s="37" t="s">
        <v>329</v>
      </c>
      <c r="C125" s="38" t="s">
        <v>320</v>
      </c>
      <c r="D125" s="38"/>
      <c r="E125" s="47">
        <v>1005000</v>
      </c>
      <c r="F125" s="39">
        <f t="shared" si="7"/>
        <v>80400</v>
      </c>
      <c r="G125" s="40">
        <f t="shared" si="8"/>
        <v>1085400</v>
      </c>
      <c r="H125" s="41">
        <v>1085400</v>
      </c>
      <c r="I125" s="41"/>
      <c r="J125" s="42">
        <f t="shared" si="6"/>
        <v>0</v>
      </c>
      <c r="K125" s="43"/>
      <c r="L125" s="44"/>
      <c r="M125" s="44"/>
      <c r="N125" s="48"/>
      <c r="O125" s="45">
        <v>45681</v>
      </c>
      <c r="P125" s="46"/>
    </row>
    <row r="126" spans="1:16" ht="16.5" customHeight="1" x14ac:dyDescent="0.35">
      <c r="A126" s="36" t="s">
        <v>337</v>
      </c>
      <c r="B126" s="37" t="s">
        <v>329</v>
      </c>
      <c r="C126" s="38" t="s">
        <v>321</v>
      </c>
      <c r="D126" s="38"/>
      <c r="E126" s="47">
        <v>57590000</v>
      </c>
      <c r="F126" s="39">
        <f t="shared" si="7"/>
        <v>4607200</v>
      </c>
      <c r="G126" s="40">
        <f t="shared" si="8"/>
        <v>62197200</v>
      </c>
      <c r="H126" s="41">
        <v>62197200</v>
      </c>
      <c r="I126" s="41"/>
      <c r="J126" s="42">
        <f t="shared" si="6"/>
        <v>0</v>
      </c>
      <c r="K126" s="43"/>
      <c r="L126" s="44"/>
      <c r="M126" s="44"/>
      <c r="N126" s="48"/>
      <c r="O126" s="45">
        <v>45667</v>
      </c>
      <c r="P126" s="46"/>
    </row>
    <row r="127" spans="1:16" ht="16.5" customHeight="1" x14ac:dyDescent="0.35">
      <c r="A127" s="36" t="s">
        <v>338</v>
      </c>
      <c r="B127" s="37" t="s">
        <v>330</v>
      </c>
      <c r="C127" s="38" t="s">
        <v>322</v>
      </c>
      <c r="D127" s="38"/>
      <c r="E127" s="47">
        <v>-36654150</v>
      </c>
      <c r="F127" s="39">
        <f t="shared" si="7"/>
        <v>-2932332</v>
      </c>
      <c r="G127" s="40">
        <f t="shared" si="8"/>
        <v>-39586482</v>
      </c>
      <c r="H127" s="41">
        <v>-39586482</v>
      </c>
      <c r="I127" s="41"/>
      <c r="J127" s="42">
        <f t="shared" si="6"/>
        <v>0</v>
      </c>
      <c r="K127" s="43"/>
      <c r="L127" s="44"/>
      <c r="M127" s="44"/>
      <c r="N127" s="48"/>
      <c r="O127" s="45">
        <v>45650</v>
      </c>
      <c r="P127" s="46"/>
    </row>
    <row r="128" spans="1:16" ht="16.5" customHeight="1" x14ac:dyDescent="0.35">
      <c r="A128" s="36" t="s">
        <v>339</v>
      </c>
      <c r="B128" s="37" t="s">
        <v>331</v>
      </c>
      <c r="C128" s="38" t="s">
        <v>323</v>
      </c>
      <c r="D128" s="38"/>
      <c r="E128" s="47">
        <v>2010000</v>
      </c>
      <c r="F128" s="39">
        <f t="shared" si="7"/>
        <v>160800</v>
      </c>
      <c r="G128" s="40">
        <f t="shared" si="8"/>
        <v>2170800</v>
      </c>
      <c r="H128" s="41">
        <v>2170800</v>
      </c>
      <c r="I128" s="41"/>
      <c r="J128" s="42">
        <f t="shared" si="6"/>
        <v>0</v>
      </c>
      <c r="K128" s="43"/>
      <c r="L128" s="44"/>
      <c r="M128" s="44"/>
      <c r="N128" s="48"/>
      <c r="O128" s="45">
        <v>45681</v>
      </c>
      <c r="P128" s="46"/>
    </row>
    <row r="129" spans="1:16" ht="16.5" customHeight="1" x14ac:dyDescent="0.35">
      <c r="A129" s="36" t="s">
        <v>340</v>
      </c>
      <c r="B129" s="37" t="s">
        <v>331</v>
      </c>
      <c r="C129" s="38" t="s">
        <v>324</v>
      </c>
      <c r="D129" s="38"/>
      <c r="E129" s="47">
        <v>3015000</v>
      </c>
      <c r="F129" s="39">
        <f t="shared" si="7"/>
        <v>241200</v>
      </c>
      <c r="G129" s="40">
        <f t="shared" si="8"/>
        <v>3256200</v>
      </c>
      <c r="H129" s="41">
        <v>3256200</v>
      </c>
      <c r="I129" s="41"/>
      <c r="J129" s="42">
        <f t="shared" si="6"/>
        <v>0</v>
      </c>
      <c r="K129" s="43"/>
      <c r="L129" s="44"/>
      <c r="M129" s="44"/>
      <c r="N129" s="48"/>
      <c r="O129" s="45">
        <v>45712</v>
      </c>
      <c r="P129" s="46"/>
    </row>
    <row r="130" spans="1:16" ht="16.5" customHeight="1" x14ac:dyDescent="0.35">
      <c r="A130" s="36" t="s">
        <v>341</v>
      </c>
      <c r="B130" s="37" t="s">
        <v>331</v>
      </c>
      <c r="C130" s="38" t="s">
        <v>325</v>
      </c>
      <c r="D130" s="38"/>
      <c r="E130" s="47">
        <v>6975000</v>
      </c>
      <c r="F130" s="39">
        <f t="shared" si="7"/>
        <v>558000</v>
      </c>
      <c r="G130" s="40">
        <f t="shared" si="8"/>
        <v>7533000</v>
      </c>
      <c r="H130" s="41">
        <v>7533000</v>
      </c>
      <c r="I130" s="41"/>
      <c r="J130" s="42">
        <f t="shared" si="6"/>
        <v>0</v>
      </c>
      <c r="K130" s="43"/>
      <c r="L130" s="44"/>
      <c r="M130" s="44"/>
      <c r="N130" s="48"/>
      <c r="O130" s="45">
        <v>45681</v>
      </c>
      <c r="P130" s="46"/>
    </row>
    <row r="131" spans="1:16" ht="16.5" customHeight="1" x14ac:dyDescent="0.35">
      <c r="A131" s="36" t="s">
        <v>342</v>
      </c>
      <c r="B131" s="37" t="s">
        <v>331</v>
      </c>
      <c r="C131" s="38" t="s">
        <v>326</v>
      </c>
      <c r="D131" s="38"/>
      <c r="E131" s="47">
        <v>41195000</v>
      </c>
      <c r="F131" s="39">
        <f t="shared" si="7"/>
        <v>3295600</v>
      </c>
      <c r="G131" s="40">
        <f t="shared" si="8"/>
        <v>44490600</v>
      </c>
      <c r="H131" s="41">
        <v>44490600</v>
      </c>
      <c r="I131" s="41"/>
      <c r="J131" s="42">
        <f t="shared" si="6"/>
        <v>0</v>
      </c>
      <c r="K131" s="43"/>
      <c r="L131" s="44"/>
      <c r="M131" s="44"/>
      <c r="N131" s="48"/>
      <c r="O131" s="45">
        <v>45681</v>
      </c>
      <c r="P131" s="46"/>
    </row>
    <row r="132" spans="1:16" ht="16.5" customHeight="1" x14ac:dyDescent="0.35">
      <c r="A132" s="36" t="s">
        <v>347</v>
      </c>
      <c r="B132" s="37" t="s">
        <v>346</v>
      </c>
      <c r="C132" s="38" t="s">
        <v>343</v>
      </c>
      <c r="D132" s="38"/>
      <c r="E132" s="47">
        <v>3960000</v>
      </c>
      <c r="F132" s="39">
        <f t="shared" si="7"/>
        <v>316800</v>
      </c>
      <c r="G132" s="40">
        <f t="shared" si="8"/>
        <v>4276800</v>
      </c>
      <c r="H132" s="41">
        <v>4276800</v>
      </c>
      <c r="I132" s="41"/>
      <c r="J132" s="42">
        <f t="shared" si="6"/>
        <v>0</v>
      </c>
      <c r="K132" s="43"/>
      <c r="L132" s="44"/>
      <c r="M132" s="44"/>
      <c r="N132" s="48"/>
      <c r="O132" s="45">
        <v>45698</v>
      </c>
      <c r="P132" s="46"/>
    </row>
    <row r="133" spans="1:16" ht="16.5" customHeight="1" x14ac:dyDescent="0.35">
      <c r="A133" s="36" t="s">
        <v>348</v>
      </c>
      <c r="B133" s="37" t="s">
        <v>346</v>
      </c>
      <c r="C133" s="38" t="s">
        <v>344</v>
      </c>
      <c r="D133" s="38"/>
      <c r="E133" s="47">
        <v>5025000</v>
      </c>
      <c r="F133" s="39">
        <f t="shared" si="7"/>
        <v>402000</v>
      </c>
      <c r="G133" s="40">
        <f t="shared" si="8"/>
        <v>5427000</v>
      </c>
      <c r="H133" s="41">
        <v>5427000</v>
      </c>
      <c r="I133" s="41"/>
      <c r="J133" s="42">
        <f t="shared" si="6"/>
        <v>0</v>
      </c>
      <c r="K133" s="43"/>
      <c r="L133" s="44"/>
      <c r="M133" s="44"/>
      <c r="N133" s="48"/>
      <c r="O133" s="45">
        <v>45698</v>
      </c>
      <c r="P133" s="46"/>
    </row>
    <row r="134" spans="1:16" ht="16.5" customHeight="1" x14ac:dyDescent="0.35">
      <c r="A134" s="36" t="s">
        <v>349</v>
      </c>
      <c r="B134" s="37" t="s">
        <v>346</v>
      </c>
      <c r="C134" s="38" t="s">
        <v>345</v>
      </c>
      <c r="D134" s="38"/>
      <c r="E134" s="47">
        <v>68110000</v>
      </c>
      <c r="F134" s="39">
        <f t="shared" si="7"/>
        <v>5448800</v>
      </c>
      <c r="G134" s="40">
        <f t="shared" si="8"/>
        <v>73558800</v>
      </c>
      <c r="H134" s="41">
        <v>73558800</v>
      </c>
      <c r="I134" s="41"/>
      <c r="J134" s="42">
        <f t="shared" si="6"/>
        <v>0</v>
      </c>
      <c r="K134" s="43"/>
      <c r="L134" s="44"/>
      <c r="M134" s="44"/>
      <c r="N134" s="48"/>
      <c r="O134" s="45">
        <v>45712</v>
      </c>
      <c r="P134" s="46"/>
    </row>
    <row r="135" spans="1:16" ht="16.5" customHeight="1" x14ac:dyDescent="0.35">
      <c r="A135" s="36">
        <v>72117610</v>
      </c>
      <c r="B135" s="37">
        <v>45654</v>
      </c>
      <c r="C135" s="38" t="s">
        <v>350</v>
      </c>
      <c r="D135" s="38"/>
      <c r="E135" s="47">
        <v>62497000</v>
      </c>
      <c r="F135" s="39">
        <f t="shared" si="7"/>
        <v>4999760</v>
      </c>
      <c r="G135" s="40">
        <f t="shared" si="8"/>
        <v>67496760</v>
      </c>
      <c r="H135" s="41">
        <v>67496760</v>
      </c>
      <c r="I135" s="41"/>
      <c r="J135" s="42">
        <f t="shared" si="6"/>
        <v>0</v>
      </c>
      <c r="K135" s="43"/>
      <c r="L135" s="44"/>
      <c r="M135" s="44"/>
      <c r="N135" s="48"/>
      <c r="O135" s="45">
        <v>45681</v>
      </c>
      <c r="P135" s="46"/>
    </row>
    <row r="136" spans="1:16" ht="16.5" customHeight="1" x14ac:dyDescent="0.35">
      <c r="A136" s="36" t="s">
        <v>374</v>
      </c>
      <c r="B136" s="37" t="s">
        <v>367</v>
      </c>
      <c r="C136" s="38" t="s">
        <v>57</v>
      </c>
      <c r="D136" s="38"/>
      <c r="E136" s="47">
        <v>105719000</v>
      </c>
      <c r="F136" s="39">
        <f t="shared" si="7"/>
        <v>8457520</v>
      </c>
      <c r="G136" s="40">
        <f t="shared" si="8"/>
        <v>114176520</v>
      </c>
      <c r="H136" s="41">
        <v>114176520</v>
      </c>
      <c r="I136" s="41"/>
      <c r="J136" s="42">
        <f t="shared" si="6"/>
        <v>0</v>
      </c>
      <c r="K136" s="43"/>
      <c r="L136" s="44"/>
      <c r="M136" s="44"/>
      <c r="N136" s="48"/>
      <c r="O136" s="45">
        <v>45698</v>
      </c>
      <c r="P136" s="46" t="s">
        <v>392</v>
      </c>
    </row>
    <row r="137" spans="1:16" ht="16.5" customHeight="1" x14ac:dyDescent="0.35">
      <c r="A137" s="36" t="s">
        <v>375</v>
      </c>
      <c r="B137" s="37" t="s">
        <v>367</v>
      </c>
      <c r="C137" s="38" t="s">
        <v>351</v>
      </c>
      <c r="D137" s="38"/>
      <c r="E137" s="47">
        <v>87272000</v>
      </c>
      <c r="F137" s="39">
        <f t="shared" si="7"/>
        <v>6981760</v>
      </c>
      <c r="G137" s="40">
        <f t="shared" si="8"/>
        <v>94253760</v>
      </c>
      <c r="H137" s="41">
        <v>94253760</v>
      </c>
      <c r="I137" s="41"/>
      <c r="J137" s="42">
        <f t="shared" si="6"/>
        <v>0</v>
      </c>
      <c r="K137" s="43"/>
      <c r="L137" s="44"/>
      <c r="M137" s="44"/>
      <c r="N137" s="48"/>
      <c r="O137" s="45">
        <v>45757</v>
      </c>
      <c r="P137" s="46" t="s">
        <v>392</v>
      </c>
    </row>
    <row r="138" spans="1:16" ht="16.5" customHeight="1" x14ac:dyDescent="0.35">
      <c r="A138" s="36" t="s">
        <v>376</v>
      </c>
      <c r="B138" s="37" t="s">
        <v>368</v>
      </c>
      <c r="C138" s="38" t="s">
        <v>352</v>
      </c>
      <c r="D138" s="38"/>
      <c r="E138" s="47">
        <v>47453000</v>
      </c>
      <c r="F138" s="39">
        <f t="shared" si="7"/>
        <v>3796240</v>
      </c>
      <c r="G138" s="40">
        <f t="shared" si="8"/>
        <v>51249240</v>
      </c>
      <c r="H138" s="41">
        <v>51249240</v>
      </c>
      <c r="I138" s="41"/>
      <c r="J138" s="42">
        <f t="shared" si="6"/>
        <v>0</v>
      </c>
      <c r="K138" s="43"/>
      <c r="L138" s="44"/>
      <c r="M138" s="44"/>
      <c r="N138" s="48"/>
      <c r="O138" s="45">
        <v>45757</v>
      </c>
      <c r="P138" s="46" t="s">
        <v>392</v>
      </c>
    </row>
    <row r="139" spans="1:16" ht="16.5" customHeight="1" x14ac:dyDescent="0.35">
      <c r="A139" s="36" t="s">
        <v>377</v>
      </c>
      <c r="B139" s="37" t="s">
        <v>368</v>
      </c>
      <c r="C139" s="38" t="s">
        <v>353</v>
      </c>
      <c r="D139" s="38"/>
      <c r="E139" s="47">
        <v>3045000</v>
      </c>
      <c r="F139" s="39">
        <f t="shared" si="7"/>
        <v>243600</v>
      </c>
      <c r="G139" s="40">
        <f t="shared" si="8"/>
        <v>3288600</v>
      </c>
      <c r="H139" s="41">
        <v>3288600</v>
      </c>
      <c r="I139" s="41"/>
      <c r="J139" s="42">
        <f t="shared" si="6"/>
        <v>0</v>
      </c>
      <c r="K139" s="43"/>
      <c r="L139" s="44"/>
      <c r="M139" s="44"/>
      <c r="N139" s="48"/>
      <c r="O139" s="45">
        <v>45757</v>
      </c>
      <c r="P139" s="46" t="s">
        <v>392</v>
      </c>
    </row>
    <row r="140" spans="1:16" ht="16.5" customHeight="1" x14ac:dyDescent="0.35">
      <c r="A140" s="36" t="s">
        <v>378</v>
      </c>
      <c r="B140" s="37" t="s">
        <v>368</v>
      </c>
      <c r="C140" s="38" t="s">
        <v>354</v>
      </c>
      <c r="D140" s="38"/>
      <c r="E140" s="47">
        <v>65200000</v>
      </c>
      <c r="F140" s="39">
        <f t="shared" si="7"/>
        <v>5216000</v>
      </c>
      <c r="G140" s="40">
        <f t="shared" si="8"/>
        <v>70416000</v>
      </c>
      <c r="H140" s="41">
        <v>70416000</v>
      </c>
      <c r="I140" s="41"/>
      <c r="J140" s="42">
        <f t="shared" si="6"/>
        <v>0</v>
      </c>
      <c r="K140" s="43"/>
      <c r="L140" s="44"/>
      <c r="M140" s="44"/>
      <c r="N140" s="48"/>
      <c r="O140" s="45">
        <v>45757</v>
      </c>
      <c r="P140" s="46" t="s">
        <v>392</v>
      </c>
    </row>
    <row r="141" spans="1:16" ht="16.5" customHeight="1" x14ac:dyDescent="0.35">
      <c r="A141" s="36" t="s">
        <v>379</v>
      </c>
      <c r="B141" s="51" t="s">
        <v>369</v>
      </c>
      <c r="C141" s="52" t="s">
        <v>355</v>
      </c>
      <c r="D141" s="52"/>
      <c r="E141" s="53">
        <v>19825000</v>
      </c>
      <c r="F141" s="39">
        <f t="shared" si="7"/>
        <v>1586000</v>
      </c>
      <c r="G141" s="40">
        <f t="shared" si="8"/>
        <v>21411000</v>
      </c>
      <c r="H141" s="41">
        <v>21411000</v>
      </c>
      <c r="I141" s="41"/>
      <c r="J141" s="42">
        <f t="shared" si="6"/>
        <v>0</v>
      </c>
      <c r="K141" s="54"/>
      <c r="L141" s="48"/>
      <c r="M141" s="48"/>
      <c r="N141" s="48"/>
      <c r="O141" s="45">
        <v>45757</v>
      </c>
      <c r="P141" s="46" t="s">
        <v>392</v>
      </c>
    </row>
    <row r="142" spans="1:16" ht="16.5" customHeight="1" x14ac:dyDescent="0.35">
      <c r="A142" s="36" t="s">
        <v>380</v>
      </c>
      <c r="B142" s="51" t="s">
        <v>369</v>
      </c>
      <c r="C142" s="52" t="s">
        <v>356</v>
      </c>
      <c r="D142" s="52"/>
      <c r="E142" s="53">
        <v>14167000</v>
      </c>
      <c r="F142" s="39">
        <f t="shared" si="7"/>
        <v>1133360</v>
      </c>
      <c r="G142" s="40">
        <f t="shared" si="8"/>
        <v>15300360</v>
      </c>
      <c r="H142" s="41">
        <v>15300360</v>
      </c>
      <c r="I142" s="41"/>
      <c r="J142" s="42">
        <f t="shared" si="6"/>
        <v>0</v>
      </c>
      <c r="K142" s="54"/>
      <c r="L142" s="48"/>
      <c r="M142" s="48"/>
      <c r="N142" s="48"/>
      <c r="O142" s="45">
        <v>45712</v>
      </c>
      <c r="P142" s="46"/>
    </row>
    <row r="143" spans="1:16" ht="16.5" customHeight="1" x14ac:dyDescent="0.35">
      <c r="A143" s="36" t="s">
        <v>381</v>
      </c>
      <c r="B143" s="51" t="s">
        <v>369</v>
      </c>
      <c r="C143" s="52" t="s">
        <v>357</v>
      </c>
      <c r="D143" s="52"/>
      <c r="E143" s="53">
        <v>23798000</v>
      </c>
      <c r="F143" s="39">
        <f t="shared" si="7"/>
        <v>1903840</v>
      </c>
      <c r="G143" s="40">
        <f t="shared" si="8"/>
        <v>25701840</v>
      </c>
      <c r="H143" s="41">
        <v>25701840</v>
      </c>
      <c r="I143" s="41"/>
      <c r="J143" s="42">
        <f t="shared" ref="J143:J206" si="9">G143-H143</f>
        <v>0</v>
      </c>
      <c r="K143" s="54"/>
      <c r="L143" s="48"/>
      <c r="M143" s="48"/>
      <c r="N143" s="48"/>
      <c r="O143" s="45">
        <v>45757</v>
      </c>
      <c r="P143" s="46" t="s">
        <v>392</v>
      </c>
    </row>
    <row r="144" spans="1:16" ht="16.5" customHeight="1" x14ac:dyDescent="0.35">
      <c r="A144" s="36" t="s">
        <v>382</v>
      </c>
      <c r="B144" s="51" t="s">
        <v>369</v>
      </c>
      <c r="C144" s="52" t="s">
        <v>358</v>
      </c>
      <c r="D144" s="52"/>
      <c r="E144" s="53">
        <v>44064000</v>
      </c>
      <c r="F144" s="39">
        <f t="shared" si="7"/>
        <v>3525120</v>
      </c>
      <c r="G144" s="40">
        <f t="shared" si="8"/>
        <v>47589120</v>
      </c>
      <c r="H144" s="41">
        <v>47589120</v>
      </c>
      <c r="I144" s="41"/>
      <c r="J144" s="42">
        <f t="shared" si="9"/>
        <v>0</v>
      </c>
      <c r="K144" s="54"/>
      <c r="L144" s="48"/>
      <c r="M144" s="48"/>
      <c r="N144" s="48"/>
      <c r="O144" s="45">
        <v>45757</v>
      </c>
      <c r="P144" s="46" t="s">
        <v>392</v>
      </c>
    </row>
    <row r="145" spans="1:16" ht="16.5" customHeight="1" x14ac:dyDescent="0.35">
      <c r="A145" s="36" t="s">
        <v>383</v>
      </c>
      <c r="B145" s="51" t="s">
        <v>370</v>
      </c>
      <c r="C145" s="52" t="s">
        <v>359</v>
      </c>
      <c r="D145" s="52"/>
      <c r="E145" s="53">
        <v>10079000</v>
      </c>
      <c r="F145" s="39">
        <f t="shared" si="7"/>
        <v>806320</v>
      </c>
      <c r="G145" s="40">
        <f t="shared" si="8"/>
        <v>10885320</v>
      </c>
      <c r="H145" s="41">
        <v>10885320</v>
      </c>
      <c r="I145" s="41"/>
      <c r="J145" s="42">
        <f t="shared" si="9"/>
        <v>0</v>
      </c>
      <c r="K145" s="54"/>
      <c r="L145" s="48"/>
      <c r="M145" s="48"/>
      <c r="N145" s="48"/>
      <c r="O145" s="45">
        <v>45757</v>
      </c>
      <c r="P145" s="46" t="s">
        <v>392</v>
      </c>
    </row>
    <row r="146" spans="1:16" ht="16.5" customHeight="1" x14ac:dyDescent="0.35">
      <c r="A146" s="36" t="s">
        <v>384</v>
      </c>
      <c r="B146" s="51" t="s">
        <v>370</v>
      </c>
      <c r="C146" s="52" t="s">
        <v>360</v>
      </c>
      <c r="D146" s="52"/>
      <c r="E146" s="53">
        <v>21185000</v>
      </c>
      <c r="F146" s="39">
        <f t="shared" si="7"/>
        <v>1694800</v>
      </c>
      <c r="G146" s="40">
        <f t="shared" si="8"/>
        <v>22879800</v>
      </c>
      <c r="H146" s="41">
        <v>22879800</v>
      </c>
      <c r="I146" s="41"/>
      <c r="J146" s="42">
        <f t="shared" si="9"/>
        <v>0</v>
      </c>
      <c r="K146" s="54"/>
      <c r="L146" s="48"/>
      <c r="M146" s="48"/>
      <c r="N146" s="48"/>
      <c r="O146" s="45">
        <v>45757</v>
      </c>
      <c r="P146" s="46" t="s">
        <v>392</v>
      </c>
    </row>
    <row r="147" spans="1:16" ht="16.5" customHeight="1" x14ac:dyDescent="0.35">
      <c r="A147" s="36" t="s">
        <v>385</v>
      </c>
      <c r="B147" s="51" t="s">
        <v>370</v>
      </c>
      <c r="C147" s="52" t="s">
        <v>361</v>
      </c>
      <c r="D147" s="52"/>
      <c r="E147" s="53">
        <v>2960000</v>
      </c>
      <c r="F147" s="39">
        <f t="shared" si="7"/>
        <v>236800</v>
      </c>
      <c r="G147" s="40">
        <f t="shared" si="8"/>
        <v>3196800</v>
      </c>
      <c r="H147" s="41">
        <v>3196800</v>
      </c>
      <c r="I147" s="41"/>
      <c r="J147" s="42">
        <f t="shared" si="9"/>
        <v>0</v>
      </c>
      <c r="K147" s="54"/>
      <c r="L147" s="48"/>
      <c r="M147" s="48"/>
      <c r="N147" s="48"/>
      <c r="O147" s="45">
        <v>45757</v>
      </c>
      <c r="P147" s="46" t="s">
        <v>392</v>
      </c>
    </row>
    <row r="148" spans="1:16" ht="16.5" customHeight="1" x14ac:dyDescent="0.35">
      <c r="A148" s="57" t="s">
        <v>386</v>
      </c>
      <c r="B148" s="51" t="s">
        <v>370</v>
      </c>
      <c r="C148" s="52" t="s">
        <v>362</v>
      </c>
      <c r="D148" s="52"/>
      <c r="E148" s="53">
        <v>2010000</v>
      </c>
      <c r="F148" s="39">
        <f t="shared" si="7"/>
        <v>160800</v>
      </c>
      <c r="G148" s="40">
        <f t="shared" si="8"/>
        <v>2170800</v>
      </c>
      <c r="H148" s="41">
        <v>2170800</v>
      </c>
      <c r="I148" s="41"/>
      <c r="J148" s="42">
        <f t="shared" si="9"/>
        <v>0</v>
      </c>
      <c r="K148" s="54"/>
      <c r="L148" s="48"/>
      <c r="M148" s="48"/>
      <c r="N148" s="48"/>
      <c r="O148" s="45">
        <v>45757</v>
      </c>
      <c r="P148" s="46" t="s">
        <v>392</v>
      </c>
    </row>
    <row r="149" spans="1:16" ht="16.5" customHeight="1" x14ac:dyDescent="0.35">
      <c r="A149" s="36" t="s">
        <v>387</v>
      </c>
      <c r="B149" s="51" t="s">
        <v>371</v>
      </c>
      <c r="C149" s="52" t="s">
        <v>70</v>
      </c>
      <c r="D149" s="52"/>
      <c r="E149" s="53">
        <v>7095000</v>
      </c>
      <c r="F149" s="39">
        <f t="shared" si="7"/>
        <v>567600</v>
      </c>
      <c r="G149" s="40">
        <f t="shared" si="8"/>
        <v>7662600</v>
      </c>
      <c r="H149" s="41">
        <v>7662600</v>
      </c>
      <c r="I149" s="41"/>
      <c r="J149" s="42">
        <f t="shared" si="9"/>
        <v>0</v>
      </c>
      <c r="K149" s="54"/>
      <c r="L149" s="48"/>
      <c r="M149" s="48"/>
      <c r="N149" s="48"/>
      <c r="O149" s="45">
        <v>45757</v>
      </c>
      <c r="P149" s="46" t="s">
        <v>392</v>
      </c>
    </row>
    <row r="150" spans="1:16" ht="16.5" customHeight="1" x14ac:dyDescent="0.35">
      <c r="A150" s="36" t="s">
        <v>388</v>
      </c>
      <c r="B150" s="51" t="s">
        <v>372</v>
      </c>
      <c r="C150" s="52" t="s">
        <v>363</v>
      </c>
      <c r="D150" s="52"/>
      <c r="E150" s="53">
        <v>43345000</v>
      </c>
      <c r="F150" s="39">
        <f t="shared" si="7"/>
        <v>3467600</v>
      </c>
      <c r="G150" s="40">
        <f t="shared" si="8"/>
        <v>46812600</v>
      </c>
      <c r="H150" s="41">
        <v>46812600</v>
      </c>
      <c r="I150" s="41"/>
      <c r="J150" s="42">
        <f t="shared" si="9"/>
        <v>0</v>
      </c>
      <c r="K150" s="54"/>
      <c r="L150" s="48"/>
      <c r="M150" s="48"/>
      <c r="N150" s="48"/>
      <c r="O150" s="45">
        <v>45757</v>
      </c>
      <c r="P150" s="46" t="s">
        <v>392</v>
      </c>
    </row>
    <row r="151" spans="1:16" ht="16.5" customHeight="1" x14ac:dyDescent="0.35">
      <c r="A151" s="57" t="s">
        <v>389</v>
      </c>
      <c r="B151" s="51" t="s">
        <v>373</v>
      </c>
      <c r="C151" s="52" t="s">
        <v>364</v>
      </c>
      <c r="D151" s="52"/>
      <c r="E151" s="53">
        <v>8020000</v>
      </c>
      <c r="F151" s="39">
        <f t="shared" si="7"/>
        <v>641600</v>
      </c>
      <c r="G151" s="40">
        <f t="shared" si="8"/>
        <v>8661600</v>
      </c>
      <c r="H151" s="41">
        <v>8661600</v>
      </c>
      <c r="I151" s="41"/>
      <c r="J151" s="42">
        <f t="shared" si="9"/>
        <v>0</v>
      </c>
      <c r="K151" s="54"/>
      <c r="L151" s="48"/>
      <c r="M151" s="48"/>
      <c r="N151" s="48"/>
      <c r="O151" s="45">
        <v>45726</v>
      </c>
      <c r="P151" s="46"/>
    </row>
    <row r="152" spans="1:16" ht="16.5" customHeight="1" x14ac:dyDescent="0.35">
      <c r="A152" s="57" t="s">
        <v>390</v>
      </c>
      <c r="B152" s="51" t="s">
        <v>373</v>
      </c>
      <c r="C152" s="52" t="s">
        <v>365</v>
      </c>
      <c r="D152" s="52"/>
      <c r="E152" s="53">
        <v>55075000</v>
      </c>
      <c r="F152" s="39">
        <f t="shared" si="7"/>
        <v>4406000</v>
      </c>
      <c r="G152" s="40">
        <f t="shared" si="8"/>
        <v>59481000</v>
      </c>
      <c r="H152" s="41">
        <v>59481000</v>
      </c>
      <c r="I152" s="41"/>
      <c r="J152" s="42">
        <f t="shared" si="9"/>
        <v>0</v>
      </c>
      <c r="K152" s="54"/>
      <c r="L152" s="48"/>
      <c r="M152" s="48"/>
      <c r="N152" s="48"/>
      <c r="O152" s="45">
        <v>45726</v>
      </c>
      <c r="P152" s="46"/>
    </row>
    <row r="153" spans="1:16" ht="16.5" customHeight="1" x14ac:dyDescent="0.35">
      <c r="A153" s="57" t="s">
        <v>391</v>
      </c>
      <c r="B153" s="51" t="s">
        <v>373</v>
      </c>
      <c r="C153" s="52" t="s">
        <v>366</v>
      </c>
      <c r="D153" s="52"/>
      <c r="E153" s="53">
        <v>5055000</v>
      </c>
      <c r="F153" s="39">
        <f t="shared" si="7"/>
        <v>404400</v>
      </c>
      <c r="G153" s="40">
        <f t="shared" si="8"/>
        <v>5459400</v>
      </c>
      <c r="H153" s="41">
        <v>5459400</v>
      </c>
      <c r="I153" s="41"/>
      <c r="J153" s="42">
        <f t="shared" si="9"/>
        <v>0</v>
      </c>
      <c r="K153" s="54"/>
      <c r="L153" s="48"/>
      <c r="M153" s="48"/>
      <c r="N153" s="48"/>
      <c r="O153" s="45">
        <v>45726</v>
      </c>
      <c r="P153" s="46"/>
    </row>
    <row r="154" spans="1:16" ht="16.5" customHeight="1" x14ac:dyDescent="0.35">
      <c r="A154" s="57" t="s">
        <v>395</v>
      </c>
      <c r="B154" s="51" t="s">
        <v>397</v>
      </c>
      <c r="C154" s="52" t="s">
        <v>393</v>
      </c>
      <c r="D154" s="52"/>
      <c r="E154" s="53">
        <v>6975000</v>
      </c>
      <c r="F154" s="39">
        <f t="shared" si="7"/>
        <v>558000</v>
      </c>
      <c r="G154" s="40">
        <f t="shared" si="8"/>
        <v>7533000</v>
      </c>
      <c r="H154" s="41">
        <v>7533000</v>
      </c>
      <c r="I154" s="41"/>
      <c r="J154" s="42">
        <f t="shared" si="9"/>
        <v>0</v>
      </c>
      <c r="K154" s="54"/>
      <c r="L154" s="48"/>
      <c r="M154" s="48"/>
      <c r="N154" s="48"/>
      <c r="O154" s="45">
        <v>45740</v>
      </c>
      <c r="P154" s="46"/>
    </row>
    <row r="155" spans="1:16" ht="16.5" customHeight="1" x14ac:dyDescent="0.35">
      <c r="A155" s="57" t="s">
        <v>396</v>
      </c>
      <c r="B155" s="51" t="s">
        <v>397</v>
      </c>
      <c r="C155" s="52" t="s">
        <v>394</v>
      </c>
      <c r="D155" s="52"/>
      <c r="E155" s="53">
        <v>19870000</v>
      </c>
      <c r="F155" s="39">
        <f t="shared" ref="F155:F193" si="10">+E155*0.08</f>
        <v>1589600</v>
      </c>
      <c r="G155" s="40">
        <f t="shared" si="8"/>
        <v>21459600</v>
      </c>
      <c r="H155" s="41">
        <v>21459600</v>
      </c>
      <c r="I155" s="41"/>
      <c r="J155" s="42">
        <f t="shared" si="9"/>
        <v>0</v>
      </c>
      <c r="K155" s="54"/>
      <c r="L155" s="48"/>
      <c r="M155" s="48"/>
      <c r="N155" s="48"/>
      <c r="O155" s="45">
        <v>45740</v>
      </c>
      <c r="P155" s="46"/>
    </row>
    <row r="156" spans="1:16" ht="16.5" customHeight="1" x14ac:dyDescent="0.35">
      <c r="A156" s="36" t="s">
        <v>399</v>
      </c>
      <c r="B156" s="51">
        <v>45705</v>
      </c>
      <c r="C156" s="52" t="s">
        <v>398</v>
      </c>
      <c r="D156" s="52"/>
      <c r="E156" s="53">
        <v>-335000</v>
      </c>
      <c r="F156" s="39">
        <f t="shared" si="10"/>
        <v>-26800</v>
      </c>
      <c r="G156" s="40">
        <f t="shared" si="8"/>
        <v>-361800</v>
      </c>
      <c r="H156" s="41">
        <v>-361800</v>
      </c>
      <c r="I156" s="41"/>
      <c r="J156" s="42">
        <f t="shared" si="9"/>
        <v>0</v>
      </c>
      <c r="K156" s="54"/>
      <c r="L156" s="48"/>
      <c r="M156" s="48"/>
      <c r="N156" s="48"/>
      <c r="O156" s="45">
        <v>45712</v>
      </c>
      <c r="P156" s="46"/>
    </row>
    <row r="157" spans="1:16" ht="16.5" customHeight="1" x14ac:dyDescent="0.35">
      <c r="A157" s="36" t="s">
        <v>402</v>
      </c>
      <c r="B157" s="51">
        <v>45708</v>
      </c>
      <c r="C157" s="52" t="s">
        <v>400</v>
      </c>
      <c r="D157" s="52"/>
      <c r="E157" s="53">
        <v>2925000</v>
      </c>
      <c r="F157" s="39">
        <f t="shared" si="10"/>
        <v>234000</v>
      </c>
      <c r="G157" s="40">
        <f t="shared" si="8"/>
        <v>3159000</v>
      </c>
      <c r="H157" s="41">
        <v>3159000</v>
      </c>
      <c r="I157" s="41"/>
      <c r="J157" s="42">
        <f t="shared" si="9"/>
        <v>0</v>
      </c>
      <c r="K157" s="54"/>
      <c r="L157" s="48"/>
      <c r="M157" s="48"/>
      <c r="N157" s="48"/>
      <c r="O157" s="45">
        <v>45740</v>
      </c>
      <c r="P157" s="46"/>
    </row>
    <row r="158" spans="1:16" ht="16.5" customHeight="1" x14ac:dyDescent="0.35">
      <c r="A158" s="36" t="s">
        <v>403</v>
      </c>
      <c r="B158" s="51">
        <v>45708</v>
      </c>
      <c r="C158" s="52" t="s">
        <v>401</v>
      </c>
      <c r="D158" s="52"/>
      <c r="E158" s="53">
        <v>24680000</v>
      </c>
      <c r="F158" s="39">
        <f t="shared" si="10"/>
        <v>1974400</v>
      </c>
      <c r="G158" s="40">
        <f t="shared" si="8"/>
        <v>26654400</v>
      </c>
      <c r="H158" s="41">
        <v>26654400</v>
      </c>
      <c r="I158" s="41"/>
      <c r="J158" s="42">
        <f t="shared" si="9"/>
        <v>0</v>
      </c>
      <c r="K158" s="54"/>
      <c r="L158" s="48"/>
      <c r="M158" s="48"/>
      <c r="N158" s="48"/>
      <c r="O158" s="45">
        <v>45740</v>
      </c>
      <c r="P158" s="46"/>
    </row>
    <row r="159" spans="1:16" ht="16.5" customHeight="1" x14ac:dyDescent="0.35">
      <c r="A159" s="36" t="s">
        <v>436</v>
      </c>
      <c r="B159" s="51" t="s">
        <v>431</v>
      </c>
      <c r="C159" s="52" t="s">
        <v>404</v>
      </c>
      <c r="D159" s="52"/>
      <c r="E159" s="53">
        <v>8015000</v>
      </c>
      <c r="F159" s="39">
        <f t="shared" si="10"/>
        <v>641200</v>
      </c>
      <c r="G159" s="40">
        <f t="shared" si="8"/>
        <v>8656200</v>
      </c>
      <c r="H159" s="41">
        <v>8656200</v>
      </c>
      <c r="I159" s="41"/>
      <c r="J159" s="42">
        <f t="shared" si="9"/>
        <v>0</v>
      </c>
      <c r="K159" s="54"/>
      <c r="L159" s="48"/>
      <c r="M159" s="48"/>
      <c r="N159" s="48"/>
      <c r="O159" s="45">
        <v>45757</v>
      </c>
      <c r="P159" s="46"/>
    </row>
    <row r="160" spans="1:16" ht="16.5" customHeight="1" x14ac:dyDescent="0.35">
      <c r="A160" s="36" t="s">
        <v>437</v>
      </c>
      <c r="B160" s="51" t="s">
        <v>431</v>
      </c>
      <c r="C160" s="52" t="s">
        <v>405</v>
      </c>
      <c r="D160" s="52"/>
      <c r="E160" s="53">
        <v>2040000</v>
      </c>
      <c r="F160" s="39">
        <f t="shared" si="10"/>
        <v>163200</v>
      </c>
      <c r="G160" s="40">
        <f t="shared" si="8"/>
        <v>2203200</v>
      </c>
      <c r="H160" s="41">
        <v>2203200</v>
      </c>
      <c r="I160" s="41"/>
      <c r="J160" s="42">
        <f t="shared" si="9"/>
        <v>0</v>
      </c>
      <c r="K160" s="54"/>
      <c r="L160" s="48"/>
      <c r="M160" s="48"/>
      <c r="N160" s="48"/>
      <c r="O160" s="45">
        <v>45757</v>
      </c>
      <c r="P160" s="46"/>
    </row>
    <row r="161" spans="1:16" ht="16.5" customHeight="1" x14ac:dyDescent="0.35">
      <c r="A161" s="57" t="s">
        <v>438</v>
      </c>
      <c r="B161" s="51" t="s">
        <v>432</v>
      </c>
      <c r="C161" s="52" t="s">
        <v>406</v>
      </c>
      <c r="D161" s="52"/>
      <c r="E161" s="53">
        <v>3965000</v>
      </c>
      <c r="F161" s="39">
        <f t="shared" si="10"/>
        <v>317200</v>
      </c>
      <c r="G161" s="40">
        <f t="shared" si="8"/>
        <v>4282200</v>
      </c>
      <c r="H161" s="41">
        <v>4282200</v>
      </c>
      <c r="I161" s="41"/>
      <c r="J161" s="42">
        <f t="shared" si="9"/>
        <v>0</v>
      </c>
      <c r="K161" s="54"/>
      <c r="L161" s="48"/>
      <c r="M161" s="48"/>
      <c r="N161" s="48"/>
      <c r="O161" s="45">
        <v>45757</v>
      </c>
      <c r="P161" s="46"/>
    </row>
    <row r="162" spans="1:16" ht="16.5" customHeight="1" x14ac:dyDescent="0.35">
      <c r="A162" s="57" t="s">
        <v>439</v>
      </c>
      <c r="B162" s="51" t="s">
        <v>432</v>
      </c>
      <c r="C162" s="52" t="s">
        <v>407</v>
      </c>
      <c r="D162" s="52"/>
      <c r="E162" s="53">
        <v>16125000</v>
      </c>
      <c r="F162" s="39">
        <f t="shared" si="10"/>
        <v>1290000</v>
      </c>
      <c r="G162" s="40">
        <f t="shared" si="8"/>
        <v>17415000</v>
      </c>
      <c r="H162" s="41">
        <v>17415000</v>
      </c>
      <c r="I162" s="41"/>
      <c r="J162" s="42">
        <f t="shared" si="9"/>
        <v>0</v>
      </c>
      <c r="K162" s="54"/>
      <c r="L162" s="48"/>
      <c r="M162" s="48"/>
      <c r="N162" s="48"/>
      <c r="O162" s="45">
        <v>45757</v>
      </c>
      <c r="P162" s="46"/>
    </row>
    <row r="163" spans="1:16" ht="16.5" customHeight="1" x14ac:dyDescent="0.35">
      <c r="A163" s="57" t="s">
        <v>440</v>
      </c>
      <c r="B163" s="51" t="s">
        <v>433</v>
      </c>
      <c r="C163" s="52" t="s">
        <v>408</v>
      </c>
      <c r="D163" s="52"/>
      <c r="E163" s="53">
        <v>1005000</v>
      </c>
      <c r="F163" s="39">
        <f t="shared" si="10"/>
        <v>80400</v>
      </c>
      <c r="G163" s="40">
        <f t="shared" si="8"/>
        <v>1085400</v>
      </c>
      <c r="H163" s="41">
        <v>1085400</v>
      </c>
      <c r="I163" s="41"/>
      <c r="J163" s="42">
        <f t="shared" si="9"/>
        <v>0</v>
      </c>
      <c r="K163" s="54"/>
      <c r="L163" s="48"/>
      <c r="M163" s="48"/>
      <c r="N163" s="48"/>
      <c r="O163" s="45">
        <v>45771</v>
      </c>
      <c r="P163" s="46"/>
    </row>
    <row r="164" spans="1:16" ht="16.5" customHeight="1" x14ac:dyDescent="0.35">
      <c r="A164" s="57" t="s">
        <v>441</v>
      </c>
      <c r="B164" s="51" t="s">
        <v>433</v>
      </c>
      <c r="C164" s="52" t="s">
        <v>409</v>
      </c>
      <c r="D164" s="52"/>
      <c r="E164" s="53">
        <v>15070000</v>
      </c>
      <c r="F164" s="39">
        <f t="shared" si="10"/>
        <v>1205600</v>
      </c>
      <c r="G164" s="40">
        <f t="shared" si="8"/>
        <v>16275600</v>
      </c>
      <c r="H164" s="41">
        <v>16275600</v>
      </c>
      <c r="I164" s="41"/>
      <c r="J164" s="42">
        <f t="shared" si="9"/>
        <v>0</v>
      </c>
      <c r="K164" s="54"/>
      <c r="L164" s="48"/>
      <c r="M164" s="48"/>
      <c r="N164" s="48"/>
      <c r="O164" s="45">
        <v>45771</v>
      </c>
      <c r="P164" s="46"/>
    </row>
    <row r="165" spans="1:16" ht="16.5" customHeight="1" x14ac:dyDescent="0.35">
      <c r="A165" s="36" t="s">
        <v>442</v>
      </c>
      <c r="B165" s="51" t="s">
        <v>434</v>
      </c>
      <c r="C165" s="52" t="s">
        <v>410</v>
      </c>
      <c r="D165" s="52"/>
      <c r="E165" s="53">
        <v>-32979100</v>
      </c>
      <c r="F165" s="39">
        <f t="shared" si="10"/>
        <v>-2638328</v>
      </c>
      <c r="G165" s="40">
        <f t="shared" si="8"/>
        <v>-35617428</v>
      </c>
      <c r="H165" s="41">
        <v>-35617428</v>
      </c>
      <c r="I165" s="41"/>
      <c r="J165" s="42">
        <f t="shared" si="9"/>
        <v>0</v>
      </c>
      <c r="K165" s="54"/>
      <c r="L165" s="48"/>
      <c r="M165" s="48"/>
      <c r="N165" s="48"/>
      <c r="O165" s="45">
        <v>45740</v>
      </c>
      <c r="P165" s="46"/>
    </row>
    <row r="166" spans="1:16" ht="16.5" customHeight="1" x14ac:dyDescent="0.35">
      <c r="A166" s="36" t="s">
        <v>443</v>
      </c>
      <c r="B166" s="51" t="s">
        <v>434</v>
      </c>
      <c r="C166" s="52" t="s">
        <v>411</v>
      </c>
      <c r="D166" s="52"/>
      <c r="E166" s="53">
        <v>-742000</v>
      </c>
      <c r="F166" s="39">
        <f t="shared" si="10"/>
        <v>-59360</v>
      </c>
      <c r="G166" s="40">
        <f t="shared" si="8"/>
        <v>-801360</v>
      </c>
      <c r="H166" s="41">
        <v>-801360</v>
      </c>
      <c r="I166" s="41"/>
      <c r="J166" s="42">
        <f t="shared" si="9"/>
        <v>0</v>
      </c>
      <c r="K166" s="54"/>
      <c r="L166" s="48"/>
      <c r="M166" s="48"/>
      <c r="N166" s="48"/>
      <c r="O166" s="45">
        <v>45740</v>
      </c>
      <c r="P166" s="46"/>
    </row>
    <row r="167" spans="1:16" ht="16.5" customHeight="1" x14ac:dyDescent="0.35">
      <c r="A167" s="36" t="s">
        <v>444</v>
      </c>
      <c r="B167" s="51" t="s">
        <v>434</v>
      </c>
      <c r="C167" s="52" t="s">
        <v>412</v>
      </c>
      <c r="D167" s="52"/>
      <c r="E167" s="53">
        <v>-10651000</v>
      </c>
      <c r="F167" s="39">
        <f t="shared" si="10"/>
        <v>-852080</v>
      </c>
      <c r="G167" s="40">
        <f t="shared" si="8"/>
        <v>-11503080</v>
      </c>
      <c r="H167" s="41">
        <v>-11503080</v>
      </c>
      <c r="I167" s="41"/>
      <c r="J167" s="42">
        <f t="shared" si="9"/>
        <v>0</v>
      </c>
      <c r="K167" s="54"/>
      <c r="L167" s="48"/>
      <c r="M167" s="48"/>
      <c r="N167" s="48"/>
      <c r="O167" s="45">
        <v>45740</v>
      </c>
      <c r="P167" s="46"/>
    </row>
    <row r="168" spans="1:16" ht="16.5" customHeight="1" x14ac:dyDescent="0.35">
      <c r="A168" s="36" t="s">
        <v>445</v>
      </c>
      <c r="B168" s="51" t="s">
        <v>434</v>
      </c>
      <c r="C168" s="52" t="s">
        <v>413</v>
      </c>
      <c r="D168" s="52"/>
      <c r="E168" s="53">
        <v>-14491850</v>
      </c>
      <c r="F168" s="39">
        <f t="shared" si="10"/>
        <v>-1159348</v>
      </c>
      <c r="G168" s="40">
        <f t="shared" si="8"/>
        <v>-15651198</v>
      </c>
      <c r="H168" s="41">
        <v>-15651198</v>
      </c>
      <c r="I168" s="41"/>
      <c r="J168" s="42">
        <f t="shared" si="9"/>
        <v>0</v>
      </c>
      <c r="K168" s="54"/>
      <c r="L168" s="48"/>
      <c r="M168" s="48"/>
      <c r="N168" s="48"/>
      <c r="O168" s="45">
        <v>45757</v>
      </c>
      <c r="P168" s="46"/>
    </row>
    <row r="169" spans="1:16" ht="16.5" customHeight="1" x14ac:dyDescent="0.35">
      <c r="A169" s="36" t="s">
        <v>446</v>
      </c>
      <c r="B169" s="51" t="s">
        <v>434</v>
      </c>
      <c r="C169" s="52" t="s">
        <v>414</v>
      </c>
      <c r="D169" s="52"/>
      <c r="E169" s="53">
        <v>-16876250</v>
      </c>
      <c r="F169" s="39">
        <f t="shared" si="10"/>
        <v>-1350100</v>
      </c>
      <c r="G169" s="40">
        <f t="shared" si="8"/>
        <v>-18226350</v>
      </c>
      <c r="H169" s="41">
        <v>-18226350</v>
      </c>
      <c r="I169" s="41"/>
      <c r="J169" s="42">
        <f t="shared" si="9"/>
        <v>0</v>
      </c>
      <c r="K169" s="54"/>
      <c r="L169" s="48"/>
      <c r="M169" s="48"/>
      <c r="N169" s="48"/>
      <c r="O169" s="45">
        <v>45757</v>
      </c>
      <c r="P169" s="46"/>
    </row>
    <row r="170" spans="1:16" ht="16.5" customHeight="1" x14ac:dyDescent="0.35">
      <c r="A170" s="36" t="s">
        <v>447</v>
      </c>
      <c r="B170" s="51" t="s">
        <v>434</v>
      </c>
      <c r="C170" s="52" t="s">
        <v>415</v>
      </c>
      <c r="D170" s="52"/>
      <c r="E170" s="53">
        <v>-91158650</v>
      </c>
      <c r="F170" s="39">
        <f t="shared" si="10"/>
        <v>-7292692</v>
      </c>
      <c r="G170" s="40">
        <f t="shared" si="8"/>
        <v>-98451342</v>
      </c>
      <c r="H170" s="41">
        <v>-98451342</v>
      </c>
      <c r="I170" s="41"/>
      <c r="J170" s="42">
        <f t="shared" si="9"/>
        <v>0</v>
      </c>
      <c r="K170" s="54"/>
      <c r="L170" s="48"/>
      <c r="M170" s="48"/>
      <c r="N170" s="48"/>
      <c r="O170" s="45" t="s">
        <v>610</v>
      </c>
      <c r="P170" s="46"/>
    </row>
    <row r="171" spans="1:16" ht="16.5" customHeight="1" x14ac:dyDescent="0.35">
      <c r="A171" s="36" t="s">
        <v>448</v>
      </c>
      <c r="B171" s="51" t="s">
        <v>434</v>
      </c>
      <c r="C171" s="52" t="s">
        <v>416</v>
      </c>
      <c r="D171" s="52"/>
      <c r="E171" s="53">
        <v>-2678500</v>
      </c>
      <c r="F171" s="39">
        <f t="shared" si="10"/>
        <v>-214280</v>
      </c>
      <c r="G171" s="40">
        <f t="shared" si="8"/>
        <v>-2892780</v>
      </c>
      <c r="H171" s="41">
        <v>-2892780</v>
      </c>
      <c r="I171" s="41"/>
      <c r="J171" s="42">
        <f t="shared" si="9"/>
        <v>0</v>
      </c>
      <c r="K171" s="54"/>
      <c r="L171" s="48"/>
      <c r="M171" s="48"/>
      <c r="N171" s="48"/>
      <c r="O171" s="45">
        <v>45757</v>
      </c>
      <c r="P171" s="46"/>
    </row>
    <row r="172" spans="1:16" ht="16.5" customHeight="1" x14ac:dyDescent="0.35">
      <c r="A172" s="36" t="s">
        <v>449</v>
      </c>
      <c r="B172" s="51" t="s">
        <v>434</v>
      </c>
      <c r="C172" s="52" t="s">
        <v>417</v>
      </c>
      <c r="D172" s="52"/>
      <c r="E172" s="53">
        <v>-22119250</v>
      </c>
      <c r="F172" s="39">
        <f t="shared" si="10"/>
        <v>-1769540</v>
      </c>
      <c r="G172" s="40">
        <f t="shared" si="8"/>
        <v>-23888790</v>
      </c>
      <c r="H172" s="41">
        <v>-23888790</v>
      </c>
      <c r="I172" s="41"/>
      <c r="J172" s="42">
        <f t="shared" si="9"/>
        <v>0</v>
      </c>
      <c r="K172" s="54"/>
      <c r="L172" s="48"/>
      <c r="M172" s="48"/>
      <c r="N172" s="48"/>
      <c r="O172" s="45">
        <v>45757</v>
      </c>
      <c r="P172" s="46"/>
    </row>
    <row r="173" spans="1:16" ht="16.5" customHeight="1" x14ac:dyDescent="0.35">
      <c r="A173" s="36" t="s">
        <v>450</v>
      </c>
      <c r="B173" s="51" t="s">
        <v>434</v>
      </c>
      <c r="C173" s="52" t="s">
        <v>418</v>
      </c>
      <c r="D173" s="52"/>
      <c r="E173" s="53">
        <v>-23836000</v>
      </c>
      <c r="F173" s="39">
        <f t="shared" si="10"/>
        <v>-1906880</v>
      </c>
      <c r="G173" s="40">
        <f t="shared" si="8"/>
        <v>-25742880</v>
      </c>
      <c r="H173" s="41">
        <v>-25742880</v>
      </c>
      <c r="I173" s="41"/>
      <c r="J173" s="42">
        <f t="shared" si="9"/>
        <v>0</v>
      </c>
      <c r="K173" s="54"/>
      <c r="L173" s="48"/>
      <c r="M173" s="48"/>
      <c r="N173" s="48"/>
      <c r="O173" s="45">
        <v>45757</v>
      </c>
      <c r="P173" s="46"/>
    </row>
    <row r="174" spans="1:16" ht="16.5" customHeight="1" x14ac:dyDescent="0.35">
      <c r="A174" s="36" t="s">
        <v>451</v>
      </c>
      <c r="B174" s="51" t="s">
        <v>434</v>
      </c>
      <c r="C174" s="52" t="s">
        <v>419</v>
      </c>
      <c r="D174" s="52"/>
      <c r="E174" s="53">
        <v>-9957250</v>
      </c>
      <c r="F174" s="39">
        <f t="shared" si="10"/>
        <v>-796580</v>
      </c>
      <c r="G174" s="40">
        <f t="shared" si="8"/>
        <v>-10753830</v>
      </c>
      <c r="H174" s="41">
        <v>-10753830</v>
      </c>
      <c r="I174" s="41"/>
      <c r="J174" s="42">
        <f t="shared" si="9"/>
        <v>0</v>
      </c>
      <c r="K174" s="54"/>
      <c r="L174" s="48"/>
      <c r="M174" s="48"/>
      <c r="N174" s="48"/>
      <c r="O174" s="45">
        <v>45757</v>
      </c>
      <c r="P174" s="46"/>
    </row>
    <row r="175" spans="1:16" ht="16.5" customHeight="1" x14ac:dyDescent="0.35">
      <c r="A175" s="36" t="s">
        <v>452</v>
      </c>
      <c r="B175" s="51" t="s">
        <v>434</v>
      </c>
      <c r="C175" s="52" t="s">
        <v>100</v>
      </c>
      <c r="D175" s="52"/>
      <c r="E175" s="53">
        <v>-656200</v>
      </c>
      <c r="F175" s="39">
        <f t="shared" si="10"/>
        <v>-52496</v>
      </c>
      <c r="G175" s="40">
        <f t="shared" si="8"/>
        <v>-708696</v>
      </c>
      <c r="H175" s="41">
        <v>-708696</v>
      </c>
      <c r="I175" s="41"/>
      <c r="J175" s="42">
        <f t="shared" si="9"/>
        <v>0</v>
      </c>
      <c r="K175" s="54"/>
      <c r="L175" s="48"/>
      <c r="M175" s="48"/>
      <c r="N175" s="48"/>
      <c r="O175" s="45">
        <v>45757</v>
      </c>
      <c r="P175" s="46"/>
    </row>
    <row r="176" spans="1:16" ht="16.5" customHeight="1" x14ac:dyDescent="0.35">
      <c r="A176" s="36" t="s">
        <v>453</v>
      </c>
      <c r="B176" s="51" t="s">
        <v>434</v>
      </c>
      <c r="C176" s="52" t="s">
        <v>420</v>
      </c>
      <c r="D176" s="52"/>
      <c r="E176" s="53">
        <v>-24038650</v>
      </c>
      <c r="F176" s="39">
        <f t="shared" si="10"/>
        <v>-1923092</v>
      </c>
      <c r="G176" s="40">
        <f t="shared" si="8"/>
        <v>-25961742</v>
      </c>
      <c r="H176" s="41">
        <v>-25961742</v>
      </c>
      <c r="I176" s="41"/>
      <c r="J176" s="42">
        <f t="shared" si="9"/>
        <v>0</v>
      </c>
      <c r="K176" s="54"/>
      <c r="L176" s="48"/>
      <c r="M176" s="48"/>
      <c r="N176" s="48"/>
      <c r="O176" s="45">
        <v>45757</v>
      </c>
      <c r="P176" s="46"/>
    </row>
    <row r="177" spans="1:16" ht="16.5" customHeight="1" x14ac:dyDescent="0.35">
      <c r="A177" s="36" t="s">
        <v>454</v>
      </c>
      <c r="B177" s="51" t="s">
        <v>434</v>
      </c>
      <c r="C177" s="52" t="s">
        <v>421</v>
      </c>
      <c r="D177" s="52"/>
      <c r="E177" s="53">
        <v>-17307800</v>
      </c>
      <c r="F177" s="39">
        <f t="shared" si="10"/>
        <v>-1384624</v>
      </c>
      <c r="G177" s="40">
        <f t="shared" si="8"/>
        <v>-18692424</v>
      </c>
      <c r="H177" s="41">
        <v>-18692424</v>
      </c>
      <c r="I177" s="41"/>
      <c r="J177" s="42">
        <f t="shared" si="9"/>
        <v>0</v>
      </c>
      <c r="K177" s="54"/>
      <c r="L177" s="48"/>
      <c r="M177" s="48"/>
      <c r="N177" s="48"/>
      <c r="O177" s="45">
        <v>45757</v>
      </c>
      <c r="P177" s="46"/>
    </row>
    <row r="178" spans="1:16" ht="16.5" customHeight="1" x14ac:dyDescent="0.35">
      <c r="A178" s="36" t="s">
        <v>455</v>
      </c>
      <c r="B178" s="51">
        <v>45733</v>
      </c>
      <c r="C178" s="52" t="s">
        <v>422</v>
      </c>
      <c r="D178" s="52"/>
      <c r="E178" s="53">
        <v>-49786000</v>
      </c>
      <c r="F178" s="39">
        <f t="shared" si="10"/>
        <v>-3982880</v>
      </c>
      <c r="G178" s="40">
        <f t="shared" si="8"/>
        <v>-53768880</v>
      </c>
      <c r="H178" s="41">
        <v>-53768880</v>
      </c>
      <c r="I178" s="41"/>
      <c r="J178" s="42">
        <f t="shared" si="9"/>
        <v>0</v>
      </c>
      <c r="K178" s="54"/>
      <c r="L178" s="48"/>
      <c r="M178" s="48"/>
      <c r="N178" s="48"/>
      <c r="O178" s="45">
        <v>45757</v>
      </c>
      <c r="P178" s="46"/>
    </row>
    <row r="179" spans="1:16" ht="16.5" customHeight="1" x14ac:dyDescent="0.35">
      <c r="A179" s="36" t="s">
        <v>456</v>
      </c>
      <c r="B179" s="51" t="s">
        <v>434</v>
      </c>
      <c r="C179" s="52" t="s">
        <v>423</v>
      </c>
      <c r="D179" s="52"/>
      <c r="E179" s="53">
        <v>-35124500</v>
      </c>
      <c r="F179" s="39">
        <f t="shared" si="10"/>
        <v>-2809960</v>
      </c>
      <c r="G179" s="40">
        <f t="shared" si="8"/>
        <v>-37934460</v>
      </c>
      <c r="H179" s="41">
        <v>-37934460</v>
      </c>
      <c r="I179" s="41"/>
      <c r="J179" s="42">
        <f t="shared" si="9"/>
        <v>0</v>
      </c>
      <c r="K179" s="54"/>
      <c r="L179" s="48"/>
      <c r="M179" s="48"/>
      <c r="N179" s="48"/>
      <c r="O179" s="45">
        <v>45757</v>
      </c>
      <c r="P179" s="46"/>
    </row>
    <row r="180" spans="1:16" ht="16.5" customHeight="1" x14ac:dyDescent="0.35">
      <c r="A180" s="36" t="s">
        <v>457</v>
      </c>
      <c r="B180" s="51" t="s">
        <v>434</v>
      </c>
      <c r="C180" s="52" t="s">
        <v>102</v>
      </c>
      <c r="D180" s="52"/>
      <c r="E180" s="53">
        <v>-3843500</v>
      </c>
      <c r="F180" s="39">
        <f t="shared" si="10"/>
        <v>-307480</v>
      </c>
      <c r="G180" s="40">
        <f t="shared" si="8"/>
        <v>-4150980</v>
      </c>
      <c r="H180" s="41">
        <v>-4150980</v>
      </c>
      <c r="I180" s="41"/>
      <c r="J180" s="42">
        <f t="shared" si="9"/>
        <v>0</v>
      </c>
      <c r="K180" s="54"/>
      <c r="L180" s="48"/>
      <c r="M180" s="48"/>
      <c r="N180" s="48"/>
      <c r="O180" s="45">
        <v>45757</v>
      </c>
      <c r="P180" s="46"/>
    </row>
    <row r="181" spans="1:16" ht="16.5" customHeight="1" x14ac:dyDescent="0.35">
      <c r="A181" s="36" t="s">
        <v>455</v>
      </c>
      <c r="B181" s="51" t="s">
        <v>434</v>
      </c>
      <c r="C181" s="52" t="s">
        <v>424</v>
      </c>
      <c r="D181" s="52"/>
      <c r="E181" s="53">
        <v>-1496000</v>
      </c>
      <c r="F181" s="39">
        <f t="shared" si="10"/>
        <v>-119680</v>
      </c>
      <c r="G181" s="40">
        <f t="shared" ref="G181:G193" si="11">E181+F181</f>
        <v>-1615680</v>
      </c>
      <c r="H181" s="41">
        <v>-1615680</v>
      </c>
      <c r="I181" s="41"/>
      <c r="J181" s="42">
        <f t="shared" si="9"/>
        <v>0</v>
      </c>
      <c r="K181" s="54"/>
      <c r="L181" s="48"/>
      <c r="M181" s="48"/>
      <c r="N181" s="48"/>
      <c r="O181" s="45">
        <v>45757</v>
      </c>
      <c r="P181" s="46"/>
    </row>
    <row r="182" spans="1:16" ht="16.5" customHeight="1" x14ac:dyDescent="0.35">
      <c r="A182" s="36" t="s">
        <v>447</v>
      </c>
      <c r="B182" s="51" t="s">
        <v>434</v>
      </c>
      <c r="C182" s="52" t="s">
        <v>425</v>
      </c>
      <c r="D182" s="52"/>
      <c r="E182" s="53">
        <v>-877500</v>
      </c>
      <c r="F182" s="39">
        <f t="shared" si="10"/>
        <v>-70200</v>
      </c>
      <c r="G182" s="40">
        <f t="shared" si="11"/>
        <v>-947700</v>
      </c>
      <c r="H182" s="41">
        <v>-947700</v>
      </c>
      <c r="I182" s="41"/>
      <c r="J182" s="42">
        <f t="shared" si="9"/>
        <v>0</v>
      </c>
      <c r="K182" s="54"/>
      <c r="L182" s="48"/>
      <c r="M182" s="48"/>
      <c r="N182" s="48"/>
      <c r="O182" s="45">
        <v>45757</v>
      </c>
      <c r="P182" s="46"/>
    </row>
    <row r="183" spans="1:16" ht="16.5" customHeight="1" x14ac:dyDescent="0.35">
      <c r="A183" s="36" t="s">
        <v>458</v>
      </c>
      <c r="B183" s="51" t="s">
        <v>434</v>
      </c>
      <c r="C183" s="52" t="s">
        <v>426</v>
      </c>
      <c r="D183" s="52"/>
      <c r="E183" s="53">
        <v>-971500</v>
      </c>
      <c r="F183" s="39">
        <f t="shared" si="10"/>
        <v>-77720</v>
      </c>
      <c r="G183" s="40">
        <f t="shared" si="11"/>
        <v>-1049220</v>
      </c>
      <c r="H183" s="41">
        <v>-1049220</v>
      </c>
      <c r="I183" s="41"/>
      <c r="J183" s="42">
        <f t="shared" si="9"/>
        <v>0</v>
      </c>
      <c r="K183" s="54"/>
      <c r="L183" s="48"/>
      <c r="M183" s="48"/>
      <c r="N183" s="48"/>
      <c r="O183" s="45">
        <v>45740</v>
      </c>
      <c r="P183" s="46"/>
    </row>
    <row r="184" spans="1:16" ht="16.5" customHeight="1" x14ac:dyDescent="0.35">
      <c r="A184" s="36" t="s">
        <v>459</v>
      </c>
      <c r="B184" s="51" t="s">
        <v>434</v>
      </c>
      <c r="C184" s="52" t="s">
        <v>427</v>
      </c>
      <c r="D184" s="52"/>
      <c r="E184" s="53">
        <v>-135000</v>
      </c>
      <c r="F184" s="39">
        <f t="shared" si="10"/>
        <v>-10800</v>
      </c>
      <c r="G184" s="40">
        <f t="shared" si="11"/>
        <v>-145800</v>
      </c>
      <c r="H184" s="41">
        <v>-145800</v>
      </c>
      <c r="I184" s="41"/>
      <c r="J184" s="42">
        <f t="shared" si="9"/>
        <v>0</v>
      </c>
      <c r="K184" s="54"/>
      <c r="L184" s="48"/>
      <c r="M184" s="48"/>
      <c r="N184" s="48"/>
      <c r="O184" s="45">
        <v>45757</v>
      </c>
      <c r="P184" s="46"/>
    </row>
    <row r="185" spans="1:16" ht="16.5" customHeight="1" x14ac:dyDescent="0.35">
      <c r="A185" s="36" t="s">
        <v>457</v>
      </c>
      <c r="B185" s="51" t="s">
        <v>434</v>
      </c>
      <c r="C185" s="52" t="s">
        <v>428</v>
      </c>
      <c r="D185" s="52"/>
      <c r="E185" s="53">
        <v>-2111500</v>
      </c>
      <c r="F185" s="39">
        <f t="shared" si="10"/>
        <v>-168920</v>
      </c>
      <c r="G185" s="40">
        <f t="shared" si="11"/>
        <v>-2280420</v>
      </c>
      <c r="H185" s="41">
        <v>-2280420</v>
      </c>
      <c r="I185" s="41"/>
      <c r="J185" s="42">
        <f t="shared" si="9"/>
        <v>0</v>
      </c>
      <c r="K185" s="54"/>
      <c r="L185" s="48"/>
      <c r="M185" s="48"/>
      <c r="N185" s="48"/>
      <c r="O185" s="45">
        <v>45757</v>
      </c>
      <c r="P185" s="46"/>
    </row>
    <row r="186" spans="1:16" ht="16.5" customHeight="1" x14ac:dyDescent="0.35">
      <c r="A186" s="36" t="s">
        <v>456</v>
      </c>
      <c r="B186" s="51" t="s">
        <v>434</v>
      </c>
      <c r="C186" s="52" t="s">
        <v>429</v>
      </c>
      <c r="D186" s="52"/>
      <c r="E186" s="53">
        <v>-12098500</v>
      </c>
      <c r="F186" s="39">
        <f t="shared" si="10"/>
        <v>-967880</v>
      </c>
      <c r="G186" s="40">
        <f t="shared" si="11"/>
        <v>-13066380</v>
      </c>
      <c r="H186" s="41">
        <v>-13066380</v>
      </c>
      <c r="I186" s="41"/>
      <c r="J186" s="42">
        <f t="shared" si="9"/>
        <v>0</v>
      </c>
      <c r="K186" s="54"/>
      <c r="L186" s="48"/>
      <c r="M186" s="48"/>
      <c r="N186" s="48"/>
      <c r="O186" s="45">
        <v>45757</v>
      </c>
      <c r="P186" s="46"/>
    </row>
    <row r="187" spans="1:16" ht="16.5" customHeight="1" x14ac:dyDescent="0.35">
      <c r="A187" s="57" t="s">
        <v>460</v>
      </c>
      <c r="B187" s="51" t="s">
        <v>435</v>
      </c>
      <c r="C187" s="52" t="s">
        <v>430</v>
      </c>
      <c r="D187" s="52"/>
      <c r="E187" s="53">
        <v>14870000</v>
      </c>
      <c r="F187" s="39">
        <f t="shared" si="10"/>
        <v>1189600</v>
      </c>
      <c r="G187" s="40">
        <f t="shared" si="11"/>
        <v>16059600</v>
      </c>
      <c r="H187" s="41">
        <v>16059600</v>
      </c>
      <c r="I187" s="41"/>
      <c r="J187" s="42">
        <f t="shared" si="9"/>
        <v>0</v>
      </c>
      <c r="K187" s="54"/>
      <c r="L187" s="48"/>
      <c r="M187" s="48"/>
      <c r="N187" s="48"/>
      <c r="O187" s="45">
        <v>45771</v>
      </c>
      <c r="P187" s="46"/>
    </row>
    <row r="188" spans="1:16" ht="16.5" customHeight="1" x14ac:dyDescent="0.35">
      <c r="A188" s="36" t="s">
        <v>486</v>
      </c>
      <c r="B188" s="51">
        <v>45743</v>
      </c>
      <c r="C188" s="52" t="s">
        <v>461</v>
      </c>
      <c r="D188" s="52"/>
      <c r="E188" s="53">
        <v>2010000</v>
      </c>
      <c r="F188" s="39">
        <f t="shared" si="10"/>
        <v>160800</v>
      </c>
      <c r="G188" s="40">
        <f t="shared" si="11"/>
        <v>2170800</v>
      </c>
      <c r="H188" s="41">
        <v>2170800</v>
      </c>
      <c r="I188" s="41"/>
      <c r="J188" s="42">
        <f t="shared" si="9"/>
        <v>0</v>
      </c>
      <c r="K188" s="54"/>
      <c r="L188" s="48"/>
      <c r="M188" s="48"/>
      <c r="N188" s="48"/>
      <c r="O188" s="45">
        <v>45789</v>
      </c>
      <c r="P188" s="46"/>
    </row>
    <row r="189" spans="1:16" ht="16.5" customHeight="1" x14ac:dyDescent="0.35">
      <c r="A189" s="36" t="s">
        <v>487</v>
      </c>
      <c r="B189" s="51" t="s">
        <v>478</v>
      </c>
      <c r="C189" s="52" t="s">
        <v>462</v>
      </c>
      <c r="D189" s="52"/>
      <c r="E189" s="53">
        <v>34035000</v>
      </c>
      <c r="F189" s="39">
        <f t="shared" si="10"/>
        <v>2722800</v>
      </c>
      <c r="G189" s="40">
        <f t="shared" si="11"/>
        <v>36757800</v>
      </c>
      <c r="H189" s="41">
        <v>36757800</v>
      </c>
      <c r="I189" s="41"/>
      <c r="J189" s="42">
        <f t="shared" si="9"/>
        <v>0</v>
      </c>
      <c r="K189" s="54"/>
      <c r="L189" s="48"/>
      <c r="M189" s="48"/>
      <c r="N189" s="48"/>
      <c r="O189" s="45">
        <v>45789</v>
      </c>
      <c r="P189" s="46"/>
    </row>
    <row r="190" spans="1:16" ht="16.5" customHeight="1" x14ac:dyDescent="0.35">
      <c r="A190" s="36" t="s">
        <v>488</v>
      </c>
      <c r="B190" s="51" t="s">
        <v>478</v>
      </c>
      <c r="C190" s="52" t="s">
        <v>463</v>
      </c>
      <c r="D190" s="52"/>
      <c r="E190" s="53">
        <v>2040000</v>
      </c>
      <c r="F190" s="39">
        <f t="shared" si="10"/>
        <v>163200</v>
      </c>
      <c r="G190" s="40">
        <f t="shared" si="11"/>
        <v>2203200</v>
      </c>
      <c r="H190" s="41">
        <v>2203200</v>
      </c>
      <c r="I190" s="41"/>
      <c r="J190" s="42">
        <f t="shared" si="9"/>
        <v>0</v>
      </c>
      <c r="K190" s="54"/>
      <c r="L190" s="48"/>
      <c r="M190" s="48"/>
      <c r="N190" s="48"/>
      <c r="O190" s="45">
        <v>45789</v>
      </c>
      <c r="P190" s="46"/>
    </row>
    <row r="191" spans="1:16" ht="16.5" customHeight="1" x14ac:dyDescent="0.35">
      <c r="A191" s="36" t="s">
        <v>489</v>
      </c>
      <c r="B191" s="51" t="s">
        <v>479</v>
      </c>
      <c r="C191" s="52" t="s">
        <v>464</v>
      </c>
      <c r="D191" s="52"/>
      <c r="E191" s="53">
        <v>-17810400</v>
      </c>
      <c r="F191" s="39">
        <f t="shared" si="10"/>
        <v>-1424832</v>
      </c>
      <c r="G191" s="40">
        <f t="shared" si="11"/>
        <v>-19235232</v>
      </c>
      <c r="H191" s="41">
        <v>-19235232</v>
      </c>
      <c r="I191" s="41"/>
      <c r="J191" s="42">
        <f t="shared" si="9"/>
        <v>0</v>
      </c>
      <c r="K191" s="54"/>
      <c r="L191" s="48"/>
      <c r="M191" s="48"/>
      <c r="N191" s="48"/>
      <c r="O191" s="45">
        <v>45757</v>
      </c>
      <c r="P191" s="46"/>
    </row>
    <row r="192" spans="1:16" ht="16.5" customHeight="1" x14ac:dyDescent="0.35">
      <c r="A192" s="36" t="s">
        <v>489</v>
      </c>
      <c r="B192" s="51" t="s">
        <v>479</v>
      </c>
      <c r="C192" s="52" t="s">
        <v>465</v>
      </c>
      <c r="D192" s="52"/>
      <c r="E192" s="53">
        <v>-2223000</v>
      </c>
      <c r="F192" s="39">
        <f t="shared" si="10"/>
        <v>-177840</v>
      </c>
      <c r="G192" s="40">
        <f t="shared" si="11"/>
        <v>-2400840</v>
      </c>
      <c r="H192" s="41">
        <v>-2400840</v>
      </c>
      <c r="I192" s="41"/>
      <c r="J192" s="42">
        <f t="shared" si="9"/>
        <v>0</v>
      </c>
      <c r="K192" s="54"/>
      <c r="L192" s="48"/>
      <c r="M192" s="48"/>
      <c r="N192" s="48"/>
      <c r="O192" s="45">
        <v>45757</v>
      </c>
      <c r="P192" s="46"/>
    </row>
    <row r="193" spans="1:16" ht="16.5" customHeight="1" x14ac:dyDescent="0.35">
      <c r="A193" s="36" t="s">
        <v>490</v>
      </c>
      <c r="B193" s="51" t="s">
        <v>480</v>
      </c>
      <c r="C193" s="52" t="s">
        <v>466</v>
      </c>
      <c r="D193" s="52"/>
      <c r="E193" s="53">
        <v>19140000</v>
      </c>
      <c r="F193" s="39">
        <f t="shared" si="10"/>
        <v>1531200</v>
      </c>
      <c r="G193" s="40">
        <f t="shared" si="11"/>
        <v>20671200</v>
      </c>
      <c r="H193" s="41">
        <v>20671200</v>
      </c>
      <c r="I193" s="41"/>
      <c r="J193" s="42">
        <f t="shared" si="9"/>
        <v>0</v>
      </c>
      <c r="K193" s="54"/>
      <c r="L193" s="48"/>
      <c r="M193" s="48"/>
      <c r="N193" s="48"/>
      <c r="O193" s="45">
        <v>45789</v>
      </c>
      <c r="P193" s="46"/>
    </row>
    <row r="194" spans="1:16" ht="16.5" customHeight="1" x14ac:dyDescent="0.35">
      <c r="A194" s="36" t="s">
        <v>491</v>
      </c>
      <c r="B194" s="51" t="s">
        <v>480</v>
      </c>
      <c r="C194" s="52" t="s">
        <v>467</v>
      </c>
      <c r="D194" s="52"/>
      <c r="E194" s="53">
        <v>1005000</v>
      </c>
      <c r="F194" s="39">
        <f t="shared" ref="F194:F256" si="12">+E194*0.08</f>
        <v>80400</v>
      </c>
      <c r="G194" s="40">
        <f t="shared" ref="G194:G256" si="13">E194+F194</f>
        <v>1085400</v>
      </c>
      <c r="H194" s="41">
        <v>1085400</v>
      </c>
      <c r="I194" s="41"/>
      <c r="J194" s="42">
        <f t="shared" si="9"/>
        <v>0</v>
      </c>
      <c r="K194" s="54"/>
      <c r="L194" s="48"/>
      <c r="M194" s="48"/>
      <c r="N194" s="48"/>
      <c r="O194" s="45">
        <v>45789</v>
      </c>
      <c r="P194" s="46"/>
    </row>
    <row r="195" spans="1:16" ht="16.5" customHeight="1" x14ac:dyDescent="0.35">
      <c r="A195" s="36" t="s">
        <v>492</v>
      </c>
      <c r="B195" s="51" t="s">
        <v>481</v>
      </c>
      <c r="C195" s="52" t="s">
        <v>468</v>
      </c>
      <c r="D195" s="52"/>
      <c r="E195" s="53">
        <v>68350000</v>
      </c>
      <c r="F195" s="39">
        <f t="shared" si="12"/>
        <v>5468000</v>
      </c>
      <c r="G195" s="40">
        <f t="shared" si="13"/>
        <v>73818000</v>
      </c>
      <c r="H195" s="41">
        <v>73818000</v>
      </c>
      <c r="I195" s="41"/>
      <c r="J195" s="42">
        <f t="shared" si="9"/>
        <v>0</v>
      </c>
      <c r="K195" s="54"/>
      <c r="L195" s="48"/>
      <c r="M195" s="48"/>
      <c r="N195" s="48"/>
      <c r="O195" s="45">
        <v>45803</v>
      </c>
      <c r="P195" s="46"/>
    </row>
    <row r="196" spans="1:16" ht="16.5" customHeight="1" x14ac:dyDescent="0.35">
      <c r="A196" s="36" t="s">
        <v>493</v>
      </c>
      <c r="B196" s="51" t="s">
        <v>481</v>
      </c>
      <c r="C196" s="52" t="s">
        <v>469</v>
      </c>
      <c r="D196" s="52"/>
      <c r="E196" s="53">
        <v>2045000</v>
      </c>
      <c r="F196" s="39">
        <f t="shared" si="12"/>
        <v>163600</v>
      </c>
      <c r="G196" s="40">
        <f t="shared" si="13"/>
        <v>2208600</v>
      </c>
      <c r="H196" s="41">
        <v>2208600</v>
      </c>
      <c r="I196" s="41"/>
      <c r="J196" s="42">
        <f t="shared" si="9"/>
        <v>0</v>
      </c>
      <c r="K196" s="54"/>
      <c r="L196" s="48"/>
      <c r="M196" s="48"/>
      <c r="N196" s="48"/>
      <c r="O196" s="45">
        <v>45818</v>
      </c>
      <c r="P196" s="46"/>
    </row>
    <row r="197" spans="1:16" ht="16.5" customHeight="1" x14ac:dyDescent="0.35">
      <c r="A197" s="36" t="s">
        <v>494</v>
      </c>
      <c r="B197" s="51" t="s">
        <v>482</v>
      </c>
      <c r="C197" s="52" t="s">
        <v>470</v>
      </c>
      <c r="D197" s="52"/>
      <c r="E197" s="53">
        <v>18555000</v>
      </c>
      <c r="F197" s="39">
        <f t="shared" si="12"/>
        <v>1484400</v>
      </c>
      <c r="G197" s="40">
        <f t="shared" si="13"/>
        <v>20039400</v>
      </c>
      <c r="H197" s="41">
        <v>20039400</v>
      </c>
      <c r="I197" s="41"/>
      <c r="J197" s="42">
        <f t="shared" si="9"/>
        <v>0</v>
      </c>
      <c r="K197" s="54"/>
      <c r="L197" s="48"/>
      <c r="M197" s="48"/>
      <c r="N197" s="48"/>
      <c r="O197" s="45">
        <v>45803</v>
      </c>
      <c r="P197" s="46"/>
    </row>
    <row r="198" spans="1:16" ht="16.5" customHeight="1" x14ac:dyDescent="0.35">
      <c r="A198" s="36" t="s">
        <v>495</v>
      </c>
      <c r="B198" s="51" t="s">
        <v>483</v>
      </c>
      <c r="C198" s="52" t="s">
        <v>471</v>
      </c>
      <c r="D198" s="52"/>
      <c r="E198" s="53">
        <v>34285000</v>
      </c>
      <c r="F198" s="39">
        <f t="shared" si="12"/>
        <v>2742800</v>
      </c>
      <c r="G198" s="40">
        <f t="shared" si="13"/>
        <v>37027800</v>
      </c>
      <c r="H198" s="41">
        <v>37027800</v>
      </c>
      <c r="I198" s="41"/>
      <c r="J198" s="42">
        <f t="shared" si="9"/>
        <v>0</v>
      </c>
      <c r="K198" s="54"/>
      <c r="L198" s="48"/>
      <c r="M198" s="48"/>
      <c r="N198" s="48"/>
      <c r="O198" s="45">
        <v>45818</v>
      </c>
      <c r="P198" s="46"/>
    </row>
    <row r="199" spans="1:16" ht="16.5" customHeight="1" x14ac:dyDescent="0.35">
      <c r="A199" s="36" t="s">
        <v>496</v>
      </c>
      <c r="B199" s="51" t="s">
        <v>483</v>
      </c>
      <c r="C199" s="52" t="s">
        <v>472</v>
      </c>
      <c r="D199" s="52"/>
      <c r="E199" s="53">
        <v>1005000</v>
      </c>
      <c r="F199" s="39">
        <f t="shared" si="12"/>
        <v>80400</v>
      </c>
      <c r="G199" s="40">
        <f t="shared" si="13"/>
        <v>1085400</v>
      </c>
      <c r="H199" s="41">
        <v>1085400</v>
      </c>
      <c r="I199" s="41"/>
      <c r="J199" s="42">
        <f t="shared" si="9"/>
        <v>0</v>
      </c>
      <c r="K199" s="54"/>
      <c r="L199" s="48"/>
      <c r="M199" s="48"/>
      <c r="N199" s="48"/>
      <c r="O199" s="45">
        <v>45818</v>
      </c>
      <c r="P199" s="46"/>
    </row>
    <row r="200" spans="1:16" ht="16.5" customHeight="1" x14ac:dyDescent="0.35">
      <c r="A200" s="36" t="s">
        <v>497</v>
      </c>
      <c r="B200" s="51" t="s">
        <v>483</v>
      </c>
      <c r="C200" s="52" t="s">
        <v>473</v>
      </c>
      <c r="D200" s="52"/>
      <c r="E200" s="53">
        <v>1005000</v>
      </c>
      <c r="F200" s="39">
        <f t="shared" si="12"/>
        <v>80400</v>
      </c>
      <c r="G200" s="40">
        <f t="shared" si="13"/>
        <v>1085400</v>
      </c>
      <c r="H200" s="41">
        <v>1085400</v>
      </c>
      <c r="I200" s="41"/>
      <c r="J200" s="42">
        <f t="shared" si="9"/>
        <v>0</v>
      </c>
      <c r="K200" s="54"/>
      <c r="L200" s="48"/>
      <c r="M200" s="48"/>
      <c r="N200" s="48"/>
      <c r="O200" s="45">
        <v>45818</v>
      </c>
      <c r="P200" s="46"/>
    </row>
    <row r="201" spans="1:16" ht="16.5" customHeight="1" x14ac:dyDescent="0.35">
      <c r="A201" s="36" t="s">
        <v>498</v>
      </c>
      <c r="B201" s="51" t="s">
        <v>484</v>
      </c>
      <c r="C201" s="52" t="s">
        <v>474</v>
      </c>
      <c r="D201" s="52"/>
      <c r="E201" s="53">
        <v>-816000</v>
      </c>
      <c r="F201" s="39">
        <f t="shared" si="12"/>
        <v>-65280</v>
      </c>
      <c r="G201" s="40">
        <f t="shared" si="13"/>
        <v>-881280</v>
      </c>
      <c r="H201" s="41">
        <v>-881280</v>
      </c>
      <c r="I201" s="41"/>
      <c r="J201" s="42">
        <f t="shared" si="9"/>
        <v>0</v>
      </c>
      <c r="K201" s="54"/>
      <c r="L201" s="48"/>
      <c r="M201" s="48"/>
      <c r="N201" s="48"/>
      <c r="O201" s="45">
        <v>45789</v>
      </c>
      <c r="P201" s="46"/>
    </row>
    <row r="202" spans="1:16" ht="16.5" customHeight="1" x14ac:dyDescent="0.35">
      <c r="A202" s="36" t="s">
        <v>499</v>
      </c>
      <c r="B202" s="51" t="s">
        <v>484</v>
      </c>
      <c r="C202" s="52" t="s">
        <v>475</v>
      </c>
      <c r="D202" s="52"/>
      <c r="E202" s="53">
        <v>-816000</v>
      </c>
      <c r="F202" s="39">
        <f t="shared" si="12"/>
        <v>-65280</v>
      </c>
      <c r="G202" s="40">
        <f t="shared" si="13"/>
        <v>-881280</v>
      </c>
      <c r="H202" s="41">
        <v>-881280</v>
      </c>
      <c r="I202" s="41"/>
      <c r="J202" s="42">
        <f t="shared" si="9"/>
        <v>0</v>
      </c>
      <c r="K202" s="54"/>
      <c r="L202" s="48"/>
      <c r="M202" s="48"/>
      <c r="N202" s="48"/>
      <c r="O202" s="45">
        <v>45789</v>
      </c>
      <c r="P202" s="46"/>
    </row>
    <row r="203" spans="1:16" ht="16.5" customHeight="1" x14ac:dyDescent="0.35">
      <c r="A203" s="36" t="s">
        <v>500</v>
      </c>
      <c r="B203" s="51" t="s">
        <v>485</v>
      </c>
      <c r="C203" s="52" t="s">
        <v>476</v>
      </c>
      <c r="D203" s="52"/>
      <c r="E203" s="53">
        <v>23310000</v>
      </c>
      <c r="F203" s="39">
        <f t="shared" si="12"/>
        <v>1864800</v>
      </c>
      <c r="G203" s="40">
        <f t="shared" si="13"/>
        <v>25174800</v>
      </c>
      <c r="H203" s="41">
        <v>25174800</v>
      </c>
      <c r="I203" s="41"/>
      <c r="J203" s="42">
        <f t="shared" si="9"/>
        <v>0</v>
      </c>
      <c r="K203" s="54"/>
      <c r="L203" s="48"/>
      <c r="M203" s="48"/>
      <c r="N203" s="48"/>
      <c r="O203" s="45">
        <v>45818</v>
      </c>
      <c r="P203" s="46"/>
    </row>
    <row r="204" spans="1:16" ht="16.5" customHeight="1" x14ac:dyDescent="0.35">
      <c r="A204" s="36" t="s">
        <v>501</v>
      </c>
      <c r="B204" s="51" t="s">
        <v>485</v>
      </c>
      <c r="C204" s="52" t="s">
        <v>477</v>
      </c>
      <c r="D204" s="52"/>
      <c r="E204" s="53">
        <v>1040000</v>
      </c>
      <c r="F204" s="39">
        <f t="shared" si="12"/>
        <v>83200</v>
      </c>
      <c r="G204" s="40">
        <f t="shared" si="13"/>
        <v>1123200</v>
      </c>
      <c r="H204" s="41">
        <v>1123200</v>
      </c>
      <c r="I204" s="41"/>
      <c r="J204" s="42">
        <f t="shared" si="9"/>
        <v>0</v>
      </c>
      <c r="K204" s="54"/>
      <c r="L204" s="48"/>
      <c r="M204" s="48"/>
      <c r="N204" s="48"/>
      <c r="O204" s="45">
        <v>45818</v>
      </c>
      <c r="P204" s="46"/>
    </row>
    <row r="205" spans="1:16" ht="16.5" customHeight="1" x14ac:dyDescent="0.35">
      <c r="A205" s="36" t="s">
        <v>563</v>
      </c>
      <c r="B205" s="51" t="s">
        <v>541</v>
      </c>
      <c r="C205" s="52" t="s">
        <v>502</v>
      </c>
      <c r="D205" s="52"/>
      <c r="E205" s="53">
        <v>1040000</v>
      </c>
      <c r="F205" s="39">
        <f t="shared" si="12"/>
        <v>83200</v>
      </c>
      <c r="G205" s="40">
        <f t="shared" si="13"/>
        <v>1123200</v>
      </c>
      <c r="H205" s="41">
        <v>1123200</v>
      </c>
      <c r="I205" s="41"/>
      <c r="J205" s="42">
        <f t="shared" si="9"/>
        <v>0</v>
      </c>
      <c r="K205" s="54"/>
      <c r="L205" s="48"/>
      <c r="M205" s="48"/>
      <c r="N205" s="48"/>
      <c r="O205" s="45">
        <v>45818</v>
      </c>
      <c r="P205" s="46"/>
    </row>
    <row r="206" spans="1:16" ht="16.5" customHeight="1" x14ac:dyDescent="0.35">
      <c r="A206" s="36" t="s">
        <v>564</v>
      </c>
      <c r="B206" s="51" t="s">
        <v>541</v>
      </c>
      <c r="C206" s="52" t="s">
        <v>503</v>
      </c>
      <c r="D206" s="52"/>
      <c r="E206" s="53">
        <v>32300000</v>
      </c>
      <c r="F206" s="39">
        <f t="shared" si="12"/>
        <v>2584000</v>
      </c>
      <c r="G206" s="40">
        <f t="shared" si="13"/>
        <v>34884000</v>
      </c>
      <c r="H206" s="41">
        <v>34884000</v>
      </c>
      <c r="I206" s="41"/>
      <c r="J206" s="42">
        <f t="shared" si="9"/>
        <v>0</v>
      </c>
      <c r="K206" s="54"/>
      <c r="L206" s="48"/>
      <c r="M206" s="48"/>
      <c r="N206" s="48"/>
      <c r="O206" s="45">
        <v>45818</v>
      </c>
      <c r="P206" s="46"/>
    </row>
    <row r="207" spans="1:16" ht="16.5" customHeight="1" x14ac:dyDescent="0.35">
      <c r="A207" s="36" t="s">
        <v>565</v>
      </c>
      <c r="B207" s="51" t="s">
        <v>542</v>
      </c>
      <c r="C207" s="52" t="s">
        <v>504</v>
      </c>
      <c r="D207" s="52"/>
      <c r="E207" s="53">
        <v>2045000</v>
      </c>
      <c r="F207" s="39">
        <f t="shared" si="12"/>
        <v>163600</v>
      </c>
      <c r="G207" s="40">
        <f t="shared" si="13"/>
        <v>2208600</v>
      </c>
      <c r="H207" s="41">
        <v>2208600</v>
      </c>
      <c r="I207" s="41"/>
      <c r="J207" s="42">
        <f t="shared" ref="J207:J269" si="14">G207-H207</f>
        <v>0</v>
      </c>
      <c r="K207" s="54"/>
      <c r="L207" s="48"/>
      <c r="M207" s="48"/>
      <c r="N207" s="48"/>
      <c r="O207" s="45">
        <v>45832</v>
      </c>
      <c r="P207" s="46"/>
    </row>
    <row r="208" spans="1:16" ht="16.5" customHeight="1" x14ac:dyDescent="0.35">
      <c r="A208" s="36" t="s">
        <v>566</v>
      </c>
      <c r="B208" s="51" t="s">
        <v>542</v>
      </c>
      <c r="C208" s="52" t="s">
        <v>505</v>
      </c>
      <c r="D208" s="52"/>
      <c r="E208" s="53">
        <v>14020000</v>
      </c>
      <c r="F208" s="39">
        <f t="shared" si="12"/>
        <v>1121600</v>
      </c>
      <c r="G208" s="40">
        <f t="shared" si="13"/>
        <v>15141600</v>
      </c>
      <c r="H208" s="41">
        <v>15141600</v>
      </c>
      <c r="I208" s="41"/>
      <c r="J208" s="42">
        <f t="shared" si="14"/>
        <v>0</v>
      </c>
      <c r="K208" s="54"/>
      <c r="L208" s="48"/>
      <c r="M208" s="48"/>
      <c r="N208" s="48"/>
      <c r="O208" s="45">
        <v>45832</v>
      </c>
      <c r="P208" s="46"/>
    </row>
    <row r="209" spans="1:16" ht="16.5" customHeight="1" x14ac:dyDescent="0.35">
      <c r="A209" s="36" t="s">
        <v>567</v>
      </c>
      <c r="B209" s="51" t="s">
        <v>542</v>
      </c>
      <c r="C209" s="52" t="s">
        <v>506</v>
      </c>
      <c r="D209" s="52"/>
      <c r="E209" s="53">
        <v>1005000</v>
      </c>
      <c r="F209" s="39">
        <f t="shared" si="12"/>
        <v>80400</v>
      </c>
      <c r="G209" s="40">
        <f t="shared" si="13"/>
        <v>1085400</v>
      </c>
      <c r="H209" s="41">
        <v>1085400</v>
      </c>
      <c r="I209" s="41"/>
      <c r="J209" s="42">
        <f t="shared" si="14"/>
        <v>0</v>
      </c>
      <c r="K209" s="54"/>
      <c r="L209" s="48"/>
      <c r="M209" s="48"/>
      <c r="N209" s="48"/>
      <c r="O209" s="45">
        <v>45832</v>
      </c>
      <c r="P209" s="46"/>
    </row>
    <row r="210" spans="1:16" ht="16.5" customHeight="1" x14ac:dyDescent="0.35">
      <c r="A210" s="36" t="s">
        <v>568</v>
      </c>
      <c r="B210" s="51" t="s">
        <v>543</v>
      </c>
      <c r="C210" s="52" t="s">
        <v>507</v>
      </c>
      <c r="D210" s="52"/>
      <c r="E210" s="53">
        <v>-476000</v>
      </c>
      <c r="F210" s="39">
        <f t="shared" si="12"/>
        <v>-38080</v>
      </c>
      <c r="G210" s="40">
        <f t="shared" si="13"/>
        <v>-514080</v>
      </c>
      <c r="H210" s="41">
        <v>-514080</v>
      </c>
      <c r="I210" s="41"/>
      <c r="J210" s="42">
        <f t="shared" si="14"/>
        <v>0</v>
      </c>
      <c r="K210" s="54"/>
      <c r="L210" s="48"/>
      <c r="M210" s="48"/>
      <c r="N210" s="48"/>
      <c r="O210" s="45">
        <v>45803</v>
      </c>
      <c r="P210" s="46"/>
    </row>
    <row r="211" spans="1:16" ht="16.5" customHeight="1" x14ac:dyDescent="0.35">
      <c r="A211" s="36" t="s">
        <v>569</v>
      </c>
      <c r="B211" s="51" t="s">
        <v>543</v>
      </c>
      <c r="C211" s="52" t="s">
        <v>508</v>
      </c>
      <c r="D211" s="52"/>
      <c r="E211" s="53">
        <v>-234500</v>
      </c>
      <c r="F211" s="39">
        <f t="shared" si="12"/>
        <v>-18760</v>
      </c>
      <c r="G211" s="40">
        <f t="shared" si="13"/>
        <v>-253260</v>
      </c>
      <c r="H211" s="41">
        <v>-253260</v>
      </c>
      <c r="I211" s="41"/>
      <c r="J211" s="42">
        <f t="shared" si="14"/>
        <v>0</v>
      </c>
      <c r="K211" s="54"/>
      <c r="L211" s="48"/>
      <c r="M211" s="48"/>
      <c r="N211" s="48"/>
      <c r="O211" s="45">
        <v>45803</v>
      </c>
      <c r="P211" s="46"/>
    </row>
    <row r="212" spans="1:16" ht="16.5" customHeight="1" x14ac:dyDescent="0.35">
      <c r="A212" s="36" t="s">
        <v>570</v>
      </c>
      <c r="B212" s="51" t="s">
        <v>544</v>
      </c>
      <c r="C212" s="52" t="s">
        <v>509</v>
      </c>
      <c r="D212" s="52"/>
      <c r="E212" s="53">
        <v>26660000</v>
      </c>
      <c r="F212" s="39">
        <f t="shared" si="12"/>
        <v>2132800</v>
      </c>
      <c r="G212" s="40">
        <f t="shared" si="13"/>
        <v>28792800</v>
      </c>
      <c r="H212" s="41">
        <v>28792800</v>
      </c>
      <c r="I212" s="41"/>
      <c r="J212" s="42">
        <f t="shared" si="14"/>
        <v>0</v>
      </c>
      <c r="K212" s="54"/>
      <c r="L212" s="48"/>
      <c r="M212" s="48"/>
      <c r="N212" s="48"/>
      <c r="O212" s="45">
        <v>45832</v>
      </c>
      <c r="P212" s="46"/>
    </row>
    <row r="213" spans="1:16" ht="16.5" customHeight="1" x14ac:dyDescent="0.35">
      <c r="A213" s="36" t="s">
        <v>571</v>
      </c>
      <c r="B213" s="51" t="s">
        <v>545</v>
      </c>
      <c r="C213" s="52" t="s">
        <v>510</v>
      </c>
      <c r="D213" s="52"/>
      <c r="E213" s="53">
        <v>32270000</v>
      </c>
      <c r="F213" s="39">
        <f t="shared" si="12"/>
        <v>2581600</v>
      </c>
      <c r="G213" s="40">
        <f t="shared" si="13"/>
        <v>34851600</v>
      </c>
      <c r="H213" s="41">
        <v>34851600</v>
      </c>
      <c r="I213" s="41"/>
      <c r="J213" s="42">
        <f t="shared" si="14"/>
        <v>0</v>
      </c>
      <c r="K213" s="54"/>
      <c r="L213" s="48"/>
      <c r="M213" s="48"/>
      <c r="N213" s="48"/>
      <c r="O213" s="45">
        <v>45848</v>
      </c>
      <c r="P213" s="46"/>
    </row>
    <row r="214" spans="1:16" ht="16.5" customHeight="1" x14ac:dyDescent="0.35">
      <c r="A214" s="36" t="s">
        <v>572</v>
      </c>
      <c r="B214" s="51" t="s">
        <v>546</v>
      </c>
      <c r="C214" s="52" t="s">
        <v>511</v>
      </c>
      <c r="D214" s="52"/>
      <c r="E214" s="53">
        <v>10060000</v>
      </c>
      <c r="F214" s="39">
        <f t="shared" si="12"/>
        <v>804800</v>
      </c>
      <c r="G214" s="40">
        <f t="shared" si="13"/>
        <v>10864800</v>
      </c>
      <c r="H214" s="41">
        <v>10864800</v>
      </c>
      <c r="I214" s="41"/>
      <c r="J214" s="42">
        <f t="shared" si="14"/>
        <v>0</v>
      </c>
      <c r="K214" s="54"/>
      <c r="L214" s="48"/>
      <c r="M214" s="48"/>
      <c r="N214" s="48"/>
      <c r="O214" s="45">
        <v>45848</v>
      </c>
      <c r="P214" s="46"/>
    </row>
    <row r="215" spans="1:16" ht="16.5" customHeight="1" x14ac:dyDescent="0.35">
      <c r="A215" s="36" t="s">
        <v>573</v>
      </c>
      <c r="B215" s="51" t="s">
        <v>547</v>
      </c>
      <c r="C215" s="52" t="s">
        <v>512</v>
      </c>
      <c r="D215" s="52"/>
      <c r="E215" s="53">
        <v>18100000</v>
      </c>
      <c r="F215" s="39">
        <f t="shared" si="12"/>
        <v>1448000</v>
      </c>
      <c r="G215" s="40">
        <f t="shared" si="13"/>
        <v>19548000</v>
      </c>
      <c r="H215" s="41">
        <v>19548000</v>
      </c>
      <c r="I215" s="41"/>
      <c r="J215" s="42">
        <f t="shared" si="14"/>
        <v>0</v>
      </c>
      <c r="K215" s="54"/>
      <c r="L215" s="48"/>
      <c r="M215" s="48"/>
      <c r="N215" s="48"/>
      <c r="O215" s="45">
        <v>45862</v>
      </c>
      <c r="P215" s="46"/>
    </row>
    <row r="216" spans="1:16" ht="16.5" customHeight="1" x14ac:dyDescent="0.35">
      <c r="A216" s="36" t="s">
        <v>574</v>
      </c>
      <c r="B216" s="51" t="s">
        <v>548</v>
      </c>
      <c r="C216" s="52" t="s">
        <v>513</v>
      </c>
      <c r="D216" s="52"/>
      <c r="E216" s="53">
        <v>24300000</v>
      </c>
      <c r="F216" s="39">
        <f t="shared" si="12"/>
        <v>1944000</v>
      </c>
      <c r="G216" s="40">
        <f t="shared" si="13"/>
        <v>26244000</v>
      </c>
      <c r="H216" s="41">
        <v>26244000</v>
      </c>
      <c r="I216" s="41"/>
      <c r="J216" s="42">
        <f t="shared" si="14"/>
        <v>0</v>
      </c>
      <c r="K216" s="54"/>
      <c r="L216" s="48"/>
      <c r="M216" s="48"/>
      <c r="N216" s="48"/>
      <c r="O216" s="45">
        <v>45862</v>
      </c>
      <c r="P216" s="46"/>
    </row>
    <row r="217" spans="1:16" ht="16.5" customHeight="1" x14ac:dyDescent="0.35">
      <c r="A217" s="36" t="s">
        <v>575</v>
      </c>
      <c r="B217" s="51" t="s">
        <v>549</v>
      </c>
      <c r="C217" s="52" t="s">
        <v>228</v>
      </c>
      <c r="D217" s="52"/>
      <c r="E217" s="53">
        <v>28030000</v>
      </c>
      <c r="F217" s="39">
        <f t="shared" si="12"/>
        <v>2242400</v>
      </c>
      <c r="G217" s="40">
        <f t="shared" si="13"/>
        <v>30272400</v>
      </c>
      <c r="H217" s="41">
        <v>30272400</v>
      </c>
      <c r="I217" s="41"/>
      <c r="J217" s="42">
        <f t="shared" si="14"/>
        <v>0</v>
      </c>
      <c r="K217" s="54"/>
      <c r="L217" s="48"/>
      <c r="M217" s="48"/>
      <c r="N217" s="48"/>
      <c r="O217" s="45">
        <v>45880</v>
      </c>
      <c r="P217" s="46"/>
    </row>
    <row r="218" spans="1:16" ht="16.5" customHeight="1" x14ac:dyDescent="0.35">
      <c r="A218" s="36" t="s">
        <v>576</v>
      </c>
      <c r="B218" s="51" t="s">
        <v>549</v>
      </c>
      <c r="C218" s="52" t="s">
        <v>514</v>
      </c>
      <c r="D218" s="52"/>
      <c r="E218" s="53">
        <v>2045000</v>
      </c>
      <c r="F218" s="39">
        <f t="shared" si="12"/>
        <v>163600</v>
      </c>
      <c r="G218" s="40">
        <f t="shared" si="13"/>
        <v>2208600</v>
      </c>
      <c r="H218" s="41">
        <v>2208600</v>
      </c>
      <c r="I218" s="41"/>
      <c r="J218" s="42">
        <f t="shared" si="14"/>
        <v>0</v>
      </c>
      <c r="K218" s="54"/>
      <c r="L218" s="48"/>
      <c r="M218" s="48"/>
      <c r="N218" s="48"/>
      <c r="O218" s="45">
        <v>45880</v>
      </c>
      <c r="P218" s="46"/>
    </row>
    <row r="219" spans="1:16" ht="16.5" customHeight="1" x14ac:dyDescent="0.35">
      <c r="A219" s="36" t="s">
        <v>577</v>
      </c>
      <c r="B219" s="51" t="s">
        <v>550</v>
      </c>
      <c r="C219" s="52" t="s">
        <v>515</v>
      </c>
      <c r="D219" s="52"/>
      <c r="E219" s="53">
        <v>29860000</v>
      </c>
      <c r="F219" s="39">
        <f t="shared" si="12"/>
        <v>2388800</v>
      </c>
      <c r="G219" s="40">
        <f t="shared" si="13"/>
        <v>32248800</v>
      </c>
      <c r="H219" s="40">
        <v>32248800</v>
      </c>
      <c r="I219" s="41"/>
      <c r="J219" s="42">
        <f t="shared" si="14"/>
        <v>0</v>
      </c>
      <c r="K219" s="54"/>
      <c r="L219" s="48"/>
      <c r="M219" s="48"/>
      <c r="N219" s="48"/>
      <c r="O219" s="45">
        <v>45880</v>
      </c>
      <c r="P219" s="46"/>
    </row>
    <row r="220" spans="1:16" ht="16.5" customHeight="1" x14ac:dyDescent="0.35">
      <c r="A220" s="36" t="s">
        <v>578</v>
      </c>
      <c r="B220" s="51" t="s">
        <v>551</v>
      </c>
      <c r="C220" s="52" t="s">
        <v>516</v>
      </c>
      <c r="D220" s="52"/>
      <c r="E220" s="53">
        <v>1005000</v>
      </c>
      <c r="F220" s="39">
        <f t="shared" si="12"/>
        <v>80400</v>
      </c>
      <c r="G220" s="40">
        <f t="shared" si="13"/>
        <v>1085400</v>
      </c>
      <c r="H220" s="41">
        <v>1085400</v>
      </c>
      <c r="I220" s="41"/>
      <c r="J220" s="42">
        <f t="shared" si="14"/>
        <v>0</v>
      </c>
      <c r="K220" s="54"/>
      <c r="L220" s="48"/>
      <c r="M220" s="48"/>
      <c r="N220" s="48"/>
      <c r="O220" s="45">
        <v>45894</v>
      </c>
      <c r="P220" s="46"/>
    </row>
    <row r="221" spans="1:16" ht="16.5" customHeight="1" x14ac:dyDescent="0.35">
      <c r="A221" s="36" t="s">
        <v>579</v>
      </c>
      <c r="B221" s="51" t="s">
        <v>551</v>
      </c>
      <c r="C221" s="52" t="s">
        <v>517</v>
      </c>
      <c r="D221" s="52"/>
      <c r="E221" s="53">
        <v>22130000</v>
      </c>
      <c r="F221" s="39">
        <f t="shared" si="12"/>
        <v>1770400</v>
      </c>
      <c r="G221" s="40">
        <f t="shared" si="13"/>
        <v>23900400</v>
      </c>
      <c r="H221" s="41">
        <v>23900400</v>
      </c>
      <c r="I221" s="41"/>
      <c r="J221" s="42">
        <f t="shared" si="14"/>
        <v>0</v>
      </c>
      <c r="K221" s="54"/>
      <c r="L221" s="48"/>
      <c r="M221" s="48"/>
      <c r="N221" s="48"/>
      <c r="O221" s="45">
        <v>45894</v>
      </c>
      <c r="P221" s="46"/>
    </row>
    <row r="222" spans="1:16" ht="16.5" customHeight="1" x14ac:dyDescent="0.35">
      <c r="A222" s="36" t="s">
        <v>580</v>
      </c>
      <c r="B222" s="51" t="s">
        <v>552</v>
      </c>
      <c r="C222" s="52" t="s">
        <v>518</v>
      </c>
      <c r="D222" s="52"/>
      <c r="E222" s="53">
        <v>1005000</v>
      </c>
      <c r="F222" s="39">
        <f t="shared" si="12"/>
        <v>80400</v>
      </c>
      <c r="G222" s="40">
        <f t="shared" si="13"/>
        <v>1085400</v>
      </c>
      <c r="H222" s="41">
        <v>1085400</v>
      </c>
      <c r="I222" s="41"/>
      <c r="J222" s="42">
        <f t="shared" si="14"/>
        <v>0</v>
      </c>
      <c r="K222" s="54"/>
      <c r="L222" s="48"/>
      <c r="M222" s="48"/>
      <c r="N222" s="48"/>
      <c r="O222" s="45">
        <v>45894</v>
      </c>
      <c r="P222" s="46"/>
    </row>
    <row r="223" spans="1:16" ht="16.5" customHeight="1" x14ac:dyDescent="0.35">
      <c r="A223" s="36" t="s">
        <v>581</v>
      </c>
      <c r="B223" s="51" t="s">
        <v>552</v>
      </c>
      <c r="C223" s="52" t="s">
        <v>519</v>
      </c>
      <c r="D223" s="52"/>
      <c r="E223" s="53">
        <v>26490000</v>
      </c>
      <c r="F223" s="39">
        <f t="shared" si="12"/>
        <v>2119200</v>
      </c>
      <c r="G223" s="40">
        <f t="shared" si="13"/>
        <v>28609200</v>
      </c>
      <c r="H223" s="41">
        <v>28609200</v>
      </c>
      <c r="I223" s="41"/>
      <c r="J223" s="42">
        <f t="shared" si="14"/>
        <v>0</v>
      </c>
      <c r="K223" s="54"/>
      <c r="L223" s="48"/>
      <c r="M223" s="48"/>
      <c r="N223" s="48"/>
      <c r="O223" s="45">
        <v>45894</v>
      </c>
      <c r="P223" s="46"/>
    </row>
    <row r="224" spans="1:16" ht="16.5" customHeight="1" x14ac:dyDescent="0.35">
      <c r="A224" s="36" t="s">
        <v>582</v>
      </c>
      <c r="B224" s="51" t="s">
        <v>552</v>
      </c>
      <c r="C224" s="52" t="s">
        <v>520</v>
      </c>
      <c r="D224" s="52"/>
      <c r="E224" s="53">
        <v>9055000</v>
      </c>
      <c r="F224" s="39">
        <f t="shared" si="12"/>
        <v>724400</v>
      </c>
      <c r="G224" s="40">
        <f t="shared" si="13"/>
        <v>9779400</v>
      </c>
      <c r="H224" s="41">
        <v>9779400</v>
      </c>
      <c r="I224" s="41"/>
      <c r="J224" s="42">
        <f t="shared" si="14"/>
        <v>0</v>
      </c>
      <c r="K224" s="54"/>
      <c r="L224" s="48"/>
      <c r="M224" s="48"/>
      <c r="N224" s="48"/>
      <c r="O224" s="45">
        <v>45894</v>
      </c>
      <c r="P224" s="46"/>
    </row>
    <row r="225" spans="1:16" ht="16.5" customHeight="1" x14ac:dyDescent="0.35">
      <c r="A225" s="36" t="s">
        <v>583</v>
      </c>
      <c r="B225" s="51" t="s">
        <v>553</v>
      </c>
      <c r="C225" s="52" t="s">
        <v>521</v>
      </c>
      <c r="D225" s="52"/>
      <c r="E225" s="53">
        <v>30190000</v>
      </c>
      <c r="F225" s="39">
        <f t="shared" si="12"/>
        <v>2415200</v>
      </c>
      <c r="G225" s="40">
        <f t="shared" si="13"/>
        <v>32605200</v>
      </c>
      <c r="H225" s="41">
        <v>32605200</v>
      </c>
      <c r="I225" s="41"/>
      <c r="J225" s="42">
        <f t="shared" si="14"/>
        <v>0</v>
      </c>
      <c r="K225" s="54"/>
      <c r="L225" s="48"/>
      <c r="M225" s="48"/>
      <c r="N225" s="48"/>
      <c r="O225" s="45">
        <v>45910</v>
      </c>
      <c r="P225" s="46"/>
    </row>
    <row r="226" spans="1:16" ht="16.5" customHeight="1" x14ac:dyDescent="0.35">
      <c r="A226" s="36" t="s">
        <v>584</v>
      </c>
      <c r="B226" s="51" t="s">
        <v>553</v>
      </c>
      <c r="C226" s="52" t="s">
        <v>522</v>
      </c>
      <c r="D226" s="52"/>
      <c r="E226" s="53">
        <v>7010000</v>
      </c>
      <c r="F226" s="39">
        <f t="shared" si="12"/>
        <v>560800</v>
      </c>
      <c r="G226" s="40">
        <f t="shared" si="13"/>
        <v>7570800</v>
      </c>
      <c r="H226" s="41">
        <v>7570800</v>
      </c>
      <c r="I226" s="41"/>
      <c r="J226" s="42">
        <f t="shared" si="14"/>
        <v>0</v>
      </c>
      <c r="K226" s="54"/>
      <c r="L226" s="48"/>
      <c r="M226" s="48"/>
      <c r="N226" s="48"/>
      <c r="O226" s="45">
        <v>45910</v>
      </c>
      <c r="P226" s="46"/>
    </row>
    <row r="227" spans="1:16" ht="16.5" customHeight="1" x14ac:dyDescent="0.35">
      <c r="A227" s="36" t="s">
        <v>585</v>
      </c>
      <c r="B227" s="51" t="s">
        <v>554</v>
      </c>
      <c r="C227" s="52" t="s">
        <v>523</v>
      </c>
      <c r="D227" s="52"/>
      <c r="E227" s="53">
        <v>34355000</v>
      </c>
      <c r="F227" s="39">
        <f t="shared" si="12"/>
        <v>2748400</v>
      </c>
      <c r="G227" s="40">
        <f t="shared" si="13"/>
        <v>37103400</v>
      </c>
      <c r="H227" s="41">
        <v>37103400</v>
      </c>
      <c r="I227" s="41"/>
      <c r="J227" s="42">
        <f t="shared" si="14"/>
        <v>0</v>
      </c>
      <c r="K227" s="54"/>
      <c r="L227" s="48"/>
      <c r="M227" s="48"/>
      <c r="N227" s="48"/>
      <c r="O227" s="45">
        <v>45910</v>
      </c>
      <c r="P227" s="46"/>
    </row>
    <row r="228" spans="1:16" ht="16.5" customHeight="1" x14ac:dyDescent="0.35">
      <c r="A228" s="36" t="s">
        <v>586</v>
      </c>
      <c r="B228" s="51" t="s">
        <v>554</v>
      </c>
      <c r="C228" s="52" t="s">
        <v>524</v>
      </c>
      <c r="D228" s="52"/>
      <c r="E228" s="53">
        <v>1040000</v>
      </c>
      <c r="F228" s="39">
        <f t="shared" si="12"/>
        <v>83200</v>
      </c>
      <c r="G228" s="40">
        <f t="shared" si="13"/>
        <v>1123200</v>
      </c>
      <c r="H228" s="41">
        <v>1123200</v>
      </c>
      <c r="I228" s="41"/>
      <c r="J228" s="42">
        <f t="shared" si="14"/>
        <v>0</v>
      </c>
      <c r="K228" s="54"/>
      <c r="L228" s="48"/>
      <c r="M228" s="48"/>
      <c r="N228" s="48"/>
      <c r="O228" s="45">
        <v>45910</v>
      </c>
      <c r="P228" s="46"/>
    </row>
    <row r="229" spans="1:16" ht="16.5" customHeight="1" x14ac:dyDescent="0.35">
      <c r="A229" s="36" t="s">
        <v>587</v>
      </c>
      <c r="B229" s="51" t="s">
        <v>555</v>
      </c>
      <c r="C229" s="52" t="s">
        <v>525</v>
      </c>
      <c r="D229" s="52"/>
      <c r="E229" s="53">
        <v>10150000</v>
      </c>
      <c r="F229" s="39">
        <f t="shared" si="12"/>
        <v>812000</v>
      </c>
      <c r="G229" s="40">
        <f t="shared" si="13"/>
        <v>10962000</v>
      </c>
      <c r="H229" s="41">
        <v>10962000</v>
      </c>
      <c r="I229" s="41"/>
      <c r="J229" s="42">
        <f t="shared" si="14"/>
        <v>0</v>
      </c>
      <c r="K229" s="54"/>
      <c r="L229" s="48"/>
      <c r="M229" s="48"/>
      <c r="N229" s="48"/>
      <c r="O229" s="45">
        <v>45924</v>
      </c>
      <c r="P229" s="46"/>
    </row>
    <row r="230" spans="1:16" ht="16.5" customHeight="1" x14ac:dyDescent="0.35">
      <c r="A230" s="36" t="s">
        <v>588</v>
      </c>
      <c r="B230" s="51" t="s">
        <v>555</v>
      </c>
      <c r="C230" s="52" t="s">
        <v>526</v>
      </c>
      <c r="D230" s="52"/>
      <c r="E230" s="53">
        <v>2010000</v>
      </c>
      <c r="F230" s="39">
        <f t="shared" si="12"/>
        <v>160800</v>
      </c>
      <c r="G230" s="40">
        <f t="shared" si="13"/>
        <v>2170800</v>
      </c>
      <c r="H230" s="41">
        <v>2170800</v>
      </c>
      <c r="I230" s="41"/>
      <c r="J230" s="42">
        <f t="shared" si="14"/>
        <v>0</v>
      </c>
      <c r="K230" s="54"/>
      <c r="L230" s="48"/>
      <c r="M230" s="48"/>
      <c r="N230" s="48"/>
      <c r="O230" s="45">
        <v>45924</v>
      </c>
      <c r="P230" s="46"/>
    </row>
    <row r="231" spans="1:16" ht="16.5" customHeight="1" x14ac:dyDescent="0.35">
      <c r="A231" s="36" t="s">
        <v>589</v>
      </c>
      <c r="B231" s="51" t="s">
        <v>556</v>
      </c>
      <c r="C231" s="52" t="s">
        <v>527</v>
      </c>
      <c r="D231" s="52"/>
      <c r="E231" s="53">
        <v>47435000</v>
      </c>
      <c r="F231" s="39">
        <f t="shared" si="12"/>
        <v>3794800</v>
      </c>
      <c r="G231" s="40">
        <f t="shared" si="13"/>
        <v>51229800</v>
      </c>
      <c r="H231" s="41">
        <v>51229800</v>
      </c>
      <c r="I231" s="41"/>
      <c r="J231" s="42">
        <f t="shared" si="14"/>
        <v>0</v>
      </c>
      <c r="K231" s="54"/>
      <c r="L231" s="48"/>
      <c r="M231" s="48"/>
      <c r="N231" s="48"/>
      <c r="O231" s="45">
        <v>45924</v>
      </c>
      <c r="P231" s="46"/>
    </row>
    <row r="232" spans="1:16" ht="16.5" customHeight="1" x14ac:dyDescent="0.35">
      <c r="A232" s="36" t="s">
        <v>590</v>
      </c>
      <c r="B232" s="51" t="s">
        <v>557</v>
      </c>
      <c r="C232" s="52" t="s">
        <v>528</v>
      </c>
      <c r="D232" s="52"/>
      <c r="E232" s="53">
        <v>3045000</v>
      </c>
      <c r="F232" s="39">
        <f t="shared" si="12"/>
        <v>243600</v>
      </c>
      <c r="G232" s="40">
        <f t="shared" si="13"/>
        <v>3288600</v>
      </c>
      <c r="H232" s="41">
        <v>3288600</v>
      </c>
      <c r="I232" s="41"/>
      <c r="J232" s="42">
        <f t="shared" si="14"/>
        <v>0</v>
      </c>
      <c r="K232" s="54"/>
      <c r="L232" s="48"/>
      <c r="M232" s="48"/>
      <c r="N232" s="48"/>
      <c r="O232" s="45">
        <v>45940</v>
      </c>
      <c r="P232" s="46"/>
    </row>
    <row r="233" spans="1:16" ht="16.5" customHeight="1" x14ac:dyDescent="0.35">
      <c r="A233" s="36" t="s">
        <v>591</v>
      </c>
      <c r="B233" s="51" t="s">
        <v>557</v>
      </c>
      <c r="C233" s="52" t="s">
        <v>529</v>
      </c>
      <c r="D233" s="52"/>
      <c r="E233" s="53">
        <v>32180000</v>
      </c>
      <c r="F233" s="39">
        <f t="shared" si="12"/>
        <v>2574400</v>
      </c>
      <c r="G233" s="40">
        <f t="shared" si="13"/>
        <v>34754400</v>
      </c>
      <c r="H233" s="41">
        <v>34754400</v>
      </c>
      <c r="I233" s="41"/>
      <c r="J233" s="42">
        <f t="shared" si="14"/>
        <v>0</v>
      </c>
      <c r="K233" s="54"/>
      <c r="L233" s="48"/>
      <c r="M233" s="48"/>
      <c r="N233" s="48"/>
      <c r="O233" s="45">
        <v>45940</v>
      </c>
      <c r="P233" s="46"/>
    </row>
    <row r="234" spans="1:16" ht="16.5" customHeight="1" x14ac:dyDescent="0.35">
      <c r="A234" s="36" t="s">
        <v>592</v>
      </c>
      <c r="B234" s="51" t="s">
        <v>557</v>
      </c>
      <c r="C234" s="52" t="s">
        <v>530</v>
      </c>
      <c r="D234" s="52"/>
      <c r="E234" s="53">
        <v>1040000</v>
      </c>
      <c r="F234" s="39">
        <f t="shared" si="12"/>
        <v>83200</v>
      </c>
      <c r="G234" s="40">
        <f t="shared" si="13"/>
        <v>1123200</v>
      </c>
      <c r="H234" s="41">
        <v>1123200</v>
      </c>
      <c r="I234" s="41"/>
      <c r="J234" s="42">
        <f t="shared" si="14"/>
        <v>0</v>
      </c>
      <c r="K234" s="54"/>
      <c r="L234" s="48"/>
      <c r="M234" s="48"/>
      <c r="N234" s="48"/>
      <c r="O234" s="45">
        <v>45940</v>
      </c>
      <c r="P234" s="46"/>
    </row>
    <row r="235" spans="1:16" ht="16.2" customHeight="1" x14ac:dyDescent="0.35">
      <c r="A235" s="36" t="s">
        <v>593</v>
      </c>
      <c r="B235" s="51" t="s">
        <v>557</v>
      </c>
      <c r="C235" s="52" t="s">
        <v>531</v>
      </c>
      <c r="D235" s="52"/>
      <c r="E235" s="53">
        <v>9110000</v>
      </c>
      <c r="F235" s="39">
        <f t="shared" si="12"/>
        <v>728800</v>
      </c>
      <c r="G235" s="40">
        <f t="shared" si="13"/>
        <v>9838800</v>
      </c>
      <c r="H235" s="41">
        <v>9838800</v>
      </c>
      <c r="I235" s="41"/>
      <c r="J235" s="42">
        <f t="shared" si="14"/>
        <v>0</v>
      </c>
      <c r="K235" s="54"/>
      <c r="L235" s="48"/>
      <c r="M235" s="48"/>
      <c r="N235" s="48"/>
      <c r="O235" s="45">
        <v>45940</v>
      </c>
      <c r="P235" s="46"/>
    </row>
    <row r="236" spans="1:16" s="82" customFormat="1" ht="16.5" customHeight="1" x14ac:dyDescent="0.35">
      <c r="A236" s="70" t="s">
        <v>594</v>
      </c>
      <c r="B236" s="71" t="s">
        <v>558</v>
      </c>
      <c r="C236" s="72" t="s">
        <v>532</v>
      </c>
      <c r="D236" s="72"/>
      <c r="E236" s="73">
        <v>27850000</v>
      </c>
      <c r="F236" s="74">
        <f t="shared" si="12"/>
        <v>2228000</v>
      </c>
      <c r="G236" s="75">
        <f t="shared" si="13"/>
        <v>30078000</v>
      </c>
      <c r="H236" s="76">
        <v>30078000</v>
      </c>
      <c r="I236" s="76"/>
      <c r="J236" s="77">
        <f t="shared" si="14"/>
        <v>0</v>
      </c>
      <c r="K236" s="78"/>
      <c r="L236" s="79"/>
      <c r="M236" s="79"/>
      <c r="N236" s="79"/>
      <c r="O236" s="80">
        <v>45954</v>
      </c>
      <c r="P236" s="81"/>
    </row>
    <row r="237" spans="1:16" s="82" customFormat="1" ht="16.5" customHeight="1" x14ac:dyDescent="0.35">
      <c r="A237" s="70" t="s">
        <v>595</v>
      </c>
      <c r="B237" s="71" t="s">
        <v>558</v>
      </c>
      <c r="C237" s="72" t="s">
        <v>533</v>
      </c>
      <c r="D237" s="72"/>
      <c r="E237" s="73">
        <v>7985000</v>
      </c>
      <c r="F237" s="74">
        <f t="shared" si="12"/>
        <v>638800</v>
      </c>
      <c r="G237" s="75">
        <f t="shared" si="13"/>
        <v>8623800</v>
      </c>
      <c r="H237" s="76">
        <v>8623800</v>
      </c>
      <c r="I237" s="76"/>
      <c r="J237" s="77">
        <f t="shared" si="14"/>
        <v>0</v>
      </c>
      <c r="K237" s="78"/>
      <c r="L237" s="79"/>
      <c r="M237" s="79"/>
      <c r="N237" s="79"/>
      <c r="O237" s="80">
        <v>45954</v>
      </c>
      <c r="P237" s="81"/>
    </row>
    <row r="238" spans="1:16" s="82" customFormat="1" ht="16.5" customHeight="1" x14ac:dyDescent="0.35">
      <c r="A238" s="70" t="s">
        <v>596</v>
      </c>
      <c r="B238" s="71" t="s">
        <v>559</v>
      </c>
      <c r="C238" s="72" t="s">
        <v>534</v>
      </c>
      <c r="D238" s="72"/>
      <c r="E238" s="73">
        <v>17180000</v>
      </c>
      <c r="F238" s="74">
        <f t="shared" si="12"/>
        <v>1374400</v>
      </c>
      <c r="G238" s="75">
        <f t="shared" si="13"/>
        <v>18554400</v>
      </c>
      <c r="H238" s="76">
        <v>18554400</v>
      </c>
      <c r="I238" s="76"/>
      <c r="J238" s="77">
        <f t="shared" si="14"/>
        <v>0</v>
      </c>
      <c r="K238" s="78"/>
      <c r="L238" s="79"/>
      <c r="M238" s="79"/>
      <c r="N238" s="79"/>
      <c r="O238" s="80">
        <v>45971</v>
      </c>
      <c r="P238" s="81"/>
    </row>
    <row r="239" spans="1:16" s="82" customFormat="1" ht="16.5" customHeight="1" x14ac:dyDescent="0.35">
      <c r="A239" s="70" t="s">
        <v>597</v>
      </c>
      <c r="B239" s="71" t="s">
        <v>559</v>
      </c>
      <c r="C239" s="72" t="s">
        <v>535</v>
      </c>
      <c r="D239" s="72"/>
      <c r="E239" s="73">
        <v>33920000</v>
      </c>
      <c r="F239" s="74">
        <f t="shared" si="12"/>
        <v>2713600</v>
      </c>
      <c r="G239" s="75">
        <f t="shared" si="13"/>
        <v>36633600</v>
      </c>
      <c r="H239" s="76">
        <v>36633600</v>
      </c>
      <c r="I239" s="76"/>
      <c r="J239" s="77">
        <f t="shared" si="14"/>
        <v>0</v>
      </c>
      <c r="K239" s="78"/>
      <c r="L239" s="79"/>
      <c r="M239" s="79"/>
      <c r="N239" s="79"/>
      <c r="O239" s="80">
        <v>45971</v>
      </c>
      <c r="P239" s="81"/>
    </row>
    <row r="240" spans="1:16" s="82" customFormat="1" ht="16.5" customHeight="1" x14ac:dyDescent="0.35">
      <c r="A240" s="70" t="s">
        <v>598</v>
      </c>
      <c r="B240" s="71" t="s">
        <v>559</v>
      </c>
      <c r="C240" s="72" t="s">
        <v>536</v>
      </c>
      <c r="D240" s="72"/>
      <c r="E240" s="73">
        <v>1005000</v>
      </c>
      <c r="F240" s="74">
        <f t="shared" si="12"/>
        <v>80400</v>
      </c>
      <c r="G240" s="75">
        <f t="shared" si="13"/>
        <v>1085400</v>
      </c>
      <c r="H240" s="76">
        <v>1085400</v>
      </c>
      <c r="I240" s="76"/>
      <c r="J240" s="77">
        <f t="shared" si="14"/>
        <v>0</v>
      </c>
      <c r="K240" s="78"/>
      <c r="L240" s="79"/>
      <c r="M240" s="79"/>
      <c r="N240" s="79"/>
      <c r="O240" s="80">
        <v>45971</v>
      </c>
      <c r="P240" s="81"/>
    </row>
    <row r="241" spans="1:16" s="82" customFormat="1" ht="16.5" customHeight="1" x14ac:dyDescent="0.35">
      <c r="A241" s="70" t="s">
        <v>599</v>
      </c>
      <c r="B241" s="71" t="s">
        <v>559</v>
      </c>
      <c r="C241" s="72" t="s">
        <v>537</v>
      </c>
      <c r="D241" s="72"/>
      <c r="E241" s="73">
        <v>15095000</v>
      </c>
      <c r="F241" s="74">
        <f t="shared" si="12"/>
        <v>1207600</v>
      </c>
      <c r="G241" s="75">
        <f t="shared" si="13"/>
        <v>16302600</v>
      </c>
      <c r="H241" s="76">
        <v>16302600</v>
      </c>
      <c r="I241" s="76"/>
      <c r="J241" s="77">
        <f t="shared" si="14"/>
        <v>0</v>
      </c>
      <c r="K241" s="78"/>
      <c r="L241" s="79"/>
      <c r="M241" s="79"/>
      <c r="N241" s="79"/>
      <c r="O241" s="80">
        <v>46213</v>
      </c>
      <c r="P241" s="81"/>
    </row>
    <row r="242" spans="1:16" s="82" customFormat="1" ht="16.5" customHeight="1" x14ac:dyDescent="0.35">
      <c r="A242" s="70" t="s">
        <v>600</v>
      </c>
      <c r="B242" s="71" t="s">
        <v>560</v>
      </c>
      <c r="C242" s="72" t="s">
        <v>538</v>
      </c>
      <c r="D242" s="72"/>
      <c r="E242" s="73">
        <v>20975000</v>
      </c>
      <c r="F242" s="74">
        <f t="shared" si="12"/>
        <v>1678000</v>
      </c>
      <c r="G242" s="75">
        <f t="shared" si="13"/>
        <v>22653000</v>
      </c>
      <c r="H242" s="76">
        <v>22653000</v>
      </c>
      <c r="I242" s="76"/>
      <c r="J242" s="77">
        <f t="shared" si="14"/>
        <v>0</v>
      </c>
      <c r="K242" s="78"/>
      <c r="L242" s="79"/>
      <c r="M242" s="79"/>
      <c r="N242" s="79"/>
      <c r="O242" s="80">
        <v>46213</v>
      </c>
      <c r="P242" s="81"/>
    </row>
    <row r="243" spans="1:16" ht="16.5" customHeight="1" x14ac:dyDescent="0.35">
      <c r="A243" s="36" t="s">
        <v>601</v>
      </c>
      <c r="B243" s="51" t="s">
        <v>561</v>
      </c>
      <c r="C243" s="52" t="s">
        <v>539</v>
      </c>
      <c r="D243" s="52"/>
      <c r="E243" s="53">
        <v>18925000</v>
      </c>
      <c r="F243" s="39">
        <f t="shared" si="12"/>
        <v>1514000</v>
      </c>
      <c r="G243" s="40">
        <f t="shared" si="13"/>
        <v>20439000</v>
      </c>
      <c r="H243" s="41">
        <v>20439000</v>
      </c>
      <c r="I243" s="41"/>
      <c r="J243" s="42">
        <f t="shared" si="14"/>
        <v>0</v>
      </c>
      <c r="K243" s="54"/>
      <c r="L243" s="48"/>
      <c r="M243" s="48"/>
      <c r="N243" s="48"/>
      <c r="O243" s="45">
        <v>45985</v>
      </c>
      <c r="P243" s="46"/>
    </row>
    <row r="244" spans="1:16" ht="16.5" customHeight="1" x14ac:dyDescent="0.35">
      <c r="A244" s="36" t="s">
        <v>602</v>
      </c>
      <c r="B244" s="51" t="s">
        <v>562</v>
      </c>
      <c r="C244" s="52" t="s">
        <v>540</v>
      </c>
      <c r="D244" s="52"/>
      <c r="E244" s="53">
        <v>10115000</v>
      </c>
      <c r="F244" s="39">
        <f t="shared" si="12"/>
        <v>809200</v>
      </c>
      <c r="G244" s="40">
        <f t="shared" si="13"/>
        <v>10924200</v>
      </c>
      <c r="H244" s="41">
        <v>10924200</v>
      </c>
      <c r="I244" s="41"/>
      <c r="J244" s="42">
        <f t="shared" si="14"/>
        <v>0</v>
      </c>
      <c r="K244" s="54"/>
      <c r="L244" s="48"/>
      <c r="M244" s="48"/>
      <c r="N244" s="48"/>
      <c r="O244" s="45">
        <v>45985</v>
      </c>
      <c r="P244" s="46"/>
    </row>
    <row r="245" spans="1:16" ht="16.5" customHeight="1" x14ac:dyDescent="0.35">
      <c r="A245" s="36" t="s">
        <v>607</v>
      </c>
      <c r="B245" s="51" t="s">
        <v>603</v>
      </c>
      <c r="C245" s="52" t="s">
        <v>604</v>
      </c>
      <c r="D245" s="52"/>
      <c r="E245" s="53">
        <v>17095000</v>
      </c>
      <c r="F245" s="39">
        <f t="shared" si="12"/>
        <v>1367600</v>
      </c>
      <c r="G245" s="40">
        <f t="shared" si="13"/>
        <v>18462600</v>
      </c>
      <c r="H245" s="41">
        <v>18462600</v>
      </c>
      <c r="I245" s="41"/>
      <c r="J245" s="42">
        <f t="shared" si="14"/>
        <v>0</v>
      </c>
      <c r="K245" s="54"/>
      <c r="L245" s="48"/>
      <c r="M245" s="48"/>
      <c r="N245" s="48"/>
      <c r="O245" s="45">
        <v>46001</v>
      </c>
      <c r="P245" s="46"/>
    </row>
    <row r="246" spans="1:16" ht="16.5" customHeight="1" x14ac:dyDescent="0.35">
      <c r="A246" s="36" t="s">
        <v>608</v>
      </c>
      <c r="B246" s="51" t="s">
        <v>603</v>
      </c>
      <c r="C246" s="52" t="s">
        <v>605</v>
      </c>
      <c r="D246" s="52"/>
      <c r="E246" s="53">
        <v>20240000</v>
      </c>
      <c r="F246" s="39">
        <f t="shared" si="12"/>
        <v>1619200</v>
      </c>
      <c r="G246" s="40">
        <f t="shared" si="13"/>
        <v>21859200</v>
      </c>
      <c r="H246" s="41">
        <v>21859200</v>
      </c>
      <c r="I246" s="41"/>
      <c r="J246" s="42">
        <f t="shared" si="14"/>
        <v>0</v>
      </c>
      <c r="K246" s="54"/>
      <c r="L246" s="48"/>
      <c r="M246" s="48"/>
      <c r="N246" s="48"/>
      <c r="O246" s="45">
        <v>46001</v>
      </c>
      <c r="P246" s="46"/>
    </row>
    <row r="247" spans="1:16" ht="16.5" customHeight="1" x14ac:dyDescent="0.35">
      <c r="A247" s="36" t="s">
        <v>609</v>
      </c>
      <c r="B247" s="51" t="s">
        <v>603</v>
      </c>
      <c r="C247" s="52" t="s">
        <v>606</v>
      </c>
      <c r="D247" s="52"/>
      <c r="E247" s="53">
        <v>4970000</v>
      </c>
      <c r="F247" s="39">
        <f t="shared" si="12"/>
        <v>397600</v>
      </c>
      <c r="G247" s="40">
        <f t="shared" si="13"/>
        <v>5367600</v>
      </c>
      <c r="H247" s="41">
        <v>5367600</v>
      </c>
      <c r="I247" s="41"/>
      <c r="J247" s="42">
        <f t="shared" si="14"/>
        <v>0</v>
      </c>
      <c r="K247" s="54"/>
      <c r="L247" s="48"/>
      <c r="M247" s="48"/>
      <c r="N247" s="48"/>
      <c r="O247" s="45">
        <v>46001</v>
      </c>
      <c r="P247" s="46"/>
    </row>
    <row r="248" spans="1:16" ht="16.5" customHeight="1" x14ac:dyDescent="0.35">
      <c r="A248" s="36"/>
      <c r="B248" s="51">
        <v>45980</v>
      </c>
      <c r="C248" s="52" t="s">
        <v>611</v>
      </c>
      <c r="D248" s="52"/>
      <c r="E248" s="53">
        <v>-963000</v>
      </c>
      <c r="F248" s="39">
        <f t="shared" si="12"/>
        <v>-77040</v>
      </c>
      <c r="G248" s="40">
        <f t="shared" si="13"/>
        <v>-1040040</v>
      </c>
      <c r="H248" s="41">
        <v>-1040040</v>
      </c>
      <c r="I248" s="41"/>
      <c r="J248" s="42">
        <f t="shared" si="14"/>
        <v>0</v>
      </c>
      <c r="K248" s="54"/>
      <c r="L248" s="48"/>
      <c r="M248" s="48"/>
      <c r="N248" s="48"/>
      <c r="O248" s="45"/>
      <c r="P248" s="46"/>
    </row>
    <row r="249" spans="1:16" ht="16.5" customHeight="1" x14ac:dyDescent="0.35">
      <c r="A249" s="36" t="s">
        <v>646</v>
      </c>
      <c r="B249" s="51" t="s">
        <v>637</v>
      </c>
      <c r="C249" s="52" t="s">
        <v>612</v>
      </c>
      <c r="D249" s="52"/>
      <c r="E249" s="53">
        <v>6125000</v>
      </c>
      <c r="F249" s="39">
        <f t="shared" si="12"/>
        <v>490000</v>
      </c>
      <c r="G249" s="40">
        <f t="shared" si="13"/>
        <v>6615000</v>
      </c>
      <c r="H249" s="41">
        <v>6615000</v>
      </c>
      <c r="I249" s="41"/>
      <c r="J249" s="42">
        <f t="shared" si="14"/>
        <v>0</v>
      </c>
      <c r="K249" s="54"/>
      <c r="L249" s="48"/>
      <c r="M249" s="48"/>
      <c r="N249" s="48"/>
      <c r="O249" s="45">
        <v>46015</v>
      </c>
      <c r="P249" s="46"/>
    </row>
    <row r="250" spans="1:16" ht="16.5" customHeight="1" x14ac:dyDescent="0.35">
      <c r="A250" s="36" t="s">
        <v>647</v>
      </c>
      <c r="B250" s="51" t="s">
        <v>637</v>
      </c>
      <c r="C250" s="52" t="s">
        <v>613</v>
      </c>
      <c r="D250" s="52"/>
      <c r="E250" s="53">
        <v>3050000</v>
      </c>
      <c r="F250" s="39">
        <f t="shared" si="12"/>
        <v>244000</v>
      </c>
      <c r="G250" s="40">
        <f t="shared" si="13"/>
        <v>3294000</v>
      </c>
      <c r="H250" s="41">
        <v>3294000</v>
      </c>
      <c r="I250" s="41"/>
      <c r="J250" s="42">
        <f t="shared" si="14"/>
        <v>0</v>
      </c>
      <c r="K250" s="54"/>
      <c r="L250" s="48"/>
      <c r="M250" s="48"/>
      <c r="N250" s="48"/>
      <c r="O250" s="45">
        <v>46015</v>
      </c>
      <c r="P250" s="46"/>
    </row>
    <row r="251" spans="1:16" ht="16.5" customHeight="1" x14ac:dyDescent="0.35">
      <c r="A251" s="36" t="s">
        <v>648</v>
      </c>
      <c r="B251" s="51" t="s">
        <v>637</v>
      </c>
      <c r="C251" s="52" t="s">
        <v>614</v>
      </c>
      <c r="D251" s="52"/>
      <c r="E251" s="53">
        <v>24110000</v>
      </c>
      <c r="F251" s="39">
        <f t="shared" si="12"/>
        <v>1928800</v>
      </c>
      <c r="G251" s="40">
        <f t="shared" si="13"/>
        <v>26038800</v>
      </c>
      <c r="H251" s="41">
        <v>26038800</v>
      </c>
      <c r="I251" s="41"/>
      <c r="J251" s="42">
        <f t="shared" si="14"/>
        <v>0</v>
      </c>
      <c r="K251" s="54"/>
      <c r="L251" s="48"/>
      <c r="M251" s="48"/>
      <c r="N251" s="48"/>
      <c r="O251" s="45">
        <v>46015</v>
      </c>
      <c r="P251" s="46"/>
    </row>
    <row r="252" spans="1:16" ht="16.5" customHeight="1" x14ac:dyDescent="0.35">
      <c r="A252" s="36" t="s">
        <v>649</v>
      </c>
      <c r="B252" s="51" t="s">
        <v>638</v>
      </c>
      <c r="C252" s="52" t="s">
        <v>615</v>
      </c>
      <c r="D252" s="52"/>
      <c r="E252" s="53">
        <v>29015000</v>
      </c>
      <c r="F252" s="39">
        <f t="shared" si="12"/>
        <v>2321200</v>
      </c>
      <c r="G252" s="40">
        <f t="shared" si="13"/>
        <v>31336200</v>
      </c>
      <c r="H252" s="41">
        <v>31336200</v>
      </c>
      <c r="I252" s="41"/>
      <c r="J252" s="42">
        <f t="shared" si="14"/>
        <v>0</v>
      </c>
      <c r="K252" s="54"/>
      <c r="L252" s="48"/>
      <c r="M252" s="48"/>
      <c r="N252" s="48"/>
      <c r="O252" s="45">
        <v>46015</v>
      </c>
      <c r="P252" s="46"/>
    </row>
    <row r="253" spans="1:16" ht="16.5" customHeight="1" x14ac:dyDescent="0.35">
      <c r="A253" s="36" t="s">
        <v>650</v>
      </c>
      <c r="B253" s="51" t="s">
        <v>639</v>
      </c>
      <c r="C253" s="52" t="s">
        <v>616</v>
      </c>
      <c r="D253" s="52"/>
      <c r="E253" s="53">
        <v>16120000</v>
      </c>
      <c r="F253" s="39">
        <f t="shared" si="12"/>
        <v>1289600</v>
      </c>
      <c r="G253" s="40">
        <f t="shared" si="13"/>
        <v>17409600</v>
      </c>
      <c r="H253" s="41">
        <v>17409600</v>
      </c>
      <c r="I253" s="41"/>
      <c r="J253" s="42">
        <f t="shared" si="14"/>
        <v>0</v>
      </c>
      <c r="K253" s="54"/>
      <c r="L253" s="48"/>
      <c r="M253" s="48"/>
      <c r="N253" s="48"/>
      <c r="O253" s="45">
        <v>46034</v>
      </c>
      <c r="P253" s="46"/>
    </row>
    <row r="254" spans="1:16" ht="16.5" customHeight="1" x14ac:dyDescent="0.35">
      <c r="A254" s="36" t="s">
        <v>651</v>
      </c>
      <c r="B254" s="51" t="s">
        <v>639</v>
      </c>
      <c r="C254" s="52" t="s">
        <v>617</v>
      </c>
      <c r="D254" s="52"/>
      <c r="E254" s="53">
        <v>1005000</v>
      </c>
      <c r="F254" s="39">
        <f t="shared" si="12"/>
        <v>80400</v>
      </c>
      <c r="G254" s="40">
        <f t="shared" si="13"/>
        <v>1085400</v>
      </c>
      <c r="H254" s="41">
        <v>1085400</v>
      </c>
      <c r="I254" s="41"/>
      <c r="J254" s="42">
        <f t="shared" si="14"/>
        <v>0</v>
      </c>
      <c r="K254" s="54"/>
      <c r="L254" s="48"/>
      <c r="M254" s="48"/>
      <c r="N254" s="48"/>
      <c r="O254" s="45">
        <v>46034</v>
      </c>
      <c r="P254" s="46"/>
    </row>
    <row r="255" spans="1:16" ht="16.5" customHeight="1" x14ac:dyDescent="0.35">
      <c r="A255" s="36" t="s">
        <v>652</v>
      </c>
      <c r="B255" s="51" t="s">
        <v>640</v>
      </c>
      <c r="C255" s="52" t="s">
        <v>618</v>
      </c>
      <c r="D255" s="52"/>
      <c r="E255" s="53">
        <v>24960000</v>
      </c>
      <c r="F255" s="39">
        <f t="shared" si="12"/>
        <v>1996800</v>
      </c>
      <c r="G255" s="40">
        <f t="shared" si="13"/>
        <v>26956800</v>
      </c>
      <c r="H255" s="41">
        <v>26956800</v>
      </c>
      <c r="I255" s="41"/>
      <c r="J255" s="42">
        <f t="shared" si="14"/>
        <v>0</v>
      </c>
      <c r="K255" s="54"/>
      <c r="L255" s="48"/>
      <c r="M255" s="48"/>
      <c r="N255" s="48"/>
      <c r="O255" s="45">
        <v>46034</v>
      </c>
      <c r="P255" s="46"/>
    </row>
    <row r="256" spans="1:16" ht="16.5" customHeight="1" x14ac:dyDescent="0.35">
      <c r="A256" s="36" t="s">
        <v>653</v>
      </c>
      <c r="B256" s="51" t="s">
        <v>640</v>
      </c>
      <c r="C256" s="52" t="s">
        <v>619</v>
      </c>
      <c r="D256" s="52"/>
      <c r="E256" s="53">
        <v>1005000</v>
      </c>
      <c r="F256" s="39">
        <f t="shared" si="12"/>
        <v>80400</v>
      </c>
      <c r="G256" s="40">
        <f t="shared" si="13"/>
        <v>1085400</v>
      </c>
      <c r="H256" s="41">
        <v>1085400</v>
      </c>
      <c r="I256" s="41"/>
      <c r="J256" s="42">
        <f t="shared" si="14"/>
        <v>0</v>
      </c>
      <c r="K256" s="54"/>
      <c r="L256" s="48"/>
      <c r="M256" s="48"/>
      <c r="N256" s="48"/>
      <c r="O256" s="45">
        <v>46034</v>
      </c>
      <c r="P256" s="46"/>
    </row>
    <row r="257" spans="1:16" ht="16.5" customHeight="1" x14ac:dyDescent="0.35">
      <c r="A257" s="36" t="s">
        <v>654</v>
      </c>
      <c r="B257" s="51" t="s">
        <v>640</v>
      </c>
      <c r="C257" s="52" t="s">
        <v>620</v>
      </c>
      <c r="D257" s="52"/>
      <c r="E257" s="53">
        <v>1005000</v>
      </c>
      <c r="F257" s="39">
        <f t="shared" ref="F257:F320" si="15">+E257*0.08</f>
        <v>80400</v>
      </c>
      <c r="G257" s="40">
        <f t="shared" ref="G257:G320" si="16">E257+F257</f>
        <v>1085400</v>
      </c>
      <c r="H257" s="41">
        <v>1085400</v>
      </c>
      <c r="I257" s="41"/>
      <c r="J257" s="42">
        <f t="shared" si="14"/>
        <v>0</v>
      </c>
      <c r="K257" s="54"/>
      <c r="L257" s="48"/>
      <c r="M257" s="48"/>
      <c r="N257" s="48"/>
      <c r="O257" s="45">
        <v>46034</v>
      </c>
      <c r="P257" s="46"/>
    </row>
    <row r="258" spans="1:16" ht="16.5" customHeight="1" x14ac:dyDescent="0.35">
      <c r="A258" s="36" t="s">
        <v>655</v>
      </c>
      <c r="B258" s="51" t="s">
        <v>641</v>
      </c>
      <c r="C258" s="52" t="s">
        <v>621</v>
      </c>
      <c r="D258" s="52"/>
      <c r="E258" s="53">
        <v>20240000</v>
      </c>
      <c r="F258" s="39">
        <f t="shared" si="15"/>
        <v>1619200</v>
      </c>
      <c r="G258" s="40">
        <f t="shared" si="16"/>
        <v>21859200</v>
      </c>
      <c r="H258" s="41">
        <v>21859200</v>
      </c>
      <c r="I258" s="41"/>
      <c r="J258" s="42">
        <f t="shared" si="14"/>
        <v>0</v>
      </c>
      <c r="K258" s="54"/>
      <c r="L258" s="48"/>
      <c r="M258" s="48"/>
      <c r="N258" s="48"/>
      <c r="O258" s="45">
        <v>46048</v>
      </c>
      <c r="P258" s="46"/>
    </row>
    <row r="259" spans="1:16" ht="16.5" customHeight="1" x14ac:dyDescent="0.35">
      <c r="A259" s="36" t="s">
        <v>656</v>
      </c>
      <c r="B259" s="51" t="s">
        <v>642</v>
      </c>
      <c r="C259" s="52" t="s">
        <v>622</v>
      </c>
      <c r="D259" s="52"/>
      <c r="E259" s="53">
        <v>3015000</v>
      </c>
      <c r="F259" s="39">
        <f t="shared" si="15"/>
        <v>241200</v>
      </c>
      <c r="G259" s="40">
        <f t="shared" si="16"/>
        <v>3256200</v>
      </c>
      <c r="H259" s="41">
        <v>3256200</v>
      </c>
      <c r="I259" s="41"/>
      <c r="J259" s="42">
        <f t="shared" si="14"/>
        <v>0</v>
      </c>
      <c r="K259" s="54"/>
      <c r="L259" s="48"/>
      <c r="M259" s="48"/>
      <c r="N259" s="48"/>
      <c r="O259" s="45">
        <v>46213</v>
      </c>
      <c r="P259" s="46"/>
    </row>
    <row r="260" spans="1:16" ht="16.5" customHeight="1" x14ac:dyDescent="0.35">
      <c r="A260" s="36" t="s">
        <v>657</v>
      </c>
      <c r="B260" s="51" t="s">
        <v>642</v>
      </c>
      <c r="C260" s="52" t="s">
        <v>623</v>
      </c>
      <c r="D260" s="52"/>
      <c r="E260" s="53">
        <v>195470000</v>
      </c>
      <c r="F260" s="39">
        <f t="shared" si="15"/>
        <v>15637600</v>
      </c>
      <c r="G260" s="40">
        <f t="shared" si="16"/>
        <v>211107600</v>
      </c>
      <c r="H260" s="41">
        <v>211107600</v>
      </c>
      <c r="I260" s="41"/>
      <c r="J260" s="42">
        <f t="shared" si="14"/>
        <v>0</v>
      </c>
      <c r="K260" s="54"/>
      <c r="L260" s="48"/>
      <c r="M260" s="48"/>
      <c r="N260" s="48"/>
      <c r="O260" s="45">
        <v>46213</v>
      </c>
      <c r="P260" s="46"/>
    </row>
    <row r="261" spans="1:16" ht="16.5" customHeight="1" x14ac:dyDescent="0.35">
      <c r="A261" s="36" t="s">
        <v>658</v>
      </c>
      <c r="B261" s="51" t="s">
        <v>642</v>
      </c>
      <c r="C261" s="52" t="s">
        <v>624</v>
      </c>
      <c r="D261" s="52"/>
      <c r="E261" s="53">
        <v>4080000</v>
      </c>
      <c r="F261" s="39">
        <f t="shared" si="15"/>
        <v>326400</v>
      </c>
      <c r="G261" s="40">
        <f t="shared" si="16"/>
        <v>4406400</v>
      </c>
      <c r="H261" s="41">
        <v>4406400</v>
      </c>
      <c r="I261" s="41"/>
      <c r="J261" s="42">
        <f t="shared" si="14"/>
        <v>0</v>
      </c>
      <c r="K261" s="54"/>
      <c r="L261" s="48"/>
      <c r="M261" s="48"/>
      <c r="N261" s="48"/>
      <c r="O261" s="45">
        <v>46213</v>
      </c>
      <c r="P261" s="46"/>
    </row>
    <row r="262" spans="1:16" ht="16.5" customHeight="1" x14ac:dyDescent="0.35">
      <c r="A262" s="36" t="s">
        <v>659</v>
      </c>
      <c r="B262" s="51" t="s">
        <v>643</v>
      </c>
      <c r="C262" s="52" t="s">
        <v>625</v>
      </c>
      <c r="D262" s="52"/>
      <c r="E262" s="53">
        <v>154980000</v>
      </c>
      <c r="F262" s="39">
        <f t="shared" si="15"/>
        <v>12398400</v>
      </c>
      <c r="G262" s="40">
        <f t="shared" si="16"/>
        <v>167378400</v>
      </c>
      <c r="H262" s="41">
        <v>167378400</v>
      </c>
      <c r="I262" s="41"/>
      <c r="J262" s="42">
        <f t="shared" si="14"/>
        <v>0</v>
      </c>
      <c r="K262" s="54"/>
      <c r="L262" s="48"/>
      <c r="M262" s="48"/>
      <c r="N262" s="48"/>
      <c r="O262" s="45">
        <v>46048</v>
      </c>
      <c r="P262" s="46"/>
    </row>
    <row r="263" spans="1:16" ht="16.5" customHeight="1" x14ac:dyDescent="0.35">
      <c r="A263" s="36" t="s">
        <v>660</v>
      </c>
      <c r="B263" s="51" t="s">
        <v>643</v>
      </c>
      <c r="C263" s="52" t="s">
        <v>626</v>
      </c>
      <c r="D263" s="52"/>
      <c r="E263" s="53">
        <v>1005000</v>
      </c>
      <c r="F263" s="39">
        <f t="shared" si="15"/>
        <v>80400</v>
      </c>
      <c r="G263" s="40">
        <f t="shared" si="16"/>
        <v>1085400</v>
      </c>
      <c r="H263" s="41">
        <v>1085400</v>
      </c>
      <c r="I263" s="41"/>
      <c r="J263" s="42">
        <f t="shared" si="14"/>
        <v>0</v>
      </c>
      <c r="K263" s="54"/>
      <c r="L263" s="48"/>
      <c r="M263" s="48"/>
      <c r="N263" s="48"/>
      <c r="O263" s="45">
        <v>46048</v>
      </c>
      <c r="P263" s="46"/>
    </row>
    <row r="264" spans="1:16" ht="16.5" customHeight="1" x14ac:dyDescent="0.35">
      <c r="A264" s="36" t="s">
        <v>661</v>
      </c>
      <c r="B264" s="51" t="s">
        <v>643</v>
      </c>
      <c r="C264" s="52" t="s">
        <v>627</v>
      </c>
      <c r="D264" s="52"/>
      <c r="E264" s="53">
        <v>2925000</v>
      </c>
      <c r="F264" s="39">
        <f t="shared" si="15"/>
        <v>234000</v>
      </c>
      <c r="G264" s="40">
        <f t="shared" si="16"/>
        <v>3159000</v>
      </c>
      <c r="H264" s="41">
        <v>3159000</v>
      </c>
      <c r="I264" s="41"/>
      <c r="J264" s="42">
        <f t="shared" si="14"/>
        <v>0</v>
      </c>
      <c r="K264" s="54"/>
      <c r="L264" s="48"/>
      <c r="M264" s="48"/>
      <c r="N264" s="48"/>
      <c r="O264" s="45">
        <v>46048</v>
      </c>
      <c r="P264" s="46"/>
    </row>
    <row r="265" spans="1:16" ht="16.5" customHeight="1" x14ac:dyDescent="0.35">
      <c r="A265" s="36" t="s">
        <v>662</v>
      </c>
      <c r="B265" s="51" t="s">
        <v>644</v>
      </c>
      <c r="C265" s="52" t="s">
        <v>628</v>
      </c>
      <c r="D265" s="52"/>
      <c r="E265" s="53">
        <v>134367000</v>
      </c>
      <c r="F265" s="39">
        <f t="shared" si="15"/>
        <v>10749360</v>
      </c>
      <c r="G265" s="40">
        <f t="shared" si="16"/>
        <v>145116360</v>
      </c>
      <c r="H265" s="41">
        <v>145116360</v>
      </c>
      <c r="I265" s="41"/>
      <c r="J265" s="42">
        <f t="shared" si="14"/>
        <v>0</v>
      </c>
      <c r="K265" s="54"/>
      <c r="L265" s="48"/>
      <c r="M265" s="48"/>
      <c r="N265" s="48"/>
      <c r="O265" s="45">
        <v>46153</v>
      </c>
      <c r="P265" s="46"/>
    </row>
    <row r="266" spans="1:16" ht="16.5" customHeight="1" x14ac:dyDescent="0.35">
      <c r="A266" s="36" t="s">
        <v>663</v>
      </c>
      <c r="B266" s="51" t="s">
        <v>645</v>
      </c>
      <c r="C266" s="52" t="s">
        <v>629</v>
      </c>
      <c r="D266" s="52"/>
      <c r="E266" s="53">
        <v>131478000</v>
      </c>
      <c r="F266" s="39">
        <f t="shared" si="15"/>
        <v>10518240</v>
      </c>
      <c r="G266" s="40">
        <f t="shared" si="16"/>
        <v>141996240</v>
      </c>
      <c r="H266" s="41">
        <v>141996240</v>
      </c>
      <c r="I266" s="41"/>
      <c r="J266" s="42">
        <f t="shared" si="14"/>
        <v>0</v>
      </c>
      <c r="K266" s="54"/>
      <c r="L266" s="48"/>
      <c r="M266" s="48"/>
      <c r="N266" s="48"/>
      <c r="O266" s="45">
        <v>46153</v>
      </c>
      <c r="P266" s="46"/>
    </row>
    <row r="267" spans="1:16" ht="16.5" customHeight="1" x14ac:dyDescent="0.35">
      <c r="A267" s="36" t="s">
        <v>664</v>
      </c>
      <c r="B267" s="51" t="s">
        <v>645</v>
      </c>
      <c r="C267" s="52" t="s">
        <v>630</v>
      </c>
      <c r="D267" s="52"/>
      <c r="E267" s="53">
        <v>3040000</v>
      </c>
      <c r="F267" s="39">
        <f t="shared" si="15"/>
        <v>243200</v>
      </c>
      <c r="G267" s="40">
        <f t="shared" si="16"/>
        <v>3283200</v>
      </c>
      <c r="H267" s="41">
        <v>3283200</v>
      </c>
      <c r="I267" s="41"/>
      <c r="J267" s="42">
        <f t="shared" si="14"/>
        <v>0</v>
      </c>
      <c r="K267" s="54"/>
      <c r="L267" s="48"/>
      <c r="M267" s="48"/>
      <c r="N267" s="48"/>
      <c r="O267" s="45">
        <v>46063</v>
      </c>
      <c r="P267" s="46"/>
    </row>
    <row r="268" spans="1:16" ht="16.5" customHeight="1" x14ac:dyDescent="0.35">
      <c r="A268" s="36" t="s">
        <v>665</v>
      </c>
      <c r="B268" s="51" t="s">
        <v>645</v>
      </c>
      <c r="C268" s="52" t="s">
        <v>631</v>
      </c>
      <c r="D268" s="52"/>
      <c r="E268" s="53">
        <v>31920000</v>
      </c>
      <c r="F268" s="39">
        <f t="shared" si="15"/>
        <v>2553600</v>
      </c>
      <c r="G268" s="40">
        <f t="shared" si="16"/>
        <v>34473600</v>
      </c>
      <c r="H268" s="41">
        <v>34473600</v>
      </c>
      <c r="I268" s="41"/>
      <c r="J268" s="42">
        <f t="shared" si="14"/>
        <v>0</v>
      </c>
      <c r="K268" s="54"/>
      <c r="L268" s="48"/>
      <c r="M268" s="48"/>
      <c r="N268" s="48"/>
      <c r="O268" s="45">
        <v>46063</v>
      </c>
      <c r="P268" s="46"/>
    </row>
    <row r="269" spans="1:16" ht="16.5" customHeight="1" x14ac:dyDescent="0.35">
      <c r="A269" s="36" t="s">
        <v>666</v>
      </c>
      <c r="B269" s="51" t="s">
        <v>645</v>
      </c>
      <c r="C269" s="52" t="s">
        <v>632</v>
      </c>
      <c r="D269" s="52"/>
      <c r="E269" s="53">
        <v>157300000</v>
      </c>
      <c r="F269" s="39">
        <f t="shared" si="15"/>
        <v>12584000</v>
      </c>
      <c r="G269" s="40">
        <f t="shared" si="16"/>
        <v>169884000</v>
      </c>
      <c r="H269" s="41">
        <v>169884000</v>
      </c>
      <c r="I269" s="41"/>
      <c r="J269" s="42">
        <f t="shared" si="14"/>
        <v>0</v>
      </c>
      <c r="K269" s="54"/>
      <c r="L269" s="48"/>
      <c r="M269" s="48"/>
      <c r="N269" s="48"/>
      <c r="O269" s="45">
        <v>46153</v>
      </c>
      <c r="P269" s="46"/>
    </row>
    <row r="270" spans="1:16" ht="16.5" customHeight="1" x14ac:dyDescent="0.35">
      <c r="A270" s="36" t="s">
        <v>667</v>
      </c>
      <c r="B270" s="51" t="s">
        <v>645</v>
      </c>
      <c r="C270" s="52" t="s">
        <v>633</v>
      </c>
      <c r="D270" s="52"/>
      <c r="E270" s="53">
        <v>251620000</v>
      </c>
      <c r="F270" s="39">
        <f t="shared" si="15"/>
        <v>20129600</v>
      </c>
      <c r="G270" s="40">
        <f t="shared" si="16"/>
        <v>271749600</v>
      </c>
      <c r="H270" s="41">
        <v>271749600</v>
      </c>
      <c r="I270" s="41"/>
      <c r="J270" s="42">
        <f t="shared" ref="J270:J333" si="17">G270-H270</f>
        <v>0</v>
      </c>
      <c r="K270" s="54"/>
      <c r="L270" s="48"/>
      <c r="M270" s="48"/>
      <c r="N270" s="48"/>
      <c r="O270" s="45">
        <v>46153</v>
      </c>
      <c r="P270" s="46"/>
    </row>
    <row r="271" spans="1:16" ht="16.5" customHeight="1" x14ac:dyDescent="0.35">
      <c r="A271" s="36" t="s">
        <v>668</v>
      </c>
      <c r="B271" s="51" t="s">
        <v>645</v>
      </c>
      <c r="C271" s="52" t="s">
        <v>634</v>
      </c>
      <c r="D271" s="52"/>
      <c r="E271" s="53">
        <v>244264000</v>
      </c>
      <c r="F271" s="39">
        <f t="shared" si="15"/>
        <v>19541120</v>
      </c>
      <c r="G271" s="40">
        <f t="shared" si="16"/>
        <v>263805120</v>
      </c>
      <c r="H271" s="41">
        <v>263805120</v>
      </c>
      <c r="I271" s="41"/>
      <c r="J271" s="42">
        <f t="shared" si="17"/>
        <v>0</v>
      </c>
      <c r="K271" s="54"/>
      <c r="L271" s="48"/>
      <c r="M271" s="48"/>
      <c r="N271" s="48"/>
      <c r="O271" s="45">
        <v>46153</v>
      </c>
      <c r="P271" s="46"/>
    </row>
    <row r="272" spans="1:16" ht="16.5" customHeight="1" x14ac:dyDescent="0.35">
      <c r="A272" s="36" t="s">
        <v>669</v>
      </c>
      <c r="B272" s="51" t="s">
        <v>645</v>
      </c>
      <c r="C272" s="52" t="s">
        <v>635</v>
      </c>
      <c r="D272" s="52"/>
      <c r="E272" s="53">
        <v>307818000</v>
      </c>
      <c r="F272" s="39">
        <f t="shared" si="15"/>
        <v>24625440</v>
      </c>
      <c r="G272" s="40">
        <f t="shared" si="16"/>
        <v>332443440</v>
      </c>
      <c r="H272" s="41">
        <v>332443440</v>
      </c>
      <c r="I272" s="41"/>
      <c r="J272" s="42">
        <f t="shared" si="17"/>
        <v>0</v>
      </c>
      <c r="K272" s="54"/>
      <c r="L272" s="48"/>
      <c r="M272" s="48"/>
      <c r="N272" s="48"/>
      <c r="O272" s="45">
        <v>46153</v>
      </c>
      <c r="P272" s="46"/>
    </row>
    <row r="273" spans="1:16" ht="16.5" customHeight="1" x14ac:dyDescent="0.35">
      <c r="A273" s="36" t="s">
        <v>670</v>
      </c>
      <c r="B273" s="51" t="s">
        <v>645</v>
      </c>
      <c r="C273" s="52" t="s">
        <v>636</v>
      </c>
      <c r="D273" s="52"/>
      <c r="E273" s="53">
        <v>1520000</v>
      </c>
      <c r="F273" s="39">
        <f t="shared" si="15"/>
        <v>121600</v>
      </c>
      <c r="G273" s="40">
        <f t="shared" si="16"/>
        <v>1641600</v>
      </c>
      <c r="H273" s="41">
        <v>1641600</v>
      </c>
      <c r="I273" s="41"/>
      <c r="J273" s="42">
        <f t="shared" si="17"/>
        <v>0</v>
      </c>
      <c r="K273" s="54"/>
      <c r="L273" s="48"/>
      <c r="M273" s="48"/>
      <c r="N273" s="48"/>
      <c r="O273" s="45">
        <v>46063</v>
      </c>
      <c r="P273" s="46"/>
    </row>
    <row r="274" spans="1:16" ht="16.5" customHeight="1" x14ac:dyDescent="0.35">
      <c r="A274" s="36" t="s">
        <v>699</v>
      </c>
      <c r="B274" s="51" t="s">
        <v>691</v>
      </c>
      <c r="C274" s="52" t="s">
        <v>671</v>
      </c>
      <c r="D274" s="52"/>
      <c r="E274" s="53">
        <v>356737000</v>
      </c>
      <c r="F274" s="39">
        <f t="shared" si="15"/>
        <v>28538960</v>
      </c>
      <c r="G274" s="40">
        <f t="shared" si="16"/>
        <v>385275960</v>
      </c>
      <c r="H274" s="41">
        <v>385275960</v>
      </c>
      <c r="I274" s="41"/>
      <c r="J274" s="42">
        <f t="shared" si="17"/>
        <v>0</v>
      </c>
      <c r="K274" s="54"/>
      <c r="L274" s="48"/>
      <c r="M274" s="48"/>
      <c r="N274" s="48"/>
      <c r="O274" s="45">
        <v>46063</v>
      </c>
      <c r="P274" s="46"/>
    </row>
    <row r="275" spans="1:16" ht="16.5" customHeight="1" x14ac:dyDescent="0.35">
      <c r="A275" s="36" t="s">
        <v>700</v>
      </c>
      <c r="B275" s="51" t="s">
        <v>691</v>
      </c>
      <c r="C275" s="52" t="s">
        <v>672</v>
      </c>
      <c r="D275" s="52"/>
      <c r="E275" s="53">
        <v>155528400</v>
      </c>
      <c r="F275" s="39">
        <f t="shared" si="15"/>
        <v>12442272</v>
      </c>
      <c r="G275" s="40">
        <f t="shared" si="16"/>
        <v>167970672</v>
      </c>
      <c r="H275" s="41">
        <v>167970672</v>
      </c>
      <c r="I275" s="41"/>
      <c r="J275" s="42">
        <f t="shared" si="17"/>
        <v>0</v>
      </c>
      <c r="K275" s="54"/>
      <c r="L275" s="48"/>
      <c r="M275" s="48"/>
      <c r="N275" s="48"/>
      <c r="O275" s="45">
        <v>46063</v>
      </c>
      <c r="P275" s="46"/>
    </row>
    <row r="276" spans="1:16" ht="16.5" customHeight="1" x14ac:dyDescent="0.35">
      <c r="A276" s="36" t="s">
        <v>701</v>
      </c>
      <c r="B276" s="51" t="s">
        <v>691</v>
      </c>
      <c r="C276" s="52" t="s">
        <v>673</v>
      </c>
      <c r="D276" s="52"/>
      <c r="E276" s="53">
        <v>487365700</v>
      </c>
      <c r="F276" s="39">
        <f t="shared" si="15"/>
        <v>38989256</v>
      </c>
      <c r="G276" s="40">
        <f t="shared" si="16"/>
        <v>526354956</v>
      </c>
      <c r="H276" s="41">
        <v>526354956</v>
      </c>
      <c r="I276" s="41"/>
      <c r="J276" s="42">
        <f t="shared" si="17"/>
        <v>0</v>
      </c>
      <c r="K276" s="54"/>
      <c r="L276" s="48"/>
      <c r="M276" s="48"/>
      <c r="N276" s="48"/>
      <c r="O276" s="45">
        <v>46063</v>
      </c>
      <c r="P276" s="46"/>
    </row>
    <row r="277" spans="1:16" ht="16.5" customHeight="1" x14ac:dyDescent="0.35">
      <c r="A277" s="36" t="s">
        <v>702</v>
      </c>
      <c r="B277" s="51" t="s">
        <v>691</v>
      </c>
      <c r="C277" s="52" t="s">
        <v>674</v>
      </c>
      <c r="D277" s="52"/>
      <c r="E277" s="53">
        <v>71820000</v>
      </c>
      <c r="F277" s="39">
        <f t="shared" si="15"/>
        <v>5745600</v>
      </c>
      <c r="G277" s="40">
        <f t="shared" si="16"/>
        <v>77565600</v>
      </c>
      <c r="H277" s="41">
        <v>77565600</v>
      </c>
      <c r="I277" s="41"/>
      <c r="J277" s="42">
        <f t="shared" si="17"/>
        <v>0</v>
      </c>
      <c r="K277" s="54"/>
      <c r="L277" s="48"/>
      <c r="M277" s="48"/>
      <c r="N277" s="48"/>
      <c r="O277" s="45">
        <v>46063</v>
      </c>
      <c r="P277" s="46"/>
    </row>
    <row r="278" spans="1:16" ht="16.5" customHeight="1" x14ac:dyDescent="0.35">
      <c r="A278" s="36" t="s">
        <v>703</v>
      </c>
      <c r="B278" s="51" t="s">
        <v>691</v>
      </c>
      <c r="C278" s="52" t="s">
        <v>675</v>
      </c>
      <c r="D278" s="52"/>
      <c r="E278" s="53">
        <v>9512000</v>
      </c>
      <c r="F278" s="39">
        <f t="shared" si="15"/>
        <v>760960</v>
      </c>
      <c r="G278" s="40">
        <f t="shared" si="16"/>
        <v>10272960</v>
      </c>
      <c r="H278" s="41">
        <v>10272960</v>
      </c>
      <c r="I278" s="41"/>
      <c r="J278" s="42">
        <f t="shared" si="17"/>
        <v>0</v>
      </c>
      <c r="K278" s="54"/>
      <c r="L278" s="48"/>
      <c r="M278" s="48"/>
      <c r="N278" s="48"/>
      <c r="O278" s="45">
        <v>46063</v>
      </c>
      <c r="P278" s="46"/>
    </row>
    <row r="279" spans="1:16" ht="16.5" customHeight="1" x14ac:dyDescent="0.35">
      <c r="A279" s="36" t="s">
        <v>704</v>
      </c>
      <c r="B279" s="51" t="s">
        <v>691</v>
      </c>
      <c r="C279" s="52" t="s">
        <v>676</v>
      </c>
      <c r="D279" s="52"/>
      <c r="E279" s="53">
        <v>8015000</v>
      </c>
      <c r="F279" s="39">
        <f t="shared" si="15"/>
        <v>641200</v>
      </c>
      <c r="G279" s="40">
        <f t="shared" si="16"/>
        <v>8656200</v>
      </c>
      <c r="H279" s="41">
        <v>8656200</v>
      </c>
      <c r="I279" s="41"/>
      <c r="J279" s="42">
        <f t="shared" si="17"/>
        <v>0</v>
      </c>
      <c r="K279" s="54"/>
      <c r="L279" s="48"/>
      <c r="M279" s="48"/>
      <c r="N279" s="48"/>
      <c r="O279" s="45">
        <v>46063</v>
      </c>
      <c r="P279" s="46"/>
    </row>
    <row r="280" spans="1:16" ht="16.5" customHeight="1" x14ac:dyDescent="0.35">
      <c r="A280" s="36" t="s">
        <v>705</v>
      </c>
      <c r="B280" s="51" t="s">
        <v>691</v>
      </c>
      <c r="C280" s="52" t="s">
        <v>677</v>
      </c>
      <c r="D280" s="52"/>
      <c r="E280" s="53">
        <v>100034400</v>
      </c>
      <c r="F280" s="39">
        <f t="shared" si="15"/>
        <v>8002752</v>
      </c>
      <c r="G280" s="40">
        <f t="shared" si="16"/>
        <v>108037152</v>
      </c>
      <c r="H280" s="41">
        <v>108037152</v>
      </c>
      <c r="I280" s="41"/>
      <c r="J280" s="42">
        <f t="shared" si="17"/>
        <v>0</v>
      </c>
      <c r="K280" s="54"/>
      <c r="L280" s="48"/>
      <c r="M280" s="48"/>
      <c r="N280" s="48"/>
      <c r="O280" s="45">
        <v>46063</v>
      </c>
      <c r="P280" s="46"/>
    </row>
    <row r="281" spans="1:16" ht="16.5" customHeight="1" x14ac:dyDescent="0.35">
      <c r="A281" s="36" t="s">
        <v>706</v>
      </c>
      <c r="B281" s="51" t="s">
        <v>692</v>
      </c>
      <c r="C281" s="52" t="s">
        <v>678</v>
      </c>
      <c r="D281" s="52"/>
      <c r="E281" s="53">
        <v>25000000</v>
      </c>
      <c r="F281" s="39">
        <f t="shared" si="15"/>
        <v>2000000</v>
      </c>
      <c r="G281" s="40">
        <f t="shared" si="16"/>
        <v>27000000</v>
      </c>
      <c r="H281" s="41">
        <v>27000000</v>
      </c>
      <c r="I281" s="41"/>
      <c r="J281" s="42">
        <f t="shared" si="17"/>
        <v>0</v>
      </c>
      <c r="K281" s="54"/>
      <c r="L281" s="48"/>
      <c r="M281" s="48"/>
      <c r="N281" s="48"/>
      <c r="O281" s="45">
        <v>46063</v>
      </c>
      <c r="P281" s="46"/>
    </row>
    <row r="282" spans="1:16" ht="16.5" customHeight="1" x14ac:dyDescent="0.35">
      <c r="A282" s="36" t="s">
        <v>707</v>
      </c>
      <c r="B282" s="51" t="s">
        <v>693</v>
      </c>
      <c r="C282" s="52" t="s">
        <v>679</v>
      </c>
      <c r="D282" s="52"/>
      <c r="E282" s="53">
        <v>310242000</v>
      </c>
      <c r="F282" s="39">
        <f t="shared" si="15"/>
        <v>24819360</v>
      </c>
      <c r="G282" s="40">
        <f t="shared" si="16"/>
        <v>335061360</v>
      </c>
      <c r="H282" s="41">
        <v>335061360</v>
      </c>
      <c r="I282" s="41"/>
      <c r="J282" s="42">
        <f t="shared" si="17"/>
        <v>0</v>
      </c>
      <c r="K282" s="54"/>
      <c r="L282" s="48"/>
      <c r="M282" s="48"/>
      <c r="N282" s="48"/>
      <c r="O282" s="45">
        <v>46077</v>
      </c>
      <c r="P282" s="46"/>
    </row>
    <row r="283" spans="1:16" ht="16.5" customHeight="1" x14ac:dyDescent="0.35">
      <c r="A283" s="36" t="s">
        <v>708</v>
      </c>
      <c r="B283" s="51" t="s">
        <v>693</v>
      </c>
      <c r="C283" s="52" t="s">
        <v>680</v>
      </c>
      <c r="D283" s="52"/>
      <c r="E283" s="53">
        <v>3050000</v>
      </c>
      <c r="F283" s="39">
        <f t="shared" si="15"/>
        <v>244000</v>
      </c>
      <c r="G283" s="40">
        <f t="shared" si="16"/>
        <v>3294000</v>
      </c>
      <c r="H283" s="41">
        <v>3294000</v>
      </c>
      <c r="I283" s="41"/>
      <c r="J283" s="42">
        <f t="shared" si="17"/>
        <v>0</v>
      </c>
      <c r="K283" s="54"/>
      <c r="L283" s="48"/>
      <c r="M283" s="48"/>
      <c r="N283" s="48"/>
      <c r="O283" s="45">
        <v>46077</v>
      </c>
      <c r="P283" s="46"/>
    </row>
    <row r="284" spans="1:16" ht="16.5" customHeight="1" x14ac:dyDescent="0.35">
      <c r="A284" s="36" t="s">
        <v>709</v>
      </c>
      <c r="B284" s="51" t="s">
        <v>693</v>
      </c>
      <c r="C284" s="52" t="s">
        <v>681</v>
      </c>
      <c r="D284" s="52"/>
      <c r="E284" s="53">
        <v>67189500</v>
      </c>
      <c r="F284" s="39">
        <f t="shared" si="15"/>
        <v>5375160</v>
      </c>
      <c r="G284" s="40">
        <f t="shared" si="16"/>
        <v>72564660</v>
      </c>
      <c r="H284" s="41">
        <v>72564660</v>
      </c>
      <c r="I284" s="41"/>
      <c r="J284" s="42">
        <f t="shared" si="17"/>
        <v>0</v>
      </c>
      <c r="K284" s="54"/>
      <c r="L284" s="48"/>
      <c r="M284" s="48"/>
      <c r="N284" s="48"/>
      <c r="O284" s="45">
        <v>46077</v>
      </c>
      <c r="P284" s="46"/>
    </row>
    <row r="285" spans="1:16" ht="16.5" customHeight="1" x14ac:dyDescent="0.35">
      <c r="A285" s="36" t="s">
        <v>710</v>
      </c>
      <c r="B285" s="51" t="s">
        <v>694</v>
      </c>
      <c r="C285" s="52" t="s">
        <v>682</v>
      </c>
      <c r="D285" s="52"/>
      <c r="E285" s="53">
        <v>252081000</v>
      </c>
      <c r="F285" s="39">
        <f t="shared" si="15"/>
        <v>20166480</v>
      </c>
      <c r="G285" s="40">
        <f t="shared" si="16"/>
        <v>272247480</v>
      </c>
      <c r="H285" s="41">
        <v>272247480</v>
      </c>
      <c r="I285" s="41"/>
      <c r="J285" s="42">
        <f t="shared" si="17"/>
        <v>0</v>
      </c>
      <c r="K285" s="54"/>
      <c r="L285" s="48"/>
      <c r="M285" s="48"/>
      <c r="N285" s="48"/>
      <c r="O285" s="45">
        <v>46077</v>
      </c>
      <c r="P285" s="46"/>
    </row>
    <row r="286" spans="1:16" ht="16.5" customHeight="1" x14ac:dyDescent="0.35">
      <c r="A286" s="36" t="s">
        <v>711</v>
      </c>
      <c r="B286" s="51" t="s">
        <v>694</v>
      </c>
      <c r="C286" s="52" t="s">
        <v>683</v>
      </c>
      <c r="D286" s="52"/>
      <c r="E286" s="53">
        <v>3840000</v>
      </c>
      <c r="F286" s="39">
        <f t="shared" si="15"/>
        <v>307200</v>
      </c>
      <c r="G286" s="40">
        <f t="shared" si="16"/>
        <v>4147200</v>
      </c>
      <c r="H286" s="41">
        <v>4147200</v>
      </c>
      <c r="I286" s="41"/>
      <c r="J286" s="42">
        <f t="shared" si="17"/>
        <v>0</v>
      </c>
      <c r="K286" s="54"/>
      <c r="L286" s="48"/>
      <c r="M286" s="48"/>
      <c r="N286" s="48"/>
      <c r="O286" s="45">
        <v>46077</v>
      </c>
      <c r="P286" s="46"/>
    </row>
    <row r="287" spans="1:16" ht="16.5" customHeight="1" x14ac:dyDescent="0.35">
      <c r="A287" s="36" t="s">
        <v>712</v>
      </c>
      <c r="B287" s="51" t="s">
        <v>694</v>
      </c>
      <c r="C287" s="52" t="s">
        <v>684</v>
      </c>
      <c r="D287" s="52"/>
      <c r="E287" s="53">
        <v>122800500</v>
      </c>
      <c r="F287" s="39">
        <f t="shared" si="15"/>
        <v>9824040</v>
      </c>
      <c r="G287" s="40">
        <f t="shared" si="16"/>
        <v>132624540</v>
      </c>
      <c r="H287" s="41">
        <v>132624540</v>
      </c>
      <c r="I287" s="41"/>
      <c r="J287" s="42">
        <f t="shared" si="17"/>
        <v>0</v>
      </c>
      <c r="K287" s="54"/>
      <c r="L287" s="48"/>
      <c r="M287" s="48"/>
      <c r="N287" s="48"/>
      <c r="O287" s="45">
        <v>46077</v>
      </c>
      <c r="P287" s="46"/>
    </row>
    <row r="288" spans="1:16" ht="16.5" customHeight="1" x14ac:dyDescent="0.35">
      <c r="A288" s="36" t="s">
        <v>713</v>
      </c>
      <c r="B288" s="51" t="s">
        <v>695</v>
      </c>
      <c r="C288" s="52" t="s">
        <v>685</v>
      </c>
      <c r="D288" s="52"/>
      <c r="E288" s="53">
        <v>26744400</v>
      </c>
      <c r="F288" s="39">
        <f t="shared" si="15"/>
        <v>2139552</v>
      </c>
      <c r="G288" s="40">
        <f t="shared" si="16"/>
        <v>28883952</v>
      </c>
      <c r="H288" s="41">
        <v>28883952</v>
      </c>
      <c r="I288" s="41"/>
      <c r="J288" s="42">
        <f t="shared" si="17"/>
        <v>0</v>
      </c>
      <c r="K288" s="54"/>
      <c r="L288" s="48"/>
      <c r="M288" s="48"/>
      <c r="N288" s="48"/>
      <c r="O288" s="45">
        <v>46077</v>
      </c>
      <c r="P288" s="46"/>
    </row>
    <row r="289" spans="1:16" ht="16.5" customHeight="1" x14ac:dyDescent="0.35">
      <c r="A289" s="36" t="s">
        <v>714</v>
      </c>
      <c r="B289" s="51" t="s">
        <v>696</v>
      </c>
      <c r="C289" s="52" t="s">
        <v>686</v>
      </c>
      <c r="D289" s="52"/>
      <c r="E289" s="53">
        <v>138513800</v>
      </c>
      <c r="F289" s="39">
        <f t="shared" si="15"/>
        <v>11081104</v>
      </c>
      <c r="G289" s="40">
        <f t="shared" si="16"/>
        <v>149594904</v>
      </c>
      <c r="H289" s="41">
        <v>149594904</v>
      </c>
      <c r="I289" s="41"/>
      <c r="J289" s="42">
        <f t="shared" si="17"/>
        <v>0</v>
      </c>
      <c r="K289" s="54"/>
      <c r="L289" s="48"/>
      <c r="M289" s="48"/>
      <c r="N289" s="48"/>
      <c r="O289" s="45">
        <v>46091</v>
      </c>
      <c r="P289" s="46"/>
    </row>
    <row r="290" spans="1:16" ht="16.5" customHeight="1" x14ac:dyDescent="0.35">
      <c r="A290" s="36" t="s">
        <v>715</v>
      </c>
      <c r="B290" s="51" t="s">
        <v>696</v>
      </c>
      <c r="C290" s="52" t="s">
        <v>687</v>
      </c>
      <c r="D290" s="52"/>
      <c r="E290" s="53">
        <v>25515700</v>
      </c>
      <c r="F290" s="39">
        <f t="shared" si="15"/>
        <v>2041256</v>
      </c>
      <c r="G290" s="40">
        <f t="shared" si="16"/>
        <v>27556956</v>
      </c>
      <c r="H290" s="41">
        <v>27556956</v>
      </c>
      <c r="I290" s="41"/>
      <c r="J290" s="42">
        <f t="shared" si="17"/>
        <v>0</v>
      </c>
      <c r="K290" s="54"/>
      <c r="L290" s="48"/>
      <c r="M290" s="48"/>
      <c r="N290" s="48"/>
      <c r="O290" s="45">
        <v>46091</v>
      </c>
      <c r="P290" s="46"/>
    </row>
    <row r="291" spans="1:16" ht="16.5" customHeight="1" x14ac:dyDescent="0.35">
      <c r="A291" s="36" t="s">
        <v>716</v>
      </c>
      <c r="B291" s="51" t="s">
        <v>697</v>
      </c>
      <c r="C291" s="52" t="s">
        <v>688</v>
      </c>
      <c r="D291" s="52"/>
      <c r="E291" s="53">
        <v>7866000</v>
      </c>
      <c r="F291" s="39">
        <f t="shared" si="15"/>
        <v>629280</v>
      </c>
      <c r="G291" s="40">
        <f t="shared" si="16"/>
        <v>8495280</v>
      </c>
      <c r="H291" s="41">
        <v>8495280</v>
      </c>
      <c r="I291" s="41"/>
      <c r="J291" s="42">
        <f t="shared" si="17"/>
        <v>0</v>
      </c>
      <c r="K291" s="54"/>
      <c r="L291" s="48"/>
      <c r="M291" s="48"/>
      <c r="N291" s="48"/>
      <c r="O291" s="45">
        <v>46091</v>
      </c>
      <c r="P291" s="46"/>
    </row>
    <row r="292" spans="1:16" ht="16.5" customHeight="1" x14ac:dyDescent="0.35">
      <c r="A292" s="36" t="s">
        <v>717</v>
      </c>
      <c r="B292" s="51" t="s">
        <v>697</v>
      </c>
      <c r="C292" s="52" t="s">
        <v>689</v>
      </c>
      <c r="D292" s="52"/>
      <c r="E292" s="53">
        <v>25970000</v>
      </c>
      <c r="F292" s="39">
        <f t="shared" si="15"/>
        <v>2077600</v>
      </c>
      <c r="G292" s="40">
        <f t="shared" si="16"/>
        <v>28047600</v>
      </c>
      <c r="H292" s="41">
        <v>28047600</v>
      </c>
      <c r="I292" s="41"/>
      <c r="J292" s="42">
        <f t="shared" si="17"/>
        <v>0</v>
      </c>
      <c r="K292" s="54"/>
      <c r="L292" s="48"/>
      <c r="M292" s="48"/>
      <c r="N292" s="48"/>
      <c r="O292" s="45">
        <v>46091</v>
      </c>
      <c r="P292" s="46"/>
    </row>
    <row r="293" spans="1:16" ht="16.5" customHeight="1" x14ac:dyDescent="0.35">
      <c r="A293" s="36" t="s">
        <v>718</v>
      </c>
      <c r="B293" s="51" t="s">
        <v>698</v>
      </c>
      <c r="C293" s="52" t="s">
        <v>690</v>
      </c>
      <c r="D293" s="52"/>
      <c r="E293" s="53">
        <v>3930000</v>
      </c>
      <c r="F293" s="39">
        <f t="shared" si="15"/>
        <v>314400</v>
      </c>
      <c r="G293" s="40">
        <f t="shared" si="16"/>
        <v>4244400</v>
      </c>
      <c r="H293" s="41">
        <v>4244400</v>
      </c>
      <c r="I293" s="41"/>
      <c r="J293" s="42">
        <f t="shared" si="17"/>
        <v>0</v>
      </c>
      <c r="K293" s="54"/>
      <c r="L293" s="48"/>
      <c r="M293" s="48"/>
      <c r="N293" s="48"/>
      <c r="O293" s="45">
        <v>46105</v>
      </c>
      <c r="P293" s="46"/>
    </row>
    <row r="294" spans="1:16" ht="16.5" customHeight="1" x14ac:dyDescent="0.35">
      <c r="A294" s="36" t="s">
        <v>731</v>
      </c>
      <c r="B294" s="51" t="s">
        <v>727</v>
      </c>
      <c r="C294" s="52" t="s">
        <v>719</v>
      </c>
      <c r="D294" s="52"/>
      <c r="E294" s="53">
        <v>78540000</v>
      </c>
      <c r="F294" s="39">
        <f t="shared" si="15"/>
        <v>6283200</v>
      </c>
      <c r="G294" s="40">
        <f t="shared" si="16"/>
        <v>84823200</v>
      </c>
      <c r="H294" s="41">
        <v>84823200</v>
      </c>
      <c r="I294" s="41"/>
      <c r="J294" s="42">
        <f t="shared" si="17"/>
        <v>0</v>
      </c>
      <c r="K294" s="54"/>
      <c r="L294" s="48"/>
      <c r="M294" s="48"/>
      <c r="N294" s="48"/>
      <c r="O294" s="45">
        <v>46122</v>
      </c>
      <c r="P294" s="46"/>
    </row>
    <row r="295" spans="1:16" ht="16.5" customHeight="1" x14ac:dyDescent="0.35">
      <c r="A295" s="36" t="s">
        <v>732</v>
      </c>
      <c r="B295" s="51" t="s">
        <v>727</v>
      </c>
      <c r="C295" s="52" t="s">
        <v>720</v>
      </c>
      <c r="D295" s="52"/>
      <c r="E295" s="53">
        <v>9930000</v>
      </c>
      <c r="F295" s="39">
        <f t="shared" si="15"/>
        <v>794400</v>
      </c>
      <c r="G295" s="40">
        <f t="shared" si="16"/>
        <v>10724400</v>
      </c>
      <c r="H295" s="41">
        <v>10724400</v>
      </c>
      <c r="I295" s="41"/>
      <c r="J295" s="42">
        <f t="shared" si="17"/>
        <v>0</v>
      </c>
      <c r="K295" s="54"/>
      <c r="L295" s="48"/>
      <c r="M295" s="48"/>
      <c r="N295" s="48"/>
      <c r="O295" s="45">
        <v>46122</v>
      </c>
      <c r="P295" s="46"/>
    </row>
    <row r="296" spans="1:16" ht="16.5" customHeight="1" x14ac:dyDescent="0.35">
      <c r="A296" s="36" t="s">
        <v>733</v>
      </c>
      <c r="B296" s="51" t="s">
        <v>728</v>
      </c>
      <c r="C296" s="52" t="s">
        <v>721</v>
      </c>
      <c r="D296" s="52"/>
      <c r="E296" s="53">
        <v>85330000</v>
      </c>
      <c r="F296" s="39">
        <f t="shared" si="15"/>
        <v>6826400</v>
      </c>
      <c r="G296" s="40">
        <f t="shared" si="16"/>
        <v>92156400</v>
      </c>
      <c r="H296" s="41">
        <v>92156400</v>
      </c>
      <c r="I296" s="41"/>
      <c r="J296" s="42">
        <f t="shared" si="17"/>
        <v>0</v>
      </c>
      <c r="K296" s="54"/>
      <c r="L296" s="48"/>
      <c r="M296" s="48"/>
      <c r="N296" s="48"/>
      <c r="O296" s="45">
        <v>46122</v>
      </c>
      <c r="P296" s="46"/>
    </row>
    <row r="297" spans="1:16" ht="16.5" customHeight="1" x14ac:dyDescent="0.35">
      <c r="A297" s="36" t="s">
        <v>734</v>
      </c>
      <c r="B297" s="51" t="s">
        <v>729</v>
      </c>
      <c r="C297" s="52" t="s">
        <v>722</v>
      </c>
      <c r="D297" s="52"/>
      <c r="E297" s="53">
        <v>2040000</v>
      </c>
      <c r="F297" s="39">
        <f t="shared" si="15"/>
        <v>163200</v>
      </c>
      <c r="G297" s="40">
        <f t="shared" si="16"/>
        <v>2203200</v>
      </c>
      <c r="H297" s="41">
        <v>2203200</v>
      </c>
      <c r="I297" s="41"/>
      <c r="J297" s="42">
        <f t="shared" si="17"/>
        <v>0</v>
      </c>
      <c r="K297" s="54"/>
      <c r="L297" s="48"/>
      <c r="M297" s="48"/>
      <c r="N297" s="48"/>
      <c r="O297" s="45">
        <v>46136</v>
      </c>
      <c r="P297" s="46"/>
    </row>
    <row r="298" spans="1:16" ht="16.5" customHeight="1" x14ac:dyDescent="0.35">
      <c r="A298" s="36" t="s">
        <v>735</v>
      </c>
      <c r="B298" s="51" t="s">
        <v>730</v>
      </c>
      <c r="C298" s="52" t="s">
        <v>723</v>
      </c>
      <c r="D298" s="52"/>
      <c r="E298" s="53">
        <v>9050000</v>
      </c>
      <c r="F298" s="39">
        <f t="shared" si="15"/>
        <v>724000</v>
      </c>
      <c r="G298" s="40">
        <f t="shared" si="16"/>
        <v>9774000</v>
      </c>
      <c r="H298" s="41">
        <v>9774000</v>
      </c>
      <c r="I298" s="41"/>
      <c r="J298" s="42">
        <f t="shared" si="17"/>
        <v>0</v>
      </c>
      <c r="K298" s="54"/>
      <c r="L298" s="48"/>
      <c r="M298" s="48"/>
      <c r="N298" s="48"/>
      <c r="O298" s="45">
        <v>46122</v>
      </c>
      <c r="P298" s="46"/>
    </row>
    <row r="299" spans="1:16" ht="16.5" customHeight="1" x14ac:dyDescent="0.35">
      <c r="A299" s="36" t="s">
        <v>736</v>
      </c>
      <c r="B299" s="51" t="s">
        <v>730</v>
      </c>
      <c r="C299" s="52" t="s">
        <v>724</v>
      </c>
      <c r="D299" s="52"/>
      <c r="E299" s="53">
        <v>7010000</v>
      </c>
      <c r="F299" s="39">
        <f t="shared" si="15"/>
        <v>560800</v>
      </c>
      <c r="G299" s="40">
        <f t="shared" si="16"/>
        <v>7570800</v>
      </c>
      <c r="H299" s="41">
        <v>7570800</v>
      </c>
      <c r="I299" s="41"/>
      <c r="J299" s="42">
        <f t="shared" si="17"/>
        <v>0</v>
      </c>
      <c r="K299" s="54"/>
      <c r="L299" s="48"/>
      <c r="M299" s="48"/>
      <c r="N299" s="48"/>
      <c r="O299" s="45">
        <v>46122</v>
      </c>
      <c r="P299" s="46"/>
    </row>
    <row r="300" spans="1:16" ht="16.5" customHeight="1" x14ac:dyDescent="0.35">
      <c r="A300" s="36" t="s">
        <v>737</v>
      </c>
      <c r="B300" s="51" t="s">
        <v>730</v>
      </c>
      <c r="C300" s="52" t="s">
        <v>725</v>
      </c>
      <c r="D300" s="52"/>
      <c r="E300" s="53">
        <v>2010000</v>
      </c>
      <c r="F300" s="39">
        <f t="shared" si="15"/>
        <v>160800</v>
      </c>
      <c r="G300" s="40">
        <f t="shared" si="16"/>
        <v>2170800</v>
      </c>
      <c r="H300" s="41">
        <v>2170800</v>
      </c>
      <c r="I300" s="41"/>
      <c r="J300" s="42">
        <f t="shared" si="17"/>
        <v>0</v>
      </c>
      <c r="K300" s="54"/>
      <c r="L300" s="48"/>
      <c r="M300" s="48"/>
      <c r="N300" s="48"/>
      <c r="O300" s="45">
        <v>46136</v>
      </c>
      <c r="P300" s="46"/>
    </row>
    <row r="301" spans="1:16" ht="16.5" customHeight="1" x14ac:dyDescent="0.35">
      <c r="A301" s="36" t="s">
        <v>738</v>
      </c>
      <c r="B301" s="51" t="s">
        <v>730</v>
      </c>
      <c r="C301" s="52" t="s">
        <v>726</v>
      </c>
      <c r="D301" s="52"/>
      <c r="E301" s="53">
        <v>7100000</v>
      </c>
      <c r="F301" s="39">
        <f t="shared" si="15"/>
        <v>568000</v>
      </c>
      <c r="G301" s="40">
        <f t="shared" si="16"/>
        <v>7668000</v>
      </c>
      <c r="H301" s="41">
        <v>7668000</v>
      </c>
      <c r="I301" s="41"/>
      <c r="J301" s="42">
        <f t="shared" si="17"/>
        <v>0</v>
      </c>
      <c r="K301" s="54"/>
      <c r="L301" s="48"/>
      <c r="M301" s="48"/>
      <c r="N301" s="48"/>
      <c r="O301" s="45">
        <v>46136</v>
      </c>
      <c r="P301" s="46"/>
    </row>
    <row r="302" spans="1:16" ht="16.5" customHeight="1" x14ac:dyDescent="0.35">
      <c r="A302" s="36" t="s">
        <v>746</v>
      </c>
      <c r="B302" s="51">
        <v>46106</v>
      </c>
      <c r="C302" s="52" t="s">
        <v>739</v>
      </c>
      <c r="D302" s="52"/>
      <c r="E302" s="53">
        <v>-13139200</v>
      </c>
      <c r="F302" s="39">
        <f t="shared" si="15"/>
        <v>-1051136</v>
      </c>
      <c r="G302" s="40">
        <f t="shared" si="16"/>
        <v>-14190336</v>
      </c>
      <c r="H302" s="41">
        <v>-14190336</v>
      </c>
      <c r="I302" s="41"/>
      <c r="J302" s="42">
        <f t="shared" si="17"/>
        <v>0</v>
      </c>
      <c r="K302" s="54"/>
      <c r="L302" s="48"/>
      <c r="M302" s="48"/>
      <c r="N302" s="48"/>
      <c r="O302" s="45">
        <v>46122</v>
      </c>
      <c r="P302" s="46"/>
    </row>
    <row r="303" spans="1:16" ht="16.5" customHeight="1" x14ac:dyDescent="0.35">
      <c r="A303" s="36" t="s">
        <v>746</v>
      </c>
      <c r="B303" s="51">
        <v>46106</v>
      </c>
      <c r="C303" s="52" t="s">
        <v>740</v>
      </c>
      <c r="D303" s="52"/>
      <c r="E303" s="53">
        <v>-2112000</v>
      </c>
      <c r="F303" s="39">
        <f t="shared" si="15"/>
        <v>-168960</v>
      </c>
      <c r="G303" s="40">
        <f t="shared" si="16"/>
        <v>-2280960</v>
      </c>
      <c r="H303" s="41">
        <v>-2280960</v>
      </c>
      <c r="I303" s="41"/>
      <c r="J303" s="42">
        <f t="shared" si="17"/>
        <v>0</v>
      </c>
      <c r="K303" s="54"/>
      <c r="L303" s="48"/>
      <c r="M303" s="48"/>
      <c r="N303" s="48"/>
      <c r="O303" s="45">
        <v>46122</v>
      </c>
      <c r="P303" s="46"/>
    </row>
    <row r="304" spans="1:16" ht="16.5" customHeight="1" x14ac:dyDescent="0.35">
      <c r="A304" s="36" t="s">
        <v>746</v>
      </c>
      <c r="B304" s="51">
        <v>46106</v>
      </c>
      <c r="C304" s="52" t="s">
        <v>741</v>
      </c>
      <c r="D304" s="52"/>
      <c r="E304" s="53">
        <v>-60243250</v>
      </c>
      <c r="F304" s="39">
        <f t="shared" si="15"/>
        <v>-4819460</v>
      </c>
      <c r="G304" s="40">
        <f t="shared" si="16"/>
        <v>-65062710</v>
      </c>
      <c r="H304" s="41">
        <v>-65062710</v>
      </c>
      <c r="I304" s="41"/>
      <c r="J304" s="42">
        <f t="shared" si="17"/>
        <v>0</v>
      </c>
      <c r="K304" s="54"/>
      <c r="L304" s="48"/>
      <c r="M304" s="48"/>
      <c r="N304" s="48"/>
      <c r="O304" s="45">
        <v>46122</v>
      </c>
      <c r="P304" s="46"/>
    </row>
    <row r="305" spans="1:16" ht="16.5" customHeight="1" x14ac:dyDescent="0.35">
      <c r="A305" s="36" t="s">
        <v>746</v>
      </c>
      <c r="B305" s="51">
        <v>46106</v>
      </c>
      <c r="C305" s="52" t="s">
        <v>742</v>
      </c>
      <c r="D305" s="52"/>
      <c r="E305" s="53">
        <v>-1986000</v>
      </c>
      <c r="F305" s="39">
        <f t="shared" si="15"/>
        <v>-158880</v>
      </c>
      <c r="G305" s="40">
        <f t="shared" si="16"/>
        <v>-2144880</v>
      </c>
      <c r="H305" s="41">
        <v>-2144880</v>
      </c>
      <c r="I305" s="41"/>
      <c r="J305" s="42">
        <f t="shared" si="17"/>
        <v>0</v>
      </c>
      <c r="K305" s="54"/>
      <c r="L305" s="48"/>
      <c r="M305" s="48"/>
      <c r="N305" s="48"/>
      <c r="O305" s="45">
        <v>46122</v>
      </c>
      <c r="P305" s="46"/>
    </row>
    <row r="306" spans="1:16" ht="16.5" customHeight="1" x14ac:dyDescent="0.35">
      <c r="A306" s="36" t="s">
        <v>746</v>
      </c>
      <c r="B306" s="51">
        <v>46106</v>
      </c>
      <c r="C306" s="52" t="s">
        <v>743</v>
      </c>
      <c r="D306" s="52"/>
      <c r="E306" s="53">
        <v>-2543500</v>
      </c>
      <c r="F306" s="39">
        <f t="shared" si="15"/>
        <v>-203480</v>
      </c>
      <c r="G306" s="40">
        <f t="shared" si="16"/>
        <v>-2746980</v>
      </c>
      <c r="H306" s="41">
        <v>-2746980</v>
      </c>
      <c r="I306" s="41"/>
      <c r="J306" s="42">
        <f t="shared" si="17"/>
        <v>0</v>
      </c>
      <c r="K306" s="54"/>
      <c r="L306" s="48"/>
      <c r="M306" s="48"/>
      <c r="N306" s="48"/>
      <c r="O306" s="45">
        <v>46122</v>
      </c>
      <c r="P306" s="46"/>
    </row>
    <row r="307" spans="1:16" ht="16.5" customHeight="1" x14ac:dyDescent="0.35">
      <c r="A307" s="36" t="s">
        <v>746</v>
      </c>
      <c r="B307" s="51">
        <v>46106</v>
      </c>
      <c r="C307" s="52" t="s">
        <v>744</v>
      </c>
      <c r="D307" s="52"/>
      <c r="E307" s="53">
        <v>-16407000</v>
      </c>
      <c r="F307" s="39">
        <f t="shared" si="15"/>
        <v>-1312560</v>
      </c>
      <c r="G307" s="40">
        <f t="shared" si="16"/>
        <v>-17719560</v>
      </c>
      <c r="H307" s="41">
        <v>-17719560</v>
      </c>
      <c r="I307" s="41"/>
      <c r="J307" s="42">
        <f t="shared" si="17"/>
        <v>0</v>
      </c>
      <c r="K307" s="54"/>
      <c r="L307" s="48"/>
      <c r="M307" s="48"/>
      <c r="N307" s="48"/>
      <c r="O307" s="45">
        <v>46122</v>
      </c>
      <c r="P307" s="46"/>
    </row>
    <row r="308" spans="1:16" ht="16.5" customHeight="1" x14ac:dyDescent="0.35">
      <c r="A308" s="36" t="s">
        <v>746</v>
      </c>
      <c r="B308" s="51">
        <v>46106</v>
      </c>
      <c r="C308" s="52" t="s">
        <v>745</v>
      </c>
      <c r="D308" s="52"/>
      <c r="E308" s="53">
        <v>-3432250</v>
      </c>
      <c r="F308" s="39">
        <f t="shared" si="15"/>
        <v>-274580</v>
      </c>
      <c r="G308" s="40">
        <f t="shared" si="16"/>
        <v>-3706830</v>
      </c>
      <c r="H308" s="41">
        <v>-3706830</v>
      </c>
      <c r="I308" s="41"/>
      <c r="J308" s="42">
        <f t="shared" si="17"/>
        <v>0</v>
      </c>
      <c r="K308" s="54"/>
      <c r="L308" s="48"/>
      <c r="M308" s="48"/>
      <c r="N308" s="48"/>
      <c r="O308" s="45">
        <v>46122</v>
      </c>
      <c r="P308" s="46"/>
    </row>
    <row r="309" spans="1:16" ht="16.5" customHeight="1" x14ac:dyDescent="0.35">
      <c r="A309" s="36" t="s">
        <v>746</v>
      </c>
      <c r="B309" s="51">
        <v>46106</v>
      </c>
      <c r="C309" s="52" t="s">
        <v>94</v>
      </c>
      <c r="D309" s="52"/>
      <c r="E309" s="53">
        <v>-110000</v>
      </c>
      <c r="F309" s="39">
        <f t="shared" si="15"/>
        <v>-8800</v>
      </c>
      <c r="G309" s="40">
        <f t="shared" si="16"/>
        <v>-118800</v>
      </c>
      <c r="H309" s="41">
        <v>-118800</v>
      </c>
      <c r="I309" s="41"/>
      <c r="J309" s="42">
        <f t="shared" si="17"/>
        <v>0</v>
      </c>
      <c r="K309" s="54"/>
      <c r="L309" s="48"/>
      <c r="M309" s="48"/>
      <c r="N309" s="48"/>
      <c r="O309" s="45">
        <v>46122</v>
      </c>
      <c r="P309" s="46"/>
    </row>
    <row r="310" spans="1:16" ht="16.5" customHeight="1" x14ac:dyDescent="0.35">
      <c r="A310" s="36" t="s">
        <v>751</v>
      </c>
      <c r="B310" s="51" t="s">
        <v>749</v>
      </c>
      <c r="C310" s="52" t="s">
        <v>747</v>
      </c>
      <c r="D310" s="52"/>
      <c r="E310" s="53">
        <v>12920000</v>
      </c>
      <c r="F310" s="39">
        <f t="shared" si="15"/>
        <v>1033600</v>
      </c>
      <c r="G310" s="40">
        <f t="shared" si="16"/>
        <v>13953600</v>
      </c>
      <c r="H310" s="41">
        <v>13953600</v>
      </c>
      <c r="I310" s="41"/>
      <c r="J310" s="42">
        <f t="shared" si="17"/>
        <v>0</v>
      </c>
      <c r="K310" s="54"/>
      <c r="L310" s="48"/>
      <c r="M310" s="48"/>
      <c r="N310" s="48"/>
      <c r="O310" s="45">
        <v>46153</v>
      </c>
      <c r="P310" s="46"/>
    </row>
    <row r="311" spans="1:16" ht="16.5" customHeight="1" x14ac:dyDescent="0.35">
      <c r="A311" s="36" t="s">
        <v>752</v>
      </c>
      <c r="B311" s="51" t="s">
        <v>750</v>
      </c>
      <c r="C311" s="52" t="s">
        <v>748</v>
      </c>
      <c r="D311" s="52"/>
      <c r="E311" s="53">
        <v>37275000</v>
      </c>
      <c r="F311" s="39">
        <f t="shared" si="15"/>
        <v>2982000</v>
      </c>
      <c r="G311" s="40">
        <f t="shared" si="16"/>
        <v>40257000</v>
      </c>
      <c r="H311" s="41">
        <v>40257000</v>
      </c>
      <c r="I311" s="41"/>
      <c r="J311" s="42">
        <f t="shared" si="17"/>
        <v>0</v>
      </c>
      <c r="K311" s="54"/>
      <c r="L311" s="48"/>
      <c r="M311" s="48"/>
      <c r="N311" s="48"/>
      <c r="O311" s="45">
        <v>46153</v>
      </c>
      <c r="P311" s="46"/>
    </row>
    <row r="312" spans="1:16" ht="16.5" customHeight="1" x14ac:dyDescent="0.35">
      <c r="A312" s="36" t="s">
        <v>746</v>
      </c>
      <c r="B312" s="51">
        <v>46128</v>
      </c>
      <c r="C312" s="52" t="s">
        <v>753</v>
      </c>
      <c r="D312" s="52"/>
      <c r="E312" s="53">
        <v>-10545550</v>
      </c>
      <c r="F312" s="39">
        <f t="shared" si="15"/>
        <v>-843644</v>
      </c>
      <c r="G312" s="40">
        <f t="shared" si="16"/>
        <v>-11389194</v>
      </c>
      <c r="H312" s="41">
        <v>-11389194</v>
      </c>
      <c r="I312" s="41"/>
      <c r="J312" s="42">
        <f t="shared" si="17"/>
        <v>0</v>
      </c>
      <c r="K312" s="54"/>
      <c r="L312" s="48"/>
      <c r="M312" s="48"/>
      <c r="N312" s="48"/>
      <c r="O312" s="45">
        <v>46153</v>
      </c>
      <c r="P312" s="46"/>
    </row>
    <row r="313" spans="1:16" ht="16.5" customHeight="1" x14ac:dyDescent="0.35">
      <c r="A313" s="36" t="s">
        <v>746</v>
      </c>
      <c r="B313" s="51">
        <v>46128</v>
      </c>
      <c r="C313" s="52" t="s">
        <v>754</v>
      </c>
      <c r="D313" s="52"/>
      <c r="E313" s="53">
        <v>-868000</v>
      </c>
      <c r="F313" s="39">
        <f t="shared" si="15"/>
        <v>-69440</v>
      </c>
      <c r="G313" s="40">
        <f t="shared" si="16"/>
        <v>-937440</v>
      </c>
      <c r="H313" s="41">
        <v>-937440</v>
      </c>
      <c r="I313" s="41"/>
      <c r="J313" s="42">
        <f t="shared" si="17"/>
        <v>0</v>
      </c>
      <c r="K313" s="54"/>
      <c r="L313" s="48"/>
      <c r="M313" s="48"/>
      <c r="N313" s="48"/>
      <c r="O313" s="45">
        <v>46153</v>
      </c>
      <c r="P313" s="46"/>
    </row>
    <row r="314" spans="1:16" ht="16.5" customHeight="1" x14ac:dyDescent="0.35">
      <c r="A314" s="36" t="s">
        <v>746</v>
      </c>
      <c r="B314" s="51">
        <v>46128</v>
      </c>
      <c r="C314" s="52" t="s">
        <v>755</v>
      </c>
      <c r="D314" s="52"/>
      <c r="E314" s="53">
        <v>-18971800</v>
      </c>
      <c r="F314" s="39">
        <f t="shared" si="15"/>
        <v>-1517744</v>
      </c>
      <c r="G314" s="40">
        <f t="shared" si="16"/>
        <v>-20489544</v>
      </c>
      <c r="H314" s="41">
        <v>-20489544</v>
      </c>
      <c r="I314" s="41"/>
      <c r="J314" s="42">
        <f t="shared" si="17"/>
        <v>0</v>
      </c>
      <c r="K314" s="54"/>
      <c r="L314" s="48"/>
      <c r="M314" s="48"/>
      <c r="N314" s="48"/>
      <c r="O314" s="45">
        <v>46153</v>
      </c>
      <c r="P314" s="46"/>
    </row>
    <row r="315" spans="1:16" ht="16.5" customHeight="1" x14ac:dyDescent="0.35">
      <c r="A315" s="36" t="s">
        <v>746</v>
      </c>
      <c r="B315" s="51">
        <v>46128</v>
      </c>
      <c r="C315" s="52" t="s">
        <v>756</v>
      </c>
      <c r="D315" s="52"/>
      <c r="E315" s="53">
        <v>-5552000</v>
      </c>
      <c r="F315" s="39">
        <f t="shared" si="15"/>
        <v>-444160</v>
      </c>
      <c r="G315" s="40">
        <f t="shared" si="16"/>
        <v>-5996160</v>
      </c>
      <c r="H315" s="41">
        <v>-5996160</v>
      </c>
      <c r="I315" s="41"/>
      <c r="J315" s="42">
        <f t="shared" si="17"/>
        <v>0</v>
      </c>
      <c r="K315" s="54"/>
      <c r="L315" s="48"/>
      <c r="M315" s="48"/>
      <c r="N315" s="48"/>
      <c r="O315" s="45">
        <v>46153</v>
      </c>
      <c r="P315" s="46"/>
    </row>
    <row r="316" spans="1:16" ht="16.5" customHeight="1" x14ac:dyDescent="0.35">
      <c r="A316" s="36" t="s">
        <v>746</v>
      </c>
      <c r="B316" s="51">
        <v>46128</v>
      </c>
      <c r="C316" s="52" t="s">
        <v>757</v>
      </c>
      <c r="D316" s="52"/>
      <c r="E316" s="53">
        <v>-234500</v>
      </c>
      <c r="F316" s="39">
        <f t="shared" si="15"/>
        <v>-18760</v>
      </c>
      <c r="G316" s="40">
        <f t="shared" si="16"/>
        <v>-253260</v>
      </c>
      <c r="H316" s="41">
        <v>-253260</v>
      </c>
      <c r="I316" s="41"/>
      <c r="J316" s="42">
        <f t="shared" si="17"/>
        <v>0</v>
      </c>
      <c r="K316" s="54"/>
      <c r="L316" s="48"/>
      <c r="M316" s="48"/>
      <c r="N316" s="48"/>
      <c r="O316" s="45">
        <v>46153</v>
      </c>
      <c r="P316" s="46"/>
    </row>
    <row r="317" spans="1:16" ht="16.5" customHeight="1" x14ac:dyDescent="0.35">
      <c r="A317" s="36" t="s">
        <v>746</v>
      </c>
      <c r="B317" s="51">
        <v>46128</v>
      </c>
      <c r="C317" s="52" t="s">
        <v>758</v>
      </c>
      <c r="D317" s="52"/>
      <c r="E317" s="53">
        <v>-2652000</v>
      </c>
      <c r="F317" s="39">
        <f t="shared" si="15"/>
        <v>-212160</v>
      </c>
      <c r="G317" s="40">
        <f t="shared" si="16"/>
        <v>-2864160</v>
      </c>
      <c r="H317" s="41">
        <v>-2864160</v>
      </c>
      <c r="I317" s="41"/>
      <c r="J317" s="42">
        <f t="shared" si="17"/>
        <v>0</v>
      </c>
      <c r="K317" s="54"/>
      <c r="L317" s="48"/>
      <c r="M317" s="48"/>
      <c r="N317" s="48"/>
      <c r="O317" s="45">
        <v>46136</v>
      </c>
      <c r="P317" s="46"/>
    </row>
    <row r="318" spans="1:16" ht="16.5" customHeight="1" x14ac:dyDescent="0.35">
      <c r="A318" s="36" t="s">
        <v>746</v>
      </c>
      <c r="B318" s="51">
        <v>46128</v>
      </c>
      <c r="C318" s="52" t="s">
        <v>759</v>
      </c>
      <c r="D318" s="52"/>
      <c r="E318" s="53">
        <v>-402000</v>
      </c>
      <c r="F318" s="39">
        <f t="shared" si="15"/>
        <v>-32160</v>
      </c>
      <c r="G318" s="40">
        <f t="shared" si="16"/>
        <v>-434160</v>
      </c>
      <c r="H318" s="41">
        <v>-434160</v>
      </c>
      <c r="I318" s="41"/>
      <c r="J318" s="42">
        <f t="shared" si="17"/>
        <v>0</v>
      </c>
      <c r="K318" s="54"/>
      <c r="L318" s="48"/>
      <c r="M318" s="48"/>
      <c r="N318" s="48"/>
      <c r="O318" s="45">
        <v>46153</v>
      </c>
      <c r="P318" s="46"/>
    </row>
    <row r="319" spans="1:16" ht="16.5" customHeight="1" x14ac:dyDescent="0.35">
      <c r="A319" s="36" t="s">
        <v>746</v>
      </c>
      <c r="B319" s="51">
        <v>46128</v>
      </c>
      <c r="C319" s="52" t="s">
        <v>760</v>
      </c>
      <c r="D319" s="52"/>
      <c r="E319" s="53">
        <v>-335000</v>
      </c>
      <c r="F319" s="39">
        <f t="shared" si="15"/>
        <v>-26800</v>
      </c>
      <c r="G319" s="40">
        <f t="shared" si="16"/>
        <v>-361800</v>
      </c>
      <c r="H319" s="41">
        <v>-361800</v>
      </c>
      <c r="I319" s="41"/>
      <c r="J319" s="42">
        <f t="shared" si="17"/>
        <v>0</v>
      </c>
      <c r="K319" s="54"/>
      <c r="L319" s="48"/>
      <c r="M319" s="48"/>
      <c r="N319" s="48"/>
      <c r="O319" s="45">
        <v>46136</v>
      </c>
      <c r="P319" s="46"/>
    </row>
    <row r="320" spans="1:16" ht="16.5" customHeight="1" x14ac:dyDescent="0.35">
      <c r="A320" s="36" t="s">
        <v>746</v>
      </c>
      <c r="B320" s="51">
        <v>46128</v>
      </c>
      <c r="C320" s="52" t="s">
        <v>761</v>
      </c>
      <c r="D320" s="52"/>
      <c r="E320" s="53">
        <v>-1038500</v>
      </c>
      <c r="F320" s="39">
        <f t="shared" si="15"/>
        <v>-83080</v>
      </c>
      <c r="G320" s="40">
        <f t="shared" si="16"/>
        <v>-1121580</v>
      </c>
      <c r="H320" s="41">
        <v>-1121580</v>
      </c>
      <c r="I320" s="41"/>
      <c r="J320" s="42">
        <f t="shared" si="17"/>
        <v>0</v>
      </c>
      <c r="K320" s="54"/>
      <c r="L320" s="48"/>
      <c r="M320" s="48"/>
      <c r="N320" s="48"/>
      <c r="O320" s="45">
        <v>46153</v>
      </c>
      <c r="P320" s="46"/>
    </row>
    <row r="321" spans="1:16" ht="16.5" customHeight="1" x14ac:dyDescent="0.35">
      <c r="A321" s="36" t="s">
        <v>767</v>
      </c>
      <c r="B321" s="51" t="s">
        <v>765</v>
      </c>
      <c r="C321" s="52" t="s">
        <v>762</v>
      </c>
      <c r="D321" s="52"/>
      <c r="E321" s="53">
        <v>14990000</v>
      </c>
      <c r="F321" s="39">
        <f t="shared" ref="F321:F384" si="18">+E321*0.08</f>
        <v>1199200</v>
      </c>
      <c r="G321" s="40">
        <f t="shared" ref="G321:G384" si="19">E321+F321</f>
        <v>16189200</v>
      </c>
      <c r="H321" s="41">
        <v>16189200</v>
      </c>
      <c r="I321" s="41"/>
      <c r="J321" s="42">
        <f t="shared" si="17"/>
        <v>0</v>
      </c>
      <c r="K321" s="54"/>
      <c r="L321" s="48"/>
      <c r="M321" s="48"/>
      <c r="N321" s="48"/>
      <c r="O321" s="45">
        <v>46167</v>
      </c>
      <c r="P321" s="46"/>
    </row>
    <row r="322" spans="1:16" ht="16.5" customHeight="1" x14ac:dyDescent="0.35">
      <c r="A322" s="36" t="s">
        <v>768</v>
      </c>
      <c r="B322" s="51" t="s">
        <v>765</v>
      </c>
      <c r="C322" s="52" t="s">
        <v>211</v>
      </c>
      <c r="D322" s="52"/>
      <c r="E322" s="53">
        <v>1005000</v>
      </c>
      <c r="F322" s="39">
        <f t="shared" si="18"/>
        <v>80400</v>
      </c>
      <c r="G322" s="40">
        <f t="shared" si="19"/>
        <v>1085400</v>
      </c>
      <c r="H322" s="41">
        <v>1085400</v>
      </c>
      <c r="I322" s="41"/>
      <c r="J322" s="42">
        <f t="shared" si="17"/>
        <v>0</v>
      </c>
      <c r="K322" s="54"/>
      <c r="L322" s="48"/>
      <c r="M322" s="48"/>
      <c r="N322" s="48"/>
      <c r="O322" s="45">
        <v>46167</v>
      </c>
      <c r="P322" s="46"/>
    </row>
    <row r="323" spans="1:16" ht="16.5" customHeight="1" x14ac:dyDescent="0.35">
      <c r="A323" s="36" t="s">
        <v>769</v>
      </c>
      <c r="B323" s="51" t="s">
        <v>765</v>
      </c>
      <c r="C323" s="52" t="s">
        <v>213</v>
      </c>
      <c r="D323" s="52"/>
      <c r="E323" s="53">
        <v>10060000</v>
      </c>
      <c r="F323" s="39">
        <f t="shared" si="18"/>
        <v>804800</v>
      </c>
      <c r="G323" s="40">
        <f t="shared" si="19"/>
        <v>10864800</v>
      </c>
      <c r="H323" s="41">
        <v>10864800</v>
      </c>
      <c r="I323" s="41"/>
      <c r="J323" s="42">
        <f t="shared" si="17"/>
        <v>0</v>
      </c>
      <c r="K323" s="54"/>
      <c r="L323" s="48"/>
      <c r="M323" s="48"/>
      <c r="N323" s="48"/>
      <c r="O323" s="45">
        <v>46153</v>
      </c>
      <c r="P323" s="46"/>
    </row>
    <row r="324" spans="1:16" ht="16.5" customHeight="1" x14ac:dyDescent="0.35">
      <c r="A324" s="36" t="s">
        <v>770</v>
      </c>
      <c r="B324" s="51" t="s">
        <v>766</v>
      </c>
      <c r="C324" s="52" t="s">
        <v>763</v>
      </c>
      <c r="D324" s="52"/>
      <c r="E324" s="53">
        <v>18000000</v>
      </c>
      <c r="F324" s="39">
        <f t="shared" si="18"/>
        <v>1440000</v>
      </c>
      <c r="G324" s="40">
        <f t="shared" si="19"/>
        <v>19440000</v>
      </c>
      <c r="H324" s="41">
        <v>19440000</v>
      </c>
      <c r="I324" s="41"/>
      <c r="J324" s="42">
        <f t="shared" si="17"/>
        <v>0</v>
      </c>
      <c r="K324" s="54"/>
      <c r="L324" s="48"/>
      <c r="M324" s="48"/>
      <c r="N324" s="48"/>
      <c r="O324" s="45">
        <v>46167</v>
      </c>
      <c r="P324" s="46"/>
    </row>
    <row r="325" spans="1:16" ht="16.5" customHeight="1" x14ac:dyDescent="0.35">
      <c r="A325" s="36" t="s">
        <v>771</v>
      </c>
      <c r="B325" s="51" t="s">
        <v>766</v>
      </c>
      <c r="C325" s="52" t="s">
        <v>764</v>
      </c>
      <c r="D325" s="52"/>
      <c r="E325" s="53">
        <v>1005000</v>
      </c>
      <c r="F325" s="39">
        <f t="shared" si="18"/>
        <v>80400</v>
      </c>
      <c r="G325" s="40">
        <f t="shared" si="19"/>
        <v>1085400</v>
      </c>
      <c r="H325" s="41">
        <v>1085400</v>
      </c>
      <c r="I325" s="41"/>
      <c r="J325" s="42">
        <f t="shared" si="17"/>
        <v>0</v>
      </c>
      <c r="K325" s="54"/>
      <c r="L325" s="48"/>
      <c r="M325" s="48"/>
      <c r="N325" s="48"/>
      <c r="O325" s="45">
        <v>46167</v>
      </c>
      <c r="P325" s="46"/>
    </row>
    <row r="326" spans="1:16" ht="16.5" customHeight="1" x14ac:dyDescent="0.35">
      <c r="A326" s="36" t="s">
        <v>746</v>
      </c>
      <c r="B326" s="51">
        <v>46157</v>
      </c>
      <c r="C326" s="52" t="s">
        <v>772</v>
      </c>
      <c r="D326" s="52"/>
      <c r="E326" s="53">
        <v>-20757900</v>
      </c>
      <c r="F326" s="39">
        <f t="shared" si="18"/>
        <v>-1660632</v>
      </c>
      <c r="G326" s="40">
        <f t="shared" si="19"/>
        <v>-22418532</v>
      </c>
      <c r="H326" s="41">
        <v>-22418532</v>
      </c>
      <c r="I326" s="41"/>
      <c r="J326" s="42">
        <f t="shared" si="17"/>
        <v>0</v>
      </c>
      <c r="K326" s="54"/>
      <c r="L326" s="48"/>
      <c r="M326" s="48"/>
      <c r="N326" s="48"/>
      <c r="O326" s="45">
        <v>46167</v>
      </c>
      <c r="P326" s="46"/>
    </row>
    <row r="327" spans="1:16" ht="16.5" customHeight="1" x14ac:dyDescent="0.35">
      <c r="A327" s="36" t="s">
        <v>746</v>
      </c>
      <c r="B327" s="51">
        <v>46157</v>
      </c>
      <c r="C327" s="52" t="s">
        <v>773</v>
      </c>
      <c r="D327" s="52"/>
      <c r="E327" s="53">
        <v>-1721000</v>
      </c>
      <c r="F327" s="39">
        <f t="shared" si="18"/>
        <v>-137680</v>
      </c>
      <c r="G327" s="40">
        <f t="shared" si="19"/>
        <v>-1858680</v>
      </c>
      <c r="H327" s="41">
        <v>-1858680</v>
      </c>
      <c r="I327" s="41"/>
      <c r="J327" s="42">
        <f t="shared" si="17"/>
        <v>0</v>
      </c>
      <c r="K327" s="54"/>
      <c r="L327" s="48"/>
      <c r="M327" s="48"/>
      <c r="N327" s="48"/>
      <c r="O327" s="45">
        <v>46167</v>
      </c>
      <c r="P327" s="46"/>
    </row>
    <row r="328" spans="1:16" ht="16.5" customHeight="1" x14ac:dyDescent="0.35">
      <c r="A328" s="36" t="s">
        <v>781</v>
      </c>
      <c r="B328" s="51" t="s">
        <v>779</v>
      </c>
      <c r="C328" s="52" t="s">
        <v>774</v>
      </c>
      <c r="D328" s="52"/>
      <c r="E328" s="53">
        <v>32195000</v>
      </c>
      <c r="F328" s="39">
        <f t="shared" si="18"/>
        <v>2575600</v>
      </c>
      <c r="G328" s="40">
        <f t="shared" si="19"/>
        <v>34770600</v>
      </c>
      <c r="H328" s="41">
        <v>34770600</v>
      </c>
      <c r="I328" s="41"/>
      <c r="J328" s="42">
        <f t="shared" si="17"/>
        <v>0</v>
      </c>
      <c r="K328" s="54"/>
      <c r="L328" s="48"/>
      <c r="M328" s="48"/>
      <c r="N328" s="48"/>
      <c r="O328" s="45">
        <v>46183</v>
      </c>
      <c r="P328" s="46"/>
    </row>
    <row r="329" spans="1:16" ht="16.5" customHeight="1" x14ac:dyDescent="0.35">
      <c r="A329" s="36" t="s">
        <v>782</v>
      </c>
      <c r="B329" s="51" t="s">
        <v>780</v>
      </c>
      <c r="C329" s="52" t="s">
        <v>775</v>
      </c>
      <c r="D329" s="52"/>
      <c r="E329" s="53">
        <v>1040000</v>
      </c>
      <c r="F329" s="39">
        <f t="shared" si="18"/>
        <v>83200</v>
      </c>
      <c r="G329" s="40">
        <f t="shared" si="19"/>
        <v>1123200</v>
      </c>
      <c r="H329" s="41">
        <v>1123200</v>
      </c>
      <c r="I329" s="41"/>
      <c r="J329" s="42">
        <f t="shared" si="17"/>
        <v>0</v>
      </c>
      <c r="K329" s="54"/>
      <c r="L329" s="48"/>
      <c r="M329" s="48"/>
      <c r="N329" s="48"/>
      <c r="O329" s="45">
        <v>46197</v>
      </c>
      <c r="P329" s="46"/>
    </row>
    <row r="330" spans="1:16" ht="16.5" customHeight="1" x14ac:dyDescent="0.35">
      <c r="A330" s="36" t="s">
        <v>783</v>
      </c>
      <c r="B330" s="51" t="s">
        <v>780</v>
      </c>
      <c r="C330" s="52" t="s">
        <v>776</v>
      </c>
      <c r="D330" s="52"/>
      <c r="E330" s="53">
        <v>19405000</v>
      </c>
      <c r="F330" s="39">
        <f t="shared" si="18"/>
        <v>1552400</v>
      </c>
      <c r="G330" s="40">
        <f t="shared" si="19"/>
        <v>20957400</v>
      </c>
      <c r="H330" s="41">
        <v>20957400</v>
      </c>
      <c r="I330" s="41"/>
      <c r="J330" s="42">
        <f t="shared" si="17"/>
        <v>0</v>
      </c>
      <c r="K330" s="54"/>
      <c r="L330" s="48"/>
      <c r="M330" s="48"/>
      <c r="N330" s="48"/>
      <c r="O330" s="45">
        <v>46197</v>
      </c>
      <c r="P330" s="46"/>
    </row>
    <row r="331" spans="1:16" ht="16.5" customHeight="1" x14ac:dyDescent="0.35">
      <c r="A331" s="36" t="s">
        <v>784</v>
      </c>
      <c r="B331" s="51" t="s">
        <v>780</v>
      </c>
      <c r="C331" s="52" t="s">
        <v>777</v>
      </c>
      <c r="D331" s="52"/>
      <c r="E331" s="53">
        <v>1005000</v>
      </c>
      <c r="F331" s="39">
        <f t="shared" si="18"/>
        <v>80400</v>
      </c>
      <c r="G331" s="40">
        <f t="shared" si="19"/>
        <v>1085400</v>
      </c>
      <c r="H331" s="41">
        <v>1085400</v>
      </c>
      <c r="I331" s="41"/>
      <c r="J331" s="42">
        <f t="shared" si="17"/>
        <v>0</v>
      </c>
      <c r="K331" s="54"/>
      <c r="L331" s="48"/>
      <c r="M331" s="48"/>
      <c r="N331" s="48"/>
      <c r="O331" s="45">
        <v>46183</v>
      </c>
      <c r="P331" s="46"/>
    </row>
    <row r="332" spans="1:16" ht="16.5" customHeight="1" x14ac:dyDescent="0.35">
      <c r="A332" s="36" t="s">
        <v>785</v>
      </c>
      <c r="B332" s="51" t="s">
        <v>780</v>
      </c>
      <c r="C332" s="52" t="s">
        <v>778</v>
      </c>
      <c r="D332" s="52"/>
      <c r="E332" s="53">
        <v>18045000</v>
      </c>
      <c r="F332" s="39">
        <f t="shared" si="18"/>
        <v>1443600</v>
      </c>
      <c r="G332" s="40">
        <f t="shared" si="19"/>
        <v>19488600</v>
      </c>
      <c r="H332" s="41">
        <v>19488600</v>
      </c>
      <c r="I332" s="41"/>
      <c r="J332" s="42">
        <f t="shared" si="17"/>
        <v>0</v>
      </c>
      <c r="K332" s="54"/>
      <c r="L332" s="48"/>
      <c r="M332" s="48"/>
      <c r="N332" s="48"/>
      <c r="O332" s="45">
        <v>46183</v>
      </c>
      <c r="P332" s="46"/>
    </row>
    <row r="333" spans="1:16" ht="16.5" customHeight="1" x14ac:dyDescent="0.35">
      <c r="A333" s="36" t="s">
        <v>798</v>
      </c>
      <c r="B333" s="51" t="s">
        <v>794</v>
      </c>
      <c r="C333" s="52" t="s">
        <v>786</v>
      </c>
      <c r="D333" s="52"/>
      <c r="E333" s="53">
        <v>20990000</v>
      </c>
      <c r="F333" s="39">
        <f t="shared" si="18"/>
        <v>1679200</v>
      </c>
      <c r="G333" s="40">
        <f t="shared" si="19"/>
        <v>22669200</v>
      </c>
      <c r="H333" s="41">
        <v>22669200</v>
      </c>
      <c r="I333" s="41"/>
      <c r="J333" s="42">
        <f t="shared" si="17"/>
        <v>0</v>
      </c>
      <c r="K333" s="54"/>
      <c r="L333" s="48"/>
      <c r="M333" s="48"/>
      <c r="N333" s="48"/>
      <c r="O333" s="45">
        <v>46197</v>
      </c>
      <c r="P333" s="46"/>
    </row>
    <row r="334" spans="1:16" ht="16.5" customHeight="1" x14ac:dyDescent="0.35">
      <c r="A334" s="36" t="s">
        <v>799</v>
      </c>
      <c r="B334" s="51" t="s">
        <v>794</v>
      </c>
      <c r="C334" s="52" t="s">
        <v>787</v>
      </c>
      <c r="D334" s="52"/>
      <c r="E334" s="53">
        <v>1920000</v>
      </c>
      <c r="F334" s="39">
        <f t="shared" si="18"/>
        <v>153600</v>
      </c>
      <c r="G334" s="40">
        <f t="shared" si="19"/>
        <v>2073600</v>
      </c>
      <c r="H334" s="41">
        <v>2073600</v>
      </c>
      <c r="I334" s="41"/>
      <c r="J334" s="42">
        <f t="shared" ref="J334:J386" si="20">G334-H334</f>
        <v>0</v>
      </c>
      <c r="K334" s="54"/>
      <c r="L334" s="48"/>
      <c r="M334" s="48"/>
      <c r="N334" s="48"/>
      <c r="O334" s="45">
        <v>46197</v>
      </c>
      <c r="P334" s="46"/>
    </row>
    <row r="335" spans="1:16" ht="16.5" customHeight="1" x14ac:dyDescent="0.35">
      <c r="A335" s="36" t="s">
        <v>800</v>
      </c>
      <c r="B335" s="51" t="s">
        <v>795</v>
      </c>
      <c r="C335" s="52" t="s">
        <v>788</v>
      </c>
      <c r="D335" s="52"/>
      <c r="E335" s="53">
        <v>32160000</v>
      </c>
      <c r="F335" s="39">
        <f t="shared" si="18"/>
        <v>2572800</v>
      </c>
      <c r="G335" s="40">
        <f t="shared" si="19"/>
        <v>34732800</v>
      </c>
      <c r="H335" s="41">
        <v>34732800</v>
      </c>
      <c r="I335" s="41"/>
      <c r="J335" s="42">
        <f t="shared" si="20"/>
        <v>0</v>
      </c>
      <c r="K335" s="54"/>
      <c r="L335" s="48"/>
      <c r="M335" s="48"/>
      <c r="N335" s="48"/>
      <c r="O335" s="45">
        <v>46213</v>
      </c>
      <c r="P335" s="46"/>
    </row>
    <row r="336" spans="1:16" ht="16.5" customHeight="1" x14ac:dyDescent="0.35">
      <c r="A336" s="36" t="s">
        <v>801</v>
      </c>
      <c r="B336" s="51" t="s">
        <v>796</v>
      </c>
      <c r="C336" s="52" t="s">
        <v>789</v>
      </c>
      <c r="D336" s="52"/>
      <c r="E336" s="53">
        <v>21205000</v>
      </c>
      <c r="F336" s="39">
        <f t="shared" si="18"/>
        <v>1696400</v>
      </c>
      <c r="G336" s="40">
        <f t="shared" si="19"/>
        <v>22901400</v>
      </c>
      <c r="H336" s="41">
        <v>22901400</v>
      </c>
      <c r="I336" s="41"/>
      <c r="J336" s="42">
        <f t="shared" si="20"/>
        <v>0</v>
      </c>
      <c r="K336" s="54"/>
      <c r="L336" s="48"/>
      <c r="M336" s="48"/>
      <c r="N336" s="48"/>
      <c r="O336" s="45" t="s">
        <v>806</v>
      </c>
      <c r="P336" s="46"/>
    </row>
    <row r="337" spans="1:18" ht="16.5" customHeight="1" x14ac:dyDescent="0.35">
      <c r="A337" s="36" t="s">
        <v>802</v>
      </c>
      <c r="B337" s="51" t="s">
        <v>796</v>
      </c>
      <c r="C337" s="52" t="s">
        <v>790</v>
      </c>
      <c r="D337" s="52"/>
      <c r="E337" s="53">
        <v>1005000</v>
      </c>
      <c r="F337" s="39">
        <f t="shared" si="18"/>
        <v>80400</v>
      </c>
      <c r="G337" s="40">
        <f t="shared" si="19"/>
        <v>1085400</v>
      </c>
      <c r="H337" s="41">
        <v>1085400</v>
      </c>
      <c r="I337" s="41"/>
      <c r="J337" s="42">
        <f t="shared" si="20"/>
        <v>0</v>
      </c>
      <c r="K337" s="54"/>
      <c r="L337" s="48"/>
      <c r="M337" s="48"/>
      <c r="N337" s="48"/>
      <c r="O337" s="45">
        <v>46227</v>
      </c>
      <c r="P337" s="46"/>
    </row>
    <row r="338" spans="1:18" ht="16.5" customHeight="1" x14ac:dyDescent="0.35">
      <c r="A338" s="36" t="s">
        <v>803</v>
      </c>
      <c r="B338" s="51" t="s">
        <v>796</v>
      </c>
      <c r="C338" s="52" t="s">
        <v>791</v>
      </c>
      <c r="D338" s="52"/>
      <c r="E338" s="53">
        <v>17890000</v>
      </c>
      <c r="F338" s="39">
        <f t="shared" si="18"/>
        <v>1431200</v>
      </c>
      <c r="G338" s="40">
        <f t="shared" si="19"/>
        <v>19321200</v>
      </c>
      <c r="H338" s="41">
        <v>19321200</v>
      </c>
      <c r="I338" s="41"/>
      <c r="J338" s="42">
        <f t="shared" si="20"/>
        <v>0</v>
      </c>
      <c r="K338" s="54"/>
      <c r="L338" s="48"/>
      <c r="M338" s="48"/>
      <c r="N338" s="48"/>
      <c r="O338" s="45">
        <v>46213</v>
      </c>
      <c r="P338" s="46"/>
    </row>
    <row r="339" spans="1:18" ht="16.5" customHeight="1" x14ac:dyDescent="0.35">
      <c r="A339" s="36" t="s">
        <v>804</v>
      </c>
      <c r="B339" s="51" t="s">
        <v>796</v>
      </c>
      <c r="C339" s="52" t="s">
        <v>792</v>
      </c>
      <c r="D339" s="52"/>
      <c r="E339" s="53">
        <v>2040000</v>
      </c>
      <c r="F339" s="39">
        <f t="shared" si="18"/>
        <v>163200</v>
      </c>
      <c r="G339" s="40">
        <f t="shared" si="19"/>
        <v>2203200</v>
      </c>
      <c r="H339" s="41">
        <v>2203200</v>
      </c>
      <c r="I339" s="41"/>
      <c r="J339" s="42">
        <f t="shared" si="20"/>
        <v>0</v>
      </c>
      <c r="K339" s="54"/>
      <c r="L339" s="48"/>
      <c r="M339" s="48"/>
      <c r="N339" s="48"/>
      <c r="O339" s="45">
        <v>46213</v>
      </c>
      <c r="P339" s="46"/>
    </row>
    <row r="340" spans="1:18" ht="16.5" customHeight="1" x14ac:dyDescent="0.35">
      <c r="A340" s="36" t="s">
        <v>805</v>
      </c>
      <c r="B340" s="51" t="s">
        <v>797</v>
      </c>
      <c r="C340" s="52" t="s">
        <v>793</v>
      </c>
      <c r="D340" s="52"/>
      <c r="E340" s="53">
        <v>21090000</v>
      </c>
      <c r="F340" s="39">
        <f t="shared" si="18"/>
        <v>1687200</v>
      </c>
      <c r="G340" s="40">
        <f t="shared" si="19"/>
        <v>22777200</v>
      </c>
      <c r="H340" s="41">
        <v>22777200</v>
      </c>
      <c r="I340" s="41"/>
      <c r="J340" s="42">
        <f t="shared" si="20"/>
        <v>0</v>
      </c>
      <c r="K340" s="54"/>
      <c r="L340" s="48"/>
      <c r="M340" s="48"/>
      <c r="N340" s="48"/>
      <c r="O340" s="45">
        <v>46227</v>
      </c>
      <c r="P340" s="46"/>
    </row>
    <row r="341" spans="1:18" ht="16.5" customHeight="1" x14ac:dyDescent="0.35">
      <c r="A341" s="36" t="s">
        <v>809</v>
      </c>
      <c r="B341" s="51">
        <v>46205</v>
      </c>
      <c r="C341" s="52" t="s">
        <v>807</v>
      </c>
      <c r="D341" s="52"/>
      <c r="E341" s="53">
        <v>28930000</v>
      </c>
      <c r="F341" s="39">
        <f t="shared" si="18"/>
        <v>2314400</v>
      </c>
      <c r="G341" s="40">
        <f t="shared" si="19"/>
        <v>31244400</v>
      </c>
      <c r="H341" s="41">
        <v>31244400</v>
      </c>
      <c r="I341" s="41" t="s">
        <v>831</v>
      </c>
      <c r="J341" s="42">
        <f t="shared" si="20"/>
        <v>0</v>
      </c>
      <c r="K341" s="54"/>
      <c r="L341" s="48"/>
      <c r="M341" s="48"/>
      <c r="N341" s="48"/>
      <c r="O341" s="45">
        <v>46244</v>
      </c>
      <c r="P341" s="46"/>
    </row>
    <row r="342" spans="1:18" ht="16.5" customHeight="1" x14ac:dyDescent="0.35">
      <c r="A342" s="36" t="s">
        <v>810</v>
      </c>
      <c r="B342" s="51">
        <v>46205</v>
      </c>
      <c r="C342" s="52" t="s">
        <v>808</v>
      </c>
      <c r="D342" s="52"/>
      <c r="E342" s="53">
        <v>3045000</v>
      </c>
      <c r="F342" s="39">
        <f t="shared" si="18"/>
        <v>243600</v>
      </c>
      <c r="G342" s="40">
        <f t="shared" si="19"/>
        <v>3288600</v>
      </c>
      <c r="H342" s="41">
        <v>3288600</v>
      </c>
      <c r="I342" s="41"/>
      <c r="J342" s="42">
        <f t="shared" si="20"/>
        <v>0</v>
      </c>
      <c r="K342" s="54"/>
      <c r="L342" s="48"/>
      <c r="M342" s="48"/>
      <c r="N342" s="48"/>
      <c r="O342" s="45">
        <v>46227</v>
      </c>
      <c r="P342" s="46"/>
    </row>
    <row r="343" spans="1:18" ht="16.5" customHeight="1" x14ac:dyDescent="0.35">
      <c r="A343" s="36" t="s">
        <v>811</v>
      </c>
      <c r="B343" s="51">
        <v>46210</v>
      </c>
      <c r="C343" s="52" t="s">
        <v>812</v>
      </c>
      <c r="D343" s="52"/>
      <c r="E343" s="53"/>
      <c r="F343" s="39">
        <f t="shared" si="18"/>
        <v>0</v>
      </c>
      <c r="G343" s="40">
        <f t="shared" si="19"/>
        <v>0</v>
      </c>
      <c r="H343" s="41"/>
      <c r="I343" s="41">
        <v>103145022</v>
      </c>
      <c r="J343" s="42">
        <f t="shared" si="20"/>
        <v>0</v>
      </c>
      <c r="K343" s="54"/>
      <c r="L343" s="48"/>
      <c r="M343" s="48"/>
      <c r="N343" s="48"/>
      <c r="O343" s="45" t="s">
        <v>830</v>
      </c>
      <c r="P343" s="83">
        <v>101266524</v>
      </c>
      <c r="Q343" s="84">
        <f>+I343-P343</f>
        <v>1878498</v>
      </c>
    </row>
    <row r="344" spans="1:18" ht="16.5" customHeight="1" x14ac:dyDescent="0.35">
      <c r="A344" s="36" t="s">
        <v>811</v>
      </c>
      <c r="B344" s="51">
        <v>46210</v>
      </c>
      <c r="C344" s="52" t="s">
        <v>813</v>
      </c>
      <c r="D344" s="52"/>
      <c r="E344" s="53"/>
      <c r="F344" s="39">
        <f t="shared" si="18"/>
        <v>0</v>
      </c>
      <c r="G344" s="40">
        <f t="shared" si="19"/>
        <v>0</v>
      </c>
      <c r="H344" s="41"/>
      <c r="I344" s="41">
        <v>13826808</v>
      </c>
      <c r="J344" s="42">
        <f t="shared" si="20"/>
        <v>0</v>
      </c>
      <c r="K344" s="54"/>
      <c r="L344" s="48"/>
      <c r="M344" s="48"/>
      <c r="N344" s="48"/>
      <c r="O344" s="45">
        <v>46213</v>
      </c>
      <c r="P344" s="46"/>
    </row>
    <row r="345" spans="1:18" ht="16.5" customHeight="1" x14ac:dyDescent="0.35">
      <c r="A345" s="36" t="s">
        <v>811</v>
      </c>
      <c r="B345" s="51">
        <v>46210</v>
      </c>
      <c r="C345" s="52" t="s">
        <v>814</v>
      </c>
      <c r="D345" s="52"/>
      <c r="E345" s="53"/>
      <c r="F345" s="39">
        <f t="shared" si="18"/>
        <v>0</v>
      </c>
      <c r="G345" s="40">
        <f t="shared" si="19"/>
        <v>0</v>
      </c>
      <c r="H345" s="41"/>
      <c r="I345" s="41">
        <v>6721920</v>
      </c>
      <c r="J345" s="42">
        <f t="shared" si="20"/>
        <v>0</v>
      </c>
      <c r="K345" s="54"/>
      <c r="L345" s="48"/>
      <c r="M345" s="48"/>
      <c r="N345" s="48"/>
      <c r="O345" s="45">
        <v>46213</v>
      </c>
      <c r="P345" s="46"/>
    </row>
    <row r="346" spans="1:18" ht="16.5" customHeight="1" x14ac:dyDescent="0.35">
      <c r="A346" s="36" t="s">
        <v>811</v>
      </c>
      <c r="B346" s="51">
        <v>46210</v>
      </c>
      <c r="C346" s="52" t="s">
        <v>815</v>
      </c>
      <c r="D346" s="52"/>
      <c r="E346" s="53"/>
      <c r="F346" s="39">
        <f t="shared" si="18"/>
        <v>0</v>
      </c>
      <c r="G346" s="40">
        <f t="shared" si="19"/>
        <v>0</v>
      </c>
      <c r="H346" s="41"/>
      <c r="I346" s="41">
        <v>34057584</v>
      </c>
      <c r="J346" s="42">
        <f t="shared" si="20"/>
        <v>0</v>
      </c>
      <c r="K346" s="54"/>
      <c r="L346" s="48"/>
      <c r="M346" s="48"/>
      <c r="N346" s="48"/>
      <c r="O346" s="45">
        <v>46213</v>
      </c>
      <c r="P346" s="46"/>
    </row>
    <row r="347" spans="1:18" ht="16.5" customHeight="1" x14ac:dyDescent="0.35">
      <c r="A347" s="36" t="s">
        <v>811</v>
      </c>
      <c r="B347" s="51">
        <v>46210</v>
      </c>
      <c r="C347" s="52" t="s">
        <v>816</v>
      </c>
      <c r="D347" s="52"/>
      <c r="E347" s="53"/>
      <c r="F347" s="39">
        <f t="shared" si="18"/>
        <v>0</v>
      </c>
      <c r="G347" s="40">
        <f t="shared" si="19"/>
        <v>0</v>
      </c>
      <c r="H347" s="41"/>
      <c r="I347" s="41">
        <v>7160400</v>
      </c>
      <c r="J347" s="42">
        <f t="shared" si="20"/>
        <v>0</v>
      </c>
      <c r="K347" s="54"/>
      <c r="L347" s="48"/>
      <c r="M347" s="48"/>
      <c r="N347" s="48"/>
      <c r="O347" s="45">
        <v>46213</v>
      </c>
      <c r="P347" s="46"/>
    </row>
    <row r="348" spans="1:18" ht="16.5" customHeight="1" x14ac:dyDescent="0.35">
      <c r="A348" s="36" t="s">
        <v>811</v>
      </c>
      <c r="B348" s="51">
        <v>46210</v>
      </c>
      <c r="C348" s="52" t="s">
        <v>817</v>
      </c>
      <c r="D348" s="52"/>
      <c r="E348" s="53"/>
      <c r="F348" s="39">
        <f t="shared" si="18"/>
        <v>0</v>
      </c>
      <c r="G348" s="40">
        <f t="shared" si="19"/>
        <v>0</v>
      </c>
      <c r="H348" s="41"/>
      <c r="I348" s="41">
        <v>77052168</v>
      </c>
      <c r="J348" s="42">
        <f t="shared" si="20"/>
        <v>0</v>
      </c>
      <c r="K348" s="54"/>
      <c r="L348" s="48"/>
      <c r="M348" s="48"/>
      <c r="N348" s="48"/>
      <c r="O348" s="45">
        <v>46213</v>
      </c>
      <c r="P348" s="46"/>
    </row>
    <row r="349" spans="1:18" ht="16.5" customHeight="1" x14ac:dyDescent="0.35">
      <c r="A349" s="36" t="s">
        <v>811</v>
      </c>
      <c r="B349" s="51">
        <v>46210</v>
      </c>
      <c r="C349" s="52" t="s">
        <v>818</v>
      </c>
      <c r="D349" s="52"/>
      <c r="E349" s="53"/>
      <c r="F349" s="39">
        <f t="shared" si="18"/>
        <v>0</v>
      </c>
      <c r="G349" s="40">
        <f t="shared" si="19"/>
        <v>0</v>
      </c>
      <c r="H349" s="41"/>
      <c r="I349" s="41">
        <v>69648876</v>
      </c>
      <c r="J349" s="42">
        <f t="shared" si="20"/>
        <v>0</v>
      </c>
      <c r="K349" s="54"/>
      <c r="L349" s="48"/>
      <c r="M349" s="48"/>
      <c r="N349" s="48"/>
      <c r="O349" s="45">
        <v>46213</v>
      </c>
      <c r="P349" s="46"/>
    </row>
    <row r="350" spans="1:18" ht="16.5" customHeight="1" x14ac:dyDescent="0.35">
      <c r="A350" s="36" t="s">
        <v>811</v>
      </c>
      <c r="B350" s="51">
        <v>46210</v>
      </c>
      <c r="C350" s="52" t="s">
        <v>819</v>
      </c>
      <c r="D350" s="52"/>
      <c r="E350" s="53"/>
      <c r="F350" s="39">
        <f t="shared" si="18"/>
        <v>0</v>
      </c>
      <c r="G350" s="40">
        <f t="shared" si="19"/>
        <v>0</v>
      </c>
      <c r="H350" s="41"/>
      <c r="I350" s="41">
        <v>62791200</v>
      </c>
      <c r="J350" s="42">
        <f t="shared" si="20"/>
        <v>0</v>
      </c>
      <c r="K350" s="54"/>
      <c r="L350" s="48"/>
      <c r="M350" s="48"/>
      <c r="N350" s="48"/>
      <c r="O350" s="45" t="s">
        <v>846</v>
      </c>
      <c r="P350" s="46"/>
      <c r="Q350" s="85">
        <v>33646971</v>
      </c>
      <c r="R350" s="84">
        <f>+I350-Q350</f>
        <v>29144229</v>
      </c>
    </row>
    <row r="351" spans="1:18" ht="16.5" customHeight="1" x14ac:dyDescent="0.35">
      <c r="A351" s="36" t="s">
        <v>811</v>
      </c>
      <c r="B351" s="51">
        <v>46210</v>
      </c>
      <c r="C351" s="52" t="s">
        <v>820</v>
      </c>
      <c r="D351" s="52"/>
      <c r="E351" s="53"/>
      <c r="F351" s="39">
        <f t="shared" si="18"/>
        <v>0</v>
      </c>
      <c r="G351" s="40">
        <f t="shared" si="19"/>
        <v>0</v>
      </c>
      <c r="H351" s="41"/>
      <c r="I351" s="41">
        <v>3681288</v>
      </c>
      <c r="J351" s="42">
        <f t="shared" si="20"/>
        <v>0</v>
      </c>
      <c r="K351" s="54"/>
      <c r="L351" s="48"/>
      <c r="M351" s="48"/>
      <c r="N351" s="48"/>
      <c r="O351" s="45">
        <v>46227</v>
      </c>
      <c r="P351" s="46"/>
    </row>
    <row r="352" spans="1:18" ht="16.5" customHeight="1" x14ac:dyDescent="0.35">
      <c r="A352" s="36" t="s">
        <v>811</v>
      </c>
      <c r="B352" s="51">
        <v>46210</v>
      </c>
      <c r="C352" s="52" t="s">
        <v>821</v>
      </c>
      <c r="D352" s="52"/>
      <c r="E352" s="53"/>
      <c r="F352" s="39">
        <f t="shared" si="18"/>
        <v>0</v>
      </c>
      <c r="G352" s="40">
        <f t="shared" si="19"/>
        <v>0</v>
      </c>
      <c r="H352" s="41"/>
      <c r="I352" s="41">
        <v>1389960</v>
      </c>
      <c r="J352" s="42">
        <f t="shared" si="20"/>
        <v>0</v>
      </c>
      <c r="K352" s="54"/>
      <c r="L352" s="48"/>
      <c r="M352" s="48"/>
      <c r="N352" s="48"/>
      <c r="O352" s="45">
        <v>46213</v>
      </c>
      <c r="P352" s="46"/>
    </row>
    <row r="353" spans="1:16" ht="16.5" customHeight="1" x14ac:dyDescent="0.35">
      <c r="A353" s="36" t="s">
        <v>811</v>
      </c>
      <c r="B353" s="51">
        <v>46210</v>
      </c>
      <c r="C353" s="52" t="s">
        <v>822</v>
      </c>
      <c r="D353" s="52"/>
      <c r="E353" s="53"/>
      <c r="F353" s="39">
        <f t="shared" si="18"/>
        <v>0</v>
      </c>
      <c r="G353" s="40">
        <f t="shared" si="19"/>
        <v>0</v>
      </c>
      <c r="H353" s="41"/>
      <c r="I353" s="41">
        <v>2615760</v>
      </c>
      <c r="J353" s="42">
        <f t="shared" si="20"/>
        <v>0</v>
      </c>
      <c r="K353" s="54"/>
      <c r="L353" s="48"/>
      <c r="M353" s="48"/>
      <c r="N353" s="48"/>
      <c r="O353" s="45">
        <v>46213</v>
      </c>
      <c r="P353" s="46"/>
    </row>
    <row r="354" spans="1:16" ht="16.5" customHeight="1" x14ac:dyDescent="0.35">
      <c r="A354" s="36" t="s">
        <v>811</v>
      </c>
      <c r="B354" s="51">
        <v>46210</v>
      </c>
      <c r="C354" s="52" t="s">
        <v>823</v>
      </c>
      <c r="D354" s="52"/>
      <c r="E354" s="53"/>
      <c r="F354" s="39">
        <f t="shared" si="18"/>
        <v>0</v>
      </c>
      <c r="G354" s="40">
        <f t="shared" si="19"/>
        <v>0</v>
      </c>
      <c r="H354" s="41"/>
      <c r="I354" s="41">
        <v>243000</v>
      </c>
      <c r="J354" s="42">
        <f t="shared" si="20"/>
        <v>0</v>
      </c>
      <c r="K354" s="54"/>
      <c r="L354" s="48"/>
      <c r="M354" s="48"/>
      <c r="N354" s="48"/>
      <c r="O354" s="45">
        <v>46213</v>
      </c>
      <c r="P354" s="46"/>
    </row>
    <row r="355" spans="1:16" ht="16.5" customHeight="1" x14ac:dyDescent="0.35">
      <c r="A355" s="36" t="s">
        <v>824</v>
      </c>
      <c r="B355" s="51">
        <v>46214</v>
      </c>
      <c r="C355" s="52" t="s">
        <v>827</v>
      </c>
      <c r="D355" s="52"/>
      <c r="E355" s="53">
        <v>16055000</v>
      </c>
      <c r="F355" s="39">
        <f t="shared" si="18"/>
        <v>1284400</v>
      </c>
      <c r="G355" s="40">
        <f t="shared" si="19"/>
        <v>17339400</v>
      </c>
      <c r="H355" s="41">
        <v>17339400</v>
      </c>
      <c r="I355" s="41"/>
      <c r="J355" s="42">
        <f t="shared" si="20"/>
        <v>0</v>
      </c>
      <c r="K355" s="54"/>
      <c r="L355" s="48"/>
      <c r="M355" s="48"/>
      <c r="N355" s="48"/>
      <c r="O355" s="45">
        <v>46244</v>
      </c>
      <c r="P355" s="46"/>
    </row>
    <row r="356" spans="1:16" ht="16.5" customHeight="1" x14ac:dyDescent="0.35">
      <c r="A356" s="36" t="s">
        <v>825</v>
      </c>
      <c r="B356" s="51">
        <v>46214</v>
      </c>
      <c r="C356" s="52" t="s">
        <v>826</v>
      </c>
      <c r="D356" s="52"/>
      <c r="E356" s="53">
        <v>26365000</v>
      </c>
      <c r="F356" s="39">
        <f t="shared" si="18"/>
        <v>2109200</v>
      </c>
      <c r="G356" s="40">
        <f t="shared" si="19"/>
        <v>28474200</v>
      </c>
      <c r="H356" s="41">
        <v>28474200</v>
      </c>
      <c r="I356" s="41"/>
      <c r="J356" s="42">
        <f t="shared" si="20"/>
        <v>0</v>
      </c>
      <c r="K356" s="54"/>
      <c r="L356" s="48"/>
      <c r="M356" s="48"/>
      <c r="N356" s="48"/>
      <c r="O356" s="45">
        <v>46244</v>
      </c>
      <c r="P356" s="46"/>
    </row>
    <row r="357" spans="1:16" ht="16.5" customHeight="1" x14ac:dyDescent="0.35">
      <c r="A357" s="36" t="s">
        <v>829</v>
      </c>
      <c r="B357" s="51">
        <v>46214</v>
      </c>
      <c r="C357" s="52" t="s">
        <v>828</v>
      </c>
      <c r="D357" s="52"/>
      <c r="E357" s="53">
        <v>2960000</v>
      </c>
      <c r="F357" s="39">
        <f t="shared" si="18"/>
        <v>236800</v>
      </c>
      <c r="G357" s="40">
        <f t="shared" si="19"/>
        <v>3196800</v>
      </c>
      <c r="H357" s="41">
        <v>3196800</v>
      </c>
      <c r="I357" s="41"/>
      <c r="J357" s="42">
        <f t="shared" si="20"/>
        <v>0</v>
      </c>
      <c r="K357" s="54"/>
      <c r="L357" s="48"/>
      <c r="M357" s="48"/>
      <c r="N357" s="48"/>
      <c r="O357" s="45">
        <v>46244</v>
      </c>
      <c r="P357" s="46"/>
    </row>
    <row r="358" spans="1:16" ht="16.5" customHeight="1" x14ac:dyDescent="0.35">
      <c r="A358" s="36" t="s">
        <v>841</v>
      </c>
      <c r="B358" s="51" t="s">
        <v>837</v>
      </c>
      <c r="C358" s="52" t="s">
        <v>832</v>
      </c>
      <c r="D358" s="52"/>
      <c r="E358" s="53">
        <v>1005000</v>
      </c>
      <c r="F358" s="39">
        <f t="shared" si="18"/>
        <v>80400</v>
      </c>
      <c r="G358" s="40">
        <f t="shared" si="19"/>
        <v>1085400</v>
      </c>
      <c r="H358" s="41"/>
      <c r="I358" s="41"/>
      <c r="J358" s="42">
        <f t="shared" si="20"/>
        <v>1085400</v>
      </c>
      <c r="K358" s="54"/>
      <c r="L358" s="48"/>
      <c r="M358" s="48"/>
      <c r="N358" s="48"/>
      <c r="O358" s="45"/>
      <c r="P358" s="46"/>
    </row>
    <row r="359" spans="1:16" ht="16.5" customHeight="1" x14ac:dyDescent="0.35">
      <c r="A359" s="36" t="s">
        <v>842</v>
      </c>
      <c r="B359" s="51" t="s">
        <v>837</v>
      </c>
      <c r="C359" s="52" t="s">
        <v>833</v>
      </c>
      <c r="D359" s="52"/>
      <c r="E359" s="53">
        <v>11135000</v>
      </c>
      <c r="F359" s="39">
        <f t="shared" si="18"/>
        <v>890800</v>
      </c>
      <c r="G359" s="40">
        <f t="shared" si="19"/>
        <v>12025800</v>
      </c>
      <c r="H359" s="41"/>
      <c r="I359" s="41"/>
      <c r="J359" s="42">
        <f t="shared" si="20"/>
        <v>12025800</v>
      </c>
      <c r="K359" s="54"/>
      <c r="L359" s="48"/>
      <c r="M359" s="48"/>
      <c r="N359" s="48"/>
      <c r="O359" s="45"/>
      <c r="P359" s="46"/>
    </row>
    <row r="360" spans="1:16" ht="16.5" customHeight="1" x14ac:dyDescent="0.35">
      <c r="A360" s="36" t="s">
        <v>843</v>
      </c>
      <c r="B360" s="51" t="s">
        <v>838</v>
      </c>
      <c r="C360" s="52" t="s">
        <v>834</v>
      </c>
      <c r="D360" s="52"/>
      <c r="E360" s="53">
        <v>8075000</v>
      </c>
      <c r="F360" s="39">
        <f t="shared" si="18"/>
        <v>646000</v>
      </c>
      <c r="G360" s="40">
        <f t="shared" si="19"/>
        <v>8721000</v>
      </c>
      <c r="H360" s="41"/>
      <c r="I360" s="41"/>
      <c r="J360" s="42">
        <f t="shared" si="20"/>
        <v>8721000</v>
      </c>
      <c r="K360" s="54"/>
      <c r="L360" s="48"/>
      <c r="M360" s="48"/>
      <c r="N360" s="48"/>
      <c r="O360" s="45"/>
      <c r="P360" s="46"/>
    </row>
    <row r="361" spans="1:16" ht="16.5" customHeight="1" x14ac:dyDescent="0.35">
      <c r="A361" s="36" t="s">
        <v>844</v>
      </c>
      <c r="B361" s="51" t="s">
        <v>839</v>
      </c>
      <c r="C361" s="52" t="s">
        <v>835</v>
      </c>
      <c r="D361" s="52"/>
      <c r="E361" s="53">
        <v>34075000</v>
      </c>
      <c r="F361" s="39">
        <f t="shared" si="18"/>
        <v>2726000</v>
      </c>
      <c r="G361" s="40">
        <f t="shared" si="19"/>
        <v>36801000</v>
      </c>
      <c r="H361" s="41"/>
      <c r="I361" s="41"/>
      <c r="J361" s="42">
        <f t="shared" si="20"/>
        <v>36801000</v>
      </c>
      <c r="K361" s="54"/>
      <c r="L361" s="48"/>
      <c r="M361" s="48"/>
      <c r="N361" s="48"/>
      <c r="O361" s="45"/>
      <c r="P361" s="46"/>
    </row>
    <row r="362" spans="1:16" ht="16.5" customHeight="1" x14ac:dyDescent="0.35">
      <c r="A362" s="36" t="s">
        <v>845</v>
      </c>
      <c r="B362" s="51" t="s">
        <v>840</v>
      </c>
      <c r="C362" s="52" t="s">
        <v>836</v>
      </c>
      <c r="D362" s="52"/>
      <c r="E362" s="53">
        <v>16090000</v>
      </c>
      <c r="F362" s="39">
        <f t="shared" si="18"/>
        <v>1287200</v>
      </c>
      <c r="G362" s="40">
        <f t="shared" si="19"/>
        <v>17377200</v>
      </c>
      <c r="H362" s="41"/>
      <c r="I362" s="41"/>
      <c r="J362" s="42">
        <f t="shared" si="20"/>
        <v>17377200</v>
      </c>
      <c r="K362" s="54"/>
      <c r="L362" s="48"/>
      <c r="M362" s="48"/>
      <c r="N362" s="48"/>
      <c r="O362" s="45"/>
      <c r="P362" s="46"/>
    </row>
    <row r="363" spans="1:16" ht="16.5" customHeight="1" x14ac:dyDescent="0.35">
      <c r="A363" s="36" t="s">
        <v>746</v>
      </c>
      <c r="B363" s="51">
        <v>46232</v>
      </c>
      <c r="C363" s="52" t="s">
        <v>847</v>
      </c>
      <c r="D363" s="52"/>
      <c r="E363" s="53"/>
      <c r="F363" s="39">
        <f t="shared" si="18"/>
        <v>0</v>
      </c>
      <c r="G363" s="40">
        <f t="shared" si="19"/>
        <v>0</v>
      </c>
      <c r="H363" s="41"/>
      <c r="I363" s="41">
        <v>13054608</v>
      </c>
      <c r="J363" s="42">
        <f t="shared" si="20"/>
        <v>0</v>
      </c>
      <c r="K363" s="54"/>
      <c r="L363" s="48"/>
      <c r="M363" s="48"/>
      <c r="N363" s="48"/>
      <c r="O363" s="45">
        <v>46244</v>
      </c>
      <c r="P363" s="46"/>
    </row>
    <row r="364" spans="1:16" ht="16.5" customHeight="1" x14ac:dyDescent="0.35">
      <c r="A364" s="36" t="s">
        <v>850</v>
      </c>
      <c r="B364" s="51">
        <v>46245</v>
      </c>
      <c r="C364" s="52" t="s">
        <v>848</v>
      </c>
      <c r="D364" s="52"/>
      <c r="E364" s="53">
        <v>1040000</v>
      </c>
      <c r="F364" s="39">
        <f t="shared" si="18"/>
        <v>83200</v>
      </c>
      <c r="G364" s="40">
        <f t="shared" si="19"/>
        <v>1123200</v>
      </c>
      <c r="H364" s="41"/>
      <c r="I364" s="41"/>
      <c r="J364" s="42">
        <f t="shared" si="20"/>
        <v>1123200</v>
      </c>
      <c r="K364" s="54"/>
      <c r="L364" s="48"/>
      <c r="M364" s="48"/>
      <c r="N364" s="48"/>
      <c r="O364" s="45"/>
      <c r="P364" s="46"/>
    </row>
    <row r="365" spans="1:16" ht="16.5" customHeight="1" x14ac:dyDescent="0.35">
      <c r="A365" s="36" t="s">
        <v>851</v>
      </c>
      <c r="B365" s="51">
        <v>46245</v>
      </c>
      <c r="C365" s="52" t="s">
        <v>849</v>
      </c>
      <c r="D365" s="52"/>
      <c r="E365" s="53">
        <v>16155000</v>
      </c>
      <c r="F365" s="39">
        <f t="shared" si="18"/>
        <v>1292400</v>
      </c>
      <c r="G365" s="40">
        <f t="shared" si="19"/>
        <v>17447400</v>
      </c>
      <c r="H365" s="41"/>
      <c r="I365" s="41"/>
      <c r="J365" s="42">
        <f t="shared" si="20"/>
        <v>17447400</v>
      </c>
      <c r="K365" s="54"/>
      <c r="L365" s="48"/>
      <c r="M365" s="48"/>
      <c r="N365" s="48"/>
      <c r="O365" s="45"/>
      <c r="P365" s="46"/>
    </row>
    <row r="366" spans="1:16" ht="16.5" customHeight="1" x14ac:dyDescent="0.35">
      <c r="A366" s="36"/>
      <c r="B366" s="51"/>
      <c r="C366" s="52"/>
      <c r="D366" s="52"/>
      <c r="E366" s="53"/>
      <c r="F366" s="39">
        <f t="shared" si="18"/>
        <v>0</v>
      </c>
      <c r="G366" s="40">
        <f t="shared" si="19"/>
        <v>0</v>
      </c>
      <c r="H366" s="41"/>
      <c r="I366" s="41"/>
      <c r="J366" s="42">
        <f t="shared" si="20"/>
        <v>0</v>
      </c>
      <c r="K366" s="54"/>
      <c r="L366" s="48"/>
      <c r="M366" s="48"/>
      <c r="N366" s="48"/>
      <c r="O366" s="45"/>
      <c r="P366" s="46"/>
    </row>
    <row r="367" spans="1:16" ht="16.5" customHeight="1" x14ac:dyDescent="0.35">
      <c r="A367" s="36"/>
      <c r="B367" s="51"/>
      <c r="C367" s="52"/>
      <c r="D367" s="52"/>
      <c r="E367" s="53"/>
      <c r="F367" s="39">
        <f t="shared" si="18"/>
        <v>0</v>
      </c>
      <c r="G367" s="40">
        <f t="shared" si="19"/>
        <v>0</v>
      </c>
      <c r="H367" s="41"/>
      <c r="I367" s="41"/>
      <c r="J367" s="42">
        <f t="shared" si="20"/>
        <v>0</v>
      </c>
      <c r="K367" s="54"/>
      <c r="L367" s="48"/>
      <c r="M367" s="48"/>
      <c r="N367" s="48"/>
      <c r="O367" s="45"/>
      <c r="P367" s="46"/>
    </row>
    <row r="368" spans="1:16" ht="16.5" customHeight="1" x14ac:dyDescent="0.35">
      <c r="A368" s="36"/>
      <c r="B368" s="51"/>
      <c r="C368" s="52"/>
      <c r="D368" s="52"/>
      <c r="E368" s="53"/>
      <c r="F368" s="39">
        <f t="shared" si="18"/>
        <v>0</v>
      </c>
      <c r="G368" s="40">
        <f t="shared" si="19"/>
        <v>0</v>
      </c>
      <c r="H368" s="41"/>
      <c r="I368" s="41"/>
      <c r="J368" s="42">
        <f t="shared" si="20"/>
        <v>0</v>
      </c>
      <c r="K368" s="54"/>
      <c r="L368" s="48"/>
      <c r="M368" s="48"/>
      <c r="N368" s="48"/>
      <c r="O368" s="45"/>
      <c r="P368" s="46"/>
    </row>
    <row r="369" spans="1:16" ht="16.5" customHeight="1" x14ac:dyDescent="0.35">
      <c r="A369" s="36"/>
      <c r="B369" s="51"/>
      <c r="C369" s="52"/>
      <c r="D369" s="52"/>
      <c r="E369" s="53"/>
      <c r="F369" s="39">
        <f t="shared" si="18"/>
        <v>0</v>
      </c>
      <c r="G369" s="40">
        <f t="shared" si="19"/>
        <v>0</v>
      </c>
      <c r="H369" s="41"/>
      <c r="I369" s="41"/>
      <c r="J369" s="42">
        <f t="shared" si="20"/>
        <v>0</v>
      </c>
      <c r="K369" s="54"/>
      <c r="L369" s="48"/>
      <c r="M369" s="48"/>
      <c r="N369" s="48"/>
      <c r="O369" s="45"/>
      <c r="P369" s="46"/>
    </row>
    <row r="370" spans="1:16" ht="16.5" customHeight="1" x14ac:dyDescent="0.35">
      <c r="A370" s="36"/>
      <c r="B370" s="51"/>
      <c r="C370" s="52"/>
      <c r="D370" s="52"/>
      <c r="E370" s="53"/>
      <c r="F370" s="39">
        <f t="shared" si="18"/>
        <v>0</v>
      </c>
      <c r="G370" s="40">
        <f t="shared" si="19"/>
        <v>0</v>
      </c>
      <c r="H370" s="41"/>
      <c r="I370" s="41"/>
      <c r="J370" s="42">
        <f t="shared" si="20"/>
        <v>0</v>
      </c>
      <c r="K370" s="54"/>
      <c r="L370" s="48"/>
      <c r="M370" s="48"/>
      <c r="N370" s="48"/>
      <c r="O370" s="45"/>
      <c r="P370" s="46"/>
    </row>
    <row r="371" spans="1:16" ht="16.5" customHeight="1" x14ac:dyDescent="0.35">
      <c r="A371" s="36"/>
      <c r="B371" s="51"/>
      <c r="C371" s="52"/>
      <c r="D371" s="52"/>
      <c r="E371" s="53"/>
      <c r="F371" s="39">
        <f t="shared" si="18"/>
        <v>0</v>
      </c>
      <c r="G371" s="40">
        <f t="shared" si="19"/>
        <v>0</v>
      </c>
      <c r="H371" s="41"/>
      <c r="I371" s="41"/>
      <c r="J371" s="42">
        <f t="shared" si="20"/>
        <v>0</v>
      </c>
      <c r="K371" s="54"/>
      <c r="L371" s="48"/>
      <c r="M371" s="48"/>
      <c r="N371" s="48"/>
      <c r="O371" s="45"/>
      <c r="P371" s="46"/>
    </row>
    <row r="372" spans="1:16" ht="16.5" customHeight="1" x14ac:dyDescent="0.35">
      <c r="A372" s="36"/>
      <c r="B372" s="51"/>
      <c r="C372" s="52"/>
      <c r="D372" s="52"/>
      <c r="E372" s="53"/>
      <c r="F372" s="39">
        <f t="shared" si="18"/>
        <v>0</v>
      </c>
      <c r="G372" s="40">
        <f t="shared" si="19"/>
        <v>0</v>
      </c>
      <c r="H372" s="41"/>
      <c r="I372" s="41"/>
      <c r="J372" s="42">
        <f t="shared" si="20"/>
        <v>0</v>
      </c>
      <c r="K372" s="54"/>
      <c r="L372" s="48"/>
      <c r="M372" s="48"/>
      <c r="N372" s="48"/>
      <c r="O372" s="45"/>
      <c r="P372" s="46"/>
    </row>
    <row r="373" spans="1:16" ht="16.5" customHeight="1" x14ac:dyDescent="0.35">
      <c r="A373" s="36"/>
      <c r="B373" s="51"/>
      <c r="C373" s="52"/>
      <c r="D373" s="52"/>
      <c r="E373" s="53"/>
      <c r="F373" s="39">
        <f t="shared" si="18"/>
        <v>0</v>
      </c>
      <c r="G373" s="40">
        <f t="shared" si="19"/>
        <v>0</v>
      </c>
      <c r="H373" s="41"/>
      <c r="I373" s="41"/>
      <c r="J373" s="42">
        <f t="shared" si="20"/>
        <v>0</v>
      </c>
      <c r="K373" s="54"/>
      <c r="L373" s="48"/>
      <c r="M373" s="48"/>
      <c r="N373" s="48"/>
      <c r="O373" s="45"/>
      <c r="P373" s="46"/>
    </row>
    <row r="374" spans="1:16" ht="16.5" customHeight="1" x14ac:dyDescent="0.35">
      <c r="A374" s="36"/>
      <c r="B374" s="51"/>
      <c r="C374" s="52"/>
      <c r="D374" s="52"/>
      <c r="E374" s="53"/>
      <c r="F374" s="39">
        <f t="shared" si="18"/>
        <v>0</v>
      </c>
      <c r="G374" s="40">
        <f t="shared" si="19"/>
        <v>0</v>
      </c>
      <c r="H374" s="41"/>
      <c r="I374" s="41"/>
      <c r="J374" s="42">
        <f t="shared" si="20"/>
        <v>0</v>
      </c>
      <c r="K374" s="54"/>
      <c r="L374" s="48"/>
      <c r="M374" s="48"/>
      <c r="N374" s="48"/>
      <c r="O374" s="45"/>
      <c r="P374" s="46"/>
    </row>
    <row r="375" spans="1:16" ht="16.5" customHeight="1" x14ac:dyDescent="0.35">
      <c r="A375" s="36"/>
      <c r="B375" s="51"/>
      <c r="C375" s="52"/>
      <c r="D375" s="52"/>
      <c r="E375" s="53"/>
      <c r="F375" s="39">
        <f t="shared" si="18"/>
        <v>0</v>
      </c>
      <c r="G375" s="40">
        <f t="shared" si="19"/>
        <v>0</v>
      </c>
      <c r="H375" s="41"/>
      <c r="I375" s="41"/>
      <c r="J375" s="42">
        <f t="shared" si="20"/>
        <v>0</v>
      </c>
      <c r="K375" s="54"/>
      <c r="L375" s="48"/>
      <c r="M375" s="48"/>
      <c r="N375" s="48"/>
      <c r="O375" s="45"/>
      <c r="P375" s="46"/>
    </row>
    <row r="376" spans="1:16" ht="16.5" customHeight="1" x14ac:dyDescent="0.35">
      <c r="A376" s="36"/>
      <c r="B376" s="51"/>
      <c r="C376" s="52"/>
      <c r="D376" s="52"/>
      <c r="E376" s="53"/>
      <c r="F376" s="39">
        <f t="shared" si="18"/>
        <v>0</v>
      </c>
      <c r="G376" s="40">
        <f t="shared" si="19"/>
        <v>0</v>
      </c>
      <c r="H376" s="41"/>
      <c r="I376" s="41"/>
      <c r="J376" s="42">
        <f t="shared" si="20"/>
        <v>0</v>
      </c>
      <c r="K376" s="54"/>
      <c r="L376" s="48"/>
      <c r="M376" s="48"/>
      <c r="N376" s="48"/>
      <c r="O376" s="45"/>
      <c r="P376" s="46"/>
    </row>
    <row r="377" spans="1:16" ht="16.5" customHeight="1" x14ac:dyDescent="0.35">
      <c r="A377" s="36"/>
      <c r="B377" s="51"/>
      <c r="C377" s="52"/>
      <c r="D377" s="52"/>
      <c r="E377" s="53"/>
      <c r="F377" s="39">
        <f t="shared" si="18"/>
        <v>0</v>
      </c>
      <c r="G377" s="40">
        <f t="shared" si="19"/>
        <v>0</v>
      </c>
      <c r="H377" s="41"/>
      <c r="I377" s="41"/>
      <c r="J377" s="42">
        <f t="shared" si="20"/>
        <v>0</v>
      </c>
      <c r="K377" s="54"/>
      <c r="L377" s="48"/>
      <c r="M377" s="48"/>
      <c r="N377" s="48"/>
      <c r="O377" s="45"/>
      <c r="P377" s="46"/>
    </row>
    <row r="378" spans="1:16" ht="16.5" customHeight="1" x14ac:dyDescent="0.35">
      <c r="A378" s="36"/>
      <c r="B378" s="51"/>
      <c r="C378" s="52"/>
      <c r="D378" s="52"/>
      <c r="E378" s="53"/>
      <c r="F378" s="39">
        <f t="shared" si="18"/>
        <v>0</v>
      </c>
      <c r="G378" s="40">
        <f t="shared" si="19"/>
        <v>0</v>
      </c>
      <c r="H378" s="41"/>
      <c r="I378" s="41"/>
      <c r="J378" s="42">
        <f t="shared" si="20"/>
        <v>0</v>
      </c>
      <c r="K378" s="54"/>
      <c r="L378" s="48"/>
      <c r="M378" s="48"/>
      <c r="N378" s="48"/>
      <c r="O378" s="45"/>
      <c r="P378" s="46"/>
    </row>
    <row r="379" spans="1:16" ht="16.5" customHeight="1" x14ac:dyDescent="0.35">
      <c r="A379" s="36"/>
      <c r="B379" s="51"/>
      <c r="C379" s="52"/>
      <c r="D379" s="52"/>
      <c r="E379" s="53"/>
      <c r="F379" s="39">
        <f t="shared" si="18"/>
        <v>0</v>
      </c>
      <c r="G379" s="40">
        <f t="shared" si="19"/>
        <v>0</v>
      </c>
      <c r="H379" s="41"/>
      <c r="I379" s="41"/>
      <c r="J379" s="42">
        <f t="shared" si="20"/>
        <v>0</v>
      </c>
      <c r="K379" s="54"/>
      <c r="L379" s="48"/>
      <c r="M379" s="48"/>
      <c r="N379" s="48"/>
      <c r="O379" s="45"/>
      <c r="P379" s="46"/>
    </row>
    <row r="380" spans="1:16" ht="16.5" customHeight="1" x14ac:dyDescent="0.35">
      <c r="A380" s="36"/>
      <c r="B380" s="51"/>
      <c r="C380" s="52"/>
      <c r="D380" s="52"/>
      <c r="E380" s="53"/>
      <c r="F380" s="39">
        <f t="shared" si="18"/>
        <v>0</v>
      </c>
      <c r="G380" s="40">
        <f t="shared" si="19"/>
        <v>0</v>
      </c>
      <c r="H380" s="41"/>
      <c r="I380" s="41"/>
      <c r="J380" s="42">
        <f t="shared" si="20"/>
        <v>0</v>
      </c>
      <c r="K380" s="54"/>
      <c r="L380" s="48"/>
      <c r="M380" s="48"/>
      <c r="N380" s="48"/>
      <c r="O380" s="45"/>
      <c r="P380" s="46"/>
    </row>
    <row r="381" spans="1:16" ht="16.5" customHeight="1" x14ac:dyDescent="0.35">
      <c r="A381" s="36"/>
      <c r="B381" s="51"/>
      <c r="C381" s="52"/>
      <c r="D381" s="52"/>
      <c r="E381" s="53"/>
      <c r="F381" s="39">
        <f t="shared" si="18"/>
        <v>0</v>
      </c>
      <c r="G381" s="40">
        <f t="shared" si="19"/>
        <v>0</v>
      </c>
      <c r="H381" s="41"/>
      <c r="I381" s="41"/>
      <c r="J381" s="42">
        <f t="shared" si="20"/>
        <v>0</v>
      </c>
      <c r="K381" s="54"/>
      <c r="L381" s="48"/>
      <c r="M381" s="48"/>
      <c r="N381" s="48"/>
      <c r="O381" s="45"/>
      <c r="P381" s="46"/>
    </row>
    <row r="382" spans="1:16" ht="16.5" customHeight="1" x14ac:dyDescent="0.35">
      <c r="A382" s="36"/>
      <c r="B382" s="51"/>
      <c r="C382" s="52"/>
      <c r="D382" s="52"/>
      <c r="E382" s="53"/>
      <c r="F382" s="39">
        <f t="shared" si="18"/>
        <v>0</v>
      </c>
      <c r="G382" s="40">
        <f t="shared" si="19"/>
        <v>0</v>
      </c>
      <c r="H382" s="41"/>
      <c r="I382" s="41"/>
      <c r="J382" s="42">
        <f t="shared" si="20"/>
        <v>0</v>
      </c>
      <c r="K382" s="54"/>
      <c r="L382" s="48"/>
      <c r="M382" s="48"/>
      <c r="N382" s="48"/>
      <c r="O382" s="45"/>
      <c r="P382" s="46"/>
    </row>
    <row r="383" spans="1:16" ht="16.5" customHeight="1" x14ac:dyDescent="0.35">
      <c r="A383" s="36"/>
      <c r="B383" s="51"/>
      <c r="C383" s="52"/>
      <c r="D383" s="52"/>
      <c r="E383" s="53"/>
      <c r="F383" s="39">
        <f t="shared" si="18"/>
        <v>0</v>
      </c>
      <c r="G383" s="40">
        <f t="shared" si="19"/>
        <v>0</v>
      </c>
      <c r="H383" s="41"/>
      <c r="I383" s="41"/>
      <c r="J383" s="42">
        <f t="shared" si="20"/>
        <v>0</v>
      </c>
      <c r="K383" s="54"/>
      <c r="L383" s="48"/>
      <c r="M383" s="48"/>
      <c r="N383" s="48"/>
      <c r="O383" s="45"/>
      <c r="P383" s="46"/>
    </row>
    <row r="384" spans="1:16" ht="16.5" customHeight="1" x14ac:dyDescent="0.35">
      <c r="A384" s="36"/>
      <c r="B384" s="51"/>
      <c r="C384" s="52"/>
      <c r="D384" s="52"/>
      <c r="E384" s="53"/>
      <c r="F384" s="39">
        <f t="shared" si="18"/>
        <v>0</v>
      </c>
      <c r="G384" s="40">
        <f t="shared" si="19"/>
        <v>0</v>
      </c>
      <c r="H384" s="41"/>
      <c r="I384" s="41"/>
      <c r="J384" s="42">
        <f t="shared" si="20"/>
        <v>0</v>
      </c>
      <c r="K384" s="54"/>
      <c r="L384" s="48"/>
      <c r="M384" s="48"/>
      <c r="N384" s="48"/>
      <c r="O384" s="45"/>
      <c r="P384" s="46"/>
    </row>
    <row r="385" spans="1:16" ht="16.5" customHeight="1" x14ac:dyDescent="0.35">
      <c r="A385" s="36"/>
      <c r="B385" s="51"/>
      <c r="C385" s="52"/>
      <c r="D385" s="52"/>
      <c r="E385" s="53"/>
      <c r="F385" s="39">
        <f t="shared" ref="F385" si="21">+E385*0.08</f>
        <v>0</v>
      </c>
      <c r="G385" s="40">
        <f t="shared" ref="G385" si="22">E385+F385</f>
        <v>0</v>
      </c>
      <c r="H385" s="41"/>
      <c r="I385" s="41"/>
      <c r="J385" s="42">
        <f t="shared" si="20"/>
        <v>0</v>
      </c>
      <c r="K385" s="54"/>
      <c r="L385" s="48"/>
      <c r="M385" s="48"/>
      <c r="N385" s="48"/>
      <c r="O385" s="45"/>
      <c r="P385" s="46"/>
    </row>
    <row r="386" spans="1:16" ht="15" customHeight="1" x14ac:dyDescent="0.3">
      <c r="J386" s="42">
        <f t="shared" si="20"/>
        <v>0</v>
      </c>
    </row>
  </sheetData>
  <autoFilter ref="A7:Z357" xr:uid="{95F1D065-D1C5-4040-AB86-3087BE27ED60}">
    <filterColumn colId="0" showButton="0"/>
  </autoFilter>
  <mergeCells count="7">
    <mergeCell ref="A7:B7"/>
    <mergeCell ref="A1:O1"/>
    <mergeCell ref="A2:O2"/>
    <mergeCell ref="O3:P3"/>
    <mergeCell ref="E4:J4"/>
    <mergeCell ref="K4:N4"/>
    <mergeCell ref="A6:C6"/>
  </mergeCells>
  <phoneticPr fontId="21" type="noConversion"/>
  <pageMargins left="0" right="0" top="0" bottom="0" header="0.3" footer="0.3"/>
  <pageSetup scale="86" orientation="landscape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2026-08-11T09:00:40Z</dcterms:modified>
</cp:coreProperties>
</file>