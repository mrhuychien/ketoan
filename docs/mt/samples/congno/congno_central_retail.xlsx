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E5C00950-9708-4F80-AEE9-DC8979E35A0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ĂM 2022 -misa" sheetId="2" r:id="rId1"/>
    <sheet name="hd ghi giam" sheetId="3" r:id="rId2"/>
  </sheets>
  <definedNames>
    <definedName name="_xlnm._FilterDatabase" localSheetId="1" hidden="1">'hd ghi giam'!$A$6:$N$316</definedName>
    <definedName name="_xlnm._FilterDatabase" localSheetId="0" hidden="1">'NĂM 2022 -misa'!$A$9:$W$1956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73" i="2" l="1"/>
  <c r="G1773" i="2" s="1"/>
  <c r="I1773" i="2" s="1"/>
  <c r="F1774" i="2"/>
  <c r="G1774" i="2" s="1"/>
  <c r="I1774" i="2" s="1"/>
  <c r="F1775" i="2"/>
  <c r="G1775" i="2" s="1"/>
  <c r="I1775" i="2" s="1"/>
  <c r="F1776" i="2"/>
  <c r="G1776" i="2" s="1"/>
  <c r="I1776" i="2" s="1"/>
  <c r="F1777" i="2"/>
  <c r="G1777" i="2" s="1"/>
  <c r="I1777" i="2" s="1"/>
  <c r="F1778" i="2"/>
  <c r="G1778" i="2" s="1"/>
  <c r="I1778" i="2" s="1"/>
  <c r="F1779" i="2"/>
  <c r="G1779" i="2" s="1"/>
  <c r="I1779" i="2" s="1"/>
  <c r="F1780" i="2"/>
  <c r="G1780" i="2" s="1"/>
  <c r="I1780" i="2" s="1"/>
  <c r="F1781" i="2"/>
  <c r="G1781" i="2" s="1"/>
  <c r="I1781" i="2" s="1"/>
  <c r="F1782" i="2"/>
  <c r="G1782" i="2" s="1"/>
  <c r="I1782" i="2" s="1"/>
  <c r="F1783" i="2"/>
  <c r="G1783" i="2" s="1"/>
  <c r="I1783" i="2" s="1"/>
  <c r="F1784" i="2"/>
  <c r="G1784" i="2" s="1"/>
  <c r="I1784" i="2" s="1"/>
  <c r="F1785" i="2"/>
  <c r="G1785" i="2" s="1"/>
  <c r="I1785" i="2" s="1"/>
  <c r="F1786" i="2"/>
  <c r="G1786" i="2" s="1"/>
  <c r="I1786" i="2" s="1"/>
  <c r="F1787" i="2"/>
  <c r="G1787" i="2" s="1"/>
  <c r="I1787" i="2" s="1"/>
  <c r="F1788" i="2"/>
  <c r="G1788" i="2" s="1"/>
  <c r="I1788" i="2" s="1"/>
  <c r="F1789" i="2"/>
  <c r="G1789" i="2" s="1"/>
  <c r="I1789" i="2" s="1"/>
  <c r="F1790" i="2"/>
  <c r="G1790" i="2" s="1"/>
  <c r="I1790" i="2" s="1"/>
  <c r="F1791" i="2"/>
  <c r="G1791" i="2" s="1"/>
  <c r="I1791" i="2" s="1"/>
  <c r="F1792" i="2"/>
  <c r="G1792" i="2" s="1"/>
  <c r="I1792" i="2" s="1"/>
  <c r="F1793" i="2"/>
  <c r="G1793" i="2" s="1"/>
  <c r="I1793" i="2" s="1"/>
  <c r="F1794" i="2"/>
  <c r="G1794" i="2" s="1"/>
  <c r="I1794" i="2" s="1"/>
  <c r="F1795" i="2"/>
  <c r="G1795" i="2" s="1"/>
  <c r="I1795" i="2" s="1"/>
  <c r="F1796" i="2"/>
  <c r="G1796" i="2" s="1"/>
  <c r="I1796" i="2" s="1"/>
  <c r="F1797" i="2"/>
  <c r="G1797" i="2" s="1"/>
  <c r="I1797" i="2" s="1"/>
  <c r="F1798" i="2"/>
  <c r="G1798" i="2" s="1"/>
  <c r="I1798" i="2" s="1"/>
  <c r="F1799" i="2"/>
  <c r="G1799" i="2" s="1"/>
  <c r="I1799" i="2" s="1"/>
  <c r="F1800" i="2"/>
  <c r="G1800" i="2" s="1"/>
  <c r="I1800" i="2" s="1"/>
  <c r="F1801" i="2"/>
  <c r="G1801" i="2" s="1"/>
  <c r="I1801" i="2" s="1"/>
  <c r="F1802" i="2"/>
  <c r="G1802" i="2" s="1"/>
  <c r="I1802" i="2" s="1"/>
  <c r="F1803" i="2"/>
  <c r="G1803" i="2" s="1"/>
  <c r="I1803" i="2" s="1"/>
  <c r="F1804" i="2"/>
  <c r="G1804" i="2" s="1"/>
  <c r="I1804" i="2" s="1"/>
  <c r="F1805" i="2"/>
  <c r="G1805" i="2" s="1"/>
  <c r="I1805" i="2" s="1"/>
  <c r="F1806" i="2"/>
  <c r="G1806" i="2" s="1"/>
  <c r="I1806" i="2" s="1"/>
  <c r="F1807" i="2"/>
  <c r="G1807" i="2" s="1"/>
  <c r="I1807" i="2" s="1"/>
  <c r="F1808" i="2"/>
  <c r="G1808" i="2" s="1"/>
  <c r="I1808" i="2" s="1"/>
  <c r="F1809" i="2"/>
  <c r="G1809" i="2" s="1"/>
  <c r="I1809" i="2" s="1"/>
  <c r="F1810" i="2"/>
  <c r="G1810" i="2" s="1"/>
  <c r="I1810" i="2" s="1"/>
  <c r="F1811" i="2"/>
  <c r="G1811" i="2" s="1"/>
  <c r="I1811" i="2" s="1"/>
  <c r="F1812" i="2"/>
  <c r="G1812" i="2" s="1"/>
  <c r="I1812" i="2" s="1"/>
  <c r="F1813" i="2"/>
  <c r="G1813" i="2" s="1"/>
  <c r="I1813" i="2" s="1"/>
  <c r="F1814" i="2"/>
  <c r="G1814" i="2" s="1"/>
  <c r="I1814" i="2" s="1"/>
  <c r="F1815" i="2"/>
  <c r="G1815" i="2" s="1"/>
  <c r="I1815" i="2" s="1"/>
  <c r="F1816" i="2"/>
  <c r="G1816" i="2" s="1"/>
  <c r="I1816" i="2" s="1"/>
  <c r="F1817" i="2"/>
  <c r="G1817" i="2" s="1"/>
  <c r="I1817" i="2" s="1"/>
  <c r="F1818" i="2"/>
  <c r="G1818" i="2" s="1"/>
  <c r="I1818" i="2" s="1"/>
  <c r="F1819" i="2"/>
  <c r="G1819" i="2" s="1"/>
  <c r="I1819" i="2" s="1"/>
  <c r="F1820" i="2"/>
  <c r="G1820" i="2" s="1"/>
  <c r="I1820" i="2" s="1"/>
  <c r="F1821" i="2"/>
  <c r="G1821" i="2" s="1"/>
  <c r="I1821" i="2" s="1"/>
  <c r="F1822" i="2"/>
  <c r="G1822" i="2" s="1"/>
  <c r="I1822" i="2" s="1"/>
  <c r="F1823" i="2"/>
  <c r="G1823" i="2" s="1"/>
  <c r="I1823" i="2" s="1"/>
  <c r="F1824" i="2"/>
  <c r="G1824" i="2" s="1"/>
  <c r="I1824" i="2" s="1"/>
  <c r="F1825" i="2"/>
  <c r="G1825" i="2" s="1"/>
  <c r="I1825" i="2" s="1"/>
  <c r="F1826" i="2"/>
  <c r="G1826" i="2" s="1"/>
  <c r="I1826" i="2" s="1"/>
  <c r="F1827" i="2"/>
  <c r="G1827" i="2" s="1"/>
  <c r="I1827" i="2" s="1"/>
  <c r="F1828" i="2"/>
  <c r="G1828" i="2" s="1"/>
  <c r="I1828" i="2" s="1"/>
  <c r="F1829" i="2"/>
  <c r="G1829" i="2" s="1"/>
  <c r="I1829" i="2" s="1"/>
  <c r="F1830" i="2"/>
  <c r="G1830" i="2" s="1"/>
  <c r="I1830" i="2" s="1"/>
  <c r="F1831" i="2"/>
  <c r="G1831" i="2" s="1"/>
  <c r="I1831" i="2" s="1"/>
  <c r="F1832" i="2"/>
  <c r="G1832" i="2" s="1"/>
  <c r="I1832" i="2" s="1"/>
  <c r="F1833" i="2"/>
  <c r="G1833" i="2" s="1"/>
  <c r="I1833" i="2" s="1"/>
  <c r="F1834" i="2"/>
  <c r="G1834" i="2" s="1"/>
  <c r="I1834" i="2" s="1"/>
  <c r="F1835" i="2"/>
  <c r="G1835" i="2" s="1"/>
  <c r="I1835" i="2" s="1"/>
  <c r="F1836" i="2"/>
  <c r="G1836" i="2" s="1"/>
  <c r="I1836" i="2" s="1"/>
  <c r="F1837" i="2"/>
  <c r="G1837" i="2" s="1"/>
  <c r="I1837" i="2" s="1"/>
  <c r="F1838" i="2"/>
  <c r="G1838" i="2" s="1"/>
  <c r="I1838" i="2" s="1"/>
  <c r="F1839" i="2"/>
  <c r="G1839" i="2" s="1"/>
  <c r="I1839" i="2" s="1"/>
  <c r="F1840" i="2"/>
  <c r="G1840" i="2" s="1"/>
  <c r="I1840" i="2" s="1"/>
  <c r="F1841" i="2"/>
  <c r="G1841" i="2" s="1"/>
  <c r="I1841" i="2" s="1"/>
  <c r="F1842" i="2"/>
  <c r="G1842" i="2" s="1"/>
  <c r="I1842" i="2" s="1"/>
  <c r="F1843" i="2"/>
  <c r="G1843" i="2" s="1"/>
  <c r="I1843" i="2" s="1"/>
  <c r="F1844" i="2"/>
  <c r="G1844" i="2" s="1"/>
  <c r="I1844" i="2" s="1"/>
  <c r="F1845" i="2"/>
  <c r="G1845" i="2" s="1"/>
  <c r="I1845" i="2" s="1"/>
  <c r="F1846" i="2"/>
  <c r="G1846" i="2" s="1"/>
  <c r="I1846" i="2" s="1"/>
  <c r="F1847" i="2"/>
  <c r="G1847" i="2" s="1"/>
  <c r="I1847" i="2" s="1"/>
  <c r="F1848" i="2"/>
  <c r="G1848" i="2" s="1"/>
  <c r="I1848" i="2" s="1"/>
  <c r="F1849" i="2"/>
  <c r="G1849" i="2" s="1"/>
  <c r="I1849" i="2" s="1"/>
  <c r="F1850" i="2"/>
  <c r="G1850" i="2" s="1"/>
  <c r="I1850" i="2" s="1"/>
  <c r="F1851" i="2"/>
  <c r="G1851" i="2" s="1"/>
  <c r="I1851" i="2" s="1"/>
  <c r="F1852" i="2"/>
  <c r="G1852" i="2" s="1"/>
  <c r="I1852" i="2" s="1"/>
  <c r="F1853" i="2"/>
  <c r="G1853" i="2" s="1"/>
  <c r="I1853" i="2" s="1"/>
  <c r="F1854" i="2"/>
  <c r="G1854" i="2" s="1"/>
  <c r="I1854" i="2" s="1"/>
  <c r="F1855" i="2"/>
  <c r="G1855" i="2" s="1"/>
  <c r="I1855" i="2" s="1"/>
  <c r="F1856" i="2"/>
  <c r="G1856" i="2" s="1"/>
  <c r="I1856" i="2" s="1"/>
  <c r="F1857" i="2"/>
  <c r="G1857" i="2" s="1"/>
  <c r="I1857" i="2" s="1"/>
  <c r="F1858" i="2"/>
  <c r="G1858" i="2" s="1"/>
  <c r="I1858" i="2" s="1"/>
  <c r="F1859" i="2"/>
  <c r="G1859" i="2" s="1"/>
  <c r="I1859" i="2" s="1"/>
  <c r="F1860" i="2"/>
  <c r="G1860" i="2" s="1"/>
  <c r="I1860" i="2" s="1"/>
  <c r="F1861" i="2"/>
  <c r="G1861" i="2" s="1"/>
  <c r="I1861" i="2" s="1"/>
  <c r="F1862" i="2"/>
  <c r="G1862" i="2" s="1"/>
  <c r="I1862" i="2" s="1"/>
  <c r="F1863" i="2"/>
  <c r="G1863" i="2" s="1"/>
  <c r="I1863" i="2" s="1"/>
  <c r="F1864" i="2"/>
  <c r="G1864" i="2" s="1"/>
  <c r="I1864" i="2" s="1"/>
  <c r="F1865" i="2"/>
  <c r="G1865" i="2" s="1"/>
  <c r="I1865" i="2" s="1"/>
  <c r="F1866" i="2"/>
  <c r="G1866" i="2" s="1"/>
  <c r="I1866" i="2" s="1"/>
  <c r="F1867" i="2"/>
  <c r="G1867" i="2" s="1"/>
  <c r="I1867" i="2" s="1"/>
  <c r="F1868" i="2"/>
  <c r="G1868" i="2" s="1"/>
  <c r="I1868" i="2" s="1"/>
  <c r="F1869" i="2"/>
  <c r="G1869" i="2" s="1"/>
  <c r="I1869" i="2" s="1"/>
  <c r="F1870" i="2"/>
  <c r="G1870" i="2" s="1"/>
  <c r="I1870" i="2" s="1"/>
  <c r="F1871" i="2"/>
  <c r="G1871" i="2" s="1"/>
  <c r="I1871" i="2" s="1"/>
  <c r="F1872" i="2"/>
  <c r="G1872" i="2" s="1"/>
  <c r="I1872" i="2" s="1"/>
  <c r="F1873" i="2"/>
  <c r="G1873" i="2" s="1"/>
  <c r="I1873" i="2" s="1"/>
  <c r="F1874" i="2"/>
  <c r="G1874" i="2" s="1"/>
  <c r="I1874" i="2" s="1"/>
  <c r="F1875" i="2"/>
  <c r="G1875" i="2" s="1"/>
  <c r="I1875" i="2" s="1"/>
  <c r="F1876" i="2"/>
  <c r="G1876" i="2" s="1"/>
  <c r="I1876" i="2" s="1"/>
  <c r="F1877" i="2"/>
  <c r="G1877" i="2" s="1"/>
  <c r="I1877" i="2" s="1"/>
  <c r="F1878" i="2"/>
  <c r="G1878" i="2" s="1"/>
  <c r="I1878" i="2" s="1"/>
  <c r="F1879" i="2"/>
  <c r="G1879" i="2" s="1"/>
  <c r="I1879" i="2" s="1"/>
  <c r="F1880" i="2"/>
  <c r="G1880" i="2" s="1"/>
  <c r="I1880" i="2" s="1"/>
  <c r="F1881" i="2"/>
  <c r="G1881" i="2" s="1"/>
  <c r="I1881" i="2" s="1"/>
  <c r="F1882" i="2"/>
  <c r="G1882" i="2" s="1"/>
  <c r="I1882" i="2" s="1"/>
  <c r="F1883" i="2"/>
  <c r="G1883" i="2" s="1"/>
  <c r="I1883" i="2" s="1"/>
  <c r="F1884" i="2"/>
  <c r="G1884" i="2" s="1"/>
  <c r="I1884" i="2" s="1"/>
  <c r="F1885" i="2"/>
  <c r="G1885" i="2" s="1"/>
  <c r="I1885" i="2" s="1"/>
  <c r="F1886" i="2"/>
  <c r="G1886" i="2" s="1"/>
  <c r="I1886" i="2" s="1"/>
  <c r="F1887" i="2"/>
  <c r="G1887" i="2" s="1"/>
  <c r="I1887" i="2" s="1"/>
  <c r="F1888" i="2"/>
  <c r="G1888" i="2" s="1"/>
  <c r="I1888" i="2" s="1"/>
  <c r="F1889" i="2"/>
  <c r="G1889" i="2" s="1"/>
  <c r="I1889" i="2" s="1"/>
  <c r="F1890" i="2"/>
  <c r="G1890" i="2" s="1"/>
  <c r="I1890" i="2" s="1"/>
  <c r="F1891" i="2"/>
  <c r="G1891" i="2" s="1"/>
  <c r="I1891" i="2" s="1"/>
  <c r="F1892" i="2"/>
  <c r="G1892" i="2" s="1"/>
  <c r="I1892" i="2" s="1"/>
  <c r="F1893" i="2"/>
  <c r="G1893" i="2" s="1"/>
  <c r="I1893" i="2" s="1"/>
  <c r="F1894" i="2"/>
  <c r="G1894" i="2" s="1"/>
  <c r="I1894" i="2" s="1"/>
  <c r="F1895" i="2"/>
  <c r="G1895" i="2" s="1"/>
  <c r="I1895" i="2" s="1"/>
  <c r="F1896" i="2"/>
  <c r="G1896" i="2" s="1"/>
  <c r="I1896" i="2" s="1"/>
  <c r="F1897" i="2"/>
  <c r="G1897" i="2" s="1"/>
  <c r="I1897" i="2" s="1"/>
  <c r="F1898" i="2"/>
  <c r="G1898" i="2" s="1"/>
  <c r="I1898" i="2" s="1"/>
  <c r="F1899" i="2"/>
  <c r="G1899" i="2" s="1"/>
  <c r="I1899" i="2" s="1"/>
  <c r="F1900" i="2"/>
  <c r="G1900" i="2" s="1"/>
  <c r="I1900" i="2" s="1"/>
  <c r="F1901" i="2"/>
  <c r="G1901" i="2" s="1"/>
  <c r="I1901" i="2" s="1"/>
  <c r="F1902" i="2"/>
  <c r="G1902" i="2" s="1"/>
  <c r="I1902" i="2" s="1"/>
  <c r="F1903" i="2"/>
  <c r="G1903" i="2" s="1"/>
  <c r="I1903" i="2" s="1"/>
  <c r="F1904" i="2"/>
  <c r="G1904" i="2" s="1"/>
  <c r="I1904" i="2" s="1"/>
  <c r="F1905" i="2"/>
  <c r="G1905" i="2" s="1"/>
  <c r="I1905" i="2" s="1"/>
  <c r="F1906" i="2"/>
  <c r="G1906" i="2" s="1"/>
  <c r="I1906" i="2" s="1"/>
  <c r="F1907" i="2"/>
  <c r="G1907" i="2" s="1"/>
  <c r="I1907" i="2" s="1"/>
  <c r="F1908" i="2"/>
  <c r="G1908" i="2" s="1"/>
  <c r="I1908" i="2" s="1"/>
  <c r="F1909" i="2"/>
  <c r="G1909" i="2" s="1"/>
  <c r="I1909" i="2" s="1"/>
  <c r="F1910" i="2"/>
  <c r="G1910" i="2" s="1"/>
  <c r="I1910" i="2" s="1"/>
  <c r="F1911" i="2"/>
  <c r="G1911" i="2" s="1"/>
  <c r="I1911" i="2" s="1"/>
  <c r="F1912" i="2"/>
  <c r="G1912" i="2" s="1"/>
  <c r="I1912" i="2" s="1"/>
  <c r="F1913" i="2"/>
  <c r="G1913" i="2" s="1"/>
  <c r="I1913" i="2" s="1"/>
  <c r="F1914" i="2"/>
  <c r="G1914" i="2" s="1"/>
  <c r="I1914" i="2" s="1"/>
  <c r="F1915" i="2"/>
  <c r="G1915" i="2" s="1"/>
  <c r="I1915" i="2" s="1"/>
  <c r="F1916" i="2"/>
  <c r="G1916" i="2" s="1"/>
  <c r="I1916" i="2" s="1"/>
  <c r="F1917" i="2"/>
  <c r="G1917" i="2" s="1"/>
  <c r="I1917" i="2" s="1"/>
  <c r="F1918" i="2"/>
  <c r="G1918" i="2" s="1"/>
  <c r="I1918" i="2" s="1"/>
  <c r="F1919" i="2"/>
  <c r="G1919" i="2" s="1"/>
  <c r="I1919" i="2" s="1"/>
  <c r="F1920" i="2"/>
  <c r="G1920" i="2" s="1"/>
  <c r="I1920" i="2" s="1"/>
  <c r="F1921" i="2"/>
  <c r="G1921" i="2" s="1"/>
  <c r="I1921" i="2" s="1"/>
  <c r="F1922" i="2"/>
  <c r="G1922" i="2" s="1"/>
  <c r="I1922" i="2" s="1"/>
  <c r="F1923" i="2"/>
  <c r="G1923" i="2" s="1"/>
  <c r="I1923" i="2" s="1"/>
  <c r="F1924" i="2"/>
  <c r="G1924" i="2" s="1"/>
  <c r="I1924" i="2" s="1"/>
  <c r="F1925" i="2"/>
  <c r="G1925" i="2" s="1"/>
  <c r="I1925" i="2" s="1"/>
  <c r="F1926" i="2"/>
  <c r="G1926" i="2" s="1"/>
  <c r="I1926" i="2" s="1"/>
  <c r="F1927" i="2"/>
  <c r="G1927" i="2" s="1"/>
  <c r="I1927" i="2" s="1"/>
  <c r="F1928" i="2"/>
  <c r="G1928" i="2" s="1"/>
  <c r="I1928" i="2" s="1"/>
  <c r="F1929" i="2"/>
  <c r="G1929" i="2" s="1"/>
  <c r="I1929" i="2" s="1"/>
  <c r="F1930" i="2"/>
  <c r="G1930" i="2" s="1"/>
  <c r="I1930" i="2" s="1"/>
  <c r="F1931" i="2"/>
  <c r="G1931" i="2" s="1"/>
  <c r="I1931" i="2" s="1"/>
  <c r="F1932" i="2"/>
  <c r="G1932" i="2" s="1"/>
  <c r="I1932" i="2" s="1"/>
  <c r="F1933" i="2"/>
  <c r="G1933" i="2" s="1"/>
  <c r="I1933" i="2" s="1"/>
  <c r="F1934" i="2"/>
  <c r="G1934" i="2" s="1"/>
  <c r="I1934" i="2" s="1"/>
  <c r="F1935" i="2"/>
  <c r="G1935" i="2" s="1"/>
  <c r="I1935" i="2" s="1"/>
  <c r="F1936" i="2"/>
  <c r="G1936" i="2" s="1"/>
  <c r="I1936" i="2" s="1"/>
  <c r="F1937" i="2"/>
  <c r="G1937" i="2" s="1"/>
  <c r="I1937" i="2" s="1"/>
  <c r="F1938" i="2"/>
  <c r="G1938" i="2" s="1"/>
  <c r="I1938" i="2" s="1"/>
  <c r="F1939" i="2"/>
  <c r="G1939" i="2" s="1"/>
  <c r="I1939" i="2" s="1"/>
  <c r="F1940" i="2"/>
  <c r="G1940" i="2" s="1"/>
  <c r="I1940" i="2" s="1"/>
  <c r="F1941" i="2"/>
  <c r="G1941" i="2" s="1"/>
  <c r="I1941" i="2" s="1"/>
  <c r="F1942" i="2"/>
  <c r="G1942" i="2" s="1"/>
  <c r="I1942" i="2" s="1"/>
  <c r="F1943" i="2"/>
  <c r="G1943" i="2" s="1"/>
  <c r="I1943" i="2" s="1"/>
  <c r="F1944" i="2"/>
  <c r="G1944" i="2" s="1"/>
  <c r="I1944" i="2" s="1"/>
  <c r="F1945" i="2"/>
  <c r="G1945" i="2" s="1"/>
  <c r="I1945" i="2" s="1"/>
  <c r="F1946" i="2"/>
  <c r="G1946" i="2" s="1"/>
  <c r="I1946" i="2" s="1"/>
  <c r="F1947" i="2"/>
  <c r="F1948" i="2"/>
  <c r="F1949" i="2"/>
  <c r="F1950" i="2"/>
  <c r="G1947" i="2"/>
  <c r="I1947" i="2" s="1"/>
  <c r="G1948" i="2"/>
  <c r="I1948" i="2" s="1"/>
  <c r="G1949" i="2"/>
  <c r="I1949" i="2" s="1"/>
  <c r="G1950" i="2"/>
  <c r="I1950" i="2" s="1"/>
  <c r="G1951" i="2"/>
  <c r="I1951" i="2" s="1"/>
  <c r="G1952" i="2"/>
  <c r="I1952" i="2" s="1"/>
  <c r="G1953" i="2"/>
  <c r="I1953" i="2" s="1"/>
  <c r="G1954" i="2"/>
  <c r="I1954" i="2" s="1"/>
  <c r="G1955" i="2"/>
  <c r="G1956" i="2"/>
  <c r="E11" i="3"/>
  <c r="F11" i="3" s="1"/>
  <c r="H11" i="3" s="1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E18" i="3"/>
  <c r="F18" i="3" s="1"/>
  <c r="H18" i="3" s="1"/>
  <c r="E19" i="3"/>
  <c r="F19" i="3" s="1"/>
  <c r="H19" i="3" s="1"/>
  <c r="E20" i="3"/>
  <c r="F20" i="3" s="1"/>
  <c r="H20" i="3" s="1"/>
  <c r="E21" i="3"/>
  <c r="F21" i="3" s="1"/>
  <c r="H21" i="3" s="1"/>
  <c r="E22" i="3"/>
  <c r="F22" i="3" s="1"/>
  <c r="H22" i="3" s="1"/>
  <c r="E23" i="3"/>
  <c r="F23" i="3" s="1"/>
  <c r="H23" i="3" s="1"/>
  <c r="E24" i="3"/>
  <c r="F24" i="3" s="1"/>
  <c r="H24" i="3" s="1"/>
  <c r="E25" i="3"/>
  <c r="F25" i="3" s="1"/>
  <c r="H25" i="3" s="1"/>
  <c r="E26" i="3"/>
  <c r="F26" i="3" s="1"/>
  <c r="H26" i="3" s="1"/>
  <c r="E27" i="3"/>
  <c r="F27" i="3" s="1"/>
  <c r="H27" i="3" s="1"/>
  <c r="E28" i="3"/>
  <c r="F28" i="3" s="1"/>
  <c r="H28" i="3" s="1"/>
  <c r="E29" i="3"/>
  <c r="F29" i="3" s="1"/>
  <c r="H29" i="3" s="1"/>
  <c r="E30" i="3"/>
  <c r="F30" i="3" s="1"/>
  <c r="H30" i="3" s="1"/>
  <c r="E31" i="3"/>
  <c r="F31" i="3" s="1"/>
  <c r="H31" i="3" s="1"/>
  <c r="E32" i="3"/>
  <c r="F32" i="3" s="1"/>
  <c r="H32" i="3" s="1"/>
  <c r="E33" i="3"/>
  <c r="F33" i="3" s="1"/>
  <c r="H33" i="3" s="1"/>
  <c r="E34" i="3"/>
  <c r="F34" i="3" s="1"/>
  <c r="H34" i="3" s="1"/>
  <c r="E35" i="3"/>
  <c r="F35" i="3" s="1"/>
  <c r="H35" i="3" s="1"/>
  <c r="E36" i="3"/>
  <c r="F36" i="3" s="1"/>
  <c r="H36" i="3" s="1"/>
  <c r="E37" i="3"/>
  <c r="F37" i="3" s="1"/>
  <c r="H37" i="3" s="1"/>
  <c r="E38" i="3"/>
  <c r="F38" i="3" s="1"/>
  <c r="H38" i="3" s="1"/>
  <c r="E39" i="3"/>
  <c r="F39" i="3" s="1"/>
  <c r="H39" i="3" s="1"/>
  <c r="E40" i="3"/>
  <c r="F40" i="3" s="1"/>
  <c r="H40" i="3" s="1"/>
  <c r="E41" i="3"/>
  <c r="F41" i="3" s="1"/>
  <c r="H41" i="3" s="1"/>
  <c r="E42" i="3"/>
  <c r="F42" i="3" s="1"/>
  <c r="H42" i="3" s="1"/>
  <c r="E43" i="3"/>
  <c r="F43" i="3" s="1"/>
  <c r="H43" i="3" s="1"/>
  <c r="E44" i="3"/>
  <c r="F44" i="3" s="1"/>
  <c r="H44" i="3" s="1"/>
  <c r="E45" i="3"/>
  <c r="F45" i="3" s="1"/>
  <c r="H45" i="3" s="1"/>
  <c r="E46" i="3"/>
  <c r="F46" i="3" s="1"/>
  <c r="H46" i="3" s="1"/>
  <c r="E47" i="3"/>
  <c r="F47" i="3" s="1"/>
  <c r="H47" i="3" s="1"/>
  <c r="E48" i="3"/>
  <c r="F48" i="3" s="1"/>
  <c r="H48" i="3" s="1"/>
  <c r="E49" i="3"/>
  <c r="F49" i="3" s="1"/>
  <c r="H49" i="3" s="1"/>
  <c r="E50" i="3"/>
  <c r="F50" i="3" s="1"/>
  <c r="H50" i="3" s="1"/>
  <c r="E51" i="3"/>
  <c r="F51" i="3" s="1"/>
  <c r="H51" i="3" s="1"/>
  <c r="E52" i="3"/>
  <c r="F52" i="3" s="1"/>
  <c r="H52" i="3" s="1"/>
  <c r="E53" i="3"/>
  <c r="F53" i="3" s="1"/>
  <c r="H53" i="3" s="1"/>
  <c r="E54" i="3"/>
  <c r="F54" i="3" s="1"/>
  <c r="H54" i="3" s="1"/>
  <c r="E55" i="3"/>
  <c r="F55" i="3" s="1"/>
  <c r="H55" i="3" s="1"/>
  <c r="E56" i="3"/>
  <c r="F56" i="3" s="1"/>
  <c r="H56" i="3" s="1"/>
  <c r="E57" i="3"/>
  <c r="F57" i="3" s="1"/>
  <c r="H57" i="3" s="1"/>
  <c r="E58" i="3"/>
  <c r="F58" i="3" s="1"/>
  <c r="H58" i="3" s="1"/>
  <c r="E59" i="3"/>
  <c r="F59" i="3" s="1"/>
  <c r="H59" i="3" s="1"/>
  <c r="E60" i="3"/>
  <c r="F60" i="3" s="1"/>
  <c r="H60" i="3" s="1"/>
  <c r="E61" i="3"/>
  <c r="F61" i="3" s="1"/>
  <c r="H61" i="3" s="1"/>
  <c r="E62" i="3"/>
  <c r="F62" i="3" s="1"/>
  <c r="H62" i="3" s="1"/>
  <c r="E63" i="3"/>
  <c r="F63" i="3" s="1"/>
  <c r="H63" i="3" s="1"/>
  <c r="E64" i="3"/>
  <c r="F64" i="3" s="1"/>
  <c r="H64" i="3" s="1"/>
  <c r="E65" i="3"/>
  <c r="F65" i="3" s="1"/>
  <c r="H65" i="3" s="1"/>
  <c r="E66" i="3"/>
  <c r="F66" i="3" s="1"/>
  <c r="H66" i="3" s="1"/>
  <c r="E67" i="3"/>
  <c r="F67" i="3" s="1"/>
  <c r="H67" i="3" s="1"/>
  <c r="E68" i="3"/>
  <c r="F68" i="3" s="1"/>
  <c r="H68" i="3" s="1"/>
  <c r="E69" i="3"/>
  <c r="F69" i="3" s="1"/>
  <c r="H69" i="3" s="1"/>
  <c r="E70" i="3"/>
  <c r="F70" i="3" s="1"/>
  <c r="H70" i="3" s="1"/>
  <c r="E71" i="3"/>
  <c r="F71" i="3" s="1"/>
  <c r="H71" i="3" s="1"/>
  <c r="E72" i="3"/>
  <c r="F72" i="3" s="1"/>
  <c r="H72" i="3" s="1"/>
  <c r="E73" i="3"/>
  <c r="F73" i="3" s="1"/>
  <c r="H73" i="3" s="1"/>
  <c r="E74" i="3"/>
  <c r="F74" i="3" s="1"/>
  <c r="H74" i="3" s="1"/>
  <c r="E75" i="3"/>
  <c r="F75" i="3" s="1"/>
  <c r="H75" i="3" s="1"/>
  <c r="E76" i="3"/>
  <c r="F76" i="3" s="1"/>
  <c r="H76" i="3" s="1"/>
  <c r="E77" i="3"/>
  <c r="F77" i="3" s="1"/>
  <c r="H77" i="3" s="1"/>
  <c r="E78" i="3"/>
  <c r="F78" i="3" s="1"/>
  <c r="H78" i="3" s="1"/>
  <c r="E79" i="3"/>
  <c r="F79" i="3" s="1"/>
  <c r="H79" i="3" s="1"/>
  <c r="E80" i="3"/>
  <c r="F80" i="3" s="1"/>
  <c r="H80" i="3" s="1"/>
  <c r="E81" i="3"/>
  <c r="F81" i="3" s="1"/>
  <c r="H81" i="3" s="1"/>
  <c r="E82" i="3"/>
  <c r="F82" i="3" s="1"/>
  <c r="H82" i="3" s="1"/>
  <c r="E83" i="3"/>
  <c r="F83" i="3" s="1"/>
  <c r="H83" i="3" s="1"/>
  <c r="E84" i="3"/>
  <c r="F84" i="3" s="1"/>
  <c r="H84" i="3" s="1"/>
  <c r="E85" i="3"/>
  <c r="F85" i="3" s="1"/>
  <c r="H85" i="3" s="1"/>
  <c r="E86" i="3"/>
  <c r="F86" i="3" s="1"/>
  <c r="H86" i="3" s="1"/>
  <c r="E87" i="3"/>
  <c r="F87" i="3" s="1"/>
  <c r="H87" i="3" s="1"/>
  <c r="E88" i="3"/>
  <c r="F88" i="3" s="1"/>
  <c r="H88" i="3" s="1"/>
  <c r="E89" i="3"/>
  <c r="F89" i="3" s="1"/>
  <c r="H89" i="3" s="1"/>
  <c r="E90" i="3"/>
  <c r="F90" i="3" s="1"/>
  <c r="H90" i="3" s="1"/>
  <c r="E91" i="3"/>
  <c r="F91" i="3" s="1"/>
  <c r="H91" i="3" s="1"/>
  <c r="E92" i="3"/>
  <c r="F92" i="3" s="1"/>
  <c r="H92" i="3" s="1"/>
  <c r="E93" i="3"/>
  <c r="F93" i="3" s="1"/>
  <c r="H93" i="3" s="1"/>
  <c r="E94" i="3"/>
  <c r="F94" i="3" s="1"/>
  <c r="H94" i="3" s="1"/>
  <c r="E95" i="3"/>
  <c r="F95" i="3" s="1"/>
  <c r="H95" i="3" s="1"/>
  <c r="E96" i="3"/>
  <c r="F96" i="3" s="1"/>
  <c r="H96" i="3" s="1"/>
  <c r="E97" i="3"/>
  <c r="F97" i="3" s="1"/>
  <c r="H97" i="3" s="1"/>
  <c r="E98" i="3"/>
  <c r="F98" i="3" s="1"/>
  <c r="H98" i="3" s="1"/>
  <c r="E99" i="3"/>
  <c r="F99" i="3" s="1"/>
  <c r="H99" i="3" s="1"/>
  <c r="E100" i="3"/>
  <c r="F100" i="3" s="1"/>
  <c r="H100" i="3" s="1"/>
  <c r="E101" i="3"/>
  <c r="F101" i="3" s="1"/>
  <c r="H101" i="3" s="1"/>
  <c r="E102" i="3"/>
  <c r="F102" i="3" s="1"/>
  <c r="H102" i="3" s="1"/>
  <c r="E103" i="3"/>
  <c r="F103" i="3" s="1"/>
  <c r="H103" i="3" s="1"/>
  <c r="E104" i="3"/>
  <c r="F104" i="3" s="1"/>
  <c r="H104" i="3" s="1"/>
  <c r="E105" i="3"/>
  <c r="F105" i="3" s="1"/>
  <c r="H105" i="3" s="1"/>
  <c r="E106" i="3"/>
  <c r="F106" i="3" s="1"/>
  <c r="H106" i="3" s="1"/>
  <c r="E107" i="3"/>
  <c r="F107" i="3" s="1"/>
  <c r="H107" i="3" s="1"/>
  <c r="E108" i="3"/>
  <c r="F108" i="3" s="1"/>
  <c r="H108" i="3" s="1"/>
  <c r="E109" i="3"/>
  <c r="F109" i="3" s="1"/>
  <c r="H109" i="3" s="1"/>
  <c r="E110" i="3"/>
  <c r="F110" i="3" s="1"/>
  <c r="H110" i="3" s="1"/>
  <c r="E111" i="3"/>
  <c r="F111" i="3" s="1"/>
  <c r="H111" i="3" s="1"/>
  <c r="E112" i="3"/>
  <c r="F112" i="3" s="1"/>
  <c r="H112" i="3" s="1"/>
  <c r="E113" i="3"/>
  <c r="F113" i="3" s="1"/>
  <c r="H113" i="3" s="1"/>
  <c r="E114" i="3"/>
  <c r="F114" i="3" s="1"/>
  <c r="H114" i="3" s="1"/>
  <c r="E115" i="3"/>
  <c r="F115" i="3" s="1"/>
  <c r="H115" i="3" s="1"/>
  <c r="E116" i="3"/>
  <c r="F116" i="3" s="1"/>
  <c r="H116" i="3" s="1"/>
  <c r="E117" i="3"/>
  <c r="F117" i="3" s="1"/>
  <c r="H117" i="3" s="1"/>
  <c r="E118" i="3"/>
  <c r="F118" i="3" s="1"/>
  <c r="H118" i="3" s="1"/>
  <c r="E119" i="3"/>
  <c r="F119" i="3" s="1"/>
  <c r="H119" i="3" s="1"/>
  <c r="E120" i="3"/>
  <c r="F120" i="3" s="1"/>
  <c r="H120" i="3" s="1"/>
  <c r="E121" i="3"/>
  <c r="F121" i="3" s="1"/>
  <c r="H121" i="3" s="1"/>
  <c r="E122" i="3"/>
  <c r="F122" i="3" s="1"/>
  <c r="H122" i="3" s="1"/>
  <c r="E123" i="3"/>
  <c r="F123" i="3" s="1"/>
  <c r="H123" i="3" s="1"/>
  <c r="E124" i="3"/>
  <c r="F124" i="3" s="1"/>
  <c r="H124" i="3" s="1"/>
  <c r="E125" i="3"/>
  <c r="F125" i="3" s="1"/>
  <c r="H125" i="3" s="1"/>
  <c r="E126" i="3"/>
  <c r="F126" i="3" s="1"/>
  <c r="H126" i="3" s="1"/>
  <c r="E127" i="3"/>
  <c r="F127" i="3" s="1"/>
  <c r="H127" i="3" s="1"/>
  <c r="E128" i="3"/>
  <c r="F128" i="3" s="1"/>
  <c r="H128" i="3" s="1"/>
  <c r="E129" i="3"/>
  <c r="F129" i="3" s="1"/>
  <c r="H129" i="3" s="1"/>
  <c r="E130" i="3"/>
  <c r="F130" i="3" s="1"/>
  <c r="H130" i="3" s="1"/>
  <c r="E131" i="3"/>
  <c r="F131" i="3" s="1"/>
  <c r="H131" i="3" s="1"/>
  <c r="E132" i="3"/>
  <c r="F132" i="3" s="1"/>
  <c r="H132" i="3" s="1"/>
  <c r="E133" i="3"/>
  <c r="F133" i="3" s="1"/>
  <c r="H133" i="3" s="1"/>
  <c r="E134" i="3"/>
  <c r="F134" i="3" s="1"/>
  <c r="H134" i="3" s="1"/>
  <c r="E135" i="3"/>
  <c r="F135" i="3" s="1"/>
  <c r="H135" i="3" s="1"/>
  <c r="E136" i="3"/>
  <c r="F136" i="3" s="1"/>
  <c r="H136" i="3" s="1"/>
  <c r="E137" i="3"/>
  <c r="F137" i="3" s="1"/>
  <c r="H137" i="3" s="1"/>
  <c r="E138" i="3"/>
  <c r="F138" i="3" s="1"/>
  <c r="H138" i="3" s="1"/>
  <c r="E139" i="3"/>
  <c r="F139" i="3" s="1"/>
  <c r="H139" i="3" s="1"/>
  <c r="E140" i="3"/>
  <c r="F140" i="3" s="1"/>
  <c r="H140" i="3" s="1"/>
  <c r="E141" i="3"/>
  <c r="F141" i="3" s="1"/>
  <c r="H141" i="3" s="1"/>
  <c r="E142" i="3"/>
  <c r="F142" i="3" s="1"/>
  <c r="H142" i="3" s="1"/>
  <c r="E143" i="3"/>
  <c r="F143" i="3" s="1"/>
  <c r="H143" i="3" s="1"/>
  <c r="E144" i="3"/>
  <c r="F144" i="3" s="1"/>
  <c r="H144" i="3" s="1"/>
  <c r="E145" i="3"/>
  <c r="F145" i="3" s="1"/>
  <c r="H145" i="3" s="1"/>
  <c r="E146" i="3"/>
  <c r="F146" i="3" s="1"/>
  <c r="H146" i="3" s="1"/>
  <c r="E147" i="3"/>
  <c r="F147" i="3" s="1"/>
  <c r="H147" i="3" s="1"/>
  <c r="E148" i="3"/>
  <c r="F148" i="3" s="1"/>
  <c r="H148" i="3" s="1"/>
  <c r="E149" i="3"/>
  <c r="F149" i="3" s="1"/>
  <c r="H149" i="3" s="1"/>
  <c r="E150" i="3"/>
  <c r="F150" i="3" s="1"/>
  <c r="H150" i="3" s="1"/>
  <c r="E151" i="3"/>
  <c r="F151" i="3" s="1"/>
  <c r="H151" i="3" s="1"/>
  <c r="E152" i="3"/>
  <c r="F152" i="3" s="1"/>
  <c r="H152" i="3" s="1"/>
  <c r="E153" i="3"/>
  <c r="F153" i="3" s="1"/>
  <c r="H153" i="3" s="1"/>
  <c r="E154" i="3"/>
  <c r="F154" i="3" s="1"/>
  <c r="H154" i="3" s="1"/>
  <c r="E155" i="3"/>
  <c r="F155" i="3" s="1"/>
  <c r="H155" i="3" s="1"/>
  <c r="E156" i="3"/>
  <c r="F156" i="3" s="1"/>
  <c r="H156" i="3" s="1"/>
  <c r="E157" i="3"/>
  <c r="F157" i="3" s="1"/>
  <c r="H157" i="3" s="1"/>
  <c r="E158" i="3"/>
  <c r="F158" i="3" s="1"/>
  <c r="H158" i="3" s="1"/>
  <c r="E159" i="3"/>
  <c r="F159" i="3" s="1"/>
  <c r="H159" i="3" s="1"/>
  <c r="E160" i="3"/>
  <c r="F160" i="3" s="1"/>
  <c r="H160" i="3" s="1"/>
  <c r="E161" i="3"/>
  <c r="F161" i="3" s="1"/>
  <c r="H161" i="3" s="1"/>
  <c r="E162" i="3"/>
  <c r="F162" i="3" s="1"/>
  <c r="H162" i="3" s="1"/>
  <c r="E163" i="3"/>
  <c r="F163" i="3" s="1"/>
  <c r="H163" i="3" s="1"/>
  <c r="E164" i="3"/>
  <c r="F164" i="3" s="1"/>
  <c r="H164" i="3" s="1"/>
  <c r="E165" i="3"/>
  <c r="F165" i="3" s="1"/>
  <c r="H165" i="3" s="1"/>
  <c r="E166" i="3"/>
  <c r="F166" i="3" s="1"/>
  <c r="H166" i="3" s="1"/>
  <c r="E167" i="3"/>
  <c r="F167" i="3" s="1"/>
  <c r="H167" i="3" s="1"/>
  <c r="E168" i="3"/>
  <c r="F168" i="3" s="1"/>
  <c r="H168" i="3" s="1"/>
  <c r="E169" i="3"/>
  <c r="F169" i="3" s="1"/>
  <c r="H169" i="3" s="1"/>
  <c r="E170" i="3"/>
  <c r="F170" i="3" s="1"/>
  <c r="H170" i="3" s="1"/>
  <c r="E171" i="3"/>
  <c r="F171" i="3" s="1"/>
  <c r="H171" i="3" s="1"/>
  <c r="E172" i="3"/>
  <c r="F172" i="3" s="1"/>
  <c r="H172" i="3" s="1"/>
  <c r="E173" i="3"/>
  <c r="F173" i="3" s="1"/>
  <c r="H173" i="3" s="1"/>
  <c r="E174" i="3"/>
  <c r="F174" i="3" s="1"/>
  <c r="H174" i="3" s="1"/>
  <c r="E175" i="3"/>
  <c r="F175" i="3" s="1"/>
  <c r="H175" i="3" s="1"/>
  <c r="E176" i="3"/>
  <c r="F176" i="3" s="1"/>
  <c r="H176" i="3" s="1"/>
  <c r="E177" i="3"/>
  <c r="F177" i="3" s="1"/>
  <c r="H177" i="3" s="1"/>
  <c r="E178" i="3"/>
  <c r="F178" i="3" s="1"/>
  <c r="H178" i="3" s="1"/>
  <c r="E179" i="3"/>
  <c r="F179" i="3" s="1"/>
  <c r="H179" i="3" s="1"/>
  <c r="E180" i="3"/>
  <c r="F180" i="3" s="1"/>
  <c r="H180" i="3" s="1"/>
  <c r="E181" i="3"/>
  <c r="F181" i="3" s="1"/>
  <c r="H181" i="3" s="1"/>
  <c r="E182" i="3"/>
  <c r="F182" i="3" s="1"/>
  <c r="H182" i="3" s="1"/>
  <c r="E183" i="3"/>
  <c r="F183" i="3" s="1"/>
  <c r="H183" i="3" s="1"/>
  <c r="E184" i="3"/>
  <c r="F184" i="3" s="1"/>
  <c r="H184" i="3" s="1"/>
  <c r="E185" i="3"/>
  <c r="F185" i="3" s="1"/>
  <c r="H185" i="3" s="1"/>
  <c r="E186" i="3"/>
  <c r="F186" i="3" s="1"/>
  <c r="H186" i="3" s="1"/>
  <c r="E187" i="3"/>
  <c r="F187" i="3" s="1"/>
  <c r="H187" i="3" s="1"/>
  <c r="E188" i="3"/>
  <c r="F188" i="3" s="1"/>
  <c r="H188" i="3" s="1"/>
  <c r="E189" i="3"/>
  <c r="F189" i="3" s="1"/>
  <c r="H189" i="3" s="1"/>
  <c r="E190" i="3"/>
  <c r="F190" i="3" s="1"/>
  <c r="H190" i="3" s="1"/>
  <c r="E191" i="3"/>
  <c r="F191" i="3" s="1"/>
  <c r="H191" i="3" s="1"/>
  <c r="E192" i="3"/>
  <c r="F192" i="3" s="1"/>
  <c r="H192" i="3" s="1"/>
  <c r="E193" i="3"/>
  <c r="F193" i="3" s="1"/>
  <c r="H193" i="3" s="1"/>
  <c r="E194" i="3"/>
  <c r="F194" i="3" s="1"/>
  <c r="H194" i="3" s="1"/>
  <c r="E195" i="3"/>
  <c r="F195" i="3" s="1"/>
  <c r="H195" i="3" s="1"/>
  <c r="E196" i="3"/>
  <c r="F196" i="3" s="1"/>
  <c r="H196" i="3" s="1"/>
  <c r="E197" i="3"/>
  <c r="F197" i="3" s="1"/>
  <c r="H197" i="3" s="1"/>
  <c r="E198" i="3"/>
  <c r="F198" i="3" s="1"/>
  <c r="H198" i="3" s="1"/>
  <c r="E199" i="3"/>
  <c r="F199" i="3" s="1"/>
  <c r="H199" i="3" s="1"/>
  <c r="E200" i="3"/>
  <c r="F200" i="3" s="1"/>
  <c r="H200" i="3" s="1"/>
  <c r="E201" i="3"/>
  <c r="F201" i="3" s="1"/>
  <c r="H201" i="3" s="1"/>
  <c r="E202" i="3"/>
  <c r="F202" i="3" s="1"/>
  <c r="H202" i="3" s="1"/>
  <c r="E203" i="3"/>
  <c r="F203" i="3" s="1"/>
  <c r="H203" i="3" s="1"/>
  <c r="E204" i="3"/>
  <c r="F204" i="3" s="1"/>
  <c r="H204" i="3" s="1"/>
  <c r="E205" i="3"/>
  <c r="F205" i="3" s="1"/>
  <c r="H205" i="3" s="1"/>
  <c r="E206" i="3"/>
  <c r="F206" i="3" s="1"/>
  <c r="H206" i="3" s="1"/>
  <c r="E207" i="3"/>
  <c r="F207" i="3" s="1"/>
  <c r="H207" i="3" s="1"/>
  <c r="E208" i="3"/>
  <c r="F208" i="3" s="1"/>
  <c r="H208" i="3" s="1"/>
  <c r="E209" i="3"/>
  <c r="F209" i="3" s="1"/>
  <c r="H209" i="3" s="1"/>
  <c r="E210" i="3"/>
  <c r="F210" i="3" s="1"/>
  <c r="H210" i="3" s="1"/>
  <c r="E211" i="3"/>
  <c r="F211" i="3" s="1"/>
  <c r="H211" i="3" s="1"/>
  <c r="E212" i="3"/>
  <c r="F212" i="3" s="1"/>
  <c r="H212" i="3" s="1"/>
  <c r="E213" i="3"/>
  <c r="F213" i="3" s="1"/>
  <c r="H213" i="3" s="1"/>
  <c r="E214" i="3"/>
  <c r="F214" i="3" s="1"/>
  <c r="H214" i="3" s="1"/>
  <c r="E215" i="3"/>
  <c r="F215" i="3" s="1"/>
  <c r="H215" i="3" s="1"/>
  <c r="E216" i="3"/>
  <c r="F216" i="3" s="1"/>
  <c r="H216" i="3" s="1"/>
  <c r="E217" i="3"/>
  <c r="F217" i="3" s="1"/>
  <c r="H217" i="3" s="1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E9" i="3"/>
  <c r="F9" i="3" s="1"/>
  <c r="H9" i="3" s="1"/>
  <c r="E10" i="3"/>
  <c r="F10" i="3" s="1"/>
  <c r="H10" i="3" s="1"/>
  <c r="E12" i="3"/>
  <c r="F12" i="3" s="1"/>
  <c r="H12" i="3" s="1"/>
  <c r="E13" i="3"/>
  <c r="F13" i="3" s="1"/>
  <c r="H13" i="3" s="1"/>
  <c r="E14" i="3"/>
  <c r="F14" i="3" s="1"/>
  <c r="H14" i="3" s="1"/>
  <c r="E15" i="3"/>
  <c r="F15" i="3" s="1"/>
  <c r="H15" i="3" s="1"/>
  <c r="E16" i="3"/>
  <c r="F16" i="3" s="1"/>
  <c r="H16" i="3" s="1"/>
  <c r="E17" i="3"/>
  <c r="F17" i="3" s="1"/>
  <c r="H17" i="3" s="1"/>
  <c r="E8" i="3"/>
  <c r="F8" i="3" s="1"/>
  <c r="H8" i="3" s="1"/>
  <c r="E7" i="3"/>
  <c r="F7" i="3" s="1"/>
  <c r="H7" i="3" s="1"/>
  <c r="F1750" i="2"/>
  <c r="G1750" i="2" s="1"/>
  <c r="F1751" i="2"/>
  <c r="G1751" i="2" s="1"/>
  <c r="F1752" i="2"/>
  <c r="F1753" i="2"/>
  <c r="F1754" i="2"/>
  <c r="G1754" i="2" s="1"/>
  <c r="I1754" i="2" s="1"/>
  <c r="F1755" i="2"/>
  <c r="F1756" i="2"/>
  <c r="F1757" i="2"/>
  <c r="F1758" i="2"/>
  <c r="F1759" i="2"/>
  <c r="F1760" i="2"/>
  <c r="G1760" i="2" s="1"/>
  <c r="I1760" i="2" s="1"/>
  <c r="F1761" i="2"/>
  <c r="F1762" i="2"/>
  <c r="F1763" i="2"/>
  <c r="F1764" i="2"/>
  <c r="G1764" i="2" s="1"/>
  <c r="I1764" i="2" s="1"/>
  <c r="F1765" i="2"/>
  <c r="F1766" i="2"/>
  <c r="F1767" i="2"/>
  <c r="F1768" i="2"/>
  <c r="F1769" i="2"/>
  <c r="F1770" i="2"/>
  <c r="F1771" i="2"/>
  <c r="F1772" i="2"/>
  <c r="G1752" i="2"/>
  <c r="G1753" i="2"/>
  <c r="G1755" i="2"/>
  <c r="G1756" i="2"/>
  <c r="I1756" i="2" s="1"/>
  <c r="G1757" i="2"/>
  <c r="G1758" i="2"/>
  <c r="G1759" i="2"/>
  <c r="G1761" i="2"/>
  <c r="I1761" i="2" s="1"/>
  <c r="G1762" i="2"/>
  <c r="I1762" i="2" s="1"/>
  <c r="G1763" i="2"/>
  <c r="I1763" i="2" s="1"/>
  <c r="G1765" i="2"/>
  <c r="I1765" i="2" s="1"/>
  <c r="G1766" i="2"/>
  <c r="I1766" i="2" s="1"/>
  <c r="I1752" i="2"/>
  <c r="I1753" i="2"/>
  <c r="I1755" i="2"/>
  <c r="I1757" i="2"/>
  <c r="I1758" i="2"/>
  <c r="I1759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H7" i="2"/>
  <c r="E7" i="2"/>
  <c r="F988" i="2"/>
  <c r="G988" i="2" s="1"/>
  <c r="F989" i="2"/>
  <c r="G989" i="2" s="1"/>
  <c r="F990" i="2"/>
  <c r="G990" i="2" s="1"/>
  <c r="F991" i="2"/>
  <c r="F992" i="2"/>
  <c r="F993" i="2"/>
  <c r="F994" i="2"/>
  <c r="F995" i="2"/>
  <c r="F996" i="2"/>
  <c r="G996" i="2" s="1"/>
  <c r="F997" i="2"/>
  <c r="G997" i="2" s="1"/>
  <c r="F998" i="2"/>
  <c r="G998" i="2" s="1"/>
  <c r="F999" i="2"/>
  <c r="F1000" i="2"/>
  <c r="G1000" i="2" s="1"/>
  <c r="F1001" i="2"/>
  <c r="G1001" i="2" s="1"/>
  <c r="F1002" i="2"/>
  <c r="F1003" i="2"/>
  <c r="F1004" i="2"/>
  <c r="F1005" i="2"/>
  <c r="G1005" i="2" s="1"/>
  <c r="F1006" i="2"/>
  <c r="G1006" i="2" s="1"/>
  <c r="F1007" i="2"/>
  <c r="F1008" i="2"/>
  <c r="G1008" i="2" s="1"/>
  <c r="F1009" i="2"/>
  <c r="G1009" i="2" s="1"/>
  <c r="F1010" i="2"/>
  <c r="F1011" i="2"/>
  <c r="F1012" i="2"/>
  <c r="F1013" i="2"/>
  <c r="F1014" i="2"/>
  <c r="G1014" i="2" s="1"/>
  <c r="F1015" i="2"/>
  <c r="F1016" i="2"/>
  <c r="G1016" i="2" s="1"/>
  <c r="F1017" i="2"/>
  <c r="F1018" i="2"/>
  <c r="F1019" i="2"/>
  <c r="F1020" i="2"/>
  <c r="F1021" i="2"/>
  <c r="F1022" i="2"/>
  <c r="F1023" i="2"/>
  <c r="F1024" i="2"/>
  <c r="G1024" i="2" s="1"/>
  <c r="F1025" i="2"/>
  <c r="G1025" i="2" s="1"/>
  <c r="F1026" i="2"/>
  <c r="F1027" i="2"/>
  <c r="F1028" i="2"/>
  <c r="G1028" i="2" s="1"/>
  <c r="F1029" i="2"/>
  <c r="F1030" i="2"/>
  <c r="F1031" i="2"/>
  <c r="G1031" i="2" s="1"/>
  <c r="F1032" i="2"/>
  <c r="G1032" i="2" s="1"/>
  <c r="F1033" i="2"/>
  <c r="G1033" i="2" s="1"/>
  <c r="F1034" i="2"/>
  <c r="G1034" i="2" s="1"/>
  <c r="F1035" i="2"/>
  <c r="F1036" i="2"/>
  <c r="G1036" i="2" s="1"/>
  <c r="F1037" i="2"/>
  <c r="G1037" i="2" s="1"/>
  <c r="F1038" i="2"/>
  <c r="G1038" i="2" s="1"/>
  <c r="F1039" i="2"/>
  <c r="G1039" i="2" s="1"/>
  <c r="F1040" i="2"/>
  <c r="G1040" i="2" s="1"/>
  <c r="F1041" i="2"/>
  <c r="G1041" i="2" s="1"/>
  <c r="F1042" i="2"/>
  <c r="G1042" i="2" s="1"/>
  <c r="F1043" i="2"/>
  <c r="F1044" i="2"/>
  <c r="G1044" i="2" s="1"/>
  <c r="F1045" i="2"/>
  <c r="F1046" i="2"/>
  <c r="F1047" i="2"/>
  <c r="G1047" i="2" s="1"/>
  <c r="F1048" i="2"/>
  <c r="G1048" i="2" s="1"/>
  <c r="F1049" i="2"/>
  <c r="G1049" i="2" s="1"/>
  <c r="F1050" i="2"/>
  <c r="G1050" i="2" s="1"/>
  <c r="F1051" i="2"/>
  <c r="F1052" i="2"/>
  <c r="G1052" i="2" s="1"/>
  <c r="F1053" i="2"/>
  <c r="G1053" i="2" s="1"/>
  <c r="F1054" i="2"/>
  <c r="G1054" i="2" s="1"/>
  <c r="F1055" i="2"/>
  <c r="G1055" i="2" s="1"/>
  <c r="F1056" i="2"/>
  <c r="G1056" i="2" s="1"/>
  <c r="F1057" i="2"/>
  <c r="G1057" i="2" s="1"/>
  <c r="F1058" i="2"/>
  <c r="G1058" i="2" s="1"/>
  <c r="F1059" i="2"/>
  <c r="F1060" i="2"/>
  <c r="G1060" i="2" s="1"/>
  <c r="F1061" i="2"/>
  <c r="F1062" i="2"/>
  <c r="G1062" i="2" s="1"/>
  <c r="F1063" i="2"/>
  <c r="G1063" i="2" s="1"/>
  <c r="F1064" i="2"/>
  <c r="G1064" i="2" s="1"/>
  <c r="F1065" i="2"/>
  <c r="F1066" i="2"/>
  <c r="G1066" i="2" s="1"/>
  <c r="F1067" i="2"/>
  <c r="F1068" i="2"/>
  <c r="G1068" i="2" s="1"/>
  <c r="F1069" i="2"/>
  <c r="G1069" i="2" s="1"/>
  <c r="F1070" i="2"/>
  <c r="G1070" i="2" s="1"/>
  <c r="F1071" i="2"/>
  <c r="G1071" i="2" s="1"/>
  <c r="F1072" i="2"/>
  <c r="G1072" i="2" s="1"/>
  <c r="F1073" i="2"/>
  <c r="G1073" i="2" s="1"/>
  <c r="F1074" i="2"/>
  <c r="G1074" i="2" s="1"/>
  <c r="F1075" i="2"/>
  <c r="F1076" i="2"/>
  <c r="G1076" i="2" s="1"/>
  <c r="F1077" i="2"/>
  <c r="G1077" i="2" s="1"/>
  <c r="F1078" i="2"/>
  <c r="G1078" i="2" s="1"/>
  <c r="F1079" i="2"/>
  <c r="G1079" i="2" s="1"/>
  <c r="F1080" i="2"/>
  <c r="G1080" i="2" s="1"/>
  <c r="F1081" i="2"/>
  <c r="G1081" i="2" s="1"/>
  <c r="F1082" i="2"/>
  <c r="G1082" i="2" s="1"/>
  <c r="F1083" i="2"/>
  <c r="F1084" i="2"/>
  <c r="G1084" i="2" s="1"/>
  <c r="F1085" i="2"/>
  <c r="G1085" i="2" s="1"/>
  <c r="F1086" i="2"/>
  <c r="G1086" i="2" s="1"/>
  <c r="F1087" i="2"/>
  <c r="G1087" i="2" s="1"/>
  <c r="F1088" i="2"/>
  <c r="G1088" i="2" s="1"/>
  <c r="F1089" i="2"/>
  <c r="G1089" i="2" s="1"/>
  <c r="F1090" i="2"/>
  <c r="F1091" i="2"/>
  <c r="G1091" i="2" s="1"/>
  <c r="F1092" i="2"/>
  <c r="G1092" i="2" s="1"/>
  <c r="F1093" i="2"/>
  <c r="G1093" i="2" s="1"/>
  <c r="F1094" i="2"/>
  <c r="G1094" i="2" s="1"/>
  <c r="F1095" i="2"/>
  <c r="G1095" i="2" s="1"/>
  <c r="F1096" i="2"/>
  <c r="G1096" i="2" s="1"/>
  <c r="F1097" i="2"/>
  <c r="G1097" i="2" s="1"/>
  <c r="F1098" i="2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 s="1"/>
  <c r="F1105" i="2"/>
  <c r="G1105" i="2" s="1"/>
  <c r="F1106" i="2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F1113" i="2"/>
  <c r="G1113" i="2" s="1"/>
  <c r="F1114" i="2"/>
  <c r="F1115" i="2"/>
  <c r="G1115" i="2" s="1"/>
  <c r="F1116" i="2"/>
  <c r="G1116" i="2" s="1"/>
  <c r="F1117" i="2"/>
  <c r="G1117" i="2" s="1"/>
  <c r="F1118" i="2"/>
  <c r="G1118" i="2" s="1"/>
  <c r="F1119" i="2"/>
  <c r="G1119" i="2" s="1"/>
  <c r="F1120" i="2"/>
  <c r="G1120" i="2" s="1"/>
  <c r="F1121" i="2"/>
  <c r="G1121" i="2" s="1"/>
  <c r="F1122" i="2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F1129" i="2"/>
  <c r="F1130" i="2"/>
  <c r="G1130" i="2" s="1"/>
  <c r="F1131" i="2"/>
  <c r="G1131" i="2" s="1"/>
  <c r="F1132" i="2"/>
  <c r="F1133" i="2"/>
  <c r="G1133" i="2" s="1"/>
  <c r="F1134" i="2"/>
  <c r="G1134" i="2" s="1"/>
  <c r="F1135" i="2"/>
  <c r="G1135" i="2" s="1"/>
  <c r="F1136" i="2"/>
  <c r="G1136" i="2" s="1"/>
  <c r="F1137" i="2"/>
  <c r="F1138" i="2"/>
  <c r="G1138" i="2" s="1"/>
  <c r="F1139" i="2"/>
  <c r="G1139" i="2" s="1"/>
  <c r="F1140" i="2"/>
  <c r="G1140" i="2" s="1"/>
  <c r="F1141" i="2"/>
  <c r="G1141" i="2" s="1"/>
  <c r="F1142" i="2"/>
  <c r="G1142" i="2" s="1"/>
  <c r="F1143" i="2"/>
  <c r="G1143" i="2" s="1"/>
  <c r="F1144" i="2"/>
  <c r="F1145" i="2"/>
  <c r="F1146" i="2"/>
  <c r="G1146" i="2" s="1"/>
  <c r="F1147" i="2"/>
  <c r="F1148" i="2"/>
  <c r="G1148" i="2" s="1"/>
  <c r="F1149" i="2"/>
  <c r="G1149" i="2" s="1"/>
  <c r="F1150" i="2"/>
  <c r="G1150" i="2" s="1"/>
  <c r="F1151" i="2"/>
  <c r="G1151" i="2" s="1"/>
  <c r="F1152" i="2"/>
  <c r="F1153" i="2"/>
  <c r="F1154" i="2"/>
  <c r="G1154" i="2" s="1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F1161" i="2"/>
  <c r="F1162" i="2"/>
  <c r="F1163" i="2"/>
  <c r="G1163" i="2" s="1"/>
  <c r="F1164" i="2"/>
  <c r="G1164" i="2" s="1"/>
  <c r="F1165" i="2"/>
  <c r="F1166" i="2"/>
  <c r="F1167" i="2"/>
  <c r="F1168" i="2"/>
  <c r="F1169" i="2"/>
  <c r="G1169" i="2" s="1"/>
  <c r="F1170" i="2"/>
  <c r="G1170" i="2" s="1"/>
  <c r="F1171" i="2"/>
  <c r="G1171" i="2" s="1"/>
  <c r="F1172" i="2"/>
  <c r="G1172" i="2" s="1"/>
  <c r="F1173" i="2"/>
  <c r="G1173" i="2" s="1"/>
  <c r="F1174" i="2"/>
  <c r="F1175" i="2"/>
  <c r="F1176" i="2"/>
  <c r="G1176" i="2" s="1"/>
  <c r="F1177" i="2"/>
  <c r="G1177" i="2" s="1"/>
  <c r="F1178" i="2"/>
  <c r="G1178" i="2" s="1"/>
  <c r="F1179" i="2"/>
  <c r="G1179" i="2" s="1"/>
  <c r="F1180" i="2"/>
  <c r="G1180" i="2" s="1"/>
  <c r="F1181" i="2"/>
  <c r="F1182" i="2"/>
  <c r="F1183" i="2"/>
  <c r="G1183" i="2" s="1"/>
  <c r="F1184" i="2"/>
  <c r="G1184" i="2" s="1"/>
  <c r="F1185" i="2"/>
  <c r="G1185" i="2" s="1"/>
  <c r="F1186" i="2"/>
  <c r="G1186" i="2" s="1"/>
  <c r="F1187" i="2"/>
  <c r="G1187" i="2" s="1"/>
  <c r="F1188" i="2"/>
  <c r="F1189" i="2"/>
  <c r="F1190" i="2"/>
  <c r="F1191" i="2"/>
  <c r="G1191" i="2" s="1"/>
  <c r="F1192" i="2"/>
  <c r="G1192" i="2" s="1"/>
  <c r="F1193" i="2"/>
  <c r="G1193" i="2" s="1"/>
  <c r="F1194" i="2"/>
  <c r="G1194" i="2" s="1"/>
  <c r="F1195" i="2"/>
  <c r="F1196" i="2"/>
  <c r="F1197" i="2"/>
  <c r="F1198" i="2"/>
  <c r="F1199" i="2"/>
  <c r="G1199" i="2" s="1"/>
  <c r="F1200" i="2"/>
  <c r="G1200" i="2" s="1"/>
  <c r="F1201" i="2"/>
  <c r="G1201" i="2" s="1"/>
  <c r="F1202" i="2"/>
  <c r="G1202" i="2" s="1"/>
  <c r="F1203" i="2"/>
  <c r="G1203" i="2" s="1"/>
  <c r="F1204" i="2"/>
  <c r="G1204" i="2" s="1"/>
  <c r="F1205" i="2"/>
  <c r="F1206" i="2"/>
  <c r="F1207" i="2"/>
  <c r="G1207" i="2" s="1"/>
  <c r="F1208" i="2"/>
  <c r="G1208" i="2" s="1"/>
  <c r="F1209" i="2"/>
  <c r="G1209" i="2" s="1"/>
  <c r="F1210" i="2"/>
  <c r="G1210" i="2" s="1"/>
  <c r="F1211" i="2"/>
  <c r="G1211" i="2" s="1"/>
  <c r="F1212" i="2"/>
  <c r="F1213" i="2"/>
  <c r="F1214" i="2"/>
  <c r="F1215" i="2"/>
  <c r="G1215" i="2" s="1"/>
  <c r="F1216" i="2"/>
  <c r="G1216" i="2" s="1"/>
  <c r="F1217" i="2"/>
  <c r="G1217" i="2" s="1"/>
  <c r="F1218" i="2"/>
  <c r="G1218" i="2" s="1"/>
  <c r="F1219" i="2"/>
  <c r="G1219" i="2" s="1"/>
  <c r="F1220" i="2"/>
  <c r="F1221" i="2"/>
  <c r="F1222" i="2"/>
  <c r="F1223" i="2"/>
  <c r="G1223" i="2" s="1"/>
  <c r="F1224" i="2"/>
  <c r="G1224" i="2" s="1"/>
  <c r="F1225" i="2"/>
  <c r="G1225" i="2" s="1"/>
  <c r="F1226" i="2"/>
  <c r="G1226" i="2" s="1"/>
  <c r="F1227" i="2"/>
  <c r="F1228" i="2"/>
  <c r="G1228" i="2" s="1"/>
  <c r="F1229" i="2"/>
  <c r="F1230" i="2"/>
  <c r="F1231" i="2"/>
  <c r="G1231" i="2" s="1"/>
  <c r="F1232" i="2"/>
  <c r="G1232" i="2" s="1"/>
  <c r="F1233" i="2"/>
  <c r="G1233" i="2" s="1"/>
  <c r="F1234" i="2"/>
  <c r="G1234" i="2" s="1"/>
  <c r="F1235" i="2"/>
  <c r="G1235" i="2" s="1"/>
  <c r="F1236" i="2"/>
  <c r="G1236" i="2" s="1"/>
  <c r="F1237" i="2"/>
  <c r="F1238" i="2"/>
  <c r="F1239" i="2"/>
  <c r="G1239" i="2" s="1"/>
  <c r="F1240" i="2"/>
  <c r="F1241" i="2"/>
  <c r="G1241" i="2" s="1"/>
  <c r="F1242" i="2"/>
  <c r="G1242" i="2" s="1"/>
  <c r="F1243" i="2"/>
  <c r="G1243" i="2" s="1"/>
  <c r="F1244" i="2"/>
  <c r="G1244" i="2" s="1"/>
  <c r="F1245" i="2"/>
  <c r="F1246" i="2"/>
  <c r="F1247" i="2"/>
  <c r="G1247" i="2" s="1"/>
  <c r="F1248" i="2"/>
  <c r="G1248" i="2" s="1"/>
  <c r="F1249" i="2"/>
  <c r="G1249" i="2" s="1"/>
  <c r="F1250" i="2"/>
  <c r="G1250" i="2" s="1"/>
  <c r="F1251" i="2"/>
  <c r="G1251" i="2" s="1"/>
  <c r="F1252" i="2"/>
  <c r="F1253" i="2"/>
  <c r="F1254" i="2"/>
  <c r="F1255" i="2"/>
  <c r="G1255" i="2" s="1"/>
  <c r="F1256" i="2"/>
  <c r="G1256" i="2" s="1"/>
  <c r="F1257" i="2"/>
  <c r="G1257" i="2" s="1"/>
  <c r="F1258" i="2"/>
  <c r="G1258" i="2" s="1"/>
  <c r="F1259" i="2"/>
  <c r="F1260" i="2"/>
  <c r="G1260" i="2" s="1"/>
  <c r="F1261" i="2"/>
  <c r="F1262" i="2"/>
  <c r="F1263" i="2"/>
  <c r="G1263" i="2" s="1"/>
  <c r="F1264" i="2"/>
  <c r="F1265" i="2"/>
  <c r="G1265" i="2" s="1"/>
  <c r="F1266" i="2"/>
  <c r="G1266" i="2" s="1"/>
  <c r="F1267" i="2"/>
  <c r="G1267" i="2" s="1"/>
  <c r="F1268" i="2"/>
  <c r="F1269" i="2"/>
  <c r="F1270" i="2"/>
  <c r="F1271" i="2"/>
  <c r="G1271" i="2" s="1"/>
  <c r="F1272" i="2"/>
  <c r="G1272" i="2" s="1"/>
  <c r="F1273" i="2"/>
  <c r="G1273" i="2" s="1"/>
  <c r="F1274" i="2"/>
  <c r="G1274" i="2" s="1"/>
  <c r="F1275" i="2"/>
  <c r="G1275" i="2" s="1"/>
  <c r="F1276" i="2"/>
  <c r="G1276" i="2" s="1"/>
  <c r="F1277" i="2"/>
  <c r="F1278" i="2"/>
  <c r="F1279" i="2"/>
  <c r="G1279" i="2" s="1"/>
  <c r="F1280" i="2"/>
  <c r="F1281" i="2"/>
  <c r="F1282" i="2"/>
  <c r="G1282" i="2" s="1"/>
  <c r="F1283" i="2"/>
  <c r="G1283" i="2" s="1"/>
  <c r="F1284" i="2"/>
  <c r="G1284" i="2" s="1"/>
  <c r="F1285" i="2"/>
  <c r="F1286" i="2"/>
  <c r="F1287" i="2"/>
  <c r="G1287" i="2" s="1"/>
  <c r="F1288" i="2"/>
  <c r="G1288" i="2" s="1"/>
  <c r="F1289" i="2"/>
  <c r="G1289" i="2" s="1"/>
  <c r="F1290" i="2"/>
  <c r="G1290" i="2" s="1"/>
  <c r="F1291" i="2"/>
  <c r="G1291" i="2" s="1"/>
  <c r="F1292" i="2"/>
  <c r="F1293" i="2"/>
  <c r="F1294" i="2"/>
  <c r="F1295" i="2"/>
  <c r="G1295" i="2" s="1"/>
  <c r="F1296" i="2"/>
  <c r="G1296" i="2" s="1"/>
  <c r="F1297" i="2"/>
  <c r="G1297" i="2" s="1"/>
  <c r="F1298" i="2"/>
  <c r="G1298" i="2" s="1"/>
  <c r="F1299" i="2"/>
  <c r="G1299" i="2" s="1"/>
  <c r="F1300" i="2"/>
  <c r="G1300" i="2" s="1"/>
  <c r="F1301" i="2"/>
  <c r="F1302" i="2"/>
  <c r="F883" i="2"/>
  <c r="F884" i="2"/>
  <c r="G884" i="2" s="1"/>
  <c r="I884" i="2" s="1"/>
  <c r="F885" i="2"/>
  <c r="G885" i="2" s="1"/>
  <c r="I885" i="2" s="1"/>
  <c r="F886" i="2"/>
  <c r="G886" i="2" s="1"/>
  <c r="I886" i="2" s="1"/>
  <c r="F887" i="2"/>
  <c r="G887" i="2" s="1"/>
  <c r="I887" i="2" s="1"/>
  <c r="F888" i="2"/>
  <c r="G888" i="2" s="1"/>
  <c r="I888" i="2" s="1"/>
  <c r="F889" i="2"/>
  <c r="G889" i="2" s="1"/>
  <c r="I889" i="2" s="1"/>
  <c r="F890" i="2"/>
  <c r="G890" i="2" s="1"/>
  <c r="I890" i="2" s="1"/>
  <c r="F891" i="2"/>
  <c r="G891" i="2" s="1"/>
  <c r="I891" i="2" s="1"/>
  <c r="F892" i="2"/>
  <c r="G892" i="2" s="1"/>
  <c r="I892" i="2" s="1"/>
  <c r="F893" i="2"/>
  <c r="G893" i="2" s="1"/>
  <c r="I893" i="2" s="1"/>
  <c r="F894" i="2"/>
  <c r="G894" i="2" s="1"/>
  <c r="I894" i="2" s="1"/>
  <c r="F895" i="2"/>
  <c r="G895" i="2" s="1"/>
  <c r="I895" i="2" s="1"/>
  <c r="F896" i="2"/>
  <c r="F897" i="2"/>
  <c r="G897" i="2" s="1"/>
  <c r="I897" i="2" s="1"/>
  <c r="F898" i="2"/>
  <c r="F899" i="2"/>
  <c r="F900" i="2"/>
  <c r="G900" i="2" s="1"/>
  <c r="I900" i="2" s="1"/>
  <c r="F901" i="2"/>
  <c r="G901" i="2" s="1"/>
  <c r="I901" i="2" s="1"/>
  <c r="F902" i="2"/>
  <c r="G902" i="2" s="1"/>
  <c r="I902" i="2" s="1"/>
  <c r="F903" i="2"/>
  <c r="G903" i="2" s="1"/>
  <c r="I903" i="2" s="1"/>
  <c r="F904" i="2"/>
  <c r="F905" i="2"/>
  <c r="G905" i="2" s="1"/>
  <c r="I905" i="2" s="1"/>
  <c r="F906" i="2"/>
  <c r="F907" i="2"/>
  <c r="F908" i="2"/>
  <c r="F909" i="2"/>
  <c r="G909" i="2" s="1"/>
  <c r="F910" i="2"/>
  <c r="G910" i="2" s="1"/>
  <c r="I910" i="2" s="1"/>
  <c r="F911" i="2"/>
  <c r="G911" i="2" s="1"/>
  <c r="I911" i="2" s="1"/>
  <c r="F912" i="2"/>
  <c r="F913" i="2"/>
  <c r="G913" i="2" s="1"/>
  <c r="I913" i="2" s="1"/>
  <c r="F914" i="2"/>
  <c r="G914" i="2" s="1"/>
  <c r="I914" i="2" s="1"/>
  <c r="F915" i="2"/>
  <c r="F916" i="2"/>
  <c r="G916" i="2" s="1"/>
  <c r="I916" i="2" s="1"/>
  <c r="F917" i="2"/>
  <c r="G917" i="2" s="1"/>
  <c r="I917" i="2" s="1"/>
  <c r="F918" i="2"/>
  <c r="F919" i="2"/>
  <c r="F920" i="2"/>
  <c r="G920" i="2" s="1"/>
  <c r="I920" i="2" s="1"/>
  <c r="F921" i="2"/>
  <c r="G921" i="2" s="1"/>
  <c r="I921" i="2" s="1"/>
  <c r="F922" i="2"/>
  <c r="F923" i="2"/>
  <c r="F924" i="2"/>
  <c r="G924" i="2" s="1"/>
  <c r="I924" i="2" s="1"/>
  <c r="F925" i="2"/>
  <c r="G925" i="2" s="1"/>
  <c r="I925" i="2" s="1"/>
  <c r="F926" i="2"/>
  <c r="G926" i="2" s="1"/>
  <c r="I926" i="2" s="1"/>
  <c r="F927" i="2"/>
  <c r="F928" i="2"/>
  <c r="F929" i="2"/>
  <c r="F930" i="2"/>
  <c r="F931" i="2"/>
  <c r="F932" i="2"/>
  <c r="G932" i="2" s="1"/>
  <c r="I932" i="2" s="1"/>
  <c r="F933" i="2"/>
  <c r="G933" i="2" s="1"/>
  <c r="I933" i="2" s="1"/>
  <c r="F934" i="2"/>
  <c r="G934" i="2" s="1"/>
  <c r="I934" i="2" s="1"/>
  <c r="F935" i="2"/>
  <c r="F936" i="2"/>
  <c r="G936" i="2" s="1"/>
  <c r="I936" i="2" s="1"/>
  <c r="F937" i="2"/>
  <c r="F938" i="2"/>
  <c r="G938" i="2" s="1"/>
  <c r="I938" i="2" s="1"/>
  <c r="F939" i="2"/>
  <c r="G939" i="2" s="1"/>
  <c r="I939" i="2" s="1"/>
  <c r="F940" i="2"/>
  <c r="G940" i="2" s="1"/>
  <c r="I940" i="2" s="1"/>
  <c r="F941" i="2"/>
  <c r="G941" i="2" s="1"/>
  <c r="I941" i="2" s="1"/>
  <c r="F942" i="2"/>
  <c r="G942" i="2" s="1"/>
  <c r="I942" i="2" s="1"/>
  <c r="F943" i="2"/>
  <c r="F944" i="2"/>
  <c r="G944" i="2" s="1"/>
  <c r="I944" i="2" s="1"/>
  <c r="F945" i="2"/>
  <c r="F946" i="2"/>
  <c r="F947" i="2"/>
  <c r="G947" i="2" s="1"/>
  <c r="I947" i="2" s="1"/>
  <c r="F948" i="2"/>
  <c r="G948" i="2" s="1"/>
  <c r="I948" i="2" s="1"/>
  <c r="F949" i="2"/>
  <c r="G949" i="2" s="1"/>
  <c r="I949" i="2" s="1"/>
  <c r="F950" i="2"/>
  <c r="G950" i="2" s="1"/>
  <c r="I950" i="2" s="1"/>
  <c r="F951" i="2"/>
  <c r="F952" i="2"/>
  <c r="G952" i="2" s="1"/>
  <c r="I952" i="2" s="1"/>
  <c r="F953" i="2"/>
  <c r="F954" i="2"/>
  <c r="G954" i="2" s="1"/>
  <c r="I954" i="2" s="1"/>
  <c r="F955" i="2"/>
  <c r="F956" i="2"/>
  <c r="G956" i="2" s="1"/>
  <c r="I956" i="2" s="1"/>
  <c r="F957" i="2"/>
  <c r="G957" i="2" s="1"/>
  <c r="I957" i="2" s="1"/>
  <c r="F958" i="2"/>
  <c r="F959" i="2"/>
  <c r="G959" i="2" s="1"/>
  <c r="I959" i="2" s="1"/>
  <c r="F960" i="2"/>
  <c r="F961" i="2"/>
  <c r="G961" i="2" s="1"/>
  <c r="I961" i="2" s="1"/>
  <c r="F962" i="2"/>
  <c r="G962" i="2" s="1"/>
  <c r="I962" i="2" s="1"/>
  <c r="F963" i="2"/>
  <c r="G963" i="2" s="1"/>
  <c r="I963" i="2" s="1"/>
  <c r="F964" i="2"/>
  <c r="G964" i="2" s="1"/>
  <c r="I964" i="2" s="1"/>
  <c r="F965" i="2"/>
  <c r="G965" i="2" s="1"/>
  <c r="I965" i="2" s="1"/>
  <c r="F966" i="2"/>
  <c r="F967" i="2"/>
  <c r="G967" i="2" s="1"/>
  <c r="I967" i="2" s="1"/>
  <c r="F968" i="2"/>
  <c r="F969" i="2"/>
  <c r="G969" i="2" s="1"/>
  <c r="I969" i="2" s="1"/>
  <c r="F970" i="2"/>
  <c r="F971" i="2"/>
  <c r="G971" i="2" s="1"/>
  <c r="I971" i="2" s="1"/>
  <c r="F972" i="2"/>
  <c r="G972" i="2" s="1"/>
  <c r="I972" i="2" s="1"/>
  <c r="F973" i="2"/>
  <c r="G973" i="2" s="1"/>
  <c r="F974" i="2"/>
  <c r="G974" i="2" s="1"/>
  <c r="F975" i="2"/>
  <c r="F976" i="2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F984" i="2"/>
  <c r="F985" i="2"/>
  <c r="F986" i="2"/>
  <c r="F987" i="2"/>
  <c r="G987" i="2" s="1"/>
  <c r="F880" i="2"/>
  <c r="G880" i="2" s="1"/>
  <c r="I880" i="2" s="1"/>
  <c r="F881" i="2"/>
  <c r="G881" i="2" s="1"/>
  <c r="I881" i="2" s="1"/>
  <c r="F882" i="2"/>
  <c r="G882" i="2" s="1"/>
  <c r="I882" i="2" s="1"/>
  <c r="F805" i="2"/>
  <c r="G805" i="2" s="1"/>
  <c r="I805" i="2" s="1"/>
  <c r="F806" i="2"/>
  <c r="G806" i="2" s="1"/>
  <c r="I806" i="2" s="1"/>
  <c r="F807" i="2"/>
  <c r="G807" i="2" s="1"/>
  <c r="I807" i="2" s="1"/>
  <c r="F808" i="2"/>
  <c r="G808" i="2" s="1"/>
  <c r="I808" i="2" s="1"/>
  <c r="F809" i="2"/>
  <c r="G809" i="2" s="1"/>
  <c r="I809" i="2" s="1"/>
  <c r="F810" i="2"/>
  <c r="G810" i="2" s="1"/>
  <c r="I810" i="2" s="1"/>
  <c r="F811" i="2"/>
  <c r="G811" i="2" s="1"/>
  <c r="F812" i="2"/>
  <c r="G812" i="2" s="1"/>
  <c r="I812" i="2" s="1"/>
  <c r="F813" i="2"/>
  <c r="G813" i="2" s="1"/>
  <c r="I813" i="2" s="1"/>
  <c r="F814" i="2"/>
  <c r="G814" i="2" s="1"/>
  <c r="I814" i="2" s="1"/>
  <c r="F815" i="2"/>
  <c r="G815" i="2" s="1"/>
  <c r="I815" i="2" s="1"/>
  <c r="F816" i="2"/>
  <c r="G816" i="2" s="1"/>
  <c r="I816" i="2" s="1"/>
  <c r="F817" i="2"/>
  <c r="G817" i="2" s="1"/>
  <c r="I817" i="2" s="1"/>
  <c r="F818" i="2"/>
  <c r="G818" i="2" s="1"/>
  <c r="I818" i="2" s="1"/>
  <c r="F819" i="2"/>
  <c r="G819" i="2" s="1"/>
  <c r="I819" i="2" s="1"/>
  <c r="F820" i="2"/>
  <c r="G820" i="2" s="1"/>
  <c r="I820" i="2" s="1"/>
  <c r="F821" i="2"/>
  <c r="G821" i="2" s="1"/>
  <c r="I821" i="2" s="1"/>
  <c r="F822" i="2"/>
  <c r="G822" i="2" s="1"/>
  <c r="I822" i="2" s="1"/>
  <c r="F823" i="2"/>
  <c r="G823" i="2" s="1"/>
  <c r="I823" i="2" s="1"/>
  <c r="F824" i="2"/>
  <c r="G824" i="2" s="1"/>
  <c r="I824" i="2" s="1"/>
  <c r="F825" i="2"/>
  <c r="G825" i="2" s="1"/>
  <c r="I825" i="2" s="1"/>
  <c r="F826" i="2"/>
  <c r="G826" i="2" s="1"/>
  <c r="I826" i="2" s="1"/>
  <c r="F827" i="2"/>
  <c r="G827" i="2" s="1"/>
  <c r="I827" i="2" s="1"/>
  <c r="F828" i="2"/>
  <c r="G828" i="2" s="1"/>
  <c r="I828" i="2" s="1"/>
  <c r="F829" i="2"/>
  <c r="G829" i="2" s="1"/>
  <c r="I829" i="2" s="1"/>
  <c r="F830" i="2"/>
  <c r="G830" i="2" s="1"/>
  <c r="I830" i="2" s="1"/>
  <c r="F831" i="2"/>
  <c r="G831" i="2" s="1"/>
  <c r="F832" i="2"/>
  <c r="G832" i="2" s="1"/>
  <c r="I832" i="2" s="1"/>
  <c r="F833" i="2"/>
  <c r="G833" i="2" s="1"/>
  <c r="I833" i="2" s="1"/>
  <c r="F834" i="2"/>
  <c r="G834" i="2" s="1"/>
  <c r="I834" i="2" s="1"/>
  <c r="F835" i="2"/>
  <c r="G835" i="2" s="1"/>
  <c r="I835" i="2" s="1"/>
  <c r="F836" i="2"/>
  <c r="G836" i="2" s="1"/>
  <c r="I836" i="2" s="1"/>
  <c r="F837" i="2"/>
  <c r="G837" i="2" s="1"/>
  <c r="I837" i="2" s="1"/>
  <c r="F838" i="2"/>
  <c r="G838" i="2" s="1"/>
  <c r="I838" i="2" s="1"/>
  <c r="F839" i="2"/>
  <c r="G839" i="2" s="1"/>
  <c r="I839" i="2" s="1"/>
  <c r="F840" i="2"/>
  <c r="G840" i="2" s="1"/>
  <c r="I840" i="2" s="1"/>
  <c r="F841" i="2"/>
  <c r="G841" i="2" s="1"/>
  <c r="I841" i="2" s="1"/>
  <c r="F842" i="2"/>
  <c r="G842" i="2" s="1"/>
  <c r="I842" i="2" s="1"/>
  <c r="F843" i="2"/>
  <c r="G843" i="2" s="1"/>
  <c r="I843" i="2" s="1"/>
  <c r="F844" i="2"/>
  <c r="G844" i="2" s="1"/>
  <c r="I844" i="2" s="1"/>
  <c r="F845" i="2"/>
  <c r="G845" i="2" s="1"/>
  <c r="I845" i="2" s="1"/>
  <c r="F846" i="2"/>
  <c r="G846" i="2" s="1"/>
  <c r="I846" i="2" s="1"/>
  <c r="F847" i="2"/>
  <c r="G847" i="2" s="1"/>
  <c r="I847" i="2" s="1"/>
  <c r="F848" i="2"/>
  <c r="G848" i="2" s="1"/>
  <c r="I848" i="2" s="1"/>
  <c r="F849" i="2"/>
  <c r="G849" i="2" s="1"/>
  <c r="I849" i="2" s="1"/>
  <c r="F850" i="2"/>
  <c r="G850" i="2" s="1"/>
  <c r="I850" i="2" s="1"/>
  <c r="F851" i="2"/>
  <c r="G851" i="2" s="1"/>
  <c r="I851" i="2" s="1"/>
  <c r="F852" i="2"/>
  <c r="G852" i="2" s="1"/>
  <c r="I852" i="2" s="1"/>
  <c r="F853" i="2"/>
  <c r="G853" i="2" s="1"/>
  <c r="I853" i="2" s="1"/>
  <c r="F854" i="2"/>
  <c r="G854" i="2" s="1"/>
  <c r="I854" i="2" s="1"/>
  <c r="F855" i="2"/>
  <c r="G855" i="2" s="1"/>
  <c r="I855" i="2" s="1"/>
  <c r="F856" i="2"/>
  <c r="G856" i="2" s="1"/>
  <c r="I856" i="2" s="1"/>
  <c r="F857" i="2"/>
  <c r="G857" i="2" s="1"/>
  <c r="I857" i="2" s="1"/>
  <c r="F858" i="2"/>
  <c r="G858" i="2" s="1"/>
  <c r="I858" i="2" s="1"/>
  <c r="F859" i="2"/>
  <c r="G859" i="2" s="1"/>
  <c r="I859" i="2" s="1"/>
  <c r="F860" i="2"/>
  <c r="G860" i="2" s="1"/>
  <c r="I860" i="2" s="1"/>
  <c r="F861" i="2"/>
  <c r="G861" i="2" s="1"/>
  <c r="I861" i="2" s="1"/>
  <c r="F862" i="2"/>
  <c r="G862" i="2" s="1"/>
  <c r="I862" i="2" s="1"/>
  <c r="F863" i="2"/>
  <c r="G863" i="2" s="1"/>
  <c r="I863" i="2" s="1"/>
  <c r="F864" i="2"/>
  <c r="G864" i="2" s="1"/>
  <c r="I864" i="2" s="1"/>
  <c r="F865" i="2"/>
  <c r="G865" i="2" s="1"/>
  <c r="I865" i="2" s="1"/>
  <c r="F866" i="2"/>
  <c r="G866" i="2" s="1"/>
  <c r="I866" i="2" s="1"/>
  <c r="F867" i="2"/>
  <c r="G867" i="2" s="1"/>
  <c r="I867" i="2" s="1"/>
  <c r="F868" i="2"/>
  <c r="G868" i="2" s="1"/>
  <c r="I868" i="2" s="1"/>
  <c r="F869" i="2"/>
  <c r="G869" i="2" s="1"/>
  <c r="I869" i="2" s="1"/>
  <c r="F870" i="2"/>
  <c r="G870" i="2" s="1"/>
  <c r="I870" i="2" s="1"/>
  <c r="F871" i="2"/>
  <c r="G871" i="2" s="1"/>
  <c r="I871" i="2" s="1"/>
  <c r="F872" i="2"/>
  <c r="G872" i="2" s="1"/>
  <c r="I872" i="2" s="1"/>
  <c r="F873" i="2"/>
  <c r="G873" i="2" s="1"/>
  <c r="I873" i="2" s="1"/>
  <c r="F874" i="2"/>
  <c r="G874" i="2" s="1"/>
  <c r="I874" i="2" s="1"/>
  <c r="F875" i="2"/>
  <c r="G875" i="2" s="1"/>
  <c r="I875" i="2" s="1"/>
  <c r="F876" i="2"/>
  <c r="G876" i="2" s="1"/>
  <c r="I876" i="2" s="1"/>
  <c r="F877" i="2"/>
  <c r="G877" i="2" s="1"/>
  <c r="I877" i="2" s="1"/>
  <c r="F878" i="2"/>
  <c r="G878" i="2" s="1"/>
  <c r="I878" i="2" s="1"/>
  <c r="F879" i="2"/>
  <c r="G879" i="2" s="1"/>
  <c r="I879" i="2" s="1"/>
  <c r="G1767" i="2" l="1"/>
  <c r="I1767" i="2" s="1"/>
  <c r="G1768" i="2"/>
  <c r="I1768" i="2" s="1"/>
  <c r="G1769" i="2"/>
  <c r="I1769" i="2" s="1"/>
  <c r="G1770" i="2"/>
  <c r="I1770" i="2" s="1"/>
  <c r="G1771" i="2"/>
  <c r="I1771" i="2" s="1"/>
  <c r="G1772" i="2"/>
  <c r="I1772" i="2" s="1"/>
  <c r="G1399" i="2"/>
  <c r="I1399" i="2" s="1"/>
  <c r="G1401" i="2"/>
  <c r="I1401" i="2" s="1"/>
  <c r="G1403" i="2"/>
  <c r="I1403" i="2" s="1"/>
  <c r="G1405" i="2"/>
  <c r="I1405" i="2" s="1"/>
  <c r="G1407" i="2"/>
  <c r="I1407" i="2" s="1"/>
  <c r="G1614" i="2"/>
  <c r="I1614" i="2" s="1"/>
  <c r="G1618" i="2"/>
  <c r="I1618" i="2" s="1"/>
  <c r="G1621" i="2"/>
  <c r="I1621" i="2" s="1"/>
  <c r="G1623" i="2"/>
  <c r="I1623" i="2" s="1"/>
  <c r="G1626" i="2"/>
  <c r="I1626" i="2" s="1"/>
  <c r="G1629" i="2"/>
  <c r="I1629" i="2" s="1"/>
  <c r="G1632" i="2"/>
  <c r="I1632" i="2" s="1"/>
  <c r="G1637" i="2"/>
  <c r="I1637" i="2" s="1"/>
  <c r="G1639" i="2"/>
  <c r="I1639" i="2" s="1"/>
  <c r="G1642" i="2"/>
  <c r="I1642" i="2" s="1"/>
  <c r="G1644" i="2"/>
  <c r="I1644" i="2" s="1"/>
  <c r="G1646" i="2"/>
  <c r="I1646" i="2" s="1"/>
  <c r="G1649" i="2"/>
  <c r="I1649" i="2" s="1"/>
  <c r="G1653" i="2"/>
  <c r="I1653" i="2" s="1"/>
  <c r="G1658" i="2"/>
  <c r="I1658" i="2" s="1"/>
  <c r="G1662" i="2"/>
  <c r="I1662" i="2" s="1"/>
  <c r="G1664" i="2"/>
  <c r="I1664" i="2" s="1"/>
  <c r="G1667" i="2"/>
  <c r="I1667" i="2" s="1"/>
  <c r="G1671" i="2"/>
  <c r="I1671" i="2" s="1"/>
  <c r="G1674" i="2"/>
  <c r="I1674" i="2" s="1"/>
  <c r="G1676" i="2"/>
  <c r="I1676" i="2" s="1"/>
  <c r="G1679" i="2"/>
  <c r="I1679" i="2" s="1"/>
  <c r="G1682" i="2"/>
  <c r="I1682" i="2" s="1"/>
  <c r="G1684" i="2"/>
  <c r="I1684" i="2" s="1"/>
  <c r="G1688" i="2"/>
  <c r="I1688" i="2" s="1"/>
  <c r="G1691" i="2"/>
  <c r="I1691" i="2" s="1"/>
  <c r="G1695" i="2"/>
  <c r="I1695" i="2" s="1"/>
  <c r="G1698" i="2"/>
  <c r="I1698" i="2" s="1"/>
  <c r="G1701" i="2"/>
  <c r="I1701" i="2" s="1"/>
  <c r="G1703" i="2"/>
  <c r="I1703" i="2" s="1"/>
  <c r="G1705" i="2"/>
  <c r="I1705" i="2" s="1"/>
  <c r="G1706" i="2"/>
  <c r="I1706" i="2" s="1"/>
  <c r="G1708" i="2"/>
  <c r="I1708" i="2" s="1"/>
  <c r="G1710" i="2"/>
  <c r="I1710" i="2" s="1"/>
  <c r="G1712" i="2"/>
  <c r="I1712" i="2" s="1"/>
  <c r="G1714" i="2"/>
  <c r="I1714" i="2" s="1"/>
  <c r="G1716" i="2"/>
  <c r="I1716" i="2" s="1"/>
  <c r="G1303" i="2"/>
  <c r="I1303" i="2" s="1"/>
  <c r="G1304" i="2"/>
  <c r="I1304" i="2" s="1"/>
  <c r="G1305" i="2"/>
  <c r="I1305" i="2" s="1"/>
  <c r="G1306" i="2"/>
  <c r="I1306" i="2" s="1"/>
  <c r="G1307" i="2"/>
  <c r="I1307" i="2" s="1"/>
  <c r="G1308" i="2"/>
  <c r="I1308" i="2" s="1"/>
  <c r="G1309" i="2"/>
  <c r="I1309" i="2" s="1"/>
  <c r="G1310" i="2"/>
  <c r="I1310" i="2" s="1"/>
  <c r="G1311" i="2"/>
  <c r="I1311" i="2" s="1"/>
  <c r="G1312" i="2"/>
  <c r="I1312" i="2" s="1"/>
  <c r="G1313" i="2"/>
  <c r="I1313" i="2" s="1"/>
  <c r="G1314" i="2"/>
  <c r="I1314" i="2" s="1"/>
  <c r="G1315" i="2"/>
  <c r="I1315" i="2" s="1"/>
  <c r="G1316" i="2"/>
  <c r="I1316" i="2" s="1"/>
  <c r="G1317" i="2"/>
  <c r="I1317" i="2" s="1"/>
  <c r="G1318" i="2"/>
  <c r="I1318" i="2" s="1"/>
  <c r="G1319" i="2"/>
  <c r="I1319" i="2" s="1"/>
  <c r="G1320" i="2"/>
  <c r="I1320" i="2" s="1"/>
  <c r="G1321" i="2"/>
  <c r="I1321" i="2" s="1"/>
  <c r="G1322" i="2"/>
  <c r="I1322" i="2" s="1"/>
  <c r="G1323" i="2"/>
  <c r="I1323" i="2" s="1"/>
  <c r="G1324" i="2"/>
  <c r="I1324" i="2" s="1"/>
  <c r="G1325" i="2"/>
  <c r="I1325" i="2" s="1"/>
  <c r="G1326" i="2"/>
  <c r="I1326" i="2" s="1"/>
  <c r="G1327" i="2"/>
  <c r="I1327" i="2" s="1"/>
  <c r="G1328" i="2"/>
  <c r="I1328" i="2" s="1"/>
  <c r="G1329" i="2"/>
  <c r="I1329" i="2" s="1"/>
  <c r="G1330" i="2"/>
  <c r="I1330" i="2" s="1"/>
  <c r="G1331" i="2"/>
  <c r="I1331" i="2" s="1"/>
  <c r="G1332" i="2"/>
  <c r="I1332" i="2" s="1"/>
  <c r="G1333" i="2"/>
  <c r="I1333" i="2" s="1"/>
  <c r="G1334" i="2"/>
  <c r="I1334" i="2" s="1"/>
  <c r="G1335" i="2"/>
  <c r="I1335" i="2" s="1"/>
  <c r="G1336" i="2"/>
  <c r="I1336" i="2" s="1"/>
  <c r="G1337" i="2"/>
  <c r="I1337" i="2" s="1"/>
  <c r="G1338" i="2"/>
  <c r="I1338" i="2" s="1"/>
  <c r="G1339" i="2"/>
  <c r="I1339" i="2" s="1"/>
  <c r="G1340" i="2"/>
  <c r="I1340" i="2" s="1"/>
  <c r="G1341" i="2"/>
  <c r="I1341" i="2" s="1"/>
  <c r="G1342" i="2"/>
  <c r="I1342" i="2" s="1"/>
  <c r="G1343" i="2"/>
  <c r="I1343" i="2" s="1"/>
  <c r="G1344" i="2"/>
  <c r="I1344" i="2" s="1"/>
  <c r="G1345" i="2"/>
  <c r="I1345" i="2" s="1"/>
  <c r="G1346" i="2"/>
  <c r="I1346" i="2" s="1"/>
  <c r="G1347" i="2"/>
  <c r="I1347" i="2" s="1"/>
  <c r="G1348" i="2"/>
  <c r="I1348" i="2" s="1"/>
  <c r="G1349" i="2"/>
  <c r="I1349" i="2" s="1"/>
  <c r="G1350" i="2"/>
  <c r="I1350" i="2" s="1"/>
  <c r="G1351" i="2"/>
  <c r="I1351" i="2" s="1"/>
  <c r="G1352" i="2"/>
  <c r="I1352" i="2" s="1"/>
  <c r="G1353" i="2"/>
  <c r="I1353" i="2" s="1"/>
  <c r="G1354" i="2"/>
  <c r="I1354" i="2" s="1"/>
  <c r="G1355" i="2"/>
  <c r="I1355" i="2" s="1"/>
  <c r="G1356" i="2"/>
  <c r="I1356" i="2" s="1"/>
  <c r="G1357" i="2"/>
  <c r="I1357" i="2" s="1"/>
  <c r="G1358" i="2"/>
  <c r="I1358" i="2" s="1"/>
  <c r="G1359" i="2"/>
  <c r="I1359" i="2" s="1"/>
  <c r="G1360" i="2"/>
  <c r="I1360" i="2" s="1"/>
  <c r="G1361" i="2"/>
  <c r="I1361" i="2" s="1"/>
  <c r="G1362" i="2"/>
  <c r="I1362" i="2" s="1"/>
  <c r="G1363" i="2"/>
  <c r="I1363" i="2" s="1"/>
  <c r="G1364" i="2"/>
  <c r="I1364" i="2" s="1"/>
  <c r="G1365" i="2"/>
  <c r="I1365" i="2" s="1"/>
  <c r="G1366" i="2"/>
  <c r="I1366" i="2" s="1"/>
  <c r="G1367" i="2"/>
  <c r="I1367" i="2" s="1"/>
  <c r="G1368" i="2"/>
  <c r="I1368" i="2" s="1"/>
  <c r="G1369" i="2"/>
  <c r="I1369" i="2" s="1"/>
  <c r="G1370" i="2"/>
  <c r="I1370" i="2" s="1"/>
  <c r="G1371" i="2"/>
  <c r="I1371" i="2" s="1"/>
  <c r="G1372" i="2"/>
  <c r="I1372" i="2" s="1"/>
  <c r="G1373" i="2"/>
  <c r="I1373" i="2" s="1"/>
  <c r="G1374" i="2"/>
  <c r="I1374" i="2" s="1"/>
  <c r="G1375" i="2"/>
  <c r="I1375" i="2" s="1"/>
  <c r="G1376" i="2"/>
  <c r="I1376" i="2" s="1"/>
  <c r="G1377" i="2"/>
  <c r="I1377" i="2" s="1"/>
  <c r="G1378" i="2"/>
  <c r="I1378" i="2" s="1"/>
  <c r="G1379" i="2"/>
  <c r="I1379" i="2" s="1"/>
  <c r="G1380" i="2"/>
  <c r="I1380" i="2" s="1"/>
  <c r="G1381" i="2"/>
  <c r="I1381" i="2" s="1"/>
  <c r="G1382" i="2"/>
  <c r="I1382" i="2" s="1"/>
  <c r="G1383" i="2"/>
  <c r="I1383" i="2" s="1"/>
  <c r="G1384" i="2"/>
  <c r="I1384" i="2" s="1"/>
  <c r="G1385" i="2"/>
  <c r="I1385" i="2" s="1"/>
  <c r="G1386" i="2"/>
  <c r="I1386" i="2" s="1"/>
  <c r="G1387" i="2"/>
  <c r="I1387" i="2" s="1"/>
  <c r="G1388" i="2"/>
  <c r="I1388" i="2" s="1"/>
  <c r="G1389" i="2"/>
  <c r="I1389" i="2" s="1"/>
  <c r="G1390" i="2"/>
  <c r="I1390" i="2" s="1"/>
  <c r="G1391" i="2"/>
  <c r="I1391" i="2" s="1"/>
  <c r="G1392" i="2"/>
  <c r="I1392" i="2" s="1"/>
  <c r="G1393" i="2"/>
  <c r="I1393" i="2" s="1"/>
  <c r="G1394" i="2"/>
  <c r="I1394" i="2" s="1"/>
  <c r="G1395" i="2"/>
  <c r="I1395" i="2" s="1"/>
  <c r="G1396" i="2"/>
  <c r="I1396" i="2" s="1"/>
  <c r="G1397" i="2"/>
  <c r="I1397" i="2" s="1"/>
  <c r="G1398" i="2"/>
  <c r="I1398" i="2" s="1"/>
  <c r="G1400" i="2"/>
  <c r="I1400" i="2" s="1"/>
  <c r="G1402" i="2"/>
  <c r="I1402" i="2" s="1"/>
  <c r="G1404" i="2"/>
  <c r="I1404" i="2" s="1"/>
  <c r="G1406" i="2"/>
  <c r="I1406" i="2" s="1"/>
  <c r="G1408" i="2"/>
  <c r="I1408" i="2" s="1"/>
  <c r="G1613" i="2"/>
  <c r="I1613" i="2" s="1"/>
  <c r="G1615" i="2"/>
  <c r="I1615" i="2" s="1"/>
  <c r="G1616" i="2"/>
  <c r="I1616" i="2" s="1"/>
  <c r="G1617" i="2"/>
  <c r="I1617" i="2" s="1"/>
  <c r="G1620" i="2"/>
  <c r="I1620" i="2" s="1"/>
  <c r="G1624" i="2"/>
  <c r="I1624" i="2" s="1"/>
  <c r="G1627" i="2"/>
  <c r="I1627" i="2" s="1"/>
  <c r="G1630" i="2"/>
  <c r="I1630" i="2" s="1"/>
  <c r="G1633" i="2"/>
  <c r="I1633" i="2" s="1"/>
  <c r="G1635" i="2"/>
  <c r="I1635" i="2" s="1"/>
  <c r="G1638" i="2"/>
  <c r="I1638" i="2" s="1"/>
  <c r="G1641" i="2"/>
  <c r="I1641" i="2" s="1"/>
  <c r="G1645" i="2"/>
  <c r="I1645" i="2" s="1"/>
  <c r="G1647" i="2"/>
  <c r="I1647" i="2" s="1"/>
  <c r="G1650" i="2"/>
  <c r="I1650" i="2" s="1"/>
  <c r="G1652" i="2"/>
  <c r="I1652" i="2" s="1"/>
  <c r="G1655" i="2"/>
  <c r="I1655" i="2" s="1"/>
  <c r="G1656" i="2"/>
  <c r="I1656" i="2" s="1"/>
  <c r="G1659" i="2"/>
  <c r="I1659" i="2" s="1"/>
  <c r="G1661" i="2"/>
  <c r="I1661" i="2" s="1"/>
  <c r="G1666" i="2"/>
  <c r="I1666" i="2" s="1"/>
  <c r="G1669" i="2"/>
  <c r="I1669" i="2" s="1"/>
  <c r="G1672" i="2"/>
  <c r="I1672" i="2" s="1"/>
  <c r="G1675" i="2"/>
  <c r="I1675" i="2" s="1"/>
  <c r="G1678" i="2"/>
  <c r="I1678" i="2" s="1"/>
  <c r="G1681" i="2"/>
  <c r="I1681" i="2" s="1"/>
  <c r="G1685" i="2"/>
  <c r="I1685" i="2" s="1"/>
  <c r="G1687" i="2"/>
  <c r="I1687" i="2" s="1"/>
  <c r="G1690" i="2"/>
  <c r="I1690" i="2" s="1"/>
  <c r="G1692" i="2"/>
  <c r="I1692" i="2" s="1"/>
  <c r="G1694" i="2"/>
  <c r="I1694" i="2" s="1"/>
  <c r="G1697" i="2"/>
  <c r="I1697" i="2" s="1"/>
  <c r="G1700" i="2"/>
  <c r="I1700" i="2" s="1"/>
  <c r="G1702" i="2"/>
  <c r="I1702" i="2" s="1"/>
  <c r="G1704" i="2"/>
  <c r="I1704" i="2" s="1"/>
  <c r="G1409" i="2"/>
  <c r="I1409" i="2" s="1"/>
  <c r="G1410" i="2"/>
  <c r="I1410" i="2" s="1"/>
  <c r="G1411" i="2"/>
  <c r="I1411" i="2" s="1"/>
  <c r="G1412" i="2"/>
  <c r="I1412" i="2" s="1"/>
  <c r="G1413" i="2"/>
  <c r="I1413" i="2" s="1"/>
  <c r="G1414" i="2"/>
  <c r="I1414" i="2" s="1"/>
  <c r="G1415" i="2"/>
  <c r="I1415" i="2" s="1"/>
  <c r="G1416" i="2"/>
  <c r="I1416" i="2" s="1"/>
  <c r="G1417" i="2"/>
  <c r="I1417" i="2" s="1"/>
  <c r="G1418" i="2"/>
  <c r="I1418" i="2" s="1"/>
  <c r="G1419" i="2"/>
  <c r="I1419" i="2" s="1"/>
  <c r="G1420" i="2"/>
  <c r="I1420" i="2" s="1"/>
  <c r="G1421" i="2"/>
  <c r="I1421" i="2" s="1"/>
  <c r="G1422" i="2"/>
  <c r="I1422" i="2" s="1"/>
  <c r="G1423" i="2"/>
  <c r="I1423" i="2" s="1"/>
  <c r="G1424" i="2"/>
  <c r="I1424" i="2" s="1"/>
  <c r="G1425" i="2"/>
  <c r="I1425" i="2" s="1"/>
  <c r="G1426" i="2"/>
  <c r="I1426" i="2" s="1"/>
  <c r="G1427" i="2"/>
  <c r="I1427" i="2" s="1"/>
  <c r="G1428" i="2"/>
  <c r="I1428" i="2" s="1"/>
  <c r="G1429" i="2"/>
  <c r="I1429" i="2" s="1"/>
  <c r="G1430" i="2"/>
  <c r="I1430" i="2" s="1"/>
  <c r="G1431" i="2"/>
  <c r="I1431" i="2" s="1"/>
  <c r="G1432" i="2"/>
  <c r="I1432" i="2" s="1"/>
  <c r="G1433" i="2"/>
  <c r="I1433" i="2" s="1"/>
  <c r="G1434" i="2"/>
  <c r="I1434" i="2" s="1"/>
  <c r="G1435" i="2"/>
  <c r="I1435" i="2" s="1"/>
  <c r="G1436" i="2"/>
  <c r="I1436" i="2" s="1"/>
  <c r="G1437" i="2"/>
  <c r="I1437" i="2" s="1"/>
  <c r="G1438" i="2"/>
  <c r="I1438" i="2" s="1"/>
  <c r="G1439" i="2"/>
  <c r="I1439" i="2" s="1"/>
  <c r="G1440" i="2"/>
  <c r="I1440" i="2" s="1"/>
  <c r="G1441" i="2"/>
  <c r="I1441" i="2" s="1"/>
  <c r="G1442" i="2"/>
  <c r="I1442" i="2" s="1"/>
  <c r="G1443" i="2"/>
  <c r="I1443" i="2" s="1"/>
  <c r="G1444" i="2"/>
  <c r="I1444" i="2" s="1"/>
  <c r="G1445" i="2"/>
  <c r="I1445" i="2" s="1"/>
  <c r="G1446" i="2"/>
  <c r="I1446" i="2" s="1"/>
  <c r="G1447" i="2"/>
  <c r="I1447" i="2" s="1"/>
  <c r="G1448" i="2"/>
  <c r="I1448" i="2" s="1"/>
  <c r="G1449" i="2"/>
  <c r="I1449" i="2" s="1"/>
  <c r="G1450" i="2"/>
  <c r="I1450" i="2" s="1"/>
  <c r="G1451" i="2"/>
  <c r="I1451" i="2" s="1"/>
  <c r="G1452" i="2"/>
  <c r="I1452" i="2" s="1"/>
  <c r="G1453" i="2"/>
  <c r="I1453" i="2" s="1"/>
  <c r="G1454" i="2"/>
  <c r="I1454" i="2" s="1"/>
  <c r="G1455" i="2"/>
  <c r="I1455" i="2" s="1"/>
  <c r="G1456" i="2"/>
  <c r="I1456" i="2" s="1"/>
  <c r="G1457" i="2"/>
  <c r="I1457" i="2" s="1"/>
  <c r="G1458" i="2"/>
  <c r="I1458" i="2" s="1"/>
  <c r="G1459" i="2"/>
  <c r="I1459" i="2" s="1"/>
  <c r="G1460" i="2"/>
  <c r="I1460" i="2" s="1"/>
  <c r="G1461" i="2"/>
  <c r="I1461" i="2" s="1"/>
  <c r="G1462" i="2"/>
  <c r="I1462" i="2" s="1"/>
  <c r="G1463" i="2"/>
  <c r="I1463" i="2" s="1"/>
  <c r="G1464" i="2"/>
  <c r="I1464" i="2" s="1"/>
  <c r="G1465" i="2"/>
  <c r="I1465" i="2" s="1"/>
  <c r="G1466" i="2"/>
  <c r="I1466" i="2" s="1"/>
  <c r="G1467" i="2"/>
  <c r="I1467" i="2" s="1"/>
  <c r="G1468" i="2"/>
  <c r="I1468" i="2" s="1"/>
  <c r="G1469" i="2"/>
  <c r="I1469" i="2" s="1"/>
  <c r="G1470" i="2"/>
  <c r="I1470" i="2" s="1"/>
  <c r="G1471" i="2"/>
  <c r="I1471" i="2" s="1"/>
  <c r="G1472" i="2"/>
  <c r="I1472" i="2" s="1"/>
  <c r="G1473" i="2"/>
  <c r="I1473" i="2" s="1"/>
  <c r="G1474" i="2"/>
  <c r="I1474" i="2" s="1"/>
  <c r="G1475" i="2"/>
  <c r="I1475" i="2" s="1"/>
  <c r="G1476" i="2"/>
  <c r="I1476" i="2" s="1"/>
  <c r="G1477" i="2"/>
  <c r="I1477" i="2" s="1"/>
  <c r="G1478" i="2"/>
  <c r="I1478" i="2" s="1"/>
  <c r="G1479" i="2"/>
  <c r="I1479" i="2" s="1"/>
  <c r="G1480" i="2"/>
  <c r="I1480" i="2" s="1"/>
  <c r="G1481" i="2"/>
  <c r="I1481" i="2" s="1"/>
  <c r="G1482" i="2"/>
  <c r="I1482" i="2" s="1"/>
  <c r="G1483" i="2"/>
  <c r="I1483" i="2" s="1"/>
  <c r="G1484" i="2"/>
  <c r="I1484" i="2" s="1"/>
  <c r="G1485" i="2"/>
  <c r="I1485" i="2" s="1"/>
  <c r="G1486" i="2"/>
  <c r="I1486" i="2" s="1"/>
  <c r="G1487" i="2"/>
  <c r="I1487" i="2" s="1"/>
  <c r="G1488" i="2"/>
  <c r="I1488" i="2" s="1"/>
  <c r="G1489" i="2"/>
  <c r="I1489" i="2" s="1"/>
  <c r="G1490" i="2"/>
  <c r="I1490" i="2" s="1"/>
  <c r="G1491" i="2"/>
  <c r="I1491" i="2" s="1"/>
  <c r="G1492" i="2"/>
  <c r="I1492" i="2" s="1"/>
  <c r="G1493" i="2"/>
  <c r="I1493" i="2" s="1"/>
  <c r="G1494" i="2"/>
  <c r="I1494" i="2" s="1"/>
  <c r="G1495" i="2"/>
  <c r="I1495" i="2" s="1"/>
  <c r="G1496" i="2"/>
  <c r="I1496" i="2" s="1"/>
  <c r="G1497" i="2"/>
  <c r="I1497" i="2" s="1"/>
  <c r="G1498" i="2"/>
  <c r="I1498" i="2" s="1"/>
  <c r="G1499" i="2"/>
  <c r="I1499" i="2" s="1"/>
  <c r="G1500" i="2"/>
  <c r="I1500" i="2" s="1"/>
  <c r="G1501" i="2"/>
  <c r="I1501" i="2" s="1"/>
  <c r="G1502" i="2"/>
  <c r="I1502" i="2" s="1"/>
  <c r="G1503" i="2"/>
  <c r="I1503" i="2" s="1"/>
  <c r="G1504" i="2"/>
  <c r="I1504" i="2" s="1"/>
  <c r="G1505" i="2"/>
  <c r="I1505" i="2" s="1"/>
  <c r="G1506" i="2"/>
  <c r="I1506" i="2" s="1"/>
  <c r="G1507" i="2"/>
  <c r="I1507" i="2" s="1"/>
  <c r="G1508" i="2"/>
  <c r="I1508" i="2" s="1"/>
  <c r="G1509" i="2"/>
  <c r="I1509" i="2" s="1"/>
  <c r="G1510" i="2"/>
  <c r="I1510" i="2" s="1"/>
  <c r="G1511" i="2"/>
  <c r="I1511" i="2" s="1"/>
  <c r="G1512" i="2"/>
  <c r="I1512" i="2" s="1"/>
  <c r="G1513" i="2"/>
  <c r="I1513" i="2" s="1"/>
  <c r="G1514" i="2"/>
  <c r="I1514" i="2" s="1"/>
  <c r="G1515" i="2"/>
  <c r="I1515" i="2" s="1"/>
  <c r="G1516" i="2"/>
  <c r="I1516" i="2" s="1"/>
  <c r="G1517" i="2"/>
  <c r="I1517" i="2" s="1"/>
  <c r="G1518" i="2"/>
  <c r="I1518" i="2" s="1"/>
  <c r="G1519" i="2"/>
  <c r="I1519" i="2" s="1"/>
  <c r="G1520" i="2"/>
  <c r="I1520" i="2" s="1"/>
  <c r="G1521" i="2"/>
  <c r="I1521" i="2" s="1"/>
  <c r="G1522" i="2"/>
  <c r="I1522" i="2" s="1"/>
  <c r="G1523" i="2"/>
  <c r="I1523" i="2" s="1"/>
  <c r="G1524" i="2"/>
  <c r="I1524" i="2" s="1"/>
  <c r="G1525" i="2"/>
  <c r="I1525" i="2" s="1"/>
  <c r="G1526" i="2"/>
  <c r="I1526" i="2" s="1"/>
  <c r="G1527" i="2"/>
  <c r="I1527" i="2" s="1"/>
  <c r="G1528" i="2"/>
  <c r="I1528" i="2" s="1"/>
  <c r="G1529" i="2"/>
  <c r="I1529" i="2" s="1"/>
  <c r="G1530" i="2"/>
  <c r="I1530" i="2" s="1"/>
  <c r="G1531" i="2"/>
  <c r="I1531" i="2" s="1"/>
  <c r="G1532" i="2"/>
  <c r="I1532" i="2" s="1"/>
  <c r="G1533" i="2"/>
  <c r="I1533" i="2" s="1"/>
  <c r="G1534" i="2"/>
  <c r="I1534" i="2" s="1"/>
  <c r="G1535" i="2"/>
  <c r="I1535" i="2" s="1"/>
  <c r="G1536" i="2"/>
  <c r="I1536" i="2" s="1"/>
  <c r="G1537" i="2"/>
  <c r="I1537" i="2" s="1"/>
  <c r="G1538" i="2"/>
  <c r="I1538" i="2" s="1"/>
  <c r="G1539" i="2"/>
  <c r="I1539" i="2" s="1"/>
  <c r="G1540" i="2"/>
  <c r="I1540" i="2" s="1"/>
  <c r="G1541" i="2"/>
  <c r="I1541" i="2" s="1"/>
  <c r="G1542" i="2"/>
  <c r="I1542" i="2" s="1"/>
  <c r="G1543" i="2"/>
  <c r="I1543" i="2" s="1"/>
  <c r="G1544" i="2"/>
  <c r="I1544" i="2" s="1"/>
  <c r="G1545" i="2"/>
  <c r="I1545" i="2" s="1"/>
  <c r="G1546" i="2"/>
  <c r="I1546" i="2" s="1"/>
  <c r="G1547" i="2"/>
  <c r="I1547" i="2" s="1"/>
  <c r="G1548" i="2"/>
  <c r="I1548" i="2" s="1"/>
  <c r="G1549" i="2"/>
  <c r="I1549" i="2" s="1"/>
  <c r="G1550" i="2"/>
  <c r="I1550" i="2" s="1"/>
  <c r="G1551" i="2"/>
  <c r="I1551" i="2" s="1"/>
  <c r="G1552" i="2"/>
  <c r="I1552" i="2" s="1"/>
  <c r="G1553" i="2"/>
  <c r="I1553" i="2" s="1"/>
  <c r="G1554" i="2"/>
  <c r="I1554" i="2" s="1"/>
  <c r="G1555" i="2"/>
  <c r="I1555" i="2" s="1"/>
  <c r="G1556" i="2"/>
  <c r="I1556" i="2" s="1"/>
  <c r="G1557" i="2"/>
  <c r="I1557" i="2" s="1"/>
  <c r="G1558" i="2"/>
  <c r="I1558" i="2" s="1"/>
  <c r="G1559" i="2"/>
  <c r="I1559" i="2" s="1"/>
  <c r="G1560" i="2"/>
  <c r="I1560" i="2" s="1"/>
  <c r="G1561" i="2"/>
  <c r="I1561" i="2" s="1"/>
  <c r="G1562" i="2"/>
  <c r="I1562" i="2" s="1"/>
  <c r="G1563" i="2"/>
  <c r="I1563" i="2" s="1"/>
  <c r="G1564" i="2"/>
  <c r="I1564" i="2" s="1"/>
  <c r="G1565" i="2"/>
  <c r="I1565" i="2" s="1"/>
  <c r="G1566" i="2"/>
  <c r="I1566" i="2" s="1"/>
  <c r="G1567" i="2"/>
  <c r="I1567" i="2" s="1"/>
  <c r="G1568" i="2"/>
  <c r="I1568" i="2" s="1"/>
  <c r="G1569" i="2"/>
  <c r="I1569" i="2" s="1"/>
  <c r="G1570" i="2"/>
  <c r="I1570" i="2" s="1"/>
  <c r="G1571" i="2"/>
  <c r="I1571" i="2" s="1"/>
  <c r="G1572" i="2"/>
  <c r="I1572" i="2" s="1"/>
  <c r="G1573" i="2"/>
  <c r="I1573" i="2" s="1"/>
  <c r="G1574" i="2"/>
  <c r="I1574" i="2" s="1"/>
  <c r="G1575" i="2"/>
  <c r="I1575" i="2" s="1"/>
  <c r="G1576" i="2"/>
  <c r="I1576" i="2" s="1"/>
  <c r="G1577" i="2"/>
  <c r="I1577" i="2" s="1"/>
  <c r="G1578" i="2"/>
  <c r="I1578" i="2" s="1"/>
  <c r="G1579" i="2"/>
  <c r="I1579" i="2" s="1"/>
  <c r="G1580" i="2"/>
  <c r="I1580" i="2" s="1"/>
  <c r="G1581" i="2"/>
  <c r="I1581" i="2" s="1"/>
  <c r="G1582" i="2"/>
  <c r="I1582" i="2" s="1"/>
  <c r="G1583" i="2"/>
  <c r="I1583" i="2" s="1"/>
  <c r="G1584" i="2"/>
  <c r="I1584" i="2" s="1"/>
  <c r="G1585" i="2"/>
  <c r="I1585" i="2" s="1"/>
  <c r="G1586" i="2"/>
  <c r="I1586" i="2" s="1"/>
  <c r="G1587" i="2"/>
  <c r="I1587" i="2" s="1"/>
  <c r="G1588" i="2"/>
  <c r="I1588" i="2" s="1"/>
  <c r="G1589" i="2"/>
  <c r="I1589" i="2" s="1"/>
  <c r="G1590" i="2"/>
  <c r="I1590" i="2" s="1"/>
  <c r="G1591" i="2"/>
  <c r="I1591" i="2" s="1"/>
  <c r="G1592" i="2"/>
  <c r="I1592" i="2" s="1"/>
  <c r="G1593" i="2"/>
  <c r="I1593" i="2" s="1"/>
  <c r="G1594" i="2"/>
  <c r="I1594" i="2" s="1"/>
  <c r="G1595" i="2"/>
  <c r="I1595" i="2" s="1"/>
  <c r="G1596" i="2"/>
  <c r="I1596" i="2" s="1"/>
  <c r="G1597" i="2"/>
  <c r="I1597" i="2" s="1"/>
  <c r="G1598" i="2"/>
  <c r="I1598" i="2" s="1"/>
  <c r="G1599" i="2"/>
  <c r="I1599" i="2" s="1"/>
  <c r="G1600" i="2"/>
  <c r="I1600" i="2" s="1"/>
  <c r="G1601" i="2"/>
  <c r="I1601" i="2" s="1"/>
  <c r="G1602" i="2"/>
  <c r="I1602" i="2" s="1"/>
  <c r="G1603" i="2"/>
  <c r="I1603" i="2" s="1"/>
  <c r="G1604" i="2"/>
  <c r="I1604" i="2" s="1"/>
  <c r="G1605" i="2"/>
  <c r="I1605" i="2" s="1"/>
  <c r="G1606" i="2"/>
  <c r="I1606" i="2" s="1"/>
  <c r="G1607" i="2"/>
  <c r="I1607" i="2" s="1"/>
  <c r="G1608" i="2"/>
  <c r="I1608" i="2" s="1"/>
  <c r="G1609" i="2"/>
  <c r="I1609" i="2" s="1"/>
  <c r="G1610" i="2"/>
  <c r="I1610" i="2" s="1"/>
  <c r="G1611" i="2"/>
  <c r="I1611" i="2" s="1"/>
  <c r="G1612" i="2"/>
  <c r="I1612" i="2" s="1"/>
  <c r="G1619" i="2"/>
  <c r="I1619" i="2" s="1"/>
  <c r="G1622" i="2"/>
  <c r="I1622" i="2" s="1"/>
  <c r="G1625" i="2"/>
  <c r="I1625" i="2" s="1"/>
  <c r="G1628" i="2"/>
  <c r="I1628" i="2" s="1"/>
  <c r="G1631" i="2"/>
  <c r="I1631" i="2" s="1"/>
  <c r="G1634" i="2"/>
  <c r="I1634" i="2" s="1"/>
  <c r="G1636" i="2"/>
  <c r="I1636" i="2" s="1"/>
  <c r="G1640" i="2"/>
  <c r="I1640" i="2" s="1"/>
  <c r="G1643" i="2"/>
  <c r="I1643" i="2" s="1"/>
  <c r="G1648" i="2"/>
  <c r="I1648" i="2" s="1"/>
  <c r="G1651" i="2"/>
  <c r="I1651" i="2" s="1"/>
  <c r="G1654" i="2"/>
  <c r="I1654" i="2" s="1"/>
  <c r="G1657" i="2"/>
  <c r="I1657" i="2" s="1"/>
  <c r="G1660" i="2"/>
  <c r="I1660" i="2" s="1"/>
  <c r="G1663" i="2"/>
  <c r="I1663" i="2" s="1"/>
  <c r="G1665" i="2"/>
  <c r="I1665" i="2" s="1"/>
  <c r="G1668" i="2"/>
  <c r="I1668" i="2" s="1"/>
  <c r="G1670" i="2"/>
  <c r="I1670" i="2" s="1"/>
  <c r="G1673" i="2"/>
  <c r="I1673" i="2" s="1"/>
  <c r="G1677" i="2"/>
  <c r="I1677" i="2" s="1"/>
  <c r="G1680" i="2"/>
  <c r="I1680" i="2" s="1"/>
  <c r="G1683" i="2"/>
  <c r="I1683" i="2" s="1"/>
  <c r="G1686" i="2"/>
  <c r="I1686" i="2" s="1"/>
  <c r="G1689" i="2"/>
  <c r="I1689" i="2" s="1"/>
  <c r="G1693" i="2"/>
  <c r="I1693" i="2" s="1"/>
  <c r="G1696" i="2"/>
  <c r="I1696" i="2" s="1"/>
  <c r="G1699" i="2"/>
  <c r="I1699" i="2" s="1"/>
  <c r="G1707" i="2"/>
  <c r="I1707" i="2" s="1"/>
  <c r="G1709" i="2"/>
  <c r="I1709" i="2" s="1"/>
  <c r="G1711" i="2"/>
  <c r="I1711" i="2" s="1"/>
  <c r="G1713" i="2"/>
  <c r="I1713" i="2" s="1"/>
  <c r="G1715" i="2"/>
  <c r="I1715" i="2" s="1"/>
  <c r="G1717" i="2"/>
  <c r="I1717" i="2" s="1"/>
  <c r="G1718" i="2"/>
  <c r="I1718" i="2" s="1"/>
  <c r="G1719" i="2"/>
  <c r="I1719" i="2" s="1"/>
  <c r="G1720" i="2"/>
  <c r="I1720" i="2" s="1"/>
  <c r="G1721" i="2"/>
  <c r="I1721" i="2" s="1"/>
  <c r="G1722" i="2"/>
  <c r="I1722" i="2" s="1"/>
  <c r="G1723" i="2"/>
  <c r="I1723" i="2" s="1"/>
  <c r="G1724" i="2"/>
  <c r="I1724" i="2" s="1"/>
  <c r="G1725" i="2"/>
  <c r="I1725" i="2" s="1"/>
  <c r="G1726" i="2"/>
  <c r="I1726" i="2" s="1"/>
  <c r="G1727" i="2"/>
  <c r="I1727" i="2" s="1"/>
  <c r="G1728" i="2"/>
  <c r="I1728" i="2" s="1"/>
  <c r="G1729" i="2"/>
  <c r="I1729" i="2" s="1"/>
  <c r="G1730" i="2"/>
  <c r="I1730" i="2" s="1"/>
  <c r="G1731" i="2"/>
  <c r="I1731" i="2" s="1"/>
  <c r="G1732" i="2"/>
  <c r="I1732" i="2" s="1"/>
  <c r="G1733" i="2"/>
  <c r="I1733" i="2" s="1"/>
  <c r="G1734" i="2"/>
  <c r="I1734" i="2" s="1"/>
  <c r="G1735" i="2"/>
  <c r="I1735" i="2" s="1"/>
  <c r="G1736" i="2"/>
  <c r="I1736" i="2" s="1"/>
  <c r="G1737" i="2"/>
  <c r="I1737" i="2" s="1"/>
  <c r="G1738" i="2"/>
  <c r="I1738" i="2" s="1"/>
  <c r="G1739" i="2"/>
  <c r="I1739" i="2" s="1"/>
  <c r="G1740" i="2"/>
  <c r="I1740" i="2" s="1"/>
  <c r="G1741" i="2"/>
  <c r="I1741" i="2" s="1"/>
  <c r="G1742" i="2"/>
  <c r="I1742" i="2" s="1"/>
  <c r="G1743" i="2"/>
  <c r="I1743" i="2" s="1"/>
  <c r="G1744" i="2"/>
  <c r="I1744" i="2" s="1"/>
  <c r="G1745" i="2"/>
  <c r="I1745" i="2" s="1"/>
  <c r="G1746" i="2"/>
  <c r="I1746" i="2" s="1"/>
  <c r="G1747" i="2"/>
  <c r="I1747" i="2" s="1"/>
  <c r="G1748" i="2"/>
  <c r="I1748" i="2" s="1"/>
  <c r="G1749" i="2"/>
  <c r="I1749" i="2" s="1"/>
  <c r="I1750" i="2"/>
  <c r="I1751" i="2"/>
  <c r="G1090" i="2"/>
  <c r="G1098" i="2"/>
  <c r="G1106" i="2"/>
  <c r="G1112" i="2"/>
  <c r="G1083" i="2"/>
  <c r="G1075" i="2"/>
  <c r="G1114" i="2"/>
  <c r="G1122" i="2"/>
  <c r="G1128" i="2"/>
  <c r="G1129" i="2"/>
  <c r="G1132" i="2"/>
  <c r="G1137" i="2"/>
  <c r="G1144" i="2"/>
  <c r="G1145" i="2"/>
  <c r="G1147" i="2"/>
  <c r="G1152" i="2"/>
  <c r="G1153" i="2"/>
  <c r="G1160" i="2"/>
  <c r="G1161" i="2"/>
  <c r="G1162" i="2"/>
  <c r="G1165" i="2"/>
  <c r="G1166" i="2"/>
  <c r="G1240" i="2"/>
  <c r="G1252" i="2"/>
  <c r="G1253" i="2"/>
  <c r="G1254" i="2"/>
  <c r="G1259" i="2"/>
  <c r="G1261" i="2"/>
  <c r="G1262" i="2"/>
  <c r="G1264" i="2"/>
  <c r="G1268" i="2"/>
  <c r="G1269" i="2"/>
  <c r="G1270" i="2"/>
  <c r="G1277" i="2"/>
  <c r="G1278" i="2"/>
  <c r="G1280" i="2"/>
  <c r="G1281" i="2"/>
  <c r="G1285" i="2"/>
  <c r="G1286" i="2"/>
  <c r="I831" i="2"/>
  <c r="G1027" i="2"/>
  <c r="G1029" i="2"/>
  <c r="G1030" i="2"/>
  <c r="G1035" i="2"/>
  <c r="G1043" i="2"/>
  <c r="G1045" i="2"/>
  <c r="G1046" i="2"/>
  <c r="G1051" i="2"/>
  <c r="G1059" i="2"/>
  <c r="G1061" i="2"/>
  <c r="G1065" i="2"/>
  <c r="G1067" i="2"/>
  <c r="G1167" i="2"/>
  <c r="G1168" i="2"/>
  <c r="G1174" i="2"/>
  <c r="G1175" i="2"/>
  <c r="G1181" i="2"/>
  <c r="G1182" i="2"/>
  <c r="G1188" i="2"/>
  <c r="G1189" i="2"/>
  <c r="G1190" i="2"/>
  <c r="G1195" i="2"/>
  <c r="G1196" i="2"/>
  <c r="G1197" i="2"/>
  <c r="G1198" i="2"/>
  <c r="G1205" i="2"/>
  <c r="G1206" i="2"/>
  <c r="G1212" i="2"/>
  <c r="G1213" i="2"/>
  <c r="G1214" i="2"/>
  <c r="G1220" i="2"/>
  <c r="G1221" i="2"/>
  <c r="G1222" i="2"/>
  <c r="G1227" i="2"/>
  <c r="G1229" i="2"/>
  <c r="G1230" i="2"/>
  <c r="G1292" i="2"/>
  <c r="G1293" i="2"/>
  <c r="G1294" i="2"/>
  <c r="G1301" i="2"/>
  <c r="G1302" i="2"/>
  <c r="G983" i="2"/>
  <c r="G984" i="2"/>
  <c r="G985" i="2"/>
  <c r="G986" i="2"/>
  <c r="G1017" i="2"/>
  <c r="G1018" i="2"/>
  <c r="G1019" i="2"/>
  <c r="G1020" i="2"/>
  <c r="G1021" i="2"/>
  <c r="G1022" i="2"/>
  <c r="G1023" i="2"/>
  <c r="G1026" i="2"/>
  <c r="I909" i="2"/>
  <c r="I811" i="2"/>
  <c r="I973" i="2"/>
  <c r="I974" i="2"/>
  <c r="I977" i="2"/>
  <c r="I978" i="2"/>
  <c r="I979" i="2"/>
  <c r="I980" i="2"/>
  <c r="I981" i="2"/>
  <c r="I982" i="2"/>
  <c r="I987" i="2"/>
  <c r="I988" i="2"/>
  <c r="I989" i="2"/>
  <c r="I990" i="2"/>
  <c r="I996" i="2"/>
  <c r="I997" i="2"/>
  <c r="I998" i="2"/>
  <c r="I1000" i="2"/>
  <c r="I1001" i="2"/>
  <c r="I1005" i="2"/>
  <c r="I1006" i="2"/>
  <c r="I1008" i="2"/>
  <c r="I1009" i="2"/>
  <c r="I1014" i="2"/>
  <c r="I1016" i="2"/>
  <c r="I1024" i="2"/>
  <c r="I1025" i="2"/>
  <c r="I1028" i="2"/>
  <c r="I1031" i="2"/>
  <c r="I1032" i="2"/>
  <c r="I1033" i="2"/>
  <c r="I1034" i="2"/>
  <c r="I1036" i="2"/>
  <c r="I1037" i="2"/>
  <c r="I1038" i="2"/>
  <c r="I1039" i="2"/>
  <c r="I1040" i="2"/>
  <c r="I1041" i="2"/>
  <c r="I1042" i="2"/>
  <c r="I1044" i="2"/>
  <c r="I1047" i="2"/>
  <c r="I1048" i="2"/>
  <c r="I1049" i="2"/>
  <c r="I1050" i="2"/>
  <c r="I1052" i="2"/>
  <c r="I1053" i="2"/>
  <c r="I1054" i="2"/>
  <c r="I1055" i="2"/>
  <c r="I1056" i="2"/>
  <c r="I1057" i="2"/>
  <c r="I1058" i="2"/>
  <c r="I1060" i="2"/>
  <c r="I1062" i="2"/>
  <c r="I1063" i="2"/>
  <c r="I1064" i="2"/>
  <c r="I1066" i="2"/>
  <c r="I1068" i="2"/>
  <c r="I1069" i="2"/>
  <c r="I1070" i="2"/>
  <c r="I1071" i="2"/>
  <c r="I1072" i="2"/>
  <c r="I1073" i="2"/>
  <c r="I1074" i="2"/>
  <c r="I1076" i="2"/>
  <c r="I1077" i="2"/>
  <c r="I1078" i="2"/>
  <c r="I1079" i="2"/>
  <c r="I1080" i="2"/>
  <c r="I1081" i="2"/>
  <c r="I1082" i="2"/>
  <c r="I1084" i="2"/>
  <c r="I1085" i="2"/>
  <c r="I1086" i="2"/>
  <c r="I1087" i="2"/>
  <c r="I1088" i="2"/>
  <c r="I1089" i="2"/>
  <c r="I1091" i="2"/>
  <c r="I1092" i="2"/>
  <c r="I1093" i="2"/>
  <c r="I1094" i="2"/>
  <c r="I1095" i="2"/>
  <c r="I1096" i="2"/>
  <c r="I1097" i="2"/>
  <c r="I1099" i="2"/>
  <c r="I1100" i="2"/>
  <c r="I1101" i="2"/>
  <c r="I1102" i="2"/>
  <c r="I1103" i="2"/>
  <c r="I1104" i="2"/>
  <c r="I1105" i="2"/>
  <c r="I1107" i="2"/>
  <c r="I1108" i="2"/>
  <c r="I1109" i="2"/>
  <c r="I1110" i="2"/>
  <c r="I1111" i="2"/>
  <c r="I1113" i="2"/>
  <c r="I1115" i="2"/>
  <c r="I1116" i="2"/>
  <c r="I1117" i="2"/>
  <c r="I1118" i="2"/>
  <c r="I1119" i="2"/>
  <c r="I1120" i="2"/>
  <c r="I1121" i="2"/>
  <c r="I1123" i="2"/>
  <c r="I1124" i="2"/>
  <c r="I1125" i="2"/>
  <c r="I1126" i="2"/>
  <c r="I1127" i="2"/>
  <c r="I1130" i="2"/>
  <c r="I1131" i="2"/>
  <c r="I1133" i="2"/>
  <c r="I1134" i="2"/>
  <c r="I1135" i="2"/>
  <c r="I1136" i="2"/>
  <c r="I1138" i="2"/>
  <c r="I1139" i="2"/>
  <c r="I1140" i="2"/>
  <c r="I1141" i="2"/>
  <c r="I1142" i="2"/>
  <c r="I1143" i="2"/>
  <c r="I1146" i="2"/>
  <c r="I1148" i="2"/>
  <c r="I1149" i="2"/>
  <c r="I1150" i="2"/>
  <c r="I1151" i="2"/>
  <c r="I1288" i="2"/>
  <c r="I1290" i="2"/>
  <c r="I1295" i="2"/>
  <c r="I1297" i="2"/>
  <c r="I1299" i="2"/>
  <c r="I1154" i="2"/>
  <c r="I1155" i="2"/>
  <c r="I1156" i="2"/>
  <c r="I1157" i="2"/>
  <c r="I1158" i="2"/>
  <c r="I1159" i="2"/>
  <c r="I1163" i="2"/>
  <c r="I1164" i="2"/>
  <c r="I1169" i="2"/>
  <c r="I1170" i="2"/>
  <c r="I1171" i="2"/>
  <c r="I1172" i="2"/>
  <c r="I1173" i="2"/>
  <c r="I1176" i="2"/>
  <c r="I1177" i="2"/>
  <c r="I1178" i="2"/>
  <c r="I1179" i="2"/>
  <c r="I1180" i="2"/>
  <c r="I1183" i="2"/>
  <c r="I1184" i="2"/>
  <c r="I1185" i="2"/>
  <c r="I1186" i="2"/>
  <c r="I1187" i="2"/>
  <c r="I1191" i="2"/>
  <c r="I1192" i="2"/>
  <c r="I1193" i="2"/>
  <c r="I1194" i="2"/>
  <c r="I1199" i="2"/>
  <c r="I1200" i="2"/>
  <c r="I1201" i="2"/>
  <c r="I1202" i="2"/>
  <c r="I1203" i="2"/>
  <c r="I1204" i="2"/>
  <c r="I1207" i="2"/>
  <c r="I1208" i="2"/>
  <c r="I1209" i="2"/>
  <c r="I1210" i="2"/>
  <c r="I1211" i="2"/>
  <c r="I1215" i="2"/>
  <c r="I1216" i="2"/>
  <c r="I1217" i="2"/>
  <c r="I1218" i="2"/>
  <c r="I1219" i="2"/>
  <c r="I1223" i="2"/>
  <c r="I1224" i="2"/>
  <c r="I1225" i="2"/>
  <c r="I1226" i="2"/>
  <c r="I1228" i="2"/>
  <c r="I1231" i="2"/>
  <c r="I1232" i="2"/>
  <c r="I1233" i="2"/>
  <c r="I1234" i="2"/>
  <c r="I1235" i="2"/>
  <c r="I1236" i="2"/>
  <c r="I1239" i="2"/>
  <c r="I1241" i="2"/>
  <c r="I1242" i="2"/>
  <c r="I1243" i="2"/>
  <c r="I1244" i="2"/>
  <c r="I1247" i="2"/>
  <c r="I1248" i="2"/>
  <c r="I1249" i="2"/>
  <c r="I1250" i="2"/>
  <c r="I1251" i="2"/>
  <c r="I1255" i="2"/>
  <c r="I1256" i="2"/>
  <c r="I1257" i="2"/>
  <c r="I1258" i="2"/>
  <c r="I1260" i="2"/>
  <c r="I1263" i="2"/>
  <c r="I1265" i="2"/>
  <c r="I1266" i="2"/>
  <c r="I1267" i="2"/>
  <c r="I1271" i="2"/>
  <c r="I1272" i="2"/>
  <c r="I1273" i="2"/>
  <c r="I1274" i="2"/>
  <c r="I1275" i="2"/>
  <c r="I1276" i="2"/>
  <c r="I1279" i="2"/>
  <c r="I1282" i="2"/>
  <c r="I1283" i="2"/>
  <c r="I1284" i="2"/>
  <c r="I1287" i="2"/>
  <c r="I1289" i="2"/>
  <c r="I1291" i="2"/>
  <c r="I1296" i="2"/>
  <c r="I1298" i="2"/>
  <c r="I1300" i="2"/>
  <c r="G1237" i="2"/>
  <c r="I1237" i="2" s="1"/>
  <c r="G1238" i="2"/>
  <c r="I1238" i="2" s="1"/>
  <c r="G1245" i="2"/>
  <c r="I1245" i="2" s="1"/>
  <c r="G1246" i="2"/>
  <c r="I1246" i="2" s="1"/>
  <c r="G883" i="2"/>
  <c r="I883" i="2" s="1"/>
  <c r="G896" i="2"/>
  <c r="I896" i="2" s="1"/>
  <c r="G898" i="2"/>
  <c r="I898" i="2" s="1"/>
  <c r="G899" i="2"/>
  <c r="I899" i="2" s="1"/>
  <c r="G904" i="2"/>
  <c r="I904" i="2" s="1"/>
  <c r="G906" i="2"/>
  <c r="I906" i="2" s="1"/>
  <c r="G907" i="2"/>
  <c r="I907" i="2" s="1"/>
  <c r="G908" i="2"/>
  <c r="I908" i="2" s="1"/>
  <c r="G912" i="2"/>
  <c r="I912" i="2" s="1"/>
  <c r="G915" i="2"/>
  <c r="I915" i="2" s="1"/>
  <c r="G918" i="2"/>
  <c r="I918" i="2" s="1"/>
  <c r="G919" i="2"/>
  <c r="I919" i="2" s="1"/>
  <c r="G922" i="2"/>
  <c r="I922" i="2" s="1"/>
  <c r="G923" i="2"/>
  <c r="I923" i="2" s="1"/>
  <c r="G927" i="2"/>
  <c r="I927" i="2" s="1"/>
  <c r="G928" i="2"/>
  <c r="I928" i="2" s="1"/>
  <c r="G929" i="2"/>
  <c r="I929" i="2" s="1"/>
  <c r="G930" i="2"/>
  <c r="I930" i="2" s="1"/>
  <c r="G931" i="2"/>
  <c r="I931" i="2" s="1"/>
  <c r="G935" i="2"/>
  <c r="I935" i="2" s="1"/>
  <c r="G937" i="2"/>
  <c r="I937" i="2" s="1"/>
  <c r="G943" i="2"/>
  <c r="I943" i="2" s="1"/>
  <c r="G945" i="2"/>
  <c r="I945" i="2" s="1"/>
  <c r="G946" i="2"/>
  <c r="I946" i="2" s="1"/>
  <c r="G951" i="2"/>
  <c r="I951" i="2" s="1"/>
  <c r="G953" i="2"/>
  <c r="I953" i="2" s="1"/>
  <c r="G955" i="2"/>
  <c r="I955" i="2" s="1"/>
  <c r="G958" i="2"/>
  <c r="I958" i="2" s="1"/>
  <c r="G960" i="2"/>
  <c r="I960" i="2" s="1"/>
  <c r="G966" i="2"/>
  <c r="I966" i="2" s="1"/>
  <c r="G968" i="2"/>
  <c r="I968" i="2" s="1"/>
  <c r="G970" i="2"/>
  <c r="I970" i="2" s="1"/>
  <c r="G975" i="2"/>
  <c r="I975" i="2" s="1"/>
  <c r="G976" i="2"/>
  <c r="I976" i="2" s="1"/>
  <c r="G991" i="2"/>
  <c r="I991" i="2" s="1"/>
  <c r="G992" i="2"/>
  <c r="I992" i="2" s="1"/>
  <c r="G993" i="2"/>
  <c r="I993" i="2" s="1"/>
  <c r="G994" i="2"/>
  <c r="I994" i="2" s="1"/>
  <c r="G995" i="2"/>
  <c r="I995" i="2" s="1"/>
  <c r="G999" i="2"/>
  <c r="I999" i="2" s="1"/>
  <c r="G1002" i="2"/>
  <c r="I1002" i="2" s="1"/>
  <c r="G1003" i="2"/>
  <c r="I1003" i="2" s="1"/>
  <c r="G1004" i="2"/>
  <c r="I1004" i="2" s="1"/>
  <c r="G1007" i="2"/>
  <c r="I1007" i="2" s="1"/>
  <c r="G1010" i="2"/>
  <c r="I1010" i="2" s="1"/>
  <c r="G1011" i="2"/>
  <c r="I1011" i="2" s="1"/>
  <c r="G1012" i="2"/>
  <c r="I1012" i="2" s="1"/>
  <c r="G1013" i="2"/>
  <c r="I1013" i="2" s="1"/>
  <c r="G1015" i="2"/>
  <c r="I1015" i="2" s="1"/>
  <c r="I983" i="2" l="1"/>
  <c r="I984" i="2"/>
  <c r="I985" i="2"/>
  <c r="I986" i="2"/>
  <c r="I1122" i="2"/>
  <c r="I1128" i="2"/>
  <c r="I1129" i="2"/>
  <c r="I1137" i="2"/>
  <c r="I1161" i="2"/>
  <c r="I1162" i="2"/>
  <c r="I1145" i="2"/>
  <c r="I1147" i="2"/>
  <c r="I1152" i="2"/>
  <c r="I1153" i="2"/>
  <c r="I1160" i="2"/>
  <c r="I1165" i="2"/>
  <c r="I1166" i="2"/>
  <c r="I1252" i="2"/>
  <c r="I1253" i="2"/>
  <c r="I1254" i="2"/>
  <c r="I1259" i="2"/>
  <c r="I1261" i="2"/>
  <c r="I1262" i="2"/>
  <c r="I1264" i="2"/>
  <c r="I1268" i="2"/>
  <c r="I1269" i="2"/>
  <c r="I1270" i="2"/>
  <c r="I1075" i="2"/>
  <c r="I1144" i="2"/>
  <c r="I1240" i="2"/>
  <c r="I1132" i="2"/>
  <c r="I1017" i="2"/>
  <c r="I1018" i="2"/>
  <c r="I1019" i="2"/>
  <c r="I1020" i="2"/>
  <c r="I1051" i="2"/>
  <c r="I1059" i="2"/>
  <c r="I1061" i="2"/>
  <c r="I1065" i="2"/>
  <c r="I1067" i="2"/>
  <c r="I1168" i="2"/>
  <c r="I1174" i="2"/>
  <c r="I1189" i="2"/>
  <c r="I1195" i="2"/>
  <c r="I1197" i="2"/>
  <c r="I1083" i="2"/>
  <c r="I1090" i="2"/>
  <c r="I1098" i="2"/>
  <c r="I1106" i="2"/>
  <c r="I1112" i="2"/>
  <c r="I1114" i="2"/>
  <c r="I1167" i="2"/>
  <c r="I1181" i="2"/>
  <c r="I1190" i="2"/>
  <c r="I1196" i="2"/>
  <c r="I1175" i="2"/>
  <c r="I1182" i="2"/>
  <c r="I1188" i="2"/>
  <c r="I1198" i="2"/>
  <c r="I1278" i="2"/>
  <c r="I1280" i="2"/>
  <c r="I1281" i="2"/>
  <c r="I1285" i="2"/>
  <c r="I1021" i="2"/>
  <c r="I1022" i="2"/>
  <c r="I1023" i="2"/>
  <c r="I1026" i="2"/>
  <c r="I1027" i="2"/>
  <c r="I1029" i="2"/>
  <c r="I1030" i="2"/>
  <c r="I1035" i="2"/>
  <c r="I1043" i="2"/>
  <c r="I1045" i="2"/>
  <c r="I1046" i="2"/>
  <c r="I1205" i="2"/>
  <c r="I1206" i="2"/>
  <c r="I1212" i="2"/>
  <c r="I1213" i="2"/>
  <c r="I1214" i="2"/>
  <c r="I1220" i="2"/>
  <c r="I1227" i="2"/>
  <c r="I1229" i="2"/>
  <c r="I1230" i="2"/>
  <c r="I1286" i="2"/>
  <c r="I1292" i="2"/>
  <c r="I1294" i="2"/>
  <c r="I1301" i="2"/>
  <c r="I1302" i="2"/>
  <c r="I1277" i="2"/>
  <c r="I1293" i="2"/>
  <c r="I1221" i="2"/>
  <c r="I1222" i="2"/>
  <c r="F642" i="2" l="1"/>
  <c r="G642" i="2" s="1"/>
  <c r="F643" i="2"/>
  <c r="G643" i="2" s="1"/>
  <c r="I643" i="2" s="1"/>
  <c r="F644" i="2"/>
  <c r="G644" i="2" s="1"/>
  <c r="I644" i="2" s="1"/>
  <c r="F645" i="2"/>
  <c r="G645" i="2" s="1"/>
  <c r="I645" i="2" s="1"/>
  <c r="F646" i="2"/>
  <c r="G646" i="2" s="1"/>
  <c r="I646" i="2" s="1"/>
  <c r="F647" i="2"/>
  <c r="G647" i="2" s="1"/>
  <c r="I647" i="2" s="1"/>
  <c r="F648" i="2"/>
  <c r="G648" i="2" s="1"/>
  <c r="I648" i="2" s="1"/>
  <c r="F649" i="2"/>
  <c r="G649" i="2" s="1"/>
  <c r="I649" i="2" s="1"/>
  <c r="F650" i="2"/>
  <c r="G650" i="2" s="1"/>
  <c r="I650" i="2" s="1"/>
  <c r="F651" i="2"/>
  <c r="G651" i="2" s="1"/>
  <c r="I651" i="2" s="1"/>
  <c r="F652" i="2"/>
  <c r="G652" i="2" s="1"/>
  <c r="I652" i="2" s="1"/>
  <c r="F653" i="2"/>
  <c r="G653" i="2" s="1"/>
  <c r="I653" i="2" s="1"/>
  <c r="F654" i="2"/>
  <c r="G654" i="2" s="1"/>
  <c r="I654" i="2" s="1"/>
  <c r="F655" i="2"/>
  <c r="G655" i="2" s="1"/>
  <c r="I655" i="2" s="1"/>
  <c r="F656" i="2"/>
  <c r="G656" i="2" s="1"/>
  <c r="I656" i="2" s="1"/>
  <c r="F657" i="2"/>
  <c r="G657" i="2" s="1"/>
  <c r="I657" i="2" s="1"/>
  <c r="F658" i="2"/>
  <c r="G658" i="2" s="1"/>
  <c r="I658" i="2" s="1"/>
  <c r="F659" i="2"/>
  <c r="G659" i="2" s="1"/>
  <c r="I659" i="2" s="1"/>
  <c r="F660" i="2"/>
  <c r="G660" i="2" s="1"/>
  <c r="I660" i="2" s="1"/>
  <c r="F661" i="2"/>
  <c r="G661" i="2" s="1"/>
  <c r="I661" i="2" s="1"/>
  <c r="F662" i="2"/>
  <c r="G662" i="2" s="1"/>
  <c r="I662" i="2" s="1"/>
  <c r="F663" i="2"/>
  <c r="G663" i="2" s="1"/>
  <c r="I663" i="2" s="1"/>
  <c r="F664" i="2"/>
  <c r="G664" i="2" s="1"/>
  <c r="I664" i="2" s="1"/>
  <c r="F665" i="2"/>
  <c r="G665" i="2" s="1"/>
  <c r="I665" i="2" s="1"/>
  <c r="F666" i="2"/>
  <c r="G666" i="2" s="1"/>
  <c r="I666" i="2" s="1"/>
  <c r="F667" i="2"/>
  <c r="G667" i="2" s="1"/>
  <c r="I667" i="2" s="1"/>
  <c r="F668" i="2"/>
  <c r="G668" i="2" s="1"/>
  <c r="I668" i="2" s="1"/>
  <c r="F669" i="2"/>
  <c r="G669" i="2" s="1"/>
  <c r="I669" i="2" s="1"/>
  <c r="F670" i="2"/>
  <c r="G670" i="2" s="1"/>
  <c r="I670" i="2" s="1"/>
  <c r="F671" i="2"/>
  <c r="G671" i="2" s="1"/>
  <c r="I671" i="2" s="1"/>
  <c r="F672" i="2"/>
  <c r="G672" i="2" s="1"/>
  <c r="I672" i="2" s="1"/>
  <c r="F673" i="2"/>
  <c r="G673" i="2" s="1"/>
  <c r="I673" i="2" s="1"/>
  <c r="F674" i="2"/>
  <c r="G674" i="2" s="1"/>
  <c r="I674" i="2" s="1"/>
  <c r="F675" i="2"/>
  <c r="G675" i="2" s="1"/>
  <c r="I675" i="2" s="1"/>
  <c r="F676" i="2"/>
  <c r="G676" i="2" s="1"/>
  <c r="I676" i="2" s="1"/>
  <c r="F677" i="2"/>
  <c r="G677" i="2" s="1"/>
  <c r="I677" i="2" s="1"/>
  <c r="F678" i="2"/>
  <c r="G678" i="2" s="1"/>
  <c r="I678" i="2" s="1"/>
  <c r="F679" i="2"/>
  <c r="G679" i="2" s="1"/>
  <c r="I679" i="2" s="1"/>
  <c r="F680" i="2"/>
  <c r="G680" i="2" s="1"/>
  <c r="I680" i="2" s="1"/>
  <c r="F681" i="2"/>
  <c r="F682" i="2"/>
  <c r="G682" i="2" s="1"/>
  <c r="I682" i="2" s="1"/>
  <c r="F683" i="2"/>
  <c r="G683" i="2" s="1"/>
  <c r="I683" i="2" s="1"/>
  <c r="F684" i="2"/>
  <c r="G684" i="2" s="1"/>
  <c r="I684" i="2" s="1"/>
  <c r="F685" i="2"/>
  <c r="G685" i="2" s="1"/>
  <c r="I685" i="2" s="1"/>
  <c r="F686" i="2"/>
  <c r="G686" i="2" s="1"/>
  <c r="I686" i="2" s="1"/>
  <c r="F687" i="2"/>
  <c r="G687" i="2" s="1"/>
  <c r="I687" i="2" s="1"/>
  <c r="F688" i="2"/>
  <c r="G688" i="2" s="1"/>
  <c r="I688" i="2" s="1"/>
  <c r="F689" i="2"/>
  <c r="G689" i="2" s="1"/>
  <c r="I689" i="2" s="1"/>
  <c r="F690" i="2"/>
  <c r="G690" i="2" s="1"/>
  <c r="I690" i="2" s="1"/>
  <c r="F691" i="2"/>
  <c r="G691" i="2" s="1"/>
  <c r="I691" i="2" s="1"/>
  <c r="F692" i="2"/>
  <c r="G692" i="2" s="1"/>
  <c r="I692" i="2" s="1"/>
  <c r="F693" i="2"/>
  <c r="G693" i="2" s="1"/>
  <c r="I693" i="2" s="1"/>
  <c r="F694" i="2"/>
  <c r="G694" i="2" s="1"/>
  <c r="I694" i="2" s="1"/>
  <c r="F695" i="2"/>
  <c r="G695" i="2" s="1"/>
  <c r="I695" i="2" s="1"/>
  <c r="F696" i="2"/>
  <c r="G696" i="2" s="1"/>
  <c r="I696" i="2" s="1"/>
  <c r="F697" i="2"/>
  <c r="G697" i="2" s="1"/>
  <c r="I697" i="2" s="1"/>
  <c r="F698" i="2"/>
  <c r="G698" i="2" s="1"/>
  <c r="I698" i="2" s="1"/>
  <c r="F699" i="2"/>
  <c r="G699" i="2" s="1"/>
  <c r="I699" i="2" s="1"/>
  <c r="F700" i="2"/>
  <c r="G700" i="2" s="1"/>
  <c r="I700" i="2" s="1"/>
  <c r="F701" i="2"/>
  <c r="G701" i="2" s="1"/>
  <c r="I701" i="2" s="1"/>
  <c r="F702" i="2"/>
  <c r="G702" i="2" s="1"/>
  <c r="I702" i="2" s="1"/>
  <c r="F703" i="2"/>
  <c r="G703" i="2" s="1"/>
  <c r="I703" i="2" s="1"/>
  <c r="F704" i="2"/>
  <c r="G704" i="2" s="1"/>
  <c r="I704" i="2" s="1"/>
  <c r="F705" i="2"/>
  <c r="G705" i="2" s="1"/>
  <c r="I705" i="2" s="1"/>
  <c r="F706" i="2"/>
  <c r="G706" i="2" s="1"/>
  <c r="I706" i="2" s="1"/>
  <c r="F707" i="2"/>
  <c r="G707" i="2" s="1"/>
  <c r="I707" i="2" s="1"/>
  <c r="F708" i="2"/>
  <c r="G708" i="2" s="1"/>
  <c r="I708" i="2" s="1"/>
  <c r="F709" i="2"/>
  <c r="G709" i="2" s="1"/>
  <c r="I709" i="2" s="1"/>
  <c r="F710" i="2"/>
  <c r="G710" i="2" s="1"/>
  <c r="I710" i="2" s="1"/>
  <c r="F711" i="2"/>
  <c r="G711" i="2" s="1"/>
  <c r="I711" i="2" s="1"/>
  <c r="F712" i="2"/>
  <c r="G712" i="2" s="1"/>
  <c r="I712" i="2" s="1"/>
  <c r="F713" i="2"/>
  <c r="G713" i="2" s="1"/>
  <c r="I713" i="2" s="1"/>
  <c r="F714" i="2"/>
  <c r="G714" i="2" s="1"/>
  <c r="I714" i="2" s="1"/>
  <c r="F715" i="2"/>
  <c r="G715" i="2" s="1"/>
  <c r="I715" i="2" s="1"/>
  <c r="F716" i="2"/>
  <c r="G716" i="2" s="1"/>
  <c r="I716" i="2" s="1"/>
  <c r="F717" i="2"/>
  <c r="G717" i="2" s="1"/>
  <c r="I717" i="2" s="1"/>
  <c r="F718" i="2"/>
  <c r="G718" i="2" s="1"/>
  <c r="I718" i="2" s="1"/>
  <c r="F719" i="2"/>
  <c r="G719" i="2" s="1"/>
  <c r="I719" i="2" s="1"/>
  <c r="F720" i="2"/>
  <c r="G720" i="2" s="1"/>
  <c r="I720" i="2" s="1"/>
  <c r="F721" i="2"/>
  <c r="G721" i="2" s="1"/>
  <c r="I721" i="2" s="1"/>
  <c r="F722" i="2"/>
  <c r="G722" i="2" s="1"/>
  <c r="I722" i="2" s="1"/>
  <c r="F723" i="2"/>
  <c r="G723" i="2" s="1"/>
  <c r="I723" i="2" s="1"/>
  <c r="F724" i="2"/>
  <c r="G724" i="2" s="1"/>
  <c r="I724" i="2" s="1"/>
  <c r="F725" i="2"/>
  <c r="G725" i="2" s="1"/>
  <c r="I725" i="2" s="1"/>
  <c r="F726" i="2"/>
  <c r="G726" i="2" s="1"/>
  <c r="I726" i="2" s="1"/>
  <c r="F727" i="2"/>
  <c r="G727" i="2" s="1"/>
  <c r="I727" i="2" s="1"/>
  <c r="F728" i="2"/>
  <c r="G728" i="2" s="1"/>
  <c r="I728" i="2" s="1"/>
  <c r="F729" i="2"/>
  <c r="G729" i="2" s="1"/>
  <c r="I729" i="2" s="1"/>
  <c r="F730" i="2"/>
  <c r="G730" i="2" s="1"/>
  <c r="I730" i="2" s="1"/>
  <c r="F731" i="2"/>
  <c r="G731" i="2" s="1"/>
  <c r="I731" i="2" s="1"/>
  <c r="F732" i="2"/>
  <c r="G732" i="2" s="1"/>
  <c r="I732" i="2" s="1"/>
  <c r="F733" i="2"/>
  <c r="G733" i="2" s="1"/>
  <c r="I733" i="2" s="1"/>
  <c r="F734" i="2"/>
  <c r="G734" i="2" s="1"/>
  <c r="I734" i="2" s="1"/>
  <c r="F735" i="2"/>
  <c r="G735" i="2" s="1"/>
  <c r="I735" i="2" s="1"/>
  <c r="F736" i="2"/>
  <c r="G736" i="2" s="1"/>
  <c r="I736" i="2" s="1"/>
  <c r="F737" i="2"/>
  <c r="G737" i="2" s="1"/>
  <c r="I737" i="2" s="1"/>
  <c r="F738" i="2"/>
  <c r="G738" i="2" s="1"/>
  <c r="I738" i="2" s="1"/>
  <c r="F739" i="2"/>
  <c r="G739" i="2" s="1"/>
  <c r="I739" i="2" s="1"/>
  <c r="F740" i="2"/>
  <c r="G740" i="2" s="1"/>
  <c r="I740" i="2" s="1"/>
  <c r="F741" i="2"/>
  <c r="G741" i="2" s="1"/>
  <c r="I741" i="2" s="1"/>
  <c r="F742" i="2"/>
  <c r="G742" i="2" s="1"/>
  <c r="I742" i="2" s="1"/>
  <c r="F743" i="2"/>
  <c r="G743" i="2" s="1"/>
  <c r="I743" i="2" s="1"/>
  <c r="F744" i="2"/>
  <c r="G744" i="2" s="1"/>
  <c r="I744" i="2" s="1"/>
  <c r="F745" i="2"/>
  <c r="G745" i="2" s="1"/>
  <c r="I745" i="2" s="1"/>
  <c r="F746" i="2"/>
  <c r="G746" i="2" s="1"/>
  <c r="I746" i="2" s="1"/>
  <c r="F747" i="2"/>
  <c r="G747" i="2" s="1"/>
  <c r="I747" i="2" s="1"/>
  <c r="F748" i="2"/>
  <c r="G748" i="2" s="1"/>
  <c r="I748" i="2" s="1"/>
  <c r="F749" i="2"/>
  <c r="G749" i="2" s="1"/>
  <c r="I749" i="2" s="1"/>
  <c r="F750" i="2"/>
  <c r="G750" i="2" s="1"/>
  <c r="I750" i="2" s="1"/>
  <c r="F751" i="2"/>
  <c r="G751" i="2" s="1"/>
  <c r="I751" i="2" s="1"/>
  <c r="F752" i="2"/>
  <c r="G752" i="2" s="1"/>
  <c r="I752" i="2" s="1"/>
  <c r="F753" i="2"/>
  <c r="G753" i="2" s="1"/>
  <c r="I753" i="2" s="1"/>
  <c r="F754" i="2"/>
  <c r="G754" i="2" s="1"/>
  <c r="I754" i="2" s="1"/>
  <c r="F755" i="2"/>
  <c r="G755" i="2" s="1"/>
  <c r="I755" i="2" s="1"/>
  <c r="F756" i="2"/>
  <c r="G756" i="2" s="1"/>
  <c r="I756" i="2" s="1"/>
  <c r="F757" i="2"/>
  <c r="G757" i="2" s="1"/>
  <c r="I757" i="2" s="1"/>
  <c r="F758" i="2"/>
  <c r="G758" i="2" s="1"/>
  <c r="I758" i="2" s="1"/>
  <c r="F759" i="2"/>
  <c r="G759" i="2" s="1"/>
  <c r="I759" i="2" s="1"/>
  <c r="F760" i="2"/>
  <c r="G760" i="2" s="1"/>
  <c r="I760" i="2" s="1"/>
  <c r="F761" i="2"/>
  <c r="G761" i="2" s="1"/>
  <c r="I761" i="2" s="1"/>
  <c r="F762" i="2"/>
  <c r="G762" i="2" s="1"/>
  <c r="I762" i="2" s="1"/>
  <c r="F763" i="2"/>
  <c r="G763" i="2" s="1"/>
  <c r="I763" i="2" s="1"/>
  <c r="F764" i="2"/>
  <c r="G764" i="2" s="1"/>
  <c r="I764" i="2" s="1"/>
  <c r="F765" i="2"/>
  <c r="G765" i="2" s="1"/>
  <c r="I765" i="2" s="1"/>
  <c r="F766" i="2"/>
  <c r="G766" i="2" s="1"/>
  <c r="I766" i="2" s="1"/>
  <c r="F767" i="2"/>
  <c r="G767" i="2" s="1"/>
  <c r="I767" i="2" s="1"/>
  <c r="F768" i="2"/>
  <c r="G768" i="2" s="1"/>
  <c r="I768" i="2" s="1"/>
  <c r="F769" i="2"/>
  <c r="G769" i="2" s="1"/>
  <c r="I769" i="2" s="1"/>
  <c r="F770" i="2"/>
  <c r="G770" i="2" s="1"/>
  <c r="I770" i="2" s="1"/>
  <c r="F771" i="2"/>
  <c r="G771" i="2" s="1"/>
  <c r="I771" i="2" s="1"/>
  <c r="F772" i="2"/>
  <c r="G772" i="2" s="1"/>
  <c r="I772" i="2" s="1"/>
  <c r="F773" i="2"/>
  <c r="G773" i="2" s="1"/>
  <c r="I773" i="2" s="1"/>
  <c r="F774" i="2"/>
  <c r="G774" i="2" s="1"/>
  <c r="I774" i="2" s="1"/>
  <c r="F775" i="2"/>
  <c r="G775" i="2" s="1"/>
  <c r="I775" i="2" s="1"/>
  <c r="F776" i="2"/>
  <c r="G776" i="2" s="1"/>
  <c r="I776" i="2" s="1"/>
  <c r="F777" i="2"/>
  <c r="G777" i="2" s="1"/>
  <c r="I777" i="2" s="1"/>
  <c r="F778" i="2"/>
  <c r="G778" i="2" s="1"/>
  <c r="I778" i="2" s="1"/>
  <c r="F779" i="2"/>
  <c r="G779" i="2" s="1"/>
  <c r="I779" i="2" s="1"/>
  <c r="F780" i="2"/>
  <c r="G780" i="2" s="1"/>
  <c r="I780" i="2" s="1"/>
  <c r="F781" i="2"/>
  <c r="G781" i="2" s="1"/>
  <c r="I781" i="2" s="1"/>
  <c r="F782" i="2"/>
  <c r="G782" i="2" s="1"/>
  <c r="I782" i="2" s="1"/>
  <c r="F783" i="2"/>
  <c r="G783" i="2" s="1"/>
  <c r="I783" i="2" s="1"/>
  <c r="F784" i="2"/>
  <c r="G784" i="2" s="1"/>
  <c r="I784" i="2" s="1"/>
  <c r="F785" i="2"/>
  <c r="G785" i="2" s="1"/>
  <c r="I785" i="2" s="1"/>
  <c r="F786" i="2"/>
  <c r="G786" i="2" s="1"/>
  <c r="I786" i="2" s="1"/>
  <c r="F787" i="2"/>
  <c r="G787" i="2" s="1"/>
  <c r="I787" i="2" s="1"/>
  <c r="F788" i="2"/>
  <c r="G788" i="2" s="1"/>
  <c r="I788" i="2" s="1"/>
  <c r="F789" i="2"/>
  <c r="G789" i="2" s="1"/>
  <c r="I789" i="2" s="1"/>
  <c r="F790" i="2"/>
  <c r="G790" i="2" s="1"/>
  <c r="I790" i="2" s="1"/>
  <c r="F791" i="2"/>
  <c r="G791" i="2" s="1"/>
  <c r="I791" i="2" s="1"/>
  <c r="F792" i="2"/>
  <c r="G792" i="2" s="1"/>
  <c r="I792" i="2" s="1"/>
  <c r="F793" i="2"/>
  <c r="G793" i="2" s="1"/>
  <c r="I793" i="2" s="1"/>
  <c r="F794" i="2"/>
  <c r="G794" i="2" s="1"/>
  <c r="I794" i="2" s="1"/>
  <c r="F795" i="2"/>
  <c r="G795" i="2" s="1"/>
  <c r="I795" i="2" s="1"/>
  <c r="F796" i="2"/>
  <c r="G796" i="2" s="1"/>
  <c r="I796" i="2" s="1"/>
  <c r="F797" i="2"/>
  <c r="G797" i="2" s="1"/>
  <c r="I797" i="2" s="1"/>
  <c r="F798" i="2"/>
  <c r="G798" i="2" s="1"/>
  <c r="I798" i="2" s="1"/>
  <c r="F799" i="2"/>
  <c r="G799" i="2" s="1"/>
  <c r="I799" i="2" s="1"/>
  <c r="F800" i="2"/>
  <c r="G800" i="2" s="1"/>
  <c r="I800" i="2" s="1"/>
  <c r="F801" i="2"/>
  <c r="G801" i="2" s="1"/>
  <c r="I801" i="2" s="1"/>
  <c r="F802" i="2"/>
  <c r="G802" i="2" s="1"/>
  <c r="I802" i="2" s="1"/>
  <c r="F803" i="2"/>
  <c r="G803" i="2" s="1"/>
  <c r="I803" i="2" s="1"/>
  <c r="F804" i="2"/>
  <c r="G804" i="2" s="1"/>
  <c r="I804" i="2" s="1"/>
  <c r="G681" i="2" l="1"/>
  <c r="I681" i="2" s="1"/>
  <c r="I642" i="2" l="1"/>
  <c r="F17" i="2"/>
  <c r="G17" i="2" s="1"/>
  <c r="I17" i="2" s="1"/>
  <c r="F18" i="2"/>
  <c r="G18" i="2" s="1"/>
  <c r="I18" i="2" s="1"/>
  <c r="F19" i="2"/>
  <c r="G19" i="2" s="1"/>
  <c r="I19" i="2" s="1"/>
  <c r="F20" i="2"/>
  <c r="G20" i="2" s="1"/>
  <c r="I20" i="2" s="1"/>
  <c r="F21" i="2"/>
  <c r="G21" i="2" s="1"/>
  <c r="I21" i="2" s="1"/>
  <c r="F22" i="2"/>
  <c r="G22" i="2" s="1"/>
  <c r="I22" i="2" s="1"/>
  <c r="F23" i="2"/>
  <c r="G23" i="2" s="1"/>
  <c r="I23" i="2" s="1"/>
  <c r="F24" i="2"/>
  <c r="G24" i="2" s="1"/>
  <c r="I24" i="2" s="1"/>
  <c r="F25" i="2"/>
  <c r="G25" i="2" s="1"/>
  <c r="I25" i="2" s="1"/>
  <c r="F26" i="2"/>
  <c r="G26" i="2" s="1"/>
  <c r="I26" i="2" s="1"/>
  <c r="F27" i="2"/>
  <c r="G27" i="2" s="1"/>
  <c r="I27" i="2" s="1"/>
  <c r="F28" i="2"/>
  <c r="G28" i="2" s="1"/>
  <c r="I28" i="2" s="1"/>
  <c r="F29" i="2"/>
  <c r="G29" i="2" s="1"/>
  <c r="I29" i="2" s="1"/>
  <c r="F30" i="2"/>
  <c r="G30" i="2" s="1"/>
  <c r="I30" i="2" s="1"/>
  <c r="F31" i="2"/>
  <c r="G31" i="2" s="1"/>
  <c r="I31" i="2" s="1"/>
  <c r="F32" i="2"/>
  <c r="G32" i="2" s="1"/>
  <c r="I32" i="2" s="1"/>
  <c r="F33" i="2"/>
  <c r="G33" i="2" s="1"/>
  <c r="I33" i="2" s="1"/>
  <c r="F34" i="2"/>
  <c r="G34" i="2" s="1"/>
  <c r="I34" i="2" s="1"/>
  <c r="F35" i="2"/>
  <c r="G35" i="2" s="1"/>
  <c r="I35" i="2" s="1"/>
  <c r="F36" i="2"/>
  <c r="G36" i="2" s="1"/>
  <c r="I36" i="2" s="1"/>
  <c r="F37" i="2"/>
  <c r="G37" i="2" s="1"/>
  <c r="I37" i="2" s="1"/>
  <c r="F38" i="2"/>
  <c r="G38" i="2" s="1"/>
  <c r="I38" i="2" s="1"/>
  <c r="F39" i="2"/>
  <c r="G39" i="2" s="1"/>
  <c r="I39" i="2" s="1"/>
  <c r="F40" i="2"/>
  <c r="G40" i="2" s="1"/>
  <c r="I40" i="2" s="1"/>
  <c r="F41" i="2"/>
  <c r="G41" i="2" s="1"/>
  <c r="I41" i="2" s="1"/>
  <c r="F42" i="2"/>
  <c r="G42" i="2" s="1"/>
  <c r="I42" i="2" s="1"/>
  <c r="F43" i="2"/>
  <c r="G43" i="2" s="1"/>
  <c r="I43" i="2" s="1"/>
  <c r="F44" i="2"/>
  <c r="G44" i="2" s="1"/>
  <c r="I44" i="2" s="1"/>
  <c r="F45" i="2"/>
  <c r="G45" i="2" s="1"/>
  <c r="I45" i="2" s="1"/>
  <c r="F46" i="2"/>
  <c r="G46" i="2" s="1"/>
  <c r="I46" i="2" s="1"/>
  <c r="F47" i="2"/>
  <c r="G47" i="2" s="1"/>
  <c r="I47" i="2" s="1"/>
  <c r="F48" i="2"/>
  <c r="G48" i="2" s="1"/>
  <c r="I48" i="2" s="1"/>
  <c r="F49" i="2"/>
  <c r="G49" i="2" s="1"/>
  <c r="I49" i="2" s="1"/>
  <c r="F50" i="2"/>
  <c r="G50" i="2" s="1"/>
  <c r="I50" i="2" s="1"/>
  <c r="F51" i="2"/>
  <c r="G51" i="2" s="1"/>
  <c r="I51" i="2" s="1"/>
  <c r="F52" i="2"/>
  <c r="G52" i="2" s="1"/>
  <c r="I52" i="2" s="1"/>
  <c r="F53" i="2"/>
  <c r="G53" i="2" s="1"/>
  <c r="I53" i="2" s="1"/>
  <c r="F54" i="2"/>
  <c r="G54" i="2" s="1"/>
  <c r="I54" i="2" s="1"/>
  <c r="F55" i="2"/>
  <c r="G55" i="2" s="1"/>
  <c r="I55" i="2" s="1"/>
  <c r="F56" i="2"/>
  <c r="G56" i="2" s="1"/>
  <c r="I56" i="2" s="1"/>
  <c r="F57" i="2"/>
  <c r="G57" i="2" s="1"/>
  <c r="I57" i="2" s="1"/>
  <c r="F58" i="2"/>
  <c r="G58" i="2" s="1"/>
  <c r="I58" i="2" s="1"/>
  <c r="F59" i="2"/>
  <c r="G59" i="2" s="1"/>
  <c r="I59" i="2" s="1"/>
  <c r="F60" i="2"/>
  <c r="G60" i="2" s="1"/>
  <c r="I60" i="2" s="1"/>
  <c r="F61" i="2"/>
  <c r="G61" i="2" s="1"/>
  <c r="I61" i="2" s="1"/>
  <c r="F62" i="2"/>
  <c r="G62" i="2" s="1"/>
  <c r="I62" i="2" s="1"/>
  <c r="F63" i="2"/>
  <c r="G63" i="2" s="1"/>
  <c r="I63" i="2" s="1"/>
  <c r="F64" i="2"/>
  <c r="G64" i="2" s="1"/>
  <c r="I64" i="2" s="1"/>
  <c r="F65" i="2"/>
  <c r="G65" i="2" s="1"/>
  <c r="I65" i="2" s="1"/>
  <c r="F66" i="2"/>
  <c r="G66" i="2" s="1"/>
  <c r="I66" i="2" s="1"/>
  <c r="F67" i="2"/>
  <c r="G67" i="2" s="1"/>
  <c r="I67" i="2" s="1"/>
  <c r="F68" i="2"/>
  <c r="G68" i="2" s="1"/>
  <c r="I68" i="2" s="1"/>
  <c r="F69" i="2"/>
  <c r="G69" i="2" s="1"/>
  <c r="I69" i="2" s="1"/>
  <c r="F70" i="2"/>
  <c r="G70" i="2" s="1"/>
  <c r="I70" i="2" s="1"/>
  <c r="F71" i="2"/>
  <c r="G71" i="2" s="1"/>
  <c r="I71" i="2" s="1"/>
  <c r="F72" i="2"/>
  <c r="G72" i="2" s="1"/>
  <c r="I72" i="2" s="1"/>
  <c r="F73" i="2"/>
  <c r="G73" i="2" s="1"/>
  <c r="I73" i="2" s="1"/>
  <c r="F74" i="2"/>
  <c r="G74" i="2" s="1"/>
  <c r="I74" i="2" s="1"/>
  <c r="F75" i="2"/>
  <c r="G75" i="2" s="1"/>
  <c r="I75" i="2" s="1"/>
  <c r="F76" i="2"/>
  <c r="G76" i="2" s="1"/>
  <c r="I76" i="2" s="1"/>
  <c r="F77" i="2"/>
  <c r="G77" i="2" s="1"/>
  <c r="I77" i="2" s="1"/>
  <c r="F78" i="2"/>
  <c r="G78" i="2" s="1"/>
  <c r="I78" i="2" s="1"/>
  <c r="F79" i="2"/>
  <c r="G79" i="2" s="1"/>
  <c r="I79" i="2" s="1"/>
  <c r="F80" i="2"/>
  <c r="G80" i="2" s="1"/>
  <c r="I80" i="2" s="1"/>
  <c r="F81" i="2"/>
  <c r="G81" i="2" s="1"/>
  <c r="I81" i="2" s="1"/>
  <c r="F82" i="2"/>
  <c r="G82" i="2" s="1"/>
  <c r="I82" i="2" s="1"/>
  <c r="F83" i="2"/>
  <c r="G83" i="2" s="1"/>
  <c r="I83" i="2" s="1"/>
  <c r="F84" i="2"/>
  <c r="G84" i="2" s="1"/>
  <c r="I84" i="2" s="1"/>
  <c r="F85" i="2"/>
  <c r="G85" i="2" s="1"/>
  <c r="I85" i="2" s="1"/>
  <c r="F86" i="2"/>
  <c r="G86" i="2" s="1"/>
  <c r="I86" i="2" s="1"/>
  <c r="F87" i="2"/>
  <c r="G87" i="2" s="1"/>
  <c r="I87" i="2" s="1"/>
  <c r="F88" i="2"/>
  <c r="G88" i="2" s="1"/>
  <c r="I88" i="2" s="1"/>
  <c r="F89" i="2"/>
  <c r="G89" i="2" s="1"/>
  <c r="I89" i="2" s="1"/>
  <c r="F90" i="2"/>
  <c r="G90" i="2" s="1"/>
  <c r="I90" i="2" s="1"/>
  <c r="F91" i="2"/>
  <c r="G91" i="2" s="1"/>
  <c r="I91" i="2" s="1"/>
  <c r="F92" i="2"/>
  <c r="G92" i="2" s="1"/>
  <c r="I92" i="2" s="1"/>
  <c r="F93" i="2"/>
  <c r="G93" i="2" s="1"/>
  <c r="I93" i="2" s="1"/>
  <c r="F94" i="2"/>
  <c r="G94" i="2" s="1"/>
  <c r="I94" i="2" s="1"/>
  <c r="F95" i="2"/>
  <c r="G95" i="2" s="1"/>
  <c r="I95" i="2" s="1"/>
  <c r="F96" i="2"/>
  <c r="G96" i="2" s="1"/>
  <c r="I96" i="2" s="1"/>
  <c r="F97" i="2"/>
  <c r="G97" i="2" s="1"/>
  <c r="I97" i="2" s="1"/>
  <c r="F98" i="2"/>
  <c r="G98" i="2" s="1"/>
  <c r="I98" i="2" s="1"/>
  <c r="F99" i="2"/>
  <c r="G99" i="2" s="1"/>
  <c r="I99" i="2" s="1"/>
  <c r="F100" i="2"/>
  <c r="G100" i="2" s="1"/>
  <c r="I100" i="2" s="1"/>
  <c r="F101" i="2"/>
  <c r="G101" i="2" s="1"/>
  <c r="I101" i="2" s="1"/>
  <c r="F102" i="2"/>
  <c r="G102" i="2" s="1"/>
  <c r="I102" i="2" s="1"/>
  <c r="F103" i="2"/>
  <c r="G103" i="2" s="1"/>
  <c r="I103" i="2" s="1"/>
  <c r="F104" i="2"/>
  <c r="G104" i="2" s="1"/>
  <c r="I104" i="2" s="1"/>
  <c r="F105" i="2"/>
  <c r="G105" i="2" s="1"/>
  <c r="I105" i="2" s="1"/>
  <c r="F106" i="2"/>
  <c r="G106" i="2" s="1"/>
  <c r="I106" i="2" s="1"/>
  <c r="F107" i="2"/>
  <c r="G107" i="2" s="1"/>
  <c r="I107" i="2" s="1"/>
  <c r="F108" i="2"/>
  <c r="G108" i="2" s="1"/>
  <c r="I108" i="2" s="1"/>
  <c r="F109" i="2"/>
  <c r="G109" i="2" s="1"/>
  <c r="I109" i="2" s="1"/>
  <c r="F110" i="2"/>
  <c r="G110" i="2" s="1"/>
  <c r="I110" i="2" s="1"/>
  <c r="F111" i="2"/>
  <c r="G111" i="2" s="1"/>
  <c r="I111" i="2" s="1"/>
  <c r="F112" i="2"/>
  <c r="G112" i="2" s="1"/>
  <c r="I112" i="2" s="1"/>
  <c r="F113" i="2"/>
  <c r="G113" i="2" s="1"/>
  <c r="I113" i="2" s="1"/>
  <c r="F114" i="2"/>
  <c r="G114" i="2" s="1"/>
  <c r="I114" i="2" s="1"/>
  <c r="F115" i="2"/>
  <c r="G115" i="2" s="1"/>
  <c r="I115" i="2" s="1"/>
  <c r="F116" i="2"/>
  <c r="G116" i="2" s="1"/>
  <c r="I116" i="2" s="1"/>
  <c r="F117" i="2"/>
  <c r="G117" i="2" s="1"/>
  <c r="I117" i="2" s="1"/>
  <c r="F118" i="2"/>
  <c r="G118" i="2" s="1"/>
  <c r="I118" i="2" s="1"/>
  <c r="F119" i="2"/>
  <c r="G119" i="2" s="1"/>
  <c r="I119" i="2" s="1"/>
  <c r="F120" i="2"/>
  <c r="G120" i="2" s="1"/>
  <c r="I120" i="2" s="1"/>
  <c r="F121" i="2"/>
  <c r="G121" i="2" s="1"/>
  <c r="I121" i="2" s="1"/>
  <c r="F122" i="2"/>
  <c r="G122" i="2" s="1"/>
  <c r="I122" i="2" s="1"/>
  <c r="F123" i="2"/>
  <c r="G123" i="2" s="1"/>
  <c r="I123" i="2" s="1"/>
  <c r="F124" i="2"/>
  <c r="G124" i="2" s="1"/>
  <c r="I124" i="2" s="1"/>
  <c r="F125" i="2"/>
  <c r="G125" i="2" s="1"/>
  <c r="I125" i="2" s="1"/>
  <c r="F126" i="2"/>
  <c r="G126" i="2" s="1"/>
  <c r="I126" i="2" s="1"/>
  <c r="F127" i="2"/>
  <c r="G127" i="2" s="1"/>
  <c r="I127" i="2" s="1"/>
  <c r="F128" i="2"/>
  <c r="G128" i="2" s="1"/>
  <c r="I128" i="2" s="1"/>
  <c r="F129" i="2"/>
  <c r="G129" i="2" s="1"/>
  <c r="I129" i="2" s="1"/>
  <c r="F130" i="2"/>
  <c r="G130" i="2" s="1"/>
  <c r="I130" i="2" s="1"/>
  <c r="F131" i="2"/>
  <c r="G131" i="2" s="1"/>
  <c r="I131" i="2" s="1"/>
  <c r="F132" i="2"/>
  <c r="G132" i="2" s="1"/>
  <c r="I132" i="2" s="1"/>
  <c r="F133" i="2"/>
  <c r="G133" i="2" s="1"/>
  <c r="I133" i="2" s="1"/>
  <c r="F134" i="2"/>
  <c r="G134" i="2" s="1"/>
  <c r="I134" i="2" s="1"/>
  <c r="F135" i="2"/>
  <c r="G135" i="2" s="1"/>
  <c r="I135" i="2" s="1"/>
  <c r="F136" i="2"/>
  <c r="G136" i="2" s="1"/>
  <c r="I136" i="2" s="1"/>
  <c r="F137" i="2"/>
  <c r="G137" i="2" s="1"/>
  <c r="I137" i="2" s="1"/>
  <c r="F138" i="2"/>
  <c r="G138" i="2" s="1"/>
  <c r="I138" i="2" s="1"/>
  <c r="F139" i="2"/>
  <c r="G139" i="2" s="1"/>
  <c r="I139" i="2" s="1"/>
  <c r="F140" i="2"/>
  <c r="G140" i="2" s="1"/>
  <c r="I140" i="2" s="1"/>
  <c r="F141" i="2"/>
  <c r="G141" i="2" s="1"/>
  <c r="I141" i="2" s="1"/>
  <c r="F142" i="2"/>
  <c r="G142" i="2" s="1"/>
  <c r="I142" i="2" s="1"/>
  <c r="F143" i="2"/>
  <c r="G143" i="2" s="1"/>
  <c r="I143" i="2" s="1"/>
  <c r="F144" i="2"/>
  <c r="G144" i="2" s="1"/>
  <c r="I144" i="2" s="1"/>
  <c r="F145" i="2"/>
  <c r="G145" i="2" s="1"/>
  <c r="I145" i="2" s="1"/>
  <c r="F146" i="2"/>
  <c r="G146" i="2" s="1"/>
  <c r="I146" i="2" s="1"/>
  <c r="F147" i="2"/>
  <c r="G147" i="2" s="1"/>
  <c r="I147" i="2" s="1"/>
  <c r="F148" i="2"/>
  <c r="G148" i="2" s="1"/>
  <c r="I148" i="2" s="1"/>
  <c r="F149" i="2"/>
  <c r="G149" i="2" s="1"/>
  <c r="I149" i="2" s="1"/>
  <c r="F150" i="2"/>
  <c r="G150" i="2" s="1"/>
  <c r="I150" i="2" s="1"/>
  <c r="F151" i="2"/>
  <c r="G151" i="2" s="1"/>
  <c r="I151" i="2" s="1"/>
  <c r="F152" i="2"/>
  <c r="G152" i="2" s="1"/>
  <c r="I152" i="2" s="1"/>
  <c r="F153" i="2"/>
  <c r="G153" i="2" s="1"/>
  <c r="I153" i="2" s="1"/>
  <c r="F154" i="2"/>
  <c r="G154" i="2" s="1"/>
  <c r="I154" i="2" s="1"/>
  <c r="F155" i="2"/>
  <c r="G155" i="2" s="1"/>
  <c r="I155" i="2" s="1"/>
  <c r="F156" i="2"/>
  <c r="G156" i="2" s="1"/>
  <c r="I156" i="2" s="1"/>
  <c r="F157" i="2"/>
  <c r="G157" i="2" s="1"/>
  <c r="I157" i="2" s="1"/>
  <c r="F158" i="2"/>
  <c r="G158" i="2" s="1"/>
  <c r="I158" i="2" s="1"/>
  <c r="F159" i="2"/>
  <c r="G159" i="2" s="1"/>
  <c r="I159" i="2" s="1"/>
  <c r="F160" i="2"/>
  <c r="G160" i="2" s="1"/>
  <c r="I160" i="2" s="1"/>
  <c r="F161" i="2"/>
  <c r="G161" i="2" s="1"/>
  <c r="I161" i="2" s="1"/>
  <c r="F162" i="2"/>
  <c r="G162" i="2" s="1"/>
  <c r="I162" i="2" s="1"/>
  <c r="F163" i="2"/>
  <c r="G163" i="2" s="1"/>
  <c r="I163" i="2" s="1"/>
  <c r="F164" i="2"/>
  <c r="G164" i="2" s="1"/>
  <c r="I164" i="2" s="1"/>
  <c r="F165" i="2"/>
  <c r="G165" i="2" s="1"/>
  <c r="I165" i="2" s="1"/>
  <c r="F166" i="2"/>
  <c r="G166" i="2" s="1"/>
  <c r="I166" i="2" s="1"/>
  <c r="F167" i="2"/>
  <c r="G167" i="2" s="1"/>
  <c r="I167" i="2" s="1"/>
  <c r="F168" i="2"/>
  <c r="G168" i="2" s="1"/>
  <c r="I168" i="2" s="1"/>
  <c r="F169" i="2"/>
  <c r="G169" i="2" s="1"/>
  <c r="I169" i="2" s="1"/>
  <c r="F170" i="2"/>
  <c r="G170" i="2" s="1"/>
  <c r="I170" i="2" s="1"/>
  <c r="F171" i="2"/>
  <c r="G171" i="2" s="1"/>
  <c r="I171" i="2" s="1"/>
  <c r="F172" i="2"/>
  <c r="G172" i="2" s="1"/>
  <c r="I172" i="2" s="1"/>
  <c r="F173" i="2"/>
  <c r="G173" i="2" s="1"/>
  <c r="I173" i="2" s="1"/>
  <c r="F174" i="2"/>
  <c r="G174" i="2" s="1"/>
  <c r="I174" i="2" s="1"/>
  <c r="F175" i="2"/>
  <c r="G175" i="2" s="1"/>
  <c r="I175" i="2" s="1"/>
  <c r="F176" i="2"/>
  <c r="G176" i="2" s="1"/>
  <c r="I176" i="2" s="1"/>
  <c r="F177" i="2"/>
  <c r="G177" i="2" s="1"/>
  <c r="I177" i="2" s="1"/>
  <c r="F178" i="2"/>
  <c r="G178" i="2" s="1"/>
  <c r="I178" i="2" s="1"/>
  <c r="F179" i="2"/>
  <c r="G179" i="2" s="1"/>
  <c r="I179" i="2" s="1"/>
  <c r="F180" i="2"/>
  <c r="G180" i="2" s="1"/>
  <c r="I180" i="2" s="1"/>
  <c r="F181" i="2"/>
  <c r="G181" i="2" s="1"/>
  <c r="I181" i="2" s="1"/>
  <c r="F182" i="2"/>
  <c r="G182" i="2" s="1"/>
  <c r="I182" i="2" s="1"/>
  <c r="F183" i="2"/>
  <c r="G183" i="2" s="1"/>
  <c r="I183" i="2" s="1"/>
  <c r="F184" i="2"/>
  <c r="G184" i="2" s="1"/>
  <c r="I184" i="2" s="1"/>
  <c r="F185" i="2"/>
  <c r="G185" i="2" s="1"/>
  <c r="I185" i="2" s="1"/>
  <c r="F186" i="2"/>
  <c r="G186" i="2" s="1"/>
  <c r="I186" i="2" s="1"/>
  <c r="F187" i="2"/>
  <c r="G187" i="2" s="1"/>
  <c r="I187" i="2" s="1"/>
  <c r="F188" i="2"/>
  <c r="G188" i="2" s="1"/>
  <c r="I188" i="2" s="1"/>
  <c r="F189" i="2"/>
  <c r="G189" i="2" s="1"/>
  <c r="I189" i="2" s="1"/>
  <c r="F190" i="2"/>
  <c r="G190" i="2" s="1"/>
  <c r="I190" i="2" s="1"/>
  <c r="F191" i="2"/>
  <c r="G191" i="2" s="1"/>
  <c r="I191" i="2" s="1"/>
  <c r="F192" i="2"/>
  <c r="G192" i="2" s="1"/>
  <c r="I192" i="2" s="1"/>
  <c r="F193" i="2"/>
  <c r="G193" i="2" s="1"/>
  <c r="I193" i="2" s="1"/>
  <c r="F194" i="2"/>
  <c r="G194" i="2" s="1"/>
  <c r="I194" i="2" s="1"/>
  <c r="F195" i="2"/>
  <c r="G195" i="2" s="1"/>
  <c r="I195" i="2" s="1"/>
  <c r="F196" i="2"/>
  <c r="G196" i="2" s="1"/>
  <c r="I196" i="2" s="1"/>
  <c r="F197" i="2"/>
  <c r="G197" i="2" s="1"/>
  <c r="I197" i="2" s="1"/>
  <c r="F198" i="2"/>
  <c r="G198" i="2" s="1"/>
  <c r="I198" i="2" s="1"/>
  <c r="F199" i="2"/>
  <c r="G199" i="2" s="1"/>
  <c r="I199" i="2" s="1"/>
  <c r="F200" i="2"/>
  <c r="G200" i="2" s="1"/>
  <c r="I200" i="2" s="1"/>
  <c r="F201" i="2"/>
  <c r="G201" i="2" s="1"/>
  <c r="I201" i="2" s="1"/>
  <c r="F202" i="2"/>
  <c r="G202" i="2" s="1"/>
  <c r="I202" i="2" s="1"/>
  <c r="F203" i="2"/>
  <c r="G203" i="2" s="1"/>
  <c r="I203" i="2" s="1"/>
  <c r="F204" i="2"/>
  <c r="G204" i="2" s="1"/>
  <c r="I204" i="2" s="1"/>
  <c r="F205" i="2"/>
  <c r="G205" i="2" s="1"/>
  <c r="I205" i="2" s="1"/>
  <c r="F206" i="2"/>
  <c r="G206" i="2" s="1"/>
  <c r="I206" i="2" s="1"/>
  <c r="F207" i="2"/>
  <c r="G207" i="2" s="1"/>
  <c r="I207" i="2" s="1"/>
  <c r="F208" i="2"/>
  <c r="G208" i="2" s="1"/>
  <c r="I208" i="2" s="1"/>
  <c r="F209" i="2"/>
  <c r="G209" i="2" s="1"/>
  <c r="I209" i="2" s="1"/>
  <c r="F210" i="2"/>
  <c r="G210" i="2" s="1"/>
  <c r="I210" i="2" s="1"/>
  <c r="F211" i="2"/>
  <c r="G211" i="2" s="1"/>
  <c r="I211" i="2" s="1"/>
  <c r="F212" i="2"/>
  <c r="G212" i="2" s="1"/>
  <c r="I212" i="2" s="1"/>
  <c r="F213" i="2"/>
  <c r="G213" i="2" s="1"/>
  <c r="I213" i="2" s="1"/>
  <c r="F214" i="2"/>
  <c r="G214" i="2" s="1"/>
  <c r="I214" i="2" s="1"/>
  <c r="F215" i="2"/>
  <c r="G215" i="2" s="1"/>
  <c r="I215" i="2" s="1"/>
  <c r="F216" i="2"/>
  <c r="G216" i="2" s="1"/>
  <c r="I216" i="2" s="1"/>
  <c r="F217" i="2"/>
  <c r="G217" i="2" s="1"/>
  <c r="I217" i="2" s="1"/>
  <c r="F218" i="2"/>
  <c r="G218" i="2" s="1"/>
  <c r="I218" i="2" s="1"/>
  <c r="F219" i="2"/>
  <c r="G219" i="2" s="1"/>
  <c r="I219" i="2" s="1"/>
  <c r="F220" i="2"/>
  <c r="G220" i="2" s="1"/>
  <c r="I220" i="2" s="1"/>
  <c r="F221" i="2"/>
  <c r="G221" i="2" s="1"/>
  <c r="I221" i="2" s="1"/>
  <c r="F222" i="2"/>
  <c r="G222" i="2" s="1"/>
  <c r="I222" i="2" s="1"/>
  <c r="F223" i="2"/>
  <c r="G223" i="2" s="1"/>
  <c r="I223" i="2" s="1"/>
  <c r="F224" i="2"/>
  <c r="G224" i="2" s="1"/>
  <c r="I224" i="2" s="1"/>
  <c r="F225" i="2"/>
  <c r="G225" i="2" s="1"/>
  <c r="I225" i="2" s="1"/>
  <c r="F226" i="2"/>
  <c r="G226" i="2" s="1"/>
  <c r="I226" i="2" s="1"/>
  <c r="F227" i="2"/>
  <c r="G227" i="2" s="1"/>
  <c r="I227" i="2" s="1"/>
  <c r="F228" i="2"/>
  <c r="G228" i="2" s="1"/>
  <c r="I228" i="2" s="1"/>
  <c r="F229" i="2"/>
  <c r="G229" i="2" s="1"/>
  <c r="I229" i="2" s="1"/>
  <c r="F230" i="2"/>
  <c r="G230" i="2" s="1"/>
  <c r="I230" i="2" s="1"/>
  <c r="F231" i="2"/>
  <c r="G231" i="2" s="1"/>
  <c r="I231" i="2" s="1"/>
  <c r="F232" i="2"/>
  <c r="G232" i="2" s="1"/>
  <c r="I232" i="2" s="1"/>
  <c r="F233" i="2"/>
  <c r="G233" i="2" s="1"/>
  <c r="I233" i="2" s="1"/>
  <c r="F234" i="2"/>
  <c r="G234" i="2" s="1"/>
  <c r="I234" i="2" s="1"/>
  <c r="F235" i="2"/>
  <c r="G235" i="2" s="1"/>
  <c r="I235" i="2" s="1"/>
  <c r="F236" i="2"/>
  <c r="G236" i="2" s="1"/>
  <c r="I236" i="2" s="1"/>
  <c r="F237" i="2"/>
  <c r="G237" i="2" s="1"/>
  <c r="I237" i="2" s="1"/>
  <c r="F238" i="2"/>
  <c r="G238" i="2" s="1"/>
  <c r="I238" i="2" s="1"/>
  <c r="F239" i="2"/>
  <c r="G239" i="2" s="1"/>
  <c r="I239" i="2" s="1"/>
  <c r="F240" i="2"/>
  <c r="G240" i="2" s="1"/>
  <c r="I240" i="2" s="1"/>
  <c r="F241" i="2"/>
  <c r="G241" i="2" s="1"/>
  <c r="I241" i="2" s="1"/>
  <c r="F242" i="2"/>
  <c r="G242" i="2" s="1"/>
  <c r="I242" i="2" s="1"/>
  <c r="F243" i="2"/>
  <c r="G243" i="2" s="1"/>
  <c r="I243" i="2" s="1"/>
  <c r="F244" i="2"/>
  <c r="G244" i="2" s="1"/>
  <c r="I244" i="2" s="1"/>
  <c r="F245" i="2"/>
  <c r="G245" i="2" s="1"/>
  <c r="I245" i="2" s="1"/>
  <c r="F246" i="2"/>
  <c r="G246" i="2" s="1"/>
  <c r="I246" i="2" s="1"/>
  <c r="F247" i="2"/>
  <c r="G247" i="2" s="1"/>
  <c r="I247" i="2" s="1"/>
  <c r="F248" i="2"/>
  <c r="G248" i="2" s="1"/>
  <c r="I248" i="2" s="1"/>
  <c r="F249" i="2"/>
  <c r="G249" i="2" s="1"/>
  <c r="I249" i="2" s="1"/>
  <c r="F250" i="2"/>
  <c r="G250" i="2" s="1"/>
  <c r="I250" i="2" s="1"/>
  <c r="F251" i="2"/>
  <c r="G251" i="2" s="1"/>
  <c r="I251" i="2" s="1"/>
  <c r="F252" i="2"/>
  <c r="G252" i="2" s="1"/>
  <c r="I252" i="2" s="1"/>
  <c r="F253" i="2"/>
  <c r="G253" i="2" s="1"/>
  <c r="I253" i="2" s="1"/>
  <c r="F254" i="2"/>
  <c r="G254" i="2" s="1"/>
  <c r="I254" i="2" s="1"/>
  <c r="F255" i="2"/>
  <c r="G255" i="2" s="1"/>
  <c r="I255" i="2" s="1"/>
  <c r="F256" i="2"/>
  <c r="G256" i="2" s="1"/>
  <c r="I256" i="2" s="1"/>
  <c r="F257" i="2"/>
  <c r="G257" i="2" s="1"/>
  <c r="I257" i="2" s="1"/>
  <c r="F258" i="2"/>
  <c r="G258" i="2" s="1"/>
  <c r="I258" i="2" s="1"/>
  <c r="F259" i="2"/>
  <c r="G259" i="2" s="1"/>
  <c r="I259" i="2" s="1"/>
  <c r="F260" i="2"/>
  <c r="G260" i="2" s="1"/>
  <c r="I260" i="2" s="1"/>
  <c r="F261" i="2"/>
  <c r="G261" i="2" s="1"/>
  <c r="I261" i="2" s="1"/>
  <c r="F262" i="2"/>
  <c r="G262" i="2" s="1"/>
  <c r="I262" i="2" s="1"/>
  <c r="F263" i="2"/>
  <c r="G263" i="2" s="1"/>
  <c r="I263" i="2" s="1"/>
  <c r="F264" i="2"/>
  <c r="G264" i="2" s="1"/>
  <c r="I264" i="2" s="1"/>
  <c r="F265" i="2"/>
  <c r="G265" i="2" s="1"/>
  <c r="I265" i="2" s="1"/>
  <c r="F266" i="2"/>
  <c r="G266" i="2" s="1"/>
  <c r="I266" i="2" s="1"/>
  <c r="F267" i="2"/>
  <c r="G267" i="2" s="1"/>
  <c r="I267" i="2" s="1"/>
  <c r="F268" i="2"/>
  <c r="G268" i="2" s="1"/>
  <c r="I268" i="2" s="1"/>
  <c r="F269" i="2"/>
  <c r="G269" i="2" s="1"/>
  <c r="I269" i="2" s="1"/>
  <c r="F270" i="2"/>
  <c r="G270" i="2" s="1"/>
  <c r="I270" i="2" s="1"/>
  <c r="F271" i="2"/>
  <c r="G271" i="2" s="1"/>
  <c r="I271" i="2" s="1"/>
  <c r="F272" i="2"/>
  <c r="G272" i="2" s="1"/>
  <c r="I272" i="2" s="1"/>
  <c r="F273" i="2"/>
  <c r="G273" i="2" s="1"/>
  <c r="I273" i="2" s="1"/>
  <c r="F274" i="2"/>
  <c r="G274" i="2" s="1"/>
  <c r="I274" i="2" s="1"/>
  <c r="F275" i="2"/>
  <c r="G275" i="2" s="1"/>
  <c r="I275" i="2" s="1"/>
  <c r="F276" i="2"/>
  <c r="G276" i="2" s="1"/>
  <c r="I276" i="2" s="1"/>
  <c r="F277" i="2"/>
  <c r="G277" i="2" s="1"/>
  <c r="I277" i="2" s="1"/>
  <c r="F278" i="2"/>
  <c r="G278" i="2" s="1"/>
  <c r="I278" i="2" s="1"/>
  <c r="F279" i="2"/>
  <c r="G279" i="2" s="1"/>
  <c r="I279" i="2" s="1"/>
  <c r="F280" i="2"/>
  <c r="G280" i="2" s="1"/>
  <c r="I280" i="2" s="1"/>
  <c r="F281" i="2"/>
  <c r="G281" i="2" s="1"/>
  <c r="I281" i="2" s="1"/>
  <c r="F282" i="2"/>
  <c r="G282" i="2" s="1"/>
  <c r="I282" i="2" s="1"/>
  <c r="F283" i="2"/>
  <c r="G283" i="2" s="1"/>
  <c r="I283" i="2" s="1"/>
  <c r="F284" i="2"/>
  <c r="G284" i="2" s="1"/>
  <c r="I284" i="2" s="1"/>
  <c r="F285" i="2"/>
  <c r="G285" i="2" s="1"/>
  <c r="I285" i="2" s="1"/>
  <c r="F286" i="2"/>
  <c r="G286" i="2" s="1"/>
  <c r="I286" i="2" s="1"/>
  <c r="F287" i="2"/>
  <c r="G287" i="2" s="1"/>
  <c r="I287" i="2" s="1"/>
  <c r="F288" i="2"/>
  <c r="G288" i="2" s="1"/>
  <c r="I288" i="2" s="1"/>
  <c r="F289" i="2"/>
  <c r="G289" i="2" s="1"/>
  <c r="I289" i="2" s="1"/>
  <c r="F290" i="2"/>
  <c r="G290" i="2" s="1"/>
  <c r="I290" i="2" s="1"/>
  <c r="F291" i="2"/>
  <c r="G291" i="2" s="1"/>
  <c r="I291" i="2" s="1"/>
  <c r="F292" i="2"/>
  <c r="G292" i="2" s="1"/>
  <c r="I292" i="2" s="1"/>
  <c r="F293" i="2"/>
  <c r="G293" i="2" s="1"/>
  <c r="I293" i="2" s="1"/>
  <c r="F294" i="2"/>
  <c r="G294" i="2" s="1"/>
  <c r="I294" i="2" s="1"/>
  <c r="F295" i="2"/>
  <c r="G295" i="2" s="1"/>
  <c r="I295" i="2" s="1"/>
  <c r="F296" i="2"/>
  <c r="G296" i="2" s="1"/>
  <c r="I296" i="2" s="1"/>
  <c r="F297" i="2"/>
  <c r="G297" i="2" s="1"/>
  <c r="I297" i="2" s="1"/>
  <c r="F298" i="2"/>
  <c r="G298" i="2" s="1"/>
  <c r="I298" i="2" s="1"/>
  <c r="F299" i="2"/>
  <c r="G299" i="2" s="1"/>
  <c r="I299" i="2" s="1"/>
  <c r="F300" i="2"/>
  <c r="G300" i="2" s="1"/>
  <c r="I300" i="2" s="1"/>
  <c r="F301" i="2"/>
  <c r="G301" i="2" s="1"/>
  <c r="I301" i="2" s="1"/>
  <c r="F302" i="2"/>
  <c r="G302" i="2" s="1"/>
  <c r="I302" i="2" s="1"/>
  <c r="F303" i="2"/>
  <c r="G303" i="2" s="1"/>
  <c r="I303" i="2" s="1"/>
  <c r="F304" i="2"/>
  <c r="G304" i="2" s="1"/>
  <c r="I304" i="2" s="1"/>
  <c r="F305" i="2"/>
  <c r="G305" i="2" s="1"/>
  <c r="I305" i="2" s="1"/>
  <c r="F306" i="2"/>
  <c r="G306" i="2" s="1"/>
  <c r="I306" i="2" s="1"/>
  <c r="F307" i="2"/>
  <c r="G307" i="2" s="1"/>
  <c r="I307" i="2" s="1"/>
  <c r="F308" i="2"/>
  <c r="G308" i="2" s="1"/>
  <c r="I308" i="2" s="1"/>
  <c r="F309" i="2"/>
  <c r="G309" i="2" s="1"/>
  <c r="I309" i="2" s="1"/>
  <c r="F310" i="2"/>
  <c r="G310" i="2" s="1"/>
  <c r="I310" i="2" s="1"/>
  <c r="F311" i="2"/>
  <c r="G311" i="2" s="1"/>
  <c r="I311" i="2" s="1"/>
  <c r="F312" i="2"/>
  <c r="G312" i="2" s="1"/>
  <c r="I312" i="2" s="1"/>
  <c r="F313" i="2"/>
  <c r="G313" i="2" s="1"/>
  <c r="I313" i="2" s="1"/>
  <c r="F314" i="2"/>
  <c r="G314" i="2" s="1"/>
  <c r="I314" i="2" s="1"/>
  <c r="F315" i="2"/>
  <c r="G315" i="2" s="1"/>
  <c r="I315" i="2" s="1"/>
  <c r="F316" i="2"/>
  <c r="G316" i="2" s="1"/>
  <c r="I316" i="2" s="1"/>
  <c r="F317" i="2"/>
  <c r="G317" i="2" s="1"/>
  <c r="I317" i="2" s="1"/>
  <c r="F318" i="2"/>
  <c r="G318" i="2" s="1"/>
  <c r="I318" i="2" s="1"/>
  <c r="F319" i="2"/>
  <c r="G319" i="2" s="1"/>
  <c r="I319" i="2" s="1"/>
  <c r="F320" i="2"/>
  <c r="G320" i="2" s="1"/>
  <c r="I320" i="2" s="1"/>
  <c r="F321" i="2"/>
  <c r="G321" i="2" s="1"/>
  <c r="I321" i="2" s="1"/>
  <c r="F322" i="2"/>
  <c r="G322" i="2" s="1"/>
  <c r="I322" i="2" s="1"/>
  <c r="F323" i="2"/>
  <c r="G323" i="2" s="1"/>
  <c r="I323" i="2" s="1"/>
  <c r="F324" i="2"/>
  <c r="G324" i="2" s="1"/>
  <c r="I324" i="2" s="1"/>
  <c r="F325" i="2"/>
  <c r="G325" i="2" s="1"/>
  <c r="I325" i="2" s="1"/>
  <c r="F326" i="2"/>
  <c r="G326" i="2" s="1"/>
  <c r="I326" i="2" s="1"/>
  <c r="F327" i="2"/>
  <c r="G327" i="2" s="1"/>
  <c r="I327" i="2" s="1"/>
  <c r="F328" i="2"/>
  <c r="G328" i="2" s="1"/>
  <c r="I328" i="2" s="1"/>
  <c r="F329" i="2"/>
  <c r="G329" i="2" s="1"/>
  <c r="I329" i="2" s="1"/>
  <c r="F330" i="2"/>
  <c r="G330" i="2" s="1"/>
  <c r="I330" i="2" s="1"/>
  <c r="F331" i="2"/>
  <c r="G331" i="2" s="1"/>
  <c r="I331" i="2" s="1"/>
  <c r="F332" i="2"/>
  <c r="G332" i="2" s="1"/>
  <c r="I332" i="2" s="1"/>
  <c r="F333" i="2"/>
  <c r="G333" i="2" s="1"/>
  <c r="I333" i="2" s="1"/>
  <c r="F334" i="2"/>
  <c r="G334" i="2" s="1"/>
  <c r="I334" i="2" s="1"/>
  <c r="F335" i="2"/>
  <c r="G335" i="2" s="1"/>
  <c r="I335" i="2" s="1"/>
  <c r="F336" i="2"/>
  <c r="G336" i="2" s="1"/>
  <c r="I336" i="2" s="1"/>
  <c r="F337" i="2"/>
  <c r="G337" i="2" s="1"/>
  <c r="I337" i="2" s="1"/>
  <c r="F338" i="2"/>
  <c r="G338" i="2" s="1"/>
  <c r="I338" i="2" s="1"/>
  <c r="F339" i="2"/>
  <c r="G339" i="2" s="1"/>
  <c r="I339" i="2" s="1"/>
  <c r="F340" i="2"/>
  <c r="G340" i="2" s="1"/>
  <c r="I340" i="2" s="1"/>
  <c r="F341" i="2"/>
  <c r="G341" i="2" s="1"/>
  <c r="I341" i="2" s="1"/>
  <c r="F342" i="2"/>
  <c r="G342" i="2" s="1"/>
  <c r="I342" i="2" s="1"/>
  <c r="F343" i="2"/>
  <c r="G343" i="2" s="1"/>
  <c r="I343" i="2" s="1"/>
  <c r="F344" i="2"/>
  <c r="G344" i="2" s="1"/>
  <c r="I344" i="2" s="1"/>
  <c r="F345" i="2"/>
  <c r="G345" i="2" s="1"/>
  <c r="I345" i="2" s="1"/>
  <c r="F346" i="2"/>
  <c r="G346" i="2" s="1"/>
  <c r="I346" i="2" s="1"/>
  <c r="F347" i="2"/>
  <c r="G347" i="2" s="1"/>
  <c r="I347" i="2" s="1"/>
  <c r="F348" i="2"/>
  <c r="G348" i="2" s="1"/>
  <c r="I348" i="2" s="1"/>
  <c r="F349" i="2"/>
  <c r="G349" i="2" s="1"/>
  <c r="I349" i="2" s="1"/>
  <c r="F350" i="2"/>
  <c r="G350" i="2" s="1"/>
  <c r="I350" i="2" s="1"/>
  <c r="F351" i="2"/>
  <c r="G351" i="2" s="1"/>
  <c r="I351" i="2" s="1"/>
  <c r="F352" i="2"/>
  <c r="G352" i="2" s="1"/>
  <c r="I352" i="2" s="1"/>
  <c r="F353" i="2"/>
  <c r="G353" i="2" s="1"/>
  <c r="I353" i="2" s="1"/>
  <c r="F354" i="2"/>
  <c r="G354" i="2" s="1"/>
  <c r="I354" i="2" s="1"/>
  <c r="F355" i="2"/>
  <c r="G355" i="2" s="1"/>
  <c r="I355" i="2" s="1"/>
  <c r="F356" i="2"/>
  <c r="G356" i="2" s="1"/>
  <c r="I356" i="2" s="1"/>
  <c r="F357" i="2"/>
  <c r="G357" i="2" s="1"/>
  <c r="I357" i="2" s="1"/>
  <c r="F358" i="2"/>
  <c r="G358" i="2" s="1"/>
  <c r="I358" i="2" s="1"/>
  <c r="F359" i="2"/>
  <c r="G359" i="2" s="1"/>
  <c r="I359" i="2" s="1"/>
  <c r="F360" i="2"/>
  <c r="G360" i="2" s="1"/>
  <c r="I360" i="2" s="1"/>
  <c r="F361" i="2"/>
  <c r="G361" i="2" s="1"/>
  <c r="I361" i="2" s="1"/>
  <c r="F362" i="2"/>
  <c r="G362" i="2" s="1"/>
  <c r="I362" i="2" s="1"/>
  <c r="F363" i="2"/>
  <c r="G363" i="2" s="1"/>
  <c r="I363" i="2" s="1"/>
  <c r="F364" i="2"/>
  <c r="G364" i="2" s="1"/>
  <c r="I364" i="2" s="1"/>
  <c r="F365" i="2"/>
  <c r="G365" i="2" s="1"/>
  <c r="I365" i="2" s="1"/>
  <c r="F366" i="2"/>
  <c r="G366" i="2" s="1"/>
  <c r="I366" i="2" s="1"/>
  <c r="F367" i="2"/>
  <c r="G367" i="2" s="1"/>
  <c r="I367" i="2" s="1"/>
  <c r="F368" i="2"/>
  <c r="G368" i="2" s="1"/>
  <c r="I368" i="2" s="1"/>
  <c r="F369" i="2"/>
  <c r="G369" i="2" s="1"/>
  <c r="I369" i="2" s="1"/>
  <c r="F370" i="2"/>
  <c r="G370" i="2" s="1"/>
  <c r="I370" i="2" s="1"/>
  <c r="F371" i="2"/>
  <c r="G371" i="2" s="1"/>
  <c r="I371" i="2" s="1"/>
  <c r="F372" i="2"/>
  <c r="G372" i="2" s="1"/>
  <c r="I372" i="2" s="1"/>
  <c r="F373" i="2"/>
  <c r="G373" i="2" s="1"/>
  <c r="I373" i="2" s="1"/>
  <c r="F374" i="2"/>
  <c r="G374" i="2" s="1"/>
  <c r="I374" i="2" s="1"/>
  <c r="F375" i="2"/>
  <c r="G375" i="2" s="1"/>
  <c r="I375" i="2" s="1"/>
  <c r="F376" i="2"/>
  <c r="G376" i="2" s="1"/>
  <c r="I376" i="2" s="1"/>
  <c r="F377" i="2"/>
  <c r="G377" i="2" s="1"/>
  <c r="I377" i="2" s="1"/>
  <c r="F378" i="2"/>
  <c r="G378" i="2" s="1"/>
  <c r="I378" i="2" s="1"/>
  <c r="F379" i="2"/>
  <c r="G379" i="2" s="1"/>
  <c r="I379" i="2" s="1"/>
  <c r="F380" i="2"/>
  <c r="G380" i="2" s="1"/>
  <c r="I380" i="2" s="1"/>
  <c r="F381" i="2"/>
  <c r="G381" i="2" s="1"/>
  <c r="I381" i="2" s="1"/>
  <c r="F382" i="2"/>
  <c r="G382" i="2" s="1"/>
  <c r="I382" i="2" s="1"/>
  <c r="F383" i="2"/>
  <c r="G383" i="2" s="1"/>
  <c r="I383" i="2" s="1"/>
  <c r="F384" i="2"/>
  <c r="G384" i="2" s="1"/>
  <c r="I384" i="2" s="1"/>
  <c r="F385" i="2"/>
  <c r="G385" i="2" s="1"/>
  <c r="I385" i="2" s="1"/>
  <c r="F386" i="2"/>
  <c r="G386" i="2" s="1"/>
  <c r="I386" i="2" s="1"/>
  <c r="F387" i="2"/>
  <c r="G387" i="2" s="1"/>
  <c r="I387" i="2" s="1"/>
  <c r="F388" i="2"/>
  <c r="G388" i="2" s="1"/>
  <c r="I388" i="2" s="1"/>
  <c r="F389" i="2"/>
  <c r="G389" i="2" s="1"/>
  <c r="I389" i="2" s="1"/>
  <c r="F390" i="2"/>
  <c r="G390" i="2" s="1"/>
  <c r="I390" i="2" s="1"/>
  <c r="F391" i="2"/>
  <c r="G391" i="2" s="1"/>
  <c r="I391" i="2" s="1"/>
  <c r="F392" i="2"/>
  <c r="G392" i="2" s="1"/>
  <c r="I392" i="2" s="1"/>
  <c r="F393" i="2"/>
  <c r="G393" i="2" s="1"/>
  <c r="I393" i="2" s="1"/>
  <c r="F394" i="2"/>
  <c r="G394" i="2" s="1"/>
  <c r="I394" i="2" s="1"/>
  <c r="F395" i="2"/>
  <c r="G395" i="2" s="1"/>
  <c r="I395" i="2" s="1"/>
  <c r="F396" i="2"/>
  <c r="G396" i="2" s="1"/>
  <c r="I396" i="2" s="1"/>
  <c r="F397" i="2"/>
  <c r="G397" i="2" s="1"/>
  <c r="I397" i="2" s="1"/>
  <c r="F398" i="2"/>
  <c r="G398" i="2" s="1"/>
  <c r="I398" i="2" s="1"/>
  <c r="F399" i="2"/>
  <c r="G399" i="2" s="1"/>
  <c r="I399" i="2" s="1"/>
  <c r="F400" i="2"/>
  <c r="G400" i="2" s="1"/>
  <c r="I400" i="2" s="1"/>
  <c r="F401" i="2"/>
  <c r="G401" i="2" s="1"/>
  <c r="I401" i="2" s="1"/>
  <c r="F402" i="2"/>
  <c r="G402" i="2" s="1"/>
  <c r="I402" i="2" s="1"/>
  <c r="F403" i="2"/>
  <c r="G403" i="2" s="1"/>
  <c r="I403" i="2" s="1"/>
  <c r="F404" i="2"/>
  <c r="G404" i="2" s="1"/>
  <c r="I404" i="2" s="1"/>
  <c r="F405" i="2"/>
  <c r="G405" i="2" s="1"/>
  <c r="I405" i="2" s="1"/>
  <c r="F406" i="2"/>
  <c r="G406" i="2" s="1"/>
  <c r="I406" i="2" s="1"/>
  <c r="F407" i="2"/>
  <c r="F408" i="2"/>
  <c r="G408" i="2" s="1"/>
  <c r="I408" i="2" s="1"/>
  <c r="F409" i="2"/>
  <c r="G409" i="2" s="1"/>
  <c r="I409" i="2" s="1"/>
  <c r="F410" i="2"/>
  <c r="G410" i="2" s="1"/>
  <c r="I410" i="2" s="1"/>
  <c r="F411" i="2"/>
  <c r="G411" i="2" s="1"/>
  <c r="I411" i="2" s="1"/>
  <c r="F412" i="2"/>
  <c r="G412" i="2" s="1"/>
  <c r="I412" i="2" s="1"/>
  <c r="F413" i="2"/>
  <c r="G413" i="2" s="1"/>
  <c r="I413" i="2" s="1"/>
  <c r="F414" i="2"/>
  <c r="G414" i="2" s="1"/>
  <c r="I414" i="2" s="1"/>
  <c r="F415" i="2"/>
  <c r="G415" i="2" s="1"/>
  <c r="I415" i="2" s="1"/>
  <c r="F416" i="2"/>
  <c r="G416" i="2" s="1"/>
  <c r="I416" i="2" s="1"/>
  <c r="F417" i="2"/>
  <c r="G417" i="2" s="1"/>
  <c r="I417" i="2" s="1"/>
  <c r="F418" i="2"/>
  <c r="G418" i="2" s="1"/>
  <c r="I418" i="2" s="1"/>
  <c r="F419" i="2"/>
  <c r="G419" i="2" s="1"/>
  <c r="I419" i="2" s="1"/>
  <c r="F420" i="2"/>
  <c r="G420" i="2" s="1"/>
  <c r="I420" i="2" s="1"/>
  <c r="F421" i="2"/>
  <c r="G421" i="2" s="1"/>
  <c r="I421" i="2" s="1"/>
  <c r="F422" i="2"/>
  <c r="G422" i="2" s="1"/>
  <c r="I422" i="2" s="1"/>
  <c r="F423" i="2"/>
  <c r="G423" i="2" s="1"/>
  <c r="I423" i="2" s="1"/>
  <c r="F424" i="2"/>
  <c r="G424" i="2" s="1"/>
  <c r="I424" i="2" s="1"/>
  <c r="F425" i="2"/>
  <c r="G425" i="2" s="1"/>
  <c r="I425" i="2" s="1"/>
  <c r="F426" i="2"/>
  <c r="G426" i="2" s="1"/>
  <c r="I426" i="2" s="1"/>
  <c r="F427" i="2"/>
  <c r="G427" i="2" s="1"/>
  <c r="I427" i="2" s="1"/>
  <c r="F428" i="2"/>
  <c r="G428" i="2" s="1"/>
  <c r="I428" i="2" s="1"/>
  <c r="F429" i="2"/>
  <c r="G429" i="2" s="1"/>
  <c r="I429" i="2" s="1"/>
  <c r="F430" i="2"/>
  <c r="G430" i="2" s="1"/>
  <c r="I430" i="2" s="1"/>
  <c r="F431" i="2"/>
  <c r="G431" i="2" s="1"/>
  <c r="I431" i="2" s="1"/>
  <c r="F432" i="2"/>
  <c r="G432" i="2" s="1"/>
  <c r="I432" i="2" s="1"/>
  <c r="F433" i="2"/>
  <c r="G433" i="2" s="1"/>
  <c r="I433" i="2" s="1"/>
  <c r="F434" i="2"/>
  <c r="G434" i="2" s="1"/>
  <c r="I434" i="2" s="1"/>
  <c r="F435" i="2"/>
  <c r="G435" i="2" s="1"/>
  <c r="I435" i="2" s="1"/>
  <c r="F436" i="2"/>
  <c r="G436" i="2" s="1"/>
  <c r="I436" i="2" s="1"/>
  <c r="F437" i="2"/>
  <c r="G437" i="2" s="1"/>
  <c r="I437" i="2" s="1"/>
  <c r="F438" i="2"/>
  <c r="G438" i="2" s="1"/>
  <c r="I438" i="2" s="1"/>
  <c r="F439" i="2"/>
  <c r="G439" i="2" s="1"/>
  <c r="I439" i="2" s="1"/>
  <c r="F440" i="2"/>
  <c r="G440" i="2" s="1"/>
  <c r="I440" i="2" s="1"/>
  <c r="F441" i="2"/>
  <c r="G441" i="2" s="1"/>
  <c r="I441" i="2" s="1"/>
  <c r="F442" i="2"/>
  <c r="G442" i="2" s="1"/>
  <c r="I442" i="2" s="1"/>
  <c r="F443" i="2"/>
  <c r="G443" i="2" s="1"/>
  <c r="I443" i="2" s="1"/>
  <c r="F444" i="2"/>
  <c r="G444" i="2" s="1"/>
  <c r="I444" i="2" s="1"/>
  <c r="F445" i="2"/>
  <c r="G445" i="2" s="1"/>
  <c r="I445" i="2" s="1"/>
  <c r="F446" i="2"/>
  <c r="G446" i="2" s="1"/>
  <c r="I446" i="2" s="1"/>
  <c r="F447" i="2"/>
  <c r="G447" i="2" s="1"/>
  <c r="I447" i="2" s="1"/>
  <c r="F448" i="2"/>
  <c r="G448" i="2" s="1"/>
  <c r="I448" i="2" s="1"/>
  <c r="F449" i="2"/>
  <c r="G449" i="2" s="1"/>
  <c r="I449" i="2" s="1"/>
  <c r="F450" i="2"/>
  <c r="G450" i="2" s="1"/>
  <c r="I450" i="2" s="1"/>
  <c r="F451" i="2"/>
  <c r="G451" i="2" s="1"/>
  <c r="I451" i="2" s="1"/>
  <c r="F452" i="2"/>
  <c r="G452" i="2" s="1"/>
  <c r="I452" i="2" s="1"/>
  <c r="F453" i="2"/>
  <c r="G453" i="2" s="1"/>
  <c r="I453" i="2" s="1"/>
  <c r="F454" i="2"/>
  <c r="G454" i="2" s="1"/>
  <c r="I454" i="2" s="1"/>
  <c r="F455" i="2"/>
  <c r="G455" i="2" s="1"/>
  <c r="I455" i="2" s="1"/>
  <c r="F456" i="2"/>
  <c r="G456" i="2" s="1"/>
  <c r="I456" i="2" s="1"/>
  <c r="F457" i="2"/>
  <c r="G457" i="2" s="1"/>
  <c r="I457" i="2" s="1"/>
  <c r="F458" i="2"/>
  <c r="G458" i="2" s="1"/>
  <c r="I458" i="2" s="1"/>
  <c r="F459" i="2"/>
  <c r="G459" i="2" s="1"/>
  <c r="I459" i="2" s="1"/>
  <c r="F460" i="2"/>
  <c r="G460" i="2" s="1"/>
  <c r="I460" i="2" s="1"/>
  <c r="F461" i="2"/>
  <c r="G461" i="2" s="1"/>
  <c r="I461" i="2" s="1"/>
  <c r="F462" i="2"/>
  <c r="G462" i="2" s="1"/>
  <c r="I462" i="2" s="1"/>
  <c r="F463" i="2"/>
  <c r="G463" i="2" s="1"/>
  <c r="I463" i="2" s="1"/>
  <c r="F464" i="2"/>
  <c r="G464" i="2" s="1"/>
  <c r="I464" i="2" s="1"/>
  <c r="F465" i="2"/>
  <c r="G465" i="2" s="1"/>
  <c r="I465" i="2" s="1"/>
  <c r="F466" i="2"/>
  <c r="G466" i="2" s="1"/>
  <c r="I466" i="2" s="1"/>
  <c r="F467" i="2"/>
  <c r="G467" i="2" s="1"/>
  <c r="I467" i="2" s="1"/>
  <c r="F468" i="2"/>
  <c r="G468" i="2" s="1"/>
  <c r="I468" i="2" s="1"/>
  <c r="F469" i="2"/>
  <c r="G469" i="2" s="1"/>
  <c r="I469" i="2" s="1"/>
  <c r="F470" i="2"/>
  <c r="G470" i="2" s="1"/>
  <c r="I470" i="2" s="1"/>
  <c r="F471" i="2"/>
  <c r="G471" i="2" s="1"/>
  <c r="I471" i="2" s="1"/>
  <c r="F472" i="2"/>
  <c r="G472" i="2" s="1"/>
  <c r="I472" i="2" s="1"/>
  <c r="F473" i="2"/>
  <c r="G473" i="2" s="1"/>
  <c r="I473" i="2" s="1"/>
  <c r="F474" i="2"/>
  <c r="G474" i="2" s="1"/>
  <c r="I474" i="2" s="1"/>
  <c r="F475" i="2"/>
  <c r="G475" i="2" s="1"/>
  <c r="I475" i="2" s="1"/>
  <c r="F476" i="2"/>
  <c r="G476" i="2" s="1"/>
  <c r="I476" i="2" s="1"/>
  <c r="F477" i="2"/>
  <c r="G477" i="2" s="1"/>
  <c r="I477" i="2" s="1"/>
  <c r="F478" i="2"/>
  <c r="G478" i="2" s="1"/>
  <c r="I478" i="2" s="1"/>
  <c r="F479" i="2"/>
  <c r="G479" i="2" s="1"/>
  <c r="I479" i="2" s="1"/>
  <c r="F480" i="2"/>
  <c r="G480" i="2" s="1"/>
  <c r="I480" i="2" s="1"/>
  <c r="F481" i="2"/>
  <c r="G481" i="2" s="1"/>
  <c r="I481" i="2" s="1"/>
  <c r="F482" i="2"/>
  <c r="G482" i="2" s="1"/>
  <c r="I482" i="2" s="1"/>
  <c r="F483" i="2"/>
  <c r="G483" i="2" s="1"/>
  <c r="I483" i="2" s="1"/>
  <c r="F484" i="2"/>
  <c r="G484" i="2" s="1"/>
  <c r="I484" i="2" s="1"/>
  <c r="F485" i="2"/>
  <c r="G485" i="2" s="1"/>
  <c r="I485" i="2" s="1"/>
  <c r="F486" i="2"/>
  <c r="G486" i="2" s="1"/>
  <c r="I486" i="2" s="1"/>
  <c r="F487" i="2"/>
  <c r="G487" i="2" s="1"/>
  <c r="I487" i="2" s="1"/>
  <c r="F488" i="2"/>
  <c r="G488" i="2" s="1"/>
  <c r="I488" i="2" s="1"/>
  <c r="F489" i="2"/>
  <c r="G489" i="2" s="1"/>
  <c r="I489" i="2" s="1"/>
  <c r="F490" i="2"/>
  <c r="G490" i="2" s="1"/>
  <c r="I490" i="2" s="1"/>
  <c r="F491" i="2"/>
  <c r="G491" i="2" s="1"/>
  <c r="I491" i="2" s="1"/>
  <c r="F492" i="2"/>
  <c r="G492" i="2" s="1"/>
  <c r="I492" i="2" s="1"/>
  <c r="F493" i="2"/>
  <c r="G493" i="2" s="1"/>
  <c r="I493" i="2" s="1"/>
  <c r="F494" i="2"/>
  <c r="G494" i="2" s="1"/>
  <c r="I494" i="2" s="1"/>
  <c r="F495" i="2"/>
  <c r="G495" i="2" s="1"/>
  <c r="I495" i="2" s="1"/>
  <c r="F496" i="2"/>
  <c r="G496" i="2" s="1"/>
  <c r="I496" i="2" s="1"/>
  <c r="F497" i="2"/>
  <c r="G497" i="2" s="1"/>
  <c r="I497" i="2" s="1"/>
  <c r="F498" i="2"/>
  <c r="G498" i="2" s="1"/>
  <c r="I498" i="2" s="1"/>
  <c r="F499" i="2"/>
  <c r="G499" i="2" s="1"/>
  <c r="I499" i="2" s="1"/>
  <c r="F500" i="2"/>
  <c r="G500" i="2" s="1"/>
  <c r="I500" i="2" s="1"/>
  <c r="F501" i="2"/>
  <c r="G501" i="2" s="1"/>
  <c r="I501" i="2" s="1"/>
  <c r="F502" i="2"/>
  <c r="G502" i="2" s="1"/>
  <c r="I502" i="2" s="1"/>
  <c r="F503" i="2"/>
  <c r="G503" i="2" s="1"/>
  <c r="I503" i="2" s="1"/>
  <c r="F504" i="2"/>
  <c r="G504" i="2" s="1"/>
  <c r="I504" i="2" s="1"/>
  <c r="F505" i="2"/>
  <c r="G505" i="2" s="1"/>
  <c r="I505" i="2" s="1"/>
  <c r="F506" i="2"/>
  <c r="G506" i="2" s="1"/>
  <c r="I506" i="2" s="1"/>
  <c r="F507" i="2"/>
  <c r="G507" i="2" s="1"/>
  <c r="I507" i="2" s="1"/>
  <c r="F508" i="2"/>
  <c r="G508" i="2" s="1"/>
  <c r="I508" i="2" s="1"/>
  <c r="F509" i="2"/>
  <c r="G509" i="2" s="1"/>
  <c r="I509" i="2" s="1"/>
  <c r="F510" i="2"/>
  <c r="G510" i="2" s="1"/>
  <c r="I510" i="2" s="1"/>
  <c r="F511" i="2"/>
  <c r="G511" i="2" s="1"/>
  <c r="I511" i="2" s="1"/>
  <c r="F512" i="2"/>
  <c r="G512" i="2" s="1"/>
  <c r="I512" i="2" s="1"/>
  <c r="F513" i="2"/>
  <c r="G513" i="2" s="1"/>
  <c r="I513" i="2" s="1"/>
  <c r="F514" i="2"/>
  <c r="G514" i="2" s="1"/>
  <c r="I514" i="2" s="1"/>
  <c r="F515" i="2"/>
  <c r="G515" i="2" s="1"/>
  <c r="I515" i="2" s="1"/>
  <c r="F516" i="2"/>
  <c r="G516" i="2" s="1"/>
  <c r="I516" i="2" s="1"/>
  <c r="F517" i="2"/>
  <c r="G517" i="2" s="1"/>
  <c r="I517" i="2" s="1"/>
  <c r="F518" i="2"/>
  <c r="G518" i="2" s="1"/>
  <c r="I518" i="2" s="1"/>
  <c r="F519" i="2"/>
  <c r="G519" i="2" s="1"/>
  <c r="I519" i="2" s="1"/>
  <c r="F520" i="2"/>
  <c r="G520" i="2" s="1"/>
  <c r="I520" i="2" s="1"/>
  <c r="F521" i="2"/>
  <c r="G521" i="2" s="1"/>
  <c r="I521" i="2" s="1"/>
  <c r="F522" i="2"/>
  <c r="G522" i="2" s="1"/>
  <c r="I522" i="2" s="1"/>
  <c r="F523" i="2"/>
  <c r="G523" i="2" s="1"/>
  <c r="I523" i="2" s="1"/>
  <c r="F524" i="2"/>
  <c r="G524" i="2" s="1"/>
  <c r="I524" i="2" s="1"/>
  <c r="F525" i="2"/>
  <c r="G525" i="2" s="1"/>
  <c r="I525" i="2" s="1"/>
  <c r="F526" i="2"/>
  <c r="G526" i="2" s="1"/>
  <c r="I526" i="2" s="1"/>
  <c r="F527" i="2"/>
  <c r="G527" i="2" s="1"/>
  <c r="I527" i="2" s="1"/>
  <c r="F528" i="2"/>
  <c r="G528" i="2" s="1"/>
  <c r="I528" i="2" s="1"/>
  <c r="F529" i="2"/>
  <c r="G529" i="2" s="1"/>
  <c r="I529" i="2" s="1"/>
  <c r="F530" i="2"/>
  <c r="G530" i="2" s="1"/>
  <c r="I530" i="2" s="1"/>
  <c r="F531" i="2"/>
  <c r="G531" i="2" s="1"/>
  <c r="I531" i="2" s="1"/>
  <c r="F532" i="2"/>
  <c r="G532" i="2" s="1"/>
  <c r="I532" i="2" s="1"/>
  <c r="F533" i="2"/>
  <c r="G533" i="2" s="1"/>
  <c r="I533" i="2" s="1"/>
  <c r="F534" i="2"/>
  <c r="G534" i="2" s="1"/>
  <c r="I534" i="2" s="1"/>
  <c r="F535" i="2"/>
  <c r="G535" i="2" s="1"/>
  <c r="I535" i="2" s="1"/>
  <c r="F536" i="2"/>
  <c r="G536" i="2" s="1"/>
  <c r="I536" i="2" s="1"/>
  <c r="F537" i="2"/>
  <c r="G537" i="2" s="1"/>
  <c r="I537" i="2" s="1"/>
  <c r="F538" i="2"/>
  <c r="G538" i="2" s="1"/>
  <c r="I538" i="2" s="1"/>
  <c r="F539" i="2"/>
  <c r="G539" i="2" s="1"/>
  <c r="I539" i="2" s="1"/>
  <c r="F540" i="2"/>
  <c r="G540" i="2" s="1"/>
  <c r="I540" i="2" s="1"/>
  <c r="F541" i="2"/>
  <c r="G541" i="2" s="1"/>
  <c r="I541" i="2" s="1"/>
  <c r="F542" i="2"/>
  <c r="G542" i="2" s="1"/>
  <c r="I542" i="2" s="1"/>
  <c r="F543" i="2"/>
  <c r="G543" i="2" s="1"/>
  <c r="I543" i="2" s="1"/>
  <c r="F544" i="2"/>
  <c r="G544" i="2" s="1"/>
  <c r="I544" i="2" s="1"/>
  <c r="F545" i="2"/>
  <c r="G545" i="2" s="1"/>
  <c r="I545" i="2" s="1"/>
  <c r="F546" i="2"/>
  <c r="G546" i="2" s="1"/>
  <c r="I546" i="2" s="1"/>
  <c r="F547" i="2"/>
  <c r="G547" i="2" s="1"/>
  <c r="I547" i="2" s="1"/>
  <c r="F548" i="2"/>
  <c r="G548" i="2" s="1"/>
  <c r="I548" i="2" s="1"/>
  <c r="F549" i="2"/>
  <c r="G549" i="2" s="1"/>
  <c r="I549" i="2" s="1"/>
  <c r="F550" i="2"/>
  <c r="G550" i="2" s="1"/>
  <c r="I550" i="2" s="1"/>
  <c r="F551" i="2"/>
  <c r="G551" i="2" s="1"/>
  <c r="I551" i="2" s="1"/>
  <c r="F552" i="2"/>
  <c r="G552" i="2" s="1"/>
  <c r="I552" i="2" s="1"/>
  <c r="F553" i="2"/>
  <c r="G553" i="2" s="1"/>
  <c r="I553" i="2" s="1"/>
  <c r="F554" i="2"/>
  <c r="G554" i="2" s="1"/>
  <c r="I554" i="2" s="1"/>
  <c r="F555" i="2"/>
  <c r="G555" i="2" s="1"/>
  <c r="I555" i="2" s="1"/>
  <c r="F556" i="2"/>
  <c r="G556" i="2" s="1"/>
  <c r="I556" i="2" s="1"/>
  <c r="F557" i="2"/>
  <c r="G557" i="2" s="1"/>
  <c r="I557" i="2" s="1"/>
  <c r="F558" i="2"/>
  <c r="G558" i="2" s="1"/>
  <c r="I558" i="2" s="1"/>
  <c r="F559" i="2"/>
  <c r="G559" i="2" s="1"/>
  <c r="I559" i="2" s="1"/>
  <c r="F560" i="2"/>
  <c r="G560" i="2" s="1"/>
  <c r="I560" i="2" s="1"/>
  <c r="F561" i="2"/>
  <c r="G561" i="2" s="1"/>
  <c r="I561" i="2" s="1"/>
  <c r="F562" i="2"/>
  <c r="G562" i="2" s="1"/>
  <c r="I562" i="2" s="1"/>
  <c r="F563" i="2"/>
  <c r="G563" i="2" s="1"/>
  <c r="I563" i="2" s="1"/>
  <c r="F564" i="2"/>
  <c r="G564" i="2" s="1"/>
  <c r="I564" i="2" s="1"/>
  <c r="F565" i="2"/>
  <c r="G565" i="2" s="1"/>
  <c r="I565" i="2" s="1"/>
  <c r="F566" i="2"/>
  <c r="G566" i="2" s="1"/>
  <c r="I566" i="2" s="1"/>
  <c r="F567" i="2"/>
  <c r="G567" i="2" s="1"/>
  <c r="I567" i="2" s="1"/>
  <c r="F568" i="2"/>
  <c r="G568" i="2" s="1"/>
  <c r="I568" i="2" s="1"/>
  <c r="F569" i="2"/>
  <c r="G569" i="2" s="1"/>
  <c r="I569" i="2" s="1"/>
  <c r="F570" i="2"/>
  <c r="G570" i="2" s="1"/>
  <c r="I570" i="2" s="1"/>
  <c r="F571" i="2"/>
  <c r="G571" i="2" s="1"/>
  <c r="I571" i="2" s="1"/>
  <c r="F572" i="2"/>
  <c r="G572" i="2" s="1"/>
  <c r="I572" i="2" s="1"/>
  <c r="F573" i="2"/>
  <c r="G573" i="2" s="1"/>
  <c r="I573" i="2" s="1"/>
  <c r="F574" i="2"/>
  <c r="G574" i="2" s="1"/>
  <c r="I574" i="2" s="1"/>
  <c r="F575" i="2"/>
  <c r="G575" i="2" s="1"/>
  <c r="I575" i="2" s="1"/>
  <c r="F576" i="2"/>
  <c r="G576" i="2" s="1"/>
  <c r="I576" i="2" s="1"/>
  <c r="F577" i="2"/>
  <c r="G577" i="2" s="1"/>
  <c r="I577" i="2" s="1"/>
  <c r="F578" i="2"/>
  <c r="G578" i="2" s="1"/>
  <c r="I578" i="2" s="1"/>
  <c r="F579" i="2"/>
  <c r="G579" i="2" s="1"/>
  <c r="I579" i="2" s="1"/>
  <c r="F580" i="2"/>
  <c r="G580" i="2" s="1"/>
  <c r="I580" i="2" s="1"/>
  <c r="F581" i="2"/>
  <c r="G581" i="2" s="1"/>
  <c r="I581" i="2" s="1"/>
  <c r="F582" i="2"/>
  <c r="G582" i="2" s="1"/>
  <c r="I582" i="2" s="1"/>
  <c r="F583" i="2"/>
  <c r="G583" i="2" s="1"/>
  <c r="I583" i="2" s="1"/>
  <c r="F584" i="2"/>
  <c r="G584" i="2" s="1"/>
  <c r="I584" i="2" s="1"/>
  <c r="F585" i="2"/>
  <c r="G585" i="2" s="1"/>
  <c r="I585" i="2" s="1"/>
  <c r="F586" i="2"/>
  <c r="G586" i="2" s="1"/>
  <c r="I586" i="2" s="1"/>
  <c r="F587" i="2"/>
  <c r="G587" i="2" s="1"/>
  <c r="I587" i="2" s="1"/>
  <c r="F588" i="2"/>
  <c r="G588" i="2" s="1"/>
  <c r="I588" i="2" s="1"/>
  <c r="F589" i="2"/>
  <c r="G589" i="2" s="1"/>
  <c r="I589" i="2" s="1"/>
  <c r="F590" i="2"/>
  <c r="G590" i="2" s="1"/>
  <c r="I590" i="2" s="1"/>
  <c r="F591" i="2"/>
  <c r="G591" i="2" s="1"/>
  <c r="I591" i="2" s="1"/>
  <c r="F592" i="2"/>
  <c r="G592" i="2" s="1"/>
  <c r="I592" i="2" s="1"/>
  <c r="F593" i="2"/>
  <c r="G593" i="2" s="1"/>
  <c r="I593" i="2" s="1"/>
  <c r="F594" i="2"/>
  <c r="G594" i="2" s="1"/>
  <c r="I594" i="2" s="1"/>
  <c r="F595" i="2"/>
  <c r="G595" i="2" s="1"/>
  <c r="I595" i="2" s="1"/>
  <c r="F596" i="2"/>
  <c r="G596" i="2" s="1"/>
  <c r="I596" i="2" s="1"/>
  <c r="F597" i="2"/>
  <c r="G597" i="2" s="1"/>
  <c r="I597" i="2" s="1"/>
  <c r="F598" i="2"/>
  <c r="G598" i="2" s="1"/>
  <c r="I598" i="2" s="1"/>
  <c r="F599" i="2"/>
  <c r="G599" i="2" s="1"/>
  <c r="I599" i="2" s="1"/>
  <c r="F600" i="2"/>
  <c r="G600" i="2" s="1"/>
  <c r="I600" i="2" s="1"/>
  <c r="F601" i="2"/>
  <c r="G601" i="2" s="1"/>
  <c r="I601" i="2" s="1"/>
  <c r="F602" i="2"/>
  <c r="G602" i="2" s="1"/>
  <c r="I602" i="2" s="1"/>
  <c r="F603" i="2"/>
  <c r="G603" i="2" s="1"/>
  <c r="I603" i="2" s="1"/>
  <c r="F604" i="2"/>
  <c r="G604" i="2" s="1"/>
  <c r="I604" i="2" s="1"/>
  <c r="F605" i="2"/>
  <c r="G605" i="2" s="1"/>
  <c r="I605" i="2" s="1"/>
  <c r="F606" i="2"/>
  <c r="G606" i="2" s="1"/>
  <c r="I606" i="2" s="1"/>
  <c r="F607" i="2"/>
  <c r="G607" i="2" s="1"/>
  <c r="I607" i="2" s="1"/>
  <c r="F608" i="2"/>
  <c r="G608" i="2" s="1"/>
  <c r="I608" i="2" s="1"/>
  <c r="F609" i="2"/>
  <c r="G609" i="2" s="1"/>
  <c r="I609" i="2" s="1"/>
  <c r="F610" i="2"/>
  <c r="G610" i="2" s="1"/>
  <c r="I610" i="2" s="1"/>
  <c r="F611" i="2"/>
  <c r="G611" i="2" s="1"/>
  <c r="I611" i="2" s="1"/>
  <c r="F612" i="2"/>
  <c r="G612" i="2" s="1"/>
  <c r="I612" i="2" s="1"/>
  <c r="F613" i="2"/>
  <c r="G613" i="2" s="1"/>
  <c r="I613" i="2" s="1"/>
  <c r="F614" i="2"/>
  <c r="G614" i="2" s="1"/>
  <c r="I614" i="2" s="1"/>
  <c r="F615" i="2"/>
  <c r="G615" i="2" s="1"/>
  <c r="I615" i="2" s="1"/>
  <c r="F616" i="2"/>
  <c r="G616" i="2" s="1"/>
  <c r="I616" i="2" s="1"/>
  <c r="F617" i="2"/>
  <c r="G617" i="2" s="1"/>
  <c r="I617" i="2" s="1"/>
  <c r="F618" i="2"/>
  <c r="G618" i="2" s="1"/>
  <c r="I618" i="2" s="1"/>
  <c r="F619" i="2"/>
  <c r="G619" i="2" s="1"/>
  <c r="I619" i="2" s="1"/>
  <c r="F620" i="2"/>
  <c r="G620" i="2" s="1"/>
  <c r="I620" i="2" s="1"/>
  <c r="F621" i="2"/>
  <c r="G621" i="2" s="1"/>
  <c r="I621" i="2" s="1"/>
  <c r="F622" i="2"/>
  <c r="G622" i="2" s="1"/>
  <c r="I622" i="2" s="1"/>
  <c r="F623" i="2"/>
  <c r="G623" i="2" s="1"/>
  <c r="I623" i="2" s="1"/>
  <c r="F624" i="2"/>
  <c r="G624" i="2" s="1"/>
  <c r="I624" i="2" s="1"/>
  <c r="F625" i="2"/>
  <c r="G625" i="2" s="1"/>
  <c r="I625" i="2" s="1"/>
  <c r="F626" i="2"/>
  <c r="G626" i="2" s="1"/>
  <c r="I626" i="2" s="1"/>
  <c r="F627" i="2"/>
  <c r="G627" i="2" s="1"/>
  <c r="I627" i="2" s="1"/>
  <c r="F628" i="2"/>
  <c r="G628" i="2" s="1"/>
  <c r="I628" i="2" s="1"/>
  <c r="F629" i="2"/>
  <c r="G629" i="2" s="1"/>
  <c r="I629" i="2" s="1"/>
  <c r="F630" i="2"/>
  <c r="G630" i="2" s="1"/>
  <c r="I630" i="2" s="1"/>
  <c r="F631" i="2"/>
  <c r="G631" i="2" s="1"/>
  <c r="I631" i="2" s="1"/>
  <c r="F632" i="2"/>
  <c r="G632" i="2" s="1"/>
  <c r="I632" i="2" s="1"/>
  <c r="F633" i="2"/>
  <c r="G633" i="2" s="1"/>
  <c r="I633" i="2" s="1"/>
  <c r="F634" i="2"/>
  <c r="G634" i="2" s="1"/>
  <c r="I634" i="2" s="1"/>
  <c r="F635" i="2"/>
  <c r="G635" i="2" s="1"/>
  <c r="I635" i="2" s="1"/>
  <c r="F636" i="2"/>
  <c r="G636" i="2" s="1"/>
  <c r="I636" i="2" s="1"/>
  <c r="F637" i="2"/>
  <c r="G637" i="2" s="1"/>
  <c r="I637" i="2" s="1"/>
  <c r="F638" i="2"/>
  <c r="G638" i="2" s="1"/>
  <c r="I638" i="2" s="1"/>
  <c r="F639" i="2"/>
  <c r="G639" i="2" s="1"/>
  <c r="I639" i="2" s="1"/>
  <c r="F640" i="2"/>
  <c r="G640" i="2" s="1"/>
  <c r="I640" i="2" s="1"/>
  <c r="F641" i="2"/>
  <c r="G641" i="2" s="1"/>
  <c r="I641" i="2" s="1"/>
  <c r="G407" i="2" l="1"/>
  <c r="I407" i="2" s="1"/>
  <c r="F9" i="2"/>
  <c r="G9" i="2" s="1"/>
  <c r="I9" i="2" s="1"/>
  <c r="F10" i="2"/>
  <c r="G10" i="2" s="1"/>
  <c r="I10" i="2" s="1"/>
  <c r="F11" i="2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I15" i="2" s="1"/>
  <c r="F16" i="2"/>
  <c r="G16" i="2" s="1"/>
  <c r="I16" i="2" s="1"/>
  <c r="I7" i="2" l="1"/>
  <c r="G6" i="3"/>
  <c r="F7" i="2" l="1"/>
  <c r="G7" i="2" l="1"/>
  <c r="D6" i="3" l="1"/>
  <c r="E6" i="3" l="1"/>
  <c r="F6" i="3" l="1"/>
  <c r="H6" i="3" s="1"/>
  <c r="G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1" authorId="0" shapeId="0" xr:uid="{1C2B524B-7C95-449F-9119-407A3813FC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</t>
        </r>
      </text>
    </comment>
    <comment ref="B35" authorId="0" shapeId="0" xr:uid="{E22244E8-3A16-497F-B45C-6778AD6014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</t>
        </r>
      </text>
    </comment>
    <comment ref="B48" authorId="0" shapeId="0" xr:uid="{A83D75FF-97E6-4046-9242-014A7AD5D0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</t>
        </r>
      </text>
    </comment>
    <comment ref="B49" authorId="0" shapeId="0" xr:uid="{85E860A4-A7B1-422F-9CC3-F1239FA6AC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</t>
        </r>
      </text>
    </comment>
    <comment ref="B63" authorId="0" shapeId="0" xr:uid="{2EAD02C4-D6D1-48CB-9819-659B753377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5/1</t>
        </r>
      </text>
    </comment>
    <comment ref="B69" authorId="0" shapeId="0" xr:uid="{F2BF9BD7-10E6-4FD0-882B-150877D16E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B75" authorId="0" shapeId="0" xr:uid="{2744FC00-5FC9-4B61-B0EF-737991D764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B76" authorId="0" shapeId="0" xr:uid="{1BE363A5-EC4E-443F-A63D-9E65A244FA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B97" authorId="0" shapeId="0" xr:uid="{2E297429-8174-4B56-BF36-D32ACA5AEC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8/1</t>
        </r>
      </text>
    </comment>
    <comment ref="B104" authorId="0" shapeId="0" xr:uid="{71F34FA2-10B5-4AC7-BB16-21568F3478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8/1</t>
        </r>
      </text>
    </comment>
    <comment ref="B106" authorId="0" shapeId="0" xr:uid="{C669FA9E-ECB9-4EB7-830E-E6C09882FE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B107" authorId="0" shapeId="0" xr:uid="{95E110B4-A53B-4D44-A5F8-2E238AE3D7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B108" authorId="0" shapeId="0" xr:uid="{8E793DE6-3306-4FA9-A8F9-30A29EE564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B115" authorId="0" shapeId="0" xr:uid="{C3C6D745-D86C-4DAF-9245-8889857DFC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B129" authorId="0" shapeId="0" xr:uid="{4403F381-8E8E-431A-8D0F-3432738403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B140" authorId="0" shapeId="0" xr:uid="{920278B8-DF17-40B6-BA37-AB05F68E1D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B141" authorId="0" shapeId="0" xr:uid="{5B1B152A-75A4-44E7-8F54-4023396C30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B161" authorId="0" shapeId="0" xr:uid="{BF04AC6F-ECCD-4703-9A85-329D9F0C50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</t>
        </r>
      </text>
    </comment>
    <comment ref="B166" authorId="0" shapeId="0" xr:uid="{FC2ACDEA-31F4-4F53-A4D8-710257C613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</t>
        </r>
      </text>
    </comment>
    <comment ref="B167" authorId="0" shapeId="0" xr:uid="{B5A25290-97D9-4A2F-A087-7016CF87D2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</t>
        </r>
      </text>
    </comment>
    <comment ref="B174" authorId="0" shapeId="0" xr:uid="{74CA2899-55E6-42B8-90FA-790B7A6100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</t>
        </r>
      </text>
    </comment>
    <comment ref="B204" authorId="0" shapeId="0" xr:uid="{74A715B2-46E1-435B-ADB5-9D8B01987E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06" authorId="0" shapeId="0" xr:uid="{84FC9F4F-7631-4F7A-9E51-8A6A54A59A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09" authorId="0" shapeId="0" xr:uid="{871DB42D-00A2-4650-B5FB-57071966F3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12" authorId="0" shapeId="0" xr:uid="{1913D065-9150-4223-9A0E-3325E9994A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13" authorId="0" shapeId="0" xr:uid="{43B2D52F-0A30-42DC-A08B-D3EC9974EF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14" authorId="0" shapeId="0" xr:uid="{3B04BE04-1E1A-4C8F-B2C6-74B402DBF0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15" authorId="0" shapeId="0" xr:uid="{985DA51F-6D01-419A-A980-1B8E8EF780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16" authorId="0" shapeId="0" xr:uid="{815FCC6C-EE04-433B-B29C-9BAA8B0B0B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B225" authorId="0" shapeId="0" xr:uid="{08AEE718-89EE-45BD-8091-A53DBDCE4F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</t>
        </r>
      </text>
    </comment>
    <comment ref="B228" authorId="0" shapeId="0" xr:uid="{0229BD47-B8C6-4070-BA33-C873013181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</t>
        </r>
      </text>
    </comment>
    <comment ref="B243" authorId="0" shapeId="0" xr:uid="{B3B28808-B8E1-4E81-89ED-4125B8384B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245" authorId="0" shapeId="0" xr:uid="{62AFFE57-F979-4002-81CD-7CC26AE032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254" authorId="0" shapeId="0" xr:uid="{3E7FA582-810B-438C-9858-BB7BBDA168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59" authorId="0" shapeId="0" xr:uid="{38701D2C-CB35-4E7A-B126-AA7E97A9BC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61" authorId="0" shapeId="0" xr:uid="{2EFEA244-6D26-44D7-B273-39F12BF6CC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67" authorId="0" shapeId="0" xr:uid="{D0B5D7E7-0167-45F1-8BEF-2DF8FE55B6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68" authorId="0" shapeId="0" xr:uid="{835EDA86-3678-48CA-99F6-9A0E392B52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74" authorId="0" shapeId="0" xr:uid="{0BE0D0EB-9410-4B50-88BE-47664FBDBA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76" authorId="0" shapeId="0" xr:uid="{B579A7FD-CCEA-4766-8F44-FB4EF3DD14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79" authorId="0" shapeId="0" xr:uid="{CB8B9A2D-81BE-4652-89A1-A0790FDFDF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80" authorId="0" shapeId="0" xr:uid="{617DEDF1-1089-4CD2-8863-413E0FBE33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81" authorId="0" shapeId="0" xr:uid="{833CF6A3-512C-4DD1-A969-A24181CA73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283" authorId="0" shapeId="0" xr:uid="{389C0633-3706-4BB4-85D5-83381F3270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B305" authorId="0" shapeId="0" xr:uid="{D614258C-51C8-4F1E-B9D8-7D5AF81497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</t>
        </r>
      </text>
    </comment>
    <comment ref="B306" authorId="0" shapeId="0" xr:uid="{0E1E9A1A-A43B-4D03-AFF5-16DB519EA7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</t>
        </r>
      </text>
    </comment>
    <comment ref="B308" authorId="0" shapeId="0" xr:uid="{EE10F8A0-57C6-4FF3-AD52-02FA5B9739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</t>
        </r>
      </text>
    </comment>
    <comment ref="B314" authorId="0" shapeId="0" xr:uid="{0AF279C7-6193-4D04-AFB5-604C36D10C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B318" authorId="0" shapeId="0" xr:uid="{36840B8B-21B1-452B-A440-3AC74952B1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B319" authorId="0" shapeId="0" xr:uid="{351F129D-A363-413D-BED2-D11A2459DA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B328" authorId="0" shapeId="0" xr:uid="{2B259620-A0C1-4116-8608-3D7BA62660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</t>
        </r>
      </text>
    </comment>
    <comment ref="B351" authorId="0" shapeId="0" xr:uid="{B98EB997-64A0-4B86-ADE1-0AF4A2B784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</t>
        </r>
      </text>
    </comment>
    <comment ref="B352" authorId="0" shapeId="0" xr:uid="{63B105E8-DAB5-4666-87FD-55FB61CA41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</t>
        </r>
      </text>
    </comment>
    <comment ref="B354" authorId="0" shapeId="0" xr:uid="{4B98D395-733E-49B2-9DBA-2B5B36ACCB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</t>
        </r>
      </text>
    </comment>
    <comment ref="B368" authorId="0" shapeId="0" xr:uid="{37B8D665-7E87-4132-ACD7-27FABB764E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</t>
        </r>
      </text>
    </comment>
    <comment ref="B369" authorId="0" shapeId="0" xr:uid="{3EA960B4-E11D-43DF-8DCB-0A2F3B172B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</t>
        </r>
      </text>
    </comment>
    <comment ref="B370" authorId="0" shapeId="0" xr:uid="{054A7170-D697-406B-968B-974FD1C7C0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</t>
        </r>
      </text>
    </comment>
    <comment ref="B373" authorId="0" shapeId="0" xr:uid="{7569760E-0836-41C1-9BB0-9AFB1206ED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</t>
        </r>
      </text>
    </comment>
    <comment ref="B405" authorId="0" shapeId="0" xr:uid="{691A407C-BC80-420C-AA97-FF8473FC38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4/2</t>
        </r>
      </text>
    </comment>
    <comment ref="B429" authorId="0" shapeId="0" xr:uid="{BAC63B0C-E310-473C-BCD2-F6B7B09BF9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11/2</t>
        </r>
      </text>
    </comment>
    <comment ref="B432" authorId="0" shapeId="0" xr:uid="{475032E5-5D43-47F9-84EB-13D0C31DF9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24/2</t>
        </r>
      </text>
    </comment>
    <comment ref="B434" authorId="0" shapeId="0" xr:uid="{C4ED9BEA-FE7B-4A1D-9542-CBB0903FB9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24/2</t>
        </r>
      </text>
    </comment>
    <comment ref="B435" authorId="0" shapeId="0" xr:uid="{12D976F7-7D14-49BE-A0EE-270EFF9E3D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24/2</t>
        </r>
      </text>
    </comment>
    <comment ref="B437" authorId="0" shapeId="0" xr:uid="{268753BC-4C5F-4CC6-8FA9-D6AAF1ECB0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24/2</t>
        </r>
      </text>
    </comment>
    <comment ref="B454" authorId="0" shapeId="0" xr:uid="{31907AB5-05E9-45FC-8804-A4775249B7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25/2</t>
        </r>
      </text>
    </comment>
    <comment ref="B455" authorId="0" shapeId="0" xr:uid="{389692AE-2E90-4D59-923F-489406FAA0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25/2</t>
        </r>
      </text>
    </comment>
    <comment ref="B468" authorId="0" shapeId="0" xr:uid="{5920D244-F6FB-4E83-B327-49067E35D1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26/2</t>
        </r>
      </text>
    </comment>
    <comment ref="B469" authorId="0" shapeId="0" xr:uid="{5E9DB577-F8C3-483A-8122-5A3C04B92D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26/2</t>
        </r>
      </text>
    </comment>
    <comment ref="B478" authorId="0" shapeId="0" xr:uid="{5453A1C0-EF50-47DE-A5D8-F6FCB44CFD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26/2</t>
        </r>
      </text>
    </comment>
    <comment ref="B479" authorId="0" shapeId="0" xr:uid="{1CE5A612-8071-4869-8F02-FB8A8F62EA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26/2</t>
        </r>
      </text>
    </comment>
    <comment ref="B480" authorId="0" shapeId="0" xr:uid="{D3C403CB-8B95-4D18-9EBB-516E91BD96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26/2</t>
        </r>
      </text>
    </comment>
    <comment ref="B485" authorId="0" shapeId="0" xr:uid="{4DBB21B5-81E9-47F9-9E4E-A4FC6D3FC0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493" authorId="0" shapeId="0" xr:uid="{504010B5-BF73-4B32-AC26-5E5E7CDE67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494" authorId="0" shapeId="0" xr:uid="{556EB9FB-C42B-409C-9C00-C13CD712FB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495" authorId="0" shapeId="0" xr:uid="{762E9A7B-097A-4A7F-BBEC-09DF119059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496" authorId="0" shapeId="0" xr:uid="{0E66DDB1-71A8-4C3C-B5E6-5CE3FD34682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500" authorId="0" shapeId="0" xr:uid="{C48AEF35-1F1A-428C-B589-7CEEF66F31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509" authorId="0" shapeId="0" xr:uid="{93A8C3F0-C0D6-4CDB-93C2-1922D4EF9E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519" authorId="0" shapeId="0" xr:uid="{483ECD84-98B4-4903-B2BF-ED772CFD2F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526" authorId="0" shapeId="0" xr:uid="{85FDB40B-654B-4A11-967B-D4467214FC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533" authorId="0" shapeId="0" xr:uid="{B407D9F7-A4AA-476C-9C39-0840A251C2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27/2</t>
        </r>
      </text>
    </comment>
    <comment ref="B550" authorId="0" shapeId="0" xr:uid="{EF22C0EA-71BB-4E78-B4D3-9433481434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B553" authorId="0" shapeId="0" xr:uid="{BFCF3273-6653-473E-A2DD-43439DB4F7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B564" authorId="0" shapeId="0" xr:uid="{C800FABB-D778-4C83-9AEE-7EC0A25870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B577" authorId="0" shapeId="0" xr:uid="{95A280AD-B527-4FF3-97B6-E9B4AF2455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B581" authorId="0" shapeId="0" xr:uid="{CE1558D1-7DA7-49EE-99B5-1E653DD5C9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B587" authorId="0" shapeId="0" xr:uid="{E28A49EB-A29B-4F14-A31B-87A30A7362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3/3</t>
        </r>
      </text>
    </comment>
    <comment ref="B629" authorId="0" shapeId="0" xr:uid="{FAB09A07-46D9-44F4-A58B-B96738556C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7/3</t>
        </r>
      </text>
    </comment>
    <comment ref="B635" authorId="0" shapeId="0" xr:uid="{03EEE73E-4292-4BEB-88BB-A83403FA82E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1981 - 7/3</t>
        </r>
      </text>
    </comment>
    <comment ref="B640" authorId="0" shapeId="0" xr:uid="{DC5E691E-398D-4245-9F66-D4BC3E00A4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7/3</t>
        </r>
      </text>
    </comment>
    <comment ref="B647" authorId="0" shapeId="0" xr:uid="{E2EDCA9C-8230-4CCA-8B0B-B8AA5C4ED9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7/3</t>
        </r>
      </text>
    </comment>
    <comment ref="B658" authorId="0" shapeId="0" xr:uid="{C1D80378-2D75-4801-A63C-4CBEB24752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12/3</t>
        </r>
      </text>
    </comment>
    <comment ref="B665" authorId="0" shapeId="0" xr:uid="{185A2052-D25D-48C0-9E89-97BF5B74DC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13/3</t>
        </r>
      </text>
    </comment>
    <comment ref="B667" authorId="0" shapeId="0" xr:uid="{64443017-1843-4C1A-B8D0-61E7134E92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13/3</t>
        </r>
      </text>
    </comment>
    <comment ref="B668" authorId="0" shapeId="0" xr:uid="{DECA3EF3-72EE-4366-A4C4-775BD5A07C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13/3</t>
        </r>
      </text>
    </comment>
    <comment ref="B670" authorId="0" shapeId="0" xr:uid="{52EC19A6-1BEE-4070-8A34-2D85FD6C38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13/3</t>
        </r>
      </text>
    </comment>
    <comment ref="B680" authorId="0" shapeId="0" xr:uid="{676E05E7-9EC3-4EDD-B719-FC6CE3FECA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13/3</t>
        </r>
      </text>
    </comment>
    <comment ref="B682" authorId="0" shapeId="0" xr:uid="{01AC4AB7-F2AE-427E-BAA6-2ECEF8166F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13/3</t>
        </r>
      </text>
    </comment>
    <comment ref="B695" authorId="0" shapeId="0" xr:uid="{ADAE0E44-B389-46CE-877C-6E828255F10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17/3</t>
        </r>
      </text>
    </comment>
    <comment ref="B710" authorId="0" shapeId="0" xr:uid="{29230548-D94A-40E7-B538-AF4A9D72D7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20/3</t>
        </r>
      </text>
    </comment>
    <comment ref="B717" authorId="0" shapeId="0" xr:uid="{FF4D8617-FBC4-4954-B5A6-672A7A9A3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20/3</t>
        </r>
      </text>
    </comment>
    <comment ref="B722" authorId="0" shapeId="0" xr:uid="{4E66242B-16C0-4A52-82DA-B55BC026C7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20/3</t>
        </r>
      </text>
    </comment>
    <comment ref="B741" authorId="0" shapeId="0" xr:uid="{531B941C-79B1-46D5-8800-F7303A69953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27/3</t>
        </r>
      </text>
    </comment>
    <comment ref="B744" authorId="0" shapeId="0" xr:uid="{9131AACE-BB72-4067-A626-F1F9DF524B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745" authorId="0" shapeId="0" xr:uid="{1F87D6F6-C7FA-4115-BD74-B5825A1130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753" authorId="0" shapeId="0" xr:uid="{FB1C3B72-491D-4CDF-B625-989EC74B99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754" authorId="0" shapeId="0" xr:uid="{3E505A4B-CE4E-4672-B67F-6F91FAA07E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756" authorId="0" shapeId="0" xr:uid="{9AD8A8C4-FFCB-4A36-8F61-2CE8E86A50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28/03</t>
        </r>
      </text>
    </comment>
    <comment ref="B758" authorId="0" shapeId="0" xr:uid="{6970B8AF-2E89-4295-807C-C3F56B5BEE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760" authorId="0" shapeId="0" xr:uid="{93339F8C-4F63-49A2-BE35-F9E6940646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781" authorId="0" shapeId="0" xr:uid="{889D0567-C1DD-436A-BE87-97C48734EE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2/4</t>
        </r>
      </text>
    </comment>
    <comment ref="B790" authorId="0" shapeId="0" xr:uid="{FD91D483-EEE3-4AF6-97EC-7F821912A9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4/4</t>
        </r>
      </text>
    </comment>
    <comment ref="B793" authorId="0" shapeId="0" xr:uid="{A11AF170-F4C6-408A-8134-D59EFAB087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4/4</t>
        </r>
      </text>
    </comment>
    <comment ref="B794" authorId="0" shapeId="0" xr:uid="{3137E3C5-8586-48B1-9EE2-903FFB9F71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4/4</t>
        </r>
      </text>
    </comment>
    <comment ref="B795" authorId="0" shapeId="0" xr:uid="{BEA96D76-346B-49E0-AE2B-8E6977D96C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4/4</t>
        </r>
      </text>
    </comment>
    <comment ref="B798" authorId="0" shapeId="0" xr:uid="{19866707-62A6-4A15-AB9F-58E60AAA6F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4/4</t>
        </r>
      </text>
    </comment>
    <comment ref="B802" authorId="0" shapeId="0" xr:uid="{9DEA1338-EAAB-41A7-80B9-29C5DD08C2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4/4</t>
        </r>
      </text>
    </comment>
    <comment ref="B814" authorId="0" shapeId="0" xr:uid="{D4E8C4C2-3C99-4D37-9828-6811D696D4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7/4</t>
        </r>
      </text>
    </comment>
    <comment ref="B846" authorId="0" shapeId="0" xr:uid="{18E451FC-E04E-41B9-9FD8-F86666D710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49" authorId="0" shapeId="0" xr:uid="{FF310399-D69C-43EC-AA5D-D3FB5B3D22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50" authorId="0" shapeId="0" xr:uid="{19AC1018-DC9B-4619-9C6A-AC0B881D52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54" authorId="0" shapeId="0" xr:uid="{489D1AAF-C6B0-4E97-8F9C-05E448E5C5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65" authorId="0" shapeId="0" xr:uid="{18BB69D7-B9FB-4E46-A23F-056E0193FA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66" authorId="0" shapeId="0" xr:uid="{31B9B7FD-2ABF-4250-9449-76F80B5131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68" authorId="0" shapeId="0" xr:uid="{BFD37DEA-5CF7-46D9-9932-ABB6662F83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72" authorId="0" shapeId="0" xr:uid="{9A805237-A1F4-4CC0-8750-9F0AC5AAFE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73" authorId="0" shapeId="0" xr:uid="{4E814E0E-1138-4974-AC6E-93A7595DCE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892" authorId="0" shapeId="0" xr:uid="{DD343D2C-40FD-4DF0-812B-1BEF503767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17/4</t>
        </r>
      </text>
    </comment>
    <comment ref="B894" authorId="0" shapeId="0" xr:uid="{972A13B0-B264-47CF-BD2F-0BA3CE7441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17/4</t>
        </r>
      </text>
    </comment>
    <comment ref="B896" authorId="0" shapeId="0" xr:uid="{1D69CF1C-787C-48CE-8CE2-013FC632F8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17/4</t>
        </r>
      </text>
    </comment>
    <comment ref="B905" authorId="0" shapeId="0" xr:uid="{59C9CB29-3C4E-45B7-804B-CD118F7B9F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17/4</t>
        </r>
      </text>
    </comment>
    <comment ref="B911" authorId="0" shapeId="0" xr:uid="{F0385330-9B34-4BF8-972E-2B3939245A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17/4</t>
        </r>
      </text>
    </comment>
    <comment ref="B919" authorId="0" shapeId="0" xr:uid="{D383842E-CDB8-438D-AE2B-726E1DFFCC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20/4</t>
        </r>
      </text>
    </comment>
    <comment ref="B922" authorId="0" shapeId="0" xr:uid="{6FCC7BC2-0D0D-49E5-B39C-520DBCAB01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22/4</t>
        </r>
      </text>
    </comment>
    <comment ref="B924" authorId="0" shapeId="0" xr:uid="{DDC160A4-5388-48EF-8AD6-5C118AE6E9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22/4</t>
        </r>
      </text>
    </comment>
    <comment ref="B926" authorId="0" shapeId="0" xr:uid="{4ECDD69F-4C34-4EA1-9C10-6D9F326B5A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22/4
</t>
        </r>
      </text>
    </comment>
    <comment ref="B932" authorId="0" shapeId="0" xr:uid="{52459DC0-22CD-46D0-A540-CF23D40597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 /4</t>
        </r>
      </text>
    </comment>
    <comment ref="B944" authorId="0" shapeId="0" xr:uid="{D8E12C5A-5258-408B-A2AC-9C46100A93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24/4</t>
        </r>
      </text>
    </comment>
    <comment ref="B948" authorId="0" shapeId="0" xr:uid="{8520DB67-F44D-4066-8C36-AC61A7CBCE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950" authorId="0" shapeId="0" xr:uid="{2B741521-E6C3-4E73-AEE9-82D09955CE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954" authorId="0" shapeId="0" xr:uid="{86D0B22A-AD09-481F-80AD-A6371AB6B4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972" authorId="0" shapeId="0" xr:uid="{BC2ACD28-2FED-4AC8-B722-A9AE520ADB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981" authorId="0" shapeId="0" xr:uid="{C65357E4-1E77-42AF-AA4B-F5712D5DA6E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989" authorId="0" shapeId="0" xr:uid="{1DADCE8B-24E5-4CAD-A892-C99B4795B3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28/4</t>
        </r>
      </text>
    </comment>
    <comment ref="B998" authorId="0" shapeId="0" xr:uid="{378215F1-F914-407D-9FCA-140249613D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4/5</t>
        </r>
      </text>
    </comment>
    <comment ref="B1011" authorId="0" shapeId="0" xr:uid="{6C24CC68-E9E0-4D8E-887E-4D161CEEB7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6/5</t>
        </r>
      </text>
    </comment>
    <comment ref="B1018" authorId="0" shapeId="0" xr:uid="{CDB501AB-C5E2-49D9-822C-F4C72D2300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9/5</t>
        </r>
      </text>
    </comment>
    <comment ref="B1020" authorId="0" shapeId="0" xr:uid="{F20833BC-9DC8-4C00-ADAE-17B2098868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9/5</t>
        </r>
      </text>
    </comment>
    <comment ref="B1025" authorId="0" shapeId="0" xr:uid="{8D2D7809-FAC7-42B5-A225-CEC465806A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9/5</t>
        </r>
      </text>
    </comment>
    <comment ref="B1028" authorId="0" shapeId="0" xr:uid="{3C37FCD8-5645-4BCA-A1EA-66D7042D4D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9/5</t>
        </r>
      </text>
    </comment>
    <comment ref="B1029" authorId="0" shapeId="0" xr:uid="{86FC401A-839B-403B-92EC-9EA716A272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9/5</t>
        </r>
      </text>
    </comment>
    <comment ref="B1045" authorId="0" shapeId="0" xr:uid="{FE0440D3-372E-4B3E-BC61-DAAD5F34C0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12/5</t>
        </r>
      </text>
    </comment>
    <comment ref="B1066" authorId="0" shapeId="0" xr:uid="{F1EB3FFB-C225-474E-866D-D83B26394F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16/5</t>
        </r>
      </text>
    </comment>
    <comment ref="B1083" authorId="0" shapeId="0" xr:uid="{46C94890-0A21-460F-8DA2-CA969331C4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16/5</t>
        </r>
      </text>
    </comment>
    <comment ref="B1107" authorId="0" shapeId="0" xr:uid="{79008159-8992-4AB7-8FE3-606BDD0474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17" authorId="0" shapeId="0" xr:uid="{0A8EDDD1-79E7-48A2-B45C-4D105E6AC6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18" authorId="0" shapeId="0" xr:uid="{3C311194-9210-4B9A-9106-4073C7EB37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21" authorId="0" shapeId="0" xr:uid="{519C15C7-BC85-428B-B6DD-3A7762C02C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32" authorId="0" shapeId="0" xr:uid="{D704546D-D81B-4AF0-AC1A-430A4F39A4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39" authorId="0" shapeId="0" xr:uid="{DB7122F9-2F78-4D75-B5C1-D154B6A0F5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43" authorId="0" shapeId="0" xr:uid="{586FB1FE-B13B-4413-86C6-FF9E614AF3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49" authorId="0" shapeId="0" xr:uid="{90DBEF1F-B3DA-41DF-9549-0FCF13DDD9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30/5</t>
        </r>
      </text>
    </comment>
    <comment ref="B1180" authorId="0" shapeId="0" xr:uid="{83B11B43-582B-4133-BCA4-B71E4E690F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2/6</t>
        </r>
      </text>
    </comment>
    <comment ref="B1197" authorId="0" shapeId="0" xr:uid="{0BF087CA-DFD3-4D8F-ACD2-E95B65684D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5/6</t>
        </r>
      </text>
    </comment>
    <comment ref="B1202" authorId="0" shapeId="0" xr:uid="{36818427-2042-4A75-858F-0136199026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06/06</t>
        </r>
      </text>
    </comment>
    <comment ref="B1203" authorId="0" shapeId="0" xr:uid="{D23A9A92-5E4E-45BF-9649-1FCC488870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6/6</t>
        </r>
      </text>
    </comment>
    <comment ref="B1204" authorId="0" shapeId="0" xr:uid="{A739D754-259A-43C5-9F5C-7BF7CAABAB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6/6</t>
        </r>
      </text>
    </comment>
    <comment ref="B1211" authorId="0" shapeId="0" xr:uid="{A3655780-DB95-4FFF-9758-A805833A94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6/6</t>
        </r>
      </text>
    </comment>
    <comment ref="B1230" authorId="0" shapeId="0" xr:uid="{5BFAE7DA-19C3-409E-9E13-FCEF33B6FC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6/6</t>
        </r>
      </text>
    </comment>
    <comment ref="B1237" authorId="0" shapeId="0" xr:uid="{E9AB3815-D789-4DE0-B09B-10CB7221CF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6/6</t>
        </r>
      </text>
    </comment>
    <comment ref="B1241" authorId="0" shapeId="0" xr:uid="{ED5A3EB0-7143-4DF0-A9CB-9062BED2E9A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9/6</t>
        </r>
      </text>
    </comment>
    <comment ref="B1242" authorId="0" shapeId="0" xr:uid="{23B9328F-38E3-43CA-9240-05D511E486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9/6</t>
        </r>
      </text>
    </comment>
    <comment ref="B1244" authorId="0" shapeId="0" xr:uid="{4EF70E52-0D4C-4A1E-92B0-57D8C64500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9/6</t>
        </r>
      </text>
    </comment>
    <comment ref="B1253" authorId="0" shapeId="0" xr:uid="{B81CF1D7-4A1A-4A6B-900B-E3028B5092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11/6</t>
        </r>
      </text>
    </comment>
    <comment ref="B1264" authorId="0" shapeId="0" xr:uid="{BBB5D785-3160-4F0C-B67B-3AD26331EF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13/6</t>
        </r>
      </text>
    </comment>
    <comment ref="B1270" authorId="0" shapeId="0" xr:uid="{EBAFDD06-BF65-44FC-8655-DF36B771B0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13/6</t>
        </r>
      </text>
    </comment>
    <comment ref="B1273" authorId="0" shapeId="0" xr:uid="{350ABD17-865A-4EC6-A468-98324F33EE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13/6</t>
        </r>
      </text>
    </comment>
    <comment ref="B1277" authorId="0" shapeId="0" xr:uid="{A571D330-53DD-41B9-81AB-1D5A36BEAD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13/6</t>
        </r>
      </text>
    </comment>
    <comment ref="B1278" authorId="0" shapeId="0" xr:uid="{180BFA5C-0B0F-48C2-B39E-ACC7DC6052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13/6</t>
        </r>
      </text>
    </comment>
    <comment ref="B1279" authorId="0" shapeId="0" xr:uid="{7B351A36-3984-4CF8-97AC-09C678C259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13/6</t>
        </r>
      </text>
    </comment>
    <comment ref="B1320" authorId="0" shapeId="0" xr:uid="{AD9AC78A-6E8D-48E8-9EBB-7999194934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19/6</t>
        </r>
      </text>
    </comment>
    <comment ref="B1321" authorId="0" shapeId="0" xr:uid="{7CDEC617-D026-47E2-AFE2-1527FF0622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19/6</t>
        </r>
      </text>
    </comment>
    <comment ref="B1322" authorId="0" shapeId="0" xr:uid="{EA0EFF16-558B-4CC8-A040-0801D02EB2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19/6</t>
        </r>
      </text>
    </comment>
    <comment ref="B1323" authorId="0" shapeId="0" xr:uid="{89AED6E0-E132-4277-8008-C10DA2990B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19/6</t>
        </r>
      </text>
    </comment>
    <comment ref="B1353" authorId="0" shapeId="0" xr:uid="{162EE369-D036-4FCB-BA29-8D5B6003C4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19/6</t>
        </r>
      </text>
    </comment>
    <comment ref="B1355" authorId="0" shapeId="0" xr:uid="{07976F5D-966B-45B1-993D-97D8D984B8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19/6</t>
        </r>
      </text>
    </comment>
    <comment ref="B1367" authorId="0" shapeId="0" xr:uid="{D485BEE9-9CE6-4CE8-A627-262B347C9FF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25/6</t>
        </r>
      </text>
    </comment>
    <comment ref="B1385" authorId="0" shapeId="0" xr:uid="{1DDACDAA-EC60-41E1-BF6C-61576E12FD9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388" authorId="0" shapeId="0" xr:uid="{9376E786-DDD1-4223-B8EE-96BA78B8A13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391" authorId="0" shapeId="0" xr:uid="{4D544063-F314-4010-B205-D479027D39C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392" authorId="0" shapeId="0" xr:uid="{9A4A2C91-BDE9-42DF-ADA7-89F96E32765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396" authorId="0" shapeId="0" xr:uid="{A43B6305-60A7-4B49-8A2C-95B17F9BC6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27/6</t>
        </r>
      </text>
    </comment>
    <comment ref="B1398" authorId="0" shapeId="0" xr:uid="{792566B4-2449-443A-BC83-28CFE263C04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399" authorId="0" shapeId="0" xr:uid="{0E563AD1-1817-4268-9CAF-188344EE1A2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415" authorId="0" shapeId="0" xr:uid="{DC7209F7-0831-4B4B-8485-AFAC5E3CCB5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419" authorId="0" shapeId="0" xr:uid="{9A0B3F30-67A8-407B-A3B0-062C0348664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27/6</t>
        </r>
      </text>
    </comment>
    <comment ref="B1425" authorId="0" shapeId="0" xr:uid="{79FBD239-5815-4259-BE15-70E5A1406E1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30/6</t>
        </r>
      </text>
    </comment>
    <comment ref="B1430" authorId="0" shapeId="0" xr:uid="{F9827A4C-1733-4279-8EE2-F795C918281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30/6</t>
        </r>
      </text>
    </comment>
    <comment ref="B1432" authorId="0" shapeId="0" xr:uid="{B6929813-C413-40C2-A375-3D1EF505483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30/6</t>
        </r>
      </text>
    </comment>
    <comment ref="B1445" authorId="0" shapeId="0" xr:uid="{BDC0E28F-42E0-4FE7-A88F-F1BF74F8A9B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2/7</t>
        </r>
      </text>
    </comment>
    <comment ref="B1460" authorId="0" shapeId="0" xr:uid="{747A8D39-4432-4C6D-BE83-CBD377C5B30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4/7</t>
        </r>
      </text>
    </comment>
    <comment ref="B1464" authorId="0" shapeId="0" xr:uid="{F255C76B-29D7-42EA-A795-E7374702D1B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4/7</t>
        </r>
      </text>
    </comment>
    <comment ref="B1466" authorId="0" shapeId="0" xr:uid="{EEE972BB-79C9-4E37-BF8D-445443AFF19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4/7</t>
        </r>
      </text>
    </comment>
    <comment ref="B1468" authorId="0" shapeId="0" xr:uid="{A9C6BF07-94E7-48B0-B25F-31F3E959E9A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4/7</t>
        </r>
      </text>
    </comment>
    <comment ref="B1471" authorId="0" shapeId="0" xr:uid="{A6B9CA9E-E983-41AE-B238-2BA1521480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4/7</t>
        </r>
      </text>
    </comment>
    <comment ref="B1477" authorId="0" shapeId="0" xr:uid="{5D7BE71E-741D-4694-AB2A-698DD79BA44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4/7</t>
        </r>
      </text>
    </comment>
    <comment ref="B1486" authorId="0" shapeId="0" xr:uid="{5497CED7-F1C2-4DBC-9DF7-C6CBC2C9D16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4/7</t>
        </r>
      </text>
    </comment>
    <comment ref="B1533" authorId="0" shapeId="0" xr:uid="{D4CEE78E-7BBA-4EEE-BFFB-ABD7331E9E7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11/7</t>
        </r>
      </text>
    </comment>
    <comment ref="B1542" authorId="0" shapeId="0" xr:uid="{0E960B10-B0D2-460D-9645-7700D5700B8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11/7</t>
        </r>
      </text>
    </comment>
    <comment ref="B1543" authorId="0" shapeId="0" xr:uid="{C088936F-F091-4297-9D16-0D2D26C0EAF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11/7</t>
        </r>
      </text>
    </comment>
    <comment ref="B1552" authorId="0" shapeId="0" xr:uid="{5344B431-E243-4D4C-97BD-0B54C97CE7A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15/7</t>
        </r>
      </text>
    </comment>
    <comment ref="B1553" authorId="0" shapeId="0" xr:uid="{9A0698F2-1805-40E6-B14A-19DBAAE9F98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15/7</t>
        </r>
      </text>
    </comment>
    <comment ref="B1573" authorId="0" shapeId="0" xr:uid="{593D37BB-B8BB-44C7-BD30-FB7730EAA1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  <comment ref="B1580" authorId="0" shapeId="0" xr:uid="{B11CBA77-1EB6-4EF4-ACD6-A3F5CA08E36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  <comment ref="B1582" authorId="0" shapeId="0" xr:uid="{F75B19BA-9873-4D57-BDCA-8AC092F603D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  <comment ref="B1584" authorId="0" shapeId="0" xr:uid="{3BD594D2-5CF7-4290-B0AD-1526C0BED45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  <comment ref="B1586" authorId="0" shapeId="0" xr:uid="{5950685D-9077-4A88-ACC1-D2672650138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  <comment ref="B1589" authorId="0" shapeId="0" xr:uid="{3F444295-B98D-4B75-A6BE-736D35A5B80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  <comment ref="B1596" authorId="0" shapeId="0" xr:uid="{40B3A48F-4D6C-4316-971A-C133DCF2F65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  <comment ref="B1662" authorId="0" shapeId="0" xr:uid="{2EF565E7-D02A-4A39-BAEC-34E08FBD5EF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30/7</t>
        </r>
      </text>
    </comment>
    <comment ref="B1669" authorId="0" shapeId="0" xr:uid="{E4ED36B2-6168-4A76-B28B-0E23EF4052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671" authorId="0" shapeId="0" xr:uid="{012C83F4-E705-498A-B31B-2FD3AF4823E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672" authorId="0" shapeId="0" xr:uid="{EE061FD4-F2AF-4910-9081-CCB04ECA8E6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685" authorId="0" shapeId="0" xr:uid="{C0A84B27-F909-40DC-A3F1-25EA021F616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686" authorId="0" shapeId="0" xr:uid="{12DB37B0-7551-4DA8-9471-B8328E46A6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687" authorId="0" shapeId="0" xr:uid="{2BB455BE-37EC-4E4F-B103-72814E27184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697" authorId="0" shapeId="0" xr:uid="{60AB4A66-77DD-4F4F-BFB1-6AA59DE165C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703" authorId="0" shapeId="0" xr:uid="{1545CF0C-28C2-427B-A1D1-57DA31D090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1/8</t>
        </r>
      </text>
    </comment>
    <comment ref="B1710" authorId="0" shapeId="0" xr:uid="{0D0D538A-FFE0-4BED-B8D4-A38D5BF9478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6/8</t>
        </r>
      </text>
    </comment>
    <comment ref="B1711" authorId="0" shapeId="0" xr:uid="{EB711B5E-BA88-400F-B5A4-A2991679EF8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6/8</t>
        </r>
      </text>
    </comment>
    <comment ref="B1732" authorId="0" shapeId="0" xr:uid="{9C010333-4459-41E4-B361-04B563B8A92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8/8</t>
        </r>
      </text>
    </comment>
    <comment ref="B1733" authorId="0" shapeId="0" xr:uid="{79CE2671-8FB0-4FFA-B725-ABA3B11DE1A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8/8</t>
        </r>
      </text>
    </comment>
    <comment ref="B1754" authorId="0" shapeId="0" xr:uid="{639ED42D-7C56-43F4-8A92-A2A140FDF20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8/8</t>
        </r>
      </text>
    </comment>
    <comment ref="B1760" authorId="0" shapeId="0" xr:uid="{B5F45D29-812F-484A-AFFD-C3B45941F67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8/8</t>
        </r>
      </text>
    </comment>
    <comment ref="B1764" authorId="0" shapeId="0" xr:uid="{EF379A5B-2C2D-48D0-A001-86412636889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12/8</t>
        </r>
      </text>
    </comment>
    <comment ref="B1788" authorId="0" shapeId="0" xr:uid="{8950F7D1-2C62-4E0E-A68F-DEABE47B6F0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15/8</t>
        </r>
      </text>
    </comment>
    <comment ref="B1819" authorId="0" shapeId="0" xr:uid="{2828A1F1-4B1B-4B08-AF6B-BB04BCDE331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15/8</t>
        </r>
      </text>
    </comment>
  </commentList>
</comments>
</file>

<file path=xl/sharedStrings.xml><?xml version="1.0" encoding="utf-8"?>
<sst xmlns="http://schemas.openxmlformats.org/spreadsheetml/2006/main" count="5448" uniqueCount="3830">
  <si>
    <t>Vincommerce Miền Bắc</t>
  </si>
  <si>
    <t>Vincommerce Miền Nam</t>
  </si>
  <si>
    <t>CÔNG NỢ VINCOM</t>
  </si>
  <si>
    <t>T2-T26 Times City, 458 Minh Khai, Hai Bà Trưng, Hà Nội</t>
  </si>
  <si>
    <t>Tầng B1,TTTM Thảo Điền, 159 Xa Lộ Hà Nội, Q2, TP HCM</t>
  </si>
  <si>
    <t>Nguyễn thị thúy KSHĐ-</t>
  </si>
  <si>
    <t>0933.589.788 - Lan Anh</t>
  </si>
  <si>
    <t>v.chieunt@vincommerce.com</t>
  </si>
  <si>
    <t>Tên khách hàng</t>
  </si>
  <si>
    <t>HĐ xóa bỏ</t>
  </si>
  <si>
    <t>HĐ thay thế</t>
  </si>
  <si>
    <t>Date HĐ</t>
  </si>
  <si>
    <t>Số tiền</t>
  </si>
  <si>
    <t>v.anhlt13@vincommerce.com</t>
  </si>
  <si>
    <t>Dịch vụ</t>
  </si>
  <si>
    <t>VAT 8%</t>
  </si>
  <si>
    <t>TỔNG</t>
  </si>
  <si>
    <t>Số đã trả</t>
  </si>
  <si>
    <t>Số còn nợ</t>
  </si>
  <si>
    <t>Ms Oanh: 0972  995 935</t>
  </si>
  <si>
    <t>028.7308.1368- ex:5011 Ms Lan Anh</t>
  </si>
  <si>
    <t>Thanh toán</t>
  </si>
  <si>
    <t>TỔNG CỘNG</t>
  </si>
  <si>
    <t>v.oanhntt1@vincommerce.com</t>
  </si>
  <si>
    <t>028.7308.1368- ex:5011 Lan Anh</t>
  </si>
  <si>
    <t>Dư nợ Tháng 05/2022</t>
  </si>
  <si>
    <t>0283.975.9568</t>
  </si>
  <si>
    <t>công nợ khớp</t>
  </si>
  <si>
    <t>Ngày HĐ</t>
  </si>
  <si>
    <t>SỐ HĐ</t>
  </si>
  <si>
    <t>Trước Thuế</t>
  </si>
  <si>
    <t>VAT</t>
  </si>
  <si>
    <t>Ngày thanh toán</t>
  </si>
  <si>
    <t>Bigc Nam Định</t>
  </si>
  <si>
    <t>00004510</t>
  </si>
  <si>
    <t>00005421</t>
  </si>
  <si>
    <t>00005512</t>
  </si>
  <si>
    <t>00005515</t>
  </si>
  <si>
    <t>00005516</t>
  </si>
  <si>
    <t>00005517</t>
  </si>
  <si>
    <t>00005518</t>
  </si>
  <si>
    <t>00005519</t>
  </si>
  <si>
    <t>00005526</t>
  </si>
  <si>
    <t>00005527</t>
  </si>
  <si>
    <t>00005528</t>
  </si>
  <si>
    <t>00005530</t>
  </si>
  <si>
    <t>00005531</t>
  </si>
  <si>
    <t>00005532</t>
  </si>
  <si>
    <t>00005534</t>
  </si>
  <si>
    <t>00005535</t>
  </si>
  <si>
    <t>00000042</t>
  </si>
  <si>
    <t>00000044</t>
  </si>
  <si>
    <t>00000045</t>
  </si>
  <si>
    <t>00000057</t>
  </si>
  <si>
    <t>00000069</t>
  </si>
  <si>
    <t>00000070</t>
  </si>
  <si>
    <t>00000071</t>
  </si>
  <si>
    <t>00000072</t>
  </si>
  <si>
    <t>00000073</t>
  </si>
  <si>
    <t>00000075</t>
  </si>
  <si>
    <t>00000082</t>
  </si>
  <si>
    <t>00000083</t>
  </si>
  <si>
    <t>00000094</t>
  </si>
  <si>
    <t>00000095</t>
  </si>
  <si>
    <t>00000099</t>
  </si>
  <si>
    <t>00000100</t>
  </si>
  <si>
    <t>00000101</t>
  </si>
  <si>
    <t>00000102</t>
  </si>
  <si>
    <t>00000103</t>
  </si>
  <si>
    <t>00000203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</si>
  <si>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</si>
  <si>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</si>
  <si>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</si>
  <si>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</si>
  <si>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</si>
  <si>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</si>
  <si>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</si>
  <si>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</si>
  <si>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00000221</t>
  </si>
  <si>
    <t>00000252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</si>
  <si>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</si>
  <si>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</si>
  <si>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</si>
  <si>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</si>
  <si>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</si>
  <si>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</si>
  <si>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</si>
  <si>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</si>
  <si>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</si>
  <si>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</si>
  <si>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</si>
  <si>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</si>
  <si>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</si>
  <si>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</si>
  <si>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</si>
  <si>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</si>
  <si>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</si>
  <si>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</si>
  <si>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</si>
  <si>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</si>
  <si>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</si>
  <si>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00000328</t>
  </si>
  <si>
    <t>00000329</t>
  </si>
  <si>
    <t>00000331</t>
  </si>
  <si>
    <t>00000332</t>
  </si>
  <si>
    <t>00000339</t>
  </si>
  <si>
    <t>00000340</t>
  </si>
  <si>
    <t>00000348</t>
  </si>
  <si>
    <t>00000349</t>
  </si>
  <si>
    <t>00000359</t>
  </si>
  <si>
    <t>00000371</t>
  </si>
  <si>
    <t>00000372</t>
  </si>
  <si>
    <t>00000378</t>
  </si>
  <si>
    <t>00000493</t>
  </si>
  <si>
    <t>00000546</t>
  </si>
  <si>
    <t>00000580</t>
  </si>
  <si>
    <t>00000585</t>
  </si>
  <si>
    <t>00000586</t>
  </si>
  <si>
    <t>00000587</t>
  </si>
  <si>
    <t>00000593</t>
  </si>
  <si>
    <t>00000611</t>
  </si>
  <si>
    <t>00000616</t>
  </si>
  <si>
    <t>00000664</t>
  </si>
  <si>
    <t>00000721</t>
  </si>
  <si>
    <t>00000722</t>
  </si>
  <si>
    <t>00000723</t>
  </si>
  <si>
    <t>00000728</t>
  </si>
  <si>
    <t>00000729</t>
  </si>
  <si>
    <t>00000793</t>
  </si>
  <si>
    <t>00000833</t>
  </si>
  <si>
    <t>00000834</t>
  </si>
  <si>
    <t>00000835</t>
  </si>
  <si>
    <t>00000836</t>
  </si>
  <si>
    <t>00000839</t>
  </si>
  <si>
    <t>00000840</t>
  </si>
  <si>
    <t>00000841</t>
  </si>
  <si>
    <t>00000842</t>
  </si>
  <si>
    <t>00000845</t>
  </si>
  <si>
    <t>00000848</t>
  </si>
  <si>
    <t>00000852</t>
  </si>
  <si>
    <t>00000853</t>
  </si>
  <si>
    <t>00000854</t>
  </si>
  <si>
    <t>00000855</t>
  </si>
  <si>
    <t>00001040</t>
  </si>
  <si>
    <t>00001042</t>
  </si>
  <si>
    <t>00001043</t>
  </si>
  <si>
    <t>00001044</t>
  </si>
  <si>
    <t>00001045</t>
  </si>
  <si>
    <t>00001050</t>
  </si>
  <si>
    <t>00001051</t>
  </si>
  <si>
    <t>00001053</t>
  </si>
  <si>
    <t>00001110</t>
  </si>
  <si>
    <t>00001111</t>
  </si>
  <si>
    <t>00001112</t>
  </si>
  <si>
    <t>00001113</t>
  </si>
  <si>
    <t>00001122</t>
  </si>
  <si>
    <t>00001123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</si>
  <si>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</si>
  <si>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</si>
  <si>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</si>
  <si>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</si>
  <si>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</si>
  <si>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</si>
  <si>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</si>
  <si>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</si>
  <si>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</si>
  <si>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</si>
  <si>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</si>
  <si>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</si>
  <si>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</si>
  <si>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</si>
  <si>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</si>
  <si>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</si>
  <si>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00001324</t>
  </si>
  <si>
    <t>00001404</t>
  </si>
  <si>
    <t>00001405</t>
  </si>
  <si>
    <t>00001406</t>
  </si>
  <si>
    <t>00001571</t>
  </si>
  <si>
    <t>00001572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</si>
  <si>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</si>
  <si>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</si>
  <si>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</si>
  <si>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</si>
  <si>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</si>
  <si>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</si>
  <si>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</si>
  <si>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</si>
  <si>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</si>
  <si>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00001614</t>
  </si>
  <si>
    <t>00001615</t>
  </si>
  <si>
    <t>00001616</t>
  </si>
  <si>
    <t>00001617</t>
  </si>
  <si>
    <t>00001618</t>
  </si>
  <si>
    <t>00001619</t>
  </si>
  <si>
    <t>00001620</t>
  </si>
  <si>
    <t>00001621</t>
  </si>
  <si>
    <t>00001622</t>
  </si>
  <si>
    <t>00001623</t>
  </si>
  <si>
    <t>00001624</t>
  </si>
  <si>
    <t>00001625</t>
  </si>
  <si>
    <t>00001633</t>
  </si>
  <si>
    <t>00001640</t>
  </si>
  <si>
    <t>00001655</t>
  </si>
  <si>
    <t>00001674</t>
  </si>
  <si>
    <t>00001675</t>
  </si>
  <si>
    <t>00001697</t>
  </si>
  <si>
    <t>00001709</t>
  </si>
  <si>
    <t>00001710</t>
  </si>
  <si>
    <t>00001711</t>
  </si>
  <si>
    <t>00001712</t>
  </si>
  <si>
    <t>00001713</t>
  </si>
  <si>
    <t>00001714</t>
  </si>
  <si>
    <t>00001715</t>
  </si>
  <si>
    <t>00001716</t>
  </si>
  <si>
    <t>00001796</t>
  </si>
  <si>
    <t>00001798</t>
  </si>
  <si>
    <t>00001799</t>
  </si>
  <si>
    <t>00001800</t>
  </si>
  <si>
    <t>00001801</t>
  </si>
  <si>
    <t>00001802</t>
  </si>
  <si>
    <t>00001804</t>
  </si>
  <si>
    <t>00001807</t>
  </si>
  <si>
    <t>00001808</t>
  </si>
  <si>
    <t>00001809</t>
  </si>
  <si>
    <t>00001810</t>
  </si>
  <si>
    <t>00001811</t>
  </si>
  <si>
    <t>00001812</t>
  </si>
  <si>
    <t>00001813</t>
  </si>
  <si>
    <t>00001814</t>
  </si>
  <si>
    <t>00001816</t>
  </si>
  <si>
    <t>00001817</t>
  </si>
  <si>
    <t>00001818</t>
  </si>
  <si>
    <t>00001819</t>
  </si>
  <si>
    <t>00001820</t>
  </si>
  <si>
    <t>00001821</t>
  </si>
  <si>
    <t>00001822</t>
  </si>
  <si>
    <t>00001823</t>
  </si>
  <si>
    <t>00001824</t>
  </si>
  <si>
    <t>00001825</t>
  </si>
  <si>
    <t>00001826</t>
  </si>
  <si>
    <t>00001827</t>
  </si>
  <si>
    <t>00001828</t>
  </si>
  <si>
    <t>00001829</t>
  </si>
  <si>
    <t>00001830</t>
  </si>
  <si>
    <t>00001831</t>
  </si>
  <si>
    <t>00001832</t>
  </si>
  <si>
    <t>00001833</t>
  </si>
  <si>
    <t>00001834</t>
  </si>
  <si>
    <t>00001835</t>
  </si>
  <si>
    <t>00001836</t>
  </si>
  <si>
    <t>00001837</t>
  </si>
  <si>
    <t>00001838</t>
  </si>
  <si>
    <t>00001839</t>
  </si>
  <si>
    <t>00001840</t>
  </si>
  <si>
    <t>00001841</t>
  </si>
  <si>
    <t>00001842</t>
  </si>
  <si>
    <t>00001843</t>
  </si>
  <si>
    <t>00001844</t>
  </si>
  <si>
    <t>00001846</t>
  </si>
  <si>
    <t>00001918</t>
  </si>
  <si>
    <t>00001919</t>
  </si>
  <si>
    <t>00001922</t>
  </si>
  <si>
    <t>00001949</t>
  </si>
  <si>
    <t>00001950</t>
  </si>
  <si>
    <t>00001958</t>
  </si>
  <si>
    <t>00001964</t>
  </si>
  <si>
    <t>00001969</t>
  </si>
  <si>
    <t>00001970</t>
  </si>
  <si>
    <t>00001971</t>
  </si>
  <si>
    <t>00001972</t>
  </si>
  <si>
    <t>00001973</t>
  </si>
  <si>
    <t>00001974</t>
  </si>
  <si>
    <t>00001975</t>
  </si>
  <si>
    <t>00001976</t>
  </si>
  <si>
    <t>00001977</t>
  </si>
  <si>
    <t>00001978</t>
  </si>
  <si>
    <t>00001979</t>
  </si>
  <si>
    <t>00001980</t>
  </si>
  <si>
    <t>00001981</t>
  </si>
  <si>
    <t>00001982</t>
  </si>
  <si>
    <t>00001983</t>
  </si>
  <si>
    <t>00001984</t>
  </si>
  <si>
    <t>00001985</t>
  </si>
  <si>
    <t>00001986</t>
  </si>
  <si>
    <t>00001988</t>
  </si>
  <si>
    <t>00001989</t>
  </si>
  <si>
    <t>00001990</t>
  </si>
  <si>
    <t>00001991</t>
  </si>
  <si>
    <t>00001992</t>
  </si>
  <si>
    <t>00001993</t>
  </si>
  <si>
    <t>00001994</t>
  </si>
  <si>
    <t>00002067</t>
  </si>
  <si>
    <t>00002068</t>
  </si>
  <si>
    <t>00002069</t>
  </si>
  <si>
    <t>00002139</t>
  </si>
  <si>
    <t>00002140</t>
  </si>
  <si>
    <t>00002201</t>
  </si>
  <si>
    <t>00002442</t>
  </si>
  <si>
    <t>00002487</t>
  </si>
  <si>
    <t>00002489</t>
  </si>
  <si>
    <t>00002490</t>
  </si>
  <si>
    <t>00002491</t>
  </si>
  <si>
    <t>00002492</t>
  </si>
  <si>
    <t>00002493</t>
  </si>
  <si>
    <t>00002494</t>
  </si>
  <si>
    <t>00002495</t>
  </si>
  <si>
    <t>00002496</t>
  </si>
  <si>
    <t>00002498</t>
  </si>
  <si>
    <t>00002499</t>
  </si>
  <si>
    <t>00002500</t>
  </si>
  <si>
    <t>00002501</t>
  </si>
  <si>
    <t>00002503</t>
  </si>
  <si>
    <t>00002504</t>
  </si>
  <si>
    <t>00002505</t>
  </si>
  <si>
    <t>00002506</t>
  </si>
  <si>
    <t>00002507</t>
  </si>
  <si>
    <t>00002508</t>
  </si>
  <si>
    <t>00002509</t>
  </si>
  <si>
    <t>00002510</t>
  </si>
  <si>
    <t>00002511</t>
  </si>
  <si>
    <t>00002512</t>
  </si>
  <si>
    <t>00002569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</si>
  <si>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</si>
  <si>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</si>
  <si>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</si>
  <si>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</si>
  <si>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</si>
  <si>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</si>
  <si>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</si>
  <si>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</si>
  <si>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</si>
  <si>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</si>
  <si>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</si>
  <si>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00002640</t>
  </si>
  <si>
    <t>00002641</t>
  </si>
  <si>
    <t>00002642</t>
  </si>
  <si>
    <t>00002643</t>
  </si>
  <si>
    <t>00002644</t>
  </si>
  <si>
    <t>00002645</t>
  </si>
  <si>
    <t>00002646</t>
  </si>
  <si>
    <t>00002647</t>
  </si>
  <si>
    <t>00002648</t>
  </si>
  <si>
    <t>00002649</t>
  </si>
  <si>
    <t>00002650</t>
  </si>
  <si>
    <t>00002655</t>
  </si>
  <si>
    <t>00002878</t>
  </si>
  <si>
    <t>00002937</t>
  </si>
  <si>
    <t>00002938</t>
  </si>
  <si>
    <t>00002939</t>
  </si>
  <si>
    <t>00002940</t>
  </si>
  <si>
    <t>00002996</t>
  </si>
  <si>
    <t>00003093</t>
  </si>
  <si>
    <t>00003153</t>
  </si>
  <si>
    <t>00003154</t>
  </si>
  <si>
    <t>00003195</t>
  </si>
  <si>
    <t>00003196</t>
  </si>
  <si>
    <t>00003197</t>
  </si>
  <si>
    <t>00003211</t>
  </si>
  <si>
    <t>00003212</t>
  </si>
  <si>
    <t>00003213</t>
  </si>
  <si>
    <t>00003214</t>
  </si>
  <si>
    <t>00003215</t>
  </si>
  <si>
    <t>00003217</t>
  </si>
  <si>
    <t>00003218</t>
  </si>
  <si>
    <t>00003219</t>
  </si>
  <si>
    <t>00003220</t>
  </si>
  <si>
    <t>00003221</t>
  </si>
  <si>
    <t>00003222</t>
  </si>
  <si>
    <t>00003223</t>
  </si>
  <si>
    <t>00003224</t>
  </si>
  <si>
    <t>00003225</t>
  </si>
  <si>
    <t>00003226</t>
  </si>
  <si>
    <t>00003227</t>
  </si>
  <si>
    <t>00003228</t>
  </si>
  <si>
    <t>00003358</t>
  </si>
  <si>
    <t>00003447</t>
  </si>
  <si>
    <t>00003454</t>
  </si>
  <si>
    <t>00003455</t>
  </si>
  <si>
    <t>00003456</t>
  </si>
  <si>
    <t>DOANH SỐ</t>
  </si>
  <si>
    <t>00003758</t>
  </si>
  <si>
    <t>00003855</t>
  </si>
  <si>
    <t>00004066</t>
  </si>
  <si>
    <t>00004067</t>
  </si>
  <si>
    <t>00004069</t>
  </si>
  <si>
    <t>00004072</t>
  </si>
  <si>
    <t>00004073</t>
  </si>
  <si>
    <t>00004074</t>
  </si>
  <si>
    <t>00004075</t>
  </si>
  <si>
    <t>00004076</t>
  </si>
  <si>
    <t>00004077</t>
  </si>
  <si>
    <t>00004078</t>
  </si>
  <si>
    <t>00004079</t>
  </si>
  <si>
    <t>00004080</t>
  </si>
  <si>
    <t>00004081</t>
  </si>
  <si>
    <t>00004082</t>
  </si>
  <si>
    <t>00004084</t>
  </si>
  <si>
    <t>00004085</t>
  </si>
  <si>
    <t>00004086</t>
  </si>
  <si>
    <t>00004087</t>
  </si>
  <si>
    <t>00004141</t>
  </si>
  <si>
    <t>00004158</t>
  </si>
  <si>
    <t>00004159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</si>
  <si>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</si>
  <si>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</si>
  <si>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</si>
  <si>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</si>
  <si>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</si>
  <si>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</si>
  <si>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</si>
  <si>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</si>
  <si>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</si>
  <si>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</si>
  <si>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</si>
  <si>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</si>
  <si>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</si>
  <si>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</si>
  <si>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</si>
  <si>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</si>
  <si>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</si>
  <si>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00004363</t>
  </si>
  <si>
    <t>00004364</t>
  </si>
  <si>
    <t>00004366</t>
  </si>
  <si>
    <t>00004367</t>
  </si>
  <si>
    <t>00004370</t>
  </si>
  <si>
    <t>00004371</t>
  </si>
  <si>
    <t>00004372</t>
  </si>
  <si>
    <t>00004373</t>
  </si>
  <si>
    <t>00004374</t>
  </si>
  <si>
    <t>00004375</t>
  </si>
  <si>
    <t>00004376</t>
  </si>
  <si>
    <t>00004377</t>
  </si>
  <si>
    <t>00004379</t>
  </si>
  <si>
    <t>00004380</t>
  </si>
  <si>
    <t>00004381</t>
  </si>
  <si>
    <t>00004382</t>
  </si>
  <si>
    <t>00004502</t>
  </si>
  <si>
    <t>00004503</t>
  </si>
  <si>
    <t>00004504</t>
  </si>
  <si>
    <t>00004505</t>
  </si>
  <si>
    <t>00004506</t>
  </si>
  <si>
    <t>00004507</t>
  </si>
  <si>
    <t>00004508</t>
  </si>
  <si>
    <t>00004509</t>
  </si>
  <si>
    <t>00004511</t>
  </si>
  <si>
    <t>00004512</t>
  </si>
  <si>
    <t>00004513</t>
  </si>
  <si>
    <t>00004514</t>
  </si>
  <si>
    <t>00004515</t>
  </si>
  <si>
    <t>00004516</t>
  </si>
  <si>
    <t>00004517</t>
  </si>
  <si>
    <t>00004518</t>
  </si>
  <si>
    <t>00004519</t>
  </si>
  <si>
    <t>00004520</t>
  </si>
  <si>
    <t>00004521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</si>
  <si>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</si>
  <si>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</si>
  <si>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</si>
  <si>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</si>
  <si>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</si>
  <si>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</si>
  <si>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</si>
  <si>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</si>
  <si>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</si>
  <si>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00004532</t>
  </si>
  <si>
    <t>00004533</t>
  </si>
  <si>
    <t>00004534</t>
  </si>
  <si>
    <t>00004535</t>
  </si>
  <si>
    <t>00004536</t>
  </si>
  <si>
    <t>00004537</t>
  </si>
  <si>
    <t>00004538</t>
  </si>
  <si>
    <t>00004539</t>
  </si>
  <si>
    <t>00004540</t>
  </si>
  <si>
    <t>00004541</t>
  </si>
  <si>
    <t>00004542</t>
  </si>
  <si>
    <t>00004543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</si>
  <si>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</si>
  <si>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</si>
  <si>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</si>
  <si>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</si>
  <si>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</si>
  <si>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</si>
  <si>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</si>
  <si>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</si>
  <si>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00004753</t>
  </si>
  <si>
    <t>00004759</t>
  </si>
  <si>
    <t>00004762</t>
  </si>
  <si>
    <t>00004788</t>
  </si>
  <si>
    <t>00004795</t>
  </si>
  <si>
    <t>00004936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</si>
  <si>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</si>
  <si>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</si>
  <si>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</si>
  <si>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</si>
  <si>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</si>
  <si>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</si>
  <si>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</si>
  <si>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</si>
  <si>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</si>
  <si>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</si>
  <si>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</si>
  <si>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</si>
  <si>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</si>
  <si>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</si>
  <si>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</si>
  <si>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</si>
  <si>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</si>
  <si>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00005030</t>
  </si>
  <si>
    <t>Ngày TT 
CODE 3003172</t>
  </si>
  <si>
    <t>NGÀY TT 
CODE 3006634</t>
  </si>
  <si>
    <t>00005032</t>
  </si>
  <si>
    <t>00005051</t>
  </si>
  <si>
    <t>00005132</t>
  </si>
  <si>
    <t>00005133</t>
  </si>
  <si>
    <t>00005134</t>
  </si>
  <si>
    <t>00005143</t>
  </si>
  <si>
    <t>00005146</t>
  </si>
  <si>
    <t>00005190</t>
  </si>
  <si>
    <t>00005191</t>
  </si>
  <si>
    <t>00005192</t>
  </si>
  <si>
    <t>00005193</t>
  </si>
  <si>
    <t>00005194</t>
  </si>
  <si>
    <t>00005197</t>
  </si>
  <si>
    <t>00005198</t>
  </si>
  <si>
    <t>00005199</t>
  </si>
  <si>
    <t>00005200</t>
  </si>
  <si>
    <t>00005201</t>
  </si>
  <si>
    <t>00005202</t>
  </si>
  <si>
    <t>00005209</t>
  </si>
  <si>
    <t>00005210</t>
  </si>
  <si>
    <t>00005211</t>
  </si>
  <si>
    <t>00005212</t>
  </si>
  <si>
    <t>00005213</t>
  </si>
  <si>
    <t>00005214</t>
  </si>
  <si>
    <t>00005215</t>
  </si>
  <si>
    <t>00005221</t>
  </si>
  <si>
    <t>00005229</t>
  </si>
  <si>
    <t>00005230</t>
  </si>
  <si>
    <t>00005233</t>
  </si>
  <si>
    <t>00005234</t>
  </si>
  <si>
    <t>00005235</t>
  </si>
  <si>
    <t>00005236</t>
  </si>
  <si>
    <t>00005237</t>
  </si>
  <si>
    <t>00005432</t>
  </si>
  <si>
    <t>00005520</t>
  </si>
  <si>
    <t>00005525</t>
  </si>
  <si>
    <t>00005529</t>
  </si>
  <si>
    <t>00005533</t>
  </si>
  <si>
    <t>00005702</t>
  </si>
  <si>
    <t>00005704</t>
  </si>
  <si>
    <t>00005705</t>
  </si>
  <si>
    <t>00005706</t>
  </si>
  <si>
    <t>00005707</t>
  </si>
  <si>
    <t>00005832</t>
  </si>
  <si>
    <t>00005833</t>
  </si>
  <si>
    <t>00005834</t>
  </si>
  <si>
    <t>00005835</t>
  </si>
  <si>
    <t>00005836</t>
  </si>
  <si>
    <t>00005837</t>
  </si>
  <si>
    <t>00005838</t>
  </si>
  <si>
    <t>00005839</t>
  </si>
  <si>
    <t>00005840</t>
  </si>
  <si>
    <t>00005841</t>
  </si>
  <si>
    <t>00005842</t>
  </si>
  <si>
    <t>00005843</t>
  </si>
  <si>
    <t>00005846</t>
  </si>
  <si>
    <t>00005847</t>
  </si>
  <si>
    <t>00005848</t>
  </si>
  <si>
    <t>00005849</t>
  </si>
  <si>
    <t>00005850</t>
  </si>
  <si>
    <t>00005851</t>
  </si>
  <si>
    <t>00005852</t>
  </si>
  <si>
    <t>00005853</t>
  </si>
  <si>
    <t>00005854</t>
  </si>
  <si>
    <t>00005856</t>
  </si>
  <si>
    <t>00005857</t>
  </si>
  <si>
    <t>00005858</t>
  </si>
  <si>
    <t>00005862</t>
  </si>
  <si>
    <t>00005863</t>
  </si>
  <si>
    <t>00005864</t>
  </si>
  <si>
    <t>00006022</t>
  </si>
  <si>
    <t>00006023</t>
  </si>
  <si>
    <t>00006024</t>
  </si>
  <si>
    <t>00006025</t>
  </si>
  <si>
    <t>00006026</t>
  </si>
  <si>
    <t>00006027</t>
  </si>
  <si>
    <t>00006055</t>
  </si>
  <si>
    <t>00006122</t>
  </si>
  <si>
    <t>00006123</t>
  </si>
  <si>
    <t>00006124</t>
  </si>
  <si>
    <t>00006125</t>
  </si>
  <si>
    <t>00006126</t>
  </si>
  <si>
    <t>00006127</t>
  </si>
  <si>
    <t>00006128</t>
  </si>
  <si>
    <t>00006129</t>
  </si>
  <si>
    <t>00006130</t>
  </si>
  <si>
    <t>00006143</t>
  </si>
  <si>
    <t>00006214</t>
  </si>
  <si>
    <t>00006261</t>
  </si>
  <si>
    <t>00006306</t>
  </si>
  <si>
    <t>00006308</t>
  </si>
  <si>
    <t>00006309</t>
  </si>
  <si>
    <t>00006310</t>
  </si>
  <si>
    <t>00006311</t>
  </si>
  <si>
    <t>00006312</t>
  </si>
  <si>
    <t>00006313</t>
  </si>
  <si>
    <t>00006328</t>
  </si>
  <si>
    <t>00006329</t>
  </si>
  <si>
    <t>00006505</t>
  </si>
  <si>
    <t>00006507</t>
  </si>
  <si>
    <t>00006509</t>
  </si>
  <si>
    <t>00006510</t>
  </si>
  <si>
    <t>00006511</t>
  </si>
  <si>
    <t>00006597</t>
  </si>
  <si>
    <t>00006602</t>
  </si>
  <si>
    <t>00006603</t>
  </si>
  <si>
    <t>00006692</t>
  </si>
  <si>
    <t>00006718</t>
  </si>
  <si>
    <t>00006719</t>
  </si>
  <si>
    <t>00006721</t>
  </si>
  <si>
    <t>00006722</t>
  </si>
  <si>
    <t>00006723</t>
  </si>
  <si>
    <t>00006724</t>
  </si>
  <si>
    <t>00006725</t>
  </si>
  <si>
    <t>00006726</t>
  </si>
  <si>
    <t>00006727</t>
  </si>
  <si>
    <t>00006728</t>
  </si>
  <si>
    <t>00006729</t>
  </si>
  <si>
    <t>00006730</t>
  </si>
  <si>
    <t>00006731</t>
  </si>
  <si>
    <t>00006732</t>
  </si>
  <si>
    <t>Siêu thị Bắc Giang, 2553053135382</t>
  </si>
  <si>
    <t>Siêu thị Việt Trì, 2553053133758</t>
  </si>
  <si>
    <t>Siêu thị Huế, 2553053139728</t>
  </si>
  <si>
    <t>Siêu thị Thanh Hóa, 2552052984318</t>
  </si>
  <si>
    <t>Siêu thị Bắc Giang, 2553053123019</t>
  </si>
  <si>
    <t>Siêu thị GO! Bà Rịa, 2553053125640</t>
  </si>
  <si>
    <t>Siêu thị Nha Trang, 2553053126671</t>
  </si>
  <si>
    <t>Siêu thị Hạ Long, 2553053138475</t>
  </si>
  <si>
    <t>Siêu thị Huế, 2553053127210</t>
  </si>
  <si>
    <t>Siêu thị Gò Vấp, 2553053128162</t>
  </si>
  <si>
    <t>Siêu thị Đà Nẵng, 2553053127244</t>
  </si>
  <si>
    <t>Siêu thị Miền Đông, 2553053128250</t>
  </si>
  <si>
    <t>Siêu thị Nam Định, 2552053112077</t>
  </si>
  <si>
    <t>TOPS MARKET LE TRONG TAN, 2601053178447</t>
  </si>
  <si>
    <t>Siêu thị go! LỘC NINH, 2601053178767</t>
  </si>
  <si>
    <t>Siêu thị go! LỘC NINH, 2601053159468</t>
  </si>
  <si>
    <t>Siêu thị Ninh Bình, 2601053163824</t>
  </si>
  <si>
    <t>Giao hàng tại SIÊU THỊ go! GÒ CÔNG TÂY, 2601053178792</t>
  </si>
  <si>
    <t>Giao hàng tại SIÊU THỊ go! LẤP VÒ, 2601053158963</t>
  </si>
  <si>
    <t>Giao hàng tại SIÊU THỊ go! LẤP VÒ, 2601053178900</t>
  </si>
  <si>
    <t>SIÊU THỊ go! HƯƠNG TRÀ, 2601053159283</t>
  </si>
  <si>
    <t>SIÊU THỊ go! HƯƠNG TRÀ, 2601053178899</t>
  </si>
  <si>
    <t>SIÊU THỊ go! HƯƠNG TRÀ, 2601053182139</t>
  </si>
  <si>
    <t>Siêu thị Thăng Long, 2601053169231</t>
  </si>
  <si>
    <t>Siêu thị Hải Phòng, 2601053165948</t>
  </si>
  <si>
    <t>Siêu thị Đà Nẵng, 2601053174216</t>
  </si>
  <si>
    <t>Siêu thị Gò Vấp, 2601053181404</t>
  </si>
  <si>
    <t>Siêu thị Long Biên, 2601053169951</t>
  </si>
  <si>
    <t>Siêu thị Long Biên, 2601053180831</t>
  </si>
  <si>
    <t>Siêu thị Mê Linh, 2601053169103</t>
  </si>
  <si>
    <t>Siêu thị Bắc Giang, 2601053163121</t>
  </si>
  <si>
    <t>TOPS MARKET HỒ GƯƠM, 2601053181371</t>
  </si>
  <si>
    <t>Siêu thị GO Quảng Ngãi, 2601053167477</t>
  </si>
  <si>
    <t>Giao hàng tại Siêu thị GO! HÀ NAM, 2601053160119</t>
  </si>
  <si>
    <t>Siêu thị Hạ Long, 2601053175960</t>
  </si>
  <si>
    <t>Giao hàng tại Siêu thị GO! YÊN BÁI, 2601053159456</t>
  </si>
  <si>
    <t>Siêu thị go! Tam Kỳ, 2601053182137</t>
  </si>
  <si>
    <t>Siêu thị GO Gò Dầu, 2601053161747</t>
  </si>
  <si>
    <t>Siêu thị GO Gò Dầu, 2601053182085</t>
  </si>
  <si>
    <t>Siêu thị go! Phú Mỹ, 2601053161238</t>
  </si>
  <si>
    <t>Siêu thị go! Phú Mỹ, 2601053182116</t>
  </si>
  <si>
    <t>Siêu thị go! Nhơn Trạch, 2601053161053</t>
  </si>
  <si>
    <t>Siêu thị go! Nhơn Trạch, 2601053178840</t>
  </si>
  <si>
    <t>Siêu thị go! Nhơn Trạch, 2601053182090</t>
  </si>
  <si>
    <t>Giao hàng tại Siêu thị Go! Tân Uyên, 2601053161471</t>
  </si>
  <si>
    <t>Giao hàng tại Siêu thị Go! Tân Uyên, 2601053182091</t>
  </si>
  <si>
    <t>Giao hàng tại Siêu thị go! Điện Bàn, 2601053160781</t>
  </si>
  <si>
    <t>Giao hàng tại Siêu thị go! Điện Bàn, 2601053182145</t>
  </si>
  <si>
    <t>Giao hàng tại Siêu thị go! Rạch Giá, 2601053178885</t>
  </si>
  <si>
    <t>Giao hàng tại Siêu thị go! Hồng Ngự, 2601053159790</t>
  </si>
  <si>
    <t>Giao hàng tại Siêu thị go! Hồng Ngự, 2601053178813</t>
  </si>
  <si>
    <t>Giao hàng tại Siêu thị go! AN NHƠN, 2601053178886</t>
  </si>
  <si>
    <t>Siêu thị Bắc Giang, 2601053156401</t>
  </si>
  <si>
    <t>Siêu thị Bắc Giang, 2601053178315</t>
  </si>
  <si>
    <t>Giao hàng tại Siêu thị GO! HƯNG YÊN, 2601053188471</t>
  </si>
  <si>
    <t>Siêu thị GO Vĩnh Phúc, 2601053169563</t>
  </si>
  <si>
    <t>Siêu thị GO Trà Vinh, 2601053221460</t>
  </si>
  <si>
    <t>Siêu thị Tops Market An Phú, 2601053212489</t>
  </si>
  <si>
    <t>Siêu thị Tops Market Âu Cơ, 2601053190681</t>
  </si>
  <si>
    <t>Siêu thị Go! Phú Thạnh, 2601053215837</t>
  </si>
  <si>
    <t>Siêu thị GO Dĩ An, 260105327987</t>
  </si>
  <si>
    <t>Giao hàng tại SIÊU THỊ go! LẤP VÒ, 2601053231637</t>
  </si>
  <si>
    <t>Siêu thị go! Phú Mỹ, 2601053233663</t>
  </si>
  <si>
    <t>Siêu thị GO Buôn Ma Thuột, 2601053256937</t>
  </si>
  <si>
    <t>Siêu thị GO Mỹ Tho, 2601053252620</t>
  </si>
  <si>
    <t>Siêu thị Tops Market Âu Cơ, 2601053254692</t>
  </si>
  <si>
    <t>Siêu thị Nha Trang, 2601053228600</t>
  </si>
  <si>
    <t>GO! Đồng Nai, 2601053227811</t>
  </si>
  <si>
    <t>Siêu thị GO Buôn Ma Thuột, 2601053250219</t>
  </si>
  <si>
    <t>Siêu thị go! Tam Kỳ, 2601053260481</t>
  </si>
  <si>
    <t>Giao hàng tại Siêu thị Go! Tân Uyên, 2601053260477</t>
  </si>
  <si>
    <t>Giao hàng tại Siêu thị go! AN NHƠN, 2601053260611</t>
  </si>
  <si>
    <t>Siêu thị go! LỘC NINH, 2601053231752</t>
  </si>
  <si>
    <t>Siêu thị Hải Dương, 2601053287989</t>
  </si>
  <si>
    <t>GO! Đồng Nai, 2601053274903</t>
  </si>
  <si>
    <t>Siêu thị Thăng Long, 2601053284715</t>
  </si>
  <si>
    <t>Siêu thị Hải Phòng, 2601053273948</t>
  </si>
  <si>
    <t>Siêu thị Gò Vấp, 2601053287152</t>
  </si>
  <si>
    <t>Siêu thị Huế, 2601053272497</t>
  </si>
  <si>
    <t>Siêu thị Việt Trì, 2601053268796</t>
  </si>
  <si>
    <t>Siêu thị Bình Dương, 2601053274196</t>
  </si>
  <si>
    <t>Siêu thị Tân Hiệp, 2601053274747</t>
  </si>
  <si>
    <t>Siêu thị Vinh, 2601053272887</t>
  </si>
  <si>
    <t>Siêu thị GO Thái Bình, 2601053279783</t>
  </si>
  <si>
    <t>Siêu thị Hạ Long, 2601053288806</t>
  </si>
  <si>
    <t>Siêu thị Đà Lạt, 2601053274108</t>
  </si>
  <si>
    <t>Giao hàng tại Siêu thị GO! NINH BÌNH, 2601053269611</t>
  </si>
  <si>
    <t>siêu thị GO An Lạc, 2601053286624</t>
  </si>
  <si>
    <t>Siêu thị GO! Bà Rịa, 2601053287236</t>
  </si>
  <si>
    <t>Giao hàng tại Siêu thị go! Hồng Ngự, 2601053284589</t>
  </si>
  <si>
    <t>Giao hàng tại Siêu thị go! Hòa Thành, 2601053284548</t>
  </si>
  <si>
    <t>Siêu thị go! Nhơn Trạch, 2601053284575</t>
  </si>
  <si>
    <t>Giao hàng tại Siêu thị GO! BẠC LIÊU, 2601053287045</t>
  </si>
  <si>
    <t>Giao hàng tại Siêu thị GO! BẠC LIÊU, 2601053285136</t>
  </si>
  <si>
    <t>Siêu thị Nam Định, 2601053257641</t>
  </si>
  <si>
    <t>TOPS MARKET HỒ GƯƠM, 2602053307974</t>
  </si>
  <si>
    <t>TOPS MARKET LE TRONG TAN, 2601053291461</t>
  </si>
  <si>
    <t>Siêu thị Việt Trì, 2602053312617</t>
  </si>
  <si>
    <t>Siêu thị Go! Phú Thạnh, 2602053329558</t>
  </si>
  <si>
    <t>Siêu thị GO Vĩnh Phúc, 2602053325241</t>
  </si>
  <si>
    <t>Siêu thị Tân Hiệp, 2602053336777</t>
  </si>
  <si>
    <t>Siêu thị Long Biên, 2602053326095</t>
  </si>
  <si>
    <t>Siêu thị Gò Vấp, 2602053341378</t>
  </si>
  <si>
    <t>Siêu thị Huế, 2602053329007</t>
  </si>
  <si>
    <t>Siêu thị Huế, 2602053335345</t>
  </si>
  <si>
    <t>TOPS MARKET GARDEN, 2602053338266</t>
  </si>
  <si>
    <t>Siêu thị Miền Đông, 2602053330000</t>
  </si>
  <si>
    <t>Siêu thị Thăng Long, 2602053330408</t>
  </si>
  <si>
    <t>Siêu thị Hải Phòng, 2602053328643</t>
  </si>
  <si>
    <t>Siêu thị Đà Nẵng, 2602053326687</t>
  </si>
  <si>
    <t>Siêu thị Đà Nẵng, 2602053334141</t>
  </si>
  <si>
    <t>siêu thị GO An Lạc, 2602053329991</t>
  </si>
  <si>
    <t>GO! Đồng Nai, 2602053330208</t>
  </si>
  <si>
    <t>Siêu thị Long Biên, 2602053338313</t>
  </si>
  <si>
    <t>Siêu thị Mê Linh, 2602053338783</t>
  </si>
  <si>
    <t>Siêu thị GO Cần Thơ, 2602053326611</t>
  </si>
  <si>
    <t>Siêu thị Bình Dương, 2602053327529</t>
  </si>
  <si>
    <t>Siêu thị Trường Chinh, 2602053329366</t>
  </si>
  <si>
    <t>Siêu thị Việt Trì, 2602053325439</t>
  </si>
  <si>
    <t>Siêu thị Ninh Bình, 2602053336330</t>
  </si>
  <si>
    <t>Siêu thị Đà Lạt, 2602053327507</t>
  </si>
  <si>
    <t>Siêu thị Hạ Long, 2602053337832</t>
  </si>
  <si>
    <t>Siêu thị Quy Nhơn, 2602053326749</t>
  </si>
  <si>
    <t>Siêu thị Quy Nhơn, 2602053333898</t>
  </si>
  <si>
    <t>Siêu thị Bắc Giang, 2602053341049</t>
  </si>
  <si>
    <t>Siêu thị GO Nguyễn Thị Thập, 2602053328121</t>
  </si>
  <si>
    <t>TOPS MARKET LE TRONG TAN, 2602053341630</t>
  </si>
  <si>
    <t>Siêu thị GO Quảng Ngãi, 2602053322266</t>
  </si>
  <si>
    <t>Siêu thị GO Quảng Ngãi, 2602053335993</t>
  </si>
  <si>
    <t>Siêu thị GO Trà Vinh, 2602053337928</t>
  </si>
  <si>
    <t>Siêu thị GO Thái Bình, 2602053336622</t>
  </si>
  <si>
    <t>Siêu thị GO Lào Cai, 2602053340401</t>
  </si>
  <si>
    <t>Giao hàng tại Siêu thị GO! Ninh Thuận, 2602053340440</t>
  </si>
  <si>
    <t>Giao hàng tại Siêu thị GO! YÊN BÁI, 2602053339339</t>
  </si>
  <si>
    <t>Siêu thị go! Tam Kỳ, 2602053320491</t>
  </si>
  <si>
    <t>Siêu thị GO Gò Dầu, 2602053320405</t>
  </si>
  <si>
    <t>Siêu thị go! Phú Mỹ, 2602053320028</t>
  </si>
  <si>
    <t>Siêu thị go! Nhơn Trạch, 2602053320235</t>
  </si>
  <si>
    <t>Giao hàng tại Siêu thị go! Điện Bàn, 2602053319874</t>
  </si>
  <si>
    <t>Giao hàng tại Siêu thị go! Hòa Thành, 2602053319440</t>
  </si>
  <si>
    <t>Giao hàng tại Siêu thị go! Hồng Ngự, 2602053318407</t>
  </si>
  <si>
    <t>SIÊU THỊ go! HƯƠNG TRÀ, 2602053317660</t>
  </si>
  <si>
    <t>Giao hàng tại SIÊU THỊ go! LẤP VÒ, 2602053317798</t>
  </si>
  <si>
    <t>Siêu thị go! LỘC NINH, 2602053317869</t>
  </si>
  <si>
    <t>Giao hàng tại SIÊU THỊ go! GÒ CÔNG TÂY, 2602053317532</t>
  </si>
  <si>
    <t>Siêu thị Hải Phòng, 2602053316685</t>
  </si>
  <si>
    <t>Siêu thị Ninh Bình, 2602053304584</t>
  </si>
  <si>
    <t>Siêu thị Mê Linh, 2601053290277</t>
  </si>
  <si>
    <t>Siêu thị go! Phú Mỹ, 2602053344692</t>
  </si>
  <si>
    <t>Giao hàng tại SIÊU THỊ go! LẤP VÒ, 2602053344562</t>
  </si>
  <si>
    <t>SIÊU THỊ go! HƯƠNG TRÀ, 2602053344594</t>
  </si>
  <si>
    <t>Giao hàng tại Siêu thị go! Rạch Giá, 2602053344665</t>
  </si>
  <si>
    <t>Giao hàng tại Siêu thị go! Hòa Thành, 2602053344704</t>
  </si>
  <si>
    <t>Giao hàng tại Siêu thị go! Điện Bàn, 2602053344619</t>
  </si>
  <si>
    <t>Giao hàng tại Siêu thị Go! Tân Uyên, 2602053344642</t>
  </si>
  <si>
    <t>Siêu thị go! Nhơn Trạch, 2602053344616</t>
  </si>
  <si>
    <t>Siêu thị go! Tam Kỳ, 2602053344634</t>
  </si>
  <si>
    <t>Siêu thị Vinh, 2602053339226</t>
  </si>
  <si>
    <t>GO! Đồng Nai, 2602053375169</t>
  </si>
  <si>
    <t>Siêu thị Bình Dương, 2602053374467</t>
  </si>
  <si>
    <t>Siêu thị Tops Market Thảo Điền, 2602053381759</t>
  </si>
  <si>
    <t>Siêu thị Củ Chi, 2602053382185</t>
  </si>
  <si>
    <t>Siêu thị Thanh Hóa, 2602053414079</t>
  </si>
  <si>
    <t>Siêu thị Nam Định, 2602053419757</t>
  </si>
  <si>
    <t>Siêu thị go! Nhơn Trạch, 2602053423025</t>
  </si>
  <si>
    <t>GO! Đồng Nai, 2602053413211</t>
  </si>
  <si>
    <t>Siêu thị Nam Định, 2602053418951</t>
  </si>
  <si>
    <t>Siêu thị GO Cần Thơ, 2602053420437</t>
  </si>
  <si>
    <t>TOPS MARKET LE TRONG TAN, 2602053351106</t>
  </si>
  <si>
    <t>TOPS MARKET HỒ GƯƠM, 2602053388967</t>
  </si>
  <si>
    <t>Siêu thị go! Phú Mỹ, 2602053423071</t>
  </si>
  <si>
    <t>Giao hàng tại Siêu thị go! Điện Bàn, 2602053395183</t>
  </si>
  <si>
    <t>Giao hàng tại Siêu thị GO! Ninh Thuận, 2602053427762</t>
  </si>
  <si>
    <t>Siêu thị GO Trà Vinh, 2602053431506</t>
  </si>
  <si>
    <t>Siêu thị Tops Market Âu Cơ, 2602053433208</t>
  </si>
  <si>
    <t>TOPS MARKET HỒ GƯƠM, 2602053448216</t>
  </si>
  <si>
    <t>Siêu thị Nha Trang, 2602053436345</t>
  </si>
  <si>
    <t>Siêu thị Hải Dương, 2602053452204</t>
  </si>
  <si>
    <t>Siêu thị Vinh, 2602053435403</t>
  </si>
  <si>
    <t>TOPS MARKET GARDEN, 2602053451809</t>
  </si>
  <si>
    <t>Siêu thị Huế, 2602053437332</t>
  </si>
  <si>
    <t>Siêu thị Gò Vấp, 2602053438260</t>
  </si>
  <si>
    <t>Siêu thị Đà Nẵng, 2602053437136</t>
  </si>
  <si>
    <t>Siêu thị Thăng Long, 2602053438724</t>
  </si>
  <si>
    <t>GO! Đồng Nai, 2602053448895</t>
  </si>
  <si>
    <t>Siêu thị Tân Hiệp, 2603053468224</t>
  </si>
  <si>
    <t>Siêu thị Thăng Long, 2601053227447</t>
  </si>
  <si>
    <t>GO! Đồng Nai, 2603053478467</t>
  </si>
  <si>
    <t>Siêu thị Thăng Long, 2603053501044</t>
  </si>
  <si>
    <t>Siêu thị Thăng Long, 2603053501091</t>
  </si>
  <si>
    <t>Siêu thị GO Mỹ Tho, 2603053480830</t>
  </si>
  <si>
    <t>Siêu thị Đà Nẵng, 2603053498663</t>
  </si>
  <si>
    <t>Siêu thị Hải Phòng, 2603053492564</t>
  </si>
  <si>
    <t>Siêu thị Gò Vấp, 2603053497839</t>
  </si>
  <si>
    <t>TOPS MARKET GARDEN, 2603053500606</t>
  </si>
  <si>
    <t>Siêu thị Vinh, 2603053491154</t>
  </si>
  <si>
    <t>Siêu thị Long Biên, 2603053491987</t>
  </si>
  <si>
    <t>Siêu thị Long Biên, 2603053501531</t>
  </si>
  <si>
    <t>Siêu thị Hải Dương, 2603053499052</t>
  </si>
  <si>
    <t>Siêu thị Việt Trì, 2603053488375</t>
  </si>
  <si>
    <t>Siêu thị Ninh Bình, 2603053489265</t>
  </si>
  <si>
    <t>Siêu thị Hạ Long, 2603053488991</t>
  </si>
  <si>
    <t>TOPS MARKET HỒ GƯƠM, 2603053503439</t>
  </si>
  <si>
    <t>Siêu thị GO Quảng Ngãi, 2603053486895</t>
  </si>
  <si>
    <t>Siêu thị GO Thái Nguyên, 2603053485812</t>
  </si>
  <si>
    <t>Siêu thị GO Lào Cai, 2603053502830</t>
  </si>
  <si>
    <t>Giao hàng tại Siêu thị GO! HÀ NAM, 2603053483509</t>
  </si>
  <si>
    <t>Giao hàng tại Siêu thị GO! HÀ NAM, 2603053503334</t>
  </si>
  <si>
    <t>Siêu thị GO Gò Dầu, 2603053484623</t>
  </si>
  <si>
    <t>Siêu thị go! Phú Mỹ, 2603053484169</t>
  </si>
  <si>
    <t>Siêu thị go! Nhơn Trạch, 2603053484223</t>
  </si>
  <si>
    <t>Giao hàng tại Siêu thị Go! Tân Uyên, 2603053484235</t>
  </si>
  <si>
    <t>Giao hàng tại Siêu thị go! Điện Bàn, 2603053484099</t>
  </si>
  <si>
    <t>Giao hàng tại Siêu thị go! AN NHƠN, 2603053496153</t>
  </si>
  <si>
    <t>SIÊU THỊ go! HƯƠNG TRÀ, 2603053481866</t>
  </si>
  <si>
    <t>Siêu thị go! LỘC NINH, 2603053481864</t>
  </si>
  <si>
    <t>00000022</t>
  </si>
  <si>
    <t>00000023</t>
  </si>
  <si>
    <t>00000024</t>
  </si>
  <si>
    <t>00000030</t>
  </si>
  <si>
    <t>00000041</t>
  </si>
  <si>
    <t>00000043</t>
  </si>
  <si>
    <t>00000046</t>
  </si>
  <si>
    <t>00000047</t>
  </si>
  <si>
    <t>00000048</t>
  </si>
  <si>
    <t>00000074</t>
  </si>
  <si>
    <t>00000076</t>
  </si>
  <si>
    <t>00000077</t>
  </si>
  <si>
    <t>00000078</t>
  </si>
  <si>
    <t>00000079</t>
  </si>
  <si>
    <t>00000080</t>
  </si>
  <si>
    <t>00000081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</si>
  <si>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</si>
  <si>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</si>
  <si>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</si>
  <si>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</si>
  <si>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</si>
  <si>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</si>
  <si>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</si>
  <si>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</si>
  <si>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</si>
  <si>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</si>
  <si>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00000096</t>
  </si>
  <si>
    <t>00000097</t>
  </si>
  <si>
    <t>00000098</t>
  </si>
  <si>
    <t>00000104</t>
  </si>
  <si>
    <t>00000105</t>
  </si>
  <si>
    <t>00000106</t>
  </si>
  <si>
    <t>00000107</t>
  </si>
  <si>
    <t>00000136</t>
  </si>
  <si>
    <t>00000137</t>
  </si>
  <si>
    <t>00000152</t>
  </si>
  <si>
    <t>00000160</t>
  </si>
  <si>
    <t>00000176</t>
  </si>
  <si>
    <t>00000177</t>
  </si>
  <si>
    <t>00000178</t>
  </si>
  <si>
    <t>00000179</t>
  </si>
  <si>
    <t>00000222</t>
  </si>
  <si>
    <t>00000223</t>
  </si>
  <si>
    <t>00000235</t>
  </si>
  <si>
    <t>00000279</t>
  </si>
  <si>
    <t>00000295</t>
  </si>
  <si>
    <t>00000296</t>
  </si>
  <si>
    <t>00000333</t>
  </si>
  <si>
    <t>00000334</t>
  </si>
  <si>
    <t>00000336</t>
  </si>
  <si>
    <t>00000337</t>
  </si>
  <si>
    <t>00000338</t>
  </si>
  <si>
    <t>00000341</t>
  </si>
  <si>
    <t>00000342</t>
  </si>
  <si>
    <t>00000343</t>
  </si>
  <si>
    <t>00000344</t>
  </si>
  <si>
    <t>00000345</t>
  </si>
  <si>
    <t>00000346</t>
  </si>
  <si>
    <t>00000347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</si>
  <si>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</si>
  <si>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</si>
  <si>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</si>
  <si>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</si>
  <si>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</si>
  <si>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</si>
  <si>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</si>
  <si>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</si>
  <si>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</si>
  <si>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</si>
  <si>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</si>
  <si>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</si>
  <si>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</si>
  <si>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</si>
  <si>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</si>
  <si>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</si>
  <si>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</si>
  <si>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</si>
  <si>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</si>
  <si>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</si>
  <si>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00000373</t>
  </si>
  <si>
    <t>00000374</t>
  </si>
  <si>
    <t>00000375</t>
  </si>
  <si>
    <t>00000381</t>
  </si>
  <si>
    <t>00000382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</si>
  <si>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</si>
  <si>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</si>
  <si>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</si>
  <si>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</si>
  <si>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</si>
  <si>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</si>
  <si>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</si>
  <si>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</si>
  <si>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</si>
  <si>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00000454</t>
  </si>
  <si>
    <t>00000494</t>
  </si>
  <si>
    <t>00000495</t>
  </si>
  <si>
    <t>00000496</t>
  </si>
  <si>
    <t>00000526</t>
  </si>
  <si>
    <t>00000530</t>
  </si>
  <si>
    <t>00000531</t>
  </si>
  <si>
    <t>00000535</t>
  </si>
  <si>
    <t>00000536</t>
  </si>
  <si>
    <t>00000537</t>
  </si>
  <si>
    <t>00000538</t>
  </si>
  <si>
    <t>00000539</t>
  </si>
  <si>
    <t>00000544</t>
  </si>
  <si>
    <t>00000576</t>
  </si>
  <si>
    <t>00000577</t>
  </si>
  <si>
    <t>00000578</t>
  </si>
  <si>
    <t>00000579</t>
  </si>
  <si>
    <t>00000581</t>
  </si>
  <si>
    <t>00000582</t>
  </si>
  <si>
    <t>00000583</t>
  </si>
  <si>
    <t>00000584</t>
  </si>
  <si>
    <t>00000628</t>
  </si>
  <si>
    <t>00000633</t>
  </si>
  <si>
    <t>00000634</t>
  </si>
  <si>
    <t>00000640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</si>
  <si>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</si>
  <si>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</si>
  <si>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</si>
  <si>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</si>
  <si>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</si>
  <si>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</si>
  <si>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</si>
  <si>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</si>
  <si>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</si>
  <si>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</si>
  <si>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</si>
  <si>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</si>
  <si>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</si>
  <si>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</si>
  <si>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</si>
  <si>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00000658</t>
  </si>
  <si>
    <t>00000659</t>
  </si>
  <si>
    <t>00000660</t>
  </si>
  <si>
    <t>00000661</t>
  </si>
  <si>
    <t>00000662</t>
  </si>
  <si>
    <t>00000663</t>
  </si>
  <si>
    <t>00000665</t>
  </si>
  <si>
    <t>00000666</t>
  </si>
  <si>
    <t>00000667</t>
  </si>
  <si>
    <t>01/01/2026</t>
  </si>
  <si>
    <t>02/01/2026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</si>
  <si>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</si>
  <si>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</si>
  <si>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</si>
  <si>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</si>
  <si>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</si>
  <si>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</si>
  <si>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</si>
  <si>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13/01/2026</t>
  </si>
  <si>
    <t>14/01/2026</t>
  </si>
  <si>
    <t>15/01/2026</t>
  </si>
  <si>
    <t>16/01/2026</t>
  </si>
  <si>
    <t>17/01/2026</t>
  </si>
  <si>
    <t>00000766</t>
  </si>
  <si>
    <t>00000767</t>
  </si>
  <si>
    <t>00000768</t>
  </si>
  <si>
    <t>00000774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</si>
  <si>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</si>
  <si>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</si>
  <si>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</si>
  <si>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</si>
  <si>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</si>
  <si>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</si>
  <si>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</si>
  <si>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</si>
  <si>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</si>
  <si>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</si>
  <si>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</si>
  <si>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</si>
  <si>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</si>
  <si>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</si>
  <si>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00000794</t>
  </si>
  <si>
    <t>00000795</t>
  </si>
  <si>
    <t>00000796</t>
  </si>
  <si>
    <t>00000797</t>
  </si>
  <si>
    <t>00000799</t>
  </si>
  <si>
    <t>00000856</t>
  </si>
  <si>
    <t>00000857</t>
  </si>
  <si>
    <t>00000858</t>
  </si>
  <si>
    <t>00000859</t>
  </si>
  <si>
    <t>00000860</t>
  </si>
  <si>
    <t>00000861</t>
  </si>
  <si>
    <t>00000863</t>
  </si>
  <si>
    <t>00000864</t>
  </si>
  <si>
    <t>00000865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</si>
  <si>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</si>
  <si>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</si>
  <si>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</si>
  <si>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</si>
  <si>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</si>
  <si>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</si>
  <si>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</si>
  <si>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</si>
  <si>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</si>
  <si>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</si>
  <si>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</si>
  <si>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</si>
  <si>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00000880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</si>
  <si>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</si>
  <si>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</si>
  <si>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</si>
  <si>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</si>
  <si>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</si>
  <si>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</si>
  <si>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</si>
  <si>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</si>
  <si>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</si>
  <si>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</si>
  <si>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</si>
  <si>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</si>
  <si>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</si>
  <si>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</si>
  <si>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</si>
  <si>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00000900</t>
  </si>
  <si>
    <t>00000902</t>
  </si>
  <si>
    <t>00000904</t>
  </si>
  <si>
    <t>00000907</t>
  </si>
  <si>
    <t>00000908</t>
  </si>
  <si>
    <t>00000909</t>
  </si>
  <si>
    <t>00000911</t>
  </si>
  <si>
    <t>00000912</t>
  </si>
  <si>
    <t>00000991</t>
  </si>
  <si>
    <t>00000998</t>
  </si>
  <si>
    <t>00000999</t>
  </si>
  <si>
    <t>00001000</t>
  </si>
  <si>
    <t>00001001</t>
  </si>
  <si>
    <t>00001002</t>
  </si>
  <si>
    <t>00001003</t>
  </si>
  <si>
    <t>00001010</t>
  </si>
  <si>
    <t>00001011</t>
  </si>
  <si>
    <t>00001082</t>
  </si>
  <si>
    <t>00001083</t>
  </si>
  <si>
    <t>00001084</t>
  </si>
  <si>
    <t>00001085</t>
  </si>
  <si>
    <t>00001086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</si>
  <si>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</si>
  <si>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</si>
  <si>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</si>
  <si>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</si>
  <si>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</si>
  <si>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</si>
  <si>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</si>
  <si>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</si>
  <si>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00001105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</si>
  <si>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</si>
  <si>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</si>
  <si>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</si>
  <si>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</si>
  <si>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</si>
  <si>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</si>
  <si>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</si>
  <si>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</si>
  <si>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</si>
  <si>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</si>
  <si>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</si>
  <si>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</si>
  <si>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</si>
  <si>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</si>
  <si>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</si>
  <si>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</si>
  <si>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</si>
  <si>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</si>
  <si>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</si>
  <si>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</si>
  <si>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</si>
  <si>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</si>
  <si>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</si>
  <si>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</si>
  <si>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</si>
  <si>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</si>
  <si>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</si>
  <si>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</si>
  <si>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</si>
  <si>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</si>
  <si>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</si>
  <si>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</si>
  <si>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</si>
  <si>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</si>
  <si>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20/01/2026</t>
  </si>
  <si>
    <t>21/01/2026</t>
  </si>
  <si>
    <t>22/01/2026</t>
  </si>
  <si>
    <t>23/01/2026</t>
  </si>
  <si>
    <t>24/01/2026</t>
  </si>
  <si>
    <t>27/01/2026</t>
  </si>
  <si>
    <t>28/01/2026</t>
  </si>
  <si>
    <t>29/01/2026</t>
  </si>
  <si>
    <t>30/01/2026</t>
  </si>
  <si>
    <t>31/01/2026</t>
  </si>
  <si>
    <t>GO! Đồng Nai, 2603053508985</t>
  </si>
  <si>
    <t>Siêu thị Hải Phòng, 2603053507117</t>
  </si>
  <si>
    <t>Siêu thị Nha Trang, 2603053542416</t>
  </si>
  <si>
    <t>GO! Đồng Nai, 2603053530725</t>
  </si>
  <si>
    <t>Siêu thị Việt Trì, 2603053539875</t>
  </si>
  <si>
    <t>Siêu thị Bình Dương, 2603053567023</t>
  </si>
  <si>
    <t>Siêu thị Huế, 2603053570533</t>
  </si>
  <si>
    <t>Siêu thị Hải Phòng, 2603053569943</t>
  </si>
  <si>
    <t>TOPS MARKET GARDEN, 2603053610781</t>
  </si>
  <si>
    <t>Siêu thị GO Thái Bình, 2603053603621</t>
  </si>
  <si>
    <t>Siêu thị GO Quảng Ngãi, 2603053585968</t>
  </si>
  <si>
    <t>Siêu thị GO Nguyễn Thị Thập, 2603053601512</t>
  </si>
  <si>
    <t>Siêu thị GO Nguyễn Thị Thập, 2603053594179</t>
  </si>
  <si>
    <t>Siêu thị Bình Dương, 2603053592897</t>
  </si>
  <si>
    <t>Siêu thị GO Cần Thơ, 2603053590104</t>
  </si>
  <si>
    <t>Siêu thị Hải Dương, 2603053591882</t>
  </si>
  <si>
    <t>Siêu thị Miền Đông, 2603053594196</t>
  </si>
  <si>
    <t>Siêu thị go! Tam Kỳ, 2603053606090</t>
  </si>
  <si>
    <t>Siêu thị GO Gò Dầu, 2603053606108</t>
  </si>
  <si>
    <t>Siêu thị go! Phú Mỹ, 2603053606069</t>
  </si>
  <si>
    <t>Siêu thị go! Nhơn Trạch, 2603053606100</t>
  </si>
  <si>
    <t>Giao hàng tại Siêu thị Go! Tân Uyên, 2603053606047</t>
  </si>
  <si>
    <t>Giao hàng tại Siêu thị go! Điện Bàn, 2603053606070</t>
  </si>
  <si>
    <t>Giao hàng tại Siêu thị go! Hòa Thành, 2603053606033</t>
  </si>
  <si>
    <t>Giao hàng tại Siêu thị go! Rạch Giá, 2603053606082</t>
  </si>
  <si>
    <t>Giao hàng tại Siêu thị go! Hồng Ngự, 2603053606060</t>
  </si>
  <si>
    <t>Giao hàng tại SIÊU THỊ go! THANH BÌNH, 2603053606091</t>
  </si>
  <si>
    <t>Giao hàng tại Siêu thị go! AN NHƠN, 2603053606109</t>
  </si>
  <si>
    <t>Giao hàng tại SIÊU THỊ go! LẤP VÒ, 2603053606071</t>
  </si>
  <si>
    <t>Siêu thị GO! Bà Rịa, 2604053628293</t>
  </si>
  <si>
    <t>Siêu thị Nam Định, 2603053591448</t>
  </si>
  <si>
    <t>Siêu thị Nam Định, 2603053609763</t>
  </si>
  <si>
    <t>Siêu thị Hải Dương, 2604053632202</t>
  </si>
  <si>
    <t>Siêu thị GO Cần Thơ, 2604053632129</t>
  </si>
  <si>
    <t>Siêu thị Bắc Giang, 2603053503025</t>
  </si>
  <si>
    <t>TOPS MARKET HỒ GƯƠM, 2604053628316</t>
  </si>
  <si>
    <t>Siêu thị Tops Market Âu Cơ, 2603053611030</t>
  </si>
  <si>
    <t>Siêu thị Ninh Bình, 2603053590476</t>
  </si>
  <si>
    <t>TOPS MARKET HỒ GƯƠM, 2604053655356</t>
  </si>
  <si>
    <t>GO! Đồng Nai, 2604053655986</t>
  </si>
  <si>
    <t>siêu thị GO An Lạc, 2604053650452</t>
  </si>
  <si>
    <t>siêu thị GO An Lạc, 2604053657454</t>
  </si>
  <si>
    <t>Siêu thị Miền Đông, 2604053650518</t>
  </si>
  <si>
    <t>Siêu thị Hải Phòng, 2604053649189</t>
  </si>
  <si>
    <t>Siêu thị Đà Nẵng, 2604053655374</t>
  </si>
  <si>
    <t>Siêu thị Gò Vấp, 2604053656192</t>
  </si>
  <si>
    <t>Siêu thị Huế, 2604053649561</t>
  </si>
  <si>
    <t>Siêu thị Huế, 2604053654840</t>
  </si>
  <si>
    <t>TOPS MARKET GARDEN, 2604053657843</t>
  </si>
  <si>
    <t>Siêu thị Vinh, 2604053642979</t>
  </si>
  <si>
    <t>Siêu thị GO Vĩnh Phúc, 2604053648008</t>
  </si>
  <si>
    <t>Siêu thị Tân Hiệp, 2604053656772</t>
  </si>
  <si>
    <t>Siêu thị Long Biên, 2604053658337</t>
  </si>
  <si>
    <t>Siêu thị Mê Linh, 2604053646351</t>
  </si>
  <si>
    <t>Siêu thị GO Cần Thơ, 2604053646412</t>
  </si>
  <si>
    <t>Siêu thị Bình Dương, 2604053649364</t>
  </si>
  <si>
    <t>Siêu thị Trường Chinh, 2604053660949</t>
  </si>
  <si>
    <t>Siêu thị Việt Trì, 2604053644215</t>
  </si>
  <si>
    <t>Siêu thị Ninh Bình, 2604053659309</t>
  </si>
  <si>
    <t>Siêu thị Đà Lạt, 2604053645390</t>
  </si>
  <si>
    <t>Siêu thị Hạ Long, 2604053646563</t>
  </si>
  <si>
    <t>Siêu thị Quy Nhơn, 2604053647475</t>
  </si>
  <si>
    <t>Siêu thị Quy Nhơn, 2604053653597</t>
  </si>
  <si>
    <t>Siêu thị Bắc Giang, 2604053662789</t>
  </si>
  <si>
    <t>Siêu thị GO Mỹ Tho, 2604053640709</t>
  </si>
  <si>
    <t>TOPS MARKET ECO GREEN, 2604053661052</t>
  </si>
  <si>
    <t>Siêu thị GO Quảng Ngãi, 2604053644111</t>
  </si>
  <si>
    <t>Siêu thị GO Quảng Ngãi, 2604053653764</t>
  </si>
  <si>
    <t>Siêu thị GO! Bến Tre, 2604053641973</t>
  </si>
  <si>
    <t>Siêu thị GO Thái Nguyên, 2604053642336</t>
  </si>
  <si>
    <t>Giao hàng tại Siêu thị GO! HÀ NAM, 2604053638822</t>
  </si>
  <si>
    <t>Giao hàng tại Siêu thị GO! HÀ NAM, 2604053660727</t>
  </si>
  <si>
    <t>Giao hàng tại Siêu thị GO! BẠC LIÊU, 2604053639318</t>
  </si>
  <si>
    <t>Siêu thị go! Tam Kỳ, 2604053646592</t>
  </si>
  <si>
    <t>Siêu thị GO Gò Dầu, 2604053645495</t>
  </si>
  <si>
    <t>Siêu thị go! Nhơn Trạch, 2604053648295</t>
  </si>
  <si>
    <t>Giao hàng tại Siêu thị Go! Tân Uyên, 2604053648443</t>
  </si>
  <si>
    <t>Giao hàng tại Siêu thị go! Điện Bàn, 2604053645497</t>
  </si>
  <si>
    <t>Giao hàng tại Siêu thị go! Hòa Thành, 2604053642068</t>
  </si>
  <si>
    <t>Giao hàng tại Siêu thị go! Hồng Ngự, 2604053639953</t>
  </si>
  <si>
    <t>SIÊU THỊ go! HƯƠNG TRÀ, 2604053637946</t>
  </si>
  <si>
    <t>Siêu thị go! LỘC NINH, 2604053638334</t>
  </si>
  <si>
    <t>Siêu thị GO Dĩ An, 2604053644682</t>
  </si>
  <si>
    <t>Siêu thị Củ Chi, 2604053665286</t>
  </si>
  <si>
    <t>Siêu thị go! Nhơn Trạch, 2604053665317</t>
  </si>
  <si>
    <t>Giao hàng tại Siêu thị Go! Tân Uyên, 2604053665313</t>
  </si>
  <si>
    <t>Giao hàng tại Siêu thị go! Điện Bàn, 2604053665297</t>
  </si>
  <si>
    <t>Siêu thị go! Phú Mỹ, 2604053665257</t>
  </si>
  <si>
    <t>Siêu thị Huế, 2604053692702</t>
  </si>
  <si>
    <t>Siêu thị GO! Bà Rịa, 2604053702159</t>
  </si>
  <si>
    <t>Siêu thị Hạ Long, 2604053699568</t>
  </si>
  <si>
    <t>Siêu thị Bắc Giang, 2604053702177</t>
  </si>
  <si>
    <t>Siêu thị Bình Dương, 2604053692651</t>
  </si>
  <si>
    <t>GO! Đồng Nai, 2604053671533</t>
  </si>
  <si>
    <t>GO! Đồng Nai, 2604053704674</t>
  </si>
  <si>
    <t>Siêu thị Thăng Long, 2604053657114</t>
  </si>
  <si>
    <t>Siêu thị Thăng Long, 2604053657232</t>
  </si>
  <si>
    <t>Siêu thị GO Gò Dầu, 2604053741658</t>
  </si>
  <si>
    <t>Siêu thị go! Phú Mỹ, 2604053741578</t>
  </si>
  <si>
    <t>Giao hàng tại Siêu thị Go! Tân Uyên, 2604053741714</t>
  </si>
  <si>
    <t>Giao hàng tại Siêu thị go! Hồng Ngự, 2604053741650</t>
  </si>
  <si>
    <t>Giao hàng tại Siêu thị go! AN NHƠN, 2604053741680</t>
  </si>
  <si>
    <t>Siêu thị GO Buôn Ma Thuột, 2604053735371</t>
  </si>
  <si>
    <t>Siêu thị GO Thái Nguyên, 2604053710705</t>
  </si>
  <si>
    <t>Siêu thị go! Nhơn Trạch, 2604053741603</t>
  </si>
  <si>
    <t>Siêu thị GO Buôn Ma Thuột, 2604053768880</t>
  </si>
  <si>
    <t>Siêu thị Tops Market Thảo Điền, 2604053765049</t>
  </si>
  <si>
    <t>GO! Đồng Nai, 2604053759206</t>
  </si>
  <si>
    <t>Siêu thị Miền Đông, 2604053757091</t>
  </si>
  <si>
    <t>Siêu thị Thăng Long, 2604053767930</t>
  </si>
  <si>
    <t>Siêu thị Đà Nẵng, 2604053753417</t>
  </si>
  <si>
    <t>Siêu thị Nam Định, 2604053757493</t>
  </si>
  <si>
    <t>Siêu thị Tân Hiệp, 2604053758264</t>
  </si>
  <si>
    <t>Siêu thị Thanh Hóa, 2604053764587</t>
  </si>
  <si>
    <t>Siêu thị Mê Linh, 2604053757278</t>
  </si>
  <si>
    <t>TOPS MARKET HỒ GƯƠM, 2604053765073</t>
  </si>
  <si>
    <t>Siêu thị Hạ Long, 2604053769480</t>
  </si>
  <si>
    <t>Siêu thị Tops Market Thảo Điền, 2604053754217</t>
  </si>
  <si>
    <t>Siêu thị Gò Vấp, 2604053755395</t>
  </si>
  <si>
    <t>Siêu thị Tops Market An Phú, 2604053755879</t>
  </si>
  <si>
    <t>Siêu thị GO Thái Bình, 2604053762372</t>
  </si>
  <si>
    <t>TOPS MARKET GARDEN, 2604053762996</t>
  </si>
  <si>
    <t>Siêu thị Vinh, 2604053752544</t>
  </si>
  <si>
    <t>Siêu thị Hải Phòng, 2604053771477</t>
  </si>
  <si>
    <t>Giao hàng tại Siêu thị GO! HƯNG YÊN, 2605053790529</t>
  </si>
  <si>
    <t>TOPS MARKET GARDEN, 2605053818393</t>
  </si>
  <si>
    <t>Siêu thị Vinh, 2605053797919</t>
  </si>
  <si>
    <t>Siêu thị GO Vĩnh Phúc, 2605053821073</t>
  </si>
  <si>
    <t>Siêu thị Nam Định, 2605053809218</t>
  </si>
  <si>
    <t>Siêu thị Tân Hiệp, 2605053819875</t>
  </si>
  <si>
    <t>Siêu thị Long Biên, 2605053811116</t>
  </si>
  <si>
    <t>Siêu thị Long Biên, 2605053821909</t>
  </si>
  <si>
    <t>Siêu thị Hải Dương, 2605053814763</t>
  </si>
  <si>
    <t>Siêu thị Thanh Hóa, 2605053809922</t>
  </si>
  <si>
    <t>Siêu thị Mê Linh, 2605053809296</t>
  </si>
  <si>
    <t>Siêu thị Việt Trì, 2605053816109</t>
  </si>
  <si>
    <t>Siêu thị Ninh Bình, 2605053816239</t>
  </si>
  <si>
    <t>Siêu thị Hạ Long, 2605053808104</t>
  </si>
  <si>
    <t>Siêu thị Bắc Giang, 2605053818060</t>
  </si>
  <si>
    <t>TOPS MARKET HỒ GƯƠM, 2605053815932</t>
  </si>
  <si>
    <t>Siêu thị GO Quảng Ngãi, 2605053806608</t>
  </si>
  <si>
    <t>Siêu thị GO Quảng Ngãi, 2605053814849</t>
  </si>
  <si>
    <t>Siêu thị GO Thái Bình, 2605053815380</t>
  </si>
  <si>
    <t>Siêu thị GO Lào Cai, 2605053818615</t>
  </si>
  <si>
    <t>Giao hàng tại Siêu thị GO! HÀ NAM, 2605053818278</t>
  </si>
  <si>
    <t>Giao hàng tại Siêu thị GO! YÊN BÁI, 2605053799704</t>
  </si>
  <si>
    <t>Giao hàng tại Siêu thị go! Điện Bàn, 2605053801279</t>
  </si>
  <si>
    <t>Siêu thị GO Gò Dầu, 2605053801994</t>
  </si>
  <si>
    <t>Giao hàng tại Siêu thị go! Hòa Thành, 2605053800669</t>
  </si>
  <si>
    <t>Giao hàng tại SIÊU THỊ go! THANH BÌNH, 2605053800002</t>
  </si>
  <si>
    <t>Giao hàng tại Siêu thị go! AN NHƠN, 2605053799709</t>
  </si>
  <si>
    <t>SIÊU THỊ go! HƯƠNG TRÀ, 2605053799321</t>
  </si>
  <si>
    <t>Giao hàng tại SIÊU THỊ go! LẤP VÒ, 2605053799368</t>
  </si>
  <si>
    <t>Giao hàng tại SIÊU THỊ go! GÒ CÔNG TÂY, 2605053798832</t>
  </si>
  <si>
    <t>Siêu thị Hải Phòng, 2605053811101</t>
  </si>
  <si>
    <t>Siêu thị Thăng Long, 2605053820898</t>
  </si>
  <si>
    <t>GO! Đồng Nai, 2605053813200</t>
  </si>
  <si>
    <t>Siêu thị Đà Nẵng, 2605053815466</t>
  </si>
  <si>
    <t>Siêu thị Bắc Giang, 2605053822201</t>
  </si>
  <si>
    <t>00001305</t>
  </si>
  <si>
    <t>00001306</t>
  </si>
  <si>
    <t>00001317</t>
  </si>
  <si>
    <t>00001318</t>
  </si>
  <si>
    <t>00001319</t>
  </si>
  <si>
    <t>00001321</t>
  </si>
  <si>
    <t>00001322</t>
  </si>
  <si>
    <t>00001323</t>
  </si>
  <si>
    <t>00001326</t>
  </si>
  <si>
    <t>00001327</t>
  </si>
  <si>
    <t>00001328</t>
  </si>
  <si>
    <t>00001329</t>
  </si>
  <si>
    <t>00001330</t>
  </si>
  <si>
    <t>00001331</t>
  </si>
  <si>
    <t>00001339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</si>
  <si>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</si>
  <si>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</si>
  <si>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</si>
  <si>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</si>
  <si>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</si>
  <si>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</si>
  <si>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</si>
  <si>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</si>
  <si>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00001428</t>
  </si>
  <si>
    <t>00001477</t>
  </si>
  <si>
    <t>03/02/2026</t>
  </si>
  <si>
    <t>04/02/2026</t>
  </si>
  <si>
    <t>05/02/2026</t>
  </si>
  <si>
    <t>07/02/2026</t>
  </si>
  <si>
    <t>08/02/2026</t>
  </si>
  <si>
    <t>09/02/2026</t>
  </si>
  <si>
    <t>Giao hàng tại Siêu thị Go! Tân Uyên, 2605053825443</t>
  </si>
  <si>
    <t>Giao hàng tại Siêu thị go! Điện Bàn, 2605053825401</t>
  </si>
  <si>
    <t>Giao hàng tại Siêu thị go! Hòa Thành, 2605053825403</t>
  </si>
  <si>
    <t>Giao hàng tại Siêu thị go! Hồng Ngự, 2605053825436</t>
  </si>
  <si>
    <t>Siêu thị go! Phú Mỹ, 2605053825395</t>
  </si>
  <si>
    <t>Siêu thị GO Gò Dầu, 2605053825406</t>
  </si>
  <si>
    <t>Siêu thị Hải Phòng, 2605053829523</t>
  </si>
  <si>
    <t>Siêu thị Bắc Giang, 2605053828163</t>
  </si>
  <si>
    <t>TOPS MARKET LE TRONG TAN, 2605053821871</t>
  </si>
  <si>
    <t>TOPS MARKET ECO GREEN, 2605053828229</t>
  </si>
  <si>
    <t>GO! Đồng Nai, 2605053851937</t>
  </si>
  <si>
    <t>Siêu thị Thăng Long, 2605053864221</t>
  </si>
  <si>
    <t>Siêu thị Bắc Giang, 2605053866125</t>
  </si>
  <si>
    <t>Siêu thị Tops Market Âu Cơ, 2605053832649</t>
  </si>
  <si>
    <t>Siêu thị GO Buôn Ma Thuột, 2605053869116</t>
  </si>
  <si>
    <t>Siêu thị Vinh, 2605053798020</t>
  </si>
  <si>
    <t>Siêu thị Thăng Long, 2605053864249</t>
  </si>
  <si>
    <t>Siêu thị Thăng Long, 2605053820912</t>
  </si>
  <si>
    <t>Giao hàng tại Siêu thị go! AN NHƠN, 2605053904195</t>
  </si>
  <si>
    <t>Giao hàng tại SIÊU THỊ go! GÒ CÔNG TÂY, 2605053904202</t>
  </si>
  <si>
    <t>Siêu thị Nam Định, 2605053900510</t>
  </si>
  <si>
    <t>Siêu thị Nha Trang, 2605053869914</t>
  </si>
  <si>
    <t>Siêu thị Hạ Long, 2605053872341</t>
  </si>
  <si>
    <t>siêu thị GO An Lạc, 2605053870901</t>
  </si>
  <si>
    <t>Siêu thị Hạ Long, 2605053872418</t>
  </si>
  <si>
    <t>Siêu thị Bình Dương, 2605053889745</t>
  </si>
  <si>
    <t>Siêu thị go! Phú Mỹ, 2605053904275</t>
  </si>
  <si>
    <t>Siêu thị go! Nhơn Trạch, 2605053904256</t>
  </si>
  <si>
    <t>Giao hàng tại Siêu thị Go! Tân Uyên, 2605053904214</t>
  </si>
  <si>
    <t>Siêu thị GO! Bà Rịa, 2605053894973</t>
  </si>
  <si>
    <t>TOPS MARKET HỒ GƯƠM, 2605053901718</t>
  </si>
  <si>
    <t>Siêu thị Thăng Long, 2605053929168</t>
  </si>
  <si>
    <t>Siêu thị Hải Dương, 2605053918482</t>
  </si>
  <si>
    <t>Siêu thị GO Vĩnh Phúc, 2605053917776</t>
  </si>
  <si>
    <t>Siêu thị Long Biên, 2605053919203</t>
  </si>
  <si>
    <t>Siêu thị Hạ Long, 2605053932985</t>
  </si>
  <si>
    <t>Siêu thị GO Thái Bình, 2605053927334</t>
  </si>
  <si>
    <t>Siêu thị GO Lào Cai, 2605053927975</t>
  </si>
  <si>
    <t>Siêu thị Vinh, 2605053797924</t>
  </si>
  <si>
    <t>Siêu thị Mê Linh, 2606053956994</t>
  </si>
  <si>
    <t>Siêu thị Bắc Giang, 2606053960570</t>
  </si>
  <si>
    <t>Siêu thị Bắc Giang, 2606053987755</t>
  </si>
  <si>
    <t>Siêu thị Bắc Giang, 2606053989929</t>
  </si>
  <si>
    <t>Siêu thị Long Biên, 2606053986582</t>
  </si>
  <si>
    <t>Siêu thị Hải Dương, 2606053985375</t>
  </si>
  <si>
    <t>00001518</t>
  </si>
  <si>
    <t>Siêu thị Long Biên, 2606054086722</t>
  </si>
  <si>
    <t>00001568</t>
  </si>
  <si>
    <t>00001569</t>
  </si>
  <si>
    <t>00001570</t>
  </si>
  <si>
    <t>00001573</t>
  </si>
  <si>
    <t>00001574</t>
  </si>
  <si>
    <t>00001575</t>
  </si>
  <si>
    <t>00001577</t>
  </si>
  <si>
    <t>00001578</t>
  </si>
  <si>
    <t>00001579</t>
  </si>
  <si>
    <t>00001580</t>
  </si>
  <si>
    <t>00001581</t>
  </si>
  <si>
    <t>00001582</t>
  </si>
  <si>
    <t>24/02/2026</t>
  </si>
  <si>
    <t>GO! Đồng Nai, 2608054193962</t>
  </si>
  <si>
    <t>Siêu thị GO Thái Nguyên, 2608054200470</t>
  </si>
  <si>
    <t>Siêu thị GO Vĩnh Phúc, 2608054200530</t>
  </si>
  <si>
    <t>siêu thị GO An Lạc, 2608054226554</t>
  </si>
  <si>
    <t>Siêu thị Hải Phòng, 2608054236707</t>
  </si>
  <si>
    <t>Siêu thị Tân Hiệp, 2608054233563</t>
  </si>
  <si>
    <t>Siêu thị Mê Linh, 2608054181707</t>
  </si>
  <si>
    <t>Siêu thị Tops Market Âu Cơ, 2608054204263</t>
  </si>
  <si>
    <t>Giao hàng tại Siêu thị GO! Ninh Thuận, 2608054203218</t>
  </si>
  <si>
    <t>Siêu thị Bắc Giang, 2607054134127</t>
  </si>
  <si>
    <t>Siêu thị Thanh Hóa, 2607054158828</t>
  </si>
  <si>
    <t>Siêu thị Go! Phú Thạnh, 2608054230966</t>
  </si>
  <si>
    <t>Siêu thị GO! Bà Rịa, 2608054234775</t>
  </si>
  <si>
    <t>Siêu thị TOPS MARKET MOONLIGHT, 2608054229826</t>
  </si>
  <si>
    <t>GO! Đồng Nai, 2608054261747</t>
  </si>
  <si>
    <t>Siêu thị Hải Phòng, 2608054241607</t>
  </si>
  <si>
    <t>Siêu thị Bắc Giang, 2608054272716</t>
  </si>
  <si>
    <t>Siêu thị go! Phú Mỹ, 2608054249912</t>
  </si>
  <si>
    <t>Siêu thị go! Tam Kỳ, 2608054255345</t>
  </si>
  <si>
    <t>Siêu thị go! Nhơn Trạch, 2608054248493</t>
  </si>
  <si>
    <t>Giao hàng tại Siêu thị Go! Tân Uyên, 2608054251599</t>
  </si>
  <si>
    <t>Giao hàng tại SIÊU THỊ go! THANH BÌNH, 2608054244486</t>
  </si>
  <si>
    <t>Giao hàng tại Siêu thị go! AN NHƠN, 2608054244309</t>
  </si>
  <si>
    <t>Siêu thị go! LỘC NINH, 2608054243295</t>
  </si>
  <si>
    <t>Siêu thị Miền Đông, 2608054263988</t>
  </si>
  <si>
    <t>Giao hàng tại Siêu thị GO! YÊN BÁI, 2608054267322</t>
  </si>
  <si>
    <t>Siêu thị TOPS MARKET MOONLIGHT, 2608054264337</t>
  </si>
  <si>
    <t>Siêu thị Quy Nhơn, 2608054267109</t>
  </si>
  <si>
    <t>Siêu thị Ninh Bình, 2608054273958</t>
  </si>
  <si>
    <t>Siêu thị GO Cần Thơ, 2608054264531</t>
  </si>
  <si>
    <t>Siêu thị Mê Linh, 2608054267444</t>
  </si>
  <si>
    <t>Siêu thị Nam Định, 2608054272804</t>
  </si>
  <si>
    <t>Siêu thị Go! Phú Thạnh, 2608054268310</t>
  </si>
  <si>
    <t>GO! Đồng Nai, 2608054261748</t>
  </si>
  <si>
    <t>Siêu thị Hải Dương, 2606054063587</t>
  </si>
  <si>
    <t>Siêu thị Thanh Hóa, 2608054295955</t>
  </si>
  <si>
    <t>TOPS MARKET ECO GREEN, 2608054274174</t>
  </si>
  <si>
    <t>Siêu thị GO Buôn Ma Thuột, 2608054305229</t>
  </si>
  <si>
    <t>Siêu thị GO Lào Cai, 2608054274666</t>
  </si>
  <si>
    <t>Giao hàng tại Siêu thị GO! HÀ NAM, 2608054276421</t>
  </si>
  <si>
    <t>Giao hàng tại Siêu thị GO! BẠC LIÊU, 2608054303296</t>
  </si>
  <si>
    <t>Giao hàng tại Siêu thị GO! HƯNG YÊN, 2608054276496</t>
  </si>
  <si>
    <t>Siêu thị GO Mỹ Tho, 2608054275922</t>
  </si>
  <si>
    <t>TOPS MARKET LE TRONG TAN, 2608054302176</t>
  </si>
  <si>
    <t>Siêu thị Đà Nẵng, 2608054298742</t>
  </si>
  <si>
    <t>Siêu thị Long Biên, 2608054294726</t>
  </si>
  <si>
    <t>Siêu thị Mê Linh, 2608054276216</t>
  </si>
  <si>
    <t>Siêu thị Trường Chinh, 2608054295417</t>
  </si>
  <si>
    <t>Siêu thị Đà Lạt, 2608054296937</t>
  </si>
  <si>
    <t>Siêu thị Nha Trang, 2608054303869</t>
  </si>
  <si>
    <t>Siêu thị Bắc Giang, 2608054304789</t>
  </si>
  <si>
    <t>TOPS MARKET HỒ GƯƠM, 2608054298161</t>
  </si>
  <si>
    <t>Siêu thị GO Nguyễn Thị Thập, 2608054275917</t>
  </si>
  <si>
    <t>Siêu thị Tops Market Thảo Điền, 2608054294533</t>
  </si>
  <si>
    <t>Giao hàng tại Siêu thị GO! HÀ NAM, 2608054305543</t>
  </si>
  <si>
    <t>Siêu thị Nha Trang, 2608054289286</t>
  </si>
  <si>
    <t>Siêu thị GO Vĩnh Phúc, 2608054289369</t>
  </si>
  <si>
    <t>Siêu thị Tops Market An Phú, 2608054288351</t>
  </si>
  <si>
    <t>Siêu thị Quy Nhơn, 2608054289165</t>
  </si>
  <si>
    <t>Giao hàng tại Siêu thị GO! Ninh Thuận, 2608054306916</t>
  </si>
  <si>
    <t>TOPS MARKET HỒ GƯƠM, 2609054328133</t>
  </si>
  <si>
    <t>Siêu thị GO Mỹ Tho, 2609054325434</t>
  </si>
  <si>
    <t>Giao hàng tại Siêu thị GO! HƯNG YÊN, 2609054326955</t>
  </si>
  <si>
    <t>Siêu thị GO Quảng Ngãi, 2608054307340</t>
  </si>
  <si>
    <t>Siêu thị go! Tam Kỳ, 2608054307016</t>
  </si>
  <si>
    <t>Siêu thị GO Gò Dầu, 2608054307025</t>
  </si>
  <si>
    <t>Siêu thị go! Phú Mỹ, 2608054307004</t>
  </si>
  <si>
    <t>Siêu thị go! Nhơn Trạch, 2608054307006</t>
  </si>
  <si>
    <t>Giao hàng tại Siêu thị go! Điện Bàn, 2608054307026</t>
  </si>
  <si>
    <t>Giao hàng tại Siêu thị Go! Tân Uyên, 2608054307005</t>
  </si>
  <si>
    <t>Giao hàng tại Siêu thị go! Hòa Thành, 2608054307007</t>
  </si>
  <si>
    <t>Giao hàng tại Siêu thị go! Rạch Giá, 2608054307027</t>
  </si>
  <si>
    <t>Giao hàng tại Siêu thị go! Hồng Ngự, 2608054307032</t>
  </si>
  <si>
    <t>Giao hàng tại SIÊU THỊ go! THANH BÌNH, 2608054307021</t>
  </si>
  <si>
    <t>Giao hàng tại Siêu thị go! AN NHƠN, 2608054307022</t>
  </si>
  <si>
    <t>SIÊU THỊ go! HƯƠNG TRÀ, 2608054307010</t>
  </si>
  <si>
    <t>Giao hàng tại SIÊU THỊ go! LẤP VÒ, 2608054307028</t>
  </si>
  <si>
    <t>Siêu thị go! LỘC NINH, 2608054307017</t>
  </si>
  <si>
    <t>Giao hàng tại SIÊU THỊ go! GÒ CÔNG TÂY, 2608054307023</t>
  </si>
  <si>
    <t>Siêu thị Củ Chi, 2608054307029</t>
  </si>
  <si>
    <t>siêu thị GO An Lạc, 2608054292233</t>
  </si>
  <si>
    <t>Siêu thị Miền Đông, 2608054292276</t>
  </si>
  <si>
    <t>Siêu thị Thăng Long, 2608054292499</t>
  </si>
  <si>
    <t>Siêu thị Hải Phòng, 2608054291502</t>
  </si>
  <si>
    <t>Siêu thị Đà Nẵng, 2608054291089</t>
  </si>
  <si>
    <t>TOPS MARKET GARDEN, 2608054306280</t>
  </si>
  <si>
    <t>Siêu thị Gò Vấp, 2608054291520</t>
  </si>
  <si>
    <t>Siêu thị Thanh Hóa, 2608054289928</t>
  </si>
  <si>
    <t>Siêu thị Mê Linh, 2608054286370</t>
  </si>
  <si>
    <t>Siêu thị Tân Hiệp, 2608054291738</t>
  </si>
  <si>
    <t>Siêu thị Huế, 2608054291266</t>
  </si>
  <si>
    <t>Siêu thị Ninh Bình, 2608054302221</t>
  </si>
  <si>
    <t>Siêu thị GO Dĩ An, 2608054290869</t>
  </si>
  <si>
    <t>Siêu thị GO Cần Thơ, 2608054286920</t>
  </si>
  <si>
    <t>Siêu thị Bình Dương, 2608054290773</t>
  </si>
  <si>
    <t>Siêu thị GO! Bến Tre, 2608054284538</t>
  </si>
  <si>
    <t>Siêu thị GO Quảng Ngãi, 2608054286129</t>
  </si>
  <si>
    <t>Siêu thị GO Trà Vinh, 2608054285379</t>
  </si>
  <si>
    <t>Siêu thị Việt Trì, 2608054304141</t>
  </si>
  <si>
    <t>Siêu thị Nam Định, 2608054299058</t>
  </si>
  <si>
    <t>Siêu thị Đà Lạt, 2608054291455</t>
  </si>
  <si>
    <t>Giao hàng tại Siêu thị GO! HÀ NAM, 2608054280454</t>
  </si>
  <si>
    <t>Siêu thị GO Thái Bình, 2608054298113</t>
  </si>
  <si>
    <t>Siêu thị Tops Market Âu Cơ, 2608054286029</t>
  </si>
  <si>
    <t>Siêu thị Tops Market Thảo Điền, 2608054290925</t>
  </si>
  <si>
    <t>Siêu thị Hạ Long, 2608054288982</t>
  </si>
  <si>
    <t>Siêu thị GO! Bà Rịa, 2608054287323</t>
  </si>
  <si>
    <t>TOPS MARKET PARKCITY , 2609054359290</t>
  </si>
  <si>
    <t>Giao hàng tại Siêu thị go! Điện Bàn, 2609054339261</t>
  </si>
  <si>
    <t>Siêu thị go! Tam Kỳ, 2609054340225</t>
  </si>
  <si>
    <t>Giao hàng tại Siêu thị Go! Tân Uyên, 2609054339020</t>
  </si>
  <si>
    <t>Giao hàng tại Siêu thị go! Hòa Thành, 2609054338481</t>
  </si>
  <si>
    <t>Giao hàng tại SIÊU THỊ go! THANH BÌNH, 2609054337361</t>
  </si>
  <si>
    <t>Giao hàng tại Siêu thị go! Hồng Ngự, 2609054337686</t>
  </si>
  <si>
    <t>SIÊU THỊ go! HƯƠNG TRÀ, 2609054336697</t>
  </si>
  <si>
    <t>Giao hàng tại SIÊU THỊ go! GÒ CÔNG TÂY, 2609054336416</t>
  </si>
  <si>
    <t>Giao hàng tại Siêu thị go! AN NHƠN, 2609054337493</t>
  </si>
  <si>
    <t>Siêu thị GO Thái Nguyên, 2609054356717</t>
  </si>
  <si>
    <t>Siêu thị GO Thái Bình, 2609054359273</t>
  </si>
  <si>
    <t>Siêu thị GO Trà Vinh, 2609054343308</t>
  </si>
  <si>
    <t>Siêu thị GO Buôn Ma Thuột, 2609054359495</t>
  </si>
  <si>
    <t>Siêu thị GO! Bến Tre, 2609054342645</t>
  </si>
  <si>
    <t>Siêu thị go! Nhơn Trạch, 2609054339194</t>
  </si>
  <si>
    <t>Siêu thị Nha Trang, 2609054345437</t>
  </si>
  <si>
    <t>Siêu thị Bắc Giang, 2609054357460</t>
  </si>
  <si>
    <t>Siêu thị Quy Nhơn, 2609054352854</t>
  </si>
  <si>
    <t>Siêu thị Hạ Long, 2609054357195</t>
  </si>
  <si>
    <t>Siêu thị Đà Lạt, 2609054348545</t>
  </si>
  <si>
    <t>Siêu thị Ninh Bình, 2609054345469</t>
  </si>
  <si>
    <t>Siêu thị Việt Trì, 2609054355171</t>
  </si>
  <si>
    <t>Siêu thị GO Dĩ An, 2609054348201</t>
  </si>
  <si>
    <t>Siêu thị Trường Chinh, 2609054357994</t>
  </si>
  <si>
    <t>Siêu thị Bình Dương, 2609054347910</t>
  </si>
  <si>
    <t>Siêu thị Thanh Hóa, 2609054357110</t>
  </si>
  <si>
    <t>TOPS MARKET ECO GREEN, 2609054359685</t>
  </si>
  <si>
    <t>Siêu thị GO Nguyễn Thị Thập, 2609054348220</t>
  </si>
  <si>
    <t>Siêu thị GO Quảng Ngãi, 2609054342699</t>
  </si>
  <si>
    <t>Siêu thị Tops Market Âu Cơ, 2609054355131</t>
  </si>
  <si>
    <t>Siêu thị Tân Hiệp, 2609054349507</t>
  </si>
  <si>
    <t>Siêu thị Nam Định, 2609054355214</t>
  </si>
  <si>
    <t>TOPS MARKET GARDEN, 2609054358673</t>
  </si>
  <si>
    <t>Siêu thị Go! Phú Thạnh, 2609054348380</t>
  </si>
  <si>
    <t>Siêu thị Gò Vấp, 2609054359508</t>
  </si>
  <si>
    <t>Siêu thị Huế, 2609054347835</t>
  </si>
  <si>
    <t>Siêu thị Đà Nẵng, 2609054348236</t>
  </si>
  <si>
    <t>Siêu thị Hải Phòng, 2609054347552</t>
  </si>
  <si>
    <t>Siêu thị Thăng Long, 2609054358005</t>
  </si>
  <si>
    <t>Siêu thị Miền Đông, 2609054349277</t>
  </si>
  <si>
    <t>GO! Đồng Nai, 2609054349559</t>
  </si>
  <si>
    <t>Siêu thị Long Biên, 2609054346932</t>
  </si>
  <si>
    <t>siêu thị GO An Lạc, 2609054349073</t>
  </si>
  <si>
    <t>Siêu thị Vinh, 2609054346816</t>
  </si>
  <si>
    <t>Siêu thị GO Vĩnh Phúc, 2609054346198</t>
  </si>
  <si>
    <t>TOPS MARKET PARKCITY , 2608054299999</t>
  </si>
  <si>
    <t>Giao hàng tại Siêu thị GO! Ninh Thuận, 2609054357964</t>
  </si>
  <si>
    <t>Siêu thị GO Vĩnh Phúc, 2608054276416</t>
  </si>
  <si>
    <t>Siêu thị Hải Dương, 2609054328577</t>
  </si>
  <si>
    <t>GO! Đồng Nai, 2609054389657</t>
  </si>
  <si>
    <t>TOPS MARKET HỒ GƯƠM, 2609054400083</t>
  </si>
  <si>
    <t>Siêu thị GO Thái Nguyên, 2609054389641</t>
  </si>
  <si>
    <t>Siêu thị GO! Bà Rịa, 2609054398110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</si>
  <si>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</si>
  <si>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</si>
  <si>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</si>
  <si>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</si>
  <si>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</si>
  <si>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</si>
  <si>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</si>
  <si>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00001641</t>
  </si>
  <si>
    <t>00001642</t>
  </si>
  <si>
    <t>00001643</t>
  </si>
  <si>
    <t>00001644</t>
  </si>
  <si>
    <t>00001645</t>
  </si>
  <si>
    <t>00001646</t>
  </si>
  <si>
    <t>00001647</t>
  </si>
  <si>
    <t>00001648</t>
  </si>
  <si>
    <t>00001649</t>
  </si>
  <si>
    <t>00001650</t>
  </si>
  <si>
    <t>00001652</t>
  </si>
  <si>
    <t>00001653</t>
  </si>
  <si>
    <t>00001654</t>
  </si>
  <si>
    <t>00001656</t>
  </si>
  <si>
    <t>00001657</t>
  </si>
  <si>
    <t>00001658</t>
  </si>
  <si>
    <t>00001664</t>
  </si>
  <si>
    <t>00001665</t>
  </si>
  <si>
    <t>00001666</t>
  </si>
  <si>
    <t>00001667</t>
  </si>
  <si>
    <t>00001668</t>
  </si>
  <si>
    <t>00001669</t>
  </si>
  <si>
    <t>00001670</t>
  </si>
  <si>
    <t>00001671</t>
  </si>
  <si>
    <t>00001672</t>
  </si>
  <si>
    <t>00001673</t>
  </si>
  <si>
    <t>00001676</t>
  </si>
  <si>
    <t>00001677</t>
  </si>
  <si>
    <t>00001678</t>
  </si>
  <si>
    <t>00001680</t>
  </si>
  <si>
    <t>00001681</t>
  </si>
  <si>
    <t>00001682</t>
  </si>
  <si>
    <t>00001684</t>
  </si>
  <si>
    <t>00001685</t>
  </si>
  <si>
    <t>00001686</t>
  </si>
  <si>
    <t>00001687</t>
  </si>
  <si>
    <t>00001688</t>
  </si>
  <si>
    <t>00001689</t>
  </si>
  <si>
    <t>00001690</t>
  </si>
  <si>
    <t>00001691</t>
  </si>
  <si>
    <t>00001692</t>
  </si>
  <si>
    <t>00001693</t>
  </si>
  <si>
    <t>00001694</t>
  </si>
  <si>
    <t>00001695</t>
  </si>
  <si>
    <t>00001696</t>
  </si>
  <si>
    <t>00001698</t>
  </si>
  <si>
    <t>00001699</t>
  </si>
  <si>
    <t>00001700</t>
  </si>
  <si>
    <t>00001701</t>
  </si>
  <si>
    <t>00001702</t>
  </si>
  <si>
    <t>00001703</t>
  </si>
  <si>
    <t>00001704</t>
  </si>
  <si>
    <t>00001705</t>
  </si>
  <si>
    <t>00001706</t>
  </si>
  <si>
    <t>00001707</t>
  </si>
  <si>
    <t>00001708</t>
  </si>
  <si>
    <t>00001759</t>
  </si>
  <si>
    <t>00001782</t>
  </si>
  <si>
    <t>00001797</t>
  </si>
  <si>
    <t>00001803</t>
  </si>
  <si>
    <t>00001805</t>
  </si>
  <si>
    <t>00001806</t>
  </si>
  <si>
    <t>00001815</t>
  </si>
  <si>
    <t>00001867</t>
  </si>
  <si>
    <t>00001868</t>
  </si>
  <si>
    <t>00001869</t>
  </si>
  <si>
    <t>00001891</t>
  </si>
  <si>
    <t>00001905</t>
  </si>
  <si>
    <t>00001906</t>
  </si>
  <si>
    <t>00001913</t>
  </si>
  <si>
    <t>00001914</t>
  </si>
  <si>
    <t>00001915</t>
  </si>
  <si>
    <t>00001920</t>
  </si>
  <si>
    <t>00001921</t>
  </si>
  <si>
    <t>00001923</t>
  </si>
  <si>
    <t>00001930</t>
  </si>
  <si>
    <t>00001931</t>
  </si>
  <si>
    <t>00001934</t>
  </si>
  <si>
    <t>00001935</t>
  </si>
  <si>
    <t>00001936</t>
  </si>
  <si>
    <t>00001937</t>
  </si>
  <si>
    <t>00001938</t>
  </si>
  <si>
    <t>00001939</t>
  </si>
  <si>
    <t>00001940</t>
  </si>
  <si>
    <t>00001941</t>
  </si>
  <si>
    <t>00001942</t>
  </si>
  <si>
    <t>00001943</t>
  </si>
  <si>
    <t>00001944</t>
  </si>
  <si>
    <t>00001945</t>
  </si>
  <si>
    <t>00001946</t>
  </si>
  <si>
    <t>00001947</t>
  </si>
  <si>
    <t>00001948</t>
  </si>
  <si>
    <t>00002001</t>
  </si>
  <si>
    <t>00002058</t>
  </si>
  <si>
    <t>00002059</t>
  </si>
  <si>
    <t>00002060</t>
  </si>
  <si>
    <t>00002061</t>
  </si>
  <si>
    <t>00002062</t>
  </si>
  <si>
    <t>00002063</t>
  </si>
  <si>
    <t>00002064</t>
  </si>
  <si>
    <t>00002065</t>
  </si>
  <si>
    <t>00002066</t>
  </si>
  <si>
    <t>00002127</t>
  </si>
  <si>
    <t>00002128</t>
  </si>
  <si>
    <t>00002129</t>
  </si>
  <si>
    <t>00002130</t>
  </si>
  <si>
    <t>00002131</t>
  </si>
  <si>
    <t>00002132</t>
  </si>
  <si>
    <t>00002133</t>
  </si>
  <si>
    <t>00002134</t>
  </si>
  <si>
    <t>00002135</t>
  </si>
  <si>
    <t>00002136</t>
  </si>
  <si>
    <t>00002137</t>
  </si>
  <si>
    <t>00002138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</si>
  <si>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</si>
  <si>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</si>
  <si>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</si>
  <si>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</si>
  <si>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</si>
  <si>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</si>
  <si>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</si>
  <si>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</si>
  <si>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</si>
  <si>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00002150</t>
  </si>
  <si>
    <t>00002151</t>
  </si>
  <si>
    <t>00002152</t>
  </si>
  <si>
    <t>00002153</t>
  </si>
  <si>
    <t>00002154</t>
  </si>
  <si>
    <t>00002155</t>
  </si>
  <si>
    <t>00002156</t>
  </si>
  <si>
    <t>00002157</t>
  </si>
  <si>
    <t>00002158</t>
  </si>
  <si>
    <t>00002188</t>
  </si>
  <si>
    <t>00002192</t>
  </si>
  <si>
    <t>00002228</t>
  </si>
  <si>
    <t>00002229</t>
  </si>
  <si>
    <t>00002230</t>
  </si>
  <si>
    <t>00002231</t>
  </si>
  <si>
    <t>00002232</t>
  </si>
  <si>
    <t>00002233</t>
  </si>
  <si>
    <t>00002234</t>
  </si>
  <si>
    <t>00002287</t>
  </si>
  <si>
    <t>00002288</t>
  </si>
  <si>
    <t>00002289</t>
  </si>
  <si>
    <t>00002290</t>
  </si>
  <si>
    <t>00002291</t>
  </si>
  <si>
    <t>00002292</t>
  </si>
  <si>
    <t>00002293</t>
  </si>
  <si>
    <t>00002294</t>
  </si>
  <si>
    <t>00002295</t>
  </si>
  <si>
    <t>00002296</t>
  </si>
  <si>
    <t>00002297</t>
  </si>
  <si>
    <t>00002299</t>
  </si>
  <si>
    <t>00002300</t>
  </si>
  <si>
    <t>00002301</t>
  </si>
  <si>
    <t>00002303</t>
  </si>
  <si>
    <t>00002305</t>
  </si>
  <si>
    <t>00002306</t>
  </si>
  <si>
    <t>00002307</t>
  </si>
  <si>
    <t>00002308</t>
  </si>
  <si>
    <t>00002309</t>
  </si>
  <si>
    <t>04/03/2026</t>
  </si>
  <si>
    <t>05/03/2026</t>
  </si>
  <si>
    <t>06/03/2026</t>
  </si>
  <si>
    <t>07/03/2026</t>
  </si>
  <si>
    <t>12/03/2026</t>
  </si>
  <si>
    <t>13/03/2026</t>
  </si>
  <si>
    <t>17/03/2026</t>
  </si>
  <si>
    <t>19/03/2026</t>
  </si>
  <si>
    <t>20/03/2026</t>
  </si>
  <si>
    <t>Siêu thị GO Thái Nguyên, 2609054451118</t>
  </si>
  <si>
    <t>Siêu thị Bắc Giang, 2609054425167</t>
  </si>
  <si>
    <t>Giao hàng tại Siêu thị go! Điện Bàn, 2609054405285</t>
  </si>
  <si>
    <t>Siêu thị go! Tam Kỳ, 2609054406362</t>
  </si>
  <si>
    <t>Giao hàng tại Siêu thị go! Hòa Thành, 2609054404676</t>
  </si>
  <si>
    <t>Siêu thị Hải Dương, 2609054455053</t>
  </si>
  <si>
    <t>Siêu thị Go! Phú Thạnh, 2609054454266</t>
  </si>
  <si>
    <t>Siêu thị Mê Linh, 2609054427417</t>
  </si>
  <si>
    <t>Siêu thị GO Buôn Ma Thuột, 2609054426601</t>
  </si>
  <si>
    <t>siêu thị GO An Lạc, 2609054427269</t>
  </si>
  <si>
    <t>Siêu thị Nam Định, 2609054428175</t>
  </si>
  <si>
    <t>Siêu thị Tops Market Âu Cơ, 2610054474474</t>
  </si>
  <si>
    <t>Siêu thị Ninh Bình, 2610054472293</t>
  </si>
  <si>
    <t>Siêu thị Ninh Bình, 2609054440484</t>
  </si>
  <si>
    <t>Siêu thị Việt Trì, 2609054450526</t>
  </si>
  <si>
    <t>Siêu thị GO Dĩ An, 2609054442681</t>
  </si>
  <si>
    <t>Siêu thị Nam Định, 2609054441965</t>
  </si>
  <si>
    <t>Siêu thị Trường Chinh, 2609054442720</t>
  </si>
  <si>
    <t>Siêu thị Vinh, 2609054441968</t>
  </si>
  <si>
    <t>Siêu thị GO Vĩnh Phúc, 2609054442593</t>
  </si>
  <si>
    <t>Siêu thị Đà Nẵng, 2609054442472</t>
  </si>
  <si>
    <t>Siêu thị Huế, 2609054442486</t>
  </si>
  <si>
    <t>Siêu thị Miền Đông, 2609054443840</t>
  </si>
  <si>
    <t>Siêu thị Nha Trang, 2609054441186</t>
  </si>
  <si>
    <t>Siêu thị Thăng Long, 2609054451587</t>
  </si>
  <si>
    <t>Siêu thị Long Biên, 2609054442598</t>
  </si>
  <si>
    <t>siêu thị GO An Lạc, 2609054444015</t>
  </si>
  <si>
    <t>Siêu thị Hạ Long, 2609054441575</t>
  </si>
  <si>
    <t>TOPS MARKET ECO GREEN, 2609054451346</t>
  </si>
  <si>
    <t>Siêu thị GO Mỹ Tho, 2609054436662</t>
  </si>
  <si>
    <t>Siêu thị Nam Định, 2610054491406</t>
  </si>
  <si>
    <t>Siêu thị Ninh Bình, 2609054454714</t>
  </si>
  <si>
    <t>Giao hàng tại SIÊU THỊ go! LẤP VÒ, 2610054482927</t>
  </si>
  <si>
    <t>SIÊU THỊ go! HƯƠNG TRÀ, 2610054482824</t>
  </si>
  <si>
    <t>Giao hàng tại Siêu thị go! Rạch Giá, 2610054483226</t>
  </si>
  <si>
    <t>TOPS MARKET ECO GREEN, 2610054501712</t>
  </si>
  <si>
    <t>Siêu thị GO Thái Nguyên, 2610054497323</t>
  </si>
  <si>
    <t>Siêu thị GO Thái Bình, 2610054503352</t>
  </si>
  <si>
    <t>Siêu thị GO Lào Cai, 2610054503621</t>
  </si>
  <si>
    <t>Siêu thị GO Lào Cai, 2610054485787</t>
  </si>
  <si>
    <t>Siêu thị go! Tam Kỳ, 2610054485141</t>
  </si>
  <si>
    <t>Siêu thị go! Nhơn Trạch, 2610054484620</t>
  </si>
  <si>
    <t>Giao hàng tại Siêu thị Go! Tân Uyên, 2610054484555</t>
  </si>
  <si>
    <t>Giao hàng tại Siêu thị go! Điện Bàn, 2610054484039</t>
  </si>
  <si>
    <t>Siêu thị Tân Hiệp, 2610054499920</t>
  </si>
  <si>
    <t>Siêu thị Long Biên, 2610054492134</t>
  </si>
  <si>
    <t>Siêu thị Gò Vấp, 2610054497972</t>
  </si>
  <si>
    <t>Siêu thị Đà Nẵng, 2610054497799</t>
  </si>
  <si>
    <t>TOPS MARKET GARDEN, 2610054500183</t>
  </si>
  <si>
    <t>Siêu thị Vinh, 2610054492077</t>
  </si>
  <si>
    <t>Siêu thị Mê Linh, 2610054488961</t>
  </si>
  <si>
    <t>Siêu thị Việt Trì, 2610054500956</t>
  </si>
  <si>
    <t>Siêu thị Hạ Long, 2610054498199</t>
  </si>
  <si>
    <t>Siêu thị Bắc Giang, 2610054489923</t>
  </si>
  <si>
    <t>TOPS MARKET HỒ GƯƠM, 2610054503564</t>
  </si>
  <si>
    <t>Siêu thị Thăng Long, 2610054494370</t>
  </si>
  <si>
    <t>Siêu thị Hải Phòng, 2610054492590</t>
  </si>
  <si>
    <t>Giao hàng tại SIÊU THỊ go! THANH BÌNH, 2610054483431</t>
  </si>
  <si>
    <t>Siêu thị go! Nhơn Trạch, 2610054552971</t>
  </si>
  <si>
    <t>Siêu thị GO Thái Bình, 2610054602771</t>
  </si>
  <si>
    <t>Siêu thị GO Vĩnh Phúc, 2610054592550</t>
  </si>
  <si>
    <t>Siêu thị Miền Đông, 2610054594268</t>
  </si>
  <si>
    <t>Siêu thị GO! Bà Rịa, 2610054602936</t>
  </si>
  <si>
    <t>Siêu thị Hải Phòng, 2610054593881</t>
  </si>
  <si>
    <t>Siêu thị Đà Nẵng, 2610054593852</t>
  </si>
  <si>
    <t>Siêu thị Tân Hiệp, 2610054594332</t>
  </si>
  <si>
    <t>Siêu thị Hải Dương, 2610054606169</t>
  </si>
  <si>
    <t>Siêu thị GO Vĩnh Phúc, 2610054604240</t>
  </si>
  <si>
    <t>Siêu thị GO Dĩ An, 2610054593613</t>
  </si>
  <si>
    <t>TOPS MARKET LE TRONG TAN, 2610054606760</t>
  </si>
  <si>
    <t>Siêu thị Mê Linh, 2611054642892</t>
  </si>
  <si>
    <t>Siêu thị Thanh Hóa, 2611054645037</t>
  </si>
  <si>
    <t>GO! Đồng Nai, 2611054648352</t>
  </si>
  <si>
    <t>Siêu thị GO Cần Thơ, 2611054644201</t>
  </si>
  <si>
    <t>Siêu thị Tân Hiệp, 2611054648108</t>
  </si>
  <si>
    <t>Siêu thị Hải Dương, 2611054657505</t>
  </si>
  <si>
    <t>Siêu thị GO Vĩnh Phúc, 2611054655865</t>
  </si>
  <si>
    <t>Siêu thị Miền Đông, 2611054647904</t>
  </si>
  <si>
    <t>siêu thị GO An Lạc, 2611054648260</t>
  </si>
  <si>
    <t>Siêu thị Hải Phòng, 2611054647009</t>
  </si>
  <si>
    <t>Siêu thị Thăng Long, 2611054648498</t>
  </si>
  <si>
    <t>Siêu thị Đà Nẵng, 2611054647298</t>
  </si>
  <si>
    <t>TOPS MARKET GARDEN, 2611054633064</t>
  </si>
  <si>
    <t>Siêu thị Huế, 2611054653276</t>
  </si>
  <si>
    <t>Siêu thị Vinh, 2611054645503</t>
  </si>
  <si>
    <t>TOPS MARKET HỒ GƯƠM, 2611054658919</t>
  </si>
  <si>
    <t>Siêu thị Quy Nhơn, 2611054644245</t>
  </si>
  <si>
    <t>Siêu thị GO Nguyễn Thị Thập, 2611054647573</t>
  </si>
  <si>
    <t>Siêu thị GO Thái Bình, 2611054652243</t>
  </si>
  <si>
    <t>Siêu thị GO Thái Nguyên, 2611054652056</t>
  </si>
  <si>
    <t>Siêu thị GO Lào Cai, 2611054658988</t>
  </si>
  <si>
    <t>Giao hàng tại Siêu thị GO! YÊN BÁI, 2611054653213</t>
  </si>
  <si>
    <t>Siêu thị Việt Trì, 2611054653593</t>
  </si>
  <si>
    <t>Siêu thị GO Dĩ An, 2611054646220</t>
  </si>
  <si>
    <t>Siêu thị Đà Lạt, 2611054647256</t>
  </si>
  <si>
    <t>Siêu thị Hạ Long, 2611054643600</t>
  </si>
  <si>
    <t>Siêu thị go! Phú Mỹ, 2611054638015</t>
  </si>
  <si>
    <t>SIÊU THỊ go! HƯƠNG TRÀ, 2611054635746</t>
  </si>
  <si>
    <t>Siêu thị go! Tam Kỳ, 2611054638372</t>
  </si>
  <si>
    <t>Siêu thị GO Gò Dầu, 2611054638098</t>
  </si>
  <si>
    <t>Siêu thị Trường Chinh, 2611054646380</t>
  </si>
  <si>
    <t>Siêu thị Ninh Bình, 2611054654953</t>
  </si>
  <si>
    <t>GO! Đồng Nai, 2611054688238</t>
  </si>
  <si>
    <t>Giao hàng tại Siêu thị GO! HƯNG YÊN, 2611054698226</t>
  </si>
  <si>
    <t>Siêu thị Hải Phòng, 2611054661391</t>
  </si>
  <si>
    <t>Siêu thị Nam Định, 2611054719907</t>
  </si>
  <si>
    <t>Siêu thị Hải Phòng, 2611054744417</t>
  </si>
  <si>
    <t>Siêu thị Đà Nẵng, 2611054743900</t>
  </si>
  <si>
    <t>Siêu thị Long Biên, 2611054743871</t>
  </si>
  <si>
    <t>Siêu thị Việt Trì, 2611054752997</t>
  </si>
  <si>
    <t>Siêu thị Nha Trang, 2611054742202</t>
  </si>
  <si>
    <t>Siêu thị GO Nguyễn Thị Thập, 2611054744607</t>
  </si>
  <si>
    <t>Giao hàng tại SIÊU THỊ go! THANH BÌNH, 2612054788306</t>
  </si>
  <si>
    <t>Giao hàng tại Siêu thị Go! Tân Uyên, 2612054789905</t>
  </si>
  <si>
    <t>Giao hàng tại Siêu thị go! Điện Bàn, 2612054789401</t>
  </si>
  <si>
    <t>Siêu thị go! Nhơn Trạch, 2612054789655</t>
  </si>
  <si>
    <t>Siêu thị GO Gò Dầu, 2612054790173</t>
  </si>
  <si>
    <t>Siêu thị go! Tam Kỳ, 2612054790218</t>
  </si>
  <si>
    <t>Giao hàng tại Siêu thị GO! HÀ NAM, 2612054789765</t>
  </si>
  <si>
    <t>Giao hàng tại Siêu thị GO! HÀ NAM, 2612054807219</t>
  </si>
  <si>
    <t>Siêu thị Việt Trì, 2612054804351</t>
  </si>
  <si>
    <t>Siêu thị Hải Dương, 2612054806226</t>
  </si>
  <si>
    <t>Siêu thị Long Biên, 2612054797020</t>
  </si>
  <si>
    <t>Siêu thị GO Thái Bình, 2612054805146</t>
  </si>
  <si>
    <t>Siêu thị Ninh Bình, 2612054795384</t>
  </si>
  <si>
    <t>Siêu thị GO Quảng Ngãi, 2612054792905</t>
  </si>
  <si>
    <t>Siêu thị GO Vĩnh Phúc, 2612054806475</t>
  </si>
  <si>
    <t>Siêu thị Bắc Giang, 2612054806587</t>
  </si>
  <si>
    <t>Siêu thị Thăng Long, 2612054799524</t>
  </si>
  <si>
    <t>Siêu thị Đà Nẵng, 2612054804137</t>
  </si>
  <si>
    <t>Siêu thị Hạ Long, 2612054795200</t>
  </si>
  <si>
    <t>Siêu thị Hải Phòng, 2612054787049</t>
  </si>
  <si>
    <t>Bigc Garden MALL</t>
  </si>
  <si>
    <t>00002375</t>
  </si>
  <si>
    <t>00002376</t>
  </si>
  <si>
    <t>00002443</t>
  </si>
  <si>
    <t>00002444</t>
  </si>
  <si>
    <t>00002446</t>
  </si>
  <si>
    <t>00002447</t>
  </si>
  <si>
    <t>00002448</t>
  </si>
  <si>
    <t>00002449</t>
  </si>
  <si>
    <t>00002467</t>
  </si>
  <si>
    <t>00002468</t>
  </si>
  <si>
    <t>00002469</t>
  </si>
  <si>
    <t>00002480</t>
  </si>
  <si>
    <t>00002481</t>
  </si>
  <si>
    <t>00002482</t>
  </si>
  <si>
    <t>00002483</t>
  </si>
  <si>
    <t>00002484</t>
  </si>
  <si>
    <t>00002485</t>
  </si>
  <si>
    <t>00002486</t>
  </si>
  <si>
    <t>00002497</t>
  </si>
  <si>
    <t>00002502</t>
  </si>
  <si>
    <t>00002562</t>
  </si>
  <si>
    <t>00002563</t>
  </si>
  <si>
    <t>00002564</t>
  </si>
  <si>
    <t>00002565</t>
  </si>
  <si>
    <t>00002566</t>
  </si>
  <si>
    <t>00002567</t>
  </si>
  <si>
    <t>00002568</t>
  </si>
  <si>
    <t>24/03/2026</t>
  </si>
  <si>
    <t>26/03/2026</t>
  </si>
  <si>
    <t>27/03/2026</t>
  </si>
  <si>
    <t>28/03/2026</t>
  </si>
  <si>
    <t>01/04/2026</t>
  </si>
  <si>
    <t>Siêu thị GO! Bà Rịa, 2612054815433</t>
  </si>
  <si>
    <t>Siêu thị Nam Định, 2612054846089</t>
  </si>
  <si>
    <t>Siêu thị Nam Định, 2612054897701</t>
  </si>
  <si>
    <t>TOPS MARKET LE TRONG TAN, 2612054909514</t>
  </si>
  <si>
    <t>Siêu thị Mê Linh, 2612054905506</t>
  </si>
  <si>
    <t>Siêu thị Thăng Long, 2612054908922</t>
  </si>
  <si>
    <t>Siêu thị Đà Nẵng, 2612054899070</t>
  </si>
  <si>
    <t>Siêu thị Đà Nẵng, 2612054905083</t>
  </si>
  <si>
    <t>Siêu thị Gò Vấp, 2612054908459</t>
  </si>
  <si>
    <t>Siêu thị Thăng Long, 2613054934291</t>
  </si>
  <si>
    <t>Siêu thị Hải Dương, 2613054937825</t>
  </si>
  <si>
    <t>TOPS MARKET HỒ GƯƠM, 2613054934435</t>
  </si>
  <si>
    <t>Siêu thị GO Buôn Ma Thuột, 2613054960310</t>
  </si>
  <si>
    <t>Siêu thị GO! Bến Tre, 2613054945124</t>
  </si>
  <si>
    <t>Siêu thị Hạ Long, 2613054938541</t>
  </si>
  <si>
    <t>Giao hàng tại Siêu thị GO! Ninh Thuận, 2613054943091</t>
  </si>
  <si>
    <t>Giao hàng tại Siêu thị GO! YÊN BÁI, 2613054957988</t>
  </si>
  <si>
    <t>Giao hàng tại Siêu thị go! AN NHƠN, 2613054940982</t>
  </si>
  <si>
    <t>Giao hàng tại Siêu thị GO! HÀ NAM, 2613054942766</t>
  </si>
  <si>
    <t>Siêu thị GO Thái Nguyên, 2613054959032</t>
  </si>
  <si>
    <t>Siêu thị GO Nguyễn Thị Thập, 2613054952411</t>
  </si>
  <si>
    <t>Giao hàng tại Siêu thị GO! HÀ NAM, 2613054959958</t>
  </si>
  <si>
    <t>Siêu thị Đà Lạt, 2613054951409</t>
  </si>
  <si>
    <t>Siêu thị Ninh Bình, 2613054958254</t>
  </si>
  <si>
    <t>Siêu thị Việt Trì, 2613054936243</t>
  </si>
  <si>
    <t>Giao hàng tại SIÊU THỊ go! THANH BÌNH, 2613054941038</t>
  </si>
  <si>
    <t>Giao hàng tại Siêu thị GO! BẠC LIÊU, 2613054943420</t>
  </si>
  <si>
    <t>Siêu thị GO Quảng Ngãi, 2613054946009</t>
  </si>
  <si>
    <t>Siêu thị Quy Nhơn, 2613054956168</t>
  </si>
  <si>
    <t>Siêu thị Long Biên, 2613054950856</t>
  </si>
  <si>
    <t>Siêu thị Vinh, 2613054950439</t>
  </si>
  <si>
    <t>Siêu thị GO Vĩnh Phúc, 2613054958772</t>
  </si>
  <si>
    <t>Siêu thị Bình Dương, 2613054952325</t>
  </si>
  <si>
    <t>Siêu thị Tân Hiệp, 2613054952704</t>
  </si>
  <si>
    <t>Siêu thị Thăng Long, 2613054953275</t>
  </si>
  <si>
    <t>Siêu thị Hải Phòng, 2613054951472</t>
  </si>
  <si>
    <t>Siêu thị Đà Nẵng, 2613054951279</t>
  </si>
  <si>
    <t>Siêu thị Miền Đông, 2613054952917</t>
  </si>
  <si>
    <t>siêu thị GO An Lạc, 2613054953108</t>
  </si>
  <si>
    <t>GO! Đồng Nai, 2613054953128</t>
  </si>
  <si>
    <t>Siêu thị GO Dĩ An, 2613054951085</t>
  </si>
  <si>
    <t>Siêu thị Gò Vấp, 2613054962993</t>
  </si>
  <si>
    <t>Siêu thị Trường Chinh, 2613054952040</t>
  </si>
  <si>
    <t>Siêu thị Huế, 2613054958159</t>
  </si>
  <si>
    <t>Siêu thị GO! Bà Rịa, 2613055024661</t>
  </si>
  <si>
    <t>Siêu thị Mê Linh, 2613055002854</t>
  </si>
  <si>
    <t>Siêu thị Nam Định, 2613055028640</t>
  </si>
  <si>
    <t>GO! Đồng Nai, 2613055019438</t>
  </si>
  <si>
    <t>Siêu thị GO! Bà Rịa, 2613055025968</t>
  </si>
  <si>
    <t>Siêu thị go! Tam Kỳ, 2613055006809</t>
  </si>
  <si>
    <t>Siêu thị go! Phú Mỹ, 2613055005937</t>
  </si>
  <si>
    <t>SIÊU THỊ go! HƯƠNG TRÀ, 2613055004573</t>
  </si>
  <si>
    <t>00002591</t>
  </si>
  <si>
    <t>00002592</t>
  </si>
  <si>
    <t>00002593</t>
  </si>
  <si>
    <t>00002594</t>
  </si>
  <si>
    <t>00002595</t>
  </si>
  <si>
    <t>00002596</t>
  </si>
  <si>
    <t>00002597</t>
  </si>
  <si>
    <t>00002598</t>
  </si>
  <si>
    <t>00002602</t>
  </si>
  <si>
    <t>00002621</t>
  </si>
  <si>
    <t>00002622</t>
  </si>
  <si>
    <t>00002625</t>
  </si>
  <si>
    <t>00002626</t>
  </si>
  <si>
    <t>00002627</t>
  </si>
  <si>
    <t>00002628</t>
  </si>
  <si>
    <t>00002682</t>
  </si>
  <si>
    <t>00002683</t>
  </si>
  <si>
    <t>00002737</t>
  </si>
  <si>
    <t>00002738</t>
  </si>
  <si>
    <t>00002741</t>
  </si>
  <si>
    <t>00002750</t>
  </si>
  <si>
    <t>00002751</t>
  </si>
  <si>
    <t>00002752</t>
  </si>
  <si>
    <t>00002753</t>
  </si>
  <si>
    <t>00002754</t>
  </si>
  <si>
    <t>00002755</t>
  </si>
  <si>
    <t>00002756</t>
  </si>
  <si>
    <t>00002757</t>
  </si>
  <si>
    <t>00002758</t>
  </si>
  <si>
    <t>00002759</t>
  </si>
  <si>
    <t>00002760</t>
  </si>
  <si>
    <t>00002761</t>
  </si>
  <si>
    <t>00002762</t>
  </si>
  <si>
    <t>00002763</t>
  </si>
  <si>
    <t>00002764</t>
  </si>
  <si>
    <t>00002765</t>
  </si>
  <si>
    <t>00002766</t>
  </si>
  <si>
    <t>00002767</t>
  </si>
  <si>
    <t>00002810</t>
  </si>
  <si>
    <t>00002815</t>
  </si>
  <si>
    <t>00002816</t>
  </si>
  <si>
    <t>00002817</t>
  </si>
  <si>
    <t>00002818</t>
  </si>
  <si>
    <t>00002819</t>
  </si>
  <si>
    <t>00002820</t>
  </si>
  <si>
    <t>00002821</t>
  </si>
  <si>
    <t>00002822</t>
  </si>
  <si>
    <t>00002823</t>
  </si>
  <si>
    <t>00002824</t>
  </si>
  <si>
    <t>00002825</t>
  </si>
  <si>
    <t>00002826</t>
  </si>
  <si>
    <t>00002827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</si>
  <si>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</si>
  <si>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</si>
  <si>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</si>
  <si>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</si>
  <si>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</si>
  <si>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</si>
  <si>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</si>
  <si>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</si>
  <si>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</si>
  <si>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</si>
  <si>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00002838</t>
  </si>
  <si>
    <t>00002839</t>
  </si>
  <si>
    <t>00002840</t>
  </si>
  <si>
    <t>00002841</t>
  </si>
  <si>
    <t>00002842</t>
  </si>
  <si>
    <t>00002843</t>
  </si>
  <si>
    <t>00002844</t>
  </si>
  <si>
    <t>00002845</t>
  </si>
  <si>
    <t>00002846</t>
  </si>
  <si>
    <t>00002847</t>
  </si>
  <si>
    <t>00002848</t>
  </si>
  <si>
    <t>00002849</t>
  </si>
  <si>
    <t>00002850</t>
  </si>
  <si>
    <t>00002851</t>
  </si>
  <si>
    <t>00002852</t>
  </si>
  <si>
    <t>00002853</t>
  </si>
  <si>
    <t>00002855</t>
  </si>
  <si>
    <t>00002879</t>
  </si>
  <si>
    <t>02/04/2026</t>
  </si>
  <si>
    <t>04/04/2026</t>
  </si>
  <si>
    <t>07/04/2026</t>
  </si>
  <si>
    <t>09/04/2026</t>
  </si>
  <si>
    <t>11/04/2026</t>
  </si>
  <si>
    <t>13/04/2026</t>
  </si>
  <si>
    <t>TOPS MARKET PARKCITY , 2613055052027</t>
  </si>
  <si>
    <t>Siêu thị Thanh Hóa, 2613055041883</t>
  </si>
  <si>
    <t>Siêu thị GO Dĩ An, 2613055043879</t>
  </si>
  <si>
    <t>Siêu thị Long Biên, 2613055043384</t>
  </si>
  <si>
    <t>Siêu thị Miền Đông, 2613055044804</t>
  </si>
  <si>
    <t>Siêu thị Đà Nẵng, 2613055043546</t>
  </si>
  <si>
    <t>Siêu thị Vinh, 2613055042057</t>
  </si>
  <si>
    <t>Siêu thị Nam Định, 2613055042336</t>
  </si>
  <si>
    <t>Siêu thị Hải Dương, 2613055056757</t>
  </si>
  <si>
    <t>Siêu thị Hải Dương, 2614055080399</t>
  </si>
  <si>
    <t>Siêu thị Hạ Long, 2614055081422</t>
  </si>
  <si>
    <t>Siêu thị Việt Trì, 2614055100769</t>
  </si>
  <si>
    <t>Siêu thị GO Quảng Ngãi, 2614055090130</t>
  </si>
  <si>
    <t>TOPS MARKET HỒ GƯƠM, 2614055104589</t>
  </si>
  <si>
    <t>Siêu thị Thăng Long, 2614055106750</t>
  </si>
  <si>
    <t>Siêu thị Hải Phòng, 2614055094493</t>
  </si>
  <si>
    <t>Siêu thị Gò Vấp, 2614055105214</t>
  </si>
  <si>
    <t>TOPS MARKET GARDEN, 2614055105764</t>
  </si>
  <si>
    <t>Siêu thị Vinh, 2614055093908</t>
  </si>
  <si>
    <t>Siêu thị GO Vĩnh Phúc, 2614055093738</t>
  </si>
  <si>
    <t>Siêu thị Thanh Hóa, 2614055092544</t>
  </si>
  <si>
    <t>Siêu thị Long Biên, 2614055093969</t>
  </si>
  <si>
    <t>Siêu thị Mê Linh, 2614055091937</t>
  </si>
  <si>
    <t>Siêu thị GO Vĩnh Phúc, 2614055103299</t>
  </si>
  <si>
    <t>Siêu thị Ninh Bình, 2614055101859</t>
  </si>
  <si>
    <t>Giao hàng tại SIÊU THỊ go! GÒ CÔNG TÂY, 2614055084644</t>
  </si>
  <si>
    <t>Siêu thị GO Thái Nguyên, 2614055107158</t>
  </si>
  <si>
    <t>Giao hàng tại Siêu thị GO! HÀ NAM, 2614055087139</t>
  </si>
  <si>
    <t>Giao hàng tại Siêu thị GO! HƯNG YÊN, 2614055103847</t>
  </si>
  <si>
    <t>Siêu thị go! Tam Kỳ, 2614055087358</t>
  </si>
  <si>
    <t>Siêu thị GO Gò Dầu, 2614055087236</t>
  </si>
  <si>
    <t>Siêu thị go! Phú Mỹ, 2614055086921</t>
  </si>
  <si>
    <t>Giao hàng tại Siêu thị go! Điện Bàn, 2614055086668</t>
  </si>
  <si>
    <t>Siêu thị go! Nhơn Trạch, 2614055086911</t>
  </si>
  <si>
    <t>Giao hàng tại Siêu thị go! Rạch Giá, 2614055085581</t>
  </si>
  <si>
    <t>Giao hàng tại SIÊU THỊ go! LẤP VÒ, 2614055085124</t>
  </si>
  <si>
    <t>Siêu thị go! LỘC NINH, 2614055085040</t>
  </si>
  <si>
    <t>Siêu thị Đà Nẵng, 2614055100693</t>
  </si>
  <si>
    <t>Siêu thị Hải Phòng, 2614055111499</t>
  </si>
  <si>
    <t>Siêu thị GO Cần Thơ, 2614055154720</t>
  </si>
  <si>
    <t>Siêu thị Hải Dương, 2614055184854</t>
  </si>
  <si>
    <t>Siêu thị Hải Dương, 2614055178597</t>
  </si>
  <si>
    <t>Siêu thị Nam Định, 2614055183089</t>
  </si>
  <si>
    <t>Siêu thị GO Gò Dầu, 2614055160502</t>
  </si>
  <si>
    <t>Siêu thị go! Phú Mỹ, 2614055159929</t>
  </si>
  <si>
    <t>Siêu thị go! Nhơn Trạch, 2614055159952</t>
  </si>
  <si>
    <t>Giao hàng tại Siêu thị go! Rạch Giá, 2614055158538</t>
  </si>
  <si>
    <t>Siêu thị Thăng Long, 2614055209951</t>
  </si>
  <si>
    <t>TOPS MARKET GARDEN, 2614055213824</t>
  </si>
  <si>
    <t>Siêu thị Quy Nhơn, 2614055206457</t>
  </si>
  <si>
    <t>Siêu thị Mê Linh, 2614055197681</t>
  </si>
  <si>
    <t>Siêu thị GO Vĩnh Phúc, 2614055199763</t>
  </si>
  <si>
    <t>Siêu thị Vinh, 2614055199083</t>
  </si>
  <si>
    <t>Siêu thị Trường Chinh, 2614055201598</t>
  </si>
  <si>
    <t>Siêu thị Đà Lạt, 2614055201079</t>
  </si>
  <si>
    <t>Siêu thị GO Nguyễn Thị Thập, 2614055201698</t>
  </si>
  <si>
    <t>Siêu thị Tops Market Thảo Điền, 2614055201110</t>
  </si>
  <si>
    <t>Siêu thị Tops Market Âu Cơ, 2614055196519</t>
  </si>
  <si>
    <t>Siêu thị Đà Nẵng, 2614055206789</t>
  </si>
  <si>
    <t>Siêu thị Nam Định, 2614055199485</t>
  </si>
  <si>
    <t>Siêu thị Long Biên, 2614055201255</t>
  </si>
  <si>
    <t>Siêu thị Thăng Long, 2615055234824</t>
  </si>
  <si>
    <t>Siêu thị Hải Phòng, 2614055215778</t>
  </si>
  <si>
    <t>Giao hàng tại Siêu thị go! Hòa Thành, 2615055243563</t>
  </si>
  <si>
    <t>Siêu thị go! LỘC NINH, 2615055241946</t>
  </si>
  <si>
    <t>Giao hàng tại Siêu thị go! Điện Bàn, 2615055243882</t>
  </si>
  <si>
    <t>Siêu thị go! Nhơn Trạch, 2615055244070</t>
  </si>
  <si>
    <t>SIÊU THỊ go! HƯƠNG TRÀ, 2615055241960</t>
  </si>
  <si>
    <t>Giao hàng tại Siêu thị GO! HƯNG YÊN, 2615055261108</t>
  </si>
  <si>
    <t>Siêu thị GO Gò Dầu, 2615055244332</t>
  </si>
  <si>
    <t>Siêu thị go! Phú Mỹ, 2615055244063</t>
  </si>
  <si>
    <t>Siêu thị GO Thái Nguyên, 2615055263695</t>
  </si>
  <si>
    <t>Siêu thị Bắc Giang, 2615055249541</t>
  </si>
  <si>
    <t>Siêu thị GO Mỹ Tho, 2615055258327</t>
  </si>
  <si>
    <t>Siêu thị GO Lào Cai, 2615055245216</t>
  </si>
  <si>
    <t>Siêu thị Đà Lạt, 2615055253333</t>
  </si>
  <si>
    <t>Siêu thị Ninh Bình, 2615055259500</t>
  </si>
  <si>
    <t>Siêu thị Việt Trì, 2615055248907</t>
  </si>
  <si>
    <t>Siêu thị Trường Chinh, 2615055253450</t>
  </si>
  <si>
    <t>Siêu thị Hạ Long, 2615055258945</t>
  </si>
  <si>
    <t>Siêu thị Quy Nhơn, 2615055262992</t>
  </si>
  <si>
    <t>Siêu thị Nha Trang, 2615055261661</t>
  </si>
  <si>
    <t>Siêu thị GO Nguyễn Thị Thập, 2615055253917</t>
  </si>
  <si>
    <t>TOPS MARKET LE TRONG TAN, 2615055264698</t>
  </si>
  <si>
    <t>Siêu thị Tops Market Âu Cơ, 2615055260150</t>
  </si>
  <si>
    <t>Giao hàng tại Siêu thị GO! HÀ NAM, 2615055243924</t>
  </si>
  <si>
    <t>TOPS MARKET GARDEN, 2615055261691</t>
  </si>
  <si>
    <t>Siêu thị Huế, 2615055262809</t>
  </si>
  <si>
    <t>siêu thị GO An Lạc, 2615055254382</t>
  </si>
  <si>
    <t>Siêu thị Huế, 2615055253036</t>
  </si>
  <si>
    <t>Siêu thị Vinh, 2615055251694</t>
  </si>
  <si>
    <t>Siêu thị GO Vĩnh Phúc, 2615055250899</t>
  </si>
  <si>
    <t>Siêu thị Long Biên, 2615055252705</t>
  </si>
  <si>
    <t>Siêu thị Tân Hiệp, 2615055254132</t>
  </si>
  <si>
    <t>Siêu thị Bình Dương, 2615055253705</t>
  </si>
  <si>
    <t>GO! Đồng Nai, 2615055254498</t>
  </si>
  <si>
    <t>Siêu thị Mê Linh, 2615055249208</t>
  </si>
  <si>
    <t>Siêu thị Hải Phòng, 2615055252557</t>
  </si>
  <si>
    <t>Siêu thị Miền Đông, 2615055254306</t>
  </si>
  <si>
    <t>Siêu thị Thăng Long, 2615055254650</t>
  </si>
  <si>
    <t>Siêu thị Đà Nẵng, 2615055252357</t>
  </si>
  <si>
    <t>TOPS MARKET ECO GREEN, 2615055238450</t>
  </si>
  <si>
    <t>Siêu thị Hải Phòng, 2615055267520</t>
  </si>
  <si>
    <t>TOPS MARKET ECO GREEN, 2615055270118</t>
  </si>
  <si>
    <t>Siêu thị go! Nhơn Trạch, 2615055311440</t>
  </si>
  <si>
    <t>Siêu thị go! Tam Kỳ, 2615055338218</t>
  </si>
  <si>
    <t>Giao hàng tại Siêu thị go! Hòa Thành, 2615055338274</t>
  </si>
  <si>
    <t>Giao hàng tại Siêu thị go! AN NHƠN, 2615055338260</t>
  </si>
  <si>
    <t>15/04/2026</t>
  </si>
  <si>
    <t>00002957</t>
  </si>
  <si>
    <t>00002959</t>
  </si>
  <si>
    <t>00002960</t>
  </si>
  <si>
    <t>00002961</t>
  </si>
  <si>
    <t>00002984</t>
  </si>
  <si>
    <t>00002985</t>
  </si>
  <si>
    <t>00002988</t>
  </si>
  <si>
    <t>00002989</t>
  </si>
  <si>
    <t>00002990</t>
  </si>
  <si>
    <t>00002991</t>
  </si>
  <si>
    <t>00002992</t>
  </si>
  <si>
    <t>00002993</t>
  </si>
  <si>
    <t>00002994</t>
  </si>
  <si>
    <t>00002995</t>
  </si>
  <si>
    <t>00002997</t>
  </si>
  <si>
    <t>00002998</t>
  </si>
  <si>
    <t>00002999</t>
  </si>
  <si>
    <t>00003000</t>
  </si>
  <si>
    <t>00003001</t>
  </si>
  <si>
    <t>00003002</t>
  </si>
  <si>
    <t>00003003</t>
  </si>
  <si>
    <t>00003004</t>
  </si>
  <si>
    <t>00003005</t>
  </si>
  <si>
    <t>00003006</t>
  </si>
  <si>
    <t>00003007</t>
  </si>
  <si>
    <t>00003008</t>
  </si>
  <si>
    <t>00003009</t>
  </si>
  <si>
    <t>00003010</t>
  </si>
  <si>
    <t>00003011</t>
  </si>
  <si>
    <t>00003012</t>
  </si>
  <si>
    <t>00003013</t>
  </si>
  <si>
    <t>00003014</t>
  </si>
  <si>
    <t>00003015</t>
  </si>
  <si>
    <t>00003055</t>
  </si>
  <si>
    <t>00003056</t>
  </si>
  <si>
    <t>00003057</t>
  </si>
  <si>
    <t>00003062</t>
  </si>
  <si>
    <t>00003118</t>
  </si>
  <si>
    <t>00003119</t>
  </si>
  <si>
    <t>00003120</t>
  </si>
  <si>
    <t>00003121</t>
  </si>
  <si>
    <t>00003122</t>
  </si>
  <si>
    <t>00003123</t>
  </si>
  <si>
    <t>00003124</t>
  </si>
  <si>
    <t>00003125</t>
  </si>
  <si>
    <t>00003126</t>
  </si>
  <si>
    <t>00003127</t>
  </si>
  <si>
    <t>00003138</t>
  </si>
  <si>
    <t>00003149</t>
  </si>
  <si>
    <t>00003150</t>
  </si>
  <si>
    <t>00003152</t>
  </si>
  <si>
    <t>00003155</t>
  </si>
  <si>
    <t>00003156</t>
  </si>
  <si>
    <t>00003157</t>
  </si>
  <si>
    <t>00003158</t>
  </si>
  <si>
    <t>00003159</t>
  </si>
  <si>
    <t>00003160</t>
  </si>
  <si>
    <t>00003181</t>
  </si>
  <si>
    <t>00003182</t>
  </si>
  <si>
    <t>00003187</t>
  </si>
  <si>
    <t>00003189</t>
  </si>
  <si>
    <t>00003190</t>
  </si>
  <si>
    <t>00003191</t>
  </si>
  <si>
    <t>00003192</t>
  </si>
  <si>
    <t>00003193</t>
  </si>
  <si>
    <t>00003194</t>
  </si>
  <si>
    <t>00003199</t>
  </si>
  <si>
    <t>00003200</t>
  </si>
  <si>
    <t>00003201</t>
  </si>
  <si>
    <t>00003202</t>
  </si>
  <si>
    <t>00003203</t>
  </si>
  <si>
    <t>00003204</t>
  </si>
  <si>
    <t>00003205</t>
  </si>
  <si>
    <t>00003206</t>
  </si>
  <si>
    <t>00003207</t>
  </si>
  <si>
    <t>00003208</t>
  </si>
  <si>
    <t>00003209</t>
  </si>
  <si>
    <t>00003210</t>
  </si>
  <si>
    <t>Siêu thị Long Biên, 2615055338764</t>
  </si>
  <si>
    <t>Giao hàng tại Siêu thị GO! BẠC LIÊU, 2615055344088</t>
  </si>
  <si>
    <t>Siêu thị Hạ Long, 2615055350870</t>
  </si>
  <si>
    <t>Siêu thị Miền Đông, 2615055352764</t>
  </si>
  <si>
    <t>Siêu thị Hải Dương, 2616055393533</t>
  </si>
  <si>
    <t>Siêu thị Hải Phòng, 2616055394165</t>
  </si>
  <si>
    <t>Siêu thị Bắc Giang, 2616055404713</t>
  </si>
  <si>
    <t>Siêu thị Nam Định, 2616055405595</t>
  </si>
  <si>
    <t>Siêu thị Bắc Giang, 2616055419363</t>
  </si>
  <si>
    <t>Siêu thị Hải Phòng, 2616055407309</t>
  </si>
  <si>
    <t>Siêu thị Đà Nẵng, 2616055413697</t>
  </si>
  <si>
    <t>Siêu thị Vinh, 2616055406144</t>
  </si>
  <si>
    <t>Siêu thị Thăng Long, 2616055409380</t>
  </si>
  <si>
    <t>Siêu thị GO Vĩnh Phúc, 2616055406561</t>
  </si>
  <si>
    <t>Siêu thị Thanh Hóa, 2616055405760</t>
  </si>
  <si>
    <t>Siêu thị Tân Hiệp, 2616055413499</t>
  </si>
  <si>
    <t>Siêu thị Mê Linh, 2616055404341</t>
  </si>
  <si>
    <t>Siêu thị Long Biên, 2616055407168</t>
  </si>
  <si>
    <t>Siêu thị Ninh Bình, 2616055404757</t>
  </si>
  <si>
    <t>Siêu thị Hạ Long, 2616055414529</t>
  </si>
  <si>
    <t>Giao hàng tại Siêu thị go! Hòa Thành, 2616055399103</t>
  </si>
  <si>
    <t>Giao hàng tại Siêu thị go! Rạch Giá, 2616055398096</t>
  </si>
  <si>
    <t>Siêu thị GO Quảng Ngãi, 2616055402764</t>
  </si>
  <si>
    <t>Siêu thị GO Thái Nguyên, 2616055416214</t>
  </si>
  <si>
    <t>TOPS MARKET ECO GREEN, 2616055419574</t>
  </si>
  <si>
    <t>Giao hàng tại Siêu thị GO! HÀ NAM, 2616055399645</t>
  </si>
  <si>
    <t>Siêu thị GO Lào Cai, 2616055400652</t>
  </si>
  <si>
    <t>Siêu thị go! Tam Kỳ, 2616055399870</t>
  </si>
  <si>
    <t>Giao hàng tại Siêu thị GO! YÊN BÁI, 2616055415421</t>
  </si>
  <si>
    <t>Giao hàng tại Siêu thị Go! Tân Uyên, 2616055399372</t>
  </si>
  <si>
    <t>Giao hàng tại Siêu thị go! Điện Bàn, 2616055399204</t>
  </si>
  <si>
    <t>Siêu thị go! Nhơn Trạch, 2616055399422</t>
  </si>
  <si>
    <t>SIÊU THỊ go! HƯƠNG TRÀ, 2616055397529</t>
  </si>
  <si>
    <t>Siêu thị Việt Trì, 2616055415630</t>
  </si>
  <si>
    <t>Siêu thị go! Tam Kỳ, 2616055420491</t>
  </si>
  <si>
    <t>Siêu thị GO Gò Dầu, 2616055420583</t>
  </si>
  <si>
    <t>Siêu thị go! Nhơn Trạch, 2616055420596</t>
  </si>
  <si>
    <t>Siêu thị Go! Phú Thạnh, 2616055462481</t>
  </si>
  <si>
    <t>Siêu thị Hải Phòng, 2616055426231</t>
  </si>
  <si>
    <t>Siêu thị Nam Định, 2616055492414</t>
  </si>
  <si>
    <t>Siêu thị Thanh Hóa, 2616055488004</t>
  </si>
  <si>
    <t>Siêu thị Nam Định, 2616055495862</t>
  </si>
  <si>
    <t>Siêu thị GO! Bà Rịa, 2616055488379</t>
  </si>
  <si>
    <t>Siêu thị TOPS MARKET MOONLIGHT, 2616055493443</t>
  </si>
  <si>
    <t>Siêu thị go! Phú Mỹ, 2616055471898</t>
  </si>
  <si>
    <t>Giao hàng tại Siêu thị Go! Tân Uyên, 2616055472193</t>
  </si>
  <si>
    <t>Giao hàng tại Siêu thị go! Điện Bàn, 2616055471924</t>
  </si>
  <si>
    <t>Giao hàng tại Siêu thị go! Rạch Giá, 2616055470348</t>
  </si>
  <si>
    <t>Siêu thị GO! Bà Rịa, 2616055487452</t>
  </si>
  <si>
    <t>Siêu thị GO Trà Vinh, 2616055509084</t>
  </si>
  <si>
    <t>TOPS MARKET HỒ GƯƠM, 2616055526171</t>
  </si>
  <si>
    <t>Siêu thị Hải Dương, 2616055527339</t>
  </si>
  <si>
    <t>Siêu thị Huế, 2616055513727</t>
  </si>
  <si>
    <t>Siêu thị Tops Market Âu Cơ, 2616055511714</t>
  </si>
  <si>
    <t>Siêu thị Tops Market An Phú, 2616055512139</t>
  </si>
  <si>
    <t>Siêu thị Thăng Long, 2616055525604</t>
  </si>
  <si>
    <t>Siêu thị Gò Vấp, 2616055515015</t>
  </si>
  <si>
    <t>Siêu thị Đà Nẵng, 2616055514098</t>
  </si>
  <si>
    <t>Siêu thị Miền Đông, 2616055515190</t>
  </si>
  <si>
    <t>Siêu thị Bắc Giang, 2616055511997</t>
  </si>
  <si>
    <t>Siêu thị Hải Phòng, 2616055528220</t>
  </si>
  <si>
    <t>Siêu thị Ninh Bình, 2617055544033</t>
  </si>
  <si>
    <t>Giao hàng tại Siêu thị go! Điện Bàn, 2617055559536</t>
  </si>
  <si>
    <t>Giao hàng tại Siêu thị GO! HƯNG YÊN, 2617055576933</t>
  </si>
  <si>
    <t>Giao hàng tại Siêu thị GO! HÀ NAM, 2617055575477</t>
  </si>
  <si>
    <t>Giao hàng tại Siêu thị GO! Ninh Thuận, 2617055576522</t>
  </si>
  <si>
    <t>Siêu thị Hạ Long, 2617055565992</t>
  </si>
  <si>
    <t>Siêu thị GO Mỹ Tho, 2617055576276</t>
  </si>
  <si>
    <t>Siêu thị go! Nhơn Trạch, 2617055559653</t>
  </si>
  <si>
    <t>Siêu thị Thăng Long, 2617055570411</t>
  </si>
  <si>
    <t>Siêu thị GO Vĩnh Phúc, 2617055574192</t>
  </si>
  <si>
    <t>siêu thị GO An Lạc, 2617055575658</t>
  </si>
  <si>
    <t>Siêu thị Gò Vấp, 2617055574684</t>
  </si>
  <si>
    <t>Siêu thị go! Phú Mỹ, 2617055559734</t>
  </si>
  <si>
    <t>Siêu thị GO Gò Dầu, 2617055580567</t>
  </si>
  <si>
    <t>Siêu thị GO Quảng Ngãi, 2617055563106</t>
  </si>
  <si>
    <t>Giao hàng tại Siêu thị go! Rạch Giá, 2617055558229</t>
  </si>
  <si>
    <t>Siêu thị Huế, 2617055568527</t>
  </si>
  <si>
    <t>Siêu thị Đà Lạt, 2617055568191</t>
  </si>
  <si>
    <t>TOPS MARKET ECO GREEN, 2617055580305</t>
  </si>
  <si>
    <t>Siêu thị GO Dĩ An, 2617055568590</t>
  </si>
  <si>
    <t>Siêu thị GO Thái Bình, 2617055579237</t>
  </si>
  <si>
    <t>Siêu thị Trường Chinh, 2617055569284</t>
  </si>
  <si>
    <t>Siêu thị GO Gò Dầu, 2617055559920</t>
  </si>
  <si>
    <t>SIÊU THỊ go! HƯƠNG TRÀ, 2617055557332</t>
  </si>
  <si>
    <t>Siêu thị Long Biên, 2617055574592</t>
  </si>
  <si>
    <t>Giao hàng tại Siêu thị go! Hồng Ngự, 2617055558128</t>
  </si>
  <si>
    <t>Siêu thị Mê Linh, 2617055577507</t>
  </si>
  <si>
    <t>Siêu thị GO Thái Nguyên, 2617055580325</t>
  </si>
  <si>
    <t>Giao hàng tại Siêu thị GO! NINH BÌNH, 2617055574306</t>
  </si>
  <si>
    <t>Giao hàng tại Siêu thị go! AN NHƠN, 2617055580545</t>
  </si>
  <si>
    <t>Siêu thị GO Lào Cai, 2617055560800</t>
  </si>
  <si>
    <t>Siêu thị GO Nguyễn Thị Thập, 2617055569789</t>
  </si>
  <si>
    <t>Siêu thị Bình Dương, 2617055569398</t>
  </si>
  <si>
    <t>Siêu thị Đà Nẵng, 2617055573598</t>
  </si>
  <si>
    <t>Siêu thị Quy Nhơn, 2617055574051</t>
  </si>
  <si>
    <t>Giao hàng tại Siêu thị Go! Tân Uyên, 2617055559641</t>
  </si>
  <si>
    <t>Siêu thị Bắc Giang, 2617055564941</t>
  </si>
  <si>
    <t>Siêu thị Thanh Hóa, 2617055578200</t>
  </si>
  <si>
    <t>Siêu thị Việt Trì, 2617055577191</t>
  </si>
  <si>
    <t>Siêu thị go! Tam Kỳ, 2617055580526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</si>
  <si>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</si>
  <si>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</si>
  <si>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</si>
  <si>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</si>
  <si>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</si>
  <si>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</si>
  <si>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</si>
  <si>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25/04/2026</t>
  </si>
  <si>
    <t>00003332</t>
  </si>
  <si>
    <t>00003335</t>
  </si>
  <si>
    <t>00003337</t>
  </si>
  <si>
    <t>00003352</t>
  </si>
  <si>
    <t>00003441</t>
  </si>
  <si>
    <t>00003443</t>
  </si>
  <si>
    <t>00003444</t>
  </si>
  <si>
    <t>00003445</t>
  </si>
  <si>
    <t>00003446</t>
  </si>
  <si>
    <t>00003448</t>
  </si>
  <si>
    <t>00003449</t>
  </si>
  <si>
    <t>00003450</t>
  </si>
  <si>
    <t>00003451</t>
  </si>
  <si>
    <t>00003452</t>
  </si>
  <si>
    <t>00003453</t>
  </si>
  <si>
    <t>00003459</t>
  </si>
  <si>
    <t>00003561</t>
  </si>
  <si>
    <t>00003562</t>
  </si>
  <si>
    <t>00003563</t>
  </si>
  <si>
    <t>00003580</t>
  </si>
  <si>
    <t>00003581</t>
  </si>
  <si>
    <t>00003582</t>
  </si>
  <si>
    <t>00003583</t>
  </si>
  <si>
    <t>00003584</t>
  </si>
  <si>
    <t>00003636</t>
  </si>
  <si>
    <t>00003669</t>
  </si>
  <si>
    <t>00003670</t>
  </si>
  <si>
    <t>00003671</t>
  </si>
  <si>
    <t>00003672</t>
  </si>
  <si>
    <t>00003673</t>
  </si>
  <si>
    <t>00003674</t>
  </si>
  <si>
    <t>00003675</t>
  </si>
  <si>
    <t>00003676</t>
  </si>
  <si>
    <t>00003677</t>
  </si>
  <si>
    <t>00003678</t>
  </si>
  <si>
    <t>00003679</t>
  </si>
  <si>
    <t>00003680</t>
  </si>
  <si>
    <t>00003681</t>
  </si>
  <si>
    <t>00003682</t>
  </si>
  <si>
    <t>00003683</t>
  </si>
  <si>
    <t>00003685</t>
  </si>
  <si>
    <t>00003686</t>
  </si>
  <si>
    <t>00003687</t>
  </si>
  <si>
    <t>00003688</t>
  </si>
  <si>
    <t>00003689</t>
  </si>
  <si>
    <t>00003690</t>
  </si>
  <si>
    <t>00003691</t>
  </si>
  <si>
    <t>00003692</t>
  </si>
  <si>
    <t>00003693</t>
  </si>
  <si>
    <t>00003694</t>
  </si>
  <si>
    <t>00003695</t>
  </si>
  <si>
    <t>00003696</t>
  </si>
  <si>
    <t>00003697</t>
  </si>
  <si>
    <t>00003698</t>
  </si>
  <si>
    <t>00003699</t>
  </si>
  <si>
    <t>00003848</t>
  </si>
  <si>
    <t>00003849</t>
  </si>
  <si>
    <t>00003850</t>
  </si>
  <si>
    <t>00003851</t>
  </si>
  <si>
    <t>00003852</t>
  </si>
  <si>
    <t>00003853</t>
  </si>
  <si>
    <t>00003854</t>
  </si>
  <si>
    <t>00003857</t>
  </si>
  <si>
    <t>00003858</t>
  </si>
  <si>
    <t>00003859</t>
  </si>
  <si>
    <t>00003860</t>
  </si>
  <si>
    <t>28/04/2026</t>
  </si>
  <si>
    <t>04/05/2026</t>
  </si>
  <si>
    <t>05/05/2026</t>
  </si>
  <si>
    <t>06/05/2026</t>
  </si>
  <si>
    <t>08/05/2026</t>
  </si>
  <si>
    <t>09/05/2026</t>
  </si>
  <si>
    <t>14/05/2026</t>
  </si>
  <si>
    <t>TOPS MARKET GARDEN, 2616055527687</t>
  </si>
  <si>
    <t>Siêu thị TOPS MARKET MOONLIGHT, 2617055613502</t>
  </si>
  <si>
    <t>Siêu thị GO! Bà Rịa, 2617055614532</t>
  </si>
  <si>
    <t>Siêu thị GO! Bà Rịa, 2617055614455</t>
  </si>
  <si>
    <t>Siêu thị Hải Phòng, 2617055588032</t>
  </si>
  <si>
    <t>Siêu thị Hải Dương, 2618055687312</t>
  </si>
  <si>
    <t>Siêu thị GO Cần Thơ, 2617055642743</t>
  </si>
  <si>
    <t>Siêu thị Hải Dương, 2617055579419</t>
  </si>
  <si>
    <t>Siêu thị Mê Linh, 2617055669162</t>
  </si>
  <si>
    <t>Siêu thị Long Biên, 2618055699643</t>
  </si>
  <si>
    <t>Siêu thị Bắc Giang, 2618055694796</t>
  </si>
  <si>
    <t>TOPS MARKET HỒ GƯƠM, 2618055704762</t>
  </si>
  <si>
    <t>TOPS MARKET ECO GREEN, 2618055704218</t>
  </si>
  <si>
    <t>Giao hàng tại Siêu thị GO! HÀ NAM, 2618055690698</t>
  </si>
  <si>
    <t>SIÊU THỊ go! HƯƠNG TRÀ, 2618055689139</t>
  </si>
  <si>
    <t>Siêu thị go! Tam Kỳ, 2617055673374</t>
  </si>
  <si>
    <t>Siêu thị go! Phú Mỹ, 2617055673480</t>
  </si>
  <si>
    <t>Giao hàng tại Siêu thị Go! Tân Uyên, 2617055673358</t>
  </si>
  <si>
    <t>Siêu thị Hải Phòng, 2617055671753</t>
  </si>
  <si>
    <t>Siêu thị Hạ Long, 2617055664541</t>
  </si>
  <si>
    <t>Giao hàng tại Siêu thị GO! HÀ NAM, 2617055638914</t>
  </si>
  <si>
    <t>Siêu thị Thăng Long, 2617055639944</t>
  </si>
  <si>
    <t>Siêu thị Thăng Long, 2618055702450</t>
  </si>
  <si>
    <t>Siêu thị Nam Định, 2618055746969</t>
  </si>
  <si>
    <t>Siêu thị GO Gò Dầu, 2618055754250</t>
  </si>
  <si>
    <t>Siêu thị go! Nhơn Trạch, 2618055753995</t>
  </si>
  <si>
    <t>GO! Đồng Nai, 2618055776272</t>
  </si>
  <si>
    <t>Siêu thị Mê Linh, 2618055750437</t>
  </si>
  <si>
    <t>Siêu thị Tops Market Thảo Điền, 2618055770869</t>
  </si>
  <si>
    <t>Siêu thị Hải Dương, 2619055838559</t>
  </si>
  <si>
    <t>Siêu thị Gò Vấp, 2619055854008</t>
  </si>
  <si>
    <t>Siêu thị Bình Dương, 2619055853979</t>
  </si>
  <si>
    <t>Siêu thị Tân Hiệp, 2619055854375</t>
  </si>
  <si>
    <t>Siêu thị Vinh, 2619055852216</t>
  </si>
  <si>
    <t>Siêu thị Đà Nẵng, 2619055852567</t>
  </si>
  <si>
    <t>Siêu thị Miền Đông, 2619055854548</t>
  </si>
  <si>
    <t>Siêu thị Trường Chinh, 2619055865407</t>
  </si>
  <si>
    <t>Siêu thị go! Nhơn Trạch, 2619055843727</t>
  </si>
  <si>
    <t>Giao hàng tại Siêu thị GO! Ninh Thuận, 2619055844588</t>
  </si>
  <si>
    <t>Giao hàng tại Siêu thị GO! BẠC LIÊU, 2619055860822</t>
  </si>
  <si>
    <t>Siêu thị Đà Lạt, 2619055853027</t>
  </si>
  <si>
    <t>Siêu thị go! Tam Kỳ, 2619055844474</t>
  </si>
  <si>
    <t>Siêu thị Hạ Long, 2619055850828</t>
  </si>
  <si>
    <t>Giao hàng tại Siêu thị GO! NINH BÌNH, 2619055862345</t>
  </si>
  <si>
    <t>Siêu thị GO Nguyễn Thị Thập, 2619055854045</t>
  </si>
  <si>
    <t>Siêu thị GO Mỹ Tho, 2619055847693</t>
  </si>
  <si>
    <t>Siêu thị Quy Nhơn, 2619055857626</t>
  </si>
  <si>
    <t>TOPS MARKET HỒ GƯƠM, 2619055839714</t>
  </si>
  <si>
    <t>Siêu thị GO Lào Cai, 2619055866116</t>
  </si>
  <si>
    <t>Siêu thị GO Buôn Ma Thuột, 2619055848397</t>
  </si>
  <si>
    <t>Siêu thị GO! Bến Tre, 2619055864146</t>
  </si>
  <si>
    <t>Siêu thị GO Thái Nguyên, 2619055862609</t>
  </si>
  <si>
    <t>Giao hàng tại Siêu thị go! AN NHƠN, 2619055842257</t>
  </si>
  <si>
    <t>Siêu thị GO Dĩ An, 2619055853355</t>
  </si>
  <si>
    <t>Siêu thị Nam Định, 2619055852441</t>
  </si>
  <si>
    <t>Siêu thị Long Biên, 2619055852274</t>
  </si>
  <si>
    <t>Siêu thị Hải Phòng, 2619055853169</t>
  </si>
  <si>
    <t>Siêu thị Thanh Hóa, 2619055850759</t>
  </si>
  <si>
    <t>Siêu thị GO Cần Thơ, 2619055850304</t>
  </si>
  <si>
    <t>Siêu thị Việt Trì, 2619055861668</t>
  </si>
  <si>
    <t>Siêu thị Nha Trang, 2619055905359</t>
  </si>
  <si>
    <t>Siêu thị Miền Đông, 2619055954153</t>
  </si>
  <si>
    <t>Siêu thị Nam Định, 2619055952272</t>
  </si>
  <si>
    <t>Siêu thị Thăng Long, 2619055963433</t>
  </si>
  <si>
    <t>Siêu thị Đà Lạt, 2619055952564</t>
  </si>
  <si>
    <t>Siêu thị Đà Nẵng, 2619055960062</t>
  </si>
  <si>
    <t>Siêu thị Tops Market Thảo Điền, 2619055952965</t>
  </si>
  <si>
    <t>Siêu thị Long Biên, 2619055952576</t>
  </si>
  <si>
    <t>Siêu thị go! Phú Mỹ, 2619055911043</t>
  </si>
  <si>
    <t>Giao hàng tại Siêu thị go! Điện Bàn, 2619055911047</t>
  </si>
  <si>
    <t>Giao hàng tại Siêu thị go! Hồng Ngự, 2619055909838</t>
  </si>
  <si>
    <t>SIÊU THỊ go! HƯƠNG TRÀ, 2619055909549</t>
  </si>
  <si>
    <t>Siêu thị go! LỘC NINH, 2619055909526</t>
  </si>
  <si>
    <t>00003887</t>
  </si>
  <si>
    <t>00003888</t>
  </si>
  <si>
    <t>00003889</t>
  </si>
  <si>
    <t>00003890</t>
  </si>
  <si>
    <t>00003891</t>
  </si>
  <si>
    <t>00003894</t>
  </si>
  <si>
    <t>00003896</t>
  </si>
  <si>
    <t>00003897</t>
  </si>
  <si>
    <t>00003898</t>
  </si>
  <si>
    <t>00003899</t>
  </si>
  <si>
    <t>00003900</t>
  </si>
  <si>
    <t>00003901</t>
  </si>
  <si>
    <t>00003902</t>
  </si>
  <si>
    <t>00003903</t>
  </si>
  <si>
    <t>00003904</t>
  </si>
  <si>
    <t>00003905</t>
  </si>
  <si>
    <t>00003906</t>
  </si>
  <si>
    <t>00003907</t>
  </si>
  <si>
    <t>00003908</t>
  </si>
  <si>
    <t>00003909</t>
  </si>
  <si>
    <t>00003910</t>
  </si>
  <si>
    <t>00003911</t>
  </si>
  <si>
    <t>00003913</t>
  </si>
  <si>
    <t>00003914</t>
  </si>
  <si>
    <t>00003915</t>
  </si>
  <si>
    <t>00003917</t>
  </si>
  <si>
    <t>00003918</t>
  </si>
  <si>
    <t>00003919</t>
  </si>
  <si>
    <t>00004000</t>
  </si>
  <si>
    <t>00004001</t>
  </si>
  <si>
    <t>00004002</t>
  </si>
  <si>
    <t>00004131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</si>
  <si>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</si>
  <si>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</si>
  <si>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</si>
  <si>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</si>
  <si>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</si>
  <si>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</si>
  <si>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</si>
  <si>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</si>
  <si>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00004142</t>
  </si>
  <si>
    <t>00004143</t>
  </si>
  <si>
    <t>00004144</t>
  </si>
  <si>
    <t>00004145</t>
  </si>
  <si>
    <t>00004146</t>
  </si>
  <si>
    <t>00004147</t>
  </si>
  <si>
    <t>00004148</t>
  </si>
  <si>
    <t>00004149</t>
  </si>
  <si>
    <t>00004150</t>
  </si>
  <si>
    <t>00004151</t>
  </si>
  <si>
    <t>00004152</t>
  </si>
  <si>
    <t>00004154</t>
  </si>
  <si>
    <t>00004155</t>
  </si>
  <si>
    <t>00004156</t>
  </si>
  <si>
    <t>00004157</t>
  </si>
  <si>
    <t>00004160</t>
  </si>
  <si>
    <t>00004161</t>
  </si>
  <si>
    <t>00004162</t>
  </si>
  <si>
    <t>00004163</t>
  </si>
  <si>
    <t>00004164</t>
  </si>
  <si>
    <t>00004165</t>
  </si>
  <si>
    <t>00004166</t>
  </si>
  <si>
    <t>00004167</t>
  </si>
  <si>
    <t>00004168</t>
  </si>
  <si>
    <t>00004178</t>
  </si>
  <si>
    <t>Siêu thị Đà Nẵng, 2620056009738</t>
  </si>
  <si>
    <t>Siêu thị Hải Phòng, 2620056015196</t>
  </si>
  <si>
    <t>TOPS MARKET HỒ GƯƠM, 2620056013420</t>
  </si>
  <si>
    <t>Siêu thị Thăng Long, 2620056006208</t>
  </si>
  <si>
    <t>Siêu thị GO Vĩnh Phúc, 2620056003373</t>
  </si>
  <si>
    <t>Siêu thị GO Mỹ Tho, 2620056010669</t>
  </si>
  <si>
    <t>TOPS MARKET GARDEN, 2620056015010</t>
  </si>
  <si>
    <t>Siêu thị Vinh, 2620056003188</t>
  </si>
  <si>
    <t>Siêu thị GO Vĩnh Phúc, 2620056011231</t>
  </si>
  <si>
    <t>Siêu thị Nam Định, 2620056003865</t>
  </si>
  <si>
    <t>Siêu thị Long Biên, 2620056003783</t>
  </si>
  <si>
    <t>Siêu thị Hạ Long, 2620056010774</t>
  </si>
  <si>
    <t>Giao hàng tại Siêu thị GO! NINH BÌNH, 2620056002249</t>
  </si>
  <si>
    <t>Siêu thị Việt Trì, 2620056000922</t>
  </si>
  <si>
    <t>Siêu thị Bắc Giang, 2620056001963</t>
  </si>
  <si>
    <t>Siêu thị GO Quảng Ngãi, 2620055999363</t>
  </si>
  <si>
    <t>Giao hàng tại Siêu thị GO! HÀ NAM, 2620055996552</t>
  </si>
  <si>
    <t>Giao hàng tại Siêu thị GO! YÊN BÁI, 2620056011342</t>
  </si>
  <si>
    <t>Siêu thị go! Phú Mỹ, 2620055996572</t>
  </si>
  <si>
    <t>Giao hàng tại Siêu thị Go! Tân Uyên, 2620055996180</t>
  </si>
  <si>
    <t>Giao hàng tại Siêu thị go! Điện Bàn, 2620055996697</t>
  </si>
  <si>
    <t>Giao hàng tại SIÊU THỊ go! LẤP VÒ, 2620055994923</t>
  </si>
  <si>
    <t>Siêu thị Hải Dương, 2620055991435</t>
  </si>
  <si>
    <t>Siêu thị go! Tam Kỳ, 2620055970728</t>
  </si>
  <si>
    <t>Giao hàng tại Siêu thị Go! Tân Uyên, 2620055970722</t>
  </si>
  <si>
    <t>Siêu thị Hải Phòng, 2620056004543</t>
  </si>
  <si>
    <t>Siêu thị GO Lào Cai, 2620056015002</t>
  </si>
  <si>
    <t>Siêu thị GO Gò Dầu, 2620055970713</t>
  </si>
  <si>
    <t>Siêu thị Nha Trang, 2620056055299</t>
  </si>
  <si>
    <t>Siêu thị Mê Linh, 2620056053344</t>
  </si>
  <si>
    <t>Siêu thị Nam Định, 2620056059903</t>
  </si>
  <si>
    <t>Siêu thị go! Phú Mỹ, 2620056065512</t>
  </si>
  <si>
    <t>Giao hàng tại Siêu thị Go! Tân Uyên, 2620056065635</t>
  </si>
  <si>
    <t>Siêu thị Huế, 2620056105143</t>
  </si>
  <si>
    <t>Siêu thị Miền Đông, 2620056106983</t>
  </si>
  <si>
    <t>Siêu thị Vinh, 2620056103972</t>
  </si>
  <si>
    <t>Siêu thị Tân Hiệp, 2620056106450</t>
  </si>
  <si>
    <t>Siêu thị Hải Dương, 2620056118371</t>
  </si>
  <si>
    <t>Siêu thị GO Vĩnh Phúc, 2620056104783</t>
  </si>
  <si>
    <t>Siêu thị Nam Định, 2620056104200</t>
  </si>
  <si>
    <t>Siêu thị Long Biên, 2620056105613</t>
  </si>
  <si>
    <t>Siêu thị Đà Nẵng, 2620056105419</t>
  </si>
  <si>
    <t>Siêu thị Hạ Long, 2620056104646</t>
  </si>
  <si>
    <t>Siêu thị Bắc Giang, 2620056103691</t>
  </si>
  <si>
    <t>Siêu thị Tops Market An Phú, 2620056104039</t>
  </si>
  <si>
    <t>Siêu thị Mê Linh, 2620056102821</t>
  </si>
  <si>
    <t>Siêu thị GO Dĩ An, 2620056105898</t>
  </si>
  <si>
    <t>Siêu thị Bình Dương, 2620056105920</t>
  </si>
  <si>
    <t>Siêu thị Thanh Hóa, 2620056104492</t>
  </si>
  <si>
    <t>Siêu thị Nha Trang, 2621056141665</t>
  </si>
  <si>
    <t>Siêu thị GO! Bà Rịa, 2621056141781</t>
  </si>
  <si>
    <t>Siêu thị GO Thái Nguyên, 2621056166239</t>
  </si>
  <si>
    <t>Siêu thị GO Quảng Ngãi, 2621056164362</t>
  </si>
  <si>
    <t>Siêu thị Tops Market Âu Cơ, 2621056165160</t>
  </si>
  <si>
    <t>Siêu thị GO Mỹ Tho, 2621056152378</t>
  </si>
  <si>
    <t>Siêu thị GO Quảng Ngãi, 2621056152773</t>
  </si>
  <si>
    <t>Siêu thị GO Nguyễn Thị Thập, 2621056158964</t>
  </si>
  <si>
    <t>TOPS MARKET HỒ GƯƠM, 2621056169323</t>
  </si>
  <si>
    <t>Siêu thị Bắc Giang, 2621056154838</t>
  </si>
  <si>
    <t>Siêu thị Hạ Long, 2621056155612</t>
  </si>
  <si>
    <t>Siêu thị Quy Nhơn, 2621056163198</t>
  </si>
  <si>
    <t>Siêu thị Đà Lạt, 2621056157422</t>
  </si>
  <si>
    <t>Giao hàng tại Siêu thị GO! BẠC LIÊU, 2621056163054</t>
  </si>
  <si>
    <t>Giao hàng tại Siêu thị GO! HÀ NAM, 2621056148908</t>
  </si>
  <si>
    <t>SIÊU THỊ go! HƯƠNG TRÀ, 2621056147165</t>
  </si>
  <si>
    <t>Giao hàng tại Siêu thị go! AN NHƠN, 2621056147628</t>
  </si>
  <si>
    <t>Giao hàng tại Siêu thị Go! Tân Uyên, 2621056149146</t>
  </si>
  <si>
    <t>Giao hàng tại Siêu thị go! Hồng Ngự, 2621056147658</t>
  </si>
  <si>
    <t>Siêu thị go! Tam Kỳ, 2621056150008</t>
  </si>
  <si>
    <t>Giao hàng tại Siêu thị go! Điện Bàn, 2621056149219</t>
  </si>
  <si>
    <t>Siêu thị Hải Dương, 2621056165023</t>
  </si>
  <si>
    <t>Siêu thị Thanh Hóa, 2621056155641</t>
  </si>
  <si>
    <t>Giao hàng tại Siêu thị GO! HƯNG YÊN, 2621056165836</t>
  </si>
  <si>
    <t>Siêu thị GO Vĩnh Phúc, 2621056156613</t>
  </si>
  <si>
    <t>Siêu thị Vinh, 2621056156324</t>
  </si>
  <si>
    <t>siêu thị GO An Lạc, 2621056166446</t>
  </si>
  <si>
    <t>Siêu thị Thăng Long, 2621056166784</t>
  </si>
  <si>
    <t>Siêu thị Gò Vấp, 2621056166807</t>
  </si>
  <si>
    <t>Siêu thị Tân Hiệp, 2621056159122</t>
  </si>
  <si>
    <t>Siêu thị GO Cần Thơ, 2621056155558</t>
  </si>
  <si>
    <t>Siêu thị Bình Dương, 2621056158385</t>
  </si>
  <si>
    <t>Siêu thị Miền Đông, 2621056159434</t>
  </si>
  <si>
    <t>Siêu thị Đà Nẵng, 2621056162691</t>
  </si>
  <si>
    <t>Siêu thị Long Biên, 2621056157750</t>
  </si>
  <si>
    <t>Siêu thị Go! Phú Thạnh, 2621056159226</t>
  </si>
  <si>
    <t>Siêu thị go! Nhơn Trạch, 2621056169839</t>
  </si>
  <si>
    <t>16/05/2026</t>
  </si>
  <si>
    <t>19/05/2026</t>
  </si>
  <si>
    <t>21/05/2026</t>
  </si>
  <si>
    <t>23/05/2026</t>
  </si>
  <si>
    <t>00004237</t>
  </si>
  <si>
    <t>00004368</t>
  </si>
  <si>
    <t>00004442</t>
  </si>
  <si>
    <t>00004443</t>
  </si>
  <si>
    <t>00004455</t>
  </si>
  <si>
    <t>00004467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</si>
  <si>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</si>
  <si>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</si>
  <si>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</si>
  <si>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</si>
  <si>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</si>
  <si>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</si>
  <si>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</si>
  <si>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</si>
  <si>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</si>
  <si>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</si>
  <si>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</si>
  <si>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</si>
  <si>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00004480</t>
  </si>
  <si>
    <t>00004481</t>
  </si>
  <si>
    <t>00004482</t>
  </si>
  <si>
    <t>00004483</t>
  </si>
  <si>
    <t>00004522</t>
  </si>
  <si>
    <t>00004631</t>
  </si>
  <si>
    <t>00004632</t>
  </si>
  <si>
    <t>00004633</t>
  </si>
  <si>
    <t>00004656</t>
  </si>
  <si>
    <t>00004657</t>
  </si>
  <si>
    <t>26/05/2026</t>
  </si>
  <si>
    <t>30/05/2026</t>
  </si>
  <si>
    <t>02/06/2026</t>
  </si>
  <si>
    <t>05/06/2026</t>
  </si>
  <si>
    <t>06/06/2026</t>
  </si>
  <si>
    <t>09/06/2026</t>
  </si>
  <si>
    <t>11/06/2026</t>
  </si>
  <si>
    <t>Siêu thị GO Cần Thơ, 2621056203168</t>
  </si>
  <si>
    <t>Giao hàng tại Siêu thị Go! Tân Uyên, 2622056290913</t>
  </si>
  <si>
    <t>Siêu thị go! Nhơn Trạch, 2622056291163</t>
  </si>
  <si>
    <t>Giao hàng tại SIÊU THỊ go! THANH BÌNH, 2622056289486</t>
  </si>
  <si>
    <t>Giao hàng tại SIÊU THỊ go! GÒ CÔNG TÂY, 2622056288943</t>
  </si>
  <si>
    <t>Giao hàng tại Siêu thị GO! YÊN BÁI, 2622056307483</t>
  </si>
  <si>
    <t>Siêu thị GO Gò Dầu, 2622056291420</t>
  </si>
  <si>
    <t>Siêu thị go! Tam Kỳ, 2622056291653</t>
  </si>
  <si>
    <t>Siêu thị GO Thái Nguyên, 2622056307972</t>
  </si>
  <si>
    <t>Siêu thị GO Thái Bình, 2622056309643</t>
  </si>
  <si>
    <t>Siêu thị Hạ Long, 2622056297024</t>
  </si>
  <si>
    <t>Giao hàng tại Siêu thị GO! NINH BÌNH, 2622056296191</t>
  </si>
  <si>
    <t>Siêu thị Mê Linh, 2622056309953</t>
  </si>
  <si>
    <t>Siêu thị Hải Dương, 2622056307545</t>
  </si>
  <si>
    <t>Siêu thị Nam Định, 2622056307054</t>
  </si>
  <si>
    <t>Siêu thị GO Vĩnh Phúc, 2622056298518</t>
  </si>
  <si>
    <t>Siêu thị Vinh, 2622056297441</t>
  </si>
  <si>
    <t>Siêu thị Thăng Long, 2622056300814</t>
  </si>
  <si>
    <t>Siêu thị go! Phú Mỹ, 2622056291067</t>
  </si>
  <si>
    <t>Giao hàng tại SIÊU THỊ go! LẤP VÒ, 2622056289354</t>
  </si>
  <si>
    <t>Siêu thị Tops Market Thảo Điền, 2621056250383</t>
  </si>
  <si>
    <t>Siêu thị Ninh Bình, 2621056248797</t>
  </si>
  <si>
    <t>Siêu thị Trường Chinh, 2621056250993</t>
  </si>
  <si>
    <t>Siêu thị Bình Dương, 2621056250191</t>
  </si>
  <si>
    <t>Siêu thị Hải Dương, 2621056236419</t>
  </si>
  <si>
    <t>Siêu thị Long Biên, 2621056249490</t>
  </si>
  <si>
    <t>Siêu thị Vinh, 2621056248406</t>
  </si>
  <si>
    <t>Siêu thị Hải Phòng, 2621056250759</t>
  </si>
  <si>
    <t>Siêu thị Thăng Long, 2621056257294</t>
  </si>
  <si>
    <t>Siêu thị Miền Đông, 2621056251355</t>
  </si>
  <si>
    <t>GO! Đồng Nai, 2621056251514</t>
  </si>
  <si>
    <t>Siêu thị GO Lào Cai, 2621056242455</t>
  </si>
  <si>
    <t>TOPS MARKET ECO GREEN, 2622056284409</t>
  </si>
  <si>
    <t>Siêu thị Long Biên, 2621056262554</t>
  </si>
  <si>
    <t>Siêu thị Nam Định, 2621056249900</t>
  </si>
  <si>
    <t>Siêu thị Bắc Giang, 2622056355772</t>
  </si>
  <si>
    <t>GO! Đồng Nai, 2622056342674</t>
  </si>
  <si>
    <t>Siêu thị go! Phú Mỹ, 2622056361071</t>
  </si>
  <si>
    <t>Siêu thị Quy Nhơn, 2622056398820</t>
  </si>
  <si>
    <t>Siêu thị Tops Market An Phú, 2622056400422</t>
  </si>
  <si>
    <t>Siêu thị GO Vĩnh Phúc, 2622056402047</t>
  </si>
  <si>
    <t>Siêu thị Việt Trì, 2622056397535</t>
  </si>
  <si>
    <t>Siêu thị Vinh, 2622056400526</t>
  </si>
  <si>
    <t>Siêu thị Go! Phú Thạnh, 2622056402395</t>
  </si>
  <si>
    <t>Siêu thị Huế, 2622056400940</t>
  </si>
  <si>
    <t>Siêu thị Đà Nẵng, 2622056406409</t>
  </si>
  <si>
    <t>Siêu thị Gò Vấp, 2622056407140</t>
  </si>
  <si>
    <t>Siêu thị Đà Nẵng, 2622056401049</t>
  </si>
  <si>
    <t>Siêu thị GO Buôn Ma Thuột, 2622056399231</t>
  </si>
  <si>
    <t>Siêu thị Hải Phòng, 2622056402560</t>
  </si>
  <si>
    <t>Giao hàng tại Siêu thị GO! HÀ NAM, 2622056391847</t>
  </si>
  <si>
    <t>Siêu thị Bắc Giang, 2622056398553</t>
  </si>
  <si>
    <t>Siêu thị Thanh Hóa, 2622056415426</t>
  </si>
  <si>
    <t>Siêu thị GO! Bà Rịa, 2622056388378</t>
  </si>
  <si>
    <t>Siêu thị Hải Phòng, 2622056415427</t>
  </si>
  <si>
    <t>Siêu thị Mê Linh, 2623056451696</t>
  </si>
  <si>
    <t>Siêu thị Long Biên, 2623056454873</t>
  </si>
  <si>
    <t>Siêu thị Nam Định, 2623056464376</t>
  </si>
  <si>
    <t>Siêu thị GO Vĩnh Phúc, 2623056462775</t>
  </si>
  <si>
    <t>Siêu thị Vinh, 2623056454500</t>
  </si>
  <si>
    <t>Siêu thị GO Vĩnh Phúc, 2623056454941</t>
  </si>
  <si>
    <t>Siêu thị Go! Phú Thạnh, 2623056456444</t>
  </si>
  <si>
    <t>Siêu thị Gò Vấp, 2623056463466</t>
  </si>
  <si>
    <t>TOPS MARKET GARDEN, 2623056464917</t>
  </si>
  <si>
    <t>Siêu thị Hải Phòng, 2623056456448</t>
  </si>
  <si>
    <t>Siêu thị Đà Nẵng, 2623056466493</t>
  </si>
  <si>
    <t>Siêu thị Miền Đông, 2623056456922</t>
  </si>
  <si>
    <t>Siêu thị Thăng Long, 2623056464554</t>
  </si>
  <si>
    <t>siêu thị GO An Lạc, 2623056457152</t>
  </si>
  <si>
    <t>Siêu thị Thanh Hóa, 2623056462396</t>
  </si>
  <si>
    <t>GO! Đồng Nai, 2623056457312</t>
  </si>
  <si>
    <t>Giao hàng tại Siêu thị go! Điện Bàn, 2623056446349</t>
  </si>
  <si>
    <t>Giao hàng tại Siêu thị go! Hòa Thành, 2623056445647</t>
  </si>
  <si>
    <t>Siêu thị Việt Trì, 2623056462597</t>
  </si>
  <si>
    <t>Giao hàng tại Siêu thị GO! NINH BÌNH, 2623056452476</t>
  </si>
  <si>
    <t>Siêu thị Trường Chinh, 2623056456194</t>
  </si>
  <si>
    <t>Siêu thị GO Cần Thơ, 2623056452607</t>
  </si>
  <si>
    <t>Siêu thị GO Dĩ An, 2623056455485</t>
  </si>
  <si>
    <t>Siêu thị GO Buôn Ma Thuột, 2623056451487</t>
  </si>
  <si>
    <t>Siêu thị GO Nguyễn Thị Thập, 2623056456746</t>
  </si>
  <si>
    <t>Siêu thị Bắc Giang, 2623056451288</t>
  </si>
  <si>
    <t>Siêu thị Quy Nhơn, 2623056462073</t>
  </si>
  <si>
    <t>Siêu thị Hạ Long, 2623056461625</t>
  </si>
  <si>
    <t>Siêu thị Đà Lạt, 2623056455746</t>
  </si>
  <si>
    <t>Siêu thị Củ Chi, 2623056443854</t>
  </si>
  <si>
    <t>Siêu thị go! LỘC NINH, 2623056444179</t>
  </si>
  <si>
    <t>Siêu thị GO Trà Vinh, 2623056451649</t>
  </si>
  <si>
    <t>Siêu thị GO Quảng Ngãi, 2623056449946</t>
  </si>
  <si>
    <t>Giao hàng tại Siêu thị Go! Tân Uyên, 2623056446716</t>
  </si>
  <si>
    <t>Siêu thị go! Nhơn Trạch, 2623056446746</t>
  </si>
  <si>
    <t>Siêu thị go! Phú Mỹ, 2623056467685</t>
  </si>
  <si>
    <t>Siêu thị GO Gò Dầu, 2623056446875</t>
  </si>
  <si>
    <t>Giao hàng tại Siêu thị GO! Ninh Thuận, 2623056465147</t>
  </si>
  <si>
    <t>Giao hàng tại Siêu thị GO! HÀ NAM, 2623056446450</t>
  </si>
  <si>
    <t>Siêu thị GO Lào Cai, 2623056467204</t>
  </si>
  <si>
    <t>Siêu thị GO! Bến Tre, 2623056448855</t>
  </si>
  <si>
    <t>Giao hàng tại Siêu thị go! AN NHƠN, 2623056444761</t>
  </si>
  <si>
    <t>Siêu thị GO! Bà Rịa, 2623056503382</t>
  </si>
  <si>
    <t>Siêu thị GO! Bà Rịa, 2623056507635</t>
  </si>
  <si>
    <t>Siêu thị Hải Dương, 2623056467111</t>
  </si>
  <si>
    <t>Siêu thị go! Phú Mỹ, 2623056508918</t>
  </si>
  <si>
    <t>Siêu thị go! Phú Mỹ, 2623056514654</t>
  </si>
  <si>
    <t>Siêu thị Long Biên, 2623056551949</t>
  </si>
  <si>
    <t>Siêu thị Thăng Long, 2623056559513</t>
  </si>
  <si>
    <t>Siêu thị GO Thái Bình, 2623056560722</t>
  </si>
  <si>
    <t>Siêu thị GO Thái Nguyên, 2623056558166</t>
  </si>
  <si>
    <t>Siêu thị GO Quảng Ngãi, 2623056546789</t>
  </si>
  <si>
    <t>Siêu thị GO Nguyễn Thị Thập, 2623056553534</t>
  </si>
  <si>
    <t>Siêu thị Bắc Giang, 2623056549829</t>
  </si>
  <si>
    <t>Siêu thị Hải Phòng, 2623056508918</t>
  </si>
  <si>
    <t>Tên khác hàng: CÔNG TY TNHH DỊCH VỤ EB</t>
  </si>
  <si>
    <t>00004746</t>
  </si>
  <si>
    <t>00004747</t>
  </si>
  <si>
    <t>00004748</t>
  </si>
  <si>
    <t>00004749</t>
  </si>
  <si>
    <t>00004750</t>
  </si>
  <si>
    <t>00004751</t>
  </si>
  <si>
    <t>00004752</t>
  </si>
  <si>
    <t>00004754</t>
  </si>
  <si>
    <t>00004755</t>
  </si>
  <si>
    <t>00004756</t>
  </si>
  <si>
    <t>00004757</t>
  </si>
  <si>
    <t>00004760</t>
  </si>
  <si>
    <t>00004761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</si>
  <si>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</si>
  <si>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</si>
  <si>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</si>
  <si>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</si>
  <si>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</si>
  <si>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</si>
  <si>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</si>
  <si>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</si>
  <si>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</si>
  <si>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</si>
  <si>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</si>
  <si>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</si>
  <si>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</si>
  <si>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</si>
  <si>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</si>
  <si>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00004833</t>
  </si>
  <si>
    <t>00004869</t>
  </si>
  <si>
    <t>00004910</t>
  </si>
  <si>
    <t>00004911</t>
  </si>
  <si>
    <t>00004930</t>
  </si>
  <si>
    <t>00004931</t>
  </si>
  <si>
    <t>00004932</t>
  </si>
  <si>
    <t>00004933</t>
  </si>
  <si>
    <t>00004934</t>
  </si>
  <si>
    <t>00004935</t>
  </si>
  <si>
    <t>13/06/2026</t>
  </si>
  <si>
    <t>15/06/2026</t>
  </si>
  <si>
    <t>16/06/2026</t>
  </si>
  <si>
    <t>17/06/2026</t>
  </si>
  <si>
    <t>Giao hàng tại SIÊU THỊ go! LẤP VÒ, 2624056594367</t>
  </si>
  <si>
    <t>Giao hàng tại Siêu thị go! AN NHƠN, 2624056595293</t>
  </si>
  <si>
    <t>Siêu thị Củ Chi, 2624056594403</t>
  </si>
  <si>
    <t>Giao hàng tại Siêu thị GO! HƯNG YÊN, 2624056617865</t>
  </si>
  <si>
    <t>Siêu thị GO Quảng Ngãi, 2624056599833</t>
  </si>
  <si>
    <t>Giao hàng tại Siêu thị GO! HÀ NAM, 2624056617257</t>
  </si>
  <si>
    <t>Siêu thị go! Tam Kỳ, 2624056597268</t>
  </si>
  <si>
    <t>Siêu thị GO Thái Nguyên, 2624056616219</t>
  </si>
  <si>
    <t>TOPS MARKET LE TRONG TAN, 2624056617818</t>
  </si>
  <si>
    <t>Siêu thị Hạ Long, 2624056602187</t>
  </si>
  <si>
    <t>TOPS MARKET HỒ GƯƠM, 2624056617857</t>
  </si>
  <si>
    <t>Giao hàng tại Siêu thị go! Hồng Ngự, 2624056595089</t>
  </si>
  <si>
    <t>Giao hàng tại Siêu thị go! Hòa Thành, 2624056618140</t>
  </si>
  <si>
    <t>Siêu thị go! Nhơn Trạch, 2624056596855</t>
  </si>
  <si>
    <t>Siêu thị Long Biên, 2624056603568</t>
  </si>
  <si>
    <t>Siêu thị Tân Hiệp, 2624056612915</t>
  </si>
  <si>
    <t>Siêu thị Thanh Hóa, 2624056602898</t>
  </si>
  <si>
    <t>Siêu thị Thăng Long, 2624056614251</t>
  </si>
  <si>
    <t>Siêu thị Việt Trì, 2624056600644</t>
  </si>
  <si>
    <t>Siêu thị Hải Phòng, 2624056617743</t>
  </si>
  <si>
    <t>Siêu thị Hải Phòng, 2624056604891</t>
  </si>
  <si>
    <t>Siêu thị Đà Nẵng, 2624056611376</t>
  </si>
  <si>
    <t>TOPS MARKET GARDEN, 2624056613025</t>
  </si>
  <si>
    <t>Siêu thị Vinh, 2624056603791</t>
  </si>
  <si>
    <t>Siêu thị GO Vĩnh Phúc, 2624056617013</t>
  </si>
  <si>
    <t>Siêu thị GO Vĩnh Phúc, 2624056604456</t>
  </si>
  <si>
    <t>Siêu thị Ninh Bình, 2624056610585</t>
  </si>
  <si>
    <t>Giao hàng tại Siêu thị Go! Tân Uyên, 2624056596948</t>
  </si>
  <si>
    <t>Siêu thị go! Phú Mỹ, 2624056596618</t>
  </si>
  <si>
    <t>Siêu thị GO Gò Dầu, 2624056596975</t>
  </si>
  <si>
    <t>Siêu thị Hải Phòng, 2623056566019</t>
  </si>
  <si>
    <t>Siêu thị Mê Linh, 2624056601846</t>
  </si>
  <si>
    <t>Siêu thị Hải Dương, 2624056589551</t>
  </si>
  <si>
    <t>Siêu thị Nam Định, 2624056603948</t>
  </si>
  <si>
    <t>Siêu thị TOPS MARKET MOONLIGHT,2624056655147</t>
  </si>
  <si>
    <t>Siêu thị Nam Định, 2624056665580</t>
  </si>
  <si>
    <t>Siêu thị TOPS MARKET MOONLIGHT, 2624056655199</t>
  </si>
  <si>
    <t>siêu thị GO An Lạc, 2624056693185</t>
  </si>
  <si>
    <t>Giao hàng tại SIÊU THỊ go! LẤP VÒ, 2624056670719</t>
  </si>
  <si>
    <t>Siêu thị go! Tam Kỳ, 2624056673624</t>
  </si>
  <si>
    <t>Siêu thị go! LỘC NINH, 2624056670622</t>
  </si>
  <si>
    <t>Siêu thị GO Gò Dầu, 2624056673533</t>
  </si>
  <si>
    <t>Giao hàng tại Siêu thị Go! Tân Uyên, 2624056673319</t>
  </si>
  <si>
    <t>SIÊU THỊ go! HƯƠNG TRÀ, 2624056670867</t>
  </si>
  <si>
    <t>ghi nhận CN</t>
  </si>
  <si>
    <t>00005011</t>
  </si>
  <si>
    <t>00005014</t>
  </si>
  <si>
    <t>00005024</t>
  </si>
  <si>
    <t>00005025</t>
  </si>
  <si>
    <t>00005026</t>
  </si>
  <si>
    <t>00005031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</si>
  <si>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</si>
  <si>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</si>
  <si>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</si>
  <si>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</si>
  <si>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</si>
  <si>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</si>
  <si>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</si>
  <si>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</si>
  <si>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</si>
  <si>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</si>
  <si>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</si>
  <si>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</si>
  <si>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</si>
  <si>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</si>
  <si>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</si>
  <si>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</si>
  <si>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</si>
  <si>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</si>
  <si>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00005052</t>
  </si>
  <si>
    <t>00005053</t>
  </si>
  <si>
    <t>00005054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</si>
  <si>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</si>
  <si>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</si>
  <si>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</si>
  <si>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</si>
  <si>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</si>
  <si>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</si>
  <si>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</si>
  <si>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</si>
  <si>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</si>
  <si>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</si>
  <si>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</si>
  <si>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</si>
  <si>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</si>
  <si>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</si>
  <si>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00005101</t>
  </si>
  <si>
    <t>00005102</t>
  </si>
  <si>
    <t>00005144</t>
  </si>
  <si>
    <t>00005145</t>
  </si>
  <si>
    <t>00005147</t>
  </si>
  <si>
    <t>00005148</t>
  </si>
  <si>
    <t>00005149</t>
  </si>
  <si>
    <t>00005150</t>
  </si>
  <si>
    <t>00005151</t>
  </si>
  <si>
    <t>00005152</t>
  </si>
  <si>
    <t>00005153</t>
  </si>
  <si>
    <t>00005170</t>
  </si>
  <si>
    <t>00005171</t>
  </si>
  <si>
    <t>00005189</t>
  </si>
  <si>
    <t>00005195</t>
  </si>
  <si>
    <t>00005196</t>
  </si>
  <si>
    <t>00005204</t>
  </si>
  <si>
    <t>00005205</t>
  </si>
  <si>
    <t>00005206</t>
  </si>
  <si>
    <t>00005207</t>
  </si>
  <si>
    <t>00005208</t>
  </si>
  <si>
    <t>00005216</t>
  </si>
  <si>
    <t>00005218</t>
  </si>
  <si>
    <t>00005219</t>
  </si>
  <si>
    <t>00005223</t>
  </si>
  <si>
    <t>00005224</t>
  </si>
  <si>
    <t>00005225</t>
  </si>
  <si>
    <t>00005226</t>
  </si>
  <si>
    <t>00005227</t>
  </si>
  <si>
    <t>00005228</t>
  </si>
  <si>
    <t>19/06/2026</t>
  </si>
  <si>
    <t>23/06/2026</t>
  </si>
  <si>
    <t>24/06/2026</t>
  </si>
  <si>
    <t>25/06/2026</t>
  </si>
  <si>
    <t>26/06/2026</t>
  </si>
  <si>
    <t>27/06/2026</t>
  </si>
  <si>
    <t>Giao hàng tại Siêu thị GO! NINH BÌNH, 2624056712347</t>
  </si>
  <si>
    <t>Siêu thị GO Vĩnh Phúc, 2624056714048</t>
  </si>
  <si>
    <t>Siêu thị Miền Đông, 2624056715766</t>
  </si>
  <si>
    <t>Siêu thị Vinh, 2624056714064</t>
  </si>
  <si>
    <t>Siêu thị GO Cần Thơ, 2624056711771</t>
  </si>
  <si>
    <t>Siêu thị Long Biên, 2624056714609</t>
  </si>
  <si>
    <t>Siêu thị Long Biên, 2624056724632</t>
  </si>
  <si>
    <t>Siêu thị Thăng Long, 2624056716233</t>
  </si>
  <si>
    <t>GO! Đồng Nai, 2624056716020</t>
  </si>
  <si>
    <t>Siêu thị Hải Phòng, 2624056727478</t>
  </si>
  <si>
    <t>Siêu thị Nha Trang, 2624056713131</t>
  </si>
  <si>
    <t>TOPS MARKET HỒ GƯƠM, 2624056725683</t>
  </si>
  <si>
    <t>Siêu thị Đà Lạt, 2624056715227</t>
  </si>
  <si>
    <t>Siêu thị GO Thái Bình, 2624056722811</t>
  </si>
  <si>
    <t>Giao hàng tại Siêu thị GO! BẠC LIÊU, 2624056706392</t>
  </si>
  <si>
    <t>Siêu thị Bắc Giang, 2624056721701</t>
  </si>
  <si>
    <t>Siêu thị Hải Dương, 2625056752579</t>
  </si>
  <si>
    <t>Siêu thị Gò Vấp, 2625056774131</t>
  </si>
  <si>
    <t>Siêu thị Huế, 2625056775476</t>
  </si>
  <si>
    <t>TOPS MARKET GARDEN, 2625056776730</t>
  </si>
  <si>
    <t>Siêu thị Vinh, 2625056766847</t>
  </si>
  <si>
    <t>Siêu thị Go! Phú Thạnh, 2625056768345</t>
  </si>
  <si>
    <t>Siêu thị GO Vĩnh Phúc, 2625056766509</t>
  </si>
  <si>
    <t>Siêu thị GO Vĩnh Phúc, 2625056778231</t>
  </si>
  <si>
    <t>Siêu thị Tân Hiệp, 2625056769205</t>
  </si>
  <si>
    <t>Giao hàng tại Siêu thị GO! YÊN BÁI, 2625056775769</t>
  </si>
  <si>
    <t>Siêu thị GO Lào Cai, 2625056760047</t>
  </si>
  <si>
    <t>Siêu thị GO Gò Dầu, 2625056759269</t>
  </si>
  <si>
    <t>Giao hàng tại Siêu thị Go! Tân Uyên, 2625056758918</t>
  </si>
  <si>
    <t>Giao hàng tại Siêu thị go! Điện Bàn, 2625056758718</t>
  </si>
  <si>
    <t>Siêu thị go! Nhơn Trạch, 2625056758877</t>
  </si>
  <si>
    <t>Siêu thị go! Tam Kỳ, 2625056759472</t>
  </si>
  <si>
    <t>Siêu thị go! Phú Mỹ, 2625056758790</t>
  </si>
  <si>
    <t>Giao hàng tại Siêu thị go! Hòa Thành, 2625056758335</t>
  </si>
  <si>
    <t>Siêu thị GO Quảng Ngãi, 2625056762007</t>
  </si>
  <si>
    <t>Siêu thị GO Thái Nguyên, 2625056780187</t>
  </si>
  <si>
    <t>Giao hàng tại Siêu thị GO! BẠC LIÊU, 2625056776764</t>
  </si>
  <si>
    <t>Giao hàng tại Siêu thị GO! HÀ NAM, 2625056759025</t>
  </si>
  <si>
    <t>Giao hàng tại Siêu thị GO! Ninh Thuận, 2625056775869</t>
  </si>
  <si>
    <t>Siêu thị Thanh Hóa, 2625056765515</t>
  </si>
  <si>
    <t>TOPS MARKET LE TRONG TAN, 2625056778711</t>
  </si>
  <si>
    <t>Siêu thị GO Cần Thơ, 2625056773133</t>
  </si>
  <si>
    <t>Siêu thị Mê Linh, 2625056764460</t>
  </si>
  <si>
    <t>Siêu thị Bình Dương, 2625056768701</t>
  </si>
  <si>
    <t>Siêu thị Trường Chinh, 2625056767974</t>
  </si>
  <si>
    <t>Siêu thị GO Dĩ An, 2625056767763</t>
  </si>
  <si>
    <t>Siêu thị Việt Trì, 2625056778698</t>
  </si>
  <si>
    <t>Giao hàng tại Siêu thị GO! NINH BÌNH, 2625056764742</t>
  </si>
  <si>
    <t>Siêu thị Đà Lạt, 2625056768287</t>
  </si>
  <si>
    <t>TOPS MARKET HỒ GƯƠM, 2625056779102</t>
  </si>
  <si>
    <t>Siêu thị Hạ Long, 2625056764627</t>
  </si>
  <si>
    <t>Siêu thị Quy Nhơn, 2625056776137</t>
  </si>
  <si>
    <t>Siêu thị Bắc Giang, 2625056764209</t>
  </si>
  <si>
    <t>Siêu thị GO Nguyễn Thị Thập, 2625056769044</t>
  </si>
  <si>
    <t>siêu thị GO An Lạc, 2625056779963</t>
  </si>
  <si>
    <t>GO! Đồng Nai, 2625056769368</t>
  </si>
  <si>
    <t>Siêu thị Long Biên, 2625056766922</t>
  </si>
  <si>
    <t>Siêu thị Miền Đông, 2625056768857</t>
  </si>
  <si>
    <t>Siêu thị Hải Phòng, 2625056767299</t>
  </si>
  <si>
    <t>Siêu thị Thăng Long, 2625056769479</t>
  </si>
  <si>
    <t>Siêu thị Đà Nẵng, 2625056767373</t>
  </si>
  <si>
    <t>Siêu thị Tops Market Thảo Điền, 2625056787078</t>
  </si>
  <si>
    <t>Siêu thị Mê Linh, 2625056811727</t>
  </si>
  <si>
    <t>SIÊU THỊ go! HƯƠNG TRÀ, 2625056827108</t>
  </si>
  <si>
    <t>Giao hàng tại Siêu thị go! Điện Bàn, 2625056828712</t>
  </si>
  <si>
    <t>Siêu thị GO Gò Dầu, 2625056829315</t>
  </si>
  <si>
    <t>Giao hàng tại Siêu thị GO! Ninh Thuận, 2625056879523</t>
  </si>
  <si>
    <t>Siêu thị Đà Nẵng, 2625056873342</t>
  </si>
  <si>
    <t>Siêu thị Đà Nẵng, 2625056866069</t>
  </si>
  <si>
    <t>Siêu thị Hải Phòng, 2625056880357</t>
  </si>
  <si>
    <t>Siêu thị Thăng Long, 2625056868126</t>
  </si>
  <si>
    <t>Siêu thị Long Biên, 2625056866102</t>
  </si>
  <si>
    <t>Siêu thị Gò Vấp, 2625056875490</t>
  </si>
  <si>
    <t>TOPS MARKET GARDEN, 2625056880823</t>
  </si>
  <si>
    <t>Siêu thị GO! Bến Tre, 2625056870503</t>
  </si>
  <si>
    <t>Siêu thị Hạ Long, 2625056864570</t>
  </si>
  <si>
    <t>Giao hàng tại Siêu thị GO! HƯNG YÊN, 2625056880249</t>
  </si>
  <si>
    <t>Siêu thị Hải Dương, 2626056901634</t>
  </si>
  <si>
    <t>Siêu thị Hải Dương, 2626056901018</t>
  </si>
  <si>
    <t>Giao hàng tại Siêu thị GO! HÀ NAM, 2626056911112</t>
  </si>
  <si>
    <t>Siêu thị GO Lào Cai, 2626056930253</t>
  </si>
  <si>
    <t>Siêu thị GO Thái Bình, 2626056931296</t>
  </si>
  <si>
    <t>Siêu thị GO Quảng Ngãi, 2626056914203</t>
  </si>
  <si>
    <t>TOPS MARKET HỒ GƯƠM, 2626056932061</t>
  </si>
  <si>
    <t>Siêu thị Bắc Giang, 2626056929297</t>
  </si>
  <si>
    <t>Siêu thị Bắc Giang, 2626056917046</t>
  </si>
  <si>
    <t>Siêu thị Hạ Long, 2626056917575</t>
  </si>
  <si>
    <t>Siêu thị Nha Trang, 2626056929911</t>
  </si>
  <si>
    <t>Giao hàng tại Siêu thị Go! Tân Uyên, 2626056911039</t>
  </si>
  <si>
    <t>Giao hàng tại Siêu thị GO! HƯNG YÊN, 2626056928788</t>
  </si>
  <si>
    <t>Giao hàng tại Siêu thị GO! YÊN BÁI, 2626056926162</t>
  </si>
  <si>
    <t>Siêu thị Huế, 2626056925975</t>
  </si>
  <si>
    <t>Siêu thị Vinh, 2626056928973</t>
  </si>
  <si>
    <t>Siêu thị GO Vĩnh Phúc, 2626056919055</t>
  </si>
  <si>
    <t>Siêu thị GO Vĩnh Phúc, 2626056932173</t>
  </si>
  <si>
    <t>Siêu thị Gò Vấp, 2626056924629</t>
  </si>
  <si>
    <t>Siêu thị Đà Nẵng, 2626056925049</t>
  </si>
  <si>
    <t>Siêu thị Thăng Long, 2626056921214</t>
  </si>
  <si>
    <t>Siêu thị Hải Phòng, 2626056918785</t>
  </si>
  <si>
    <t>Giao hàng tại Siêu thị GO! NINH BÌNH, 2626056916806</t>
  </si>
  <si>
    <t>GO! Đồng Nai, 2626056926213</t>
  </si>
  <si>
    <t>Siêu thị GO! Bà Rịa, 2626056929718</t>
  </si>
  <si>
    <t>Siêu thị go! LỘC NINH, 2626056909033</t>
  </si>
  <si>
    <t>Giao hàng tại Siêu thị go! Hồng Ngự, 2626056909461</t>
  </si>
  <si>
    <t>Giao hàng tại Siêu thị go! Điện Bàn, 2626056910930</t>
  </si>
  <si>
    <t>Giao hàng tại SIÊU THỊ go! GÒ CÔNG TÂY, 2626056908479</t>
  </si>
  <si>
    <t>Siêu thị go! Nhơn Trạch, 2626056911081</t>
  </si>
  <si>
    <t>Siêu thị go! Phú Mỹ, 2626056911226</t>
  </si>
  <si>
    <t>Siêu thị GO Gò Dầu, 2626056911325</t>
  </si>
  <si>
    <t>Siêu thị Việt Trì, 2626056930873</t>
  </si>
  <si>
    <t>Siêu thị GO Cần Thơ, 2626056929114</t>
  </si>
  <si>
    <t>Siêu thị Mê Linh, 2626056916961</t>
  </si>
  <si>
    <t>Siêu thị Thanh Hóa, 2626056926430</t>
  </si>
  <si>
    <t>Siêu thị Long Biên, 2626056926241</t>
  </si>
  <si>
    <t>Siêu thị Long Biên, 2626056918688</t>
  </si>
  <si>
    <t>Siêu thị Nam Định, 2626056923424</t>
  </si>
  <si>
    <t>Siêu thị Vinh, 2626056918687</t>
  </si>
  <si>
    <t>Siêu thị Thanh Hóa, 2626056900951</t>
  </si>
  <si>
    <t>siêu thị GO An Lạc, 2626056900425</t>
  </si>
  <si>
    <t>Siêu thị GO Lào Cai, 2626056905224</t>
  </si>
  <si>
    <t>TOPS MARKET LE TRONG TAN, 2626056899881</t>
  </si>
  <si>
    <t>Siêu thị GO! Bà Rịa, 2625056878662</t>
  </si>
  <si>
    <t>00005422</t>
  </si>
  <si>
    <t>00005423</t>
  </si>
  <si>
    <t>00005424</t>
  </si>
  <si>
    <t>00005425</t>
  </si>
  <si>
    <t>00005426</t>
  </si>
  <si>
    <t>00005427</t>
  </si>
  <si>
    <t>00005428</t>
  </si>
  <si>
    <t>00005429</t>
  </si>
  <si>
    <t>00005430</t>
  </si>
  <si>
    <t>00005431</t>
  </si>
  <si>
    <t>00005449</t>
  </si>
  <si>
    <t>00005510</t>
  </si>
  <si>
    <t>00005513</t>
  </si>
  <si>
    <t>00005514</t>
  </si>
  <si>
    <t>00005597</t>
  </si>
  <si>
    <t>00005598</t>
  </si>
  <si>
    <t>00005599</t>
  </si>
  <si>
    <t>00005600</t>
  </si>
  <si>
    <t>00005601</t>
  </si>
  <si>
    <t>00005602</t>
  </si>
  <si>
    <t>00005603</t>
  </si>
  <si>
    <t>00005604</t>
  </si>
  <si>
    <t>00005605</t>
  </si>
  <si>
    <t>00005606</t>
  </si>
  <si>
    <t>00005607</t>
  </si>
  <si>
    <t>00005608</t>
  </si>
  <si>
    <t>00005609</t>
  </si>
  <si>
    <t>00005610</t>
  </si>
  <si>
    <t>00005611</t>
  </si>
  <si>
    <t>00005612</t>
  </si>
  <si>
    <t>00005613</t>
  </si>
  <si>
    <t>00005614</t>
  </si>
  <si>
    <t>00005615</t>
  </si>
  <si>
    <t>00005616</t>
  </si>
  <si>
    <t>00005617</t>
  </si>
  <si>
    <t>00005618</t>
  </si>
  <si>
    <t>00005619</t>
  </si>
  <si>
    <t>00005620</t>
  </si>
  <si>
    <t>00005621</t>
  </si>
  <si>
    <t>00005622</t>
  </si>
  <si>
    <t>00005623</t>
  </si>
  <si>
    <t>00005624</t>
  </si>
  <si>
    <t>00005625</t>
  </si>
  <si>
    <t>00005626</t>
  </si>
  <si>
    <t>00005627</t>
  </si>
  <si>
    <t>00005628</t>
  </si>
  <si>
    <t>00005629</t>
  </si>
  <si>
    <t>00005630</t>
  </si>
  <si>
    <t>00005631</t>
  </si>
  <si>
    <t>00005632</t>
  </si>
  <si>
    <t>00005633</t>
  </si>
  <si>
    <t>00005634</t>
  </si>
  <si>
    <t>00005635</t>
  </si>
  <si>
    <t>00005636</t>
  </si>
  <si>
    <t>00005637</t>
  </si>
  <si>
    <t>00005638</t>
  </si>
  <si>
    <t>00005639</t>
  </si>
  <si>
    <t>00005640</t>
  </si>
  <si>
    <t>00005641</t>
  </si>
  <si>
    <t>00005665</t>
  </si>
  <si>
    <t>00005703</t>
  </si>
  <si>
    <t>00005765</t>
  </si>
  <si>
    <t>00005766</t>
  </si>
  <si>
    <t>00005789</t>
  </si>
  <si>
    <t>00005790</t>
  </si>
  <si>
    <t>00005791</t>
  </si>
  <si>
    <t>00005792</t>
  </si>
  <si>
    <t>00005793</t>
  </si>
  <si>
    <t>00005794</t>
  </si>
  <si>
    <t>00005795</t>
  </si>
  <si>
    <t>00005796</t>
  </si>
  <si>
    <t>00005797</t>
  </si>
  <si>
    <t>00005828</t>
  </si>
  <si>
    <t>00005829</t>
  </si>
  <si>
    <t>00005859</t>
  </si>
  <si>
    <t>00005861</t>
  </si>
  <si>
    <t>00005961</t>
  </si>
  <si>
    <t>30/06/2026</t>
  </si>
  <si>
    <t>01/07/2026</t>
  </si>
  <si>
    <t>02/07/2026</t>
  </si>
  <si>
    <t>04/07/2026</t>
  </si>
  <si>
    <t>06/07/2026</t>
  </si>
  <si>
    <t>07/07/2026</t>
  </si>
  <si>
    <t>08/07/2026</t>
  </si>
  <si>
    <t>09/07/2026</t>
  </si>
  <si>
    <t>11/07/2026</t>
  </si>
  <si>
    <t>14/07/2026</t>
  </si>
  <si>
    <t>Siêu thị Miền Đông, 2626056969889</t>
  </si>
  <si>
    <t>Siêu thị TOPS MARKET MOONLIGHT, 2626056974282</t>
  </si>
  <si>
    <t>Siêu thị GO! Bà Rịa, 2626056974512</t>
  </si>
  <si>
    <t>Siêu thị GO Trà Vinh, 2626056971746</t>
  </si>
  <si>
    <t>Siêu thị Bình Dương, 2626056970761</t>
  </si>
  <si>
    <t>Siêu thị Nha Trang, 2626056975410</t>
  </si>
  <si>
    <t>Siêu thị GO Cần Thơ, 2626056969681</t>
  </si>
  <si>
    <t>Siêu thị Long Biên, 2626056972368</t>
  </si>
  <si>
    <t>Siêu thị Tân Hiệp, 2626056969258</t>
  </si>
  <si>
    <t>Siêu thị GO! Bà Rịa, 2626056974553</t>
  </si>
  <si>
    <t>Siêu thị Hải Phòng, 2626056938031</t>
  </si>
  <si>
    <t>siêu thị GO An Lạc, 2626056937506</t>
  </si>
  <si>
    <t>Siêu thị Nam Định, 2626056979378</t>
  </si>
  <si>
    <t>Siêu thị go! Tam Kỳ, 2626056984995</t>
  </si>
  <si>
    <t>Siêu thị go! Tam Kỳ, 2626057010759</t>
  </si>
  <si>
    <t>Giao hàng tại Siêu thị go! Hồng Ngự, 2626057010756</t>
  </si>
  <si>
    <t>Giao hàng tại Siêu thị go! Hòa Thành, 2626057010745</t>
  </si>
  <si>
    <t>Giao hàng tại Siêu thị go! Điện Bàn, 2626057010727</t>
  </si>
  <si>
    <t>Giao hàng tại Siêu thị Go! Tân Uyên, 2626057010763</t>
  </si>
  <si>
    <t>Siêu thị go! Nhơn Trạch, 2626056984763</t>
  </si>
  <si>
    <t>Siêu thị go! Phú Mỹ, 2626057010736</t>
  </si>
  <si>
    <t>Siêu thị go! Phú Mỹ, 2626056984752</t>
  </si>
  <si>
    <t>Siêu thị GO Gò Dầu, 2626057010751</t>
  </si>
  <si>
    <t>Siêu thị Việt Trì, 2626057024664</t>
  </si>
  <si>
    <t>Siêu thị Trường Chinh, 2626057028595</t>
  </si>
  <si>
    <t>Siêu thị GO Lào Cai, 2626057040433</t>
  </si>
  <si>
    <t>Siêu thị Tops Market Âu Cơ, 2626057038286</t>
  </si>
  <si>
    <t>Siêu thị GO Vĩnh Phúc, 2626057028287</t>
  </si>
  <si>
    <t>Siêu thị Vinh, 2626057026649</t>
  </si>
  <si>
    <t>Siêu thị Đà Nẵng, 2626057028018</t>
  </si>
  <si>
    <t>Siêu thị Thăng Long, 2626057038035</t>
  </si>
  <si>
    <t>Siêu thị GO Nguyễn Thị Thập, 2626057040662</t>
  </si>
  <si>
    <t>Siêu thị Quy Nhơn, 2626057033917</t>
  </si>
  <si>
    <t>Siêu thị Tops Market Âu Cơ, 2626057024409</t>
  </si>
  <si>
    <t>Siêu thị Nam Định, 2627057091414</t>
  </si>
  <si>
    <t>Siêu thị Tân Hiệp, 2627057083491</t>
  </si>
  <si>
    <t>Siêu thị Long Biên, 2627057091911</t>
  </si>
  <si>
    <t>Siêu thị Long Biên, 2627057081692</t>
  </si>
  <si>
    <t>GO! Đồng Nai, 2627057083917</t>
  </si>
  <si>
    <t>siêu thị GO An Lạc, 2627057083925</t>
  </si>
  <si>
    <t>Siêu thị Miền Đông, 2627057083570</t>
  </si>
  <si>
    <t>Siêu thị Thăng Long, 2627057084045</t>
  </si>
  <si>
    <t>Siêu thị Hải Phòng, 2627057082722</t>
  </si>
  <si>
    <t>Siêu thị Đà Nẵng, 2627057082248</t>
  </si>
  <si>
    <t>Siêu thị Gò Vấp, 2627057087694</t>
  </si>
  <si>
    <t>Siêu thị Huế, 2627057089664</t>
  </si>
  <si>
    <t>TOPS MARKET GARDEN, 2627057090886</t>
  </si>
  <si>
    <t>Siêu thị Vinh, 2627057081664</t>
  </si>
  <si>
    <t>Siêu thị GO Vĩnh Phúc, 2627057080774</t>
  </si>
  <si>
    <t>Siêu thị GO Buôn Ma Thuột, 2627057093993</t>
  </si>
  <si>
    <t>Siêu thị Hải Dương, 2627057091322</t>
  </si>
  <si>
    <t>Siêu thị GO Trà Vinh, 2627057076814</t>
  </si>
  <si>
    <t>Siêu thị Mê Linh, 2627057078769</t>
  </si>
  <si>
    <t>Siêu thị Bình Dương, 2627057082897</t>
  </si>
  <si>
    <t>Siêu thị GO Cần Thơ, 2627057079403</t>
  </si>
  <si>
    <t>Siêu thị Việt Trì, 2627057094210</t>
  </si>
  <si>
    <t>Siêu thị GO Dĩ An, 2627057082014</t>
  </si>
  <si>
    <t>Siêu thị Đà Lạt, 2627057082436</t>
  </si>
  <si>
    <t>Siêu thị Ninh Bình, 2627057090307</t>
  </si>
  <si>
    <t>TOPS MARKET HỒ GƯƠM, 2627057095565</t>
  </si>
  <si>
    <t>Siêu thị Bắc Giang, 2627057092180</t>
  </si>
  <si>
    <t>Siêu thị Quy Nhơn, 2627057091106</t>
  </si>
  <si>
    <t>Siêu thị GO Nguyễn Thị Thập, 2627057083214</t>
  </si>
  <si>
    <t>Siêu thị GO Quảng Ngãi, 2627057075963</t>
  </si>
  <si>
    <t>Siêu thị GO Thái Nguyên, 2627057094304</t>
  </si>
  <si>
    <t>Siêu thị Củ Chi, 2627057069800</t>
  </si>
  <si>
    <t>Giao hàng tại Siêu thị GO! HÀ NAM, 2627057072758</t>
  </si>
  <si>
    <t>Giao hàng tại Siêu thị GO! BẠC LIÊU, 2627057088589</t>
  </si>
  <si>
    <t>Giao hàng tại Siêu thị GO! HƯNG YÊN, 2627057089503</t>
  </si>
  <si>
    <t>Giao hàng tại Siêu thị GO! YÊN BÁI, 2627057089984</t>
  </si>
  <si>
    <t>Siêu thị go! Tam Kỳ, 2627057073265</t>
  </si>
  <si>
    <t>Siêu thị GO Gò Dầu, 2627057072809</t>
  </si>
  <si>
    <t>Siêu thị go! Nhơn Trạch, 2627057072662</t>
  </si>
  <si>
    <t>Giao hàng tại Siêu thị Go! Tân Uyên, 2627057072912</t>
  </si>
  <si>
    <t>Giao hàng tại Siêu thị go! Hòa Thành, 2627057072605</t>
  </si>
  <si>
    <t>Giao hàng tại Siêu thị go! Rạch Giá, 2627057071111</t>
  </si>
  <si>
    <t>Giao hàng tại Siêu thị go! Hồng Ngự, 2627057070570</t>
  </si>
  <si>
    <t>Giao hàng tại SIÊU THỊ go! THANH BÌNH, 2627057070198</t>
  </si>
  <si>
    <t>Siêu thị Trường Chinh, 2627057091528</t>
  </si>
  <si>
    <t>Siêu thị Bắc Giang, 2627057098651</t>
  </si>
  <si>
    <t>Siêu thị Miền Đông, 2627057129164</t>
  </si>
  <si>
    <t>Siêu thị Nha Trang, 2627057131297</t>
  </si>
  <si>
    <t>Siêu thị GO Thái Nguyên, 2627057137283</t>
  </si>
  <si>
    <t>Siêu thị Go! Phú Thạnh, 2627057130924</t>
  </si>
  <si>
    <t>Siêu thị Tân Hiệp, 2627057126633</t>
  </si>
  <si>
    <t>Siêu thị Hạ Long, 2627057125861</t>
  </si>
  <si>
    <t>Siêu thị go! Phú Mỹ, 2627057168285</t>
  </si>
  <si>
    <t>Giao hàng tại Siêu thị go! Hồng Ngự, 2627057142603</t>
  </si>
  <si>
    <t>Siêu thị Đà Nẵng, 2627057184044</t>
  </si>
  <si>
    <t>Siêu thị Đà Nẵng, 2627057190089</t>
  </si>
  <si>
    <t>Siêu thị Huế, 2627057183919</t>
  </si>
  <si>
    <t>Siêu thị Nam Định, 2627057183567</t>
  </si>
  <si>
    <t>Siêu thị Hải Dương, 2627057196596</t>
  </si>
  <si>
    <t>Siêu thị Tops Market An Phú, 2627057193869</t>
  </si>
  <si>
    <t>Siêu thị GO Buôn Ma Thuột, 2627057182767</t>
  </si>
  <si>
    <t>Siêu thị GO Thái Bình, 2627057193348</t>
  </si>
  <si>
    <t>GO! Đồng Nai, 2627057185814</t>
  </si>
  <si>
    <t>Siêu thị Bắc Giang, 2628057217913</t>
  </si>
  <si>
    <t>TOPS MARKET ECO GREEN, 2627057197945</t>
  </si>
  <si>
    <t>Siêu thị go! Phú Mỹ, 2628057229496</t>
  </si>
  <si>
    <t>Siêu thị go! Nhơn Trạch, 2628057252754</t>
  </si>
  <si>
    <t>Giao hàng tại Siêu thị go! Điện Bàn, 2628057229184</t>
  </si>
  <si>
    <t>Siêu thị GO Gò Dầu, 2628057252765</t>
  </si>
  <si>
    <t>Siêu thị go! Tam Kỳ, 2628057229852</t>
  </si>
  <si>
    <t>Giao hàng tại Siêu thị go! Hồng Ngự, 2628057227599</t>
  </si>
  <si>
    <t>TOPS MARKET HỒ GƯƠM, 2628057252685</t>
  </si>
  <si>
    <t>Giao hàng tại SIÊU THỊ go! LẤP VÒ, 2628057226857</t>
  </si>
  <si>
    <t>Siêu thị GO Quảng Ngãi, 2628057232956</t>
  </si>
  <si>
    <t>Siêu thị GO Thái Nguyên, 2628057251362</t>
  </si>
  <si>
    <t>Giao hàng tại Siêu thị GO! HÀ NAM, 2628057229197</t>
  </si>
  <si>
    <t>Siêu thị GO Lào Cai, 2628057252859</t>
  </si>
  <si>
    <t>Siêu thị GO Thái Bình, 2628057248601</t>
  </si>
  <si>
    <t>Giao hàng tại Siêu thị GO! HƯNG YÊN, 2628057250659</t>
  </si>
  <si>
    <t>Siêu thị Thăng Long, 2628057239769</t>
  </si>
  <si>
    <t>Siêu thị Hải Phòng, 2628057237809</t>
  </si>
  <si>
    <t>Siêu thị Hạ Long, 2628057246983</t>
  </si>
  <si>
    <t>Siêu thị Đà Nẵng, 2628057244041</t>
  </si>
  <si>
    <t>Siêu thị Hải Phòng, 2628057252007</t>
  </si>
  <si>
    <t>Siêu thị Gò Vấp, 2628057249009</t>
  </si>
  <si>
    <t>TOPS MARKET GARDEN, 2628057245722</t>
  </si>
  <si>
    <t>Siêu thị Nam Định, 2628057235970</t>
  </si>
  <si>
    <t>Siêu thị GO Vĩnh Phúc, 2628057237427</t>
  </si>
  <si>
    <t>Siêu thị Vinh, 2628057237059</t>
  </si>
  <si>
    <t>Siêu thị Thanh Hóa, 2628057244707</t>
  </si>
  <si>
    <t>Siêu thị Hải Dương, 2628057245173</t>
  </si>
  <si>
    <t>Siêu thị Mê Linh, 2628057233935</t>
  </si>
  <si>
    <t>Giao hàng tại Siêu thị GO! NINH BÌNH, 2628057234926</t>
  </si>
  <si>
    <t>Siêu thị Tân Hiệp, 2628057247337</t>
  </si>
  <si>
    <t>siêu thị GO An Lạc, 2628057292648</t>
  </si>
  <si>
    <t>15/07/2026</t>
  </si>
  <si>
    <t>Siêu thị Hải Dương, 2628057329004</t>
  </si>
  <si>
    <t>Siêu thị go! LỘC NINH, 2628057302790</t>
  </si>
  <si>
    <t>Siêu thị Củ Chi, 2628057302208</t>
  </si>
  <si>
    <t>Siêu thị GO! Bà Rịa, 2628057323663</t>
  </si>
  <si>
    <t>Siêu thị GO Cần Thơ, 2628057323589</t>
  </si>
  <si>
    <t>Siêu thị Nam Định, 2628057299254</t>
  </si>
  <si>
    <t>00006049</t>
  </si>
  <si>
    <t>00006051</t>
  </si>
  <si>
    <t>00006052</t>
  </si>
  <si>
    <t>00006053</t>
  </si>
  <si>
    <t>00006054</t>
  </si>
  <si>
    <t>00006056</t>
  </si>
  <si>
    <t>00006057</t>
  </si>
  <si>
    <t>00006058</t>
  </si>
  <si>
    <t>00006059</t>
  </si>
  <si>
    <t>00006060</t>
  </si>
  <si>
    <t>00006061</t>
  </si>
  <si>
    <t>00006062</t>
  </si>
  <si>
    <t>00006063</t>
  </si>
  <si>
    <t>00006064</t>
  </si>
  <si>
    <t>00006105</t>
  </si>
  <si>
    <t>00006106</t>
  </si>
  <si>
    <t>00006107</t>
  </si>
  <si>
    <t>00006108</t>
  </si>
  <si>
    <t>00006109</t>
  </si>
  <si>
    <t>00006110</t>
  </si>
  <si>
    <t>00006111</t>
  </si>
  <si>
    <t>00006112</t>
  </si>
  <si>
    <t>00006113</t>
  </si>
  <si>
    <t>00006114</t>
  </si>
  <si>
    <t>00006115</t>
  </si>
  <si>
    <t>00006116</t>
  </si>
  <si>
    <t>00006117</t>
  </si>
  <si>
    <t>00006118</t>
  </si>
  <si>
    <t>00006119</t>
  </si>
  <si>
    <t>00006120</t>
  </si>
  <si>
    <t>00006121</t>
  </si>
  <si>
    <t>00006131</t>
  </si>
  <si>
    <t>00006132</t>
  </si>
  <si>
    <t>00006133</t>
  </si>
  <si>
    <t>00006134</t>
  </si>
  <si>
    <t>00006135</t>
  </si>
  <si>
    <t>00006136</t>
  </si>
  <si>
    <t>00006137</t>
  </si>
  <si>
    <t>00006138</t>
  </si>
  <si>
    <t>00006139</t>
  </si>
  <si>
    <t>00006140</t>
  </si>
  <si>
    <t>00006141</t>
  </si>
  <si>
    <t>00006142</t>
  </si>
  <si>
    <t>00006144</t>
  </si>
  <si>
    <t>16/07/2026</t>
  </si>
  <si>
    <t>18/07/2026</t>
  </si>
  <si>
    <t>21/07/2026</t>
  </si>
  <si>
    <t>Siêu thị Vinh, 2628057347539</t>
  </si>
  <si>
    <t>Siêu thị Thanh Hóa, 2628057347525</t>
  </si>
  <si>
    <t>Siêu thị GO Buôn Ma Thuột, 2628057361109</t>
  </si>
  <si>
    <t>Siêu thị Huế, 2628057349227</t>
  </si>
  <si>
    <t>Siêu thị Đà Nẵng, 2628057348963</t>
  </si>
  <si>
    <t>Siêu thị Đà Nẵng, 2628057354480</t>
  </si>
  <si>
    <t>Siêu thị Hải Phòng, 2628057349728</t>
  </si>
  <si>
    <t>Siêu thị Thăng Long, 2628057350455</t>
  </si>
  <si>
    <t>Giao hàng tại Siêu thị GO! HÀ NAM, 2628057338093</t>
  </si>
  <si>
    <t>Siêu thị GO Nguyễn Thị Thập, 2628057349595</t>
  </si>
  <si>
    <t>TOPS MARKET HỒ GƯƠM, 2628057361386</t>
  </si>
  <si>
    <t>Siêu thị Bắc Giang, 2628057346321</t>
  </si>
  <si>
    <t>Siêu thị Việt Trì, 2628057345095</t>
  </si>
  <si>
    <t>Siêu thị GO Dĩ An, 2628057348564</t>
  </si>
  <si>
    <t>Siêu thị Nam Định, 2628057348004</t>
  </si>
  <si>
    <t>Siêu thị Đà Nẵng, 2629057405339</t>
  </si>
  <si>
    <t>Siêu thị Huế, 2629057414199</t>
  </si>
  <si>
    <t>TOPS MARKET GARDEN, 2629057416694</t>
  </si>
  <si>
    <t>Siêu thị Hải Phòng, 2629057418568</t>
  </si>
  <si>
    <t>Siêu thị Thăng Long, 2629057408125</t>
  </si>
  <si>
    <t>Siêu thị Go! Phú Thạnh, 2629057407216</t>
  </si>
  <si>
    <t>Siêu thị Gò Vấp, 2629057414997</t>
  </si>
  <si>
    <t>Siêu thị GO Vĩnh Phúc, 2629057405364</t>
  </si>
  <si>
    <t>Siêu thị Vinh, 2629057405680</t>
  </si>
  <si>
    <t>Siêu thị Tân Hiệp, 2629057407685</t>
  </si>
  <si>
    <t>GO! Đồng Nai, 2629057407972</t>
  </si>
  <si>
    <t>Siêu thị Long Biên, 2629057405493</t>
  </si>
  <si>
    <t>Siêu thị Miền Đông, 2629057407677</t>
  </si>
  <si>
    <t>siêu thị GO An Lạc, 2629057407901</t>
  </si>
  <si>
    <t>Siêu thị Hải Phòng, 2629057406558</t>
  </si>
  <si>
    <t>Giao hàng tại Siêu thị GO! Ninh Thuận, 2629057413160</t>
  </si>
  <si>
    <t>Giao hàng tại Siêu thị GO! YÊN BÁI, 2629057413601</t>
  </si>
  <si>
    <t>Siêu thị go! Tam Kỳ, 2629057397366</t>
  </si>
  <si>
    <t>Siêu thị go! Phú Mỹ, 2629057396723</t>
  </si>
  <si>
    <t>Siêu thị go! Nhơn Trạch, 2629057396563</t>
  </si>
  <si>
    <t>Giao hàng tại Siêu thị Go! Tân Uyên, 2629057396606</t>
  </si>
  <si>
    <t>Giao hàng tại Siêu thị go! Hòa Thành, 2629057396160</t>
  </si>
  <si>
    <t>Giao hàng tại Siêu thị go! AN NHƠN, 2629057394462</t>
  </si>
  <si>
    <t>SIÊU THỊ go! HƯƠNG TRÀ, 2629057393781</t>
  </si>
  <si>
    <t>Siêu thị go! LỘC NINH, 2629057394291</t>
  </si>
  <si>
    <t>Siêu thị GO Quảng Ngãi, 2629057400390</t>
  </si>
  <si>
    <t>Giao hàng tại Siêu thị GO! HÀ NAM, 2629057396263</t>
  </si>
  <si>
    <t>Siêu thị GO! Bến Tre, 2629057399199</t>
  </si>
  <si>
    <t>Giao hàng tại Siêu thị GO! BẠC LIÊU, 2629057413158</t>
  </si>
  <si>
    <t>Giao hàng tại Siêu thị GO! HƯNG YÊN, 2629057418186</t>
  </si>
  <si>
    <t>Siêu thị Quy Nhơn, 2629057418157</t>
  </si>
  <si>
    <t>Siêu thị Bắc Giang, 2629057418282</t>
  </si>
  <si>
    <t>Siêu thị GO Nguyễn Thị Thập, 2629057407434</t>
  </si>
  <si>
    <t>Siêu thị Đà Lạt, 2629057406506</t>
  </si>
  <si>
    <t>Siêu thị GO Cần Thơ, 2629057403373</t>
  </si>
  <si>
    <t>Siêu thị Trường Chinh, 2629057406540</t>
  </si>
  <si>
    <t>Siêu thị Hải Dương, 2629057415407</t>
  </si>
  <si>
    <t>Siêu thị Ninh Bình, 2629057416645</t>
  </si>
  <si>
    <t>Siêu thị Bình Dương, 2629057407111</t>
  </si>
  <si>
    <t>Siêu thị Hạ Long, 2629057403478</t>
  </si>
  <si>
    <t>Siêu thị Bắc Giang, 2629057447247</t>
  </si>
  <si>
    <t>00006253</t>
  </si>
  <si>
    <t>00006254</t>
  </si>
  <si>
    <t>00006255</t>
  </si>
  <si>
    <t>00006256</t>
  </si>
  <si>
    <t>00006257</t>
  </si>
  <si>
    <t>00006258</t>
  </si>
  <si>
    <t>00006259</t>
  </si>
  <si>
    <t>00006260</t>
  </si>
  <si>
    <t>00006265</t>
  </si>
  <si>
    <t>00006266</t>
  </si>
  <si>
    <t>00006303</t>
  </si>
  <si>
    <t>00006305</t>
  </si>
  <si>
    <t>00006314</t>
  </si>
  <si>
    <t>00006315</t>
  </si>
  <si>
    <t>00006316</t>
  </si>
  <si>
    <t>00006317</t>
  </si>
  <si>
    <t>00006318</t>
  </si>
  <si>
    <t>00006319</t>
  </si>
  <si>
    <t>00006320</t>
  </si>
  <si>
    <t>00006321</t>
  </si>
  <si>
    <t>00006322</t>
  </si>
  <si>
    <t>00006323</t>
  </si>
  <si>
    <t>00006324</t>
  </si>
  <si>
    <t>00006325</t>
  </si>
  <si>
    <t>00006326</t>
  </si>
  <si>
    <t>00006327</t>
  </si>
  <si>
    <t>00006397</t>
  </si>
  <si>
    <t>00006398</t>
  </si>
  <si>
    <t>23/07/2026</t>
  </si>
  <si>
    <t>25/07/2026</t>
  </si>
  <si>
    <t>28/07/2026</t>
  </si>
  <si>
    <t>Giao hàng tại Siêu thị go! AN NHƠN, 2629057465279</t>
  </si>
  <si>
    <t>Siêu thị Vinh, 2629057504391</t>
  </si>
  <si>
    <t>Siêu thị Hải Dương, 2629057519836</t>
  </si>
  <si>
    <t>Siêu thị Ninh Bình, 2629057506621</t>
  </si>
  <si>
    <t>Siêu thị Quy Nhơn, 2629057512988</t>
  </si>
  <si>
    <t>Giao hàng tại Siêu thị GO! HÀ NAM, 2629057497210</t>
  </si>
  <si>
    <t>Siêu thị Huế, 2629057505418</t>
  </si>
  <si>
    <t>Siêu thị Nam Định, 2629057503968</t>
  </si>
  <si>
    <t>Giao hàng tại Siêu thị GO! ĐAN PHƯỢNG, 2629057488576</t>
  </si>
  <si>
    <t>Giao hàng tại Siêu thị GO! ĐAN PHƯỢNG, 2629057488661</t>
  </si>
  <si>
    <t>Siêu thị Thăng Long, 2629057519549</t>
  </si>
  <si>
    <t>Siêu thị GO Buôn Ma Thuột, 2630057540677</t>
  </si>
  <si>
    <t>Siêu thị go! LỘC NINH, 2630057548566</t>
  </si>
  <si>
    <t>Giao hàng tại Siêu thị GO! YÊN BÁI, 2630057570419</t>
  </si>
  <si>
    <t>Giao hàng tại Siêu thị GO! HƯNG YÊN, 2630057567036</t>
  </si>
  <si>
    <t>Siêu thị go! Tam Kỳ, 2630057550795</t>
  </si>
  <si>
    <t>Siêu thị go! Phú Mỹ, 2630057551516</t>
  </si>
  <si>
    <t>Siêu thị GO Gò Dầu, 2630057550958</t>
  </si>
  <si>
    <t>Siêu thị go! Nhơn Trạch, 2630057551231</t>
  </si>
  <si>
    <t>Giao hàng tại Siêu thị go! Điện Bàn, 2630057549685</t>
  </si>
  <si>
    <t>Giao hàng tại SIÊU THỊ go! LẤP VÒ, 2630057549011</t>
  </si>
  <si>
    <t>Siêu thị Thăng Long, 2630057561225</t>
  </si>
  <si>
    <t>Giao hàng tại Siêu thị GO! Ninh Thuận, 2630057544327</t>
  </si>
  <si>
    <t>Siêu thị Hải Phòng, 2630057558042</t>
  </si>
  <si>
    <t>Siêu thị Vinh, 2630057559172</t>
  </si>
  <si>
    <t>Siêu thị GO Vĩnh Phúc, 2630057558446</t>
  </si>
  <si>
    <t>Siêu thị GO Vĩnh Phúc, 2630057569385</t>
  </si>
  <si>
    <t>Siêu thị Long Biên, 2630057557117</t>
  </si>
  <si>
    <t>Siêu thị Hải Dương, 2630057570497</t>
  </si>
  <si>
    <t>Siêu thị Hạ Long, 2630057555818</t>
  </si>
  <si>
    <t>TOPS MARKET HỒ GƯƠM, 2630057564763</t>
  </si>
  <si>
    <t>Siêu thị GO Thái Nguyên, 2630057567659</t>
  </si>
  <si>
    <t>Siêu thị GO Quảng Ngãi, 2630057554366</t>
  </si>
  <si>
    <t>Siêu thị GO Lào Cai, 2630057571808</t>
  </si>
  <si>
    <t>Siêu thị Long Biên, 2630057571917</t>
  </si>
  <si>
    <t>Giao hàng tại Siêu thị GO! HÀ NAM, 2630057551539</t>
  </si>
  <si>
    <t>Siêu thị GO! Bà Rịa, 2630057613121</t>
  </si>
  <si>
    <t>Siêu thị Nha Trang, 2630057611585</t>
  </si>
  <si>
    <t>00006494</t>
  </si>
  <si>
    <t>00006495</t>
  </si>
  <si>
    <t>00006496</t>
  </si>
  <si>
    <t>00006497</t>
  </si>
  <si>
    <t>00006498</t>
  </si>
  <si>
    <t>00006499</t>
  </si>
  <si>
    <t>00006500</t>
  </si>
  <si>
    <t>00006501</t>
  </si>
  <si>
    <t>00006502</t>
  </si>
  <si>
    <t>00006503</t>
  </si>
  <si>
    <t>00006504</t>
  </si>
  <si>
    <t>00006506</t>
  </si>
  <si>
    <t>00006508</t>
  </si>
  <si>
    <t>00006580</t>
  </si>
  <si>
    <t>00006581</t>
  </si>
  <si>
    <t>00006582</t>
  </si>
  <si>
    <t>00006583</t>
  </si>
  <si>
    <t>00006584</t>
  </si>
  <si>
    <t>00006585</t>
  </si>
  <si>
    <t>00006586</t>
  </si>
  <si>
    <t>00006587</t>
  </si>
  <si>
    <t>00006588</t>
  </si>
  <si>
    <t>00006589</t>
  </si>
  <si>
    <t>00006590</t>
  </si>
  <si>
    <t>00006591</t>
  </si>
  <si>
    <t>00006592</t>
  </si>
  <si>
    <t>00006593</t>
  </si>
  <si>
    <t>00006594</t>
  </si>
  <si>
    <t>00006595</t>
  </si>
  <si>
    <t>00006596</t>
  </si>
  <si>
    <t>00006598</t>
  </si>
  <si>
    <t>00006599</t>
  </si>
  <si>
    <t>00006600</t>
  </si>
  <si>
    <t>00006601</t>
  </si>
  <si>
    <t>00006604</t>
  </si>
  <si>
    <t>00006605</t>
  </si>
  <si>
    <t>00006606</t>
  </si>
  <si>
    <t>00006607</t>
  </si>
  <si>
    <t>00006608</t>
  </si>
  <si>
    <t>00006609</t>
  </si>
  <si>
    <t>00006610</t>
  </si>
  <si>
    <t>00006611</t>
  </si>
  <si>
    <t>00006612</t>
  </si>
  <si>
    <t>00006613</t>
  </si>
  <si>
    <t>00006614</t>
  </si>
  <si>
    <t>00006615</t>
  </si>
  <si>
    <t>00006616</t>
  </si>
  <si>
    <t>00006617</t>
  </si>
  <si>
    <t>00006618</t>
  </si>
  <si>
    <t>00006619</t>
  </si>
  <si>
    <t>00006620</t>
  </si>
  <si>
    <t>00006622</t>
  </si>
  <si>
    <t>30/07/2026</t>
  </si>
  <si>
    <t>01/08/2026</t>
  </si>
  <si>
    <t>Giao hàng tại Siêu thị go! Rạch Giá, 2630057622540</t>
  </si>
  <si>
    <t>Siêu thị go! Nhơn Trạch, 2630057624500</t>
  </si>
  <si>
    <t>Siêu thị go! Phú Mỹ, 2630057624824</t>
  </si>
  <si>
    <t>Siêu thị GO Nguyễn Thị Thập, 2630057666759</t>
  </si>
  <si>
    <t>Siêu thị GO Vĩnh Phúc, 2630057666110</t>
  </si>
  <si>
    <t>Siêu thị Bắc Giang, 2630057662614</t>
  </si>
  <si>
    <t>Siêu thị Gò Vấp, 2630057666566</t>
  </si>
  <si>
    <t>Siêu thị Bắc Giang, 2630057679385</t>
  </si>
  <si>
    <t>Siêu thị Huế, 2630057675259</t>
  </si>
  <si>
    <t>Siêu thị Đà Lạt, 2630057664894</t>
  </si>
  <si>
    <t>Siêu thị GO! Bến Tre, 2630057658881</t>
  </si>
  <si>
    <t>Siêu thị GO Quảng Ngãi, 2630057660607</t>
  </si>
  <si>
    <t>Siêu thị GO Lào Cai, 2630057658814</t>
  </si>
  <si>
    <t>GO! Đồng Nai, 2630057667040</t>
  </si>
  <si>
    <t>Siêu thị Miền Đông, 2630057667296</t>
  </si>
  <si>
    <t>Siêu thị Thăng Long, 2630057667510</t>
  </si>
  <si>
    <t>Siêu thị Hải Phòng, 2630057664413</t>
  </si>
  <si>
    <t>Siêu thị Đà Nẵng, 2630057663256</t>
  </si>
  <si>
    <t>siêu thị GO An Lạc, 2631057722097</t>
  </si>
  <si>
    <t>Siêu thị Hải Dương, 2631057728452</t>
  </si>
  <si>
    <t>Siêu thị Miền Đông, 2631057721408</t>
  </si>
  <si>
    <t>Siêu thị Thăng Long, 2631057722310</t>
  </si>
  <si>
    <t>Siêu thị Hải Phòng, 2631057720128</t>
  </si>
  <si>
    <t>Siêu thị Hải Phòng, 2631057731677</t>
  </si>
  <si>
    <t>Siêu thị Đà Nẵng, 2631057726853</t>
  </si>
  <si>
    <t>Siêu thị Gò Vấp, 2631057728952</t>
  </si>
  <si>
    <t>Siêu thị Huế, 2631057726277</t>
  </si>
  <si>
    <t>Siêu thị Vinh, 2631057721002</t>
  </si>
  <si>
    <t>Siêu thị GO Vĩnh Phúc, 2631057720477</t>
  </si>
  <si>
    <t>Siêu thị GO Vĩnh Phúc, 2631057731052</t>
  </si>
  <si>
    <t>Siêu thị Nam Định, 2631057719799</t>
  </si>
  <si>
    <t>Siêu thị Long Biên, 2631057720323</t>
  </si>
  <si>
    <t>TOPS MARKET GARDEN, 2631057728625</t>
  </si>
  <si>
    <t>Siêu thị Bình Dương, 2631057721457</t>
  </si>
  <si>
    <t>Siêu thị Trường Chinh, 2631057721660</t>
  </si>
  <si>
    <t>Siêu thị GO Cần Thơ, 2631057718245</t>
  </si>
  <si>
    <t>Siêu thị Việt Trì, 2631057726762</t>
  </si>
  <si>
    <t>Siêu thị Đà Lạt, 2631057718345</t>
  </si>
  <si>
    <t>Siêu thị Hạ Long, 2631057716597</t>
  </si>
  <si>
    <t>Siêu thị Quy Nhơn, 2631057728468</t>
  </si>
  <si>
    <t>Siêu thị Bắc Giang, 2631057731771</t>
  </si>
  <si>
    <t>TOPS MARKET HỒ GƯƠM, 2631057707091</t>
  </si>
  <si>
    <t>Siêu thị GO Nguyễn Thị Thập, 2631057722109</t>
  </si>
  <si>
    <t>Siêu thị GO Buôn Ma Thuột, 2631057729802</t>
  </si>
  <si>
    <t>Siêu thị GO Quảng Ngãi, 2631057714114</t>
  </si>
  <si>
    <t>Siêu thị GO Mỹ Tho, 2631057716926</t>
  </si>
  <si>
    <t>Siêu thị GO! Bến Tre, 2631057714801</t>
  </si>
  <si>
    <t>Siêu thị GO Thái Nguyên, 2631057727966</t>
  </si>
  <si>
    <t>Giao hàng tại Siêu thị GO! Ninh Thuận, 2631057728144</t>
  </si>
  <si>
    <t>Giao hàng tại Siêu thị go! AN NHƠN, 2631057708753</t>
  </si>
  <si>
    <t>Giao hàng tại Siêu thị GO! YÊN BÁI, 2631057727897</t>
  </si>
  <si>
    <t>Siêu thị GO Gò Dầu, 2631057710833</t>
  </si>
  <si>
    <t>Siêu thị go! Tam Kỳ, 2631057711192</t>
  </si>
  <si>
    <t>Siêu thị go! Phú Mỹ, 2631057710639</t>
  </si>
  <si>
    <t>Siêu thị go! Nhơn Trạch, 2631057711525</t>
  </si>
  <si>
    <t>Giao hàng tại Siêu thị Go! Tân Uyên, 2631057711296</t>
  </si>
  <si>
    <t>Giao hàng tại Siêu thị go! Điện Bàn, 2631057710357</t>
  </si>
  <si>
    <t>Siêu thị Hải Phòng, 2631057732465</t>
  </si>
  <si>
    <t>Giao hàng tại Siêu thị go! Hòa Thành, 2631057710388</t>
  </si>
  <si>
    <t>Siêu thị Bắc Giang, 2631057695950</t>
  </si>
  <si>
    <t>00006748</t>
  </si>
  <si>
    <t>04/08/2026</t>
  </si>
  <si>
    <t>06/08/2026</t>
  </si>
  <si>
    <t>07/08/2026</t>
  </si>
  <si>
    <t>Siêu thị Tops Market Âu Cơ, 2631057738365</t>
  </si>
  <si>
    <t>Siêu thị GO! Bà Rịa, 2631057806173</t>
  </si>
  <si>
    <t>Siêu thị Nha Trang, 2631057833298</t>
  </si>
  <si>
    <t>TOPS MARKET GARDEN, 263105783925</t>
  </si>
  <si>
    <t>Siêu thị Long Biên, 2631057821783</t>
  </si>
  <si>
    <t>Siêu thị Vinh, 2631057821005</t>
  </si>
  <si>
    <t>Siêu thị GO Vĩnh Phúc, 263105782642</t>
  </si>
  <si>
    <t>Siêu thị Mê Linh, 2631057819961</t>
  </si>
  <si>
    <t>Siêu thị GO Cần Thơ, 2631057818238</t>
  </si>
  <si>
    <t>Siêu thị GO Dĩ An, 2631057821389</t>
  </si>
  <si>
    <t>Siêu thị GO Dĩ An, 2631057825454</t>
  </si>
  <si>
    <t>Siêu thị Đà Lạt, 2631057823250</t>
  </si>
  <si>
    <t>Siêu thị Đà Nẵng, 2631057821950</t>
  </si>
  <si>
    <t>Siêu thị Huế, 2631057820017</t>
  </si>
  <si>
    <t>Siêu thị Đà Nẵng, 2631057826476</t>
  </si>
  <si>
    <t>Siêu thị Tops Market Thảo Điền, 2632057853452</t>
  </si>
  <si>
    <t>chờ hỏi lại EB, đã thanh toán hđ 3.985.200</t>
  </si>
  <si>
    <t>00006771</t>
  </si>
  <si>
    <t>00006774</t>
  </si>
  <si>
    <t>00006775</t>
  </si>
  <si>
    <t>00006776</t>
  </si>
  <si>
    <t>00006777</t>
  </si>
  <si>
    <t>00006778</t>
  </si>
  <si>
    <t>00006779</t>
  </si>
  <si>
    <t>00006780</t>
  </si>
  <si>
    <t>00006781</t>
  </si>
  <si>
    <t>00006782</t>
  </si>
  <si>
    <t>00006783</t>
  </si>
  <si>
    <t>00006784</t>
  </si>
  <si>
    <t>00006785</t>
  </si>
  <si>
    <t>00006786</t>
  </si>
  <si>
    <t>00006787</t>
  </si>
  <si>
    <t>00006788</t>
  </si>
  <si>
    <t>00006789</t>
  </si>
  <si>
    <t>00006790</t>
  </si>
  <si>
    <t>00006791</t>
  </si>
  <si>
    <t>00006792</t>
  </si>
  <si>
    <t>00006793</t>
  </si>
  <si>
    <t>00006794</t>
  </si>
  <si>
    <t>00006795</t>
  </si>
  <si>
    <t>00006796</t>
  </si>
  <si>
    <t>00006797</t>
  </si>
  <si>
    <t>00006798</t>
  </si>
  <si>
    <t>00006799</t>
  </si>
  <si>
    <t>00006800</t>
  </si>
  <si>
    <t>00006801</t>
  </si>
  <si>
    <t>00006802</t>
  </si>
  <si>
    <t>00006803</t>
  </si>
  <si>
    <t>00006804</t>
  </si>
  <si>
    <t>00006805</t>
  </si>
  <si>
    <t>00006806</t>
  </si>
  <si>
    <t>00006807</t>
  </si>
  <si>
    <t>00006808</t>
  </si>
  <si>
    <t>00006809</t>
  </si>
  <si>
    <t>00006844</t>
  </si>
  <si>
    <t>00006879</t>
  </si>
  <si>
    <t>00006880</t>
  </si>
  <si>
    <t>00006881</t>
  </si>
  <si>
    <t>00006882</t>
  </si>
  <si>
    <t>00006883</t>
  </si>
  <si>
    <t>00006884</t>
  </si>
  <si>
    <t>00006885</t>
  </si>
  <si>
    <t>00006886</t>
  </si>
  <si>
    <t>00006887</t>
  </si>
  <si>
    <t>08/08/2026</t>
  </si>
  <si>
    <t>11/08/2026</t>
  </si>
  <si>
    <t>12/08/2026</t>
  </si>
  <si>
    <t>TOPS MARKET ECO GREEN, 2632057885330</t>
  </si>
  <si>
    <t>Giao hàng tại Siêu thị go! Điện Bàn, 2632057866523</t>
  </si>
  <si>
    <t>Siêu thị go! Phú Mỹ, 2632057866875</t>
  </si>
  <si>
    <t>Giao hàng tại SIÊU THỊ go! GÒ CÔNG TÂY, 2632057863467</t>
  </si>
  <si>
    <t>Siêu thị Gò Vấp, 2632057885665</t>
  </si>
  <si>
    <t>Siêu thị Vinh, 2632057875142</t>
  </si>
  <si>
    <t>Siêu thị Vinh, 2632057886427</t>
  </si>
  <si>
    <t>Siêu thị GO Vĩnh Phúc, 2632057876388</t>
  </si>
  <si>
    <t>Siêu thị GO Vĩnh Phúc, 2632057886156</t>
  </si>
  <si>
    <t>Siêu thị Long Biên, 2632057875848</t>
  </si>
  <si>
    <t>Siêu thị Hải Dương, 2632057887530</t>
  </si>
  <si>
    <t>Siêu thị Nam Định, 2632057871725</t>
  </si>
  <si>
    <t>Siêu thị Thanh Hóa, 2632057873422</t>
  </si>
  <si>
    <t>Siêu thị Việt Trì, 2632057883428</t>
  </si>
  <si>
    <t>Giao hàng tại Siêu thị GO! NINH BÌNH, 2632057874228</t>
  </si>
  <si>
    <t>Siêu thị Thăng Long, 2632057877414</t>
  </si>
  <si>
    <t>Giao hàng tại Siêu thị go! Hòa Thành, 2632057865598</t>
  </si>
  <si>
    <t>Giao hàng tại Siêu thị go! AN NHƠN, 2632057865275</t>
  </si>
  <si>
    <t>SIÊU THỊ go! HƯƠNG TRÀ, 2632057864040</t>
  </si>
  <si>
    <t>Siêu thị go! LỘC NINH, 2632057864792</t>
  </si>
  <si>
    <t>Giao hàng tại Siêu thị Go! Tân Uyên, 2632057866874</t>
  </si>
  <si>
    <t>Siêu thị Hạ Long, 2632057874894</t>
  </si>
  <si>
    <t>Siêu thị Bắc Giang, 2632057874138</t>
  </si>
  <si>
    <t>TOPS MARKET LE TRONG TAN, 2632057887570</t>
  </si>
  <si>
    <t>TOPS MARKET HỒ GƯƠM, 2632057887148</t>
  </si>
  <si>
    <t>Siêu thị GO Quảng Ngãi, 2632057872116</t>
  </si>
  <si>
    <t>Siêu thị GO Lào Cai, 2632057889409</t>
  </si>
  <si>
    <t>Siêu thị GO Thái Bình, 2632057884341</t>
  </si>
  <si>
    <t>TOPS MARKET PARKCITY , 2632057883119</t>
  </si>
  <si>
    <t>Giao hàng tại Siêu thị GO! HÀ NAM, 2632057866495</t>
  </si>
  <si>
    <t>Giao hàng tại Siêu thị GO! HƯNG YÊN, 2632057884221</t>
  </si>
  <si>
    <t>Giao hàng tại Siêu thị GO! YÊN BÁI, 2632057884540</t>
  </si>
  <si>
    <t>Siêu thị go! Tam Kỳ, 2632057866482</t>
  </si>
  <si>
    <t>Siêu thị GO Gò Dầu, 2632057867015</t>
  </si>
  <si>
    <t>Siêu thị Đà Nẵng, 2632057881557</t>
  </si>
  <si>
    <t>Siêu thị Hải Phòng, 2632057887682</t>
  </si>
  <si>
    <t>Siêu thị Hải Phòng, 2632057874486</t>
  </si>
  <si>
    <t>Siêu thị Tops Market Âu Cơ, 2632057898588</t>
  </si>
  <si>
    <t>Siêu thị GO Lào Cai, 2632057967912</t>
  </si>
  <si>
    <t>Siêu thị Nam Định, 2632057968625</t>
  </si>
  <si>
    <t>Siêu thị GO! Bà Rịa, 2632057968034</t>
  </si>
  <si>
    <t>Siêu thị Nam Định, 2632057969197</t>
  </si>
  <si>
    <t>Giao hàng tại Siêu thị go! Điện Bàn, 2632057944947</t>
  </si>
  <si>
    <t>Siêu thị go! Phú Mỹ, 2632057944806</t>
  </si>
  <si>
    <t>Siêu thị GO Gò Dầu, 2632057945415</t>
  </si>
  <si>
    <t>Giao hàng tại SIÊU THỊ go! LẤP VÒ, 2632057942714</t>
  </si>
  <si>
    <t>Giao hàng tại SIÊU THỊ go! BÌNH LONG, 2632057928157</t>
  </si>
  <si>
    <t>Phí hỗ trợ dịch vụ chịu thuế 8%-3006634</t>
  </si>
  <si>
    <t>Phí hỗ trợ dịch vụ chịu thuế 8%-3003172</t>
  </si>
  <si>
    <t>Phí dịch vụ EBS tháng 07.2026 quầy 410-3006634</t>
  </si>
  <si>
    <t>Phí cho dịch vụ quầy 410 tháng 7.2026 -10%-3003172</t>
  </si>
  <si>
    <t>Phí cho dịch vụ quầy 410 tháng 7.2026 -8%-3003172</t>
  </si>
  <si>
    <t>Phí dịch vụ EBS tháng 07.2026-3003172</t>
  </si>
  <si>
    <t>Bigc Go Việt Trì</t>
  </si>
  <si>
    <t>Phí dịch vụ chịu thuế 8% tháng 7.2026- 3006634</t>
  </si>
  <si>
    <t>Go Quảng Ngãi</t>
  </si>
  <si>
    <t>Chiết khấu tháng 7-3003172</t>
  </si>
  <si>
    <t>00006912</t>
  </si>
  <si>
    <t>00006913</t>
  </si>
  <si>
    <t>00006914</t>
  </si>
  <si>
    <t>00006915</t>
  </si>
  <si>
    <t>00006916</t>
  </si>
  <si>
    <t>00006917</t>
  </si>
  <si>
    <t>00006918</t>
  </si>
  <si>
    <t>00006919</t>
  </si>
  <si>
    <t>00006920</t>
  </si>
  <si>
    <t>00006921</t>
  </si>
  <si>
    <t>00006922</t>
  </si>
  <si>
    <t>00006923</t>
  </si>
  <si>
    <t>00007072</t>
  </si>
  <si>
    <t>00007073</t>
  </si>
  <si>
    <t>00007074</t>
  </si>
  <si>
    <t>00007075</t>
  </si>
  <si>
    <t>00007076</t>
  </si>
  <si>
    <t>00007077</t>
  </si>
  <si>
    <t>00007078</t>
  </si>
  <si>
    <t>00007079</t>
  </si>
  <si>
    <t>00007080</t>
  </si>
  <si>
    <t>00007081</t>
  </si>
  <si>
    <t>00007083</t>
  </si>
  <si>
    <t>00007084</t>
  </si>
  <si>
    <t>00007085</t>
  </si>
  <si>
    <t>00007086</t>
  </si>
  <si>
    <t>00007087</t>
  </si>
  <si>
    <t>00007088</t>
  </si>
  <si>
    <t>00007090</t>
  </si>
  <si>
    <t>00007091</t>
  </si>
  <si>
    <t>00007092</t>
  </si>
  <si>
    <t>00007093</t>
  </si>
  <si>
    <t>00007094</t>
  </si>
  <si>
    <t>00007095</t>
  </si>
  <si>
    <t>00007096</t>
  </si>
  <si>
    <t>00007097</t>
  </si>
  <si>
    <t>00007098</t>
  </si>
  <si>
    <t>00007100</t>
  </si>
  <si>
    <t>00007101</t>
  </si>
  <si>
    <t>00007102</t>
  </si>
  <si>
    <t>00007103</t>
  </si>
  <si>
    <t>00007104</t>
  </si>
  <si>
    <t>00007105</t>
  </si>
  <si>
    <t>00007106</t>
  </si>
  <si>
    <t>00007107</t>
  </si>
  <si>
    <t>00007108</t>
  </si>
  <si>
    <t>00007110</t>
  </si>
  <si>
    <t>00007111</t>
  </si>
  <si>
    <t>00007112</t>
  </si>
  <si>
    <t>00007113</t>
  </si>
  <si>
    <t>00007114</t>
  </si>
  <si>
    <t>00007115</t>
  </si>
  <si>
    <t>00007116</t>
  </si>
  <si>
    <t>13/08/2026</t>
  </si>
  <si>
    <t>15/08/2026</t>
  </si>
  <si>
    <t>Siêu thị Bình Dương, 2632057989307</t>
  </si>
  <si>
    <t>Siêu thị Hạ Long, 2632057987352</t>
  </si>
  <si>
    <t>Siêu thị Trường Chinh, 2632057999886</t>
  </si>
  <si>
    <t>Siêu thị GO Nguyễn Thị Thập, 2632057989715</t>
  </si>
  <si>
    <t>Siêu thị Nha Trang, 2632057987328</t>
  </si>
  <si>
    <t>TOPS MARKET PARKCITY , 2632057997771</t>
  </si>
  <si>
    <t>Siêu thị GO Thái Nguyên, 2632057996978</t>
  </si>
  <si>
    <t>Siêu thị Thăng Long, 2632057990028</t>
  </si>
  <si>
    <t>Siêu thị Hải Phòng, 2632057989564</t>
  </si>
  <si>
    <t>Siêu thị Vinh, 2632057987892</t>
  </si>
  <si>
    <t>Siêu thị GO Vĩnh Phúc, 2632057988521</t>
  </si>
  <si>
    <t>Siêu thị Thanh Hóa, 2632057987197</t>
  </si>
  <si>
    <t>Siêu thị GO Gò Dầu, 2633058036241</t>
  </si>
  <si>
    <t>GO! Đồng Nai, 2633058047190</t>
  </si>
  <si>
    <t>Siêu thị Hải Phòng, 2633058044626</t>
  </si>
  <si>
    <t>Siêu thị Miền Đông, 2633058046821</t>
  </si>
  <si>
    <t>Siêu thị Thăng Long, 2633058047104</t>
  </si>
  <si>
    <t>siêu thị GO An Lạc, 2633058046997</t>
  </si>
  <si>
    <t>Giao hàng tại SIÊU THỊ go! BÌNH LONG, 2632057928190</t>
  </si>
  <si>
    <t>Giao hàng tại Siêu thị go! Hòa Thành, 2633058034250</t>
  </si>
  <si>
    <t>SIÊU THỊ go! HƯƠNG TRÀ, 2633058032889</t>
  </si>
  <si>
    <t>Giao hàng tại SIÊU THỊ go! GÒ CÔNG TÂY, 2633058031679</t>
  </si>
  <si>
    <t>Siêu thị Gò Vấp, 2633058051188</t>
  </si>
  <si>
    <t>Siêu thị Đà Nẵng, 2633058051434</t>
  </si>
  <si>
    <t>Siêu thị Ninh Bình, 2633058055531</t>
  </si>
  <si>
    <t>Siêu thị Vinh, 2633058044808</t>
  </si>
  <si>
    <t>Siêu thị Huế, 2633058052463</t>
  </si>
  <si>
    <t>Siêu thị GO Vĩnh Phúc, 2633058043051</t>
  </si>
  <si>
    <t>Siêu thị Tân Hiệp, 2633058055827</t>
  </si>
  <si>
    <t>Siêu thị Long Biên, 2633058045634</t>
  </si>
  <si>
    <t>Siêu thị Hải Dương, 2633058055699</t>
  </si>
  <si>
    <t>Siêu thị Thanh Hóa, 2633058056811</t>
  </si>
  <si>
    <t>Siêu thị Việt Trì, 2633058057575</t>
  </si>
  <si>
    <t>Siêu thị Trường Chinh, 2633058044532</t>
  </si>
  <si>
    <t>Siêu thị Mê Linh, 2633058043015</t>
  </si>
  <si>
    <t>Siêu thị Bình Dương, 2633058046277</t>
  </si>
  <si>
    <t>Siêu thị GO Dĩ An, 2633058046047</t>
  </si>
  <si>
    <t>Siêu thị go! Nhơn Trạch, 2633058035400</t>
  </si>
  <si>
    <t>Giao hàng tại Siêu thị Go! Tân Uyên, 2633058034542</t>
  </si>
  <si>
    <t>Siêu thị Đà Lạt, 2633058046677</t>
  </si>
  <si>
    <t>Siêu thị Quy Nhơn, 2633058050153</t>
  </si>
  <si>
    <t>Siêu thị GO Nguyễn Thị Thập, 2633058046027</t>
  </si>
  <si>
    <t>Giao hàng tại Siêu thị go! Điện Bàn, 2633058035516</t>
  </si>
  <si>
    <t>Siêu thị Hạ Long, 2633058044877</t>
  </si>
  <si>
    <t>Siêu thị Bắc Giang, 2633058057020</t>
  </si>
  <si>
    <t>TOPS MARKET LE TRONG TAN, 2633058038551</t>
  </si>
  <si>
    <t>Siêu thị GO Quảng Ngãi, 2633058039300</t>
  </si>
  <si>
    <t>Siêu thị GO Lào Cai, 2633058058763</t>
  </si>
  <si>
    <t>Giao hàng tại Siêu thị GO! HÀ NAM, 2633058054688</t>
  </si>
  <si>
    <t>Siêu thị go! Phú Mỹ, 2633058034957</t>
  </si>
  <si>
    <t>Giao hàng tại Siêu thị GO! BẠC LIÊU, 2633058051866</t>
  </si>
  <si>
    <t>Siêu thị GO Buôn Ma Thuột, 2633058025969</t>
  </si>
  <si>
    <t>Siêu thị Hải Phòng, 2632058001616</t>
  </si>
  <si>
    <t>5/8 và 15/8</t>
  </si>
  <si>
    <t>CÔNG NỢ BIGC ĐỐI CHIẾU PM =</t>
  </si>
  <si>
    <t>00007158</t>
  </si>
  <si>
    <t>00007159</t>
  </si>
  <si>
    <t>00007172</t>
  </si>
  <si>
    <t>00007173</t>
  </si>
  <si>
    <t>00007180</t>
  </si>
  <si>
    <t>00007181</t>
  </si>
  <si>
    <t>00007182</t>
  </si>
  <si>
    <t>00007183</t>
  </si>
  <si>
    <t>00007184</t>
  </si>
  <si>
    <t>00007185</t>
  </si>
  <si>
    <t>00007186</t>
  </si>
  <si>
    <t>TOPS MARKET ECO GREEN, 2633058063000</t>
  </si>
  <si>
    <t>Siêu thị Bắc Giang, 2633058064366</t>
  </si>
  <si>
    <t>Siêu thị GO Thái Nguyên, 2633058098436</t>
  </si>
  <si>
    <t>Siêu thị GO Trà Vinh, 2633058094400</t>
  </si>
  <si>
    <t>Giao hàng tại Siêu thị Go! Tân Uyên, 2633058110844</t>
  </si>
  <si>
    <t>siêu thị GO An Lạc, 2633058126631</t>
  </si>
  <si>
    <t>Giao hàng tại SIÊU THỊ go! THANH BÌNH, 2633058109229</t>
  </si>
  <si>
    <t>Siêu thị GO! Bà Rịa, 2633058131893</t>
  </si>
  <si>
    <t>Siêu thị go! Tam Kỳ, 2633058111587</t>
  </si>
  <si>
    <t>Siêu thị GO! Bà Rịa, 2633058129204</t>
  </si>
  <si>
    <t>Siêu thị GO Thái Nguyên, 2633058127052</t>
  </si>
  <si>
    <t>18/08/2026</t>
  </si>
  <si>
    <t>19/08/2026</t>
  </si>
  <si>
    <t>- Khớp đến 20/08/2026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</si>
</sst>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"/>
    <numFmt numFmtId="165" formatCode="_-* #,##0\ _₫_-;\-* #,##0\ _₫_-;_-* &quot;-&quot;??\ _₫_-;_-@"/>
    <numFmt numFmtId="166" formatCode="_(* #,##0_);_(* \(#,##0\);_(* &quot;-&quot;??_);_(@_)"/>
    <numFmt numFmtId="167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18"/>
      <color rgb="FF000000"/>
      <name val="Cambria"/>
      <family val="1"/>
    </font>
    <font>
      <b/>
      <i/>
      <sz val="12"/>
      <color rgb="FF000000"/>
      <name val="Cambria"/>
      <family val="1"/>
    </font>
    <font>
      <sz val="11"/>
      <color rgb="FF000000"/>
      <name val="Cambria"/>
      <family val="1"/>
    </font>
    <font>
      <u/>
      <sz val="11"/>
      <color rgb="FF0563C1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mbria"/>
      <family val="1"/>
    </font>
    <font>
      <sz val="12"/>
      <name val="Arial"/>
      <family val="2"/>
    </font>
    <font>
      <sz val="11"/>
      <color rgb="FF000000"/>
      <name val="Calibri"/>
      <family val="2"/>
    </font>
    <font>
      <b/>
      <i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  <font>
      <b/>
      <sz val="18"/>
      <color rgb="FFFF0000"/>
      <name val="Cambria"/>
      <family val="1"/>
    </font>
    <font>
      <b/>
      <sz val="12"/>
      <color rgb="FF000000"/>
      <name val="Cambria"/>
      <family val="1"/>
    </font>
    <font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D6E3BC"/>
        <bgColor rgb="FFD6E3BC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3" fillId="0" borderId="0" applyFont="0" applyFill="0" applyBorder="0" applyAlignment="0" applyProtection="0"/>
    <xf numFmtId="43" fontId="28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1" applyFont="1" applyAlignment="1">
      <alignment horizontal="right"/>
    </xf>
    <xf numFmtId="0" fontId="3" fillId="0" borderId="0" xfId="1" applyFont="1"/>
    <xf numFmtId="0" fontId="1" fillId="0" borderId="0" xfId="1"/>
    <xf numFmtId="0" fontId="1" fillId="2" borderId="0" xfId="1" applyFill="1"/>
    <xf numFmtId="14" fontId="1" fillId="0" borderId="0" xfId="1" applyNumberFormat="1"/>
    <xf numFmtId="0" fontId="3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2" fontId="1" fillId="0" borderId="0" xfId="1" applyNumberFormat="1"/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1" fillId="0" borderId="0" xfId="1" quotePrefix="1"/>
    <xf numFmtId="0" fontId="8" fillId="3" borderId="6" xfId="1" applyFont="1" applyFill="1" applyBorder="1" applyAlignment="1">
      <alignment horizontal="center"/>
    </xf>
    <xf numFmtId="0" fontId="11" fillId="4" borderId="13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/>
    </xf>
    <xf numFmtId="0" fontId="4" fillId="3" borderId="3" xfId="1" applyFont="1" applyFill="1" applyBorder="1"/>
    <xf numFmtId="3" fontId="9" fillId="4" borderId="15" xfId="1" applyNumberFormat="1" applyFont="1" applyFill="1" applyBorder="1" applyAlignment="1">
      <alignment horizontal="center" vertical="center"/>
    </xf>
    <xf numFmtId="3" fontId="9" fillId="2" borderId="15" xfId="1" applyNumberFormat="1" applyFont="1" applyFill="1" applyBorder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165" fontId="12" fillId="0" borderId="0" xfId="1" applyNumberFormat="1" applyFont="1"/>
    <xf numFmtId="0" fontId="3" fillId="0" borderId="0" xfId="1" quotePrefix="1" applyFont="1"/>
    <xf numFmtId="3" fontId="9" fillId="4" borderId="4" xfId="1" applyNumberFormat="1" applyFont="1" applyFill="1" applyBorder="1" applyAlignment="1">
      <alignment horizontal="center" vertical="center"/>
    </xf>
    <xf numFmtId="164" fontId="17" fillId="2" borderId="24" xfId="1" applyNumberFormat="1" applyFont="1" applyFill="1" applyBorder="1" applyAlignment="1">
      <alignment horizontal="center"/>
    </xf>
    <xf numFmtId="14" fontId="16" fillId="5" borderId="24" xfId="1" applyNumberFormat="1" applyFont="1" applyFill="1" applyBorder="1" applyAlignment="1">
      <alignment horizontal="center"/>
    </xf>
    <xf numFmtId="0" fontId="7" fillId="0" borderId="0" xfId="1" applyFont="1"/>
    <xf numFmtId="0" fontId="18" fillId="0" borderId="26" xfId="1" applyFont="1" applyBorder="1" applyAlignment="1">
      <alignment horizontal="right"/>
    </xf>
    <xf numFmtId="0" fontId="19" fillId="0" borderId="27" xfId="1" applyFont="1" applyBorder="1" applyAlignment="1">
      <alignment horizontal="center" wrapText="1"/>
    </xf>
    <xf numFmtId="1" fontId="19" fillId="0" borderId="27" xfId="1" applyNumberFormat="1" applyFont="1" applyBorder="1" applyAlignment="1">
      <alignment horizontal="center" wrapText="1"/>
    </xf>
    <xf numFmtId="14" fontId="19" fillId="0" borderId="28" xfId="1" applyNumberFormat="1" applyFont="1" applyBorder="1" applyAlignment="1">
      <alignment horizontal="center" wrapText="1"/>
    </xf>
    <xf numFmtId="3" fontId="16" fillId="0" borderId="28" xfId="1" applyNumberFormat="1" applyFont="1" applyBorder="1"/>
    <xf numFmtId="3" fontId="16" fillId="6" borderId="29" xfId="1" applyNumberFormat="1" applyFont="1" applyFill="1" applyBorder="1" applyAlignment="1">
      <alignment horizontal="right"/>
    </xf>
    <xf numFmtId="0" fontId="19" fillId="7" borderId="27" xfId="1" applyFont="1" applyFill="1" applyBorder="1" applyAlignment="1">
      <alignment horizontal="center" wrapText="1"/>
    </xf>
    <xf numFmtId="1" fontId="19" fillId="7" borderId="27" xfId="1" applyNumberFormat="1" applyFont="1" applyFill="1" applyBorder="1" applyAlignment="1">
      <alignment horizontal="center" wrapText="1"/>
    </xf>
    <xf numFmtId="0" fontId="1" fillId="0" borderId="0" xfId="1" applyAlignment="1">
      <alignment horizontal="right"/>
    </xf>
    <xf numFmtId="14" fontId="24" fillId="0" borderId="0" xfId="1" applyNumberFormat="1" applyFont="1" applyAlignment="1">
      <alignment horizontal="left"/>
    </xf>
    <xf numFmtId="14" fontId="13" fillId="0" borderId="0" xfId="1" applyNumberFormat="1" applyFont="1" applyAlignment="1">
      <alignment horizontal="center"/>
    </xf>
    <xf numFmtId="1" fontId="13" fillId="0" borderId="0" xfId="1" applyNumberFormat="1" applyFont="1"/>
    <xf numFmtId="3" fontId="1" fillId="5" borderId="0" xfId="1" applyNumberFormat="1" applyFill="1"/>
    <xf numFmtId="3" fontId="1" fillId="0" borderId="0" xfId="1" applyNumberFormat="1"/>
    <xf numFmtId="166" fontId="0" fillId="0" borderId="0" xfId="2" applyNumberFormat="1" applyFont="1" applyAlignment="1"/>
    <xf numFmtId="166" fontId="25" fillId="7" borderId="0" xfId="2" applyNumberFormat="1" applyFont="1" applyFill="1" applyAlignment="1">
      <alignment vertical="center"/>
    </xf>
    <xf numFmtId="166" fontId="26" fillId="0" borderId="0" xfId="2" applyNumberFormat="1" applyFont="1" applyAlignment="1">
      <alignment vertical="center"/>
    </xf>
    <xf numFmtId="0" fontId="13" fillId="0" borderId="0" xfId="1" applyFont="1"/>
    <xf numFmtId="166" fontId="4" fillId="0" borderId="0" xfId="2" applyNumberFormat="1" applyFont="1" applyFill="1" applyBorder="1" applyAlignment="1">
      <alignment horizontal="center"/>
    </xf>
    <xf numFmtId="166" fontId="4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14" fontId="9" fillId="4" borderId="32" xfId="1" applyNumberFormat="1" applyFont="1" applyFill="1" applyBorder="1" applyAlignment="1">
      <alignment horizontal="center" vertical="center" wrapText="1"/>
    </xf>
    <xf numFmtId="14" fontId="10" fillId="4" borderId="32" xfId="1" applyNumberFormat="1" applyFont="1" applyFill="1" applyBorder="1" applyAlignment="1">
      <alignment horizontal="center" vertical="center" wrapText="1"/>
    </xf>
    <xf numFmtId="1" fontId="10" fillId="4" borderId="32" xfId="1" applyNumberFormat="1" applyFont="1" applyFill="1" applyBorder="1" applyAlignment="1">
      <alignment horizontal="center" vertical="center" wrapText="1"/>
    </xf>
    <xf numFmtId="3" fontId="10" fillId="5" borderId="32" xfId="1" applyNumberFormat="1" applyFont="1" applyFill="1" applyBorder="1" applyAlignment="1">
      <alignment horizontal="center" vertical="center" wrapText="1"/>
    </xf>
    <xf numFmtId="3" fontId="10" fillId="4" borderId="32" xfId="1" applyNumberFormat="1" applyFont="1" applyFill="1" applyBorder="1" applyAlignment="1">
      <alignment horizontal="center" vertical="center" wrapText="1"/>
    </xf>
    <xf numFmtId="166" fontId="0" fillId="0" borderId="0" xfId="2" applyNumberFormat="1" applyFont="1"/>
    <xf numFmtId="166" fontId="20" fillId="0" borderId="29" xfId="2" applyNumberFormat="1" applyFont="1" applyFill="1" applyBorder="1"/>
    <xf numFmtId="3" fontId="16" fillId="0" borderId="29" xfId="1" applyNumberFormat="1" applyFont="1" applyBorder="1"/>
    <xf numFmtId="14" fontId="18" fillId="5" borderId="26" xfId="1" applyNumberFormat="1" applyFont="1" applyFill="1" applyBorder="1" applyAlignment="1">
      <alignment horizontal="left"/>
    </xf>
    <xf numFmtId="14" fontId="21" fillId="5" borderId="27" xfId="1" applyNumberFormat="1" applyFont="1" applyFill="1" applyBorder="1" applyAlignment="1">
      <alignment horizontal="center"/>
    </xf>
    <xf numFmtId="1" fontId="21" fillId="5" borderId="27" xfId="1" applyNumberFormat="1" applyFont="1" applyFill="1" applyBorder="1" applyAlignment="1">
      <alignment horizontal="center" wrapText="1"/>
    </xf>
    <xf numFmtId="166" fontId="21" fillId="5" borderId="28" xfId="2" applyNumberFormat="1" applyFont="1" applyFill="1" applyBorder="1" applyAlignment="1">
      <alignment horizontal="center" wrapText="1"/>
    </xf>
    <xf numFmtId="14" fontId="16" fillId="9" borderId="29" xfId="1" applyNumberFormat="1" applyFont="1" applyFill="1" applyBorder="1" applyAlignment="1">
      <alignment horizontal="right"/>
    </xf>
    <xf numFmtId="3" fontId="21" fillId="0" borderId="28" xfId="1" applyNumberFormat="1" applyFont="1" applyBorder="1" applyAlignment="1">
      <alignment horizontal="center" wrapText="1"/>
    </xf>
    <xf numFmtId="14" fontId="3" fillId="0" borderId="0" xfId="1" applyNumberFormat="1" applyFont="1"/>
    <xf numFmtId="14" fontId="3" fillId="0" borderId="0" xfId="1" applyNumberFormat="1" applyFont="1" applyAlignment="1">
      <alignment horizontal="center"/>
    </xf>
    <xf numFmtId="1" fontId="3" fillId="0" borderId="0" xfId="1" applyNumberFormat="1" applyFont="1"/>
    <xf numFmtId="3" fontId="3" fillId="0" borderId="0" xfId="1" applyNumberFormat="1" applyFont="1"/>
    <xf numFmtId="3" fontId="3" fillId="5" borderId="0" xfId="1" applyNumberFormat="1" applyFont="1" applyFill="1"/>
    <xf numFmtId="0" fontId="1" fillId="0" borderId="0" xfId="1" applyAlignment="1">
      <alignment horizontal="center"/>
    </xf>
    <xf numFmtId="3" fontId="1" fillId="2" borderId="0" xfId="1" applyNumberFormat="1" applyFill="1" applyAlignment="1">
      <alignment horizontal="center"/>
    </xf>
    <xf numFmtId="0" fontId="1" fillId="2" borderId="0" xfId="1" applyFill="1" applyAlignment="1">
      <alignment horizontal="center"/>
    </xf>
    <xf numFmtId="164" fontId="9" fillId="2" borderId="1" xfId="1" applyNumberFormat="1" applyFont="1" applyFill="1" applyBorder="1" applyAlignment="1">
      <alignment horizontal="center" vertical="center"/>
    </xf>
    <xf numFmtId="3" fontId="15" fillId="5" borderId="24" xfId="1" applyNumberFormat="1" applyFont="1" applyFill="1" applyBorder="1" applyAlignment="1">
      <alignment horizontal="center"/>
    </xf>
    <xf numFmtId="3" fontId="16" fillId="5" borderId="24" xfId="1" applyNumberFormat="1" applyFont="1" applyFill="1" applyBorder="1" applyAlignment="1">
      <alignment horizontal="center"/>
    </xf>
    <xf numFmtId="3" fontId="17" fillId="2" borderId="24" xfId="1" applyNumberFormat="1" applyFont="1" applyFill="1" applyBorder="1" applyAlignment="1">
      <alignment horizontal="center"/>
    </xf>
    <xf numFmtId="3" fontId="16" fillId="2" borderId="24" xfId="1" applyNumberFormat="1" applyFont="1" applyFill="1" applyBorder="1" applyAlignment="1">
      <alignment horizontal="center"/>
    </xf>
    <xf numFmtId="3" fontId="20" fillId="6" borderId="28" xfId="1" applyNumberFormat="1" applyFont="1" applyFill="1" applyBorder="1" applyAlignment="1">
      <alignment horizontal="center"/>
    </xf>
    <xf numFmtId="164" fontId="16" fillId="6" borderId="28" xfId="1" applyNumberFormat="1" applyFont="1" applyFill="1" applyBorder="1" applyAlignment="1">
      <alignment horizontal="center"/>
    </xf>
    <xf numFmtId="3" fontId="20" fillId="0" borderId="28" xfId="1" applyNumberFormat="1" applyFont="1" applyBorder="1" applyAlignment="1">
      <alignment horizontal="right"/>
    </xf>
    <xf numFmtId="3" fontId="16" fillId="0" borderId="28" xfId="1" applyNumberFormat="1" applyFont="1" applyBorder="1" applyAlignment="1">
      <alignment horizontal="right"/>
    </xf>
    <xf numFmtId="14" fontId="11" fillId="4" borderId="20" xfId="1" applyNumberFormat="1" applyFont="1" applyFill="1" applyBorder="1" applyAlignment="1">
      <alignment horizontal="center" vertical="center"/>
    </xf>
    <xf numFmtId="14" fontId="7" fillId="0" borderId="25" xfId="1" applyNumberFormat="1" applyFont="1" applyBorder="1" applyAlignment="1">
      <alignment horizontal="center"/>
    </xf>
    <xf numFmtId="0" fontId="14" fillId="5" borderId="21" xfId="1" applyFont="1" applyFill="1" applyBorder="1"/>
    <xf numFmtId="0" fontId="3" fillId="0" borderId="22" xfId="1" applyFont="1" applyBorder="1"/>
    <xf numFmtId="0" fontId="3" fillId="0" borderId="23" xfId="1" applyFont="1" applyBorder="1"/>
    <xf numFmtId="166" fontId="9" fillId="4" borderId="4" xfId="3" applyNumberFormat="1" applyFont="1" applyFill="1" applyBorder="1" applyAlignment="1">
      <alignment horizontal="center" vertical="center"/>
    </xf>
    <xf numFmtId="16" fontId="1" fillId="0" borderId="0" xfId="1" applyNumberFormat="1"/>
    <xf numFmtId="164" fontId="27" fillId="6" borderId="28" xfId="1" applyNumberFormat="1" applyFont="1" applyFill="1" applyBorder="1" applyAlignment="1">
      <alignment horizontal="center"/>
    </xf>
    <xf numFmtId="0" fontId="31" fillId="0" borderId="26" xfId="1" applyFont="1" applyBorder="1" applyAlignment="1">
      <alignment horizontal="right"/>
    </xf>
    <xf numFmtId="0" fontId="32" fillId="7" borderId="27" xfId="1" applyFont="1" applyFill="1" applyBorder="1" applyAlignment="1">
      <alignment horizontal="center" wrapText="1"/>
    </xf>
    <xf numFmtId="1" fontId="32" fillId="0" borderId="27" xfId="1" applyNumberFormat="1" applyFont="1" applyBorder="1" applyAlignment="1">
      <alignment horizontal="center" wrapText="1"/>
    </xf>
    <xf numFmtId="14" fontId="32" fillId="0" borderId="28" xfId="1" applyNumberFormat="1" applyFont="1" applyBorder="1" applyAlignment="1">
      <alignment horizontal="center" wrapText="1"/>
    </xf>
    <xf numFmtId="3" fontId="27" fillId="0" borderId="28" xfId="1" applyNumberFormat="1" applyFont="1" applyBorder="1" applyAlignment="1">
      <alignment horizontal="right"/>
    </xf>
    <xf numFmtId="3" fontId="27" fillId="6" borderId="28" xfId="1" applyNumberFormat="1" applyFont="1" applyFill="1" applyBorder="1" applyAlignment="1">
      <alignment horizontal="center"/>
    </xf>
    <xf numFmtId="14" fontId="33" fillId="0" borderId="0" xfId="1" applyNumberFormat="1" applyFont="1"/>
    <xf numFmtId="0" fontId="33" fillId="0" borderId="0" xfId="1" applyFont="1"/>
    <xf numFmtId="2" fontId="33" fillId="0" borderId="0" xfId="1" applyNumberFormat="1" applyFont="1"/>
    <xf numFmtId="3" fontId="16" fillId="6" borderId="29" xfId="1" applyNumberFormat="1" applyFont="1" applyFill="1" applyBorder="1" applyAlignment="1">
      <alignment horizontal="center"/>
    </xf>
    <xf numFmtId="3" fontId="20" fillId="6" borderId="29" xfId="1" applyNumberFormat="1" applyFont="1" applyFill="1" applyBorder="1" applyAlignment="1">
      <alignment horizontal="right"/>
    </xf>
    <xf numFmtId="0" fontId="9" fillId="4" borderId="17" xfId="1" applyFont="1" applyFill="1" applyBorder="1" applyAlignment="1">
      <alignment horizontal="center" vertical="center" wrapText="1"/>
    </xf>
    <xf numFmtId="0" fontId="3" fillId="0" borderId="18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6" fillId="0" borderId="0" xfId="1" applyFont="1" applyAlignment="1">
      <alignment horizontal="center" vertical="center"/>
    </xf>
    <xf numFmtId="14" fontId="7" fillId="0" borderId="5" xfId="1" applyNumberFormat="1" applyFont="1" applyBorder="1" applyAlignment="1">
      <alignment horizontal="center"/>
    </xf>
    <xf numFmtId="14" fontId="3" fillId="0" borderId="5" xfId="1" applyNumberFormat="1" applyFont="1" applyBorder="1" applyAlignment="1">
      <alignment horizontal="center"/>
    </xf>
    <xf numFmtId="0" fontId="9" fillId="4" borderId="7" xfId="1" applyFont="1" applyFill="1" applyBorder="1" applyAlignment="1">
      <alignment horizontal="right" vertical="center" wrapText="1"/>
    </xf>
    <xf numFmtId="0" fontId="9" fillId="4" borderId="14" xfId="1" applyFont="1" applyFill="1" applyBorder="1" applyAlignment="1">
      <alignment horizontal="right" vertical="center" wrapText="1"/>
    </xf>
    <xf numFmtId="49" fontId="10" fillId="4" borderId="8" xfId="1" applyNumberFormat="1" applyFont="1" applyFill="1" applyBorder="1" applyAlignment="1">
      <alignment horizontal="center" vertical="center" wrapText="1"/>
    </xf>
    <xf numFmtId="49" fontId="10" fillId="4" borderId="15" xfId="1" applyNumberFormat="1" applyFont="1" applyFill="1" applyBorder="1" applyAlignment="1">
      <alignment horizontal="center" vertical="center" wrapText="1"/>
    </xf>
    <xf numFmtId="14" fontId="10" fillId="4" borderId="8" xfId="1" applyNumberFormat="1" applyFont="1" applyFill="1" applyBorder="1" applyAlignment="1">
      <alignment horizontal="center" vertical="center" wrapText="1"/>
    </xf>
    <xf numFmtId="14" fontId="10" fillId="4" borderId="15" xfId="1" applyNumberFormat="1" applyFont="1" applyFill="1" applyBorder="1" applyAlignment="1">
      <alignment horizontal="center" vertical="center" wrapText="1"/>
    </xf>
    <xf numFmtId="3" fontId="9" fillId="4" borderId="9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14" fontId="9" fillId="4" borderId="8" xfId="1" applyNumberFormat="1" applyFont="1" applyFill="1" applyBorder="1" applyAlignment="1">
      <alignment horizontal="center" vertical="center" wrapText="1"/>
    </xf>
    <xf numFmtId="14" fontId="9" fillId="4" borderId="15" xfId="1" applyNumberFormat="1" applyFont="1" applyFill="1" applyBorder="1" applyAlignment="1">
      <alignment horizontal="center" vertical="center"/>
    </xf>
    <xf numFmtId="14" fontId="11" fillId="4" borderId="12" xfId="1" applyNumberFormat="1" applyFont="1" applyFill="1" applyBorder="1" applyAlignment="1">
      <alignment horizontal="center" vertical="center" wrapText="1"/>
    </xf>
    <xf numFmtId="14" fontId="11" fillId="4" borderId="16" xfId="1" applyNumberFormat="1" applyFont="1" applyFill="1" applyBorder="1" applyAlignment="1">
      <alignment horizontal="center" vertical="center" wrapText="1"/>
    </xf>
    <xf numFmtId="14" fontId="9" fillId="4" borderId="8" xfId="1" applyNumberFormat="1" applyFont="1" applyFill="1" applyBorder="1" applyAlignment="1">
      <alignment horizontal="center" vertical="center"/>
    </xf>
    <xf numFmtId="14" fontId="9" fillId="4" borderId="4" xfId="1" applyNumberFormat="1" applyFont="1" applyFill="1" applyBorder="1" applyAlignment="1">
      <alignment horizontal="center" vertical="center"/>
    </xf>
    <xf numFmtId="14" fontId="9" fillId="4" borderId="31" xfId="1" applyNumberFormat="1" applyFont="1" applyFill="1" applyBorder="1" applyAlignment="1">
      <alignment horizontal="center" vertical="center"/>
    </xf>
    <xf numFmtId="14" fontId="9" fillId="4" borderId="30" xfId="1" applyNumberFormat="1" applyFont="1" applyFill="1" applyBorder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14" fontId="9" fillId="4" borderId="30" xfId="1" applyNumberFormat="1" applyFont="1" applyFill="1" applyBorder="1" applyAlignment="1">
      <alignment horizontal="center" vertical="center" wrapText="1"/>
    </xf>
    <xf numFmtId="0" fontId="24" fillId="0" borderId="32" xfId="1" applyFont="1" applyBorder="1"/>
    <xf numFmtId="1" fontId="9" fillId="4" borderId="30" xfId="1" applyNumberFormat="1" applyFont="1" applyFill="1" applyBorder="1" applyAlignment="1">
      <alignment horizontal="center" vertical="center" wrapText="1"/>
    </xf>
    <xf numFmtId="1" fontId="24" fillId="0" borderId="32" xfId="1" applyNumberFormat="1" applyFont="1" applyBorder="1"/>
    <xf numFmtId="3" fontId="10" fillId="5" borderId="30" xfId="1" applyNumberFormat="1" applyFont="1" applyFill="1" applyBorder="1" applyAlignment="1">
      <alignment horizontal="center" vertical="center" wrapText="1"/>
    </xf>
    <xf numFmtId="3" fontId="10" fillId="8" borderId="30" xfId="1" applyNumberFormat="1" applyFont="1" applyFill="1" applyBorder="1" applyAlignment="1">
      <alignment horizontal="center" vertical="center" wrapText="1"/>
    </xf>
    <xf numFmtId="3" fontId="9" fillId="4" borderId="30" xfId="1" applyNumberFormat="1" applyFont="1" applyFill="1" applyBorder="1" applyAlignment="1">
      <alignment horizontal="center" vertical="center"/>
    </xf>
    <xf numFmtId="167" fontId="26" fillId="0" borderId="0" xfId="2" quotePrefix="1" applyNumberFormat="1" applyFont="1" applyAlignment="1">
      <alignment vertical="center"/>
    </xf>
    <xf numFmtId="3" fontId="9" fillId="4" borderId="31" xfId="1" applyNumberFormat="1" applyFont="1" applyFill="1" applyBorder="1" applyAlignment="1">
      <alignment horizontal="center" vertical="center"/>
    </xf>
  </cellXfs>
  <cellStyles count="4">
    <cellStyle name="Comma" xfId="3" builtinId="3"/>
    <cellStyle name="Comma 2" xfId="2" xr:uid="{D6385E2A-5968-4DF2-B4F7-E395FD14BB4A}"/>
    <cellStyle name="Normal" xfId="0" builtinId="0"/>
    <cellStyle name="Normal 2" xfId="1" xr:uid="{1C6D23ED-3892-48FB-B1E1-73AA790A04D8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19575" cy="981075"/>
    <xdr:pic>
      <xdr:nvPicPr>
        <xdr:cNvPr id="2" name="image1.png">
          <a:extLst>
            <a:ext uri="{FF2B5EF4-FFF2-40B4-BE49-F238E27FC236}">
              <a16:creationId xmlns:a16="http://schemas.microsoft.com/office/drawing/2014/main" id="{5DC83524-A213-4DD9-8BE7-01A1B4EB96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219575" cy="9810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29150" cy="98107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7ADE0B38-8DF2-4492-A249-6151E88990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29150" cy="9810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2</xdr:col>
      <xdr:colOff>79375</xdr:colOff>
      <xdr:row>0</xdr:row>
      <xdr:rowOff>973455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31F0FFBD-DDBA-4F7F-91AB-DFED01FC09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634230" cy="969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.anhlt13@vincommerce.com" TargetMode="External"/><Relationship Id="rId1" Type="http://schemas.openxmlformats.org/officeDocument/2006/relationships/hyperlink" Target="mailto:v.chieunt@vincommerce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864E-A1F9-4964-9224-7C8B54D9FD3D}">
  <sheetPr filterMode="1">
    <outlinePr summaryBelow="0" summaryRight="0"/>
  </sheetPr>
  <dimension ref="A1:S2150"/>
  <sheetViews>
    <sheetView topLeftCell="A4" zoomScale="175" zoomScaleNormal="175" workbookViewId="0">
      <pane xSplit="3" ySplit="5" topLeftCell="D1705" activePane="bottomRight" state="frozen"/>
      <selection activeCell="G905" sqref="G905:G1573"/>
      <selection pane="topRight" activeCell="G905" sqref="G905:G1573"/>
      <selection pane="bottomLeft" activeCell="G905" sqref="G905:G1573"/>
      <selection pane="bottomRight" activeCell="E1712" sqref="E1712"/>
    </sheetView>
  </sheetViews>
  <sheetFormatPr defaultColWidth="14.44140625" defaultRowHeight="15" customHeight="1" x14ac:dyDescent="0.3"/>
  <cols>
    <col min="1" max="1" width="12.5546875" style="34" customWidth="1"/>
    <col min="2" max="2" width="11" style="2" customWidth="1"/>
    <col min="3" max="3" width="7.6640625" style="3" customWidth="1"/>
    <col min="4" max="4" width="14.109375" style="3" customWidth="1"/>
    <col min="5" max="5" width="15.77734375" style="3" customWidth="1"/>
    <col min="6" max="6" width="15" style="3" customWidth="1"/>
    <col min="7" max="7" width="15.6640625" style="3" customWidth="1"/>
    <col min="8" max="8" width="16" style="3" customWidth="1"/>
    <col min="9" max="9" width="15.6640625" style="3" customWidth="1"/>
    <col min="10" max="10" width="15.6640625" style="3" hidden="1" customWidth="1"/>
    <col min="11" max="11" width="18.109375" style="5" hidden="1" customWidth="1"/>
    <col min="12" max="12" width="18.77734375" style="5" customWidth="1"/>
    <col min="13" max="13" width="42.5546875" style="3" customWidth="1"/>
    <col min="14" max="14" width="21.44140625" style="3" customWidth="1"/>
    <col min="15" max="15" width="32.33203125" style="3" customWidth="1"/>
    <col min="16" max="16" width="19" style="3" customWidth="1"/>
    <col min="17" max="18" width="8" style="3" customWidth="1"/>
    <col min="19" max="19" width="14.88671875" style="9" customWidth="1"/>
    <col min="20" max="23" width="8" style="3" customWidth="1"/>
    <col min="24" max="16384" width="14.44140625" style="3"/>
  </cols>
  <sheetData>
    <row r="1" spans="1:19" ht="65.25" customHeight="1" x14ac:dyDescent="0.3">
      <c r="A1" s="1"/>
      <c r="G1" s="4"/>
      <c r="H1" s="4"/>
      <c r="I1" s="4"/>
      <c r="J1" s="4"/>
      <c r="L1" s="62"/>
      <c r="M1" s="6"/>
      <c r="N1" s="7" t="s">
        <v>0</v>
      </c>
      <c r="O1" s="8" t="s">
        <v>1</v>
      </c>
    </row>
    <row r="2" spans="1:19" ht="29.25" customHeight="1" x14ac:dyDescent="0.3">
      <c r="A2" s="100" t="s">
        <v>2</v>
      </c>
      <c r="B2" s="101"/>
      <c r="C2" s="101"/>
      <c r="D2" s="101"/>
      <c r="E2" s="101"/>
      <c r="F2" s="101"/>
      <c r="G2" s="101"/>
      <c r="H2" s="101"/>
      <c r="I2" s="101"/>
      <c r="J2" s="101"/>
      <c r="K2" s="102"/>
      <c r="L2" s="62"/>
      <c r="M2" s="6"/>
      <c r="N2" s="7" t="s">
        <v>3</v>
      </c>
      <c r="O2" s="10" t="s">
        <v>4</v>
      </c>
    </row>
    <row r="3" spans="1:19" ht="18.75" customHeight="1" x14ac:dyDescent="0.3">
      <c r="A3" s="103" t="s">
        <v>2771</v>
      </c>
      <c r="B3" s="101"/>
      <c r="C3" s="101"/>
      <c r="D3" s="101"/>
      <c r="E3" s="101"/>
      <c r="F3" s="101"/>
      <c r="G3" s="101"/>
      <c r="H3" s="101"/>
      <c r="I3" s="101"/>
      <c r="J3" s="101"/>
      <c r="K3" s="102"/>
      <c r="L3" s="62"/>
      <c r="M3" s="6"/>
      <c r="N3" s="11" t="s">
        <v>5</v>
      </c>
      <c r="O3" s="12" t="s">
        <v>6</v>
      </c>
    </row>
    <row r="4" spans="1:19" ht="18" customHeight="1" thickBot="1" x14ac:dyDescent="0.35">
      <c r="A4" s="1"/>
      <c r="B4" s="6"/>
      <c r="C4" s="66"/>
      <c r="D4" s="66"/>
      <c r="E4" s="66"/>
      <c r="F4" s="66"/>
      <c r="G4" s="67"/>
      <c r="H4" s="68"/>
      <c r="I4" s="67"/>
      <c r="J4" s="67"/>
      <c r="K4" s="104"/>
      <c r="L4" s="105"/>
      <c r="M4" s="2"/>
      <c r="N4" s="11">
        <v>1675386519</v>
      </c>
      <c r="O4" s="13" t="s">
        <v>7</v>
      </c>
    </row>
    <row r="5" spans="1:19" ht="15.6" customHeight="1" x14ac:dyDescent="0.3">
      <c r="A5" s="106" t="s">
        <v>8</v>
      </c>
      <c r="B5" s="108" t="s">
        <v>9</v>
      </c>
      <c r="C5" s="108" t="s">
        <v>10</v>
      </c>
      <c r="D5" s="110" t="s">
        <v>11</v>
      </c>
      <c r="E5" s="112" t="s">
        <v>12</v>
      </c>
      <c r="F5" s="113"/>
      <c r="G5" s="113"/>
      <c r="H5" s="113"/>
      <c r="I5" s="114"/>
      <c r="J5" s="119" t="s">
        <v>379</v>
      </c>
      <c r="K5" s="115" t="s">
        <v>508</v>
      </c>
      <c r="L5" s="117" t="s">
        <v>509</v>
      </c>
      <c r="M5" s="14"/>
      <c r="N5" s="15" t="s">
        <v>13</v>
      </c>
      <c r="O5" s="16"/>
    </row>
    <row r="6" spans="1:19" ht="18.75" customHeight="1" x14ac:dyDescent="0.3">
      <c r="A6" s="107"/>
      <c r="B6" s="109"/>
      <c r="C6" s="109"/>
      <c r="D6" s="111"/>
      <c r="E6" s="17" t="s">
        <v>14</v>
      </c>
      <c r="F6" s="17" t="s">
        <v>15</v>
      </c>
      <c r="G6" s="18" t="s">
        <v>16</v>
      </c>
      <c r="H6" s="18" t="s">
        <v>17</v>
      </c>
      <c r="I6" s="69" t="s">
        <v>18</v>
      </c>
      <c r="J6" s="120"/>
      <c r="K6" s="116"/>
      <c r="L6" s="118"/>
      <c r="M6" s="19"/>
      <c r="N6" s="20" t="s">
        <v>19</v>
      </c>
      <c r="O6" s="21" t="s">
        <v>20</v>
      </c>
      <c r="P6" s="2" t="s">
        <v>21</v>
      </c>
    </row>
    <row r="7" spans="1:19" ht="28.2" customHeight="1" x14ac:dyDescent="0.3">
      <c r="A7" s="97" t="s">
        <v>22</v>
      </c>
      <c r="B7" s="98"/>
      <c r="C7" s="98"/>
      <c r="D7" s="99"/>
      <c r="E7" s="22">
        <f>SUM(E9:E3010)+E8</f>
        <v>9763080170</v>
      </c>
      <c r="F7" s="22">
        <f>SUM(F9:F3010)+F8</f>
        <v>781046413.5999999</v>
      </c>
      <c r="G7" s="22">
        <f>SUM(G9:G3010)+G8</f>
        <v>10544126583.599998</v>
      </c>
      <c r="H7" s="22">
        <f>SUM(H9:H3038)+H8</f>
        <v>8911260543.5999985</v>
      </c>
      <c r="I7" s="22">
        <f>SUM(I9:I3003)</f>
        <v>1632866040</v>
      </c>
      <c r="J7" s="116"/>
      <c r="K7" s="83"/>
      <c r="L7" s="78"/>
      <c r="M7" s="19"/>
      <c r="N7" s="20" t="s">
        <v>23</v>
      </c>
      <c r="O7" s="21" t="s">
        <v>24</v>
      </c>
    </row>
    <row r="8" spans="1:19" ht="16.5" customHeight="1" x14ac:dyDescent="0.35">
      <c r="A8" s="80" t="s">
        <v>25</v>
      </c>
      <c r="B8" s="81"/>
      <c r="C8" s="81"/>
      <c r="D8" s="82"/>
      <c r="E8" s="70"/>
      <c r="F8" s="71"/>
      <c r="G8" s="72"/>
      <c r="H8" s="73"/>
      <c r="I8" s="23">
        <v>0</v>
      </c>
      <c r="J8" s="23"/>
      <c r="K8" s="24"/>
      <c r="L8" s="79"/>
      <c r="M8" s="25"/>
      <c r="O8" s="12" t="s">
        <v>26</v>
      </c>
    </row>
    <row r="9" spans="1:19" ht="15" customHeight="1" x14ac:dyDescent="0.35">
      <c r="A9" s="26" t="s">
        <v>631</v>
      </c>
      <c r="B9" s="32" t="s">
        <v>847</v>
      </c>
      <c r="C9" s="28"/>
      <c r="D9" s="29" t="s">
        <v>989</v>
      </c>
      <c r="E9" s="76">
        <v>9600000</v>
      </c>
      <c r="F9" s="77">
        <f t="shared" ref="F9:F66" si="0">+E9*0.08</f>
        <v>768000</v>
      </c>
      <c r="G9" s="31">
        <f t="shared" ref="G9:G14" si="1">+F9+E9</f>
        <v>10368000</v>
      </c>
      <c r="H9" s="74">
        <v>10368000</v>
      </c>
      <c r="I9" s="75">
        <f t="shared" ref="I9:I65" si="2">G9-H9</f>
        <v>0</v>
      </c>
      <c r="J9" s="75"/>
      <c r="K9" s="5">
        <v>46086</v>
      </c>
      <c r="Q9" s="9"/>
      <c r="S9" s="3"/>
    </row>
    <row r="10" spans="1:19" ht="15" hidden="1" customHeight="1" x14ac:dyDescent="0.35">
      <c r="A10" s="26" t="s">
        <v>632</v>
      </c>
      <c r="B10" s="32" t="s">
        <v>848</v>
      </c>
      <c r="C10" s="28"/>
      <c r="D10" s="29" t="s">
        <v>989</v>
      </c>
      <c r="E10" s="76">
        <v>47804000</v>
      </c>
      <c r="F10" s="77">
        <f t="shared" si="0"/>
        <v>3824320</v>
      </c>
      <c r="G10" s="31">
        <f t="shared" si="1"/>
        <v>51628320</v>
      </c>
      <c r="H10" s="74">
        <v>51628320</v>
      </c>
      <c r="I10" s="75">
        <f t="shared" si="2"/>
        <v>0</v>
      </c>
      <c r="J10" s="75"/>
      <c r="K10" s="5">
        <v>46086</v>
      </c>
      <c r="Q10" s="9"/>
      <c r="S10" s="3"/>
    </row>
    <row r="11" spans="1:19" ht="15" hidden="1" customHeight="1" x14ac:dyDescent="0.35">
      <c r="A11" s="26" t="s">
        <v>633</v>
      </c>
      <c r="B11" s="32" t="s">
        <v>849</v>
      </c>
      <c r="C11" s="28"/>
      <c r="D11" s="29" t="s">
        <v>989</v>
      </c>
      <c r="E11" s="76">
        <v>42923440</v>
      </c>
      <c r="F11" s="77">
        <f t="shared" si="0"/>
        <v>3433875.2</v>
      </c>
      <c r="G11" s="31">
        <f t="shared" si="1"/>
        <v>46357315.200000003</v>
      </c>
      <c r="H11" s="74">
        <v>46357315.200000003</v>
      </c>
      <c r="I11" s="75">
        <f t="shared" si="2"/>
        <v>0</v>
      </c>
      <c r="J11" s="75"/>
      <c r="K11" s="5">
        <v>46086</v>
      </c>
      <c r="Q11" s="9"/>
      <c r="S11" s="3"/>
    </row>
    <row r="12" spans="1:19" ht="15" hidden="1" customHeight="1" x14ac:dyDescent="0.35">
      <c r="A12" s="26" t="s">
        <v>634</v>
      </c>
      <c r="B12" s="27" t="s">
        <v>850</v>
      </c>
      <c r="C12" s="28"/>
      <c r="D12" s="29" t="s">
        <v>989</v>
      </c>
      <c r="E12" s="76">
        <v>311119040</v>
      </c>
      <c r="F12" s="77">
        <f t="shared" si="0"/>
        <v>24889523.199999999</v>
      </c>
      <c r="G12" s="31">
        <f t="shared" si="1"/>
        <v>336008563.19999999</v>
      </c>
      <c r="H12" s="74">
        <v>336008563.19999999</v>
      </c>
      <c r="I12" s="75">
        <f t="shared" si="2"/>
        <v>0</v>
      </c>
      <c r="J12" s="75"/>
      <c r="K12" s="5">
        <v>46086</v>
      </c>
      <c r="Q12" s="9"/>
      <c r="S12" s="3"/>
    </row>
    <row r="13" spans="1:19" ht="15" hidden="1" customHeight="1" x14ac:dyDescent="0.35">
      <c r="A13" s="26" t="s">
        <v>635</v>
      </c>
      <c r="B13" s="27" t="s">
        <v>851</v>
      </c>
      <c r="C13" s="28"/>
      <c r="D13" s="29" t="s">
        <v>990</v>
      </c>
      <c r="E13" s="76">
        <v>1019520</v>
      </c>
      <c r="F13" s="77">
        <f t="shared" si="0"/>
        <v>81561.600000000006</v>
      </c>
      <c r="G13" s="31">
        <f t="shared" si="1"/>
        <v>1101081.6000000001</v>
      </c>
      <c r="H13" s="74">
        <v>1101081.6000000001</v>
      </c>
      <c r="I13" s="75">
        <f t="shared" si="2"/>
        <v>0</v>
      </c>
      <c r="J13" s="75"/>
      <c r="K13" s="3"/>
      <c r="L13" s="5">
        <v>46058</v>
      </c>
      <c r="Q13" s="9"/>
      <c r="S13" s="3"/>
    </row>
    <row r="14" spans="1:19" ht="15" hidden="1" customHeight="1" x14ac:dyDescent="0.35">
      <c r="A14" s="26" t="s">
        <v>636</v>
      </c>
      <c r="B14" s="27" t="s">
        <v>50</v>
      </c>
      <c r="C14" s="28"/>
      <c r="D14" s="29" t="s">
        <v>990</v>
      </c>
      <c r="E14" s="76">
        <v>756000</v>
      </c>
      <c r="F14" s="77">
        <f t="shared" si="0"/>
        <v>60480</v>
      </c>
      <c r="G14" s="31">
        <f t="shared" si="1"/>
        <v>816480</v>
      </c>
      <c r="H14" s="74">
        <v>816480</v>
      </c>
      <c r="I14" s="75">
        <f t="shared" si="2"/>
        <v>0</v>
      </c>
      <c r="J14" s="75"/>
      <c r="K14" s="3"/>
      <c r="L14" s="5">
        <v>46076</v>
      </c>
      <c r="Q14" s="9"/>
      <c r="S14" s="3"/>
    </row>
    <row r="15" spans="1:19" ht="15" hidden="1" customHeight="1" x14ac:dyDescent="0.35">
      <c r="A15" s="26" t="s">
        <v>637</v>
      </c>
      <c r="B15" s="27" t="s">
        <v>852</v>
      </c>
      <c r="C15" s="28"/>
      <c r="D15" s="29" t="s">
        <v>990</v>
      </c>
      <c r="E15" s="76">
        <v>756000</v>
      </c>
      <c r="F15" s="77">
        <f t="shared" si="0"/>
        <v>60480</v>
      </c>
      <c r="G15" s="31">
        <f t="shared" ref="G15:G78" si="3">+F15+E15</f>
        <v>816480</v>
      </c>
      <c r="H15" s="74">
        <v>816480</v>
      </c>
      <c r="I15" s="75">
        <f t="shared" si="2"/>
        <v>0</v>
      </c>
      <c r="J15" s="75"/>
      <c r="K15" s="3"/>
      <c r="L15" s="5">
        <v>46076</v>
      </c>
      <c r="Q15" s="9"/>
      <c r="S15" s="3"/>
    </row>
    <row r="16" spans="1:19" ht="15" hidden="1" customHeight="1" x14ac:dyDescent="0.35">
      <c r="A16" s="26" t="s">
        <v>638</v>
      </c>
      <c r="B16" s="27" t="s">
        <v>51</v>
      </c>
      <c r="C16" s="28"/>
      <c r="D16" s="29" t="s">
        <v>990</v>
      </c>
      <c r="E16" s="76">
        <v>1775520</v>
      </c>
      <c r="F16" s="77">
        <f t="shared" si="0"/>
        <v>142041.60000000001</v>
      </c>
      <c r="G16" s="31">
        <f t="shared" si="3"/>
        <v>1917561.6</v>
      </c>
      <c r="H16" s="74">
        <v>1917561.6</v>
      </c>
      <c r="I16" s="75">
        <f t="shared" si="2"/>
        <v>0</v>
      </c>
      <c r="J16" s="75"/>
      <c r="K16" s="3"/>
      <c r="L16" s="5">
        <v>46058</v>
      </c>
      <c r="Q16" s="9"/>
      <c r="S16" s="3"/>
    </row>
    <row r="17" spans="1:19" ht="15" hidden="1" customHeight="1" x14ac:dyDescent="0.35">
      <c r="A17" s="26" t="s">
        <v>639</v>
      </c>
      <c r="B17" s="27" t="s">
        <v>52</v>
      </c>
      <c r="C17" s="28"/>
      <c r="D17" s="29" t="s">
        <v>990</v>
      </c>
      <c r="E17" s="76">
        <v>1019520</v>
      </c>
      <c r="F17" s="77">
        <f t="shared" si="0"/>
        <v>81561.600000000006</v>
      </c>
      <c r="G17" s="31">
        <f t="shared" si="3"/>
        <v>1101081.6000000001</v>
      </c>
      <c r="H17" s="74">
        <v>1101081.6000000001</v>
      </c>
      <c r="I17" s="75">
        <f t="shared" si="2"/>
        <v>0</v>
      </c>
      <c r="J17" s="75"/>
      <c r="K17" s="3"/>
      <c r="L17" s="5">
        <v>46058</v>
      </c>
      <c r="Q17" s="9"/>
      <c r="S17" s="3"/>
    </row>
    <row r="18" spans="1:19" ht="15" hidden="1" customHeight="1" x14ac:dyDescent="0.35">
      <c r="A18" s="26" t="s">
        <v>640</v>
      </c>
      <c r="B18" s="32" t="s">
        <v>853</v>
      </c>
      <c r="C18" s="28"/>
      <c r="D18" s="29" t="s">
        <v>990</v>
      </c>
      <c r="E18" s="76">
        <v>756000</v>
      </c>
      <c r="F18" s="77">
        <f t="shared" si="0"/>
        <v>60480</v>
      </c>
      <c r="G18" s="31">
        <f t="shared" si="3"/>
        <v>816480</v>
      </c>
      <c r="H18" s="74">
        <v>816480</v>
      </c>
      <c r="I18" s="75">
        <f t="shared" si="2"/>
        <v>0</v>
      </c>
      <c r="J18" s="75"/>
      <c r="K18" s="3"/>
      <c r="L18" s="5">
        <v>46076</v>
      </c>
      <c r="Q18" s="9"/>
      <c r="S18" s="3"/>
    </row>
    <row r="19" spans="1:19" ht="15" hidden="1" customHeight="1" x14ac:dyDescent="0.35">
      <c r="A19" s="26" t="s">
        <v>641</v>
      </c>
      <c r="B19" s="27" t="s">
        <v>854</v>
      </c>
      <c r="C19" s="28"/>
      <c r="D19" s="29" t="s">
        <v>990</v>
      </c>
      <c r="E19" s="76">
        <v>756000</v>
      </c>
      <c r="F19" s="77">
        <f t="shared" si="0"/>
        <v>60480</v>
      </c>
      <c r="G19" s="31">
        <f t="shared" si="3"/>
        <v>816480</v>
      </c>
      <c r="H19" s="74">
        <v>816480</v>
      </c>
      <c r="I19" s="75">
        <f t="shared" si="2"/>
        <v>0</v>
      </c>
      <c r="J19" s="75"/>
      <c r="K19" s="3"/>
      <c r="L19" s="5">
        <v>46058</v>
      </c>
      <c r="Q19" s="9"/>
      <c r="S19" s="3"/>
    </row>
    <row r="20" spans="1:19" ht="15" hidden="1" customHeight="1" x14ac:dyDescent="0.35">
      <c r="A20" s="26" t="s">
        <v>642</v>
      </c>
      <c r="B20" s="27" t="s">
        <v>855</v>
      </c>
      <c r="C20" s="28"/>
      <c r="D20" s="29" t="s">
        <v>990</v>
      </c>
      <c r="E20" s="76">
        <v>756000</v>
      </c>
      <c r="F20" s="77">
        <f t="shared" si="0"/>
        <v>60480</v>
      </c>
      <c r="G20" s="31">
        <f t="shared" si="3"/>
        <v>816480</v>
      </c>
      <c r="H20" s="74">
        <v>816480</v>
      </c>
      <c r="I20" s="75">
        <f t="shared" si="2"/>
        <v>0</v>
      </c>
      <c r="J20" s="75"/>
      <c r="K20" s="3"/>
      <c r="L20" s="5">
        <v>46076</v>
      </c>
      <c r="Q20" s="9"/>
      <c r="S20" s="3"/>
    </row>
    <row r="21" spans="1:19" ht="15" hidden="1" customHeight="1" x14ac:dyDescent="0.35">
      <c r="A21" s="26" t="s">
        <v>643</v>
      </c>
      <c r="B21" s="27" t="s">
        <v>53</v>
      </c>
      <c r="C21" s="28"/>
      <c r="D21" s="29" t="s">
        <v>990</v>
      </c>
      <c r="E21" s="76">
        <v>3100000</v>
      </c>
      <c r="F21" s="77">
        <f t="shared" si="0"/>
        <v>248000</v>
      </c>
      <c r="G21" s="31">
        <f t="shared" si="3"/>
        <v>3348000</v>
      </c>
      <c r="H21" s="74">
        <v>3348000</v>
      </c>
      <c r="I21" s="75">
        <f t="shared" si="2"/>
        <v>0</v>
      </c>
      <c r="J21" s="75"/>
      <c r="K21" s="5">
        <v>46086</v>
      </c>
      <c r="Q21" s="9"/>
      <c r="S21" s="3"/>
    </row>
    <row r="22" spans="1:19" ht="15" hidden="1" customHeight="1" x14ac:dyDescent="0.35">
      <c r="A22" s="26" t="s">
        <v>644</v>
      </c>
      <c r="B22" s="32" t="s">
        <v>54</v>
      </c>
      <c r="C22" s="28"/>
      <c r="D22" s="29" t="s">
        <v>990</v>
      </c>
      <c r="E22" s="76">
        <v>6484500</v>
      </c>
      <c r="F22" s="77">
        <f t="shared" si="0"/>
        <v>518760</v>
      </c>
      <c r="G22" s="31">
        <f t="shared" si="3"/>
        <v>7003260</v>
      </c>
      <c r="H22" s="74">
        <v>7003260</v>
      </c>
      <c r="I22" s="75">
        <f t="shared" si="2"/>
        <v>0</v>
      </c>
      <c r="J22" s="75"/>
      <c r="K22" s="5">
        <v>46086</v>
      </c>
      <c r="Q22" s="9"/>
      <c r="S22" s="3"/>
    </row>
    <row r="23" spans="1:19" ht="15" hidden="1" customHeight="1" x14ac:dyDescent="0.35">
      <c r="A23" s="26" t="s">
        <v>645</v>
      </c>
      <c r="B23" s="32" t="s">
        <v>55</v>
      </c>
      <c r="C23" s="28"/>
      <c r="D23" s="29" t="s">
        <v>990</v>
      </c>
      <c r="E23" s="76">
        <v>25072000</v>
      </c>
      <c r="F23" s="77">
        <f t="shared" si="0"/>
        <v>2005760</v>
      </c>
      <c r="G23" s="31">
        <f t="shared" si="3"/>
        <v>27077760</v>
      </c>
      <c r="H23" s="74">
        <v>27077760</v>
      </c>
      <c r="I23" s="75">
        <f t="shared" si="2"/>
        <v>0</v>
      </c>
      <c r="J23" s="75"/>
      <c r="K23" s="5">
        <v>46086</v>
      </c>
      <c r="Q23" s="9"/>
      <c r="S23" s="3"/>
    </row>
    <row r="24" spans="1:19" ht="15" hidden="1" customHeight="1" x14ac:dyDescent="0.35">
      <c r="A24" s="26" t="s">
        <v>646</v>
      </c>
      <c r="B24" s="32" t="s">
        <v>56</v>
      </c>
      <c r="C24" s="28"/>
      <c r="D24" s="29" t="s">
        <v>990</v>
      </c>
      <c r="E24" s="76">
        <v>904500</v>
      </c>
      <c r="F24" s="77">
        <f t="shared" si="0"/>
        <v>72360</v>
      </c>
      <c r="G24" s="31">
        <f t="shared" si="3"/>
        <v>976860</v>
      </c>
      <c r="H24" s="74">
        <v>976860</v>
      </c>
      <c r="I24" s="75">
        <f t="shared" si="2"/>
        <v>0</v>
      </c>
      <c r="J24" s="75"/>
      <c r="K24" s="5">
        <v>46086</v>
      </c>
      <c r="Q24" s="9"/>
      <c r="S24" s="3"/>
    </row>
    <row r="25" spans="1:19" ht="15" hidden="1" customHeight="1" x14ac:dyDescent="0.35">
      <c r="A25" s="26" t="s">
        <v>647</v>
      </c>
      <c r="B25" s="32" t="s">
        <v>57</v>
      </c>
      <c r="C25" s="28"/>
      <c r="D25" s="29" t="s">
        <v>990</v>
      </c>
      <c r="E25" s="76">
        <v>15652500</v>
      </c>
      <c r="F25" s="77">
        <f t="shared" si="0"/>
        <v>1252200</v>
      </c>
      <c r="G25" s="31">
        <f t="shared" si="3"/>
        <v>16904700</v>
      </c>
      <c r="H25" s="74">
        <v>16904700</v>
      </c>
      <c r="I25" s="75">
        <f t="shared" si="2"/>
        <v>0</v>
      </c>
      <c r="J25" s="75"/>
      <c r="K25" s="5">
        <v>46086</v>
      </c>
      <c r="Q25" s="9"/>
      <c r="S25" s="3"/>
    </row>
    <row r="26" spans="1:19" ht="15" hidden="1" customHeight="1" x14ac:dyDescent="0.35">
      <c r="A26" s="26" t="s">
        <v>648</v>
      </c>
      <c r="B26" s="32" t="s">
        <v>58</v>
      </c>
      <c r="C26" s="28"/>
      <c r="D26" s="29" t="s">
        <v>990</v>
      </c>
      <c r="E26" s="76">
        <v>32472000</v>
      </c>
      <c r="F26" s="77">
        <f t="shared" si="0"/>
        <v>2597760</v>
      </c>
      <c r="G26" s="31">
        <f t="shared" si="3"/>
        <v>35069760</v>
      </c>
      <c r="H26" s="74">
        <v>35069760</v>
      </c>
      <c r="I26" s="75">
        <f t="shared" si="2"/>
        <v>0</v>
      </c>
      <c r="J26" s="75"/>
      <c r="K26" s="5">
        <v>46086</v>
      </c>
      <c r="Q26" s="9"/>
      <c r="S26" s="3"/>
    </row>
    <row r="27" spans="1:19" ht="15" hidden="1" customHeight="1" x14ac:dyDescent="0.35">
      <c r="A27" s="26" t="s">
        <v>649</v>
      </c>
      <c r="B27" s="32" t="s">
        <v>856</v>
      </c>
      <c r="C27" s="28"/>
      <c r="D27" s="29" t="s">
        <v>990</v>
      </c>
      <c r="E27" s="76">
        <v>3543000</v>
      </c>
      <c r="F27" s="77">
        <f t="shared" si="0"/>
        <v>283440</v>
      </c>
      <c r="G27" s="31">
        <f t="shared" si="3"/>
        <v>3826440</v>
      </c>
      <c r="H27" s="74">
        <v>3826440</v>
      </c>
      <c r="I27" s="75">
        <f t="shared" si="2"/>
        <v>0</v>
      </c>
      <c r="J27" s="75"/>
      <c r="K27" s="5">
        <v>46086</v>
      </c>
      <c r="Q27" s="9"/>
      <c r="S27" s="3"/>
    </row>
    <row r="28" spans="1:19" ht="15" hidden="1" customHeight="1" x14ac:dyDescent="0.35">
      <c r="A28" s="26" t="s">
        <v>650</v>
      </c>
      <c r="B28" s="32" t="s">
        <v>59</v>
      </c>
      <c r="C28" s="28"/>
      <c r="D28" s="29" t="s">
        <v>990</v>
      </c>
      <c r="E28" s="76">
        <v>14996000</v>
      </c>
      <c r="F28" s="77">
        <f t="shared" si="0"/>
        <v>1199680</v>
      </c>
      <c r="G28" s="31">
        <f t="shared" si="3"/>
        <v>16195680</v>
      </c>
      <c r="H28" s="74">
        <v>16195680</v>
      </c>
      <c r="I28" s="75">
        <f t="shared" si="2"/>
        <v>0</v>
      </c>
      <c r="J28" s="75"/>
      <c r="K28" s="5">
        <v>46086</v>
      </c>
      <c r="Q28" s="9"/>
      <c r="S28" s="3"/>
    </row>
    <row r="29" spans="1:19" ht="15" hidden="1" customHeight="1" x14ac:dyDescent="0.35">
      <c r="A29" s="26" t="s">
        <v>651</v>
      </c>
      <c r="B29" s="27" t="s">
        <v>857</v>
      </c>
      <c r="C29" s="28"/>
      <c r="D29" s="29" t="s">
        <v>990</v>
      </c>
      <c r="E29" s="76">
        <v>904500</v>
      </c>
      <c r="F29" s="77">
        <f t="shared" si="0"/>
        <v>72360</v>
      </c>
      <c r="G29" s="31">
        <f t="shared" si="3"/>
        <v>976860</v>
      </c>
      <c r="H29" s="74">
        <v>976860</v>
      </c>
      <c r="I29" s="75">
        <f t="shared" si="2"/>
        <v>0</v>
      </c>
      <c r="J29" s="75"/>
      <c r="K29" s="5">
        <v>46086</v>
      </c>
      <c r="Q29" s="9"/>
      <c r="S29" s="3"/>
    </row>
    <row r="30" spans="1:19" ht="15" hidden="1" customHeight="1" x14ac:dyDescent="0.35">
      <c r="A30" s="26" t="s">
        <v>652</v>
      </c>
      <c r="B30" s="27" t="s">
        <v>858</v>
      </c>
      <c r="C30" s="28"/>
      <c r="D30" s="29" t="s">
        <v>990</v>
      </c>
      <c r="E30" s="76">
        <v>17676000</v>
      </c>
      <c r="F30" s="77">
        <f t="shared" si="0"/>
        <v>1414080</v>
      </c>
      <c r="G30" s="31">
        <f t="shared" si="3"/>
        <v>19090080</v>
      </c>
      <c r="H30" s="74">
        <v>19090080</v>
      </c>
      <c r="I30" s="75">
        <f t="shared" si="2"/>
        <v>0</v>
      </c>
      <c r="J30" s="75"/>
      <c r="K30" s="5">
        <v>46086</v>
      </c>
      <c r="Q30" s="9"/>
      <c r="S30" s="3"/>
    </row>
    <row r="31" spans="1:19" ht="15" hidden="1" customHeight="1" x14ac:dyDescent="0.35">
      <c r="A31" s="26" t="s">
        <v>653</v>
      </c>
      <c r="B31" s="27" t="s">
        <v>859</v>
      </c>
      <c r="C31" s="28">
        <v>562</v>
      </c>
      <c r="D31" s="29">
        <v>46037</v>
      </c>
      <c r="E31" s="76">
        <v>663300</v>
      </c>
      <c r="F31" s="77">
        <f t="shared" si="0"/>
        <v>53064</v>
      </c>
      <c r="G31" s="31">
        <f t="shared" si="3"/>
        <v>716364</v>
      </c>
      <c r="H31" s="74">
        <v>716364</v>
      </c>
      <c r="I31" s="75">
        <f t="shared" si="2"/>
        <v>0</v>
      </c>
      <c r="J31" s="75"/>
      <c r="K31" s="5">
        <v>46086</v>
      </c>
      <c r="Q31" s="9"/>
      <c r="S31" s="3"/>
    </row>
    <row r="32" spans="1:19" ht="15" hidden="1" customHeight="1" x14ac:dyDescent="0.35">
      <c r="A32" s="26" t="s">
        <v>654</v>
      </c>
      <c r="B32" s="27" t="s">
        <v>860</v>
      </c>
      <c r="C32" s="28"/>
      <c r="D32" s="29" t="s">
        <v>990</v>
      </c>
      <c r="E32" s="76">
        <v>2361000</v>
      </c>
      <c r="F32" s="77">
        <f t="shared" si="0"/>
        <v>188880</v>
      </c>
      <c r="G32" s="31">
        <f t="shared" si="3"/>
        <v>2549880</v>
      </c>
      <c r="H32" s="74">
        <v>2549880</v>
      </c>
      <c r="I32" s="75">
        <f t="shared" si="2"/>
        <v>0</v>
      </c>
      <c r="J32" s="75"/>
      <c r="K32" s="5">
        <v>46086</v>
      </c>
      <c r="Q32" s="9"/>
      <c r="S32" s="3"/>
    </row>
    <row r="33" spans="1:19" ht="15" hidden="1" customHeight="1" x14ac:dyDescent="0.35">
      <c r="A33" s="26" t="s">
        <v>655</v>
      </c>
      <c r="B33" s="27" t="s">
        <v>861</v>
      </c>
      <c r="C33" s="28"/>
      <c r="D33" s="29" t="s">
        <v>990</v>
      </c>
      <c r="E33" s="76">
        <v>1593000</v>
      </c>
      <c r="F33" s="77">
        <f t="shared" si="0"/>
        <v>127440</v>
      </c>
      <c r="G33" s="31">
        <f t="shared" si="3"/>
        <v>1720440</v>
      </c>
      <c r="H33" s="74">
        <v>1720440</v>
      </c>
      <c r="I33" s="75">
        <f t="shared" si="2"/>
        <v>0</v>
      </c>
      <c r="J33" s="75"/>
      <c r="K33" s="5">
        <v>46086</v>
      </c>
      <c r="Q33" s="9"/>
      <c r="S33" s="3"/>
    </row>
    <row r="34" spans="1:19" ht="15" hidden="1" customHeight="1" x14ac:dyDescent="0.35">
      <c r="A34" s="26" t="s">
        <v>656</v>
      </c>
      <c r="B34" s="32" t="s">
        <v>862</v>
      </c>
      <c r="C34" s="28"/>
      <c r="D34" s="29" t="s">
        <v>990</v>
      </c>
      <c r="E34" s="76">
        <v>34692800</v>
      </c>
      <c r="F34" s="77">
        <f t="shared" si="0"/>
        <v>2775424</v>
      </c>
      <c r="G34" s="31">
        <f t="shared" si="3"/>
        <v>37468224</v>
      </c>
      <c r="H34" s="74">
        <v>37468224</v>
      </c>
      <c r="I34" s="75">
        <f t="shared" si="2"/>
        <v>0</v>
      </c>
      <c r="J34" s="75"/>
      <c r="K34" s="5">
        <v>46086</v>
      </c>
      <c r="Q34" s="9"/>
      <c r="S34" s="3"/>
    </row>
    <row r="35" spans="1:19" ht="15" hidden="1" customHeight="1" x14ac:dyDescent="0.35">
      <c r="A35" s="26" t="s">
        <v>657</v>
      </c>
      <c r="B35" s="32" t="s">
        <v>60</v>
      </c>
      <c r="C35" s="28">
        <v>561</v>
      </c>
      <c r="D35" s="29">
        <v>46037</v>
      </c>
      <c r="E35" s="76">
        <v>10711300</v>
      </c>
      <c r="F35" s="77">
        <f t="shared" si="0"/>
        <v>856904</v>
      </c>
      <c r="G35" s="31">
        <f t="shared" si="3"/>
        <v>11568204</v>
      </c>
      <c r="H35" s="74">
        <v>11568204</v>
      </c>
      <c r="I35" s="75">
        <f t="shared" si="2"/>
        <v>0</v>
      </c>
      <c r="J35" s="75"/>
      <c r="K35" s="5">
        <v>46086</v>
      </c>
      <c r="Q35" s="9"/>
      <c r="S35" s="3"/>
    </row>
    <row r="36" spans="1:19" ht="15" hidden="1" customHeight="1" x14ac:dyDescent="0.35">
      <c r="A36" s="26" t="s">
        <v>658</v>
      </c>
      <c r="B36" s="27" t="s">
        <v>61</v>
      </c>
      <c r="C36" s="28"/>
      <c r="D36" s="29" t="s">
        <v>990</v>
      </c>
      <c r="E36" s="76">
        <v>2463000</v>
      </c>
      <c r="F36" s="77">
        <f t="shared" si="0"/>
        <v>197040</v>
      </c>
      <c r="G36" s="31">
        <f t="shared" si="3"/>
        <v>2660040</v>
      </c>
      <c r="H36" s="74">
        <v>2660040</v>
      </c>
      <c r="I36" s="75">
        <f t="shared" si="2"/>
        <v>0</v>
      </c>
      <c r="J36" s="75"/>
      <c r="K36" s="5">
        <v>46086</v>
      </c>
      <c r="Q36" s="9"/>
      <c r="S36" s="3"/>
    </row>
    <row r="37" spans="1:19" ht="15" hidden="1" customHeight="1" x14ac:dyDescent="0.35">
      <c r="A37" s="26" t="s">
        <v>659</v>
      </c>
      <c r="B37" s="27" t="s">
        <v>863</v>
      </c>
      <c r="C37" s="28"/>
      <c r="D37" s="29" t="s">
        <v>990</v>
      </c>
      <c r="E37" s="76">
        <v>2349000</v>
      </c>
      <c r="F37" s="77">
        <f t="shared" si="0"/>
        <v>187920</v>
      </c>
      <c r="G37" s="31">
        <f t="shared" si="3"/>
        <v>2536920</v>
      </c>
      <c r="H37" s="74">
        <v>2536920</v>
      </c>
      <c r="I37" s="75">
        <f t="shared" si="2"/>
        <v>0</v>
      </c>
      <c r="J37" s="75"/>
      <c r="K37" s="5">
        <v>46086</v>
      </c>
      <c r="Q37" s="9"/>
      <c r="S37" s="3"/>
    </row>
    <row r="38" spans="1:19" ht="15" hidden="1" customHeight="1" x14ac:dyDescent="0.35">
      <c r="A38" s="26" t="s">
        <v>660</v>
      </c>
      <c r="B38" s="32" t="s">
        <v>864</v>
      </c>
      <c r="C38" s="28"/>
      <c r="D38" s="29" t="s">
        <v>990</v>
      </c>
      <c r="E38" s="76">
        <v>576000</v>
      </c>
      <c r="F38" s="77">
        <f t="shared" si="0"/>
        <v>46080</v>
      </c>
      <c r="G38" s="31">
        <f t="shared" si="3"/>
        <v>622080</v>
      </c>
      <c r="H38" s="74">
        <v>622080</v>
      </c>
      <c r="I38" s="75">
        <f t="shared" si="2"/>
        <v>0</v>
      </c>
      <c r="J38" s="75"/>
      <c r="K38" s="5">
        <v>46086</v>
      </c>
      <c r="Q38" s="9"/>
      <c r="S38" s="3"/>
    </row>
    <row r="39" spans="1:19" ht="15" hidden="1" customHeight="1" x14ac:dyDescent="0.35">
      <c r="A39" s="26" t="s">
        <v>661</v>
      </c>
      <c r="B39" s="27" t="s">
        <v>865</v>
      </c>
      <c r="C39" s="28"/>
      <c r="D39" s="29" t="s">
        <v>990</v>
      </c>
      <c r="E39" s="76">
        <v>891000</v>
      </c>
      <c r="F39" s="77">
        <f t="shared" si="0"/>
        <v>71280</v>
      </c>
      <c r="G39" s="31">
        <f t="shared" si="3"/>
        <v>962280</v>
      </c>
      <c r="H39" s="74">
        <v>962280</v>
      </c>
      <c r="I39" s="75">
        <f t="shared" si="2"/>
        <v>0</v>
      </c>
      <c r="J39" s="75"/>
      <c r="K39" s="5">
        <v>46086</v>
      </c>
      <c r="Q39" s="9"/>
      <c r="S39" s="3"/>
    </row>
    <row r="40" spans="1:19" ht="15" hidden="1" customHeight="1" x14ac:dyDescent="0.35">
      <c r="A40" s="26" t="s">
        <v>662</v>
      </c>
      <c r="B40" s="27" t="s">
        <v>866</v>
      </c>
      <c r="C40" s="28"/>
      <c r="D40" s="29" t="s">
        <v>990</v>
      </c>
      <c r="E40" s="76">
        <v>2484000</v>
      </c>
      <c r="F40" s="77">
        <f t="shared" si="0"/>
        <v>198720</v>
      </c>
      <c r="G40" s="31">
        <f t="shared" si="3"/>
        <v>2682720</v>
      </c>
      <c r="H40" s="74">
        <v>2682720</v>
      </c>
      <c r="I40" s="75">
        <f t="shared" si="2"/>
        <v>0</v>
      </c>
      <c r="J40" s="75"/>
      <c r="K40" s="5">
        <v>46086</v>
      </c>
      <c r="Q40" s="9"/>
      <c r="S40" s="3"/>
    </row>
    <row r="41" spans="1:19" ht="15" hidden="1" customHeight="1" x14ac:dyDescent="0.35">
      <c r="A41" s="26" t="s">
        <v>663</v>
      </c>
      <c r="B41" s="32" t="s">
        <v>867</v>
      </c>
      <c r="C41" s="28"/>
      <c r="D41" s="29" t="s">
        <v>990</v>
      </c>
      <c r="E41" s="76">
        <v>1734000</v>
      </c>
      <c r="F41" s="77">
        <f t="shared" si="0"/>
        <v>138720</v>
      </c>
      <c r="G41" s="31">
        <f t="shared" si="3"/>
        <v>1872720</v>
      </c>
      <c r="H41" s="74">
        <v>1872720</v>
      </c>
      <c r="I41" s="75">
        <f t="shared" si="2"/>
        <v>0</v>
      </c>
      <c r="J41" s="75"/>
      <c r="K41" s="5">
        <v>46086</v>
      </c>
      <c r="Q41" s="9"/>
      <c r="S41" s="3"/>
    </row>
    <row r="42" spans="1:19" ht="15" hidden="1" customHeight="1" x14ac:dyDescent="0.35">
      <c r="A42" s="26" t="s">
        <v>664</v>
      </c>
      <c r="B42" s="32" t="s">
        <v>868</v>
      </c>
      <c r="C42" s="28"/>
      <c r="D42" s="29" t="s">
        <v>990</v>
      </c>
      <c r="E42" s="76">
        <v>32548000</v>
      </c>
      <c r="F42" s="77">
        <f t="shared" si="0"/>
        <v>2603840</v>
      </c>
      <c r="G42" s="31">
        <f t="shared" si="3"/>
        <v>35151840</v>
      </c>
      <c r="H42" s="31">
        <v>35151840</v>
      </c>
      <c r="I42" s="75">
        <f t="shared" si="2"/>
        <v>0</v>
      </c>
      <c r="J42" s="75"/>
      <c r="K42" s="5">
        <v>46086</v>
      </c>
      <c r="Q42" s="9"/>
      <c r="S42" s="3"/>
    </row>
    <row r="43" spans="1:19" ht="15" hidden="1" customHeight="1" x14ac:dyDescent="0.35">
      <c r="A43" s="26" t="s">
        <v>665</v>
      </c>
      <c r="B43" s="27" t="s">
        <v>869</v>
      </c>
      <c r="C43" s="28"/>
      <c r="D43" s="29" t="s">
        <v>990</v>
      </c>
      <c r="E43" s="76">
        <v>83511000</v>
      </c>
      <c r="F43" s="77">
        <f t="shared" si="0"/>
        <v>6680880</v>
      </c>
      <c r="G43" s="31">
        <f t="shared" si="3"/>
        <v>90191880</v>
      </c>
      <c r="H43" s="74">
        <v>90191880</v>
      </c>
      <c r="I43" s="75">
        <f t="shared" si="2"/>
        <v>0</v>
      </c>
      <c r="J43" s="75"/>
      <c r="K43" s="5">
        <v>46086</v>
      </c>
      <c r="Q43" s="9"/>
      <c r="S43" s="3"/>
    </row>
    <row r="44" spans="1:19" ht="15" hidden="1" customHeight="1" x14ac:dyDescent="0.35">
      <c r="A44" s="26" t="s">
        <v>666</v>
      </c>
      <c r="B44" s="27" t="s">
        <v>870</v>
      </c>
      <c r="C44" s="28"/>
      <c r="D44" s="29" t="s">
        <v>990</v>
      </c>
      <c r="E44" s="76">
        <v>4380000</v>
      </c>
      <c r="F44" s="77">
        <f t="shared" si="0"/>
        <v>350400</v>
      </c>
      <c r="G44" s="31">
        <f t="shared" si="3"/>
        <v>4730400</v>
      </c>
      <c r="H44" s="74">
        <v>4730400</v>
      </c>
      <c r="I44" s="75">
        <f t="shared" si="2"/>
        <v>0</v>
      </c>
      <c r="J44" s="75"/>
      <c r="K44" s="5">
        <v>46086</v>
      </c>
      <c r="Q44" s="9"/>
      <c r="S44" s="3"/>
    </row>
    <row r="45" spans="1:19" ht="15" hidden="1" customHeight="1" x14ac:dyDescent="0.35">
      <c r="A45" s="26" t="s">
        <v>667</v>
      </c>
      <c r="B45" s="27" t="s">
        <v>871</v>
      </c>
      <c r="C45" s="28"/>
      <c r="D45" s="29" t="s">
        <v>990</v>
      </c>
      <c r="E45" s="76">
        <v>904500</v>
      </c>
      <c r="F45" s="77">
        <f t="shared" si="0"/>
        <v>72360</v>
      </c>
      <c r="G45" s="31">
        <f t="shared" si="3"/>
        <v>976860</v>
      </c>
      <c r="H45" s="74">
        <v>976860</v>
      </c>
      <c r="I45" s="75">
        <f t="shared" si="2"/>
        <v>0</v>
      </c>
      <c r="J45" s="75"/>
      <c r="K45" s="5">
        <v>46086</v>
      </c>
      <c r="Q45" s="9"/>
      <c r="S45" s="3"/>
    </row>
    <row r="46" spans="1:19" ht="15" hidden="1" customHeight="1" x14ac:dyDescent="0.35">
      <c r="A46" s="26" t="s">
        <v>668</v>
      </c>
      <c r="B46" s="32" t="s">
        <v>872</v>
      </c>
      <c r="C46" s="28"/>
      <c r="D46" s="29" t="s">
        <v>990</v>
      </c>
      <c r="E46" s="76">
        <v>904500</v>
      </c>
      <c r="F46" s="77">
        <f t="shared" si="0"/>
        <v>72360</v>
      </c>
      <c r="G46" s="31">
        <f t="shared" si="3"/>
        <v>976860</v>
      </c>
      <c r="H46" s="74">
        <v>976860</v>
      </c>
      <c r="I46" s="75">
        <f t="shared" si="2"/>
        <v>0</v>
      </c>
      <c r="J46" s="75"/>
      <c r="K46" s="5">
        <v>46086</v>
      </c>
      <c r="Q46" s="9"/>
      <c r="S46" s="3"/>
    </row>
    <row r="47" spans="1:19" ht="15" hidden="1" customHeight="1" x14ac:dyDescent="0.35">
      <c r="A47" s="26" t="s">
        <v>669</v>
      </c>
      <c r="B47" s="32" t="s">
        <v>62</v>
      </c>
      <c r="C47" s="28"/>
      <c r="D47" s="29" t="s">
        <v>990</v>
      </c>
      <c r="E47" s="76">
        <v>904500</v>
      </c>
      <c r="F47" s="77">
        <f t="shared" si="0"/>
        <v>72360</v>
      </c>
      <c r="G47" s="31">
        <f t="shared" si="3"/>
        <v>976860</v>
      </c>
      <c r="H47" s="74">
        <v>976860</v>
      </c>
      <c r="I47" s="75">
        <f t="shared" si="2"/>
        <v>0</v>
      </c>
      <c r="J47" s="75"/>
      <c r="K47" s="5">
        <v>46086</v>
      </c>
      <c r="Q47" s="9"/>
      <c r="S47" s="3"/>
    </row>
    <row r="48" spans="1:19" ht="15" hidden="1" customHeight="1" x14ac:dyDescent="0.35">
      <c r="A48" s="26" t="s">
        <v>670</v>
      </c>
      <c r="B48" s="32" t="s">
        <v>63</v>
      </c>
      <c r="C48" s="28">
        <v>564</v>
      </c>
      <c r="D48" s="29">
        <v>46037</v>
      </c>
      <c r="E48" s="76">
        <v>1836450</v>
      </c>
      <c r="F48" s="77">
        <f t="shared" si="0"/>
        <v>146916</v>
      </c>
      <c r="G48" s="31">
        <f t="shared" si="3"/>
        <v>1983366</v>
      </c>
      <c r="H48" s="74">
        <v>1983366</v>
      </c>
      <c r="I48" s="75">
        <f t="shared" si="2"/>
        <v>0</v>
      </c>
      <c r="J48" s="75"/>
      <c r="K48" s="5">
        <v>46086</v>
      </c>
      <c r="Q48" s="9"/>
      <c r="S48" s="3"/>
    </row>
    <row r="49" spans="1:19" ht="15" hidden="1" customHeight="1" x14ac:dyDescent="0.35">
      <c r="A49" s="26" t="s">
        <v>671</v>
      </c>
      <c r="B49" s="32" t="s">
        <v>873</v>
      </c>
      <c r="C49" s="28">
        <v>565</v>
      </c>
      <c r="D49" s="29">
        <v>46037</v>
      </c>
      <c r="E49" s="76">
        <v>1303650</v>
      </c>
      <c r="F49" s="77">
        <f t="shared" si="0"/>
        <v>104292</v>
      </c>
      <c r="G49" s="31">
        <f t="shared" si="3"/>
        <v>1407942</v>
      </c>
      <c r="H49" s="74">
        <v>1407942</v>
      </c>
      <c r="I49" s="75">
        <f t="shared" si="2"/>
        <v>0</v>
      </c>
      <c r="J49" s="75"/>
      <c r="K49" s="5">
        <v>46086</v>
      </c>
      <c r="Q49" s="9"/>
      <c r="S49" s="3"/>
    </row>
    <row r="50" spans="1:19" ht="15" hidden="1" customHeight="1" x14ac:dyDescent="0.35">
      <c r="A50" s="26" t="s">
        <v>672</v>
      </c>
      <c r="B50" s="32" t="s">
        <v>874</v>
      </c>
      <c r="C50" s="28"/>
      <c r="D50" s="29" t="s">
        <v>990</v>
      </c>
      <c r="E50" s="76">
        <v>864000</v>
      </c>
      <c r="F50" s="77">
        <f t="shared" si="0"/>
        <v>69120</v>
      </c>
      <c r="G50" s="31">
        <f t="shared" si="3"/>
        <v>933120</v>
      </c>
      <c r="H50" s="74">
        <v>933120</v>
      </c>
      <c r="I50" s="75">
        <f t="shared" si="2"/>
        <v>0</v>
      </c>
      <c r="J50" s="75"/>
      <c r="K50" s="5">
        <v>46086</v>
      </c>
      <c r="Q50" s="9"/>
      <c r="S50" s="3"/>
    </row>
    <row r="51" spans="1:19" ht="15" hidden="1" customHeight="1" x14ac:dyDescent="0.35">
      <c r="A51" s="26" t="s">
        <v>673</v>
      </c>
      <c r="B51" s="32" t="s">
        <v>875</v>
      </c>
      <c r="C51" s="28"/>
      <c r="D51" s="29" t="s">
        <v>990</v>
      </c>
      <c r="E51" s="76">
        <v>4812000</v>
      </c>
      <c r="F51" s="77">
        <f t="shared" si="0"/>
        <v>384960</v>
      </c>
      <c r="G51" s="31">
        <f t="shared" si="3"/>
        <v>5196960</v>
      </c>
      <c r="H51" s="74">
        <v>5196960</v>
      </c>
      <c r="I51" s="75">
        <f t="shared" si="2"/>
        <v>0</v>
      </c>
      <c r="J51" s="75"/>
      <c r="K51" s="5">
        <v>46086</v>
      </c>
      <c r="Q51" s="9"/>
      <c r="S51" s="3"/>
    </row>
    <row r="52" spans="1:19" ht="15" hidden="1" customHeight="1" x14ac:dyDescent="0.35">
      <c r="A52" s="26" t="s">
        <v>674</v>
      </c>
      <c r="B52" s="32" t="s">
        <v>64</v>
      </c>
      <c r="C52" s="28"/>
      <c r="D52" s="29" t="s">
        <v>990</v>
      </c>
      <c r="E52" s="76">
        <v>3502500</v>
      </c>
      <c r="F52" s="77">
        <f t="shared" si="0"/>
        <v>280200</v>
      </c>
      <c r="G52" s="31">
        <f t="shared" si="3"/>
        <v>3782700</v>
      </c>
      <c r="H52" s="74">
        <v>3782700</v>
      </c>
      <c r="I52" s="75">
        <f t="shared" si="2"/>
        <v>0</v>
      </c>
      <c r="J52" s="75"/>
      <c r="K52" s="5">
        <v>46086</v>
      </c>
      <c r="Q52" s="9"/>
      <c r="S52" s="3"/>
    </row>
    <row r="53" spans="1:19" ht="15" hidden="1" customHeight="1" x14ac:dyDescent="0.35">
      <c r="A53" s="26" t="s">
        <v>675</v>
      </c>
      <c r="B53" s="27" t="s">
        <v>65</v>
      </c>
      <c r="C53" s="28"/>
      <c r="D53" s="29" t="s">
        <v>990</v>
      </c>
      <c r="E53" s="76">
        <v>864000</v>
      </c>
      <c r="F53" s="77">
        <f t="shared" si="0"/>
        <v>69120</v>
      </c>
      <c r="G53" s="31">
        <f t="shared" si="3"/>
        <v>933120</v>
      </c>
      <c r="H53" s="74">
        <v>933120</v>
      </c>
      <c r="I53" s="75">
        <f t="shared" si="2"/>
        <v>0</v>
      </c>
      <c r="J53" s="75"/>
      <c r="K53" s="5">
        <v>46086</v>
      </c>
      <c r="Q53" s="9"/>
      <c r="S53" s="3"/>
    </row>
    <row r="54" spans="1:19" ht="15" hidden="1" customHeight="1" x14ac:dyDescent="0.35">
      <c r="A54" s="26" t="s">
        <v>676</v>
      </c>
      <c r="B54" s="27" t="s">
        <v>66</v>
      </c>
      <c r="C54" s="28"/>
      <c r="D54" s="29" t="s">
        <v>990</v>
      </c>
      <c r="E54" s="76">
        <v>675000</v>
      </c>
      <c r="F54" s="77">
        <f t="shared" si="0"/>
        <v>54000</v>
      </c>
      <c r="G54" s="31">
        <f t="shared" si="3"/>
        <v>729000</v>
      </c>
      <c r="H54" s="74">
        <v>729000</v>
      </c>
      <c r="I54" s="75">
        <f t="shared" si="2"/>
        <v>0</v>
      </c>
      <c r="J54" s="75"/>
      <c r="K54" s="5">
        <v>46086</v>
      </c>
      <c r="Q54" s="9"/>
      <c r="S54" s="3"/>
    </row>
    <row r="55" spans="1:19" ht="15" hidden="1" customHeight="1" x14ac:dyDescent="0.35">
      <c r="A55" s="26" t="s">
        <v>677</v>
      </c>
      <c r="B55" s="32" t="s">
        <v>67</v>
      </c>
      <c r="C55" s="28"/>
      <c r="D55" s="29" t="s">
        <v>990</v>
      </c>
      <c r="E55" s="76">
        <v>1809000</v>
      </c>
      <c r="F55" s="77">
        <f t="shared" si="0"/>
        <v>144720</v>
      </c>
      <c r="G55" s="31">
        <f t="shared" si="3"/>
        <v>1953720</v>
      </c>
      <c r="H55" s="74">
        <v>1953720</v>
      </c>
      <c r="I55" s="75">
        <f t="shared" si="2"/>
        <v>0</v>
      </c>
      <c r="J55" s="75"/>
      <c r="K55" s="5">
        <v>46086</v>
      </c>
      <c r="Q55" s="9"/>
      <c r="S55" s="3"/>
    </row>
    <row r="56" spans="1:19" ht="15" hidden="1" customHeight="1" x14ac:dyDescent="0.35">
      <c r="A56" s="26" t="s">
        <v>678</v>
      </c>
      <c r="B56" s="32" t="s">
        <v>68</v>
      </c>
      <c r="C56" s="28"/>
      <c r="D56" s="29" t="s">
        <v>990</v>
      </c>
      <c r="E56" s="76">
        <v>2443500</v>
      </c>
      <c r="F56" s="77">
        <f t="shared" si="0"/>
        <v>195480</v>
      </c>
      <c r="G56" s="31">
        <f t="shared" si="3"/>
        <v>2638980</v>
      </c>
      <c r="H56" s="74">
        <v>2638980</v>
      </c>
      <c r="I56" s="75">
        <f t="shared" si="2"/>
        <v>0</v>
      </c>
      <c r="J56" s="75"/>
      <c r="K56" s="5">
        <v>46086</v>
      </c>
      <c r="Q56" s="9"/>
      <c r="S56" s="3"/>
    </row>
    <row r="57" spans="1:19" ht="15" hidden="1" customHeight="1" x14ac:dyDescent="0.35">
      <c r="A57" s="26" t="s">
        <v>679</v>
      </c>
      <c r="B57" s="32" t="s">
        <v>876</v>
      </c>
      <c r="C57" s="28"/>
      <c r="D57" s="29" t="s">
        <v>990</v>
      </c>
      <c r="E57" s="76">
        <v>3180000</v>
      </c>
      <c r="F57" s="77">
        <f t="shared" si="0"/>
        <v>254400</v>
      </c>
      <c r="G57" s="31">
        <f t="shared" si="3"/>
        <v>3434400</v>
      </c>
      <c r="H57" s="74">
        <v>3434400</v>
      </c>
      <c r="I57" s="75">
        <f t="shared" si="2"/>
        <v>0</v>
      </c>
      <c r="J57" s="75"/>
      <c r="K57" s="5">
        <v>46086</v>
      </c>
      <c r="Q57" s="9"/>
      <c r="S57" s="3"/>
    </row>
    <row r="58" spans="1:19" ht="15" hidden="1" customHeight="1" x14ac:dyDescent="0.35">
      <c r="A58" s="26" t="s">
        <v>680</v>
      </c>
      <c r="B58" s="32" t="s">
        <v>877</v>
      </c>
      <c r="C58" s="28"/>
      <c r="D58" s="29" t="s">
        <v>990</v>
      </c>
      <c r="E58" s="76">
        <v>904500</v>
      </c>
      <c r="F58" s="77">
        <f t="shared" si="0"/>
        <v>72360</v>
      </c>
      <c r="G58" s="31">
        <f t="shared" si="3"/>
        <v>976860</v>
      </c>
      <c r="H58" s="74">
        <v>976860</v>
      </c>
      <c r="I58" s="75">
        <f t="shared" si="2"/>
        <v>0</v>
      </c>
      <c r="J58" s="75"/>
      <c r="K58" s="5">
        <v>46086</v>
      </c>
      <c r="Q58" s="9"/>
      <c r="S58" s="3"/>
    </row>
    <row r="59" spans="1:19" ht="15" hidden="1" customHeight="1" x14ac:dyDescent="0.35">
      <c r="A59" s="26" t="s">
        <v>681</v>
      </c>
      <c r="B59" s="32" t="s">
        <v>878</v>
      </c>
      <c r="C59" s="28"/>
      <c r="D59" s="29" t="s">
        <v>990</v>
      </c>
      <c r="E59" s="76">
        <v>1380000</v>
      </c>
      <c r="F59" s="77">
        <f t="shared" si="0"/>
        <v>110400</v>
      </c>
      <c r="G59" s="31">
        <f t="shared" si="3"/>
        <v>1490400</v>
      </c>
      <c r="H59" s="74">
        <v>1490400</v>
      </c>
      <c r="I59" s="75">
        <f t="shared" si="2"/>
        <v>0</v>
      </c>
      <c r="J59" s="75"/>
      <c r="K59" s="5">
        <v>46086</v>
      </c>
      <c r="Q59" s="9"/>
      <c r="S59" s="3"/>
    </row>
    <row r="60" spans="1:19" ht="15" hidden="1" customHeight="1" x14ac:dyDescent="0.35">
      <c r="A60" s="26" t="s">
        <v>682</v>
      </c>
      <c r="B60" s="27" t="s">
        <v>879</v>
      </c>
      <c r="C60" s="28"/>
      <c r="D60" s="29" t="s">
        <v>990</v>
      </c>
      <c r="E60" s="76">
        <v>25072000</v>
      </c>
      <c r="F60" s="77">
        <f t="shared" si="0"/>
        <v>2005760</v>
      </c>
      <c r="G60" s="31">
        <f t="shared" si="3"/>
        <v>27077760</v>
      </c>
      <c r="H60" s="74">
        <v>27077760</v>
      </c>
      <c r="I60" s="75">
        <f t="shared" si="2"/>
        <v>0</v>
      </c>
      <c r="J60" s="75"/>
      <c r="K60" s="5">
        <v>46086</v>
      </c>
      <c r="Q60" s="9"/>
      <c r="S60" s="3"/>
    </row>
    <row r="61" spans="1:19" ht="15" hidden="1" customHeight="1" x14ac:dyDescent="0.35">
      <c r="A61" s="26" t="s">
        <v>683</v>
      </c>
      <c r="B61" s="27" t="s">
        <v>880</v>
      </c>
      <c r="C61" s="28"/>
      <c r="D61" s="29" t="s">
        <v>991</v>
      </c>
      <c r="E61" s="76">
        <v>75171000</v>
      </c>
      <c r="F61" s="77">
        <f t="shared" si="0"/>
        <v>6013680</v>
      </c>
      <c r="G61" s="31">
        <f t="shared" si="3"/>
        <v>81184680</v>
      </c>
      <c r="H61" s="74">
        <v>81184680</v>
      </c>
      <c r="I61" s="75">
        <f t="shared" si="2"/>
        <v>0</v>
      </c>
      <c r="J61" s="75"/>
      <c r="K61" s="5">
        <v>46086</v>
      </c>
      <c r="Q61" s="9"/>
      <c r="S61" s="3"/>
    </row>
    <row r="62" spans="1:19" ht="15" hidden="1" customHeight="1" x14ac:dyDescent="0.35">
      <c r="A62" s="26" t="s">
        <v>684</v>
      </c>
      <c r="B62" s="27" t="s">
        <v>881</v>
      </c>
      <c r="C62" s="28"/>
      <c r="D62" s="29" t="s">
        <v>991</v>
      </c>
      <c r="E62" s="76">
        <v>1775520</v>
      </c>
      <c r="F62" s="77">
        <f t="shared" si="0"/>
        <v>142041.60000000001</v>
      </c>
      <c r="G62" s="31">
        <f t="shared" si="3"/>
        <v>1917561.6</v>
      </c>
      <c r="H62" s="74">
        <v>1917561.6</v>
      </c>
      <c r="I62" s="75">
        <f t="shared" si="2"/>
        <v>0</v>
      </c>
      <c r="J62" s="75"/>
      <c r="K62" s="3"/>
      <c r="L62" s="5">
        <v>46058</v>
      </c>
      <c r="Q62" s="9"/>
      <c r="S62" s="3"/>
    </row>
    <row r="63" spans="1:19" ht="15" hidden="1" customHeight="1" x14ac:dyDescent="0.35">
      <c r="A63" s="26" t="s">
        <v>685</v>
      </c>
      <c r="B63" s="32" t="s">
        <v>882</v>
      </c>
      <c r="C63" s="28">
        <v>1152</v>
      </c>
      <c r="D63" s="29">
        <v>46052</v>
      </c>
      <c r="E63" s="76">
        <v>3955500</v>
      </c>
      <c r="F63" s="77">
        <f t="shared" si="0"/>
        <v>316440</v>
      </c>
      <c r="G63" s="31">
        <f t="shared" si="3"/>
        <v>4271940</v>
      </c>
      <c r="H63" s="74">
        <v>4271940</v>
      </c>
      <c r="I63" s="75">
        <f t="shared" si="2"/>
        <v>0</v>
      </c>
      <c r="J63" s="75"/>
      <c r="K63" s="5">
        <v>46117</v>
      </c>
      <c r="Q63" s="9"/>
      <c r="S63" s="3"/>
    </row>
    <row r="64" spans="1:19" ht="15" hidden="1" customHeight="1" x14ac:dyDescent="0.35">
      <c r="A64" s="26" t="s">
        <v>686</v>
      </c>
      <c r="B64" s="27" t="s">
        <v>883</v>
      </c>
      <c r="C64" s="28"/>
      <c r="D64" s="29" t="s">
        <v>992</v>
      </c>
      <c r="E64" s="76">
        <v>39544500</v>
      </c>
      <c r="F64" s="77">
        <f t="shared" si="0"/>
        <v>3163560</v>
      </c>
      <c r="G64" s="31">
        <f t="shared" si="3"/>
        <v>42708060</v>
      </c>
      <c r="H64" s="74">
        <v>42708060</v>
      </c>
      <c r="I64" s="75">
        <f t="shared" si="2"/>
        <v>0</v>
      </c>
      <c r="J64" s="75"/>
      <c r="K64" s="5">
        <v>46086</v>
      </c>
      <c r="Q64" s="9"/>
      <c r="S64" s="3"/>
    </row>
    <row r="65" spans="1:19" ht="15" hidden="1" customHeight="1" x14ac:dyDescent="0.35">
      <c r="A65" s="26" t="s">
        <v>687</v>
      </c>
      <c r="B65" s="32" t="s">
        <v>884</v>
      </c>
      <c r="C65" s="28"/>
      <c r="D65" s="29" t="s">
        <v>993</v>
      </c>
      <c r="E65" s="76">
        <v>69458140</v>
      </c>
      <c r="F65" s="77">
        <f t="shared" si="0"/>
        <v>5556651.2000000002</v>
      </c>
      <c r="G65" s="31">
        <f t="shared" si="3"/>
        <v>75014791.200000003</v>
      </c>
      <c r="H65" s="74">
        <v>75014791.200000003</v>
      </c>
      <c r="I65" s="75">
        <f t="shared" si="2"/>
        <v>0</v>
      </c>
      <c r="J65" s="75"/>
      <c r="K65" s="5">
        <v>46086</v>
      </c>
      <c r="Q65" s="9"/>
      <c r="S65" s="3"/>
    </row>
    <row r="66" spans="1:19" ht="15" hidden="1" customHeight="1" x14ac:dyDescent="0.35">
      <c r="A66" s="26" t="s">
        <v>688</v>
      </c>
      <c r="B66" s="32" t="s">
        <v>885</v>
      </c>
      <c r="C66" s="28"/>
      <c r="D66" s="29" t="s">
        <v>993</v>
      </c>
      <c r="E66" s="76">
        <v>20710080</v>
      </c>
      <c r="F66" s="77">
        <f t="shared" si="0"/>
        <v>1656806.4000000001</v>
      </c>
      <c r="G66" s="31">
        <f t="shared" si="3"/>
        <v>22366886.399999999</v>
      </c>
      <c r="H66" s="74">
        <v>22366886.399999999</v>
      </c>
      <c r="I66" s="75">
        <f t="shared" ref="I66:I129" si="4">G66-H66</f>
        <v>0</v>
      </c>
      <c r="J66" s="75"/>
      <c r="K66" s="5">
        <v>46086</v>
      </c>
      <c r="Q66" s="9"/>
      <c r="S66" s="3"/>
    </row>
    <row r="67" spans="1:19" ht="15" hidden="1" customHeight="1" x14ac:dyDescent="0.35">
      <c r="A67" s="26" t="s">
        <v>689</v>
      </c>
      <c r="B67" s="32" t="s">
        <v>886</v>
      </c>
      <c r="C67" s="28"/>
      <c r="D67" s="29" t="s">
        <v>993</v>
      </c>
      <c r="E67" s="76">
        <v>8716200</v>
      </c>
      <c r="F67" s="77">
        <f t="shared" ref="F67:F130" si="5">+E67*0.08</f>
        <v>697296</v>
      </c>
      <c r="G67" s="31">
        <f t="shared" si="3"/>
        <v>9413496</v>
      </c>
      <c r="H67" s="74">
        <v>9413496</v>
      </c>
      <c r="I67" s="75">
        <f t="shared" si="4"/>
        <v>0</v>
      </c>
      <c r="J67" s="75"/>
      <c r="K67" s="5">
        <v>46086</v>
      </c>
      <c r="Q67" s="9"/>
      <c r="S67" s="3"/>
    </row>
    <row r="68" spans="1:19" ht="15" hidden="1" customHeight="1" x14ac:dyDescent="0.35">
      <c r="A68" s="26" t="s">
        <v>690</v>
      </c>
      <c r="B68" s="32" t="s">
        <v>887</v>
      </c>
      <c r="C68" s="28"/>
      <c r="D68" s="29" t="s">
        <v>993</v>
      </c>
      <c r="E68" s="76">
        <v>2308500</v>
      </c>
      <c r="F68" s="77">
        <f t="shared" si="5"/>
        <v>184680</v>
      </c>
      <c r="G68" s="31">
        <f t="shared" si="3"/>
        <v>2493180</v>
      </c>
      <c r="H68" s="74">
        <v>2493180</v>
      </c>
      <c r="I68" s="75">
        <f t="shared" si="4"/>
        <v>0</v>
      </c>
      <c r="J68" s="75"/>
      <c r="K68" s="5">
        <v>46086</v>
      </c>
      <c r="Q68" s="9"/>
      <c r="S68" s="3"/>
    </row>
    <row r="69" spans="1:19" ht="15" hidden="1" customHeight="1" x14ac:dyDescent="0.35">
      <c r="A69" s="26" t="s">
        <v>691</v>
      </c>
      <c r="B69" s="32" t="s">
        <v>69</v>
      </c>
      <c r="C69" s="28">
        <v>1147</v>
      </c>
      <c r="D69" s="29">
        <v>46052</v>
      </c>
      <c r="E69" s="76">
        <v>20212800</v>
      </c>
      <c r="F69" s="77">
        <f t="shared" si="5"/>
        <v>1617024</v>
      </c>
      <c r="G69" s="31">
        <f t="shared" si="3"/>
        <v>21829824</v>
      </c>
      <c r="H69" s="74">
        <v>21829824</v>
      </c>
      <c r="I69" s="75">
        <f t="shared" si="4"/>
        <v>0</v>
      </c>
      <c r="J69" s="75"/>
      <c r="K69" s="5">
        <v>46117</v>
      </c>
      <c r="Q69" s="9"/>
      <c r="S69" s="3"/>
    </row>
    <row r="70" spans="1:19" ht="15" hidden="1" customHeight="1" x14ac:dyDescent="0.35">
      <c r="A70" s="26" t="s">
        <v>692</v>
      </c>
      <c r="B70" s="32" t="s">
        <v>70</v>
      </c>
      <c r="C70" s="28"/>
      <c r="D70" s="29" t="s">
        <v>994</v>
      </c>
      <c r="E70" s="76">
        <v>756000</v>
      </c>
      <c r="F70" s="77">
        <f t="shared" si="5"/>
        <v>60480</v>
      </c>
      <c r="G70" s="31">
        <f t="shared" si="3"/>
        <v>816480</v>
      </c>
      <c r="H70" s="74">
        <v>816480</v>
      </c>
      <c r="I70" s="75">
        <f t="shared" si="4"/>
        <v>0</v>
      </c>
      <c r="J70" s="75"/>
      <c r="K70" s="3"/>
      <c r="L70" s="5">
        <v>46076</v>
      </c>
      <c r="Q70" s="9"/>
      <c r="S70" s="3"/>
    </row>
    <row r="71" spans="1:19" ht="15" hidden="1" customHeight="1" x14ac:dyDescent="0.35">
      <c r="A71" s="26" t="s">
        <v>693</v>
      </c>
      <c r="B71" s="27" t="s">
        <v>71</v>
      </c>
      <c r="C71" s="28"/>
      <c r="D71" s="29" t="s">
        <v>994</v>
      </c>
      <c r="E71" s="76">
        <v>756000</v>
      </c>
      <c r="F71" s="77">
        <f t="shared" si="5"/>
        <v>60480</v>
      </c>
      <c r="G71" s="31">
        <f t="shared" si="3"/>
        <v>816480</v>
      </c>
      <c r="H71" s="74">
        <v>816480</v>
      </c>
      <c r="I71" s="75">
        <f t="shared" si="4"/>
        <v>0</v>
      </c>
      <c r="J71" s="75"/>
      <c r="K71" s="3"/>
      <c r="L71" s="5">
        <v>46076</v>
      </c>
      <c r="Q71" s="9"/>
      <c r="S71" s="3"/>
    </row>
    <row r="72" spans="1:19" ht="15" hidden="1" customHeight="1" x14ac:dyDescent="0.35">
      <c r="A72" s="26" t="s">
        <v>694</v>
      </c>
      <c r="B72" s="32" t="s">
        <v>72</v>
      </c>
      <c r="C72" s="28"/>
      <c r="D72" s="29" t="s">
        <v>994</v>
      </c>
      <c r="E72" s="76">
        <v>756000</v>
      </c>
      <c r="F72" s="77">
        <f t="shared" si="5"/>
        <v>60480</v>
      </c>
      <c r="G72" s="31">
        <f t="shared" si="3"/>
        <v>816480</v>
      </c>
      <c r="H72" s="74">
        <v>816480</v>
      </c>
      <c r="I72" s="75">
        <f t="shared" si="4"/>
        <v>0</v>
      </c>
      <c r="J72" s="75"/>
      <c r="K72" s="3"/>
      <c r="L72" s="5">
        <v>46076</v>
      </c>
      <c r="Q72" s="9"/>
      <c r="S72" s="3"/>
    </row>
    <row r="73" spans="1:19" ht="15" hidden="1" customHeight="1" x14ac:dyDescent="0.35">
      <c r="A73" s="26" t="s">
        <v>695</v>
      </c>
      <c r="B73" s="32" t="s">
        <v>73</v>
      </c>
      <c r="C73" s="28"/>
      <c r="D73" s="29" t="s">
        <v>994</v>
      </c>
      <c r="E73" s="76">
        <v>11823600</v>
      </c>
      <c r="F73" s="77">
        <f t="shared" si="5"/>
        <v>945888</v>
      </c>
      <c r="G73" s="31">
        <f t="shared" si="3"/>
        <v>12769488</v>
      </c>
      <c r="H73" s="74">
        <v>12769488</v>
      </c>
      <c r="I73" s="75">
        <f t="shared" si="4"/>
        <v>0</v>
      </c>
      <c r="J73" s="75"/>
      <c r="K73" s="5">
        <v>46086</v>
      </c>
      <c r="Q73" s="9"/>
      <c r="S73" s="3"/>
    </row>
    <row r="74" spans="1:19" ht="15" hidden="1" customHeight="1" x14ac:dyDescent="0.35">
      <c r="A74" s="26" t="s">
        <v>696</v>
      </c>
      <c r="B74" s="32" t="s">
        <v>74</v>
      </c>
      <c r="C74" s="28"/>
      <c r="D74" s="29" t="s">
        <v>994</v>
      </c>
      <c r="E74" s="76">
        <v>3176400</v>
      </c>
      <c r="F74" s="77">
        <f t="shared" si="5"/>
        <v>254112</v>
      </c>
      <c r="G74" s="31">
        <f t="shared" si="3"/>
        <v>3430512</v>
      </c>
      <c r="H74" s="74">
        <v>3430512</v>
      </c>
      <c r="I74" s="75">
        <f t="shared" si="4"/>
        <v>0</v>
      </c>
      <c r="J74" s="75"/>
      <c r="K74" s="5">
        <v>46086</v>
      </c>
      <c r="Q74" s="9"/>
      <c r="S74" s="3"/>
    </row>
    <row r="75" spans="1:19" ht="15" hidden="1" customHeight="1" x14ac:dyDescent="0.35">
      <c r="A75" s="26" t="s">
        <v>697</v>
      </c>
      <c r="B75" s="32" t="s">
        <v>75</v>
      </c>
      <c r="C75" s="28">
        <v>1146</v>
      </c>
      <c r="D75" s="29" t="s">
        <v>994</v>
      </c>
      <c r="E75" s="76">
        <v>12823520</v>
      </c>
      <c r="F75" s="77">
        <f t="shared" si="5"/>
        <v>1025881.6</v>
      </c>
      <c r="G75" s="31">
        <f t="shared" si="3"/>
        <v>13849401.6</v>
      </c>
      <c r="H75" s="74">
        <v>13849401.6</v>
      </c>
      <c r="I75" s="75">
        <f t="shared" si="4"/>
        <v>0</v>
      </c>
      <c r="J75" s="75"/>
      <c r="K75" s="5">
        <v>46117</v>
      </c>
      <c r="Q75" s="9"/>
      <c r="S75" s="3"/>
    </row>
    <row r="76" spans="1:19" ht="15" hidden="1" customHeight="1" x14ac:dyDescent="0.35">
      <c r="A76" s="26" t="s">
        <v>698</v>
      </c>
      <c r="B76" s="32" t="s">
        <v>76</v>
      </c>
      <c r="C76" s="28">
        <v>567</v>
      </c>
      <c r="D76" s="29">
        <v>46037</v>
      </c>
      <c r="E76" s="76">
        <v>15850940</v>
      </c>
      <c r="F76" s="77">
        <f t="shared" si="5"/>
        <v>1268075.2</v>
      </c>
      <c r="G76" s="31">
        <f t="shared" si="3"/>
        <v>17119015.199999999</v>
      </c>
      <c r="H76" s="74">
        <v>17119015.199999999</v>
      </c>
      <c r="I76" s="75">
        <f t="shared" si="4"/>
        <v>0</v>
      </c>
      <c r="J76" s="75"/>
      <c r="K76" s="5">
        <v>46086</v>
      </c>
      <c r="Q76" s="9"/>
      <c r="S76" s="3"/>
    </row>
    <row r="77" spans="1:19" ht="15" hidden="1" customHeight="1" x14ac:dyDescent="0.35">
      <c r="A77" s="26" t="s">
        <v>699</v>
      </c>
      <c r="B77" s="32" t="s">
        <v>77</v>
      </c>
      <c r="C77" s="28"/>
      <c r="D77" s="29" t="s">
        <v>994</v>
      </c>
      <c r="E77" s="76">
        <v>29867500</v>
      </c>
      <c r="F77" s="77">
        <f t="shared" si="5"/>
        <v>2389400</v>
      </c>
      <c r="G77" s="31">
        <f t="shared" si="3"/>
        <v>32256900</v>
      </c>
      <c r="H77" s="74">
        <v>32256900</v>
      </c>
      <c r="I77" s="75">
        <f t="shared" si="4"/>
        <v>0</v>
      </c>
      <c r="J77" s="75"/>
      <c r="K77" s="5">
        <v>46086</v>
      </c>
      <c r="Q77" s="9"/>
      <c r="S77" s="3"/>
    </row>
    <row r="78" spans="1:19" ht="15" hidden="1" customHeight="1" x14ac:dyDescent="0.35">
      <c r="A78" s="26" t="s">
        <v>700</v>
      </c>
      <c r="B78" s="32" t="s">
        <v>78</v>
      </c>
      <c r="C78" s="28"/>
      <c r="D78" s="29" t="s">
        <v>994</v>
      </c>
      <c r="E78" s="76">
        <v>756000</v>
      </c>
      <c r="F78" s="77">
        <f t="shared" si="5"/>
        <v>60480</v>
      </c>
      <c r="G78" s="31">
        <f t="shared" si="3"/>
        <v>816480</v>
      </c>
      <c r="H78" s="74">
        <v>816480</v>
      </c>
      <c r="I78" s="75">
        <f t="shared" si="4"/>
        <v>0</v>
      </c>
      <c r="J78" s="75"/>
      <c r="K78" s="3"/>
      <c r="L78" s="5">
        <v>46076</v>
      </c>
      <c r="Q78" s="9"/>
      <c r="S78" s="3"/>
    </row>
    <row r="79" spans="1:19" ht="15" hidden="1" customHeight="1" x14ac:dyDescent="0.35">
      <c r="A79" s="26" t="s">
        <v>701</v>
      </c>
      <c r="B79" s="32" t="s">
        <v>888</v>
      </c>
      <c r="C79" s="28"/>
      <c r="D79" s="29" t="s">
        <v>994</v>
      </c>
      <c r="E79" s="76">
        <v>1019520</v>
      </c>
      <c r="F79" s="77">
        <f t="shared" si="5"/>
        <v>81561.600000000006</v>
      </c>
      <c r="G79" s="31">
        <f t="shared" ref="G79:G142" si="6">+F79+E79</f>
        <v>1101081.6000000001</v>
      </c>
      <c r="H79" s="74">
        <v>1101081.6000000001</v>
      </c>
      <c r="I79" s="75">
        <f t="shared" si="4"/>
        <v>0</v>
      </c>
      <c r="J79" s="75"/>
      <c r="K79" s="3"/>
      <c r="L79" s="5">
        <v>46076</v>
      </c>
      <c r="Q79" s="9"/>
      <c r="S79" s="3"/>
    </row>
    <row r="80" spans="1:19" ht="15" hidden="1" customHeight="1" x14ac:dyDescent="0.35">
      <c r="A80" s="26" t="s">
        <v>702</v>
      </c>
      <c r="B80" s="32" t="s">
        <v>889</v>
      </c>
      <c r="C80" s="28"/>
      <c r="D80" s="29" t="s">
        <v>994</v>
      </c>
      <c r="E80" s="76">
        <v>756000</v>
      </c>
      <c r="F80" s="77">
        <f t="shared" si="5"/>
        <v>60480</v>
      </c>
      <c r="G80" s="31">
        <f t="shared" si="6"/>
        <v>816480</v>
      </c>
      <c r="H80" s="74">
        <v>816480</v>
      </c>
      <c r="I80" s="75">
        <f t="shared" si="4"/>
        <v>0</v>
      </c>
      <c r="J80" s="75"/>
      <c r="K80" s="3"/>
      <c r="L80" s="5">
        <v>46076</v>
      </c>
      <c r="Q80" s="9"/>
      <c r="S80" s="3"/>
    </row>
    <row r="81" spans="1:19" ht="15" hidden="1" customHeight="1" x14ac:dyDescent="0.35">
      <c r="A81" s="26" t="s">
        <v>703</v>
      </c>
      <c r="B81" s="32" t="s">
        <v>890</v>
      </c>
      <c r="C81" s="28"/>
      <c r="D81" s="29" t="s">
        <v>994</v>
      </c>
      <c r="E81" s="76">
        <v>756000</v>
      </c>
      <c r="F81" s="77">
        <f t="shared" si="5"/>
        <v>60480</v>
      </c>
      <c r="G81" s="31">
        <f t="shared" si="6"/>
        <v>816480</v>
      </c>
      <c r="H81" s="74">
        <v>816480</v>
      </c>
      <c r="I81" s="75">
        <f t="shared" si="4"/>
        <v>0</v>
      </c>
      <c r="J81" s="75"/>
      <c r="K81" s="3"/>
      <c r="L81" s="5">
        <v>46076</v>
      </c>
      <c r="Q81" s="9"/>
      <c r="S81" s="3"/>
    </row>
    <row r="82" spans="1:19" ht="15" hidden="1" customHeight="1" x14ac:dyDescent="0.35">
      <c r="A82" s="26" t="s">
        <v>704</v>
      </c>
      <c r="B82" s="27" t="s">
        <v>79</v>
      </c>
      <c r="C82" s="28"/>
      <c r="D82" s="29" t="s">
        <v>995</v>
      </c>
      <c r="E82" s="76">
        <v>11595000</v>
      </c>
      <c r="F82" s="77">
        <f t="shared" si="5"/>
        <v>927600</v>
      </c>
      <c r="G82" s="31">
        <f t="shared" si="6"/>
        <v>12522600</v>
      </c>
      <c r="H82" s="74">
        <v>12522600</v>
      </c>
      <c r="I82" s="75">
        <f t="shared" si="4"/>
        <v>0</v>
      </c>
      <c r="J82" s="75"/>
      <c r="K82" s="5">
        <v>46086</v>
      </c>
      <c r="Q82" s="9"/>
      <c r="S82" s="3"/>
    </row>
    <row r="83" spans="1:19" ht="15" hidden="1" customHeight="1" x14ac:dyDescent="0.35">
      <c r="A83" s="26" t="s">
        <v>705</v>
      </c>
      <c r="B83" s="32" t="s">
        <v>80</v>
      </c>
      <c r="C83" s="28"/>
      <c r="D83" s="29" t="s">
        <v>995</v>
      </c>
      <c r="E83" s="76">
        <v>1775520</v>
      </c>
      <c r="F83" s="77">
        <f t="shared" si="5"/>
        <v>142041.60000000001</v>
      </c>
      <c r="G83" s="31">
        <f t="shared" si="6"/>
        <v>1917561.6</v>
      </c>
      <c r="H83" s="74">
        <v>1917561.6</v>
      </c>
      <c r="I83" s="75">
        <f t="shared" si="4"/>
        <v>0</v>
      </c>
      <c r="J83" s="75"/>
      <c r="K83" s="3"/>
      <c r="L83" s="5">
        <v>46076</v>
      </c>
      <c r="Q83" s="9"/>
      <c r="S83" s="3"/>
    </row>
    <row r="84" spans="1:19" ht="15" hidden="1" customHeight="1" x14ac:dyDescent="0.35">
      <c r="A84" s="26" t="s">
        <v>706</v>
      </c>
      <c r="B84" s="32" t="s">
        <v>81</v>
      </c>
      <c r="C84" s="28"/>
      <c r="D84" s="29" t="s">
        <v>995</v>
      </c>
      <c r="E84" s="76">
        <v>1512000</v>
      </c>
      <c r="F84" s="77">
        <f t="shared" si="5"/>
        <v>120960</v>
      </c>
      <c r="G84" s="31">
        <f t="shared" si="6"/>
        <v>1632960</v>
      </c>
      <c r="H84" s="74">
        <v>1632960</v>
      </c>
      <c r="I84" s="75">
        <f t="shared" si="4"/>
        <v>0</v>
      </c>
      <c r="J84" s="75"/>
      <c r="K84" s="3"/>
      <c r="L84" s="5">
        <v>46076</v>
      </c>
      <c r="Q84" s="9"/>
      <c r="S84" s="3"/>
    </row>
    <row r="85" spans="1:19" ht="15" hidden="1" customHeight="1" x14ac:dyDescent="0.35">
      <c r="A85" s="26" t="s">
        <v>707</v>
      </c>
      <c r="B85" s="32" t="s">
        <v>82</v>
      </c>
      <c r="C85" s="28"/>
      <c r="D85" s="29" t="s">
        <v>995</v>
      </c>
      <c r="E85" s="76">
        <v>756000</v>
      </c>
      <c r="F85" s="77">
        <f t="shared" si="5"/>
        <v>60480</v>
      </c>
      <c r="G85" s="31">
        <f t="shared" si="6"/>
        <v>816480</v>
      </c>
      <c r="H85" s="74">
        <v>816480</v>
      </c>
      <c r="I85" s="75">
        <f t="shared" si="4"/>
        <v>0</v>
      </c>
      <c r="J85" s="75"/>
      <c r="K85" s="3"/>
      <c r="L85" s="5">
        <v>46076</v>
      </c>
      <c r="Q85" s="9"/>
      <c r="S85" s="3"/>
    </row>
    <row r="86" spans="1:19" ht="15" hidden="1" customHeight="1" x14ac:dyDescent="0.35">
      <c r="A86" s="26" t="s">
        <v>708</v>
      </c>
      <c r="B86" s="32" t="s">
        <v>83</v>
      </c>
      <c r="C86" s="28"/>
      <c r="D86" s="29" t="s">
        <v>995</v>
      </c>
      <c r="E86" s="76">
        <v>1019520</v>
      </c>
      <c r="F86" s="77">
        <f t="shared" si="5"/>
        <v>81561.600000000006</v>
      </c>
      <c r="G86" s="31">
        <f t="shared" si="6"/>
        <v>1101081.6000000001</v>
      </c>
      <c r="H86" s="74">
        <v>1101081.6000000001</v>
      </c>
      <c r="I86" s="75">
        <f t="shared" si="4"/>
        <v>0</v>
      </c>
      <c r="J86" s="75"/>
      <c r="K86" s="3"/>
      <c r="L86" s="5">
        <v>46076</v>
      </c>
      <c r="Q86" s="9"/>
      <c r="S86" s="3"/>
    </row>
    <row r="87" spans="1:19" ht="15" hidden="1" customHeight="1" x14ac:dyDescent="0.35">
      <c r="A87" s="26" t="s">
        <v>709</v>
      </c>
      <c r="B87" s="32" t="s">
        <v>84</v>
      </c>
      <c r="C87" s="28"/>
      <c r="D87" s="29" t="s">
        <v>995</v>
      </c>
      <c r="E87" s="76">
        <v>756000</v>
      </c>
      <c r="F87" s="77">
        <f t="shared" si="5"/>
        <v>60480</v>
      </c>
      <c r="G87" s="31">
        <f t="shared" si="6"/>
        <v>816480</v>
      </c>
      <c r="H87" s="74">
        <v>816480</v>
      </c>
      <c r="I87" s="75">
        <f t="shared" si="4"/>
        <v>0</v>
      </c>
      <c r="J87" s="75"/>
      <c r="K87" s="3"/>
      <c r="L87" s="5">
        <v>46076</v>
      </c>
      <c r="Q87" s="9"/>
      <c r="S87" s="3"/>
    </row>
    <row r="88" spans="1:19" ht="15" hidden="1" customHeight="1" x14ac:dyDescent="0.35">
      <c r="A88" s="26" t="s">
        <v>710</v>
      </c>
      <c r="B88" s="32" t="s">
        <v>85</v>
      </c>
      <c r="C88" s="28"/>
      <c r="D88" s="29" t="s">
        <v>995</v>
      </c>
      <c r="E88" s="76">
        <v>1775520</v>
      </c>
      <c r="F88" s="77">
        <f t="shared" si="5"/>
        <v>142041.60000000001</v>
      </c>
      <c r="G88" s="31">
        <f t="shared" si="6"/>
        <v>1917561.6</v>
      </c>
      <c r="H88" s="74">
        <v>1917561.6</v>
      </c>
      <c r="I88" s="75">
        <f t="shared" si="4"/>
        <v>0</v>
      </c>
      <c r="J88" s="75"/>
      <c r="K88" s="3"/>
      <c r="L88" s="5">
        <v>46076</v>
      </c>
      <c r="Q88" s="9"/>
      <c r="S88" s="3"/>
    </row>
    <row r="89" spans="1:19" ht="15" hidden="1" customHeight="1" x14ac:dyDescent="0.35">
      <c r="A89" s="26" t="s">
        <v>711</v>
      </c>
      <c r="B89" s="32" t="s">
        <v>86</v>
      </c>
      <c r="C89" s="28"/>
      <c r="D89" s="29" t="s">
        <v>995</v>
      </c>
      <c r="E89" s="76">
        <v>756000</v>
      </c>
      <c r="F89" s="77">
        <f t="shared" si="5"/>
        <v>60480</v>
      </c>
      <c r="G89" s="31">
        <f t="shared" si="6"/>
        <v>816480</v>
      </c>
      <c r="H89" s="74">
        <v>816480</v>
      </c>
      <c r="I89" s="75">
        <f t="shared" si="4"/>
        <v>0</v>
      </c>
      <c r="J89" s="75"/>
      <c r="K89" s="3"/>
      <c r="L89" s="5">
        <v>46076</v>
      </c>
      <c r="Q89" s="9"/>
      <c r="S89" s="3"/>
    </row>
    <row r="90" spans="1:19" ht="15" hidden="1" customHeight="1" x14ac:dyDescent="0.35">
      <c r="A90" s="26" t="s">
        <v>712</v>
      </c>
      <c r="B90" s="32" t="s">
        <v>87</v>
      </c>
      <c r="C90" s="28"/>
      <c r="D90" s="29" t="s">
        <v>995</v>
      </c>
      <c r="E90" s="76">
        <v>756000</v>
      </c>
      <c r="F90" s="77">
        <f t="shared" si="5"/>
        <v>60480</v>
      </c>
      <c r="G90" s="31">
        <f t="shared" si="6"/>
        <v>816480</v>
      </c>
      <c r="H90" s="74">
        <v>816480</v>
      </c>
      <c r="I90" s="75">
        <f t="shared" si="4"/>
        <v>0</v>
      </c>
      <c r="J90" s="75"/>
      <c r="K90" s="3"/>
      <c r="L90" s="5">
        <v>46076</v>
      </c>
      <c r="Q90" s="9"/>
      <c r="S90" s="3"/>
    </row>
    <row r="91" spans="1:19" ht="15" hidden="1" customHeight="1" x14ac:dyDescent="0.35">
      <c r="A91" s="26" t="s">
        <v>713</v>
      </c>
      <c r="B91" s="32" t="s">
        <v>88</v>
      </c>
      <c r="C91" s="28"/>
      <c r="D91" s="29" t="s">
        <v>995</v>
      </c>
      <c r="E91" s="76">
        <v>1019520</v>
      </c>
      <c r="F91" s="77">
        <f t="shared" si="5"/>
        <v>81561.600000000006</v>
      </c>
      <c r="G91" s="31">
        <f t="shared" si="6"/>
        <v>1101081.6000000001</v>
      </c>
      <c r="H91" s="74">
        <v>1101081.6000000001</v>
      </c>
      <c r="I91" s="75">
        <f t="shared" si="4"/>
        <v>0</v>
      </c>
      <c r="J91" s="75"/>
      <c r="K91" s="3"/>
      <c r="L91" s="5">
        <v>46076</v>
      </c>
      <c r="Q91" s="9"/>
      <c r="S91" s="3"/>
    </row>
    <row r="92" spans="1:19" ht="15" hidden="1" customHeight="1" x14ac:dyDescent="0.35">
      <c r="A92" s="26" t="s">
        <v>714</v>
      </c>
      <c r="B92" s="27" t="s">
        <v>89</v>
      </c>
      <c r="C92" s="28"/>
      <c r="D92" s="29" t="s">
        <v>995</v>
      </c>
      <c r="E92" s="76">
        <v>1775520</v>
      </c>
      <c r="F92" s="77">
        <f t="shared" si="5"/>
        <v>142041.60000000001</v>
      </c>
      <c r="G92" s="31">
        <f t="shared" si="6"/>
        <v>1917561.6</v>
      </c>
      <c r="H92" s="74">
        <v>1917561.6</v>
      </c>
      <c r="I92" s="75">
        <f t="shared" si="4"/>
        <v>0</v>
      </c>
      <c r="J92" s="75"/>
      <c r="K92" s="3"/>
      <c r="L92" s="5">
        <v>46076</v>
      </c>
      <c r="Q92" s="9"/>
      <c r="S92" s="3"/>
    </row>
    <row r="93" spans="1:19" ht="15" hidden="1" customHeight="1" x14ac:dyDescent="0.35">
      <c r="A93" s="26" t="s">
        <v>715</v>
      </c>
      <c r="B93" s="32" t="s">
        <v>90</v>
      </c>
      <c r="C93" s="28"/>
      <c r="D93" s="29" t="s">
        <v>995</v>
      </c>
      <c r="E93" s="76">
        <v>756000</v>
      </c>
      <c r="F93" s="77">
        <f t="shared" si="5"/>
        <v>60480</v>
      </c>
      <c r="G93" s="31">
        <f t="shared" si="6"/>
        <v>816480</v>
      </c>
      <c r="H93" s="74">
        <v>816480</v>
      </c>
      <c r="I93" s="75">
        <f t="shared" si="4"/>
        <v>0</v>
      </c>
      <c r="J93" s="75"/>
      <c r="K93" s="3"/>
      <c r="L93" s="5">
        <v>46076</v>
      </c>
      <c r="Q93" s="9"/>
      <c r="S93" s="3"/>
    </row>
    <row r="94" spans="1:19" ht="15" hidden="1" customHeight="1" x14ac:dyDescent="0.35">
      <c r="A94" s="26" t="s">
        <v>716</v>
      </c>
      <c r="B94" s="32" t="s">
        <v>91</v>
      </c>
      <c r="C94" s="28"/>
      <c r="D94" s="29" t="s">
        <v>995</v>
      </c>
      <c r="E94" s="76">
        <v>756000</v>
      </c>
      <c r="F94" s="77">
        <f t="shared" si="5"/>
        <v>60480</v>
      </c>
      <c r="G94" s="31">
        <f t="shared" si="6"/>
        <v>816480</v>
      </c>
      <c r="H94" s="74">
        <v>816480</v>
      </c>
      <c r="I94" s="75">
        <f t="shared" si="4"/>
        <v>0</v>
      </c>
      <c r="J94" s="75"/>
      <c r="K94" s="3"/>
      <c r="L94" s="5">
        <v>46076</v>
      </c>
      <c r="Q94" s="9"/>
      <c r="S94" s="3"/>
    </row>
    <row r="95" spans="1:19" ht="15" hidden="1" customHeight="1" x14ac:dyDescent="0.35">
      <c r="A95" s="26" t="s">
        <v>717</v>
      </c>
      <c r="B95" s="32" t="s">
        <v>92</v>
      </c>
      <c r="C95" s="28"/>
      <c r="D95" s="29" t="s">
        <v>995</v>
      </c>
      <c r="E95" s="76">
        <v>756000</v>
      </c>
      <c r="F95" s="77">
        <f t="shared" si="5"/>
        <v>60480</v>
      </c>
      <c r="G95" s="31">
        <f t="shared" si="6"/>
        <v>816480</v>
      </c>
      <c r="H95" s="74">
        <v>816480</v>
      </c>
      <c r="I95" s="75">
        <f t="shared" si="4"/>
        <v>0</v>
      </c>
      <c r="J95" s="75"/>
      <c r="K95" s="3"/>
      <c r="L95" s="5">
        <v>46076</v>
      </c>
      <c r="Q95" s="9"/>
      <c r="S95" s="3"/>
    </row>
    <row r="96" spans="1:19" ht="15" hidden="1" customHeight="1" x14ac:dyDescent="0.35">
      <c r="A96" s="26" t="s">
        <v>718</v>
      </c>
      <c r="B96" s="32" t="s">
        <v>93</v>
      </c>
      <c r="C96" s="28"/>
      <c r="D96" s="29" t="s">
        <v>995</v>
      </c>
      <c r="E96" s="76">
        <v>11168560</v>
      </c>
      <c r="F96" s="77">
        <f t="shared" si="5"/>
        <v>893484.8</v>
      </c>
      <c r="G96" s="31">
        <f t="shared" si="6"/>
        <v>12062044.800000001</v>
      </c>
      <c r="H96" s="74">
        <v>12062044.800000001</v>
      </c>
      <c r="I96" s="75">
        <f t="shared" si="4"/>
        <v>0</v>
      </c>
      <c r="J96" s="75"/>
      <c r="K96" s="5">
        <v>46086</v>
      </c>
      <c r="Q96" s="9"/>
      <c r="S96" s="3"/>
    </row>
    <row r="97" spans="1:19" ht="15" hidden="1" customHeight="1" x14ac:dyDescent="0.35">
      <c r="A97" s="26" t="s">
        <v>719</v>
      </c>
      <c r="B97" s="32" t="s">
        <v>94</v>
      </c>
      <c r="C97" s="28">
        <v>1245</v>
      </c>
      <c r="D97" s="29">
        <v>46055</v>
      </c>
      <c r="E97" s="76">
        <v>19745210</v>
      </c>
      <c r="F97" s="77">
        <f t="shared" si="5"/>
        <v>1579616.8</v>
      </c>
      <c r="G97" s="31">
        <f t="shared" si="6"/>
        <v>21324826.800000001</v>
      </c>
      <c r="H97" s="74">
        <v>21324826.800000001</v>
      </c>
      <c r="I97" s="75">
        <f t="shared" si="4"/>
        <v>0</v>
      </c>
      <c r="J97" s="75"/>
      <c r="K97" s="5">
        <v>46117</v>
      </c>
      <c r="Q97" s="9"/>
      <c r="S97" s="3"/>
    </row>
    <row r="98" spans="1:19" ht="15" hidden="1" customHeight="1" x14ac:dyDescent="0.35">
      <c r="A98" s="26" t="s">
        <v>720</v>
      </c>
      <c r="B98" s="32" t="s">
        <v>95</v>
      </c>
      <c r="C98" s="28"/>
      <c r="D98" s="29" t="s">
        <v>995</v>
      </c>
      <c r="E98" s="76">
        <v>3432000</v>
      </c>
      <c r="F98" s="77">
        <f t="shared" si="5"/>
        <v>274560</v>
      </c>
      <c r="G98" s="31">
        <f t="shared" si="6"/>
        <v>3706560</v>
      </c>
      <c r="H98" s="74">
        <v>3706560</v>
      </c>
      <c r="I98" s="75">
        <f t="shared" si="4"/>
        <v>0</v>
      </c>
      <c r="J98" s="75"/>
      <c r="K98" s="5">
        <v>46086</v>
      </c>
      <c r="Q98" s="9"/>
      <c r="S98" s="3"/>
    </row>
    <row r="99" spans="1:19" ht="15" hidden="1" customHeight="1" x14ac:dyDescent="0.35">
      <c r="A99" s="26" t="s">
        <v>721</v>
      </c>
      <c r="B99" s="32" t="s">
        <v>96</v>
      </c>
      <c r="C99" s="28"/>
      <c r="D99" s="29" t="s">
        <v>995</v>
      </c>
      <c r="E99" s="76">
        <v>2760000</v>
      </c>
      <c r="F99" s="77">
        <f t="shared" si="5"/>
        <v>220800</v>
      </c>
      <c r="G99" s="31">
        <f t="shared" si="6"/>
        <v>2980800</v>
      </c>
      <c r="H99" s="74">
        <v>2980800</v>
      </c>
      <c r="I99" s="75">
        <f t="shared" si="4"/>
        <v>0</v>
      </c>
      <c r="J99" s="75"/>
      <c r="K99" s="5">
        <v>46086</v>
      </c>
      <c r="Q99" s="9"/>
      <c r="S99" s="3"/>
    </row>
    <row r="100" spans="1:19" ht="15" hidden="1" customHeight="1" x14ac:dyDescent="0.35">
      <c r="A100" s="26" t="s">
        <v>722</v>
      </c>
      <c r="B100" s="32" t="s">
        <v>97</v>
      </c>
      <c r="C100" s="28"/>
      <c r="D100" s="29" t="s">
        <v>995</v>
      </c>
      <c r="E100" s="76">
        <v>2760000</v>
      </c>
      <c r="F100" s="77">
        <f t="shared" si="5"/>
        <v>220800</v>
      </c>
      <c r="G100" s="31">
        <f t="shared" si="6"/>
        <v>2980800</v>
      </c>
      <c r="H100" s="74">
        <v>2980800</v>
      </c>
      <c r="I100" s="75">
        <f t="shared" si="4"/>
        <v>0</v>
      </c>
      <c r="J100" s="75"/>
      <c r="K100" s="5">
        <v>46086</v>
      </c>
      <c r="Q100" s="9"/>
      <c r="S100" s="3"/>
    </row>
    <row r="101" spans="1:19" ht="15" hidden="1" customHeight="1" x14ac:dyDescent="0.35">
      <c r="A101" s="26" t="s">
        <v>723</v>
      </c>
      <c r="B101" s="32" t="s">
        <v>98</v>
      </c>
      <c r="C101" s="28"/>
      <c r="D101" s="29" t="s">
        <v>995</v>
      </c>
      <c r="E101" s="76">
        <v>17000000</v>
      </c>
      <c r="F101" s="77">
        <f t="shared" si="5"/>
        <v>1360000</v>
      </c>
      <c r="G101" s="31">
        <f t="shared" si="6"/>
        <v>18360000</v>
      </c>
      <c r="H101" s="74">
        <v>18360000</v>
      </c>
      <c r="I101" s="75">
        <f t="shared" si="4"/>
        <v>0</v>
      </c>
      <c r="J101" s="75"/>
      <c r="K101" s="5">
        <v>46086</v>
      </c>
      <c r="Q101" s="9"/>
      <c r="S101" s="3"/>
    </row>
    <row r="102" spans="1:19" ht="15" hidden="1" customHeight="1" x14ac:dyDescent="0.35">
      <c r="A102" s="26" t="s">
        <v>724</v>
      </c>
      <c r="B102" s="32" t="s">
        <v>99</v>
      </c>
      <c r="C102" s="28"/>
      <c r="D102" s="29" t="s">
        <v>995</v>
      </c>
      <c r="E102" s="76">
        <v>18102240</v>
      </c>
      <c r="F102" s="77">
        <f t="shared" si="5"/>
        <v>1448179.2</v>
      </c>
      <c r="G102" s="31">
        <f t="shared" si="6"/>
        <v>19550419.199999999</v>
      </c>
      <c r="H102" s="74">
        <v>19550419.199999999</v>
      </c>
      <c r="I102" s="75">
        <f t="shared" si="4"/>
        <v>0</v>
      </c>
      <c r="J102" s="75"/>
      <c r="K102" s="5">
        <v>46086</v>
      </c>
      <c r="Q102" s="9"/>
      <c r="S102" s="3"/>
    </row>
    <row r="103" spans="1:19" ht="15" hidden="1" customHeight="1" x14ac:dyDescent="0.35">
      <c r="A103" s="26" t="s">
        <v>725</v>
      </c>
      <c r="B103" s="27" t="s">
        <v>100</v>
      </c>
      <c r="C103" s="28"/>
      <c r="D103" s="29" t="s">
        <v>995</v>
      </c>
      <c r="E103" s="76">
        <v>23679000</v>
      </c>
      <c r="F103" s="77">
        <f t="shared" si="5"/>
        <v>1894320</v>
      </c>
      <c r="G103" s="31">
        <f t="shared" si="6"/>
        <v>25573320</v>
      </c>
      <c r="H103" s="74">
        <v>25573320</v>
      </c>
      <c r="I103" s="75">
        <f t="shared" si="4"/>
        <v>0</v>
      </c>
      <c r="J103" s="75"/>
      <c r="K103" s="5">
        <v>46086</v>
      </c>
      <c r="Q103" s="9"/>
      <c r="S103" s="3"/>
    </row>
    <row r="104" spans="1:19" ht="15" hidden="1" customHeight="1" x14ac:dyDescent="0.35">
      <c r="A104" s="26" t="s">
        <v>726</v>
      </c>
      <c r="B104" s="32" t="s">
        <v>891</v>
      </c>
      <c r="C104" s="28">
        <v>1150</v>
      </c>
      <c r="D104" s="29">
        <v>46052</v>
      </c>
      <c r="E104" s="76">
        <v>5916500</v>
      </c>
      <c r="F104" s="77">
        <f t="shared" si="5"/>
        <v>473320</v>
      </c>
      <c r="G104" s="31">
        <f t="shared" si="6"/>
        <v>6389820</v>
      </c>
      <c r="H104" s="74">
        <v>6389820</v>
      </c>
      <c r="I104" s="75">
        <f t="shared" si="4"/>
        <v>0</v>
      </c>
      <c r="J104" s="75"/>
      <c r="K104" s="5">
        <v>46117</v>
      </c>
      <c r="Q104" s="9"/>
      <c r="S104" s="3"/>
    </row>
    <row r="105" spans="1:19" ht="15" hidden="1" customHeight="1" x14ac:dyDescent="0.35">
      <c r="A105" s="26" t="s">
        <v>727</v>
      </c>
      <c r="B105" s="32" t="s">
        <v>892</v>
      </c>
      <c r="C105" s="28"/>
      <c r="D105" s="29" t="s">
        <v>996</v>
      </c>
      <c r="E105" s="76">
        <v>15557000</v>
      </c>
      <c r="F105" s="77">
        <f t="shared" si="5"/>
        <v>1244560</v>
      </c>
      <c r="G105" s="31">
        <f t="shared" si="6"/>
        <v>16801560</v>
      </c>
      <c r="H105" s="74">
        <v>16801560</v>
      </c>
      <c r="I105" s="75">
        <f t="shared" si="4"/>
        <v>0</v>
      </c>
      <c r="J105" s="75"/>
      <c r="K105" s="5">
        <v>46086</v>
      </c>
      <c r="Q105" s="9"/>
      <c r="S105" s="3"/>
    </row>
    <row r="106" spans="1:19" ht="15" hidden="1" customHeight="1" x14ac:dyDescent="0.35">
      <c r="A106" s="26" t="s">
        <v>728</v>
      </c>
      <c r="B106" s="32" t="s">
        <v>893</v>
      </c>
      <c r="C106" s="28">
        <v>1148</v>
      </c>
      <c r="D106" s="29">
        <v>46052</v>
      </c>
      <c r="E106" s="76">
        <v>6740800</v>
      </c>
      <c r="F106" s="77">
        <f t="shared" si="5"/>
        <v>539264</v>
      </c>
      <c r="G106" s="31">
        <f t="shared" si="6"/>
        <v>7280064</v>
      </c>
      <c r="H106" s="74">
        <v>7280064</v>
      </c>
      <c r="I106" s="75">
        <f t="shared" si="4"/>
        <v>0</v>
      </c>
      <c r="J106" s="75"/>
      <c r="K106" s="5">
        <v>46117</v>
      </c>
      <c r="Q106" s="9"/>
      <c r="S106" s="3"/>
    </row>
    <row r="107" spans="1:19" ht="15" hidden="1" customHeight="1" x14ac:dyDescent="0.35">
      <c r="A107" s="26" t="s">
        <v>729</v>
      </c>
      <c r="B107" s="27" t="s">
        <v>101</v>
      </c>
      <c r="C107" s="33">
        <v>681</v>
      </c>
      <c r="D107" s="29">
        <v>46039</v>
      </c>
      <c r="E107" s="76">
        <v>7497000</v>
      </c>
      <c r="F107" s="77">
        <f t="shared" si="5"/>
        <v>599760</v>
      </c>
      <c r="G107" s="31">
        <f t="shared" si="6"/>
        <v>8096760</v>
      </c>
      <c r="H107" s="74">
        <v>8096760</v>
      </c>
      <c r="I107" s="75">
        <f t="shared" si="4"/>
        <v>0</v>
      </c>
      <c r="J107" s="75"/>
      <c r="K107" s="5">
        <v>46086</v>
      </c>
      <c r="Q107" s="9"/>
      <c r="S107" s="3"/>
    </row>
    <row r="108" spans="1:19" ht="15" hidden="1" customHeight="1" x14ac:dyDescent="0.35">
      <c r="A108" s="26" t="s">
        <v>730</v>
      </c>
      <c r="B108" s="27" t="s">
        <v>102</v>
      </c>
      <c r="C108" s="28">
        <v>1149</v>
      </c>
      <c r="D108" s="29">
        <v>46052</v>
      </c>
      <c r="E108" s="76">
        <v>23128900</v>
      </c>
      <c r="F108" s="77">
        <f t="shared" si="5"/>
        <v>1850312</v>
      </c>
      <c r="G108" s="31">
        <f t="shared" si="6"/>
        <v>24979212</v>
      </c>
      <c r="H108" s="74">
        <v>24979212</v>
      </c>
      <c r="I108" s="75">
        <f t="shared" si="4"/>
        <v>0</v>
      </c>
      <c r="J108" s="75"/>
      <c r="K108" s="5">
        <v>46117</v>
      </c>
      <c r="Q108" s="9"/>
      <c r="S108" s="3"/>
    </row>
    <row r="109" spans="1:19" ht="15" hidden="1" customHeight="1" x14ac:dyDescent="0.35">
      <c r="A109" s="26" t="s">
        <v>731</v>
      </c>
      <c r="B109" s="32" t="s">
        <v>103</v>
      </c>
      <c r="C109" s="28"/>
      <c r="D109" s="29" t="s">
        <v>996</v>
      </c>
      <c r="E109" s="76">
        <v>1633500</v>
      </c>
      <c r="F109" s="77">
        <f t="shared" si="5"/>
        <v>130680</v>
      </c>
      <c r="G109" s="31">
        <f t="shared" si="6"/>
        <v>1764180</v>
      </c>
      <c r="H109" s="74">
        <v>1764180</v>
      </c>
      <c r="I109" s="75">
        <f t="shared" si="4"/>
        <v>0</v>
      </c>
      <c r="J109" s="75"/>
      <c r="K109" s="5">
        <v>46086</v>
      </c>
      <c r="Q109" s="9"/>
      <c r="S109" s="3"/>
    </row>
    <row r="110" spans="1:19" ht="15" hidden="1" customHeight="1" x14ac:dyDescent="0.35">
      <c r="A110" s="26" t="s">
        <v>732</v>
      </c>
      <c r="B110" s="32" t="s">
        <v>104</v>
      </c>
      <c r="C110" s="28"/>
      <c r="D110" s="29" t="s">
        <v>996</v>
      </c>
      <c r="E110" s="76">
        <v>1632000</v>
      </c>
      <c r="F110" s="77">
        <f t="shared" si="5"/>
        <v>130560</v>
      </c>
      <c r="G110" s="31">
        <f t="shared" si="6"/>
        <v>1762560</v>
      </c>
      <c r="H110" s="74">
        <v>1762560</v>
      </c>
      <c r="I110" s="75">
        <f t="shared" si="4"/>
        <v>0</v>
      </c>
      <c r="J110" s="75"/>
      <c r="K110" s="5">
        <v>46086</v>
      </c>
      <c r="Q110" s="9"/>
      <c r="S110" s="3"/>
    </row>
    <row r="111" spans="1:19" ht="15" hidden="1" customHeight="1" x14ac:dyDescent="0.35">
      <c r="A111" s="26" t="s">
        <v>733</v>
      </c>
      <c r="B111" s="32" t="s">
        <v>894</v>
      </c>
      <c r="C111" s="28"/>
      <c r="D111" s="29" t="s">
        <v>996</v>
      </c>
      <c r="E111" s="76">
        <v>6115200</v>
      </c>
      <c r="F111" s="77">
        <f t="shared" si="5"/>
        <v>489216</v>
      </c>
      <c r="G111" s="31">
        <f t="shared" si="6"/>
        <v>6604416</v>
      </c>
      <c r="H111" s="74">
        <v>6604416</v>
      </c>
      <c r="I111" s="75">
        <f t="shared" si="4"/>
        <v>0</v>
      </c>
      <c r="J111" s="75"/>
      <c r="K111" s="5">
        <v>46086</v>
      </c>
      <c r="Q111" s="9"/>
      <c r="S111" s="3"/>
    </row>
    <row r="112" spans="1:19" ht="15" hidden="1" customHeight="1" x14ac:dyDescent="0.35">
      <c r="A112" s="26" t="s">
        <v>734</v>
      </c>
      <c r="B112" s="32" t="s">
        <v>895</v>
      </c>
      <c r="C112" s="28"/>
      <c r="D112" s="29" t="s">
        <v>996</v>
      </c>
      <c r="E112" s="76">
        <v>2544000</v>
      </c>
      <c r="F112" s="77">
        <f t="shared" si="5"/>
        <v>203520</v>
      </c>
      <c r="G112" s="31">
        <f t="shared" si="6"/>
        <v>2747520</v>
      </c>
      <c r="H112" s="74">
        <v>2747520</v>
      </c>
      <c r="I112" s="75">
        <f t="shared" si="4"/>
        <v>0</v>
      </c>
      <c r="J112" s="75"/>
      <c r="K112" s="5">
        <v>46086</v>
      </c>
      <c r="Q112" s="9"/>
      <c r="S112" s="3"/>
    </row>
    <row r="113" spans="1:19" ht="15" hidden="1" customHeight="1" x14ac:dyDescent="0.35">
      <c r="A113" s="26" t="s">
        <v>735</v>
      </c>
      <c r="B113" s="32">
        <v>335</v>
      </c>
      <c r="C113" s="28"/>
      <c r="D113" s="29" t="s">
        <v>996</v>
      </c>
      <c r="E113" s="76">
        <v>9121500</v>
      </c>
      <c r="F113" s="77">
        <f t="shared" si="5"/>
        <v>729720</v>
      </c>
      <c r="G113" s="31">
        <f t="shared" si="6"/>
        <v>9851220</v>
      </c>
      <c r="H113" s="74">
        <v>9851220</v>
      </c>
      <c r="I113" s="75">
        <f t="shared" si="4"/>
        <v>0</v>
      </c>
      <c r="J113" s="75"/>
      <c r="K113" s="5">
        <v>46086</v>
      </c>
      <c r="Q113" s="9"/>
      <c r="S113" s="3"/>
    </row>
    <row r="114" spans="1:19" ht="15" hidden="1" customHeight="1" x14ac:dyDescent="0.35">
      <c r="A114" s="26" t="s">
        <v>736</v>
      </c>
      <c r="B114" s="32" t="s">
        <v>896</v>
      </c>
      <c r="C114" s="28"/>
      <c r="D114" s="29" t="s">
        <v>996</v>
      </c>
      <c r="E114" s="76">
        <v>18138440</v>
      </c>
      <c r="F114" s="77">
        <f t="shared" si="5"/>
        <v>1451075.2</v>
      </c>
      <c r="G114" s="31">
        <f t="shared" si="6"/>
        <v>19589515.199999999</v>
      </c>
      <c r="H114" s="74">
        <v>19589515.199999999</v>
      </c>
      <c r="I114" s="75">
        <f t="shared" si="4"/>
        <v>0</v>
      </c>
      <c r="J114" s="75"/>
      <c r="K114" s="5">
        <v>46086</v>
      </c>
      <c r="Q114" s="9"/>
      <c r="S114" s="3"/>
    </row>
    <row r="115" spans="1:19" ht="15" hidden="1" customHeight="1" x14ac:dyDescent="0.35">
      <c r="A115" s="26" t="s">
        <v>737</v>
      </c>
      <c r="B115" s="32" t="s">
        <v>897</v>
      </c>
      <c r="C115" s="28">
        <v>1238</v>
      </c>
      <c r="D115" s="29">
        <v>46055</v>
      </c>
      <c r="E115" s="76">
        <v>3897900</v>
      </c>
      <c r="F115" s="77">
        <f t="shared" si="5"/>
        <v>311832</v>
      </c>
      <c r="G115" s="31">
        <f t="shared" si="6"/>
        <v>4209732</v>
      </c>
      <c r="H115" s="74">
        <v>4209732</v>
      </c>
      <c r="I115" s="75">
        <f t="shared" si="4"/>
        <v>0</v>
      </c>
      <c r="J115" s="75"/>
      <c r="K115" s="5">
        <v>46117</v>
      </c>
      <c r="Q115" s="9"/>
      <c r="S115" s="3"/>
    </row>
    <row r="116" spans="1:19" ht="15" hidden="1" customHeight="1" x14ac:dyDescent="0.35">
      <c r="A116" s="26" t="s">
        <v>738</v>
      </c>
      <c r="B116" s="27" t="s">
        <v>898</v>
      </c>
      <c r="C116" s="28"/>
      <c r="D116" s="29" t="s">
        <v>996</v>
      </c>
      <c r="E116" s="76">
        <v>7777500</v>
      </c>
      <c r="F116" s="77">
        <f t="shared" si="5"/>
        <v>622200</v>
      </c>
      <c r="G116" s="31">
        <f t="shared" si="6"/>
        <v>8399700</v>
      </c>
      <c r="H116" s="74">
        <v>8399700</v>
      </c>
      <c r="I116" s="75">
        <f t="shared" si="4"/>
        <v>0</v>
      </c>
      <c r="J116" s="75"/>
      <c r="K116" s="5">
        <v>46086</v>
      </c>
      <c r="Q116" s="9"/>
      <c r="S116" s="3"/>
    </row>
    <row r="117" spans="1:19" ht="15" hidden="1" customHeight="1" x14ac:dyDescent="0.35">
      <c r="A117" s="26" t="s">
        <v>739</v>
      </c>
      <c r="B117" s="32" t="s">
        <v>105</v>
      </c>
      <c r="C117" s="28"/>
      <c r="D117" s="29" t="s">
        <v>996</v>
      </c>
      <c r="E117" s="76">
        <v>5505000</v>
      </c>
      <c r="F117" s="77">
        <f t="shared" si="5"/>
        <v>440400</v>
      </c>
      <c r="G117" s="31">
        <f t="shared" si="6"/>
        <v>5945400</v>
      </c>
      <c r="H117" s="74">
        <v>5945400</v>
      </c>
      <c r="I117" s="75">
        <f t="shared" si="4"/>
        <v>0</v>
      </c>
      <c r="J117" s="75"/>
      <c r="K117" s="5">
        <v>46086</v>
      </c>
      <c r="Q117" s="9"/>
      <c r="S117" s="3"/>
    </row>
    <row r="118" spans="1:19" ht="15" hidden="1" customHeight="1" x14ac:dyDescent="0.35">
      <c r="A118" s="26" t="s">
        <v>740</v>
      </c>
      <c r="B118" s="32" t="s">
        <v>106</v>
      </c>
      <c r="C118" s="28"/>
      <c r="D118" s="29" t="s">
        <v>996</v>
      </c>
      <c r="E118" s="76">
        <v>10176000</v>
      </c>
      <c r="F118" s="77">
        <f t="shared" si="5"/>
        <v>814080</v>
      </c>
      <c r="G118" s="31">
        <f t="shared" si="6"/>
        <v>10990080</v>
      </c>
      <c r="H118" s="74">
        <v>10990080</v>
      </c>
      <c r="I118" s="75">
        <f t="shared" si="4"/>
        <v>0</v>
      </c>
      <c r="J118" s="75"/>
      <c r="K118" s="5">
        <v>46086</v>
      </c>
      <c r="Q118" s="9"/>
      <c r="S118" s="3"/>
    </row>
    <row r="119" spans="1:19" ht="15" hidden="1" customHeight="1" x14ac:dyDescent="0.35">
      <c r="A119" s="26" t="s">
        <v>741</v>
      </c>
      <c r="B119" s="32" t="s">
        <v>899</v>
      </c>
      <c r="C119" s="28"/>
      <c r="D119" s="29" t="s">
        <v>996</v>
      </c>
      <c r="E119" s="76">
        <v>13245480</v>
      </c>
      <c r="F119" s="77">
        <f t="shared" si="5"/>
        <v>1059638.3999999999</v>
      </c>
      <c r="G119" s="31">
        <f t="shared" si="6"/>
        <v>14305118.4</v>
      </c>
      <c r="H119" s="74">
        <v>14305118.4</v>
      </c>
      <c r="I119" s="75">
        <f t="shared" si="4"/>
        <v>0</v>
      </c>
      <c r="J119" s="75"/>
      <c r="K119" s="5">
        <v>46086</v>
      </c>
      <c r="Q119" s="9"/>
      <c r="S119" s="3"/>
    </row>
    <row r="120" spans="1:19" ht="15" hidden="1" customHeight="1" x14ac:dyDescent="0.35">
      <c r="A120" s="26" t="s">
        <v>742</v>
      </c>
      <c r="B120" s="32" t="s">
        <v>900</v>
      </c>
      <c r="C120" s="28"/>
      <c r="D120" s="29" t="s">
        <v>996</v>
      </c>
      <c r="E120" s="76">
        <v>904500</v>
      </c>
      <c r="F120" s="77">
        <f t="shared" si="5"/>
        <v>72360</v>
      </c>
      <c r="G120" s="31">
        <f t="shared" si="6"/>
        <v>976860</v>
      </c>
      <c r="H120" s="74">
        <v>976860</v>
      </c>
      <c r="I120" s="75">
        <f t="shared" si="4"/>
        <v>0</v>
      </c>
      <c r="J120" s="75"/>
      <c r="K120" s="5">
        <v>46086</v>
      </c>
      <c r="Q120" s="9"/>
      <c r="S120" s="3"/>
    </row>
    <row r="121" spans="1:19" ht="15" hidden="1" customHeight="1" x14ac:dyDescent="0.35">
      <c r="A121" s="26" t="s">
        <v>743</v>
      </c>
      <c r="B121" s="32" t="s">
        <v>901</v>
      </c>
      <c r="C121" s="28"/>
      <c r="D121" s="29" t="s">
        <v>996</v>
      </c>
      <c r="E121" s="76">
        <v>3327000</v>
      </c>
      <c r="F121" s="77">
        <f t="shared" si="5"/>
        <v>266160</v>
      </c>
      <c r="G121" s="31">
        <f t="shared" si="6"/>
        <v>3593160</v>
      </c>
      <c r="H121" s="74">
        <v>3593160</v>
      </c>
      <c r="I121" s="75">
        <f t="shared" si="4"/>
        <v>0</v>
      </c>
      <c r="J121" s="75"/>
      <c r="K121" s="5">
        <v>46086</v>
      </c>
      <c r="Q121" s="9"/>
      <c r="S121" s="3"/>
    </row>
    <row r="122" spans="1:19" ht="15" hidden="1" customHeight="1" x14ac:dyDescent="0.35">
      <c r="A122" s="26" t="s">
        <v>744</v>
      </c>
      <c r="B122" s="32" t="s">
        <v>902</v>
      </c>
      <c r="C122" s="28"/>
      <c r="D122" s="29" t="s">
        <v>996</v>
      </c>
      <c r="E122" s="76">
        <v>35709200</v>
      </c>
      <c r="F122" s="77">
        <f t="shared" si="5"/>
        <v>2856736</v>
      </c>
      <c r="G122" s="31">
        <f t="shared" si="6"/>
        <v>38565936</v>
      </c>
      <c r="H122" s="74">
        <v>38565936</v>
      </c>
      <c r="I122" s="75">
        <f t="shared" si="4"/>
        <v>0</v>
      </c>
      <c r="J122" s="75"/>
      <c r="K122" s="5">
        <v>46086</v>
      </c>
      <c r="Q122" s="9"/>
      <c r="S122" s="3"/>
    </row>
    <row r="123" spans="1:19" ht="15" hidden="1" customHeight="1" x14ac:dyDescent="0.35">
      <c r="A123" s="26" t="s">
        <v>745</v>
      </c>
      <c r="B123" s="32" t="s">
        <v>903</v>
      </c>
      <c r="C123" s="28"/>
      <c r="D123" s="29" t="s">
        <v>996</v>
      </c>
      <c r="E123" s="76">
        <v>2691900</v>
      </c>
      <c r="F123" s="77">
        <f t="shared" si="5"/>
        <v>215352</v>
      </c>
      <c r="G123" s="31">
        <f t="shared" si="6"/>
        <v>2907252</v>
      </c>
      <c r="H123" s="74">
        <v>2907252</v>
      </c>
      <c r="I123" s="75">
        <f t="shared" si="4"/>
        <v>0</v>
      </c>
      <c r="J123" s="75"/>
      <c r="K123" s="5">
        <v>46086</v>
      </c>
      <c r="Q123" s="9"/>
      <c r="S123" s="3"/>
    </row>
    <row r="124" spans="1:19" ht="15" hidden="1" customHeight="1" x14ac:dyDescent="0.35">
      <c r="A124" s="26" t="s">
        <v>746</v>
      </c>
      <c r="B124" s="32" t="s">
        <v>904</v>
      </c>
      <c r="C124" s="28"/>
      <c r="D124" s="29" t="s">
        <v>996</v>
      </c>
      <c r="E124" s="76">
        <v>1633500</v>
      </c>
      <c r="F124" s="77">
        <f t="shared" si="5"/>
        <v>130680</v>
      </c>
      <c r="G124" s="31">
        <f t="shared" si="6"/>
        <v>1764180</v>
      </c>
      <c r="H124" s="74">
        <v>1764180</v>
      </c>
      <c r="I124" s="75">
        <f t="shared" si="4"/>
        <v>0</v>
      </c>
      <c r="J124" s="75"/>
      <c r="K124" s="5">
        <v>46086</v>
      </c>
      <c r="Q124" s="9"/>
      <c r="S124" s="3"/>
    </row>
    <row r="125" spans="1:19" ht="15" hidden="1" customHeight="1" x14ac:dyDescent="0.35">
      <c r="A125" s="26" t="s">
        <v>747</v>
      </c>
      <c r="B125" s="32" t="s">
        <v>905</v>
      </c>
      <c r="C125" s="28"/>
      <c r="D125" s="29" t="s">
        <v>996</v>
      </c>
      <c r="E125" s="76">
        <v>5628000</v>
      </c>
      <c r="F125" s="77">
        <f t="shared" si="5"/>
        <v>450240</v>
      </c>
      <c r="G125" s="31">
        <f t="shared" si="6"/>
        <v>6078240</v>
      </c>
      <c r="H125" s="74">
        <v>6078240</v>
      </c>
      <c r="I125" s="75">
        <f t="shared" si="4"/>
        <v>0</v>
      </c>
      <c r="J125" s="75"/>
      <c r="K125" s="5">
        <v>46086</v>
      </c>
      <c r="Q125" s="9"/>
      <c r="S125" s="3"/>
    </row>
    <row r="126" spans="1:19" ht="15" hidden="1" customHeight="1" x14ac:dyDescent="0.35">
      <c r="A126" s="26" t="s">
        <v>748</v>
      </c>
      <c r="B126" s="32" t="s">
        <v>107</v>
      </c>
      <c r="C126" s="28"/>
      <c r="D126" s="29" t="s">
        <v>996</v>
      </c>
      <c r="E126" s="76">
        <v>2361000</v>
      </c>
      <c r="F126" s="77">
        <f t="shared" si="5"/>
        <v>188880</v>
      </c>
      <c r="G126" s="31">
        <f t="shared" si="6"/>
        <v>2549880</v>
      </c>
      <c r="H126" s="74">
        <v>2549880</v>
      </c>
      <c r="I126" s="75">
        <f t="shared" si="4"/>
        <v>0</v>
      </c>
      <c r="J126" s="75"/>
      <c r="K126" s="5">
        <v>46086</v>
      </c>
      <c r="Q126" s="9"/>
      <c r="S126" s="3"/>
    </row>
    <row r="127" spans="1:19" ht="15" hidden="1" customHeight="1" x14ac:dyDescent="0.35">
      <c r="A127" s="26" t="s">
        <v>749</v>
      </c>
      <c r="B127" s="32" t="s">
        <v>108</v>
      </c>
      <c r="C127" s="28"/>
      <c r="D127" s="29" t="s">
        <v>996</v>
      </c>
      <c r="E127" s="76">
        <v>4345500</v>
      </c>
      <c r="F127" s="77">
        <f t="shared" si="5"/>
        <v>347640</v>
      </c>
      <c r="G127" s="31">
        <f t="shared" si="6"/>
        <v>4693140</v>
      </c>
      <c r="H127" s="74">
        <v>4693140</v>
      </c>
      <c r="I127" s="75">
        <f t="shared" si="4"/>
        <v>0</v>
      </c>
      <c r="J127" s="75"/>
      <c r="K127" s="5">
        <v>46086</v>
      </c>
      <c r="Q127" s="9"/>
      <c r="S127" s="3"/>
    </row>
    <row r="128" spans="1:19" ht="15" hidden="1" customHeight="1" x14ac:dyDescent="0.35">
      <c r="A128" s="26" t="s">
        <v>750</v>
      </c>
      <c r="B128" s="32" t="s">
        <v>906</v>
      </c>
      <c r="C128" s="28"/>
      <c r="D128" s="29" t="s">
        <v>996</v>
      </c>
      <c r="E128" s="76">
        <v>18932000</v>
      </c>
      <c r="F128" s="77">
        <f t="shared" si="5"/>
        <v>1514560</v>
      </c>
      <c r="G128" s="31">
        <f t="shared" si="6"/>
        <v>20446560</v>
      </c>
      <c r="H128" s="74">
        <v>20446560</v>
      </c>
      <c r="I128" s="75">
        <f t="shared" si="4"/>
        <v>0</v>
      </c>
      <c r="J128" s="75"/>
      <c r="K128" s="5">
        <v>46086</v>
      </c>
      <c r="Q128" s="9"/>
      <c r="S128" s="3"/>
    </row>
    <row r="129" spans="1:19" ht="15" hidden="1" customHeight="1" x14ac:dyDescent="0.35">
      <c r="A129" s="26" t="s">
        <v>751</v>
      </c>
      <c r="B129" s="32" t="s">
        <v>907</v>
      </c>
      <c r="C129" s="28">
        <v>1155</v>
      </c>
      <c r="D129" s="29">
        <v>46052</v>
      </c>
      <c r="E129" s="76">
        <v>8917600</v>
      </c>
      <c r="F129" s="77">
        <f t="shared" si="5"/>
        <v>713408</v>
      </c>
      <c r="G129" s="31">
        <f t="shared" si="6"/>
        <v>9631008</v>
      </c>
      <c r="H129" s="74">
        <v>9631008</v>
      </c>
      <c r="I129" s="75">
        <f t="shared" si="4"/>
        <v>0</v>
      </c>
      <c r="J129" s="75"/>
      <c r="K129" s="5">
        <v>46117</v>
      </c>
      <c r="Q129" s="9"/>
      <c r="S129" s="3"/>
    </row>
    <row r="130" spans="1:19" ht="15" hidden="1" customHeight="1" x14ac:dyDescent="0.35">
      <c r="A130" s="26" t="s">
        <v>752</v>
      </c>
      <c r="B130" s="32" t="s">
        <v>908</v>
      </c>
      <c r="C130" s="28"/>
      <c r="D130" s="29" t="s">
        <v>996</v>
      </c>
      <c r="E130" s="76">
        <v>15991500</v>
      </c>
      <c r="F130" s="77">
        <f t="shared" si="5"/>
        <v>1279320</v>
      </c>
      <c r="G130" s="31">
        <f t="shared" si="6"/>
        <v>17270820</v>
      </c>
      <c r="H130" s="74">
        <v>17270820</v>
      </c>
      <c r="I130" s="75">
        <f t="shared" ref="I130:I192" si="7">G130-H130</f>
        <v>0</v>
      </c>
      <c r="J130" s="75"/>
      <c r="K130" s="5">
        <v>46086</v>
      </c>
      <c r="Q130" s="9"/>
      <c r="S130" s="3"/>
    </row>
    <row r="131" spans="1:19" ht="15" hidden="1" customHeight="1" x14ac:dyDescent="0.35">
      <c r="A131" s="26" t="s">
        <v>753</v>
      </c>
      <c r="B131" s="27" t="s">
        <v>909</v>
      </c>
      <c r="C131" s="28"/>
      <c r="D131" s="29" t="s">
        <v>996</v>
      </c>
      <c r="E131" s="76">
        <v>8647500</v>
      </c>
      <c r="F131" s="77">
        <f t="shared" ref="F131:F193" si="8">+E131*0.08</f>
        <v>691800</v>
      </c>
      <c r="G131" s="31">
        <f t="shared" si="6"/>
        <v>9339300</v>
      </c>
      <c r="H131" s="74">
        <v>9339300</v>
      </c>
      <c r="I131" s="75">
        <f t="shared" si="7"/>
        <v>0</v>
      </c>
      <c r="J131" s="75"/>
      <c r="K131" s="5">
        <v>46086</v>
      </c>
      <c r="Q131" s="9"/>
      <c r="S131" s="3"/>
    </row>
    <row r="132" spans="1:19" ht="15" hidden="1" customHeight="1" x14ac:dyDescent="0.35">
      <c r="A132" s="26" t="s">
        <v>754</v>
      </c>
      <c r="B132" s="27" t="s">
        <v>910</v>
      </c>
      <c r="C132" s="28"/>
      <c r="D132" s="29" t="s">
        <v>996</v>
      </c>
      <c r="E132" s="76">
        <v>12539700</v>
      </c>
      <c r="F132" s="77">
        <f t="shared" si="8"/>
        <v>1003176</v>
      </c>
      <c r="G132" s="31">
        <f t="shared" si="6"/>
        <v>13542876</v>
      </c>
      <c r="H132" s="74">
        <v>13542876</v>
      </c>
      <c r="I132" s="75">
        <f t="shared" si="7"/>
        <v>0</v>
      </c>
      <c r="J132" s="75"/>
      <c r="K132" s="5">
        <v>46086</v>
      </c>
      <c r="Q132" s="9"/>
      <c r="S132" s="3"/>
    </row>
    <row r="133" spans="1:19" ht="15" hidden="1" customHeight="1" x14ac:dyDescent="0.35">
      <c r="A133" s="26" t="s">
        <v>755</v>
      </c>
      <c r="B133" s="32" t="s">
        <v>911</v>
      </c>
      <c r="C133" s="28"/>
      <c r="D133" s="29" t="s">
        <v>996</v>
      </c>
      <c r="E133" s="76">
        <v>7601460</v>
      </c>
      <c r="F133" s="77">
        <f t="shared" si="8"/>
        <v>608116.80000000005</v>
      </c>
      <c r="G133" s="31">
        <f t="shared" si="6"/>
        <v>8209576.7999999998</v>
      </c>
      <c r="H133" s="74">
        <v>8209576.7999999998</v>
      </c>
      <c r="I133" s="75">
        <f t="shared" si="7"/>
        <v>0</v>
      </c>
      <c r="J133" s="75"/>
      <c r="K133" s="5">
        <v>46086</v>
      </c>
      <c r="Q133" s="9"/>
      <c r="S133" s="3"/>
    </row>
    <row r="134" spans="1:19" ht="15" hidden="1" customHeight="1" x14ac:dyDescent="0.35">
      <c r="A134" s="26" t="s">
        <v>756</v>
      </c>
      <c r="B134" s="32" t="s">
        <v>912</v>
      </c>
      <c r="C134" s="28"/>
      <c r="D134" s="29" t="s">
        <v>996</v>
      </c>
      <c r="E134" s="76">
        <v>2556000</v>
      </c>
      <c r="F134" s="77">
        <f t="shared" si="8"/>
        <v>204480</v>
      </c>
      <c r="G134" s="31">
        <f t="shared" si="6"/>
        <v>2760480</v>
      </c>
      <c r="H134" s="74">
        <v>2760480</v>
      </c>
      <c r="I134" s="75">
        <f t="shared" si="7"/>
        <v>0</v>
      </c>
      <c r="J134" s="75"/>
      <c r="K134" s="5">
        <v>46086</v>
      </c>
      <c r="Q134" s="9"/>
      <c r="S134" s="3"/>
    </row>
    <row r="135" spans="1:19" ht="15" hidden="1" customHeight="1" x14ac:dyDescent="0.35">
      <c r="A135" s="26" t="s">
        <v>757</v>
      </c>
      <c r="B135" s="32" t="s">
        <v>913</v>
      </c>
      <c r="C135" s="28"/>
      <c r="D135" s="29" t="s">
        <v>996</v>
      </c>
      <c r="E135" s="76">
        <v>3264000</v>
      </c>
      <c r="F135" s="77">
        <f t="shared" si="8"/>
        <v>261120</v>
      </c>
      <c r="G135" s="31">
        <f t="shared" si="6"/>
        <v>3525120</v>
      </c>
      <c r="H135" s="74">
        <v>3525120</v>
      </c>
      <c r="I135" s="75">
        <f t="shared" si="7"/>
        <v>0</v>
      </c>
      <c r="J135" s="75"/>
      <c r="K135" s="5">
        <v>46086</v>
      </c>
      <c r="Q135" s="9"/>
      <c r="S135" s="3"/>
    </row>
    <row r="136" spans="1:19" ht="15" hidden="1" customHeight="1" x14ac:dyDescent="0.35">
      <c r="A136" s="26" t="s">
        <v>758</v>
      </c>
      <c r="B136" s="32" t="s">
        <v>914</v>
      </c>
      <c r="C136" s="28"/>
      <c r="D136" s="29" t="s">
        <v>996</v>
      </c>
      <c r="E136" s="76">
        <v>729000</v>
      </c>
      <c r="F136" s="77">
        <f t="shared" si="8"/>
        <v>58320</v>
      </c>
      <c r="G136" s="31">
        <f t="shared" si="6"/>
        <v>787320</v>
      </c>
      <c r="H136" s="74">
        <v>787320</v>
      </c>
      <c r="I136" s="75">
        <f t="shared" si="7"/>
        <v>0</v>
      </c>
      <c r="J136" s="75"/>
      <c r="K136" s="5">
        <v>46086</v>
      </c>
      <c r="Q136" s="9"/>
      <c r="S136" s="3"/>
    </row>
    <row r="137" spans="1:19" ht="15" hidden="1" customHeight="1" x14ac:dyDescent="0.35">
      <c r="A137" s="26" t="s">
        <v>759</v>
      </c>
      <c r="B137" s="32" t="s">
        <v>109</v>
      </c>
      <c r="C137" s="28"/>
      <c r="D137" s="29" t="s">
        <v>996</v>
      </c>
      <c r="E137" s="76">
        <v>12732000</v>
      </c>
      <c r="F137" s="77">
        <f t="shared" si="8"/>
        <v>1018560</v>
      </c>
      <c r="G137" s="31">
        <f t="shared" si="6"/>
        <v>13750560</v>
      </c>
      <c r="H137" s="74">
        <v>13750560</v>
      </c>
      <c r="I137" s="75">
        <f t="shared" si="7"/>
        <v>0</v>
      </c>
      <c r="J137" s="75"/>
      <c r="K137" s="5">
        <v>46086</v>
      </c>
      <c r="Q137" s="9"/>
      <c r="S137" s="3"/>
    </row>
    <row r="138" spans="1:19" ht="15" hidden="1" customHeight="1" x14ac:dyDescent="0.35">
      <c r="A138" s="26" t="s">
        <v>760</v>
      </c>
      <c r="B138" s="32" t="s">
        <v>915</v>
      </c>
      <c r="C138" s="28"/>
      <c r="D138" s="29" t="s">
        <v>996</v>
      </c>
      <c r="E138" s="76">
        <v>11466000</v>
      </c>
      <c r="F138" s="77">
        <f t="shared" si="8"/>
        <v>917280</v>
      </c>
      <c r="G138" s="31">
        <f t="shared" si="6"/>
        <v>12383280</v>
      </c>
      <c r="H138" s="74">
        <v>12383280</v>
      </c>
      <c r="I138" s="75">
        <f t="shared" si="7"/>
        <v>0</v>
      </c>
      <c r="J138" s="75"/>
      <c r="K138" s="5">
        <v>46086</v>
      </c>
      <c r="Q138" s="9"/>
      <c r="S138" s="3"/>
    </row>
    <row r="139" spans="1:19" ht="15" hidden="1" customHeight="1" x14ac:dyDescent="0.35">
      <c r="A139" s="26" t="s">
        <v>761</v>
      </c>
      <c r="B139" s="32" t="s">
        <v>916</v>
      </c>
      <c r="C139" s="28"/>
      <c r="D139" s="29" t="s">
        <v>996</v>
      </c>
      <c r="E139" s="76">
        <v>3091500</v>
      </c>
      <c r="F139" s="77">
        <f t="shared" si="8"/>
        <v>247320</v>
      </c>
      <c r="G139" s="31">
        <f t="shared" si="6"/>
        <v>3338820</v>
      </c>
      <c r="H139" s="74">
        <v>3338820</v>
      </c>
      <c r="I139" s="75">
        <f t="shared" si="7"/>
        <v>0</v>
      </c>
      <c r="J139" s="75"/>
      <c r="K139" s="5">
        <v>46086</v>
      </c>
      <c r="Q139" s="9"/>
      <c r="S139" s="3"/>
    </row>
    <row r="140" spans="1:19" ht="15" hidden="1" customHeight="1" x14ac:dyDescent="0.35">
      <c r="A140" s="26" t="s">
        <v>762</v>
      </c>
      <c r="B140" s="32" t="s">
        <v>917</v>
      </c>
      <c r="C140" s="28">
        <v>1151</v>
      </c>
      <c r="D140" s="29">
        <v>46052</v>
      </c>
      <c r="E140" s="76">
        <v>5054130</v>
      </c>
      <c r="F140" s="77">
        <f t="shared" si="8"/>
        <v>404330.4</v>
      </c>
      <c r="G140" s="31">
        <f t="shared" si="6"/>
        <v>5458460.4000000004</v>
      </c>
      <c r="H140" s="74">
        <v>5458460.4000000004</v>
      </c>
      <c r="I140" s="75">
        <f t="shared" si="7"/>
        <v>0</v>
      </c>
      <c r="J140" s="75"/>
      <c r="K140" s="5">
        <v>46117</v>
      </c>
      <c r="Q140" s="9"/>
      <c r="S140" s="3"/>
    </row>
    <row r="141" spans="1:19" ht="15" hidden="1" customHeight="1" x14ac:dyDescent="0.35">
      <c r="A141" s="26" t="s">
        <v>763</v>
      </c>
      <c r="B141" s="32" t="s">
        <v>918</v>
      </c>
      <c r="C141" s="28">
        <v>1153</v>
      </c>
      <c r="D141" s="29">
        <v>46052</v>
      </c>
      <c r="E141" s="76">
        <v>34014400</v>
      </c>
      <c r="F141" s="77">
        <f t="shared" si="8"/>
        <v>2721152</v>
      </c>
      <c r="G141" s="31">
        <f t="shared" si="6"/>
        <v>36735552</v>
      </c>
      <c r="H141" s="74">
        <v>36735552</v>
      </c>
      <c r="I141" s="75">
        <f t="shared" si="7"/>
        <v>0</v>
      </c>
      <c r="J141" s="75"/>
      <c r="K141" s="5">
        <v>46117</v>
      </c>
      <c r="Q141" s="9"/>
      <c r="S141" s="3"/>
    </row>
    <row r="142" spans="1:19" ht="15" hidden="1" customHeight="1" x14ac:dyDescent="0.35">
      <c r="A142" s="26" t="s">
        <v>764</v>
      </c>
      <c r="B142" s="32" t="s">
        <v>919</v>
      </c>
      <c r="C142" s="28"/>
      <c r="D142" s="29" t="s">
        <v>996</v>
      </c>
      <c r="E142" s="76">
        <v>56631400</v>
      </c>
      <c r="F142" s="77">
        <f t="shared" si="8"/>
        <v>4530512</v>
      </c>
      <c r="G142" s="31">
        <f t="shared" si="6"/>
        <v>61161912</v>
      </c>
      <c r="H142" s="74">
        <v>61161912</v>
      </c>
      <c r="I142" s="75">
        <f t="shared" si="7"/>
        <v>0</v>
      </c>
      <c r="J142" s="75"/>
      <c r="K142" s="5">
        <v>46086</v>
      </c>
      <c r="Q142" s="9"/>
      <c r="S142" s="3"/>
    </row>
    <row r="143" spans="1:19" ht="15" hidden="1" customHeight="1" x14ac:dyDescent="0.35">
      <c r="A143" s="26" t="s">
        <v>765</v>
      </c>
      <c r="B143" s="32" t="s">
        <v>920</v>
      </c>
      <c r="C143" s="28"/>
      <c r="D143" s="29" t="s">
        <v>996</v>
      </c>
      <c r="E143" s="76">
        <v>2713500</v>
      </c>
      <c r="F143" s="77">
        <f t="shared" si="8"/>
        <v>217080</v>
      </c>
      <c r="G143" s="31">
        <f t="shared" ref="G143:G205" si="9">+F143+E143</f>
        <v>2930580</v>
      </c>
      <c r="H143" s="74">
        <v>2930580</v>
      </c>
      <c r="I143" s="75">
        <f t="shared" si="7"/>
        <v>0</v>
      </c>
      <c r="J143" s="75"/>
      <c r="K143" s="5">
        <v>46086</v>
      </c>
      <c r="Q143" s="9"/>
      <c r="S143" s="3"/>
    </row>
    <row r="144" spans="1:19" ht="15" hidden="1" customHeight="1" x14ac:dyDescent="0.35">
      <c r="A144" s="26" t="s">
        <v>766</v>
      </c>
      <c r="B144" s="32" t="s">
        <v>921</v>
      </c>
      <c r="C144" s="28"/>
      <c r="D144" s="29" t="s">
        <v>996</v>
      </c>
      <c r="E144" s="76">
        <v>2638500</v>
      </c>
      <c r="F144" s="77">
        <f t="shared" si="8"/>
        <v>211080</v>
      </c>
      <c r="G144" s="31">
        <f t="shared" si="9"/>
        <v>2849580</v>
      </c>
      <c r="H144" s="74">
        <v>2849580</v>
      </c>
      <c r="I144" s="75">
        <f t="shared" si="7"/>
        <v>0</v>
      </c>
      <c r="J144" s="75"/>
      <c r="K144" s="5">
        <v>46086</v>
      </c>
      <c r="Q144" s="9"/>
      <c r="S144" s="3"/>
    </row>
    <row r="145" spans="1:19" ht="15" hidden="1" customHeight="1" x14ac:dyDescent="0.35">
      <c r="A145" s="26" t="s">
        <v>767</v>
      </c>
      <c r="B145" s="32" t="s">
        <v>922</v>
      </c>
      <c r="C145" s="28"/>
      <c r="D145" s="29" t="s">
        <v>996</v>
      </c>
      <c r="E145" s="76">
        <v>904500</v>
      </c>
      <c r="F145" s="77">
        <f t="shared" si="8"/>
        <v>72360</v>
      </c>
      <c r="G145" s="31">
        <f t="shared" si="9"/>
        <v>976860</v>
      </c>
      <c r="H145" s="74">
        <v>976860</v>
      </c>
      <c r="I145" s="75">
        <f t="shared" si="7"/>
        <v>0</v>
      </c>
      <c r="J145" s="75"/>
      <c r="K145" s="5">
        <v>46086</v>
      </c>
      <c r="Q145" s="9"/>
      <c r="S145" s="3"/>
    </row>
    <row r="146" spans="1:19" ht="15" hidden="1" customHeight="1" x14ac:dyDescent="0.35">
      <c r="A146" s="26" t="s">
        <v>768</v>
      </c>
      <c r="B146" s="32" t="s">
        <v>923</v>
      </c>
      <c r="C146" s="28"/>
      <c r="D146" s="29" t="s">
        <v>996</v>
      </c>
      <c r="E146" s="76">
        <v>1809000</v>
      </c>
      <c r="F146" s="77">
        <f t="shared" si="8"/>
        <v>144720</v>
      </c>
      <c r="G146" s="31">
        <f t="shared" si="9"/>
        <v>1953720</v>
      </c>
      <c r="H146" s="74">
        <v>1953720</v>
      </c>
      <c r="I146" s="75">
        <f t="shared" si="7"/>
        <v>0</v>
      </c>
      <c r="J146" s="75"/>
      <c r="K146" s="5">
        <v>46086</v>
      </c>
      <c r="Q146" s="9"/>
      <c r="S146" s="3"/>
    </row>
    <row r="147" spans="1:19" ht="15" hidden="1" customHeight="1" x14ac:dyDescent="0.35">
      <c r="A147" s="26" t="s">
        <v>769</v>
      </c>
      <c r="B147" s="32" t="s">
        <v>924</v>
      </c>
      <c r="C147" s="28"/>
      <c r="D147" s="29" t="s">
        <v>996</v>
      </c>
      <c r="E147" s="76">
        <v>904500</v>
      </c>
      <c r="F147" s="77">
        <f t="shared" si="8"/>
        <v>72360</v>
      </c>
      <c r="G147" s="31">
        <f t="shared" si="9"/>
        <v>976860</v>
      </c>
      <c r="H147" s="74">
        <v>976860</v>
      </c>
      <c r="I147" s="75">
        <f t="shared" si="7"/>
        <v>0</v>
      </c>
      <c r="J147" s="75"/>
      <c r="K147" s="5">
        <v>46086</v>
      </c>
      <c r="Q147" s="9"/>
      <c r="S147" s="3"/>
    </row>
    <row r="148" spans="1:19" ht="15" hidden="1" customHeight="1" x14ac:dyDescent="0.35">
      <c r="A148" s="26" t="s">
        <v>770</v>
      </c>
      <c r="B148" s="32" t="s">
        <v>925</v>
      </c>
      <c r="C148" s="28"/>
      <c r="D148" s="29" t="s">
        <v>996</v>
      </c>
      <c r="E148" s="76">
        <v>3604500</v>
      </c>
      <c r="F148" s="77">
        <f t="shared" si="8"/>
        <v>288360</v>
      </c>
      <c r="G148" s="31">
        <f t="shared" si="9"/>
        <v>3892860</v>
      </c>
      <c r="H148" s="74">
        <v>3892860</v>
      </c>
      <c r="I148" s="75">
        <f t="shared" si="7"/>
        <v>0</v>
      </c>
      <c r="J148" s="75"/>
      <c r="K148" s="5">
        <v>46086</v>
      </c>
      <c r="Q148" s="9"/>
      <c r="S148" s="3"/>
    </row>
    <row r="149" spans="1:19" ht="15" hidden="1" customHeight="1" x14ac:dyDescent="0.35">
      <c r="A149" s="26" t="s">
        <v>771</v>
      </c>
      <c r="B149" s="32" t="s">
        <v>110</v>
      </c>
      <c r="C149" s="28"/>
      <c r="D149" s="29" t="s">
        <v>996</v>
      </c>
      <c r="E149" s="76">
        <v>864000</v>
      </c>
      <c r="F149" s="77">
        <f t="shared" si="8"/>
        <v>69120</v>
      </c>
      <c r="G149" s="31">
        <f t="shared" si="9"/>
        <v>933120</v>
      </c>
      <c r="H149" s="74">
        <v>933120</v>
      </c>
      <c r="I149" s="75">
        <f t="shared" si="7"/>
        <v>0</v>
      </c>
      <c r="J149" s="75"/>
      <c r="K149" s="5">
        <v>46086</v>
      </c>
      <c r="Q149" s="9"/>
      <c r="S149" s="3"/>
    </row>
    <row r="150" spans="1:19" ht="15" hidden="1" customHeight="1" x14ac:dyDescent="0.35">
      <c r="A150" s="26" t="s">
        <v>772</v>
      </c>
      <c r="B150" s="32" t="s">
        <v>111</v>
      </c>
      <c r="C150" s="28"/>
      <c r="D150" s="29" t="s">
        <v>996</v>
      </c>
      <c r="E150" s="76">
        <v>2673000</v>
      </c>
      <c r="F150" s="77">
        <f t="shared" si="8"/>
        <v>213840</v>
      </c>
      <c r="G150" s="31">
        <f t="shared" si="9"/>
        <v>2886840</v>
      </c>
      <c r="H150" s="74">
        <v>2886840</v>
      </c>
      <c r="I150" s="75">
        <f t="shared" si="7"/>
        <v>0</v>
      </c>
      <c r="J150" s="75"/>
      <c r="K150" s="5">
        <v>46086</v>
      </c>
      <c r="Q150" s="9"/>
      <c r="S150" s="3"/>
    </row>
    <row r="151" spans="1:19" ht="15" hidden="1" customHeight="1" x14ac:dyDescent="0.35">
      <c r="A151" s="26" t="s">
        <v>773</v>
      </c>
      <c r="B151" s="27" t="s">
        <v>926</v>
      </c>
      <c r="C151" s="28"/>
      <c r="D151" s="29" t="s">
        <v>996</v>
      </c>
      <c r="E151" s="76">
        <v>904500</v>
      </c>
      <c r="F151" s="77">
        <f t="shared" si="8"/>
        <v>72360</v>
      </c>
      <c r="G151" s="31">
        <f t="shared" si="9"/>
        <v>976860</v>
      </c>
      <c r="H151" s="74">
        <v>976860</v>
      </c>
      <c r="I151" s="75">
        <f t="shared" si="7"/>
        <v>0</v>
      </c>
      <c r="J151" s="75"/>
      <c r="K151" s="5">
        <v>46086</v>
      </c>
      <c r="Q151" s="9"/>
      <c r="S151" s="3"/>
    </row>
    <row r="152" spans="1:19" ht="15" hidden="1" customHeight="1" x14ac:dyDescent="0.35">
      <c r="A152" s="26" t="s">
        <v>774</v>
      </c>
      <c r="B152" s="32" t="s">
        <v>927</v>
      </c>
      <c r="C152" s="28"/>
      <c r="D152" s="29" t="s">
        <v>996</v>
      </c>
      <c r="E152" s="76">
        <v>1734000</v>
      </c>
      <c r="F152" s="77">
        <f t="shared" si="8"/>
        <v>138720</v>
      </c>
      <c r="G152" s="31">
        <f t="shared" si="9"/>
        <v>1872720</v>
      </c>
      <c r="H152" s="74">
        <v>1872720</v>
      </c>
      <c r="I152" s="75">
        <f t="shared" si="7"/>
        <v>0</v>
      </c>
      <c r="J152" s="75"/>
      <c r="K152" s="5">
        <v>46086</v>
      </c>
      <c r="Q152" s="9"/>
      <c r="S152" s="3"/>
    </row>
    <row r="153" spans="1:19" ht="15" hidden="1" customHeight="1" x14ac:dyDescent="0.35">
      <c r="A153" s="26" t="s">
        <v>775</v>
      </c>
      <c r="B153" s="32" t="s">
        <v>928</v>
      </c>
      <c r="C153" s="28"/>
      <c r="D153" s="29" t="s">
        <v>996</v>
      </c>
      <c r="E153" s="76">
        <v>904500</v>
      </c>
      <c r="F153" s="77">
        <f t="shared" si="8"/>
        <v>72360</v>
      </c>
      <c r="G153" s="31">
        <f t="shared" si="9"/>
        <v>976860</v>
      </c>
      <c r="H153" s="74">
        <v>976860</v>
      </c>
      <c r="I153" s="75">
        <f t="shared" si="7"/>
        <v>0</v>
      </c>
      <c r="J153" s="75"/>
      <c r="K153" s="5">
        <v>46086</v>
      </c>
      <c r="Q153" s="9"/>
      <c r="S153" s="3"/>
    </row>
    <row r="154" spans="1:19" ht="15" hidden="1" customHeight="1" x14ac:dyDescent="0.35">
      <c r="A154" s="26" t="s">
        <v>776</v>
      </c>
      <c r="B154" s="32" t="s">
        <v>112</v>
      </c>
      <c r="C154" s="28"/>
      <c r="D154" s="29" t="s">
        <v>996</v>
      </c>
      <c r="E154" s="76">
        <v>8877600</v>
      </c>
      <c r="F154" s="77">
        <f t="shared" si="8"/>
        <v>710208</v>
      </c>
      <c r="G154" s="31">
        <f t="shared" si="9"/>
        <v>9587808</v>
      </c>
      <c r="H154" s="74">
        <v>9587808</v>
      </c>
      <c r="I154" s="75">
        <f t="shared" si="7"/>
        <v>0</v>
      </c>
      <c r="J154" s="75"/>
      <c r="K154" s="3"/>
      <c r="L154" s="5">
        <v>46076</v>
      </c>
      <c r="Q154" s="9"/>
      <c r="S154" s="3"/>
    </row>
    <row r="155" spans="1:19" ht="15" hidden="1" customHeight="1" x14ac:dyDescent="0.35">
      <c r="A155" s="26" t="s">
        <v>777</v>
      </c>
      <c r="B155" s="32" t="s">
        <v>929</v>
      </c>
      <c r="C155" s="28"/>
      <c r="D155" s="29" t="s">
        <v>997</v>
      </c>
      <c r="E155" s="76">
        <v>1512000</v>
      </c>
      <c r="F155" s="77">
        <f t="shared" si="8"/>
        <v>120960</v>
      </c>
      <c r="G155" s="31">
        <f t="shared" si="9"/>
        <v>1632960</v>
      </c>
      <c r="H155" s="74">
        <v>1632960</v>
      </c>
      <c r="I155" s="75">
        <f t="shared" si="7"/>
        <v>0</v>
      </c>
      <c r="J155" s="75"/>
      <c r="K155" s="3"/>
      <c r="L155" s="5">
        <v>46076</v>
      </c>
      <c r="Q155" s="9"/>
      <c r="S155" s="3"/>
    </row>
    <row r="156" spans="1:19" ht="15" hidden="1" customHeight="1" x14ac:dyDescent="0.35">
      <c r="A156" s="26" t="s">
        <v>778</v>
      </c>
      <c r="B156" s="32" t="s">
        <v>930</v>
      </c>
      <c r="C156" s="28"/>
      <c r="D156" s="29" t="s">
        <v>997</v>
      </c>
      <c r="E156" s="76">
        <v>1775520</v>
      </c>
      <c r="F156" s="77">
        <f t="shared" si="8"/>
        <v>142041.60000000001</v>
      </c>
      <c r="G156" s="31">
        <f t="shared" si="9"/>
        <v>1917561.6</v>
      </c>
      <c r="H156" s="74">
        <v>1917561.6</v>
      </c>
      <c r="I156" s="75">
        <f t="shared" si="7"/>
        <v>0</v>
      </c>
      <c r="J156" s="75"/>
      <c r="K156" s="3"/>
      <c r="L156" s="5">
        <v>46076</v>
      </c>
      <c r="Q156" s="9"/>
      <c r="S156" s="3"/>
    </row>
    <row r="157" spans="1:19" ht="15" hidden="1" customHeight="1" x14ac:dyDescent="0.35">
      <c r="A157" s="26" t="s">
        <v>779</v>
      </c>
      <c r="B157" s="32" t="s">
        <v>931</v>
      </c>
      <c r="C157" s="28"/>
      <c r="D157" s="29" t="s">
        <v>997</v>
      </c>
      <c r="E157" s="76">
        <v>1768500</v>
      </c>
      <c r="F157" s="77">
        <f t="shared" si="8"/>
        <v>141480</v>
      </c>
      <c r="G157" s="31">
        <f t="shared" si="9"/>
        <v>1909980</v>
      </c>
      <c r="H157" s="74">
        <v>1909980</v>
      </c>
      <c r="I157" s="75">
        <f t="shared" si="7"/>
        <v>0</v>
      </c>
      <c r="J157" s="75"/>
      <c r="K157" s="5">
        <v>46086</v>
      </c>
      <c r="Q157" s="9"/>
      <c r="S157" s="3"/>
    </row>
    <row r="158" spans="1:19" ht="15" hidden="1" customHeight="1" x14ac:dyDescent="0.35">
      <c r="A158" s="26" t="s">
        <v>780</v>
      </c>
      <c r="B158" s="32" t="s">
        <v>932</v>
      </c>
      <c r="C158" s="28"/>
      <c r="D158" s="29" t="s">
        <v>997</v>
      </c>
      <c r="E158" s="76">
        <v>904500</v>
      </c>
      <c r="F158" s="77">
        <f t="shared" si="8"/>
        <v>72360</v>
      </c>
      <c r="G158" s="31">
        <f t="shared" si="9"/>
        <v>976860</v>
      </c>
      <c r="H158" s="74">
        <v>976860</v>
      </c>
      <c r="I158" s="75">
        <f t="shared" si="7"/>
        <v>0</v>
      </c>
      <c r="J158" s="75"/>
      <c r="K158" s="5">
        <v>46086</v>
      </c>
      <c r="Q158" s="9"/>
      <c r="S158" s="3"/>
    </row>
    <row r="159" spans="1:19" ht="15" hidden="1" customHeight="1" x14ac:dyDescent="0.35">
      <c r="A159" s="26" t="s">
        <v>781</v>
      </c>
      <c r="B159" s="32" t="s">
        <v>933</v>
      </c>
      <c r="C159" s="28"/>
      <c r="D159" s="29" t="s">
        <v>997</v>
      </c>
      <c r="E159" s="76">
        <v>904500</v>
      </c>
      <c r="F159" s="77">
        <f t="shared" si="8"/>
        <v>72360</v>
      </c>
      <c r="G159" s="31">
        <f t="shared" si="9"/>
        <v>976860</v>
      </c>
      <c r="H159" s="74">
        <v>976860</v>
      </c>
      <c r="I159" s="75">
        <f t="shared" si="7"/>
        <v>0</v>
      </c>
      <c r="J159" s="75"/>
      <c r="K159" s="5">
        <v>46086</v>
      </c>
      <c r="Q159" s="9"/>
      <c r="S159" s="3"/>
    </row>
    <row r="160" spans="1:19" ht="15" hidden="1" customHeight="1" x14ac:dyDescent="0.35">
      <c r="A160" s="26" t="s">
        <v>782</v>
      </c>
      <c r="B160" s="32" t="s">
        <v>934</v>
      </c>
      <c r="C160" s="28"/>
      <c r="D160" s="29" t="s">
        <v>997</v>
      </c>
      <c r="E160" s="76">
        <v>904500</v>
      </c>
      <c r="F160" s="77">
        <f t="shared" si="8"/>
        <v>72360</v>
      </c>
      <c r="G160" s="31">
        <f t="shared" si="9"/>
        <v>976860</v>
      </c>
      <c r="H160" s="74">
        <v>976860</v>
      </c>
      <c r="I160" s="75">
        <f t="shared" si="7"/>
        <v>0</v>
      </c>
      <c r="J160" s="75"/>
      <c r="K160" s="5">
        <v>46086</v>
      </c>
      <c r="Q160" s="9"/>
      <c r="S160" s="3"/>
    </row>
    <row r="161" spans="1:19" ht="15" hidden="1" customHeight="1" x14ac:dyDescent="0.35">
      <c r="A161" s="26" t="s">
        <v>783</v>
      </c>
      <c r="B161" s="32" t="s">
        <v>935</v>
      </c>
      <c r="C161" s="28">
        <v>1411</v>
      </c>
      <c r="D161" s="29">
        <v>46060</v>
      </c>
      <c r="E161" s="76">
        <v>1658250</v>
      </c>
      <c r="F161" s="77">
        <f t="shared" si="8"/>
        <v>132660</v>
      </c>
      <c r="G161" s="31">
        <f t="shared" si="9"/>
        <v>1790910</v>
      </c>
      <c r="H161" s="74">
        <v>1790910</v>
      </c>
      <c r="I161" s="75">
        <f t="shared" si="7"/>
        <v>0</v>
      </c>
      <c r="J161" s="75"/>
      <c r="K161" s="5">
        <v>46117</v>
      </c>
      <c r="Q161" s="9"/>
      <c r="S161" s="3"/>
    </row>
    <row r="162" spans="1:19" ht="15" hidden="1" customHeight="1" x14ac:dyDescent="0.35">
      <c r="A162" s="26" t="s">
        <v>784</v>
      </c>
      <c r="B162" s="32" t="s">
        <v>936</v>
      </c>
      <c r="C162" s="28"/>
      <c r="D162" s="29" t="s">
        <v>997</v>
      </c>
      <c r="E162" s="76">
        <v>3388500</v>
      </c>
      <c r="F162" s="77">
        <f t="shared" si="8"/>
        <v>271080</v>
      </c>
      <c r="G162" s="31">
        <f t="shared" si="9"/>
        <v>3659580</v>
      </c>
      <c r="H162" s="74">
        <v>3659580</v>
      </c>
      <c r="I162" s="75">
        <f t="shared" si="7"/>
        <v>0</v>
      </c>
      <c r="J162" s="75"/>
      <c r="K162" s="5">
        <v>46086</v>
      </c>
      <c r="Q162" s="9"/>
      <c r="S162" s="3"/>
    </row>
    <row r="163" spans="1:19" ht="15" hidden="1" customHeight="1" x14ac:dyDescent="0.35">
      <c r="A163" s="26" t="s">
        <v>785</v>
      </c>
      <c r="B163" s="32" t="s">
        <v>937</v>
      </c>
      <c r="C163" s="28"/>
      <c r="D163" s="29" t="s">
        <v>997</v>
      </c>
      <c r="E163" s="76">
        <v>3502500</v>
      </c>
      <c r="F163" s="77">
        <f t="shared" si="8"/>
        <v>280200</v>
      </c>
      <c r="G163" s="31">
        <f t="shared" si="9"/>
        <v>3782700</v>
      </c>
      <c r="H163" s="74">
        <v>3782700</v>
      </c>
      <c r="I163" s="75">
        <f t="shared" si="7"/>
        <v>0</v>
      </c>
      <c r="J163" s="75"/>
      <c r="K163" s="5">
        <v>46086</v>
      </c>
      <c r="Q163" s="9"/>
      <c r="S163" s="3"/>
    </row>
    <row r="164" spans="1:19" ht="15" hidden="1" customHeight="1" x14ac:dyDescent="0.35">
      <c r="A164" s="26" t="s">
        <v>786</v>
      </c>
      <c r="B164" s="32" t="s">
        <v>938</v>
      </c>
      <c r="C164" s="28"/>
      <c r="D164" s="29" t="s">
        <v>997</v>
      </c>
      <c r="E164" s="76">
        <v>3834000</v>
      </c>
      <c r="F164" s="77">
        <f t="shared" si="8"/>
        <v>306720</v>
      </c>
      <c r="G164" s="31">
        <f t="shared" si="9"/>
        <v>4140720</v>
      </c>
      <c r="H164" s="74">
        <v>4140720</v>
      </c>
      <c r="I164" s="75">
        <f t="shared" si="7"/>
        <v>0</v>
      </c>
      <c r="J164" s="75"/>
      <c r="K164" s="5">
        <v>46086</v>
      </c>
      <c r="Q164" s="9"/>
      <c r="S164" s="3"/>
    </row>
    <row r="165" spans="1:19" ht="15" hidden="1" customHeight="1" x14ac:dyDescent="0.35">
      <c r="A165" s="26" t="s">
        <v>787</v>
      </c>
      <c r="B165" s="27" t="s">
        <v>939</v>
      </c>
      <c r="C165" s="28"/>
      <c r="D165" s="29" t="s">
        <v>997</v>
      </c>
      <c r="E165" s="76">
        <v>904500</v>
      </c>
      <c r="F165" s="77">
        <f t="shared" si="8"/>
        <v>72360</v>
      </c>
      <c r="G165" s="31">
        <f t="shared" si="9"/>
        <v>976860</v>
      </c>
      <c r="H165" s="74">
        <v>976860</v>
      </c>
      <c r="I165" s="75">
        <f t="shared" si="7"/>
        <v>0</v>
      </c>
      <c r="J165" s="75"/>
      <c r="K165" s="5">
        <v>46086</v>
      </c>
      <c r="Q165" s="9"/>
      <c r="S165" s="3"/>
    </row>
    <row r="166" spans="1:19" ht="15" hidden="1" customHeight="1" x14ac:dyDescent="0.35">
      <c r="A166" s="26" t="s">
        <v>788</v>
      </c>
      <c r="B166" s="27" t="s">
        <v>940</v>
      </c>
      <c r="C166" s="28">
        <v>1244</v>
      </c>
      <c r="D166" s="29">
        <v>46055</v>
      </c>
      <c r="E166" s="76">
        <v>74968480</v>
      </c>
      <c r="F166" s="77">
        <f t="shared" si="8"/>
        <v>5997478.4000000004</v>
      </c>
      <c r="G166" s="31">
        <f t="shared" si="9"/>
        <v>80965958.400000006</v>
      </c>
      <c r="H166" s="74">
        <v>80965958.400000006</v>
      </c>
      <c r="I166" s="75">
        <f t="shared" si="7"/>
        <v>0</v>
      </c>
      <c r="J166" s="75"/>
      <c r="K166" s="5">
        <v>46117</v>
      </c>
      <c r="Q166" s="9"/>
      <c r="S166" s="3"/>
    </row>
    <row r="167" spans="1:19" ht="15" hidden="1" customHeight="1" x14ac:dyDescent="0.35">
      <c r="A167" s="26" t="s">
        <v>789</v>
      </c>
      <c r="B167" s="32" t="s">
        <v>113</v>
      </c>
      <c r="C167" s="28">
        <v>776</v>
      </c>
      <c r="D167" s="29">
        <v>46044</v>
      </c>
      <c r="E167" s="76">
        <v>9121840</v>
      </c>
      <c r="F167" s="77">
        <f t="shared" si="8"/>
        <v>729747.20000000007</v>
      </c>
      <c r="G167" s="31">
        <f t="shared" si="9"/>
        <v>9851587.1999999993</v>
      </c>
      <c r="H167" s="74">
        <v>9851587.1999999993</v>
      </c>
      <c r="I167" s="75">
        <f t="shared" si="7"/>
        <v>0</v>
      </c>
      <c r="J167" s="75"/>
      <c r="K167" s="5">
        <v>46086</v>
      </c>
      <c r="Q167" s="9"/>
      <c r="S167" s="3"/>
    </row>
    <row r="168" spans="1:19" ht="15" hidden="1" customHeight="1" x14ac:dyDescent="0.35">
      <c r="A168" s="26" t="s">
        <v>790</v>
      </c>
      <c r="B168" s="32" t="s">
        <v>941</v>
      </c>
      <c r="C168" s="28"/>
      <c r="D168" s="29" t="s">
        <v>998</v>
      </c>
      <c r="E168" s="76">
        <v>13765780</v>
      </c>
      <c r="F168" s="77">
        <f t="shared" si="8"/>
        <v>1101262.3999999999</v>
      </c>
      <c r="G168" s="31">
        <f t="shared" si="9"/>
        <v>14867042.4</v>
      </c>
      <c r="H168" s="74">
        <v>14867042.4</v>
      </c>
      <c r="I168" s="75">
        <f t="shared" si="7"/>
        <v>0</v>
      </c>
      <c r="J168" s="75"/>
      <c r="K168" s="5">
        <v>46086</v>
      </c>
      <c r="Q168" s="9"/>
      <c r="S168" s="3"/>
    </row>
    <row r="169" spans="1:19" ht="15" hidden="1" customHeight="1" x14ac:dyDescent="0.35">
      <c r="A169" s="26" t="s">
        <v>791</v>
      </c>
      <c r="B169" s="32" t="s">
        <v>942</v>
      </c>
      <c r="C169" s="28"/>
      <c r="D169" s="29" t="s">
        <v>998</v>
      </c>
      <c r="E169" s="76">
        <v>8339080</v>
      </c>
      <c r="F169" s="77">
        <f t="shared" si="8"/>
        <v>667126.4</v>
      </c>
      <c r="G169" s="31">
        <f t="shared" si="9"/>
        <v>9006206.4000000004</v>
      </c>
      <c r="H169" s="74">
        <v>9006206.4000000004</v>
      </c>
      <c r="I169" s="75">
        <f t="shared" si="7"/>
        <v>0</v>
      </c>
      <c r="J169" s="75"/>
      <c r="K169" s="5">
        <v>46086</v>
      </c>
      <c r="Q169" s="9"/>
      <c r="S169" s="3"/>
    </row>
    <row r="170" spans="1:19" ht="15" hidden="1" customHeight="1" x14ac:dyDescent="0.35">
      <c r="A170" s="26" t="s">
        <v>792</v>
      </c>
      <c r="B170" s="32" t="s">
        <v>943</v>
      </c>
      <c r="C170" s="28"/>
      <c r="D170" s="29" t="s">
        <v>998</v>
      </c>
      <c r="E170" s="76">
        <v>2713500</v>
      </c>
      <c r="F170" s="77">
        <f t="shared" si="8"/>
        <v>217080</v>
      </c>
      <c r="G170" s="31">
        <f t="shared" si="9"/>
        <v>2930580</v>
      </c>
      <c r="H170" s="74">
        <v>2930580</v>
      </c>
      <c r="I170" s="75">
        <f t="shared" si="7"/>
        <v>0</v>
      </c>
      <c r="J170" s="75"/>
      <c r="K170" s="5">
        <v>46086</v>
      </c>
      <c r="Q170" s="9"/>
      <c r="S170" s="3"/>
    </row>
    <row r="171" spans="1:19" ht="15" hidden="1" customHeight="1" x14ac:dyDescent="0.35">
      <c r="A171" s="26" t="s">
        <v>793</v>
      </c>
      <c r="B171" s="32" t="s">
        <v>944</v>
      </c>
      <c r="C171" s="28"/>
      <c r="D171" s="29" t="s">
        <v>998</v>
      </c>
      <c r="E171" s="76">
        <v>33222000</v>
      </c>
      <c r="F171" s="77">
        <f t="shared" si="8"/>
        <v>2657760</v>
      </c>
      <c r="G171" s="31">
        <f t="shared" si="9"/>
        <v>35879760</v>
      </c>
      <c r="H171" s="74">
        <v>35879760</v>
      </c>
      <c r="I171" s="75">
        <f t="shared" si="7"/>
        <v>0</v>
      </c>
      <c r="J171" s="75"/>
      <c r="K171" s="5">
        <v>46086</v>
      </c>
      <c r="Q171" s="9"/>
      <c r="S171" s="3"/>
    </row>
    <row r="172" spans="1:19" ht="15" hidden="1" customHeight="1" x14ac:dyDescent="0.35">
      <c r="A172" s="26" t="s">
        <v>794</v>
      </c>
      <c r="B172" s="32" t="s">
        <v>945</v>
      </c>
      <c r="C172" s="28"/>
      <c r="D172" s="29" t="s">
        <v>999</v>
      </c>
      <c r="E172" s="76">
        <v>4307040</v>
      </c>
      <c r="F172" s="77">
        <f t="shared" si="8"/>
        <v>344563.20000000001</v>
      </c>
      <c r="G172" s="31">
        <f t="shared" si="9"/>
        <v>4651603.2</v>
      </c>
      <c r="H172" s="74">
        <v>4651603.2</v>
      </c>
      <c r="I172" s="75">
        <f t="shared" si="7"/>
        <v>0</v>
      </c>
      <c r="J172" s="75"/>
      <c r="K172" s="3"/>
      <c r="L172" s="5">
        <v>46076</v>
      </c>
      <c r="Q172" s="9"/>
      <c r="S172" s="3"/>
    </row>
    <row r="173" spans="1:19" ht="15" hidden="1" customHeight="1" x14ac:dyDescent="0.35">
      <c r="A173" s="26" t="s">
        <v>795</v>
      </c>
      <c r="B173" s="32" t="s">
        <v>946</v>
      </c>
      <c r="C173" s="28"/>
      <c r="D173" s="29" t="s">
        <v>999</v>
      </c>
      <c r="E173" s="76">
        <v>756000</v>
      </c>
      <c r="F173" s="77">
        <f t="shared" si="8"/>
        <v>60480</v>
      </c>
      <c r="G173" s="31">
        <f t="shared" si="9"/>
        <v>816480</v>
      </c>
      <c r="H173" s="74">
        <v>816480</v>
      </c>
      <c r="I173" s="75">
        <f t="shared" si="7"/>
        <v>0</v>
      </c>
      <c r="J173" s="75"/>
      <c r="L173" s="5">
        <v>46086</v>
      </c>
      <c r="Q173" s="9"/>
      <c r="S173" s="3"/>
    </row>
    <row r="174" spans="1:19" ht="15" hidden="1" customHeight="1" x14ac:dyDescent="0.35">
      <c r="A174" s="26" t="s">
        <v>796</v>
      </c>
      <c r="B174" s="32" t="s">
        <v>947</v>
      </c>
      <c r="C174" s="28">
        <v>775</v>
      </c>
      <c r="D174" s="29">
        <v>46044</v>
      </c>
      <c r="E174" s="76">
        <v>9561880</v>
      </c>
      <c r="F174" s="77">
        <f t="shared" si="8"/>
        <v>764950.4</v>
      </c>
      <c r="G174" s="31">
        <f t="shared" si="9"/>
        <v>10326830.4</v>
      </c>
      <c r="H174" s="74">
        <v>10326830.4</v>
      </c>
      <c r="I174" s="75">
        <f t="shared" si="7"/>
        <v>0</v>
      </c>
      <c r="J174" s="75"/>
      <c r="K174" s="5">
        <v>46086</v>
      </c>
      <c r="Q174" s="9"/>
      <c r="S174" s="3"/>
    </row>
    <row r="175" spans="1:19" ht="15" hidden="1" customHeight="1" x14ac:dyDescent="0.35">
      <c r="A175" s="26" t="s">
        <v>797</v>
      </c>
      <c r="B175" s="32" t="s">
        <v>948</v>
      </c>
      <c r="C175" s="28"/>
      <c r="D175" s="29" t="s">
        <v>999</v>
      </c>
      <c r="E175" s="76">
        <v>1380000</v>
      </c>
      <c r="F175" s="77">
        <f t="shared" si="8"/>
        <v>110400</v>
      </c>
      <c r="G175" s="31">
        <f t="shared" si="9"/>
        <v>1490400</v>
      </c>
      <c r="H175" s="74">
        <v>1490400</v>
      </c>
      <c r="I175" s="75">
        <f t="shared" si="7"/>
        <v>0</v>
      </c>
      <c r="J175" s="75"/>
      <c r="K175" s="5">
        <v>46086</v>
      </c>
      <c r="Q175" s="9"/>
      <c r="S175" s="3"/>
    </row>
    <row r="176" spans="1:19" ht="15" hidden="1" customHeight="1" x14ac:dyDescent="0.35">
      <c r="A176" s="26" t="s">
        <v>798</v>
      </c>
      <c r="B176" s="32" t="s">
        <v>949</v>
      </c>
      <c r="C176" s="28"/>
      <c r="D176" s="29" t="s">
        <v>999</v>
      </c>
      <c r="E176" s="76">
        <v>30850600</v>
      </c>
      <c r="F176" s="77">
        <f t="shared" si="8"/>
        <v>2468048</v>
      </c>
      <c r="G176" s="31">
        <f t="shared" si="9"/>
        <v>33318648</v>
      </c>
      <c r="H176" s="74">
        <v>33318648</v>
      </c>
      <c r="I176" s="75">
        <f t="shared" si="7"/>
        <v>0</v>
      </c>
      <c r="J176" s="75"/>
      <c r="K176" s="5">
        <v>46086</v>
      </c>
      <c r="Q176" s="9"/>
      <c r="S176" s="3"/>
    </row>
    <row r="177" spans="1:19" ht="15" hidden="1" customHeight="1" x14ac:dyDescent="0.35">
      <c r="A177" s="26" t="s">
        <v>799</v>
      </c>
      <c r="B177" s="32" t="s">
        <v>950</v>
      </c>
      <c r="C177" s="28"/>
      <c r="D177" s="29" t="s">
        <v>999</v>
      </c>
      <c r="E177" s="76">
        <v>3200000</v>
      </c>
      <c r="F177" s="77">
        <f t="shared" si="8"/>
        <v>256000</v>
      </c>
      <c r="G177" s="31">
        <f t="shared" si="9"/>
        <v>3456000</v>
      </c>
      <c r="H177" s="74">
        <v>3456000</v>
      </c>
      <c r="I177" s="75">
        <f t="shared" si="7"/>
        <v>0</v>
      </c>
      <c r="J177" s="75"/>
      <c r="K177" s="5">
        <v>46086</v>
      </c>
      <c r="Q177" s="9"/>
      <c r="S177" s="3"/>
    </row>
    <row r="178" spans="1:19" ht="15" hidden="1" customHeight="1" x14ac:dyDescent="0.35">
      <c r="A178" s="26" t="s">
        <v>800</v>
      </c>
      <c r="B178" s="32" t="s">
        <v>951</v>
      </c>
      <c r="C178" s="28"/>
      <c r="D178" s="29" t="s">
        <v>999</v>
      </c>
      <c r="E178" s="76">
        <v>936000</v>
      </c>
      <c r="F178" s="77">
        <f t="shared" si="8"/>
        <v>74880</v>
      </c>
      <c r="G178" s="31">
        <f t="shared" si="9"/>
        <v>1010880</v>
      </c>
      <c r="H178" s="74">
        <v>1010880</v>
      </c>
      <c r="I178" s="75">
        <f t="shared" si="7"/>
        <v>0</v>
      </c>
      <c r="J178" s="75"/>
      <c r="K178" s="5">
        <v>46086</v>
      </c>
      <c r="Q178" s="9"/>
      <c r="S178" s="3"/>
    </row>
    <row r="179" spans="1:19" ht="15" hidden="1" customHeight="1" x14ac:dyDescent="0.35">
      <c r="A179" s="26" t="s">
        <v>801</v>
      </c>
      <c r="B179" s="32" t="s">
        <v>952</v>
      </c>
      <c r="C179" s="28"/>
      <c r="D179" s="29" t="s">
        <v>999</v>
      </c>
      <c r="E179" s="76">
        <v>1019520</v>
      </c>
      <c r="F179" s="77">
        <f t="shared" si="8"/>
        <v>81561.600000000006</v>
      </c>
      <c r="G179" s="31">
        <f t="shared" si="9"/>
        <v>1101081.6000000001</v>
      </c>
      <c r="H179" s="74">
        <v>1101081.6000000001</v>
      </c>
      <c r="I179" s="75">
        <f t="shared" si="7"/>
        <v>0</v>
      </c>
      <c r="J179" s="75"/>
      <c r="L179" s="5">
        <v>46086</v>
      </c>
      <c r="Q179" s="9"/>
      <c r="S179" s="3"/>
    </row>
    <row r="180" spans="1:19" ht="15" hidden="1" customHeight="1" x14ac:dyDescent="0.35">
      <c r="A180" s="26" t="s">
        <v>802</v>
      </c>
      <c r="B180" s="32" t="s">
        <v>114</v>
      </c>
      <c r="C180" s="28"/>
      <c r="D180" s="29" t="s">
        <v>999</v>
      </c>
      <c r="E180" s="76">
        <v>756000</v>
      </c>
      <c r="F180" s="77">
        <f t="shared" si="8"/>
        <v>60480</v>
      </c>
      <c r="G180" s="31">
        <f t="shared" si="9"/>
        <v>816480</v>
      </c>
      <c r="H180" s="74">
        <v>816480</v>
      </c>
      <c r="I180" s="75">
        <f t="shared" si="7"/>
        <v>0</v>
      </c>
      <c r="J180" s="75"/>
      <c r="L180" s="5">
        <v>46086</v>
      </c>
      <c r="Q180" s="9"/>
      <c r="S180" s="3"/>
    </row>
    <row r="181" spans="1:19" ht="15" hidden="1" customHeight="1" x14ac:dyDescent="0.35">
      <c r="A181" s="26" t="s">
        <v>803</v>
      </c>
      <c r="B181" s="32" t="s">
        <v>953</v>
      </c>
      <c r="C181" s="28"/>
      <c r="D181" s="29" t="s">
        <v>1000</v>
      </c>
      <c r="E181" s="76">
        <v>1019520</v>
      </c>
      <c r="F181" s="77">
        <f t="shared" si="8"/>
        <v>81561.600000000006</v>
      </c>
      <c r="G181" s="31">
        <f t="shared" si="9"/>
        <v>1101081.6000000001</v>
      </c>
      <c r="H181" s="74">
        <v>1101081.6000000001</v>
      </c>
      <c r="I181" s="75">
        <f t="shared" si="7"/>
        <v>0</v>
      </c>
      <c r="J181" s="75"/>
      <c r="L181" s="5">
        <v>46086</v>
      </c>
      <c r="Q181" s="9"/>
      <c r="S181" s="3"/>
    </row>
    <row r="182" spans="1:19" ht="15" hidden="1" customHeight="1" x14ac:dyDescent="0.35">
      <c r="A182" s="26" t="s">
        <v>804</v>
      </c>
      <c r="B182" s="32" t="s">
        <v>954</v>
      </c>
      <c r="C182" s="28"/>
      <c r="D182" s="29" t="s">
        <v>1000</v>
      </c>
      <c r="E182" s="76">
        <v>756000</v>
      </c>
      <c r="F182" s="77">
        <f t="shared" si="8"/>
        <v>60480</v>
      </c>
      <c r="G182" s="31">
        <f t="shared" si="9"/>
        <v>816480</v>
      </c>
      <c r="H182" s="74">
        <v>816480</v>
      </c>
      <c r="I182" s="75">
        <f t="shared" si="7"/>
        <v>0</v>
      </c>
      <c r="J182" s="75"/>
      <c r="L182" s="5">
        <v>46086</v>
      </c>
      <c r="Q182" s="9"/>
      <c r="S182" s="3"/>
    </row>
    <row r="183" spans="1:19" ht="15" hidden="1" customHeight="1" x14ac:dyDescent="0.35">
      <c r="A183" s="26" t="s">
        <v>805</v>
      </c>
      <c r="B183" s="32" t="s">
        <v>955</v>
      </c>
      <c r="C183" s="28"/>
      <c r="D183" s="29" t="s">
        <v>1000</v>
      </c>
      <c r="E183" s="76">
        <v>756000</v>
      </c>
      <c r="F183" s="77">
        <f t="shared" si="8"/>
        <v>60480</v>
      </c>
      <c r="G183" s="31">
        <f t="shared" si="9"/>
        <v>816480</v>
      </c>
      <c r="H183" s="74">
        <v>816480</v>
      </c>
      <c r="I183" s="75">
        <f t="shared" si="7"/>
        <v>0</v>
      </c>
      <c r="J183" s="75"/>
      <c r="L183" s="5">
        <v>46086</v>
      </c>
      <c r="Q183" s="9"/>
      <c r="S183" s="3"/>
    </row>
    <row r="184" spans="1:19" ht="15" hidden="1" customHeight="1" x14ac:dyDescent="0.35">
      <c r="A184" s="26" t="s">
        <v>806</v>
      </c>
      <c r="B184" s="32" t="s">
        <v>956</v>
      </c>
      <c r="C184" s="28"/>
      <c r="D184" s="29" t="s">
        <v>1000</v>
      </c>
      <c r="E184" s="76">
        <v>756000</v>
      </c>
      <c r="F184" s="77">
        <f t="shared" si="8"/>
        <v>60480</v>
      </c>
      <c r="G184" s="31">
        <f t="shared" si="9"/>
        <v>816480</v>
      </c>
      <c r="H184" s="74">
        <v>816480</v>
      </c>
      <c r="I184" s="75">
        <f t="shared" si="7"/>
        <v>0</v>
      </c>
      <c r="J184" s="75"/>
      <c r="L184" s="5">
        <v>46086</v>
      </c>
      <c r="Q184" s="9"/>
      <c r="S184" s="3"/>
    </row>
    <row r="185" spans="1:19" ht="15" hidden="1" customHeight="1" x14ac:dyDescent="0.35">
      <c r="A185" s="26" t="s">
        <v>807</v>
      </c>
      <c r="B185" s="32" t="s">
        <v>115</v>
      </c>
      <c r="C185" s="28"/>
      <c r="D185" s="29" t="s">
        <v>1000</v>
      </c>
      <c r="E185" s="76">
        <v>756000</v>
      </c>
      <c r="F185" s="77">
        <f t="shared" si="8"/>
        <v>60480</v>
      </c>
      <c r="G185" s="31">
        <f t="shared" si="9"/>
        <v>816480</v>
      </c>
      <c r="H185" s="74">
        <v>816480</v>
      </c>
      <c r="I185" s="75">
        <f t="shared" si="7"/>
        <v>0</v>
      </c>
      <c r="J185" s="75"/>
      <c r="L185" s="5">
        <v>46086</v>
      </c>
      <c r="Q185" s="9"/>
      <c r="S185" s="3"/>
    </row>
    <row r="186" spans="1:19" ht="15" hidden="1" customHeight="1" x14ac:dyDescent="0.35">
      <c r="A186" s="26" t="s">
        <v>808</v>
      </c>
      <c r="B186" s="32" t="s">
        <v>957</v>
      </c>
      <c r="C186" s="28"/>
      <c r="D186" s="29" t="s">
        <v>1000</v>
      </c>
      <c r="E186" s="76">
        <v>1019520</v>
      </c>
      <c r="F186" s="77">
        <f t="shared" si="8"/>
        <v>81561.600000000006</v>
      </c>
      <c r="G186" s="31">
        <f t="shared" si="9"/>
        <v>1101081.6000000001</v>
      </c>
      <c r="H186" s="74">
        <v>1101081.6000000001</v>
      </c>
      <c r="I186" s="75">
        <f t="shared" si="7"/>
        <v>0</v>
      </c>
      <c r="J186" s="75"/>
      <c r="L186" s="5">
        <v>46086</v>
      </c>
      <c r="Q186" s="9"/>
      <c r="S186" s="3"/>
    </row>
    <row r="187" spans="1:19" ht="15" hidden="1" customHeight="1" x14ac:dyDescent="0.35">
      <c r="A187" s="26" t="s">
        <v>809</v>
      </c>
      <c r="B187" s="32" t="s">
        <v>958</v>
      </c>
      <c r="C187" s="28"/>
      <c r="D187" s="29" t="s">
        <v>1000</v>
      </c>
      <c r="E187" s="76">
        <v>756000</v>
      </c>
      <c r="F187" s="77">
        <f t="shared" si="8"/>
        <v>60480</v>
      </c>
      <c r="G187" s="31">
        <f t="shared" si="9"/>
        <v>816480</v>
      </c>
      <c r="H187" s="74">
        <v>816480</v>
      </c>
      <c r="I187" s="75">
        <f t="shared" si="7"/>
        <v>0</v>
      </c>
      <c r="J187" s="75"/>
      <c r="L187" s="5">
        <v>46086</v>
      </c>
      <c r="Q187" s="9"/>
      <c r="S187" s="3"/>
    </row>
    <row r="188" spans="1:19" ht="15" hidden="1" customHeight="1" x14ac:dyDescent="0.35">
      <c r="A188" s="26" t="s">
        <v>810</v>
      </c>
      <c r="B188" s="32" t="s">
        <v>959</v>
      </c>
      <c r="C188" s="28"/>
      <c r="D188" s="29" t="s">
        <v>1000</v>
      </c>
      <c r="E188" s="76">
        <v>756000</v>
      </c>
      <c r="F188" s="77">
        <f t="shared" si="8"/>
        <v>60480</v>
      </c>
      <c r="G188" s="31">
        <f t="shared" si="9"/>
        <v>816480</v>
      </c>
      <c r="H188" s="74">
        <v>816480</v>
      </c>
      <c r="I188" s="75">
        <f t="shared" si="7"/>
        <v>0</v>
      </c>
      <c r="J188" s="75"/>
      <c r="L188" s="5">
        <v>46086</v>
      </c>
      <c r="Q188" s="9"/>
      <c r="S188" s="3"/>
    </row>
    <row r="189" spans="1:19" ht="15" hidden="1" customHeight="1" x14ac:dyDescent="0.35">
      <c r="A189" s="26" t="s">
        <v>811</v>
      </c>
      <c r="B189" s="32" t="s">
        <v>960</v>
      </c>
      <c r="C189" s="28"/>
      <c r="D189" s="29" t="s">
        <v>1000</v>
      </c>
      <c r="E189" s="76">
        <v>756000</v>
      </c>
      <c r="F189" s="77">
        <f t="shared" si="8"/>
        <v>60480</v>
      </c>
      <c r="G189" s="31">
        <f t="shared" si="9"/>
        <v>816480</v>
      </c>
      <c r="H189" s="74">
        <v>816480</v>
      </c>
      <c r="I189" s="75">
        <f t="shared" si="7"/>
        <v>0</v>
      </c>
      <c r="J189" s="75"/>
      <c r="L189" s="5">
        <v>46086</v>
      </c>
      <c r="Q189" s="9"/>
      <c r="S189" s="3"/>
    </row>
    <row r="190" spans="1:19" ht="15" hidden="1" customHeight="1" x14ac:dyDescent="0.35">
      <c r="A190" s="26" t="s">
        <v>812</v>
      </c>
      <c r="B190" s="32" t="s">
        <v>116</v>
      </c>
      <c r="C190" s="28"/>
      <c r="D190" s="29" t="s">
        <v>1000</v>
      </c>
      <c r="E190" s="76">
        <v>756000</v>
      </c>
      <c r="F190" s="77">
        <f t="shared" si="8"/>
        <v>60480</v>
      </c>
      <c r="G190" s="31">
        <f t="shared" si="9"/>
        <v>816480</v>
      </c>
      <c r="H190" s="74">
        <v>816480</v>
      </c>
      <c r="I190" s="75">
        <f t="shared" si="7"/>
        <v>0</v>
      </c>
      <c r="J190" s="75"/>
      <c r="L190" s="5">
        <v>46086</v>
      </c>
      <c r="Q190" s="9"/>
      <c r="S190" s="3"/>
    </row>
    <row r="191" spans="1:19" ht="15" hidden="1" customHeight="1" x14ac:dyDescent="0.35">
      <c r="A191" s="26" t="s">
        <v>813</v>
      </c>
      <c r="B191" s="32" t="s">
        <v>117</v>
      </c>
      <c r="C191" s="28"/>
      <c r="D191" s="29" t="s">
        <v>1000</v>
      </c>
      <c r="E191" s="76">
        <v>1019520</v>
      </c>
      <c r="F191" s="77">
        <f t="shared" si="8"/>
        <v>81561.600000000006</v>
      </c>
      <c r="G191" s="31">
        <f t="shared" si="9"/>
        <v>1101081.6000000001</v>
      </c>
      <c r="H191" s="74">
        <v>1101081.6000000001</v>
      </c>
      <c r="I191" s="75">
        <f t="shared" si="7"/>
        <v>0</v>
      </c>
      <c r="J191" s="75"/>
      <c r="L191" s="5">
        <v>46086</v>
      </c>
      <c r="Q191" s="9"/>
      <c r="S191" s="3"/>
    </row>
    <row r="192" spans="1:19" ht="15" hidden="1" customHeight="1" x14ac:dyDescent="0.35">
      <c r="A192" s="26" t="s">
        <v>814</v>
      </c>
      <c r="B192" s="32" t="s">
        <v>118</v>
      </c>
      <c r="C192" s="28"/>
      <c r="D192" s="29" t="s">
        <v>1000</v>
      </c>
      <c r="E192" s="76">
        <v>756000</v>
      </c>
      <c r="F192" s="77">
        <f t="shared" si="8"/>
        <v>60480</v>
      </c>
      <c r="G192" s="31">
        <f t="shared" si="9"/>
        <v>816480</v>
      </c>
      <c r="H192" s="74">
        <v>816480</v>
      </c>
      <c r="I192" s="75">
        <f t="shared" si="7"/>
        <v>0</v>
      </c>
      <c r="J192" s="75"/>
      <c r="L192" s="5">
        <v>46086</v>
      </c>
      <c r="Q192" s="9"/>
      <c r="S192" s="3"/>
    </row>
    <row r="193" spans="1:19" ht="15" hidden="1" customHeight="1" x14ac:dyDescent="0.35">
      <c r="A193" s="26" t="s">
        <v>815</v>
      </c>
      <c r="B193" s="32" t="s">
        <v>119</v>
      </c>
      <c r="C193" s="28"/>
      <c r="D193" s="29" t="s">
        <v>1000</v>
      </c>
      <c r="E193" s="76">
        <v>4000000</v>
      </c>
      <c r="F193" s="77">
        <f t="shared" si="8"/>
        <v>320000</v>
      </c>
      <c r="G193" s="31">
        <f t="shared" si="9"/>
        <v>4320000</v>
      </c>
      <c r="H193" s="74">
        <v>4320000</v>
      </c>
      <c r="I193" s="75">
        <f t="shared" ref="I193:I256" si="10">G193-H193</f>
        <v>0</v>
      </c>
      <c r="J193" s="75"/>
      <c r="K193" s="5">
        <v>46086</v>
      </c>
      <c r="Q193" s="9"/>
      <c r="S193" s="3"/>
    </row>
    <row r="194" spans="1:19" ht="15" hidden="1" customHeight="1" x14ac:dyDescent="0.35">
      <c r="A194" s="26" t="s">
        <v>816</v>
      </c>
      <c r="B194" s="32" t="s">
        <v>120</v>
      </c>
      <c r="C194" s="28"/>
      <c r="D194" s="29" t="s">
        <v>1001</v>
      </c>
      <c r="E194" s="76">
        <v>29208400</v>
      </c>
      <c r="F194" s="77">
        <f t="shared" ref="F194:F257" si="11">+E194*0.08</f>
        <v>2336672</v>
      </c>
      <c r="G194" s="31">
        <f t="shared" si="9"/>
        <v>31545072</v>
      </c>
      <c r="H194" s="74">
        <v>31545072</v>
      </c>
      <c r="I194" s="75">
        <f t="shared" si="10"/>
        <v>0</v>
      </c>
      <c r="J194" s="75"/>
      <c r="K194" s="5">
        <v>46086</v>
      </c>
      <c r="Q194" s="9"/>
      <c r="S194" s="3"/>
    </row>
    <row r="195" spans="1:19" ht="15" hidden="1" customHeight="1" x14ac:dyDescent="0.35">
      <c r="A195" s="26" t="s">
        <v>817</v>
      </c>
      <c r="B195" s="32" t="s">
        <v>121</v>
      </c>
      <c r="C195" s="28"/>
      <c r="D195" s="29" t="s">
        <v>1001</v>
      </c>
      <c r="E195" s="76">
        <v>212120000</v>
      </c>
      <c r="F195" s="77">
        <f t="shared" si="11"/>
        <v>16969600</v>
      </c>
      <c r="G195" s="31">
        <f t="shared" si="9"/>
        <v>229089600</v>
      </c>
      <c r="H195" s="74">
        <v>229089600</v>
      </c>
      <c r="I195" s="75">
        <f t="shared" si="10"/>
        <v>0</v>
      </c>
      <c r="J195" s="75"/>
      <c r="K195" s="5">
        <v>46086</v>
      </c>
      <c r="Q195" s="9"/>
      <c r="S195" s="3"/>
    </row>
    <row r="196" spans="1:19" ht="15" hidden="1" customHeight="1" x14ac:dyDescent="0.35">
      <c r="A196" s="26" t="s">
        <v>818</v>
      </c>
      <c r="B196" s="32" t="s">
        <v>961</v>
      </c>
      <c r="C196" s="28"/>
      <c r="D196" s="29" t="s">
        <v>1001</v>
      </c>
      <c r="E196" s="76">
        <v>3600000</v>
      </c>
      <c r="F196" s="77">
        <f t="shared" si="11"/>
        <v>288000</v>
      </c>
      <c r="G196" s="31">
        <f t="shared" si="9"/>
        <v>3888000</v>
      </c>
      <c r="H196" s="74">
        <v>3888000</v>
      </c>
      <c r="I196" s="75">
        <f t="shared" si="10"/>
        <v>0</v>
      </c>
      <c r="J196" s="75"/>
      <c r="K196" s="5">
        <v>46117</v>
      </c>
      <c r="Q196" s="9"/>
      <c r="S196" s="3"/>
    </row>
    <row r="197" spans="1:19" ht="15" hidden="1" customHeight="1" x14ac:dyDescent="0.35">
      <c r="A197" s="26" t="s">
        <v>819</v>
      </c>
      <c r="B197" s="32" t="s">
        <v>962</v>
      </c>
      <c r="C197" s="28"/>
      <c r="D197" s="29" t="s">
        <v>1001</v>
      </c>
      <c r="E197" s="76">
        <v>46545000</v>
      </c>
      <c r="F197" s="77">
        <f t="shared" si="11"/>
        <v>3723600</v>
      </c>
      <c r="G197" s="31">
        <f t="shared" si="9"/>
        <v>50268600</v>
      </c>
      <c r="H197" s="74">
        <v>50268600</v>
      </c>
      <c r="I197" s="75">
        <f t="shared" si="10"/>
        <v>0</v>
      </c>
      <c r="J197" s="75"/>
      <c r="K197" s="5">
        <v>46086</v>
      </c>
      <c r="Q197" s="9"/>
      <c r="S197" s="3"/>
    </row>
    <row r="198" spans="1:19" ht="15" hidden="1" customHeight="1" x14ac:dyDescent="0.35">
      <c r="A198" s="26" t="s">
        <v>820</v>
      </c>
      <c r="B198" s="32" t="s">
        <v>963</v>
      </c>
      <c r="C198" s="28"/>
      <c r="D198" s="29" t="s">
        <v>1001</v>
      </c>
      <c r="E198" s="76">
        <v>16000000</v>
      </c>
      <c r="F198" s="77">
        <f t="shared" si="11"/>
        <v>1280000</v>
      </c>
      <c r="G198" s="31">
        <f t="shared" si="9"/>
        <v>17280000</v>
      </c>
      <c r="H198" s="74">
        <v>17280000</v>
      </c>
      <c r="I198" s="75">
        <f t="shared" si="10"/>
        <v>0</v>
      </c>
      <c r="J198" s="75"/>
      <c r="K198" s="5">
        <v>46086</v>
      </c>
      <c r="Q198" s="9"/>
      <c r="S198" s="3"/>
    </row>
    <row r="199" spans="1:19" ht="15" hidden="1" customHeight="1" x14ac:dyDescent="0.35">
      <c r="A199" s="26" t="s">
        <v>821</v>
      </c>
      <c r="B199" s="32" t="s">
        <v>964</v>
      </c>
      <c r="C199" s="28"/>
      <c r="D199" s="29" t="s">
        <v>1002</v>
      </c>
      <c r="E199" s="76">
        <v>3551040</v>
      </c>
      <c r="F199" s="77">
        <f t="shared" si="11"/>
        <v>284083.20000000001</v>
      </c>
      <c r="G199" s="31">
        <f t="shared" si="9"/>
        <v>3835123.2</v>
      </c>
      <c r="H199" s="74">
        <v>3835123.2</v>
      </c>
      <c r="I199" s="75">
        <f t="shared" si="10"/>
        <v>0</v>
      </c>
      <c r="J199" s="75"/>
      <c r="L199" s="5">
        <v>46086</v>
      </c>
      <c r="Q199" s="9"/>
      <c r="S199" s="3"/>
    </row>
    <row r="200" spans="1:19" ht="15" hidden="1" customHeight="1" x14ac:dyDescent="0.35">
      <c r="A200" s="26" t="s">
        <v>822</v>
      </c>
      <c r="B200" s="32" t="s">
        <v>965</v>
      </c>
      <c r="C200" s="28"/>
      <c r="D200" s="29" t="s">
        <v>1002</v>
      </c>
      <c r="E200" s="76">
        <v>4010000</v>
      </c>
      <c r="F200" s="77">
        <f t="shared" si="11"/>
        <v>320800</v>
      </c>
      <c r="G200" s="31">
        <f t="shared" si="9"/>
        <v>4330800</v>
      </c>
      <c r="H200" s="74">
        <v>4330800</v>
      </c>
      <c r="I200" s="75">
        <f t="shared" si="10"/>
        <v>0</v>
      </c>
      <c r="J200" s="75"/>
      <c r="K200" s="5">
        <v>46117</v>
      </c>
      <c r="Q200" s="9"/>
      <c r="S200" s="3"/>
    </row>
    <row r="201" spans="1:19" ht="15" hidden="1" customHeight="1" x14ac:dyDescent="0.35">
      <c r="A201" s="26" t="s">
        <v>823</v>
      </c>
      <c r="B201" s="32" t="s">
        <v>966</v>
      </c>
      <c r="C201" s="28"/>
      <c r="D201" s="29" t="s">
        <v>1002</v>
      </c>
      <c r="E201" s="76">
        <v>9195000</v>
      </c>
      <c r="F201" s="77">
        <f t="shared" si="11"/>
        <v>735600</v>
      </c>
      <c r="G201" s="31">
        <f t="shared" si="9"/>
        <v>9930600</v>
      </c>
      <c r="H201" s="74">
        <v>9930600</v>
      </c>
      <c r="I201" s="75">
        <f t="shared" si="10"/>
        <v>0</v>
      </c>
      <c r="J201" s="75"/>
      <c r="K201" s="5">
        <v>46086</v>
      </c>
      <c r="Q201" s="9"/>
      <c r="S201" s="3"/>
    </row>
    <row r="202" spans="1:19" ht="15" hidden="1" customHeight="1" x14ac:dyDescent="0.35">
      <c r="A202" s="26" t="s">
        <v>824</v>
      </c>
      <c r="B202" s="32" t="s">
        <v>967</v>
      </c>
      <c r="C202" s="28"/>
      <c r="D202" s="29" t="s">
        <v>1002</v>
      </c>
      <c r="E202" s="76">
        <v>7245000</v>
      </c>
      <c r="F202" s="77">
        <f t="shared" si="11"/>
        <v>579600</v>
      </c>
      <c r="G202" s="31">
        <f t="shared" si="9"/>
        <v>7824600</v>
      </c>
      <c r="H202" s="74">
        <v>7824600</v>
      </c>
      <c r="I202" s="75">
        <f t="shared" si="10"/>
        <v>0</v>
      </c>
      <c r="J202" s="75"/>
      <c r="K202" s="5">
        <v>46086</v>
      </c>
      <c r="Q202" s="9"/>
      <c r="S202" s="3"/>
    </row>
    <row r="203" spans="1:19" ht="15" hidden="1" customHeight="1" x14ac:dyDescent="0.35">
      <c r="A203" s="26" t="s">
        <v>825</v>
      </c>
      <c r="B203" s="32" t="s">
        <v>968</v>
      </c>
      <c r="C203" s="28"/>
      <c r="D203" s="29" t="s">
        <v>1002</v>
      </c>
      <c r="E203" s="76">
        <v>11630000</v>
      </c>
      <c r="F203" s="77">
        <f t="shared" si="11"/>
        <v>930400</v>
      </c>
      <c r="G203" s="31">
        <f t="shared" si="9"/>
        <v>12560400</v>
      </c>
      <c r="H203" s="74">
        <v>12560400</v>
      </c>
      <c r="I203" s="75">
        <f t="shared" si="10"/>
        <v>0</v>
      </c>
      <c r="J203" s="75"/>
      <c r="K203" s="5">
        <v>46086</v>
      </c>
      <c r="Q203" s="9"/>
      <c r="S203" s="3"/>
    </row>
    <row r="204" spans="1:19" ht="15" hidden="1" customHeight="1" x14ac:dyDescent="0.35">
      <c r="A204" s="26" t="s">
        <v>826</v>
      </c>
      <c r="B204" s="32" t="s">
        <v>969</v>
      </c>
      <c r="C204" s="28">
        <v>1242</v>
      </c>
      <c r="D204" s="29">
        <v>46055</v>
      </c>
      <c r="E204" s="76">
        <v>3130000</v>
      </c>
      <c r="F204" s="77">
        <f t="shared" si="11"/>
        <v>250400</v>
      </c>
      <c r="G204" s="31">
        <f t="shared" si="9"/>
        <v>3380400</v>
      </c>
      <c r="H204" s="74">
        <v>3380400</v>
      </c>
      <c r="I204" s="75">
        <f t="shared" si="10"/>
        <v>0</v>
      </c>
      <c r="J204" s="75"/>
      <c r="K204" s="5">
        <v>46117</v>
      </c>
      <c r="Q204" s="9"/>
      <c r="S204" s="3"/>
    </row>
    <row r="205" spans="1:19" ht="15" hidden="1" customHeight="1" x14ac:dyDescent="0.35">
      <c r="A205" s="26" t="s">
        <v>827</v>
      </c>
      <c r="B205" s="32" t="s">
        <v>970</v>
      </c>
      <c r="C205" s="28"/>
      <c r="D205" s="29" t="s">
        <v>1002</v>
      </c>
      <c r="E205" s="76">
        <v>1630000</v>
      </c>
      <c r="F205" s="77">
        <f t="shared" si="11"/>
        <v>130400</v>
      </c>
      <c r="G205" s="31">
        <f t="shared" si="9"/>
        <v>1760400</v>
      </c>
      <c r="H205" s="74">
        <v>1760400</v>
      </c>
      <c r="I205" s="75">
        <f t="shared" si="10"/>
        <v>0</v>
      </c>
      <c r="J205" s="75"/>
      <c r="K205" s="5">
        <v>46086</v>
      </c>
      <c r="Q205" s="9"/>
      <c r="S205" s="3"/>
    </row>
    <row r="206" spans="1:19" ht="15" hidden="1" customHeight="1" x14ac:dyDescent="0.35">
      <c r="A206" s="26" t="s">
        <v>828</v>
      </c>
      <c r="B206" s="32" t="s">
        <v>971</v>
      </c>
      <c r="C206" s="28">
        <v>1241</v>
      </c>
      <c r="D206" s="29">
        <v>46055</v>
      </c>
      <c r="E206" s="76">
        <v>9005760</v>
      </c>
      <c r="F206" s="77">
        <f t="shared" si="11"/>
        <v>720460.80000000005</v>
      </c>
      <c r="G206" s="31">
        <f t="shared" ref="G206:G269" si="12">+F206+E206</f>
        <v>9726220.8000000007</v>
      </c>
      <c r="H206" s="74">
        <v>9726220.8000000007</v>
      </c>
      <c r="I206" s="75">
        <f t="shared" si="10"/>
        <v>0</v>
      </c>
      <c r="J206" s="75"/>
      <c r="K206" s="5">
        <v>46117</v>
      </c>
      <c r="Q206" s="9"/>
      <c r="S206" s="3"/>
    </row>
    <row r="207" spans="1:19" ht="15" hidden="1" customHeight="1" x14ac:dyDescent="0.35">
      <c r="A207" s="26" t="s">
        <v>829</v>
      </c>
      <c r="B207" s="32" t="s">
        <v>972</v>
      </c>
      <c r="C207" s="28"/>
      <c r="D207" s="29" t="s">
        <v>1002</v>
      </c>
      <c r="E207" s="76">
        <v>3720000</v>
      </c>
      <c r="F207" s="77">
        <f t="shared" si="11"/>
        <v>297600</v>
      </c>
      <c r="G207" s="31">
        <f t="shared" si="12"/>
        <v>4017600</v>
      </c>
      <c r="H207" s="74">
        <v>4017600</v>
      </c>
      <c r="I207" s="75">
        <f t="shared" si="10"/>
        <v>0</v>
      </c>
      <c r="J207" s="75"/>
      <c r="K207" s="5">
        <v>46086</v>
      </c>
      <c r="Q207" s="9"/>
      <c r="S207" s="3"/>
    </row>
    <row r="208" spans="1:19" ht="15" hidden="1" customHeight="1" x14ac:dyDescent="0.35">
      <c r="A208" s="26" t="s">
        <v>830</v>
      </c>
      <c r="B208" s="32" t="s">
        <v>973</v>
      </c>
      <c r="C208" s="28"/>
      <c r="D208" s="29" t="s">
        <v>1002</v>
      </c>
      <c r="E208" s="76">
        <v>5821200</v>
      </c>
      <c r="F208" s="77">
        <f t="shared" si="11"/>
        <v>465696</v>
      </c>
      <c r="G208" s="31">
        <f t="shared" si="12"/>
        <v>6286896</v>
      </c>
      <c r="H208" s="74">
        <v>6286896</v>
      </c>
      <c r="I208" s="75">
        <f t="shared" si="10"/>
        <v>0</v>
      </c>
      <c r="J208" s="75"/>
      <c r="K208" s="5">
        <v>46086</v>
      </c>
      <c r="Q208" s="9"/>
      <c r="S208" s="3"/>
    </row>
    <row r="209" spans="1:19" ht="15" hidden="1" customHeight="1" x14ac:dyDescent="0.35">
      <c r="A209" s="26" t="s">
        <v>831</v>
      </c>
      <c r="B209" s="32" t="s">
        <v>974</v>
      </c>
      <c r="C209" s="28">
        <v>1154</v>
      </c>
      <c r="D209" s="29">
        <v>46052</v>
      </c>
      <c r="E209" s="76">
        <v>17657400</v>
      </c>
      <c r="F209" s="77">
        <f t="shared" si="11"/>
        <v>1412592</v>
      </c>
      <c r="G209" s="31">
        <f t="shared" si="12"/>
        <v>19069992</v>
      </c>
      <c r="H209" s="74">
        <v>19069992</v>
      </c>
      <c r="I209" s="75">
        <f t="shared" si="10"/>
        <v>0</v>
      </c>
      <c r="J209" s="75"/>
      <c r="K209" s="5">
        <v>46117</v>
      </c>
      <c r="Q209" s="9"/>
      <c r="S209" s="3"/>
    </row>
    <row r="210" spans="1:19" ht="15" hidden="1" customHeight="1" x14ac:dyDescent="0.35">
      <c r="A210" s="26" t="s">
        <v>832</v>
      </c>
      <c r="B210" s="32" t="s">
        <v>975</v>
      </c>
      <c r="C210" s="28"/>
      <c r="D210" s="29" t="s">
        <v>1002</v>
      </c>
      <c r="E210" s="76">
        <v>1005000</v>
      </c>
      <c r="F210" s="77">
        <f t="shared" si="11"/>
        <v>80400</v>
      </c>
      <c r="G210" s="31">
        <f t="shared" si="12"/>
        <v>1085400</v>
      </c>
      <c r="H210" s="74">
        <v>1085400</v>
      </c>
      <c r="I210" s="75">
        <f t="shared" si="10"/>
        <v>0</v>
      </c>
      <c r="J210" s="75"/>
      <c r="K210" s="5">
        <v>46086</v>
      </c>
      <c r="Q210" s="9"/>
      <c r="S210" s="3"/>
    </row>
    <row r="211" spans="1:19" ht="15" hidden="1" customHeight="1" x14ac:dyDescent="0.35">
      <c r="A211" s="26" t="s">
        <v>833</v>
      </c>
      <c r="B211" s="27" t="s">
        <v>976</v>
      </c>
      <c r="C211" s="28"/>
      <c r="D211" s="29" t="s">
        <v>1002</v>
      </c>
      <c r="E211" s="76">
        <v>1040000</v>
      </c>
      <c r="F211" s="77">
        <f t="shared" si="11"/>
        <v>83200</v>
      </c>
      <c r="G211" s="31">
        <f t="shared" si="12"/>
        <v>1123200</v>
      </c>
      <c r="H211" s="74">
        <v>1123200</v>
      </c>
      <c r="I211" s="75">
        <f t="shared" si="10"/>
        <v>0</v>
      </c>
      <c r="J211" s="75"/>
      <c r="K211" s="5">
        <v>46086</v>
      </c>
      <c r="Q211" s="9"/>
      <c r="S211" s="3"/>
    </row>
    <row r="212" spans="1:19" ht="15" hidden="1" customHeight="1" x14ac:dyDescent="0.35">
      <c r="A212" s="26" t="s">
        <v>834</v>
      </c>
      <c r="B212" s="32" t="s">
        <v>977</v>
      </c>
      <c r="C212" s="28">
        <v>1240</v>
      </c>
      <c r="D212" s="29">
        <v>46055</v>
      </c>
      <c r="E212" s="76">
        <v>7547000</v>
      </c>
      <c r="F212" s="77">
        <f t="shared" si="11"/>
        <v>603760</v>
      </c>
      <c r="G212" s="31">
        <f t="shared" si="12"/>
        <v>8150760</v>
      </c>
      <c r="H212" s="74">
        <v>8150760</v>
      </c>
      <c r="I212" s="75">
        <f t="shared" si="10"/>
        <v>0</v>
      </c>
      <c r="J212" s="75"/>
      <c r="K212" s="5">
        <v>46117</v>
      </c>
      <c r="Q212" s="9"/>
      <c r="S212" s="3"/>
    </row>
    <row r="213" spans="1:19" ht="15" hidden="1" customHeight="1" x14ac:dyDescent="0.35">
      <c r="A213" s="26" t="s">
        <v>835</v>
      </c>
      <c r="B213" s="32" t="s">
        <v>978</v>
      </c>
      <c r="C213" s="28">
        <v>1246</v>
      </c>
      <c r="D213" s="29">
        <v>46055</v>
      </c>
      <c r="E213" s="76">
        <v>7057500</v>
      </c>
      <c r="F213" s="77">
        <f t="shared" si="11"/>
        <v>564600</v>
      </c>
      <c r="G213" s="31">
        <f t="shared" si="12"/>
        <v>7622100</v>
      </c>
      <c r="H213" s="74">
        <v>7622100</v>
      </c>
      <c r="I213" s="75">
        <f t="shared" si="10"/>
        <v>0</v>
      </c>
      <c r="J213" s="75"/>
      <c r="K213" s="5">
        <v>46117</v>
      </c>
      <c r="Q213" s="9"/>
      <c r="S213" s="3"/>
    </row>
    <row r="214" spans="1:19" ht="15" hidden="1" customHeight="1" x14ac:dyDescent="0.35">
      <c r="A214" s="26" t="s">
        <v>836</v>
      </c>
      <c r="B214" s="32" t="s">
        <v>979</v>
      </c>
      <c r="C214" s="28">
        <v>1156</v>
      </c>
      <c r="D214" s="29">
        <v>46052</v>
      </c>
      <c r="E214" s="76">
        <v>4025500</v>
      </c>
      <c r="F214" s="77">
        <f t="shared" si="11"/>
        <v>322040</v>
      </c>
      <c r="G214" s="31">
        <f t="shared" si="12"/>
        <v>4347540</v>
      </c>
      <c r="H214" s="74">
        <v>4347540</v>
      </c>
      <c r="I214" s="75">
        <f t="shared" si="10"/>
        <v>0</v>
      </c>
      <c r="J214" s="75"/>
      <c r="K214" s="5">
        <v>46117</v>
      </c>
      <c r="Q214" s="9"/>
      <c r="S214" s="3"/>
    </row>
    <row r="215" spans="1:19" ht="15" hidden="1" customHeight="1" x14ac:dyDescent="0.35">
      <c r="A215" s="26" t="s">
        <v>837</v>
      </c>
      <c r="B215" s="32" t="s">
        <v>980</v>
      </c>
      <c r="C215" s="28">
        <v>1248</v>
      </c>
      <c r="D215" s="29">
        <v>46055</v>
      </c>
      <c r="E215" s="76">
        <v>2344000</v>
      </c>
      <c r="F215" s="77">
        <f t="shared" si="11"/>
        <v>187520</v>
      </c>
      <c r="G215" s="31">
        <f t="shared" si="12"/>
        <v>2531520</v>
      </c>
      <c r="H215" s="74">
        <v>2531520</v>
      </c>
      <c r="I215" s="75">
        <f t="shared" si="10"/>
        <v>0</v>
      </c>
      <c r="J215" s="75"/>
      <c r="K215" s="5">
        <v>46117</v>
      </c>
      <c r="Q215" s="9"/>
      <c r="S215" s="3"/>
    </row>
    <row r="216" spans="1:19" ht="15" hidden="1" customHeight="1" x14ac:dyDescent="0.35">
      <c r="A216" s="26" t="s">
        <v>838</v>
      </c>
      <c r="B216" s="32" t="s">
        <v>981</v>
      </c>
      <c r="C216" s="28">
        <v>1157</v>
      </c>
      <c r="D216" s="29">
        <v>46052</v>
      </c>
      <c r="E216" s="76">
        <v>3261000</v>
      </c>
      <c r="F216" s="77">
        <f t="shared" si="11"/>
        <v>260880</v>
      </c>
      <c r="G216" s="31">
        <f t="shared" si="12"/>
        <v>3521880</v>
      </c>
      <c r="H216" s="74">
        <v>3521880</v>
      </c>
      <c r="I216" s="75">
        <f t="shared" si="10"/>
        <v>0</v>
      </c>
      <c r="J216" s="75"/>
      <c r="K216" s="5">
        <v>46117</v>
      </c>
      <c r="Q216" s="9"/>
      <c r="S216" s="3"/>
    </row>
    <row r="217" spans="1:19" ht="15" hidden="1" customHeight="1" x14ac:dyDescent="0.35">
      <c r="A217" s="26" t="s">
        <v>839</v>
      </c>
      <c r="B217" s="32" t="s">
        <v>982</v>
      </c>
      <c r="C217" s="28"/>
      <c r="D217" s="29" t="s">
        <v>1002</v>
      </c>
      <c r="E217" s="76">
        <v>4635000</v>
      </c>
      <c r="F217" s="77">
        <f t="shared" si="11"/>
        <v>370800</v>
      </c>
      <c r="G217" s="31">
        <f t="shared" si="12"/>
        <v>5005800</v>
      </c>
      <c r="H217" s="74">
        <v>5005800</v>
      </c>
      <c r="I217" s="75">
        <f t="shared" si="10"/>
        <v>0</v>
      </c>
      <c r="J217" s="75"/>
      <c r="K217" s="5">
        <v>46117</v>
      </c>
      <c r="Q217" s="9"/>
      <c r="S217" s="3"/>
    </row>
    <row r="218" spans="1:19" ht="15" hidden="1" customHeight="1" x14ac:dyDescent="0.35">
      <c r="A218" s="26" t="s">
        <v>840</v>
      </c>
      <c r="B218" s="32" t="s">
        <v>983</v>
      </c>
      <c r="C218" s="28"/>
      <c r="D218" s="29" t="s">
        <v>1002</v>
      </c>
      <c r="E218" s="76">
        <v>1965000</v>
      </c>
      <c r="F218" s="77">
        <f t="shared" si="11"/>
        <v>157200</v>
      </c>
      <c r="G218" s="31">
        <f t="shared" si="12"/>
        <v>2122200</v>
      </c>
      <c r="H218" s="74">
        <v>2122200</v>
      </c>
      <c r="I218" s="75">
        <f t="shared" si="10"/>
        <v>0</v>
      </c>
      <c r="J218" s="75"/>
      <c r="K218" s="5">
        <v>46086</v>
      </c>
      <c r="Q218" s="9"/>
      <c r="S218" s="3"/>
    </row>
    <row r="219" spans="1:19" ht="15" hidden="1" customHeight="1" x14ac:dyDescent="0.35">
      <c r="A219" s="26" t="s">
        <v>841</v>
      </c>
      <c r="B219" s="32" t="s">
        <v>984</v>
      </c>
      <c r="C219" s="28"/>
      <c r="D219" s="29" t="s">
        <v>1002</v>
      </c>
      <c r="E219" s="76">
        <v>1920000</v>
      </c>
      <c r="F219" s="77">
        <f t="shared" si="11"/>
        <v>153600</v>
      </c>
      <c r="G219" s="31">
        <f t="shared" si="12"/>
        <v>2073600</v>
      </c>
      <c r="H219" s="74">
        <v>2073600</v>
      </c>
      <c r="I219" s="75">
        <f t="shared" si="10"/>
        <v>0</v>
      </c>
      <c r="J219" s="75"/>
      <c r="K219" s="5">
        <v>46086</v>
      </c>
      <c r="Q219" s="9"/>
      <c r="S219" s="3"/>
    </row>
    <row r="220" spans="1:19" ht="15" hidden="1" customHeight="1" x14ac:dyDescent="0.35">
      <c r="A220" s="26" t="s">
        <v>842</v>
      </c>
      <c r="B220" s="32" t="s">
        <v>985</v>
      </c>
      <c r="C220" s="28"/>
      <c r="D220" s="29" t="s">
        <v>1002</v>
      </c>
      <c r="E220" s="76">
        <v>1755000</v>
      </c>
      <c r="F220" s="77">
        <f t="shared" si="11"/>
        <v>140400</v>
      </c>
      <c r="G220" s="31">
        <f t="shared" si="12"/>
        <v>1895400</v>
      </c>
      <c r="H220" s="74">
        <v>1895400</v>
      </c>
      <c r="I220" s="75">
        <f t="shared" si="10"/>
        <v>0</v>
      </c>
      <c r="J220" s="75"/>
      <c r="K220" s="5">
        <v>46086</v>
      </c>
      <c r="Q220" s="9"/>
      <c r="S220" s="3"/>
    </row>
    <row r="221" spans="1:19" ht="15" hidden="1" customHeight="1" x14ac:dyDescent="0.35">
      <c r="A221" s="26" t="s">
        <v>843</v>
      </c>
      <c r="B221" s="32" t="s">
        <v>122</v>
      </c>
      <c r="C221" s="28"/>
      <c r="D221" s="29" t="s">
        <v>1002</v>
      </c>
      <c r="E221" s="76">
        <v>2010000</v>
      </c>
      <c r="F221" s="77">
        <f t="shared" si="11"/>
        <v>160800</v>
      </c>
      <c r="G221" s="31">
        <f t="shared" si="12"/>
        <v>2170800</v>
      </c>
      <c r="H221" s="74">
        <v>2170800</v>
      </c>
      <c r="I221" s="75">
        <f t="shared" si="10"/>
        <v>0</v>
      </c>
      <c r="J221" s="75"/>
      <c r="K221" s="5">
        <v>46086</v>
      </c>
      <c r="Q221" s="9"/>
      <c r="S221" s="3"/>
    </row>
    <row r="222" spans="1:19" ht="15" hidden="1" customHeight="1" x14ac:dyDescent="0.35">
      <c r="A222" s="26" t="s">
        <v>844</v>
      </c>
      <c r="B222" s="32" t="s">
        <v>986</v>
      </c>
      <c r="C222" s="28"/>
      <c r="D222" s="29" t="s">
        <v>1002</v>
      </c>
      <c r="E222" s="76">
        <v>1005000</v>
      </c>
      <c r="F222" s="77">
        <f t="shared" si="11"/>
        <v>80400</v>
      </c>
      <c r="G222" s="31">
        <f t="shared" si="12"/>
        <v>1085400</v>
      </c>
      <c r="H222" s="74">
        <v>1085400</v>
      </c>
      <c r="I222" s="75">
        <f t="shared" si="10"/>
        <v>0</v>
      </c>
      <c r="J222" s="75"/>
      <c r="K222" s="5">
        <v>46086</v>
      </c>
      <c r="Q222" s="9"/>
      <c r="S222" s="3"/>
    </row>
    <row r="223" spans="1:19" ht="15" hidden="1" customHeight="1" x14ac:dyDescent="0.35">
      <c r="A223" s="26" t="s">
        <v>845</v>
      </c>
      <c r="B223" s="32" t="s">
        <v>987</v>
      </c>
      <c r="C223" s="28"/>
      <c r="D223" s="29" t="s">
        <v>1002</v>
      </c>
      <c r="E223" s="76">
        <v>1005000</v>
      </c>
      <c r="F223" s="77">
        <f t="shared" si="11"/>
        <v>80400</v>
      </c>
      <c r="G223" s="31">
        <f t="shared" si="12"/>
        <v>1085400</v>
      </c>
      <c r="H223" s="74">
        <v>1085400</v>
      </c>
      <c r="I223" s="75">
        <f t="shared" si="10"/>
        <v>0</v>
      </c>
      <c r="J223" s="75"/>
      <c r="K223" s="5">
        <v>46086</v>
      </c>
      <c r="Q223" s="9"/>
      <c r="S223" s="3"/>
    </row>
    <row r="224" spans="1:19" ht="15" hidden="1" customHeight="1" x14ac:dyDescent="0.35">
      <c r="A224" s="26" t="s">
        <v>846</v>
      </c>
      <c r="B224" s="32" t="s">
        <v>988</v>
      </c>
      <c r="C224" s="28"/>
      <c r="D224" s="29" t="s">
        <v>1002</v>
      </c>
      <c r="E224" s="76">
        <v>750000</v>
      </c>
      <c r="F224" s="77">
        <f t="shared" si="11"/>
        <v>60000</v>
      </c>
      <c r="G224" s="31">
        <f t="shared" si="12"/>
        <v>810000</v>
      </c>
      <c r="H224" s="74">
        <v>810000</v>
      </c>
      <c r="I224" s="75">
        <f t="shared" si="10"/>
        <v>0</v>
      </c>
      <c r="J224" s="75"/>
      <c r="K224" s="5">
        <v>46086</v>
      </c>
      <c r="Q224" s="9"/>
      <c r="S224" s="3"/>
    </row>
    <row r="225" spans="1:19" ht="15" hidden="1" customHeight="1" x14ac:dyDescent="0.35">
      <c r="A225" s="26" t="s">
        <v>1138</v>
      </c>
      <c r="B225" s="32" t="s">
        <v>123</v>
      </c>
      <c r="C225" s="28">
        <v>1020</v>
      </c>
      <c r="D225" s="29">
        <v>46049</v>
      </c>
      <c r="E225" s="76">
        <v>1754280</v>
      </c>
      <c r="F225" s="77">
        <f t="shared" si="11"/>
        <v>140342.39999999999</v>
      </c>
      <c r="G225" s="31">
        <f t="shared" si="12"/>
        <v>1894622.4</v>
      </c>
      <c r="H225" s="74">
        <v>1894622.4</v>
      </c>
      <c r="I225" s="75">
        <f t="shared" si="10"/>
        <v>0</v>
      </c>
      <c r="J225" s="75"/>
      <c r="L225" s="5">
        <v>46086</v>
      </c>
      <c r="Q225" s="9"/>
      <c r="S225" s="3"/>
    </row>
    <row r="226" spans="1:19" ht="15" hidden="1" customHeight="1" x14ac:dyDescent="0.35">
      <c r="A226" s="26" t="s">
        <v>1139</v>
      </c>
      <c r="B226" s="32" t="s">
        <v>124</v>
      </c>
      <c r="C226" s="28"/>
      <c r="D226" s="29" t="s">
        <v>1128</v>
      </c>
      <c r="E226" s="76">
        <v>5819040</v>
      </c>
      <c r="F226" s="77">
        <f t="shared" si="11"/>
        <v>465523.20000000001</v>
      </c>
      <c r="G226" s="31">
        <f t="shared" si="12"/>
        <v>6284563.2000000002</v>
      </c>
      <c r="H226" s="74">
        <v>6284563.2000000002</v>
      </c>
      <c r="I226" s="75">
        <f t="shared" si="10"/>
        <v>0</v>
      </c>
      <c r="J226" s="75"/>
      <c r="L226" s="5">
        <v>46086</v>
      </c>
      <c r="Q226" s="9"/>
      <c r="S226" s="3"/>
    </row>
    <row r="227" spans="1:19" ht="15" hidden="1" customHeight="1" x14ac:dyDescent="0.35">
      <c r="A227" s="26" t="s">
        <v>1140</v>
      </c>
      <c r="B227" s="32" t="s">
        <v>125</v>
      </c>
      <c r="C227" s="28"/>
      <c r="D227" s="29" t="s">
        <v>1128</v>
      </c>
      <c r="E227" s="76">
        <v>756000</v>
      </c>
      <c r="F227" s="77">
        <f t="shared" si="11"/>
        <v>60480</v>
      </c>
      <c r="G227" s="31">
        <f t="shared" si="12"/>
        <v>816480</v>
      </c>
      <c r="H227" s="74">
        <v>816480</v>
      </c>
      <c r="I227" s="75">
        <f t="shared" si="10"/>
        <v>0</v>
      </c>
      <c r="J227" s="75"/>
      <c r="L227" s="5">
        <v>46086</v>
      </c>
      <c r="Q227" s="9"/>
      <c r="S227" s="3"/>
    </row>
    <row r="228" spans="1:19" ht="15" hidden="1" customHeight="1" x14ac:dyDescent="0.35">
      <c r="A228" s="26" t="s">
        <v>1141</v>
      </c>
      <c r="B228" s="32" t="s">
        <v>126</v>
      </c>
      <c r="C228" s="28">
        <v>1021</v>
      </c>
      <c r="D228" s="29">
        <v>46049</v>
      </c>
      <c r="E228" s="76">
        <v>34968240</v>
      </c>
      <c r="F228" s="77">
        <f t="shared" si="11"/>
        <v>2797459.2</v>
      </c>
      <c r="G228" s="31">
        <f t="shared" si="12"/>
        <v>37765699.200000003</v>
      </c>
      <c r="H228" s="74">
        <v>37765699.200000003</v>
      </c>
      <c r="I228" s="75">
        <f t="shared" si="10"/>
        <v>0</v>
      </c>
      <c r="J228" s="75"/>
      <c r="K228" s="5">
        <v>46117</v>
      </c>
      <c r="Q228" s="9"/>
      <c r="S228" s="3"/>
    </row>
    <row r="229" spans="1:19" ht="15" hidden="1" customHeight="1" x14ac:dyDescent="0.35">
      <c r="A229" s="26" t="s">
        <v>1142</v>
      </c>
      <c r="B229" s="32" t="s">
        <v>127</v>
      </c>
      <c r="C229" s="28"/>
      <c r="D229" s="29" t="s">
        <v>1128</v>
      </c>
      <c r="E229" s="76">
        <v>37328800</v>
      </c>
      <c r="F229" s="77">
        <f t="shared" si="11"/>
        <v>2986304</v>
      </c>
      <c r="G229" s="31">
        <f t="shared" si="12"/>
        <v>40315104</v>
      </c>
      <c r="H229" s="74">
        <v>40315104</v>
      </c>
      <c r="I229" s="75">
        <f t="shared" si="10"/>
        <v>0</v>
      </c>
      <c r="J229" s="75"/>
      <c r="K229" s="5">
        <v>46086</v>
      </c>
      <c r="Q229" s="9"/>
      <c r="S229" s="3"/>
    </row>
    <row r="230" spans="1:19" ht="15" hidden="1" customHeight="1" x14ac:dyDescent="0.35">
      <c r="A230" s="26" t="s">
        <v>1143</v>
      </c>
      <c r="B230" s="32" t="s">
        <v>1003</v>
      </c>
      <c r="C230" s="28"/>
      <c r="D230" s="29" t="s">
        <v>1129</v>
      </c>
      <c r="E230" s="76">
        <v>5363400</v>
      </c>
      <c r="F230" s="77">
        <f t="shared" si="11"/>
        <v>429072</v>
      </c>
      <c r="G230" s="31">
        <f t="shared" si="12"/>
        <v>5792472</v>
      </c>
      <c r="H230" s="74">
        <v>5792472</v>
      </c>
      <c r="I230" s="75">
        <f t="shared" si="10"/>
        <v>0</v>
      </c>
      <c r="J230" s="75"/>
      <c r="K230" s="5">
        <v>46117</v>
      </c>
      <c r="Q230" s="9"/>
      <c r="S230" s="3"/>
    </row>
    <row r="231" spans="1:19" ht="15" hidden="1" customHeight="1" x14ac:dyDescent="0.35">
      <c r="A231" s="26" t="s">
        <v>1144</v>
      </c>
      <c r="B231" s="32" t="s">
        <v>1004</v>
      </c>
      <c r="C231" s="28"/>
      <c r="D231" s="29" t="s">
        <v>1129</v>
      </c>
      <c r="E231" s="76">
        <v>7616000</v>
      </c>
      <c r="F231" s="77">
        <f t="shared" si="11"/>
        <v>609280</v>
      </c>
      <c r="G231" s="31">
        <f t="shared" si="12"/>
        <v>8225280</v>
      </c>
      <c r="H231" s="74">
        <v>8225280</v>
      </c>
      <c r="I231" s="75">
        <f t="shared" si="10"/>
        <v>0</v>
      </c>
      <c r="J231" s="75"/>
      <c r="K231" s="5">
        <v>46086</v>
      </c>
      <c r="Q231" s="9"/>
      <c r="S231" s="3"/>
    </row>
    <row r="232" spans="1:19" ht="15" hidden="1" customHeight="1" x14ac:dyDescent="0.35">
      <c r="A232" s="26" t="s">
        <v>1145</v>
      </c>
      <c r="B232" s="32" t="s">
        <v>1005</v>
      </c>
      <c r="C232" s="28"/>
      <c r="D232" s="29" t="s">
        <v>1129</v>
      </c>
      <c r="E232" s="76">
        <v>7560000</v>
      </c>
      <c r="F232" s="77">
        <f t="shared" si="11"/>
        <v>604800</v>
      </c>
      <c r="G232" s="31">
        <f t="shared" si="12"/>
        <v>8164800</v>
      </c>
      <c r="H232" s="74">
        <v>8164800</v>
      </c>
      <c r="I232" s="75">
        <f t="shared" si="10"/>
        <v>0</v>
      </c>
      <c r="J232" s="75"/>
      <c r="L232" s="5">
        <v>46086</v>
      </c>
      <c r="Q232" s="9"/>
      <c r="S232" s="3"/>
    </row>
    <row r="233" spans="1:19" ht="15" hidden="1" customHeight="1" x14ac:dyDescent="0.35">
      <c r="A233" s="26" t="s">
        <v>1146</v>
      </c>
      <c r="B233" s="32" t="s">
        <v>1006</v>
      </c>
      <c r="C233" s="28"/>
      <c r="D233" s="29" t="s">
        <v>1130</v>
      </c>
      <c r="E233" s="76">
        <v>6174000</v>
      </c>
      <c r="F233" s="77">
        <f t="shared" si="11"/>
        <v>493920</v>
      </c>
      <c r="G233" s="31">
        <f t="shared" si="12"/>
        <v>6667920</v>
      </c>
      <c r="H233" s="74">
        <v>6667920</v>
      </c>
      <c r="I233" s="75">
        <f t="shared" si="10"/>
        <v>0</v>
      </c>
      <c r="J233" s="75"/>
      <c r="K233" s="5">
        <v>46086</v>
      </c>
      <c r="Q233" s="9"/>
      <c r="S233" s="3"/>
    </row>
    <row r="234" spans="1:19" ht="15" hidden="1" customHeight="1" x14ac:dyDescent="0.35">
      <c r="A234" s="26" t="s">
        <v>1147</v>
      </c>
      <c r="B234" s="32" t="s">
        <v>1007</v>
      </c>
      <c r="C234" s="28"/>
      <c r="D234" s="29" t="s">
        <v>1130</v>
      </c>
      <c r="E234" s="76">
        <v>756000</v>
      </c>
      <c r="F234" s="77">
        <f t="shared" si="11"/>
        <v>60480</v>
      </c>
      <c r="G234" s="31">
        <f t="shared" si="12"/>
        <v>816480</v>
      </c>
      <c r="H234" s="74">
        <v>816480</v>
      </c>
      <c r="I234" s="75">
        <f t="shared" si="10"/>
        <v>0</v>
      </c>
      <c r="J234" s="75"/>
      <c r="L234" s="5">
        <v>46086</v>
      </c>
      <c r="Q234" s="9"/>
      <c r="S234" s="3"/>
    </row>
    <row r="235" spans="1:19" ht="15" hidden="1" customHeight="1" x14ac:dyDescent="0.35">
      <c r="A235" s="26" t="s">
        <v>1148</v>
      </c>
      <c r="B235" s="32" t="s">
        <v>1008</v>
      </c>
      <c r="C235" s="28"/>
      <c r="D235" s="29" t="s">
        <v>1130</v>
      </c>
      <c r="E235" s="76">
        <v>756000</v>
      </c>
      <c r="F235" s="77">
        <f t="shared" si="11"/>
        <v>60480</v>
      </c>
      <c r="G235" s="31">
        <f t="shared" si="12"/>
        <v>816480</v>
      </c>
      <c r="H235" s="74">
        <v>816480</v>
      </c>
      <c r="I235" s="75">
        <f t="shared" si="10"/>
        <v>0</v>
      </c>
      <c r="J235" s="75"/>
      <c r="L235" s="5">
        <v>46086</v>
      </c>
      <c r="Q235" s="9"/>
      <c r="S235" s="3"/>
    </row>
    <row r="236" spans="1:19" ht="15" hidden="1" customHeight="1" x14ac:dyDescent="0.35">
      <c r="A236" s="26" t="s">
        <v>1149</v>
      </c>
      <c r="B236" s="32" t="s">
        <v>1009</v>
      </c>
      <c r="C236" s="28"/>
      <c r="D236" s="29" t="s">
        <v>1130</v>
      </c>
      <c r="E236" s="76">
        <v>3551040</v>
      </c>
      <c r="F236" s="77">
        <f t="shared" si="11"/>
        <v>284083.20000000001</v>
      </c>
      <c r="G236" s="31">
        <f t="shared" si="12"/>
        <v>3835123.2</v>
      </c>
      <c r="H236" s="74">
        <v>3835123.2</v>
      </c>
      <c r="I236" s="75">
        <f t="shared" si="10"/>
        <v>0</v>
      </c>
      <c r="J236" s="75"/>
      <c r="L236" s="5">
        <v>46086</v>
      </c>
      <c r="Q236" s="9"/>
      <c r="S236" s="3"/>
    </row>
    <row r="237" spans="1:19" ht="15" hidden="1" customHeight="1" x14ac:dyDescent="0.35">
      <c r="A237" s="26" t="s">
        <v>1150</v>
      </c>
      <c r="B237" s="32" t="s">
        <v>1010</v>
      </c>
      <c r="C237" s="28"/>
      <c r="D237" s="29" t="s">
        <v>1130</v>
      </c>
      <c r="E237" s="76">
        <v>1019520</v>
      </c>
      <c r="F237" s="77">
        <f t="shared" si="11"/>
        <v>81561.600000000006</v>
      </c>
      <c r="G237" s="31">
        <f t="shared" si="12"/>
        <v>1101081.6000000001</v>
      </c>
      <c r="H237" s="74">
        <v>1101081.6000000001</v>
      </c>
      <c r="I237" s="75">
        <f t="shared" si="10"/>
        <v>0</v>
      </c>
      <c r="J237" s="75"/>
      <c r="L237" s="5">
        <v>46086</v>
      </c>
      <c r="Q237" s="9"/>
      <c r="S237" s="3"/>
    </row>
    <row r="238" spans="1:19" ht="15" hidden="1" customHeight="1" x14ac:dyDescent="0.35">
      <c r="A238" s="26" t="s">
        <v>1151</v>
      </c>
      <c r="B238" s="32" t="s">
        <v>1011</v>
      </c>
      <c r="C238" s="28"/>
      <c r="D238" s="29" t="s">
        <v>1130</v>
      </c>
      <c r="E238" s="76">
        <v>756000</v>
      </c>
      <c r="F238" s="77">
        <f t="shared" si="11"/>
        <v>60480</v>
      </c>
      <c r="G238" s="31">
        <f t="shared" si="12"/>
        <v>816480</v>
      </c>
      <c r="H238" s="74">
        <v>816480</v>
      </c>
      <c r="I238" s="75">
        <f t="shared" si="10"/>
        <v>0</v>
      </c>
      <c r="J238" s="75"/>
      <c r="L238" s="5">
        <v>46086</v>
      </c>
      <c r="Q238" s="9"/>
      <c r="S238" s="3"/>
    </row>
    <row r="239" spans="1:19" ht="15" hidden="1" customHeight="1" x14ac:dyDescent="0.35">
      <c r="A239" s="26" t="s">
        <v>1152</v>
      </c>
      <c r="B239" s="32" t="s">
        <v>1012</v>
      </c>
      <c r="C239" s="28"/>
      <c r="D239" s="29" t="s">
        <v>1130</v>
      </c>
      <c r="E239" s="76">
        <v>1019520</v>
      </c>
      <c r="F239" s="77">
        <f t="shared" si="11"/>
        <v>81561.600000000006</v>
      </c>
      <c r="G239" s="31">
        <f t="shared" si="12"/>
        <v>1101081.6000000001</v>
      </c>
      <c r="H239" s="74">
        <v>1101081.6000000001</v>
      </c>
      <c r="I239" s="75">
        <f t="shared" si="10"/>
        <v>0</v>
      </c>
      <c r="J239" s="75"/>
      <c r="L239" s="5">
        <v>46086</v>
      </c>
      <c r="Q239" s="9"/>
      <c r="S239" s="3"/>
    </row>
    <row r="240" spans="1:19" ht="15" hidden="1" customHeight="1" x14ac:dyDescent="0.35">
      <c r="A240" s="26" t="s">
        <v>1153</v>
      </c>
      <c r="B240" s="32" t="s">
        <v>1013</v>
      </c>
      <c r="C240" s="28"/>
      <c r="D240" s="29" t="s">
        <v>1130</v>
      </c>
      <c r="E240" s="76">
        <v>1775520</v>
      </c>
      <c r="F240" s="77">
        <f t="shared" si="11"/>
        <v>142041.60000000001</v>
      </c>
      <c r="G240" s="31">
        <f t="shared" si="12"/>
        <v>1917561.6</v>
      </c>
      <c r="H240" s="74">
        <v>1917561.6</v>
      </c>
      <c r="I240" s="75">
        <f t="shared" si="10"/>
        <v>0</v>
      </c>
      <c r="J240" s="75"/>
      <c r="L240" s="5">
        <v>46086</v>
      </c>
      <c r="Q240" s="9"/>
      <c r="S240" s="3"/>
    </row>
    <row r="241" spans="1:19" ht="15" hidden="1" customHeight="1" x14ac:dyDescent="0.35">
      <c r="A241" s="26" t="s">
        <v>1154</v>
      </c>
      <c r="B241" s="32" t="s">
        <v>1014</v>
      </c>
      <c r="C241" s="28"/>
      <c r="D241" s="29" t="s">
        <v>1130</v>
      </c>
      <c r="E241" s="76">
        <v>1019520</v>
      </c>
      <c r="F241" s="77">
        <f t="shared" si="11"/>
        <v>81561.600000000006</v>
      </c>
      <c r="G241" s="31">
        <f t="shared" si="12"/>
        <v>1101081.6000000001</v>
      </c>
      <c r="H241" s="74">
        <v>1101081.6000000001</v>
      </c>
      <c r="I241" s="75">
        <f t="shared" si="10"/>
        <v>0</v>
      </c>
      <c r="J241" s="75"/>
      <c r="L241" s="5">
        <v>46086</v>
      </c>
      <c r="Q241" s="9"/>
      <c r="S241" s="3"/>
    </row>
    <row r="242" spans="1:19" ht="15" hidden="1" customHeight="1" x14ac:dyDescent="0.35">
      <c r="A242" s="26" t="s">
        <v>1155</v>
      </c>
      <c r="B242" s="32" t="s">
        <v>1015</v>
      </c>
      <c r="C242" s="28"/>
      <c r="D242" s="29" t="s">
        <v>1130</v>
      </c>
      <c r="E242" s="76">
        <v>9792000</v>
      </c>
      <c r="F242" s="77">
        <f t="shared" si="11"/>
        <v>783360</v>
      </c>
      <c r="G242" s="31">
        <f t="shared" si="12"/>
        <v>10575360</v>
      </c>
      <c r="H242" s="74">
        <v>10575360</v>
      </c>
      <c r="I242" s="75">
        <f t="shared" si="10"/>
        <v>0</v>
      </c>
      <c r="J242" s="75"/>
      <c r="K242" s="5">
        <v>46086</v>
      </c>
      <c r="Q242" s="9"/>
      <c r="S242" s="3"/>
    </row>
    <row r="243" spans="1:19" ht="15" hidden="1" customHeight="1" x14ac:dyDescent="0.35">
      <c r="A243" s="26" t="s">
        <v>1156</v>
      </c>
      <c r="B243" s="32" t="s">
        <v>1016</v>
      </c>
      <c r="C243" s="28">
        <v>1515</v>
      </c>
      <c r="D243" s="29">
        <v>46064</v>
      </c>
      <c r="E243" s="76">
        <v>14769000</v>
      </c>
      <c r="F243" s="77">
        <f t="shared" si="11"/>
        <v>1181520</v>
      </c>
      <c r="G243" s="31">
        <f t="shared" si="12"/>
        <v>15950520</v>
      </c>
      <c r="H243" s="74">
        <v>15950520</v>
      </c>
      <c r="I243" s="75">
        <f t="shared" si="10"/>
        <v>0</v>
      </c>
      <c r="J243" s="75"/>
      <c r="K243" s="5">
        <v>46117</v>
      </c>
      <c r="Q243" s="9"/>
      <c r="S243" s="3"/>
    </row>
    <row r="244" spans="1:19" ht="15" hidden="1" customHeight="1" x14ac:dyDescent="0.35">
      <c r="A244" s="26" t="s">
        <v>1157</v>
      </c>
      <c r="B244" s="32" t="s">
        <v>1017</v>
      </c>
      <c r="C244" s="28"/>
      <c r="D244" s="29" t="s">
        <v>1130</v>
      </c>
      <c r="E244" s="76">
        <v>6192000</v>
      </c>
      <c r="F244" s="77">
        <f t="shared" si="11"/>
        <v>495360</v>
      </c>
      <c r="G244" s="31">
        <f t="shared" si="12"/>
        <v>6687360</v>
      </c>
      <c r="H244" s="74">
        <v>6687360</v>
      </c>
      <c r="I244" s="75">
        <f t="shared" si="10"/>
        <v>0</v>
      </c>
      <c r="J244" s="75"/>
      <c r="K244" s="5">
        <v>46117</v>
      </c>
      <c r="Q244" s="9"/>
      <c r="S244" s="3"/>
    </row>
    <row r="245" spans="1:19" ht="15" hidden="1" customHeight="1" x14ac:dyDescent="0.35">
      <c r="A245" s="26" t="s">
        <v>1158</v>
      </c>
      <c r="B245" s="32" t="s">
        <v>1018</v>
      </c>
      <c r="C245" s="28">
        <v>1418</v>
      </c>
      <c r="D245" s="29">
        <v>46060</v>
      </c>
      <c r="E245" s="76">
        <v>9562000</v>
      </c>
      <c r="F245" s="77">
        <f t="shared" si="11"/>
        <v>764960</v>
      </c>
      <c r="G245" s="31">
        <f t="shared" si="12"/>
        <v>10326960</v>
      </c>
      <c r="H245" s="74">
        <v>10326960</v>
      </c>
      <c r="I245" s="75">
        <f t="shared" si="10"/>
        <v>0</v>
      </c>
      <c r="J245" s="75"/>
      <c r="K245" s="5">
        <v>46117</v>
      </c>
      <c r="Q245" s="9"/>
      <c r="S245" s="3"/>
    </row>
    <row r="246" spans="1:19" ht="15" hidden="1" customHeight="1" x14ac:dyDescent="0.35">
      <c r="A246" s="26" t="s">
        <v>1159</v>
      </c>
      <c r="B246" s="32" t="s">
        <v>1019</v>
      </c>
      <c r="C246" s="28"/>
      <c r="D246" s="29" t="s">
        <v>1130</v>
      </c>
      <c r="E246" s="76">
        <v>9792000</v>
      </c>
      <c r="F246" s="77">
        <f t="shared" si="11"/>
        <v>783360</v>
      </c>
      <c r="G246" s="31">
        <f t="shared" si="12"/>
        <v>10575360</v>
      </c>
      <c r="H246" s="74">
        <v>10575360</v>
      </c>
      <c r="I246" s="75">
        <f t="shared" si="10"/>
        <v>0</v>
      </c>
      <c r="J246" s="75"/>
      <c r="K246" s="5">
        <v>46117</v>
      </c>
      <c r="Q246" s="9"/>
      <c r="S246" s="3"/>
    </row>
    <row r="247" spans="1:19" ht="15" hidden="1" customHeight="1" x14ac:dyDescent="0.35">
      <c r="A247" s="26" t="s">
        <v>1160</v>
      </c>
      <c r="B247" s="32" t="s">
        <v>1020</v>
      </c>
      <c r="C247" s="28"/>
      <c r="D247" s="29" t="s">
        <v>1130</v>
      </c>
      <c r="E247" s="76">
        <v>7032000</v>
      </c>
      <c r="F247" s="77">
        <f t="shared" si="11"/>
        <v>562560</v>
      </c>
      <c r="G247" s="31">
        <f t="shared" si="12"/>
        <v>7594560</v>
      </c>
      <c r="H247" s="74">
        <v>7594560</v>
      </c>
      <c r="I247" s="75">
        <f t="shared" si="10"/>
        <v>0</v>
      </c>
      <c r="J247" s="75"/>
      <c r="K247" s="5">
        <v>46117</v>
      </c>
      <c r="Q247" s="9"/>
      <c r="S247" s="3"/>
    </row>
    <row r="248" spans="1:19" ht="15" hidden="1" customHeight="1" x14ac:dyDescent="0.35">
      <c r="A248" s="26" t="s">
        <v>1161</v>
      </c>
      <c r="B248" s="32" t="s">
        <v>128</v>
      </c>
      <c r="C248" s="28"/>
      <c r="D248" s="29" t="s">
        <v>1130</v>
      </c>
      <c r="E248" s="76">
        <v>14792000</v>
      </c>
      <c r="F248" s="77">
        <f t="shared" si="11"/>
        <v>1183360</v>
      </c>
      <c r="G248" s="31">
        <f t="shared" si="12"/>
        <v>15975360</v>
      </c>
      <c r="H248" s="74">
        <v>15975360</v>
      </c>
      <c r="I248" s="75">
        <f t="shared" si="10"/>
        <v>0</v>
      </c>
      <c r="J248" s="75"/>
      <c r="K248" s="5">
        <v>46117</v>
      </c>
      <c r="Q248" s="9"/>
      <c r="S248" s="3"/>
    </row>
    <row r="249" spans="1:19" ht="15" hidden="1" customHeight="1" x14ac:dyDescent="0.35">
      <c r="A249" s="26" t="s">
        <v>1162</v>
      </c>
      <c r="B249" s="32" t="s">
        <v>1021</v>
      </c>
      <c r="C249" s="28"/>
      <c r="D249" s="29" t="s">
        <v>1130</v>
      </c>
      <c r="E249" s="76">
        <v>18232000</v>
      </c>
      <c r="F249" s="77">
        <f t="shared" si="11"/>
        <v>1458560</v>
      </c>
      <c r="G249" s="31">
        <f t="shared" si="12"/>
        <v>19690560</v>
      </c>
      <c r="H249" s="74">
        <v>19690560</v>
      </c>
      <c r="I249" s="75">
        <f t="shared" si="10"/>
        <v>0</v>
      </c>
      <c r="J249" s="75"/>
      <c r="K249" s="5">
        <v>46117</v>
      </c>
      <c r="Q249" s="9"/>
      <c r="S249" s="3"/>
    </row>
    <row r="250" spans="1:19" ht="15" hidden="1" customHeight="1" x14ac:dyDescent="0.35">
      <c r="A250" s="26" t="s">
        <v>1163</v>
      </c>
      <c r="B250" s="32" t="s">
        <v>1022</v>
      </c>
      <c r="C250" s="28"/>
      <c r="D250" s="29" t="s">
        <v>1130</v>
      </c>
      <c r="E250" s="76">
        <v>3600000</v>
      </c>
      <c r="F250" s="77">
        <f t="shared" si="11"/>
        <v>288000</v>
      </c>
      <c r="G250" s="31">
        <f t="shared" si="12"/>
        <v>3888000</v>
      </c>
      <c r="H250" s="74">
        <v>3888000</v>
      </c>
      <c r="I250" s="75">
        <f t="shared" si="10"/>
        <v>0</v>
      </c>
      <c r="J250" s="75"/>
      <c r="K250" s="5">
        <v>46117</v>
      </c>
      <c r="Q250" s="9"/>
      <c r="S250" s="3"/>
    </row>
    <row r="251" spans="1:19" ht="15" hidden="1" customHeight="1" x14ac:dyDescent="0.35">
      <c r="A251" s="26" t="s">
        <v>1164</v>
      </c>
      <c r="B251" s="32" t="s">
        <v>1023</v>
      </c>
      <c r="C251" s="28"/>
      <c r="D251" s="29" t="s">
        <v>1130</v>
      </c>
      <c r="E251" s="76">
        <v>7600000</v>
      </c>
      <c r="F251" s="77">
        <f t="shared" si="11"/>
        <v>608000</v>
      </c>
      <c r="G251" s="31">
        <f t="shared" si="12"/>
        <v>8208000</v>
      </c>
      <c r="H251" s="74">
        <v>8208000</v>
      </c>
      <c r="I251" s="75">
        <f t="shared" si="10"/>
        <v>0</v>
      </c>
      <c r="J251" s="75"/>
      <c r="K251" s="5">
        <v>46117</v>
      </c>
      <c r="Q251" s="9"/>
      <c r="S251" s="3"/>
    </row>
    <row r="252" spans="1:19" ht="15" hidden="1" customHeight="1" x14ac:dyDescent="0.35">
      <c r="A252" s="26" t="s">
        <v>1165</v>
      </c>
      <c r="B252" s="32" t="s">
        <v>1024</v>
      </c>
      <c r="C252" s="28"/>
      <c r="D252" s="29" t="s">
        <v>1130</v>
      </c>
      <c r="E252" s="76">
        <v>6360000</v>
      </c>
      <c r="F252" s="77">
        <f t="shared" si="11"/>
        <v>508800</v>
      </c>
      <c r="G252" s="31">
        <f t="shared" si="12"/>
        <v>6868800</v>
      </c>
      <c r="H252" s="74">
        <v>6868800</v>
      </c>
      <c r="I252" s="75">
        <f t="shared" si="10"/>
        <v>0</v>
      </c>
      <c r="J252" s="75"/>
      <c r="K252" s="5">
        <v>46117</v>
      </c>
      <c r="Q252" s="9"/>
      <c r="S252" s="3"/>
    </row>
    <row r="253" spans="1:19" ht="15" hidden="1" customHeight="1" x14ac:dyDescent="0.35">
      <c r="A253" s="26" t="s">
        <v>1166</v>
      </c>
      <c r="B253" s="32" t="s">
        <v>1025</v>
      </c>
      <c r="C253" s="28"/>
      <c r="D253" s="29" t="s">
        <v>1130</v>
      </c>
      <c r="E253" s="76">
        <v>6360000</v>
      </c>
      <c r="F253" s="77">
        <f t="shared" si="11"/>
        <v>508800</v>
      </c>
      <c r="G253" s="31">
        <f t="shared" si="12"/>
        <v>6868800</v>
      </c>
      <c r="H253" s="74">
        <v>6868800</v>
      </c>
      <c r="I253" s="75">
        <f t="shared" si="10"/>
        <v>0</v>
      </c>
      <c r="J253" s="75"/>
      <c r="K253" s="5">
        <v>46117</v>
      </c>
      <c r="Q253" s="9"/>
      <c r="S253" s="3"/>
    </row>
    <row r="254" spans="1:19" ht="15" hidden="1" customHeight="1" x14ac:dyDescent="0.35">
      <c r="A254" s="26" t="s">
        <v>1167</v>
      </c>
      <c r="B254" s="32" t="s">
        <v>129</v>
      </c>
      <c r="C254" s="28">
        <v>1419</v>
      </c>
      <c r="D254" s="29">
        <v>46060</v>
      </c>
      <c r="E254" s="76">
        <v>13722500</v>
      </c>
      <c r="F254" s="77">
        <f t="shared" si="11"/>
        <v>1097800</v>
      </c>
      <c r="G254" s="31">
        <f t="shared" si="12"/>
        <v>14820300</v>
      </c>
      <c r="H254" s="74">
        <v>14820300</v>
      </c>
      <c r="I254" s="75">
        <f t="shared" si="10"/>
        <v>0</v>
      </c>
      <c r="J254" s="75"/>
      <c r="K254" s="5">
        <v>46117</v>
      </c>
      <c r="Q254" s="9"/>
      <c r="S254" s="3"/>
    </row>
    <row r="255" spans="1:19" ht="15" hidden="1" customHeight="1" x14ac:dyDescent="0.35">
      <c r="A255" s="26" t="s">
        <v>1168</v>
      </c>
      <c r="B255" s="32" t="s">
        <v>130</v>
      </c>
      <c r="C255" s="28"/>
      <c r="D255" s="29" t="s">
        <v>1131</v>
      </c>
      <c r="E255" s="76">
        <v>1019520</v>
      </c>
      <c r="F255" s="77">
        <f t="shared" si="11"/>
        <v>81561.600000000006</v>
      </c>
      <c r="G255" s="31">
        <f t="shared" si="12"/>
        <v>1101081.6000000001</v>
      </c>
      <c r="H255" s="74">
        <v>1101081.6000000001</v>
      </c>
      <c r="I255" s="75">
        <f t="shared" si="10"/>
        <v>0</v>
      </c>
      <c r="J255" s="75"/>
      <c r="L255" s="5">
        <v>46086</v>
      </c>
      <c r="Q255" s="9"/>
      <c r="S255" s="3"/>
    </row>
    <row r="256" spans="1:19" ht="15" hidden="1" customHeight="1" x14ac:dyDescent="0.35">
      <c r="A256" s="26" t="s">
        <v>1169</v>
      </c>
      <c r="B256" s="32" t="s">
        <v>131</v>
      </c>
      <c r="C256" s="28"/>
      <c r="D256" s="29" t="s">
        <v>1131</v>
      </c>
      <c r="E256" s="76">
        <v>10377200</v>
      </c>
      <c r="F256" s="77">
        <f t="shared" si="11"/>
        <v>830176</v>
      </c>
      <c r="G256" s="31">
        <f t="shared" si="12"/>
        <v>11207376</v>
      </c>
      <c r="H256" s="74">
        <v>11207376</v>
      </c>
      <c r="I256" s="75">
        <f t="shared" si="10"/>
        <v>0</v>
      </c>
      <c r="J256" s="75"/>
      <c r="K256" s="5">
        <v>46117</v>
      </c>
      <c r="Q256" s="9"/>
      <c r="S256" s="3"/>
    </row>
    <row r="257" spans="1:19" ht="15" hidden="1" customHeight="1" x14ac:dyDescent="0.35">
      <c r="A257" s="26" t="s">
        <v>1170</v>
      </c>
      <c r="B257" s="32" t="s">
        <v>132</v>
      </c>
      <c r="C257" s="28"/>
      <c r="D257" s="29" t="s">
        <v>1131</v>
      </c>
      <c r="E257" s="76">
        <v>5120000</v>
      </c>
      <c r="F257" s="77">
        <f t="shared" si="11"/>
        <v>409600</v>
      </c>
      <c r="G257" s="31">
        <f t="shared" si="12"/>
        <v>5529600</v>
      </c>
      <c r="H257" s="74">
        <v>5529600</v>
      </c>
      <c r="I257" s="75">
        <f t="shared" ref="I257:I315" si="13">G257-H257</f>
        <v>0</v>
      </c>
      <c r="J257" s="75"/>
      <c r="K257" s="5">
        <v>46086</v>
      </c>
      <c r="Q257" s="9"/>
      <c r="S257" s="3"/>
    </row>
    <row r="258" spans="1:19" ht="15" hidden="1" customHeight="1" x14ac:dyDescent="0.35">
      <c r="A258" s="26" t="s">
        <v>1171</v>
      </c>
      <c r="B258" s="32" t="s">
        <v>133</v>
      </c>
      <c r="C258" s="28"/>
      <c r="D258" s="29" t="s">
        <v>1131</v>
      </c>
      <c r="E258" s="76">
        <v>8036800</v>
      </c>
      <c r="F258" s="77">
        <f t="shared" ref="F258:F316" si="14">+E258*0.08</f>
        <v>642944</v>
      </c>
      <c r="G258" s="31">
        <f t="shared" si="12"/>
        <v>8679744</v>
      </c>
      <c r="H258" s="74">
        <v>8679744</v>
      </c>
      <c r="I258" s="75">
        <f t="shared" si="13"/>
        <v>0</v>
      </c>
      <c r="J258" s="75"/>
      <c r="K258" s="5">
        <v>46117</v>
      </c>
      <c r="Q258" s="9"/>
      <c r="S258" s="3"/>
    </row>
    <row r="259" spans="1:19" ht="15" hidden="1" customHeight="1" x14ac:dyDescent="0.35">
      <c r="A259" s="26" t="s">
        <v>1172</v>
      </c>
      <c r="B259" s="27" t="s">
        <v>134</v>
      </c>
      <c r="C259" s="28">
        <v>1243</v>
      </c>
      <c r="D259" s="29">
        <v>46055</v>
      </c>
      <c r="E259" s="76">
        <v>15905500</v>
      </c>
      <c r="F259" s="77">
        <f t="shared" si="14"/>
        <v>1272440</v>
      </c>
      <c r="G259" s="31">
        <f t="shared" si="12"/>
        <v>17177940</v>
      </c>
      <c r="H259" s="74">
        <v>17177940</v>
      </c>
      <c r="I259" s="75">
        <f t="shared" si="13"/>
        <v>0</v>
      </c>
      <c r="J259" s="75"/>
      <c r="K259" s="5">
        <v>46117</v>
      </c>
      <c r="Q259" s="9"/>
      <c r="S259" s="3"/>
    </row>
    <row r="260" spans="1:19" ht="15" hidden="1" customHeight="1" x14ac:dyDescent="0.35">
      <c r="A260" s="26" t="s">
        <v>1173</v>
      </c>
      <c r="B260" s="32" t="s">
        <v>135</v>
      </c>
      <c r="C260" s="28"/>
      <c r="D260" s="29" t="s">
        <v>1131</v>
      </c>
      <c r="E260" s="76">
        <v>7414000</v>
      </c>
      <c r="F260" s="77">
        <f t="shared" si="14"/>
        <v>593120</v>
      </c>
      <c r="G260" s="31">
        <f t="shared" si="12"/>
        <v>8007120</v>
      </c>
      <c r="H260" s="74">
        <v>8007120</v>
      </c>
      <c r="I260" s="75">
        <f t="shared" si="13"/>
        <v>0</v>
      </c>
      <c r="J260" s="75"/>
      <c r="K260" s="5">
        <v>46117</v>
      </c>
      <c r="Q260" s="9"/>
      <c r="S260" s="3"/>
    </row>
    <row r="261" spans="1:19" ht="15" hidden="1" customHeight="1" x14ac:dyDescent="0.35">
      <c r="A261" s="26" t="s">
        <v>1174</v>
      </c>
      <c r="B261" s="27" t="s">
        <v>136</v>
      </c>
      <c r="C261" s="28">
        <v>1118</v>
      </c>
      <c r="D261" s="29">
        <v>46052</v>
      </c>
      <c r="E261" s="76">
        <v>4050000</v>
      </c>
      <c r="F261" s="77">
        <f t="shared" si="14"/>
        <v>324000</v>
      </c>
      <c r="G261" s="31">
        <f t="shared" si="12"/>
        <v>4374000</v>
      </c>
      <c r="H261" s="74">
        <v>4374000</v>
      </c>
      <c r="I261" s="75">
        <f t="shared" si="13"/>
        <v>0</v>
      </c>
      <c r="J261" s="75"/>
      <c r="K261" s="5">
        <v>46117</v>
      </c>
      <c r="Q261" s="9"/>
      <c r="S261" s="3"/>
    </row>
    <row r="262" spans="1:19" ht="15" hidden="1" customHeight="1" x14ac:dyDescent="0.35">
      <c r="A262" s="26" t="s">
        <v>1175</v>
      </c>
      <c r="B262" s="32" t="s">
        <v>137</v>
      </c>
      <c r="C262" s="28"/>
      <c r="D262" s="29" t="s">
        <v>1131</v>
      </c>
      <c r="E262" s="76">
        <v>1512000</v>
      </c>
      <c r="F262" s="77">
        <f t="shared" si="14"/>
        <v>120960</v>
      </c>
      <c r="G262" s="31">
        <f t="shared" si="12"/>
        <v>1632960</v>
      </c>
      <c r="H262" s="74">
        <v>1632960</v>
      </c>
      <c r="I262" s="75">
        <f t="shared" si="13"/>
        <v>0</v>
      </c>
      <c r="J262" s="75"/>
      <c r="L262" s="5">
        <v>46086</v>
      </c>
      <c r="Q262" s="9"/>
      <c r="S262" s="3"/>
    </row>
    <row r="263" spans="1:19" ht="15" hidden="1" customHeight="1" x14ac:dyDescent="0.35">
      <c r="A263" s="26" t="s">
        <v>1176</v>
      </c>
      <c r="B263" s="32" t="s">
        <v>138</v>
      </c>
      <c r="C263" s="28"/>
      <c r="D263" s="29" t="s">
        <v>1131</v>
      </c>
      <c r="E263" s="76">
        <v>12324800</v>
      </c>
      <c r="F263" s="77">
        <f t="shared" si="14"/>
        <v>985984</v>
      </c>
      <c r="G263" s="31">
        <f t="shared" si="12"/>
        <v>13310784</v>
      </c>
      <c r="H263" s="74">
        <v>13310784</v>
      </c>
      <c r="I263" s="75">
        <f t="shared" si="13"/>
        <v>0</v>
      </c>
      <c r="J263" s="75"/>
      <c r="K263" s="5">
        <v>46117</v>
      </c>
      <c r="Q263" s="9"/>
      <c r="S263" s="3"/>
    </row>
    <row r="264" spans="1:19" ht="15" hidden="1" customHeight="1" x14ac:dyDescent="0.35">
      <c r="A264" s="26" t="s">
        <v>1177</v>
      </c>
      <c r="B264" s="27" t="s">
        <v>139</v>
      </c>
      <c r="C264" s="28"/>
      <c r="D264" s="29" t="s">
        <v>1131</v>
      </c>
      <c r="E264" s="76">
        <v>7870000</v>
      </c>
      <c r="F264" s="77">
        <f t="shared" si="14"/>
        <v>629600</v>
      </c>
      <c r="G264" s="31">
        <f t="shared" si="12"/>
        <v>8499600</v>
      </c>
      <c r="H264" s="74">
        <v>8499600</v>
      </c>
      <c r="I264" s="75">
        <f t="shared" si="13"/>
        <v>0</v>
      </c>
      <c r="J264" s="75"/>
      <c r="K264" s="5">
        <v>46117</v>
      </c>
      <c r="Q264" s="9"/>
      <c r="S264" s="3"/>
    </row>
    <row r="265" spans="1:19" ht="15" hidden="1" customHeight="1" x14ac:dyDescent="0.35">
      <c r="A265" s="26" t="s">
        <v>1178</v>
      </c>
      <c r="B265" s="32" t="s">
        <v>140</v>
      </c>
      <c r="C265" s="28"/>
      <c r="D265" s="29" t="s">
        <v>1131</v>
      </c>
      <c r="E265" s="76">
        <v>5510000</v>
      </c>
      <c r="F265" s="77">
        <f t="shared" si="14"/>
        <v>440800</v>
      </c>
      <c r="G265" s="31">
        <f t="shared" si="12"/>
        <v>5950800</v>
      </c>
      <c r="H265" s="74">
        <v>5950800</v>
      </c>
      <c r="I265" s="75">
        <f t="shared" si="13"/>
        <v>0</v>
      </c>
      <c r="J265" s="75"/>
      <c r="K265" s="5">
        <v>46117</v>
      </c>
      <c r="Q265" s="9"/>
      <c r="S265" s="3"/>
    </row>
    <row r="266" spans="1:19" ht="15" hidden="1" customHeight="1" x14ac:dyDescent="0.35">
      <c r="A266" s="26" t="s">
        <v>1179</v>
      </c>
      <c r="B266" s="32" t="s">
        <v>141</v>
      </c>
      <c r="C266" s="28"/>
      <c r="D266" s="29" t="s">
        <v>1131</v>
      </c>
      <c r="E266" s="76">
        <v>5000000</v>
      </c>
      <c r="F266" s="77">
        <f t="shared" si="14"/>
        <v>400000</v>
      </c>
      <c r="G266" s="31">
        <f t="shared" si="12"/>
        <v>5400000</v>
      </c>
      <c r="H266" s="74">
        <v>5400000</v>
      </c>
      <c r="I266" s="75">
        <f t="shared" si="13"/>
        <v>0</v>
      </c>
      <c r="J266" s="75"/>
      <c r="K266" s="5">
        <v>46117</v>
      </c>
      <c r="Q266" s="9"/>
      <c r="S266" s="3"/>
    </row>
    <row r="267" spans="1:19" ht="15" hidden="1" customHeight="1" x14ac:dyDescent="0.35">
      <c r="A267" s="26" t="s">
        <v>1180</v>
      </c>
      <c r="B267" s="27" t="s">
        <v>142</v>
      </c>
      <c r="C267" s="28">
        <v>1528</v>
      </c>
      <c r="D267" s="29">
        <v>46066</v>
      </c>
      <c r="E267" s="76">
        <v>15655500</v>
      </c>
      <c r="F267" s="77">
        <f t="shared" si="14"/>
        <v>1252440</v>
      </c>
      <c r="G267" s="31">
        <f t="shared" si="12"/>
        <v>16907940</v>
      </c>
      <c r="H267" s="74">
        <v>16907940</v>
      </c>
      <c r="I267" s="75">
        <f t="shared" si="13"/>
        <v>0</v>
      </c>
      <c r="J267" s="75"/>
      <c r="K267" s="5">
        <v>46117</v>
      </c>
      <c r="Q267" s="9"/>
      <c r="S267" s="3"/>
    </row>
    <row r="268" spans="1:19" ht="15" hidden="1" customHeight="1" x14ac:dyDescent="0.35">
      <c r="A268" s="26" t="s">
        <v>1181</v>
      </c>
      <c r="B268" s="32" t="s">
        <v>1026</v>
      </c>
      <c r="C268" s="28">
        <v>1420</v>
      </c>
      <c r="D268" s="29">
        <v>46060</v>
      </c>
      <c r="E268" s="76">
        <v>10050000</v>
      </c>
      <c r="F268" s="77">
        <f t="shared" si="14"/>
        <v>804000</v>
      </c>
      <c r="G268" s="31">
        <f t="shared" si="12"/>
        <v>10854000</v>
      </c>
      <c r="H268" s="74">
        <v>10854000</v>
      </c>
      <c r="I268" s="75">
        <f t="shared" si="13"/>
        <v>0</v>
      </c>
      <c r="J268" s="75"/>
      <c r="K268" s="5">
        <v>46117</v>
      </c>
      <c r="Q268" s="9"/>
      <c r="S268" s="3"/>
    </row>
    <row r="269" spans="1:19" ht="15" hidden="1" customHeight="1" x14ac:dyDescent="0.35">
      <c r="A269" s="26" t="s">
        <v>1182</v>
      </c>
      <c r="B269" s="32" t="s">
        <v>1027</v>
      </c>
      <c r="C269" s="28"/>
      <c r="D269" s="29" t="s">
        <v>1131</v>
      </c>
      <c r="E269" s="76">
        <v>24920000</v>
      </c>
      <c r="F269" s="77">
        <f t="shared" si="14"/>
        <v>1993600</v>
      </c>
      <c r="G269" s="31">
        <f t="shared" si="12"/>
        <v>26913600</v>
      </c>
      <c r="H269" s="74">
        <v>26913600</v>
      </c>
      <c r="I269" s="75">
        <f t="shared" si="13"/>
        <v>0</v>
      </c>
      <c r="J269" s="75"/>
      <c r="K269" s="5">
        <v>46117</v>
      </c>
      <c r="Q269" s="9"/>
      <c r="S269" s="3"/>
    </row>
    <row r="270" spans="1:19" ht="15" hidden="1" customHeight="1" x14ac:dyDescent="0.35">
      <c r="A270" s="26" t="s">
        <v>1183</v>
      </c>
      <c r="B270" s="32" t="s">
        <v>1028</v>
      </c>
      <c r="C270" s="28"/>
      <c r="D270" s="29" t="s">
        <v>1131</v>
      </c>
      <c r="E270" s="76">
        <v>9885600</v>
      </c>
      <c r="F270" s="77">
        <f t="shared" si="14"/>
        <v>790848</v>
      </c>
      <c r="G270" s="31">
        <f t="shared" ref="G270:G328" si="15">+F270+E270</f>
        <v>10676448</v>
      </c>
      <c r="H270" s="74">
        <v>10676448</v>
      </c>
      <c r="I270" s="75">
        <f t="shared" si="13"/>
        <v>0</v>
      </c>
      <c r="J270" s="75"/>
      <c r="K270" s="5">
        <v>46117</v>
      </c>
      <c r="Q270" s="9"/>
      <c r="S270" s="3"/>
    </row>
    <row r="271" spans="1:19" ht="15" hidden="1" customHeight="1" x14ac:dyDescent="0.35">
      <c r="A271" s="26" t="s">
        <v>1184</v>
      </c>
      <c r="B271" s="32" t="s">
        <v>1029</v>
      </c>
      <c r="C271" s="28"/>
      <c r="D271" s="29" t="s">
        <v>1131</v>
      </c>
      <c r="E271" s="76">
        <v>5205000</v>
      </c>
      <c r="F271" s="77">
        <f t="shared" si="14"/>
        <v>416400</v>
      </c>
      <c r="G271" s="31">
        <f t="shared" si="15"/>
        <v>5621400</v>
      </c>
      <c r="H271" s="74">
        <v>5621400</v>
      </c>
      <c r="I271" s="75">
        <f t="shared" si="13"/>
        <v>0</v>
      </c>
      <c r="J271" s="75"/>
      <c r="K271" s="5">
        <v>46117</v>
      </c>
      <c r="Q271" s="9"/>
      <c r="S271" s="3"/>
    </row>
    <row r="272" spans="1:19" ht="15" hidden="1" customHeight="1" x14ac:dyDescent="0.35">
      <c r="A272" s="26" t="s">
        <v>1185</v>
      </c>
      <c r="B272" s="32" t="s">
        <v>1030</v>
      </c>
      <c r="C272" s="28"/>
      <c r="D272" s="29" t="s">
        <v>1131</v>
      </c>
      <c r="E272" s="76">
        <v>7957800</v>
      </c>
      <c r="F272" s="77">
        <f t="shared" si="14"/>
        <v>636624</v>
      </c>
      <c r="G272" s="31">
        <f t="shared" si="15"/>
        <v>8594424</v>
      </c>
      <c r="H272" s="74">
        <v>8594424</v>
      </c>
      <c r="I272" s="75">
        <f t="shared" si="13"/>
        <v>0</v>
      </c>
      <c r="J272" s="75"/>
      <c r="K272" s="5">
        <v>46117</v>
      </c>
      <c r="Q272" s="9"/>
      <c r="S272" s="3"/>
    </row>
    <row r="273" spans="1:19" ht="15" hidden="1" customHeight="1" x14ac:dyDescent="0.35">
      <c r="A273" s="26" t="s">
        <v>1186</v>
      </c>
      <c r="B273" s="27" t="s">
        <v>1031</v>
      </c>
      <c r="C273" s="28"/>
      <c r="D273" s="29" t="s">
        <v>1131</v>
      </c>
      <c r="E273" s="76">
        <v>23198000</v>
      </c>
      <c r="F273" s="77">
        <f t="shared" si="14"/>
        <v>1855840</v>
      </c>
      <c r="G273" s="31">
        <f t="shared" si="15"/>
        <v>25053840</v>
      </c>
      <c r="H273" s="74">
        <v>25053840</v>
      </c>
      <c r="I273" s="75">
        <f t="shared" si="13"/>
        <v>0</v>
      </c>
      <c r="J273" s="75"/>
      <c r="K273" s="5">
        <v>46117</v>
      </c>
      <c r="Q273" s="9"/>
      <c r="S273" s="3"/>
    </row>
    <row r="274" spans="1:19" ht="15" hidden="1" customHeight="1" x14ac:dyDescent="0.35">
      <c r="A274" s="26" t="s">
        <v>1187</v>
      </c>
      <c r="B274" s="27" t="s">
        <v>1032</v>
      </c>
      <c r="C274" s="28">
        <v>1416</v>
      </c>
      <c r="D274" s="29">
        <v>46060</v>
      </c>
      <c r="E274" s="76">
        <v>2563000</v>
      </c>
      <c r="F274" s="77">
        <f t="shared" si="14"/>
        <v>205040</v>
      </c>
      <c r="G274" s="31">
        <f t="shared" si="15"/>
        <v>2768040</v>
      </c>
      <c r="H274" s="74">
        <v>2768040</v>
      </c>
      <c r="I274" s="75">
        <f t="shared" si="13"/>
        <v>0</v>
      </c>
      <c r="J274" s="75"/>
      <c r="K274" s="5">
        <v>46117</v>
      </c>
      <c r="Q274" s="9"/>
      <c r="S274" s="3"/>
    </row>
    <row r="275" spans="1:19" ht="15" hidden="1" customHeight="1" x14ac:dyDescent="0.35">
      <c r="A275" s="26" t="s">
        <v>1188</v>
      </c>
      <c r="B275" s="32" t="s">
        <v>1033</v>
      </c>
      <c r="C275" s="28"/>
      <c r="D275" s="29" t="s">
        <v>1131</v>
      </c>
      <c r="E275" s="76">
        <v>1890000</v>
      </c>
      <c r="F275" s="77">
        <f t="shared" si="14"/>
        <v>151200</v>
      </c>
      <c r="G275" s="31">
        <f t="shared" si="15"/>
        <v>2041200</v>
      </c>
      <c r="H275" s="74">
        <v>2041200</v>
      </c>
      <c r="I275" s="75">
        <f t="shared" si="13"/>
        <v>0</v>
      </c>
      <c r="J275" s="75"/>
      <c r="K275" s="5">
        <v>46117</v>
      </c>
      <c r="Q275" s="9"/>
      <c r="S275" s="3"/>
    </row>
    <row r="276" spans="1:19" ht="15" hidden="1" customHeight="1" x14ac:dyDescent="0.35">
      <c r="A276" s="26" t="s">
        <v>1189</v>
      </c>
      <c r="B276" s="32" t="s">
        <v>1034</v>
      </c>
      <c r="C276" s="28">
        <v>1529</v>
      </c>
      <c r="D276" s="29">
        <v>46066</v>
      </c>
      <c r="E276" s="76">
        <v>34626960</v>
      </c>
      <c r="F276" s="77">
        <f t="shared" si="14"/>
        <v>2770156.8000000003</v>
      </c>
      <c r="G276" s="31">
        <f t="shared" si="15"/>
        <v>37397116.799999997</v>
      </c>
      <c r="H276" s="74">
        <v>37397116.799999997</v>
      </c>
      <c r="I276" s="75">
        <f t="shared" si="13"/>
        <v>0</v>
      </c>
      <c r="J276" s="75"/>
      <c r="K276" s="5">
        <v>46117</v>
      </c>
      <c r="Q276" s="9"/>
      <c r="S276" s="3"/>
    </row>
    <row r="277" spans="1:19" ht="15" hidden="1" customHeight="1" x14ac:dyDescent="0.35">
      <c r="A277" s="26" t="s">
        <v>1191</v>
      </c>
      <c r="B277" s="32" t="s">
        <v>1035</v>
      </c>
      <c r="C277" s="28"/>
      <c r="D277" s="29" t="s">
        <v>1131</v>
      </c>
      <c r="E277" s="76">
        <v>4290000</v>
      </c>
      <c r="F277" s="77">
        <f t="shared" si="14"/>
        <v>343200</v>
      </c>
      <c r="G277" s="31">
        <f t="shared" si="15"/>
        <v>4633200</v>
      </c>
      <c r="H277" s="74">
        <v>4633200</v>
      </c>
      <c r="I277" s="75">
        <f t="shared" si="13"/>
        <v>0</v>
      </c>
      <c r="J277" s="75"/>
      <c r="K277" s="5">
        <v>46117</v>
      </c>
      <c r="Q277" s="9"/>
      <c r="S277" s="3"/>
    </row>
    <row r="278" spans="1:19" ht="15" hidden="1" customHeight="1" x14ac:dyDescent="0.35">
      <c r="A278" s="26" t="s">
        <v>1192</v>
      </c>
      <c r="B278" s="32" t="s">
        <v>1036</v>
      </c>
      <c r="C278" s="28"/>
      <c r="D278" s="29" t="s">
        <v>1131</v>
      </c>
      <c r="E278" s="76">
        <v>4665000</v>
      </c>
      <c r="F278" s="77">
        <f t="shared" si="14"/>
        <v>373200</v>
      </c>
      <c r="G278" s="31">
        <f t="shared" si="15"/>
        <v>5038200</v>
      </c>
      <c r="H278" s="74">
        <v>5038200</v>
      </c>
      <c r="I278" s="75">
        <f t="shared" si="13"/>
        <v>0</v>
      </c>
      <c r="J278" s="75"/>
      <c r="K278" s="5">
        <v>46117</v>
      </c>
      <c r="Q278" s="9"/>
      <c r="S278" s="3"/>
    </row>
    <row r="279" spans="1:19" ht="15" hidden="1" customHeight="1" x14ac:dyDescent="0.35">
      <c r="A279" s="26" t="s">
        <v>1193</v>
      </c>
      <c r="B279" s="27" t="s">
        <v>1037</v>
      </c>
      <c r="C279" s="28">
        <v>1413</v>
      </c>
      <c r="D279" s="29">
        <v>46060</v>
      </c>
      <c r="E279" s="76">
        <v>18270000</v>
      </c>
      <c r="F279" s="77">
        <f t="shared" si="14"/>
        <v>1461600</v>
      </c>
      <c r="G279" s="31">
        <f t="shared" si="15"/>
        <v>19731600</v>
      </c>
      <c r="H279" s="74">
        <v>19731600</v>
      </c>
      <c r="I279" s="75">
        <f t="shared" si="13"/>
        <v>0</v>
      </c>
      <c r="J279" s="75"/>
      <c r="K279" s="5">
        <v>46117</v>
      </c>
      <c r="Q279" s="9"/>
      <c r="S279" s="3"/>
    </row>
    <row r="280" spans="1:19" ht="15" hidden="1" customHeight="1" x14ac:dyDescent="0.35">
      <c r="A280" s="26" t="s">
        <v>1194</v>
      </c>
      <c r="B280" s="32" t="s">
        <v>1038</v>
      </c>
      <c r="C280" s="28">
        <v>1415</v>
      </c>
      <c r="D280" s="29" t="s">
        <v>1131</v>
      </c>
      <c r="E280" s="76">
        <v>20151200</v>
      </c>
      <c r="F280" s="77">
        <f t="shared" si="14"/>
        <v>1612096</v>
      </c>
      <c r="G280" s="31">
        <f t="shared" si="15"/>
        <v>21763296</v>
      </c>
      <c r="H280" s="74">
        <v>21763296</v>
      </c>
      <c r="I280" s="75">
        <f t="shared" si="13"/>
        <v>0</v>
      </c>
      <c r="J280" s="75"/>
      <c r="K280" s="5">
        <v>46117</v>
      </c>
      <c r="Q280" s="9"/>
      <c r="S280" s="3"/>
    </row>
    <row r="281" spans="1:19" ht="15" hidden="1" customHeight="1" x14ac:dyDescent="0.35">
      <c r="A281" s="26" t="s">
        <v>1195</v>
      </c>
      <c r="B281" s="32" t="s">
        <v>1039</v>
      </c>
      <c r="C281" s="28">
        <v>1239</v>
      </c>
      <c r="D281" s="29">
        <v>46055</v>
      </c>
      <c r="E281" s="76">
        <v>5355000</v>
      </c>
      <c r="F281" s="77">
        <f t="shared" si="14"/>
        <v>428400</v>
      </c>
      <c r="G281" s="31">
        <f t="shared" si="15"/>
        <v>5783400</v>
      </c>
      <c r="H281" s="74">
        <v>5783400</v>
      </c>
      <c r="I281" s="75">
        <f t="shared" si="13"/>
        <v>0</v>
      </c>
      <c r="J281" s="75"/>
      <c r="K281" s="5">
        <v>46117</v>
      </c>
      <c r="Q281" s="9"/>
      <c r="S281" s="3"/>
    </row>
    <row r="282" spans="1:19" ht="15" hidden="1" customHeight="1" x14ac:dyDescent="0.35">
      <c r="A282" s="26" t="s">
        <v>1196</v>
      </c>
      <c r="B282" s="32" t="s">
        <v>1040</v>
      </c>
      <c r="C282" s="28"/>
      <c r="D282" s="29" t="s">
        <v>1131</v>
      </c>
      <c r="E282" s="76">
        <v>4845000</v>
      </c>
      <c r="F282" s="77">
        <f t="shared" si="14"/>
        <v>387600</v>
      </c>
      <c r="G282" s="31">
        <f t="shared" si="15"/>
        <v>5232600</v>
      </c>
      <c r="H282" s="74">
        <v>5232600</v>
      </c>
      <c r="I282" s="75">
        <f t="shared" si="13"/>
        <v>0</v>
      </c>
      <c r="J282" s="75"/>
      <c r="K282" s="5">
        <v>46117</v>
      </c>
      <c r="Q282" s="9"/>
      <c r="S282" s="3"/>
    </row>
    <row r="283" spans="1:19" ht="15" hidden="1" customHeight="1" x14ac:dyDescent="0.35">
      <c r="A283" s="26" t="s">
        <v>1197</v>
      </c>
      <c r="B283" s="32" t="s">
        <v>1041</v>
      </c>
      <c r="C283" s="28">
        <v>1417</v>
      </c>
      <c r="D283" s="29">
        <v>46060</v>
      </c>
      <c r="E283" s="76">
        <v>15769500</v>
      </c>
      <c r="F283" s="77">
        <f t="shared" si="14"/>
        <v>1261560</v>
      </c>
      <c r="G283" s="31">
        <f t="shared" si="15"/>
        <v>17031060</v>
      </c>
      <c r="H283" s="74">
        <v>17031060</v>
      </c>
      <c r="I283" s="75">
        <f t="shared" si="13"/>
        <v>0</v>
      </c>
      <c r="J283" s="75"/>
      <c r="K283" s="5">
        <v>46117</v>
      </c>
      <c r="Q283" s="9"/>
      <c r="S283" s="3"/>
    </row>
    <row r="284" spans="1:19" ht="15" hidden="1" customHeight="1" x14ac:dyDescent="0.35">
      <c r="A284" s="26" t="s">
        <v>1198</v>
      </c>
      <c r="B284" s="32" t="s">
        <v>1042</v>
      </c>
      <c r="C284" s="28"/>
      <c r="D284" s="29" t="s">
        <v>1131</v>
      </c>
      <c r="E284" s="76">
        <v>2730000</v>
      </c>
      <c r="F284" s="77">
        <f t="shared" si="14"/>
        <v>218400</v>
      </c>
      <c r="G284" s="31">
        <f t="shared" si="15"/>
        <v>2948400</v>
      </c>
      <c r="H284" s="74">
        <v>2948400</v>
      </c>
      <c r="I284" s="75">
        <f t="shared" si="13"/>
        <v>0</v>
      </c>
      <c r="J284" s="75"/>
      <c r="K284" s="5">
        <v>46117</v>
      </c>
      <c r="Q284" s="9"/>
      <c r="S284" s="3"/>
    </row>
    <row r="285" spans="1:19" ht="15" hidden="1" customHeight="1" x14ac:dyDescent="0.35">
      <c r="A285" s="26" t="s">
        <v>1199</v>
      </c>
      <c r="B285" s="27" t="s">
        <v>1043</v>
      </c>
      <c r="C285" s="28"/>
      <c r="D285" s="29" t="s">
        <v>1131</v>
      </c>
      <c r="E285" s="76">
        <v>12315000</v>
      </c>
      <c r="F285" s="77">
        <f t="shared" si="14"/>
        <v>985200</v>
      </c>
      <c r="G285" s="31">
        <f t="shared" si="15"/>
        <v>13300200</v>
      </c>
      <c r="H285" s="74">
        <v>13300200</v>
      </c>
      <c r="I285" s="75">
        <f t="shared" si="13"/>
        <v>0</v>
      </c>
      <c r="J285" s="75"/>
      <c r="K285" s="5">
        <v>46117</v>
      </c>
      <c r="Q285" s="9"/>
      <c r="S285" s="3"/>
    </row>
    <row r="286" spans="1:19" ht="15" hidden="1" customHeight="1" x14ac:dyDescent="0.35">
      <c r="A286" s="26" t="s">
        <v>1200</v>
      </c>
      <c r="B286" s="27" t="s">
        <v>1044</v>
      </c>
      <c r="C286" s="28"/>
      <c r="D286" s="29" t="s">
        <v>1131</v>
      </c>
      <c r="E286" s="76">
        <v>11326400</v>
      </c>
      <c r="F286" s="77">
        <f t="shared" si="14"/>
        <v>906112</v>
      </c>
      <c r="G286" s="31">
        <f t="shared" si="15"/>
        <v>12232512</v>
      </c>
      <c r="H286" s="74">
        <v>12232512</v>
      </c>
      <c r="I286" s="75">
        <f t="shared" si="13"/>
        <v>0</v>
      </c>
      <c r="J286" s="75"/>
      <c r="K286" s="5">
        <v>46117</v>
      </c>
      <c r="Q286" s="9"/>
      <c r="S286" s="3"/>
    </row>
    <row r="287" spans="1:19" ht="15" hidden="1" customHeight="1" x14ac:dyDescent="0.35">
      <c r="A287" s="26" t="s">
        <v>1201</v>
      </c>
      <c r="B287" s="27" t="s">
        <v>1045</v>
      </c>
      <c r="C287" s="28"/>
      <c r="D287" s="29" t="s">
        <v>1131</v>
      </c>
      <c r="E287" s="76">
        <v>13530000</v>
      </c>
      <c r="F287" s="77">
        <f t="shared" si="14"/>
        <v>1082400</v>
      </c>
      <c r="G287" s="31">
        <f t="shared" si="15"/>
        <v>14612400</v>
      </c>
      <c r="H287" s="31">
        <v>14612400</v>
      </c>
      <c r="I287" s="75">
        <f t="shared" si="13"/>
        <v>0</v>
      </c>
      <c r="J287" s="75"/>
      <c r="K287" s="5">
        <v>46117</v>
      </c>
      <c r="Q287" s="9"/>
      <c r="S287" s="3"/>
    </row>
    <row r="288" spans="1:19" ht="15" hidden="1" customHeight="1" x14ac:dyDescent="0.35">
      <c r="A288" s="26" t="s">
        <v>1202</v>
      </c>
      <c r="B288" s="32" t="s">
        <v>1046</v>
      </c>
      <c r="C288" s="28"/>
      <c r="D288" s="29" t="s">
        <v>1131</v>
      </c>
      <c r="E288" s="76">
        <v>10415000</v>
      </c>
      <c r="F288" s="77">
        <f t="shared" si="14"/>
        <v>833200</v>
      </c>
      <c r="G288" s="31">
        <f t="shared" si="15"/>
        <v>11248200</v>
      </c>
      <c r="H288" s="74">
        <v>11248200</v>
      </c>
      <c r="I288" s="75">
        <f t="shared" si="13"/>
        <v>0</v>
      </c>
      <c r="J288" s="75"/>
      <c r="K288" s="5">
        <v>46117</v>
      </c>
      <c r="Q288" s="9"/>
      <c r="S288" s="3"/>
    </row>
    <row r="289" spans="1:19" ht="15" hidden="1" customHeight="1" x14ac:dyDescent="0.35">
      <c r="A289" s="26" t="s">
        <v>1204</v>
      </c>
      <c r="B289" s="32" t="s">
        <v>1047</v>
      </c>
      <c r="C289" s="28"/>
      <c r="D289" s="29" t="s">
        <v>1131</v>
      </c>
      <c r="E289" s="76">
        <v>900000</v>
      </c>
      <c r="F289" s="77">
        <f t="shared" si="14"/>
        <v>72000</v>
      </c>
      <c r="G289" s="31">
        <f t="shared" si="15"/>
        <v>972000</v>
      </c>
      <c r="H289" s="74">
        <v>972000</v>
      </c>
      <c r="I289" s="75">
        <f t="shared" si="13"/>
        <v>0</v>
      </c>
      <c r="J289" s="75"/>
      <c r="K289" s="5">
        <v>46117</v>
      </c>
      <c r="Q289" s="9"/>
      <c r="S289" s="3"/>
    </row>
    <row r="290" spans="1:19" ht="15" hidden="1" customHeight="1" x14ac:dyDescent="0.35">
      <c r="A290" s="26" t="s">
        <v>1206</v>
      </c>
      <c r="B290" s="32" t="s">
        <v>1048</v>
      </c>
      <c r="C290" s="28"/>
      <c r="D290" s="29" t="s">
        <v>1131</v>
      </c>
      <c r="E290" s="76">
        <v>6665000</v>
      </c>
      <c r="F290" s="77">
        <f t="shared" si="14"/>
        <v>533200</v>
      </c>
      <c r="G290" s="31">
        <f t="shared" si="15"/>
        <v>7198200</v>
      </c>
      <c r="H290" s="74">
        <v>7198200</v>
      </c>
      <c r="I290" s="75">
        <f t="shared" si="13"/>
        <v>0</v>
      </c>
      <c r="J290" s="75"/>
      <c r="K290" s="5">
        <v>46117</v>
      </c>
      <c r="Q290" s="9"/>
      <c r="S290" s="3"/>
    </row>
    <row r="291" spans="1:19" ht="15" hidden="1" customHeight="1" x14ac:dyDescent="0.35">
      <c r="A291" s="26" t="s">
        <v>1207</v>
      </c>
      <c r="B291" s="32" t="s">
        <v>1049</v>
      </c>
      <c r="C291" s="28"/>
      <c r="D291" s="29" t="s">
        <v>1131</v>
      </c>
      <c r="E291" s="76">
        <v>1005000</v>
      </c>
      <c r="F291" s="77">
        <f t="shared" si="14"/>
        <v>80400</v>
      </c>
      <c r="G291" s="31">
        <f t="shared" si="15"/>
        <v>1085400</v>
      </c>
      <c r="H291" s="74">
        <v>1085400</v>
      </c>
      <c r="I291" s="75">
        <f t="shared" si="13"/>
        <v>0</v>
      </c>
      <c r="J291" s="75"/>
      <c r="K291" s="5">
        <v>46117</v>
      </c>
      <c r="Q291" s="9"/>
      <c r="S291" s="3"/>
    </row>
    <row r="292" spans="1:19" ht="15" hidden="1" customHeight="1" x14ac:dyDescent="0.35">
      <c r="A292" s="26" t="s">
        <v>1208</v>
      </c>
      <c r="B292" s="32" t="s">
        <v>1050</v>
      </c>
      <c r="C292" s="28"/>
      <c r="D292" s="29" t="s">
        <v>1131</v>
      </c>
      <c r="E292" s="76">
        <v>5560000</v>
      </c>
      <c r="F292" s="77">
        <f t="shared" si="14"/>
        <v>444800</v>
      </c>
      <c r="G292" s="31">
        <f t="shared" si="15"/>
        <v>6004800</v>
      </c>
      <c r="H292" s="74">
        <v>6004800</v>
      </c>
      <c r="I292" s="75">
        <f t="shared" si="13"/>
        <v>0</v>
      </c>
      <c r="J292" s="75"/>
      <c r="K292" s="5">
        <v>46117</v>
      </c>
      <c r="Q292" s="9"/>
      <c r="S292" s="3"/>
    </row>
    <row r="293" spans="1:19" ht="15" hidden="1" customHeight="1" x14ac:dyDescent="0.35">
      <c r="A293" s="26" t="s">
        <v>1209</v>
      </c>
      <c r="B293" s="32" t="s">
        <v>1051</v>
      </c>
      <c r="C293" s="28"/>
      <c r="D293" s="29" t="s">
        <v>1131</v>
      </c>
      <c r="E293" s="76">
        <v>2565000</v>
      </c>
      <c r="F293" s="77">
        <f t="shared" si="14"/>
        <v>205200</v>
      </c>
      <c r="G293" s="31">
        <f t="shared" si="15"/>
        <v>2770200</v>
      </c>
      <c r="H293" s="74">
        <v>2770200</v>
      </c>
      <c r="I293" s="75">
        <f t="shared" si="13"/>
        <v>0</v>
      </c>
      <c r="J293" s="75"/>
      <c r="K293" s="5">
        <v>46117</v>
      </c>
      <c r="Q293" s="9"/>
      <c r="S293" s="3"/>
    </row>
    <row r="294" spans="1:19" ht="15" hidden="1" customHeight="1" x14ac:dyDescent="0.35">
      <c r="A294" s="26" t="s">
        <v>1210</v>
      </c>
      <c r="B294" s="32" t="s">
        <v>1052</v>
      </c>
      <c r="C294" s="28"/>
      <c r="D294" s="29" t="s">
        <v>1131</v>
      </c>
      <c r="E294" s="76">
        <v>5745000</v>
      </c>
      <c r="F294" s="77">
        <f t="shared" si="14"/>
        <v>459600</v>
      </c>
      <c r="G294" s="31">
        <f t="shared" si="15"/>
        <v>6204600</v>
      </c>
      <c r="H294" s="74">
        <v>6204600</v>
      </c>
      <c r="I294" s="75">
        <f t="shared" si="13"/>
        <v>0</v>
      </c>
      <c r="J294" s="75"/>
      <c r="K294" s="5">
        <v>46117</v>
      </c>
      <c r="Q294" s="9"/>
      <c r="S294" s="3"/>
    </row>
    <row r="295" spans="1:19" ht="15" hidden="1" customHeight="1" x14ac:dyDescent="0.35">
      <c r="A295" s="26" t="s">
        <v>1211</v>
      </c>
      <c r="B295" s="32" t="s">
        <v>1053</v>
      </c>
      <c r="C295" s="28"/>
      <c r="D295" s="29" t="s">
        <v>1131</v>
      </c>
      <c r="E295" s="76">
        <v>2010000</v>
      </c>
      <c r="F295" s="77">
        <f t="shared" si="14"/>
        <v>160800</v>
      </c>
      <c r="G295" s="31">
        <f t="shared" si="15"/>
        <v>2170800</v>
      </c>
      <c r="H295" s="74">
        <v>2170800</v>
      </c>
      <c r="I295" s="75">
        <f t="shared" si="13"/>
        <v>0</v>
      </c>
      <c r="J295" s="75"/>
      <c r="K295" s="5">
        <v>46117</v>
      </c>
      <c r="Q295" s="9"/>
      <c r="S295" s="3"/>
    </row>
    <row r="296" spans="1:19" ht="15" hidden="1" customHeight="1" x14ac:dyDescent="0.35">
      <c r="A296" s="26" t="s">
        <v>1212</v>
      </c>
      <c r="B296" s="32" t="s">
        <v>1054</v>
      </c>
      <c r="C296" s="28"/>
      <c r="D296" s="29" t="s">
        <v>1131</v>
      </c>
      <c r="E296" s="76">
        <v>750000</v>
      </c>
      <c r="F296" s="77">
        <f t="shared" si="14"/>
        <v>60000</v>
      </c>
      <c r="G296" s="31">
        <f t="shared" si="15"/>
        <v>810000</v>
      </c>
      <c r="H296" s="74">
        <v>810000</v>
      </c>
      <c r="I296" s="75">
        <f t="shared" si="13"/>
        <v>0</v>
      </c>
      <c r="J296" s="75"/>
      <c r="K296" s="5">
        <v>46117</v>
      </c>
      <c r="Q296" s="9"/>
      <c r="S296" s="3"/>
    </row>
    <row r="297" spans="1:19" ht="15" hidden="1" customHeight="1" x14ac:dyDescent="0.35">
      <c r="A297" s="26" t="s">
        <v>1213</v>
      </c>
      <c r="B297" s="32" t="s">
        <v>1055</v>
      </c>
      <c r="C297" s="28"/>
      <c r="D297" s="29" t="s">
        <v>1131</v>
      </c>
      <c r="E297" s="76">
        <v>960000</v>
      </c>
      <c r="F297" s="77">
        <f t="shared" si="14"/>
        <v>76800</v>
      </c>
      <c r="G297" s="31">
        <f t="shared" si="15"/>
        <v>1036800</v>
      </c>
      <c r="H297" s="74">
        <v>1036800</v>
      </c>
      <c r="I297" s="75">
        <f t="shared" si="13"/>
        <v>0</v>
      </c>
      <c r="J297" s="75"/>
      <c r="K297" s="5">
        <v>46117</v>
      </c>
      <c r="Q297" s="9"/>
      <c r="S297" s="3"/>
    </row>
    <row r="298" spans="1:19" ht="15" hidden="1" customHeight="1" x14ac:dyDescent="0.35">
      <c r="A298" s="26" t="s">
        <v>1214</v>
      </c>
      <c r="B298" s="27" t="s">
        <v>1056</v>
      </c>
      <c r="C298" s="28"/>
      <c r="D298" s="29" t="s">
        <v>1131</v>
      </c>
      <c r="E298" s="76">
        <v>1005000</v>
      </c>
      <c r="F298" s="77">
        <f t="shared" si="14"/>
        <v>80400</v>
      </c>
      <c r="G298" s="31">
        <f t="shared" si="15"/>
        <v>1085400</v>
      </c>
      <c r="H298" s="74">
        <v>1085400</v>
      </c>
      <c r="I298" s="75">
        <f t="shared" si="13"/>
        <v>0</v>
      </c>
      <c r="J298" s="75"/>
      <c r="K298" s="5">
        <v>46117</v>
      </c>
      <c r="Q298" s="9"/>
      <c r="S298" s="3"/>
    </row>
    <row r="299" spans="1:19" ht="15" hidden="1" customHeight="1" x14ac:dyDescent="0.35">
      <c r="A299" s="26" t="s">
        <v>1215</v>
      </c>
      <c r="B299" s="32" t="s">
        <v>1057</v>
      </c>
      <c r="C299" s="28"/>
      <c r="D299" s="29" t="s">
        <v>1131</v>
      </c>
      <c r="E299" s="76">
        <v>1005000</v>
      </c>
      <c r="F299" s="77">
        <f t="shared" si="14"/>
        <v>80400</v>
      </c>
      <c r="G299" s="31">
        <f t="shared" si="15"/>
        <v>1085400</v>
      </c>
      <c r="H299" s="74">
        <v>1085400</v>
      </c>
      <c r="I299" s="75">
        <f t="shared" si="13"/>
        <v>0</v>
      </c>
      <c r="J299" s="75"/>
      <c r="K299" s="5">
        <v>46117</v>
      </c>
      <c r="Q299" s="9"/>
      <c r="S299" s="3"/>
    </row>
    <row r="300" spans="1:19" ht="15" hidden="1" customHeight="1" x14ac:dyDescent="0.35">
      <c r="A300" s="26" t="s">
        <v>1216</v>
      </c>
      <c r="B300" s="32" t="s">
        <v>1058</v>
      </c>
      <c r="C300" s="28"/>
      <c r="D300" s="29" t="s">
        <v>1131</v>
      </c>
      <c r="E300" s="76">
        <v>960000</v>
      </c>
      <c r="F300" s="77">
        <f t="shared" si="14"/>
        <v>76800</v>
      </c>
      <c r="G300" s="31">
        <f t="shared" si="15"/>
        <v>1036800</v>
      </c>
      <c r="H300" s="74">
        <v>1036800</v>
      </c>
      <c r="I300" s="75">
        <f t="shared" si="13"/>
        <v>0</v>
      </c>
      <c r="J300" s="75"/>
      <c r="K300" s="5">
        <v>46117</v>
      </c>
      <c r="Q300" s="9"/>
      <c r="S300" s="3"/>
    </row>
    <row r="301" spans="1:19" ht="15" hidden="1" customHeight="1" x14ac:dyDescent="0.35">
      <c r="A301" s="26" t="s">
        <v>1217</v>
      </c>
      <c r="B301" s="32" t="s">
        <v>1059</v>
      </c>
      <c r="C301" s="28"/>
      <c r="D301" s="29" t="s">
        <v>1131</v>
      </c>
      <c r="E301" s="76">
        <v>1005000</v>
      </c>
      <c r="F301" s="77">
        <f t="shared" si="14"/>
        <v>80400</v>
      </c>
      <c r="G301" s="31">
        <f t="shared" si="15"/>
        <v>1085400</v>
      </c>
      <c r="H301" s="74">
        <v>1085400</v>
      </c>
      <c r="I301" s="75">
        <f t="shared" si="13"/>
        <v>0</v>
      </c>
      <c r="J301" s="75"/>
      <c r="K301" s="5">
        <v>46117</v>
      </c>
      <c r="Q301" s="9"/>
      <c r="S301" s="3"/>
    </row>
    <row r="302" spans="1:19" ht="15" hidden="1" customHeight="1" x14ac:dyDescent="0.35">
      <c r="A302" s="26" t="s">
        <v>1218</v>
      </c>
      <c r="B302" s="27" t="s">
        <v>1060</v>
      </c>
      <c r="C302" s="28"/>
      <c r="D302" s="29" t="s">
        <v>1131</v>
      </c>
      <c r="E302" s="76">
        <v>960000</v>
      </c>
      <c r="F302" s="77">
        <f t="shared" si="14"/>
        <v>76800</v>
      </c>
      <c r="G302" s="31">
        <f t="shared" si="15"/>
        <v>1036800</v>
      </c>
      <c r="H302" s="74">
        <v>1036800</v>
      </c>
      <c r="I302" s="75">
        <f t="shared" si="13"/>
        <v>0</v>
      </c>
      <c r="J302" s="75"/>
      <c r="K302" s="5">
        <v>46117</v>
      </c>
      <c r="Q302" s="9"/>
      <c r="S302" s="3"/>
    </row>
    <row r="303" spans="1:19" ht="15" hidden="1" customHeight="1" x14ac:dyDescent="0.35">
      <c r="A303" s="26" t="s">
        <v>1219</v>
      </c>
      <c r="B303" s="32" t="s">
        <v>1061</v>
      </c>
      <c r="C303" s="28"/>
      <c r="D303" s="29" t="s">
        <v>1131</v>
      </c>
      <c r="E303" s="76">
        <v>960000</v>
      </c>
      <c r="F303" s="77">
        <f t="shared" si="14"/>
        <v>76800</v>
      </c>
      <c r="G303" s="31">
        <f t="shared" si="15"/>
        <v>1036800</v>
      </c>
      <c r="H303" s="74">
        <v>1036800</v>
      </c>
      <c r="I303" s="75">
        <f t="shared" si="13"/>
        <v>0</v>
      </c>
      <c r="J303" s="75"/>
      <c r="K303" s="5">
        <v>46117</v>
      </c>
      <c r="Q303" s="9"/>
      <c r="S303" s="3"/>
    </row>
    <row r="304" spans="1:19" ht="15" hidden="1" customHeight="1" x14ac:dyDescent="0.35">
      <c r="A304" s="26" t="s">
        <v>1220</v>
      </c>
      <c r="B304" s="32" t="s">
        <v>1062</v>
      </c>
      <c r="C304" s="28"/>
      <c r="D304" s="29" t="s">
        <v>1131</v>
      </c>
      <c r="E304" s="76">
        <v>10110000</v>
      </c>
      <c r="F304" s="77">
        <f t="shared" si="14"/>
        <v>808800</v>
      </c>
      <c r="G304" s="31">
        <f t="shared" si="15"/>
        <v>10918800</v>
      </c>
      <c r="H304" s="74">
        <v>10918800</v>
      </c>
      <c r="I304" s="75">
        <f t="shared" si="13"/>
        <v>0</v>
      </c>
      <c r="J304" s="75"/>
      <c r="K304" s="5">
        <v>46117</v>
      </c>
      <c r="Q304" s="9"/>
      <c r="S304" s="3"/>
    </row>
    <row r="305" spans="1:19" ht="15" hidden="1" customHeight="1" x14ac:dyDescent="0.35">
      <c r="A305" s="26" t="s">
        <v>1203</v>
      </c>
      <c r="B305" s="32" t="s">
        <v>1063</v>
      </c>
      <c r="C305" s="28">
        <v>1247</v>
      </c>
      <c r="D305" s="29">
        <v>46055</v>
      </c>
      <c r="E305" s="76">
        <v>30629780</v>
      </c>
      <c r="F305" s="77">
        <f t="shared" si="14"/>
        <v>2450382.4</v>
      </c>
      <c r="G305" s="31">
        <f t="shared" si="15"/>
        <v>33080162.399999999</v>
      </c>
      <c r="H305" s="74">
        <v>33080162.399999999</v>
      </c>
      <c r="I305" s="75">
        <f t="shared" si="13"/>
        <v>0</v>
      </c>
      <c r="J305" s="75"/>
      <c r="K305" s="5">
        <v>46117</v>
      </c>
      <c r="Q305" s="9"/>
      <c r="S305" s="3"/>
    </row>
    <row r="306" spans="1:19" ht="15" hidden="1" customHeight="1" x14ac:dyDescent="0.35">
      <c r="A306" s="26" t="s">
        <v>1190</v>
      </c>
      <c r="B306" s="32" t="s">
        <v>1064</v>
      </c>
      <c r="C306" s="28"/>
      <c r="D306" s="29">
        <v>46046</v>
      </c>
      <c r="E306" s="76">
        <v>8600000</v>
      </c>
      <c r="F306" s="77">
        <f t="shared" si="14"/>
        <v>688000</v>
      </c>
      <c r="G306" s="31">
        <f t="shared" si="15"/>
        <v>9288000</v>
      </c>
      <c r="H306" s="74">
        <v>9288000</v>
      </c>
      <c r="I306" s="75">
        <f t="shared" si="13"/>
        <v>0</v>
      </c>
      <c r="J306" s="75"/>
      <c r="K306" s="5">
        <v>46117</v>
      </c>
      <c r="Q306" s="9"/>
      <c r="S306" s="3"/>
    </row>
    <row r="307" spans="1:19" ht="15" hidden="1" customHeight="1" x14ac:dyDescent="0.35">
      <c r="A307" s="26" t="s">
        <v>1205</v>
      </c>
      <c r="B307" s="32" t="s">
        <v>1065</v>
      </c>
      <c r="C307" s="28"/>
      <c r="D307" s="29" t="s">
        <v>1132</v>
      </c>
      <c r="E307" s="76">
        <v>12280800</v>
      </c>
      <c r="F307" s="77">
        <f t="shared" si="14"/>
        <v>982464</v>
      </c>
      <c r="G307" s="31">
        <f t="shared" si="15"/>
        <v>13263264</v>
      </c>
      <c r="H307" s="74">
        <v>13263264</v>
      </c>
      <c r="I307" s="75">
        <f t="shared" si="13"/>
        <v>0</v>
      </c>
      <c r="J307" s="75"/>
      <c r="K307" s="5">
        <v>46117</v>
      </c>
      <c r="Q307" s="9"/>
      <c r="S307" s="3"/>
    </row>
    <row r="308" spans="1:19" ht="15" hidden="1" customHeight="1" x14ac:dyDescent="0.35">
      <c r="A308" s="26" t="s">
        <v>1221</v>
      </c>
      <c r="B308" s="32" t="s">
        <v>1066</v>
      </c>
      <c r="C308" s="28">
        <v>1727</v>
      </c>
      <c r="D308" s="29">
        <v>46080</v>
      </c>
      <c r="E308" s="76">
        <v>904500</v>
      </c>
      <c r="F308" s="77">
        <f t="shared" si="14"/>
        <v>72360</v>
      </c>
      <c r="G308" s="31">
        <f t="shared" si="15"/>
        <v>976860</v>
      </c>
      <c r="H308" s="74">
        <v>976860</v>
      </c>
      <c r="I308" s="75">
        <f t="shared" si="13"/>
        <v>0</v>
      </c>
      <c r="J308" s="75"/>
      <c r="K308" s="5">
        <v>46127</v>
      </c>
      <c r="Q308" s="9"/>
      <c r="S308" s="3"/>
    </row>
    <row r="309" spans="1:19" ht="15" hidden="1" customHeight="1" x14ac:dyDescent="0.35">
      <c r="A309" s="26" t="s">
        <v>1222</v>
      </c>
      <c r="B309" s="32" t="s">
        <v>1067</v>
      </c>
      <c r="C309" s="28"/>
      <c r="D309" s="29" t="s">
        <v>1132</v>
      </c>
      <c r="E309" s="76">
        <v>2010000</v>
      </c>
      <c r="F309" s="77">
        <f t="shared" si="14"/>
        <v>160800</v>
      </c>
      <c r="G309" s="31">
        <f t="shared" si="15"/>
        <v>2170800</v>
      </c>
      <c r="H309" s="74">
        <v>2170800</v>
      </c>
      <c r="I309" s="75">
        <f t="shared" si="13"/>
        <v>0</v>
      </c>
      <c r="J309" s="75"/>
      <c r="K309" s="5">
        <v>46117</v>
      </c>
      <c r="Q309" s="9"/>
      <c r="S309" s="3"/>
    </row>
    <row r="310" spans="1:19" ht="15" hidden="1" customHeight="1" x14ac:dyDescent="0.35">
      <c r="A310" s="26" t="s">
        <v>1223</v>
      </c>
      <c r="B310" s="32" t="s">
        <v>1068</v>
      </c>
      <c r="C310" s="28"/>
      <c r="D310" s="29" t="s">
        <v>1132</v>
      </c>
      <c r="E310" s="76">
        <v>1965000</v>
      </c>
      <c r="F310" s="77">
        <f t="shared" si="14"/>
        <v>157200</v>
      </c>
      <c r="G310" s="31">
        <f t="shared" si="15"/>
        <v>2122200</v>
      </c>
      <c r="H310" s="74">
        <v>2122200</v>
      </c>
      <c r="I310" s="75">
        <f t="shared" si="13"/>
        <v>0</v>
      </c>
      <c r="J310" s="75"/>
      <c r="K310" s="5">
        <v>46117</v>
      </c>
      <c r="Q310" s="9"/>
      <c r="S310" s="3"/>
    </row>
    <row r="311" spans="1:19" ht="15" hidden="1" customHeight="1" x14ac:dyDescent="0.35">
      <c r="A311" s="26" t="s">
        <v>1224</v>
      </c>
      <c r="B311" s="32" t="s">
        <v>1069</v>
      </c>
      <c r="C311" s="28"/>
      <c r="D311" s="29" t="s">
        <v>1132</v>
      </c>
      <c r="E311" s="76">
        <v>1005000</v>
      </c>
      <c r="F311" s="77">
        <f t="shared" si="14"/>
        <v>80400</v>
      </c>
      <c r="G311" s="31">
        <f t="shared" si="15"/>
        <v>1085400</v>
      </c>
      <c r="H311" s="74">
        <v>1085400</v>
      </c>
      <c r="I311" s="75">
        <f t="shared" si="13"/>
        <v>0</v>
      </c>
      <c r="J311" s="75"/>
      <c r="K311" s="5">
        <v>46117</v>
      </c>
      <c r="Q311" s="9"/>
      <c r="S311" s="3"/>
    </row>
    <row r="312" spans="1:19" ht="15" hidden="1" customHeight="1" x14ac:dyDescent="0.35">
      <c r="A312" s="26" t="s">
        <v>1225</v>
      </c>
      <c r="B312" s="32" t="s">
        <v>1070</v>
      </c>
      <c r="C312" s="28"/>
      <c r="D312" s="29" t="s">
        <v>1132</v>
      </c>
      <c r="E312" s="76">
        <v>3630000</v>
      </c>
      <c r="F312" s="77">
        <f t="shared" si="14"/>
        <v>290400</v>
      </c>
      <c r="G312" s="31">
        <f t="shared" si="15"/>
        <v>3920400</v>
      </c>
      <c r="H312" s="74">
        <v>3920400</v>
      </c>
      <c r="I312" s="75">
        <f t="shared" si="13"/>
        <v>0</v>
      </c>
      <c r="J312" s="75"/>
      <c r="K312" s="5">
        <v>46117</v>
      </c>
      <c r="Q312" s="9"/>
      <c r="S312" s="3"/>
    </row>
    <row r="313" spans="1:19" ht="15" hidden="1" customHeight="1" x14ac:dyDescent="0.35">
      <c r="A313" s="26" t="s">
        <v>1226</v>
      </c>
      <c r="B313" s="32" t="s">
        <v>1071</v>
      </c>
      <c r="C313" s="28"/>
      <c r="D313" s="29" t="s">
        <v>1133</v>
      </c>
      <c r="E313" s="76">
        <v>1019520</v>
      </c>
      <c r="F313" s="77">
        <f t="shared" si="14"/>
        <v>81561.600000000006</v>
      </c>
      <c r="G313" s="31">
        <f t="shared" si="15"/>
        <v>1101081.6000000001</v>
      </c>
      <c r="H313" s="74">
        <v>1101081.6000000001</v>
      </c>
      <c r="I313" s="75">
        <f t="shared" si="13"/>
        <v>0</v>
      </c>
      <c r="J313" s="75"/>
      <c r="L313" s="5">
        <v>46086</v>
      </c>
      <c r="Q313" s="9"/>
      <c r="S313" s="3"/>
    </row>
    <row r="314" spans="1:19" ht="15" hidden="1" customHeight="1" x14ac:dyDescent="0.35">
      <c r="A314" s="26" t="s">
        <v>1227</v>
      </c>
      <c r="B314" s="27" t="s">
        <v>1072</v>
      </c>
      <c r="C314" s="28">
        <v>1531</v>
      </c>
      <c r="D314" s="29">
        <v>46066</v>
      </c>
      <c r="E314" s="76">
        <v>10503320</v>
      </c>
      <c r="F314" s="77">
        <f t="shared" si="14"/>
        <v>840265.6</v>
      </c>
      <c r="G314" s="31">
        <f t="shared" si="15"/>
        <v>11343585.6</v>
      </c>
      <c r="H314" s="74">
        <v>11343585.6</v>
      </c>
      <c r="I314" s="75">
        <f t="shared" si="13"/>
        <v>0</v>
      </c>
      <c r="J314" s="75"/>
      <c r="K314" s="5">
        <v>46117</v>
      </c>
      <c r="Q314" s="9"/>
      <c r="S314" s="3"/>
    </row>
    <row r="315" spans="1:19" ht="15" hidden="1" customHeight="1" x14ac:dyDescent="0.35">
      <c r="A315" s="26" t="s">
        <v>1228</v>
      </c>
      <c r="B315" s="32" t="s">
        <v>1073</v>
      </c>
      <c r="C315" s="28"/>
      <c r="D315" s="29" t="s">
        <v>1133</v>
      </c>
      <c r="E315" s="76">
        <v>37883600</v>
      </c>
      <c r="F315" s="77">
        <f t="shared" si="14"/>
        <v>3030688</v>
      </c>
      <c r="G315" s="31">
        <f t="shared" si="15"/>
        <v>40914288</v>
      </c>
      <c r="H315" s="74">
        <v>40914288</v>
      </c>
      <c r="I315" s="75">
        <f t="shared" si="13"/>
        <v>0</v>
      </c>
      <c r="J315" s="75"/>
      <c r="K315" s="5">
        <v>46117</v>
      </c>
      <c r="Q315" s="9"/>
      <c r="S315" s="3"/>
    </row>
    <row r="316" spans="1:19" ht="15" hidden="1" customHeight="1" x14ac:dyDescent="0.35">
      <c r="A316" s="26" t="s">
        <v>1229</v>
      </c>
      <c r="B316" s="27" t="s">
        <v>1074</v>
      </c>
      <c r="C316" s="28"/>
      <c r="D316" s="29" t="s">
        <v>1133</v>
      </c>
      <c r="E316" s="76">
        <v>42131360</v>
      </c>
      <c r="F316" s="77">
        <f t="shared" si="14"/>
        <v>3370508.8000000003</v>
      </c>
      <c r="G316" s="31">
        <f t="shared" si="15"/>
        <v>45501868.799999997</v>
      </c>
      <c r="H316" s="74">
        <v>45501868.799999997</v>
      </c>
      <c r="I316" s="75">
        <f t="shared" ref="I316:I377" si="16">G316-H316</f>
        <v>0</v>
      </c>
      <c r="J316" s="75"/>
      <c r="K316" s="5">
        <v>46117</v>
      </c>
      <c r="Q316" s="9"/>
      <c r="S316" s="3"/>
    </row>
    <row r="317" spans="1:19" ht="15" hidden="1" customHeight="1" x14ac:dyDescent="0.35">
      <c r="A317" s="26" t="s">
        <v>1230</v>
      </c>
      <c r="B317" s="32" t="s">
        <v>1075</v>
      </c>
      <c r="C317" s="28"/>
      <c r="D317" s="29" t="s">
        <v>1133</v>
      </c>
      <c r="E317" s="76">
        <v>7558000</v>
      </c>
      <c r="F317" s="77">
        <f t="shared" ref="F317:F378" si="17">+E317*0.08</f>
        <v>604640</v>
      </c>
      <c r="G317" s="31">
        <f t="shared" si="15"/>
        <v>8162640</v>
      </c>
      <c r="H317" s="74">
        <v>8162640</v>
      </c>
      <c r="I317" s="75">
        <f t="shared" si="16"/>
        <v>0</v>
      </c>
      <c r="J317" s="75"/>
      <c r="K317" s="5">
        <v>46117</v>
      </c>
      <c r="Q317" s="9"/>
      <c r="S317" s="3"/>
    </row>
    <row r="318" spans="1:19" ht="15" hidden="1" customHeight="1" x14ac:dyDescent="0.35">
      <c r="A318" s="26" t="s">
        <v>1231</v>
      </c>
      <c r="B318" s="32" t="s">
        <v>1076</v>
      </c>
      <c r="C318" s="28">
        <v>1394</v>
      </c>
      <c r="D318" s="29">
        <v>46060</v>
      </c>
      <c r="E318" s="76">
        <v>17854800</v>
      </c>
      <c r="F318" s="77">
        <f t="shared" si="17"/>
        <v>1428384</v>
      </c>
      <c r="G318" s="31">
        <f t="shared" si="15"/>
        <v>19283184</v>
      </c>
      <c r="H318" s="74">
        <v>19283184</v>
      </c>
      <c r="I318" s="75">
        <f t="shared" si="16"/>
        <v>0</v>
      </c>
      <c r="J318" s="75"/>
      <c r="K318" s="5">
        <v>46117</v>
      </c>
      <c r="Q318" s="9"/>
      <c r="S318" s="3"/>
    </row>
    <row r="319" spans="1:19" ht="15" hidden="1" customHeight="1" x14ac:dyDescent="0.35">
      <c r="A319" s="26" t="s">
        <v>1232</v>
      </c>
      <c r="B319" s="32" t="s">
        <v>1077</v>
      </c>
      <c r="C319" s="28">
        <v>1395</v>
      </c>
      <c r="D319" s="29">
        <v>46060</v>
      </c>
      <c r="E319" s="76">
        <v>19898720</v>
      </c>
      <c r="F319" s="77">
        <f t="shared" si="17"/>
        <v>1591897.6</v>
      </c>
      <c r="G319" s="31">
        <f t="shared" si="15"/>
        <v>21490617.600000001</v>
      </c>
      <c r="H319" s="74">
        <v>21490617.600000001</v>
      </c>
      <c r="I319" s="75">
        <f t="shared" si="16"/>
        <v>0</v>
      </c>
      <c r="J319" s="75"/>
      <c r="K319" s="5">
        <v>46117</v>
      </c>
      <c r="Q319" s="9"/>
      <c r="S319" s="3"/>
    </row>
    <row r="320" spans="1:19" ht="15" hidden="1" customHeight="1" x14ac:dyDescent="0.35">
      <c r="A320" s="26" t="s">
        <v>1233</v>
      </c>
      <c r="B320" s="32" t="s">
        <v>1078</v>
      </c>
      <c r="C320" s="28"/>
      <c r="D320" s="29" t="s">
        <v>1133</v>
      </c>
      <c r="E320" s="76">
        <v>58630000</v>
      </c>
      <c r="F320" s="77">
        <f t="shared" si="17"/>
        <v>4690400</v>
      </c>
      <c r="G320" s="31">
        <f t="shared" si="15"/>
        <v>63320400</v>
      </c>
      <c r="H320" s="74">
        <v>63320400</v>
      </c>
      <c r="I320" s="75">
        <f t="shared" si="16"/>
        <v>0</v>
      </c>
      <c r="J320" s="75"/>
      <c r="K320" s="5">
        <v>46117</v>
      </c>
      <c r="Q320" s="9"/>
      <c r="S320" s="3"/>
    </row>
    <row r="321" spans="1:19" ht="15" hidden="1" customHeight="1" x14ac:dyDescent="0.35">
      <c r="A321" s="26" t="s">
        <v>1234</v>
      </c>
      <c r="B321" s="32" t="s">
        <v>1079</v>
      </c>
      <c r="C321" s="28"/>
      <c r="D321" s="29" t="s">
        <v>1133</v>
      </c>
      <c r="E321" s="76">
        <v>51802800</v>
      </c>
      <c r="F321" s="77">
        <f t="shared" si="17"/>
        <v>4144224</v>
      </c>
      <c r="G321" s="31">
        <f t="shared" si="15"/>
        <v>55947024</v>
      </c>
      <c r="H321" s="74">
        <v>55947024</v>
      </c>
      <c r="I321" s="75">
        <f t="shared" si="16"/>
        <v>0</v>
      </c>
      <c r="J321" s="75"/>
      <c r="K321" s="5">
        <v>46117</v>
      </c>
      <c r="Q321" s="9"/>
      <c r="S321" s="3"/>
    </row>
    <row r="322" spans="1:19" ht="15" hidden="1" customHeight="1" x14ac:dyDescent="0.35">
      <c r="A322" s="26" t="s">
        <v>1235</v>
      </c>
      <c r="B322" s="32" t="s">
        <v>143</v>
      </c>
      <c r="C322" s="28"/>
      <c r="D322" s="29" t="s">
        <v>1134</v>
      </c>
      <c r="E322" s="76">
        <v>756000</v>
      </c>
      <c r="F322" s="77">
        <f t="shared" si="17"/>
        <v>60480</v>
      </c>
      <c r="G322" s="31">
        <f t="shared" si="15"/>
        <v>816480</v>
      </c>
      <c r="H322" s="74">
        <v>816480</v>
      </c>
      <c r="I322" s="75">
        <f t="shared" si="16"/>
        <v>0</v>
      </c>
      <c r="J322" s="75"/>
      <c r="L322" s="5">
        <v>46096</v>
      </c>
      <c r="Q322" s="9"/>
      <c r="S322" s="3"/>
    </row>
    <row r="323" spans="1:19" ht="15" hidden="1" customHeight="1" x14ac:dyDescent="0.35">
      <c r="A323" s="26" t="s">
        <v>1236</v>
      </c>
      <c r="B323" s="32" t="s">
        <v>144</v>
      </c>
      <c r="C323" s="28"/>
      <c r="D323" s="29" t="s">
        <v>1134</v>
      </c>
      <c r="E323" s="76">
        <v>2795040</v>
      </c>
      <c r="F323" s="77">
        <f t="shared" si="17"/>
        <v>223603.20000000001</v>
      </c>
      <c r="G323" s="31">
        <f t="shared" si="15"/>
        <v>3018643.2</v>
      </c>
      <c r="H323" s="74">
        <v>3018643.2</v>
      </c>
      <c r="I323" s="75">
        <f t="shared" si="16"/>
        <v>0</v>
      </c>
      <c r="J323" s="75"/>
      <c r="L323" s="5">
        <v>46096</v>
      </c>
      <c r="Q323" s="9"/>
      <c r="S323" s="3"/>
    </row>
    <row r="324" spans="1:19" ht="15" hidden="1" customHeight="1" x14ac:dyDescent="0.35">
      <c r="A324" s="26" t="s">
        <v>1237</v>
      </c>
      <c r="B324" s="32" t="s">
        <v>145</v>
      </c>
      <c r="C324" s="28"/>
      <c r="D324" s="29" t="s">
        <v>1134</v>
      </c>
      <c r="E324" s="76">
        <v>1019520</v>
      </c>
      <c r="F324" s="77">
        <f t="shared" si="17"/>
        <v>81561.600000000006</v>
      </c>
      <c r="G324" s="31">
        <f t="shared" si="15"/>
        <v>1101081.6000000001</v>
      </c>
      <c r="H324" s="74">
        <v>1101081.6000000001</v>
      </c>
      <c r="I324" s="75">
        <f t="shared" si="16"/>
        <v>0</v>
      </c>
      <c r="J324" s="75"/>
      <c r="L324" s="5">
        <v>46086</v>
      </c>
      <c r="Q324" s="9"/>
      <c r="S324" s="3"/>
    </row>
    <row r="325" spans="1:19" ht="15" hidden="1" customHeight="1" x14ac:dyDescent="0.35">
      <c r="A325" s="26" t="s">
        <v>1238</v>
      </c>
      <c r="B325" s="32" t="s">
        <v>146</v>
      </c>
      <c r="C325" s="28"/>
      <c r="D325" s="29" t="s">
        <v>1134</v>
      </c>
      <c r="E325" s="76">
        <v>756000</v>
      </c>
      <c r="F325" s="77">
        <f t="shared" si="17"/>
        <v>60480</v>
      </c>
      <c r="G325" s="31">
        <f t="shared" si="15"/>
        <v>816480</v>
      </c>
      <c r="H325" s="74">
        <v>816480</v>
      </c>
      <c r="I325" s="75">
        <f t="shared" si="16"/>
        <v>0</v>
      </c>
      <c r="J325" s="75"/>
      <c r="L325" s="5">
        <v>46096</v>
      </c>
      <c r="Q325" s="9"/>
      <c r="S325" s="3"/>
    </row>
    <row r="326" spans="1:19" ht="15" hidden="1" customHeight="1" x14ac:dyDescent="0.35">
      <c r="A326" s="26" t="s">
        <v>1239</v>
      </c>
      <c r="B326" s="32" t="s">
        <v>147</v>
      </c>
      <c r="C326" s="28"/>
      <c r="D326" s="29" t="s">
        <v>1134</v>
      </c>
      <c r="E326" s="76">
        <v>756000</v>
      </c>
      <c r="F326" s="77">
        <f t="shared" si="17"/>
        <v>60480</v>
      </c>
      <c r="G326" s="31">
        <f t="shared" si="15"/>
        <v>816480</v>
      </c>
      <c r="H326" s="31">
        <v>816480</v>
      </c>
      <c r="I326" s="75">
        <f t="shared" si="16"/>
        <v>0</v>
      </c>
      <c r="J326" s="75"/>
      <c r="L326" s="5">
        <v>46086</v>
      </c>
      <c r="Q326" s="9"/>
      <c r="S326" s="3"/>
    </row>
    <row r="327" spans="1:19" ht="15" hidden="1" customHeight="1" x14ac:dyDescent="0.35">
      <c r="A327" s="26" t="s">
        <v>1240</v>
      </c>
      <c r="B327" s="32" t="s">
        <v>148</v>
      </c>
      <c r="C327" s="28"/>
      <c r="D327" s="29" t="s">
        <v>1134</v>
      </c>
      <c r="E327" s="76">
        <v>12373000</v>
      </c>
      <c r="F327" s="77">
        <f t="shared" si="17"/>
        <v>989840</v>
      </c>
      <c r="G327" s="31">
        <f t="shared" si="15"/>
        <v>13362840</v>
      </c>
      <c r="H327" s="74">
        <v>13362840</v>
      </c>
      <c r="I327" s="75">
        <f t="shared" si="16"/>
        <v>0</v>
      </c>
      <c r="J327" s="75"/>
      <c r="K327" s="5">
        <v>46117</v>
      </c>
      <c r="Q327" s="9"/>
      <c r="S327" s="3"/>
    </row>
    <row r="328" spans="1:19" ht="15" hidden="1" customHeight="1" x14ac:dyDescent="0.35">
      <c r="A328" s="26" t="s">
        <v>1241</v>
      </c>
      <c r="B328" s="32" t="s">
        <v>149</v>
      </c>
      <c r="C328" s="28">
        <v>1422</v>
      </c>
      <c r="D328" s="29">
        <v>46060</v>
      </c>
      <c r="E328" s="76">
        <v>30585400</v>
      </c>
      <c r="F328" s="77">
        <f t="shared" si="17"/>
        <v>2446832</v>
      </c>
      <c r="G328" s="31">
        <f t="shared" si="15"/>
        <v>33032232</v>
      </c>
      <c r="H328" s="74">
        <v>33032232</v>
      </c>
      <c r="I328" s="75">
        <f t="shared" si="16"/>
        <v>0</v>
      </c>
      <c r="J328" s="75"/>
      <c r="K328" s="5">
        <v>46117</v>
      </c>
      <c r="Q328" s="9"/>
      <c r="S328" s="3"/>
    </row>
    <row r="329" spans="1:19" ht="15" hidden="1" customHeight="1" x14ac:dyDescent="0.35">
      <c r="A329" s="26" t="s">
        <v>1242</v>
      </c>
      <c r="B329" s="32" t="s">
        <v>150</v>
      </c>
      <c r="C329" s="28"/>
      <c r="D329" s="29" t="s">
        <v>1134</v>
      </c>
      <c r="E329" s="76">
        <v>2795040</v>
      </c>
      <c r="F329" s="77">
        <f t="shared" si="17"/>
        <v>223603.20000000001</v>
      </c>
      <c r="G329" s="31">
        <f t="shared" ref="G329:G390" si="18">+F329+E329</f>
        <v>3018643.2</v>
      </c>
      <c r="H329" s="74">
        <v>3018643.2</v>
      </c>
      <c r="I329" s="75">
        <f t="shared" si="16"/>
        <v>0</v>
      </c>
      <c r="J329" s="75"/>
      <c r="L329" s="5">
        <v>46096</v>
      </c>
      <c r="Q329" s="9"/>
      <c r="S329" s="3"/>
    </row>
    <row r="330" spans="1:19" ht="15" hidden="1" customHeight="1" x14ac:dyDescent="0.35">
      <c r="A330" s="26" t="s">
        <v>1243</v>
      </c>
      <c r="B330" s="32" t="s">
        <v>1080</v>
      </c>
      <c r="C330" s="28"/>
      <c r="D330" s="29" t="s">
        <v>1135</v>
      </c>
      <c r="E330" s="76">
        <v>1775520</v>
      </c>
      <c r="F330" s="77">
        <f t="shared" si="17"/>
        <v>142041.60000000001</v>
      </c>
      <c r="G330" s="31">
        <f t="shared" si="18"/>
        <v>1917561.6</v>
      </c>
      <c r="H330" s="74">
        <v>1917561.6</v>
      </c>
      <c r="I330" s="75">
        <f t="shared" si="16"/>
        <v>0</v>
      </c>
      <c r="J330" s="75"/>
      <c r="L330" s="5">
        <v>46086</v>
      </c>
      <c r="Q330" s="9"/>
      <c r="S330" s="3"/>
    </row>
    <row r="331" spans="1:19" ht="15" hidden="1" customHeight="1" x14ac:dyDescent="0.35">
      <c r="A331" s="26" t="s">
        <v>1244</v>
      </c>
      <c r="B331" s="32" t="s">
        <v>1081</v>
      </c>
      <c r="C331" s="28"/>
      <c r="D331" s="29" t="s">
        <v>1135</v>
      </c>
      <c r="E331" s="76">
        <v>5900000</v>
      </c>
      <c r="F331" s="77">
        <f t="shared" si="17"/>
        <v>472000</v>
      </c>
      <c r="G331" s="31">
        <f t="shared" si="18"/>
        <v>6372000</v>
      </c>
      <c r="H331" s="74">
        <v>6372000</v>
      </c>
      <c r="I331" s="75">
        <f t="shared" si="16"/>
        <v>0</v>
      </c>
      <c r="J331" s="75"/>
      <c r="K331" s="5">
        <v>46117</v>
      </c>
      <c r="Q331" s="9"/>
      <c r="S331" s="3"/>
    </row>
    <row r="332" spans="1:19" ht="15" hidden="1" customHeight="1" x14ac:dyDescent="0.35">
      <c r="A332" s="26" t="s">
        <v>1245</v>
      </c>
      <c r="B332" s="32" t="s">
        <v>1082</v>
      </c>
      <c r="C332" s="28"/>
      <c r="D332" s="29" t="s">
        <v>1135</v>
      </c>
      <c r="E332" s="76">
        <v>756000</v>
      </c>
      <c r="F332" s="77">
        <f t="shared" si="17"/>
        <v>60480</v>
      </c>
      <c r="G332" s="31">
        <f t="shared" si="18"/>
        <v>816480</v>
      </c>
      <c r="H332" s="74">
        <v>816480</v>
      </c>
      <c r="I332" s="75">
        <f t="shared" si="16"/>
        <v>0</v>
      </c>
      <c r="J332" s="75"/>
      <c r="L332" s="5">
        <v>46096</v>
      </c>
      <c r="Q332" s="9"/>
      <c r="S332" s="3"/>
    </row>
    <row r="333" spans="1:19" ht="15" hidden="1" customHeight="1" x14ac:dyDescent="0.35">
      <c r="A333" s="26" t="s">
        <v>1246</v>
      </c>
      <c r="B333" s="32" t="s">
        <v>1083</v>
      </c>
      <c r="C333" s="28"/>
      <c r="D333" s="29" t="s">
        <v>1135</v>
      </c>
      <c r="E333" s="76">
        <v>756000</v>
      </c>
      <c r="F333" s="77">
        <f t="shared" si="17"/>
        <v>60480</v>
      </c>
      <c r="G333" s="31">
        <f t="shared" si="18"/>
        <v>816480</v>
      </c>
      <c r="H333" s="74">
        <v>816480</v>
      </c>
      <c r="I333" s="75">
        <f t="shared" si="16"/>
        <v>0</v>
      </c>
      <c r="J333" s="75"/>
      <c r="L333" s="5">
        <v>46096</v>
      </c>
      <c r="Q333" s="9"/>
      <c r="S333" s="3"/>
    </row>
    <row r="334" spans="1:19" ht="15" hidden="1" customHeight="1" x14ac:dyDescent="0.35">
      <c r="A334" s="26" t="s">
        <v>1247</v>
      </c>
      <c r="B334" s="32" t="s">
        <v>1084</v>
      </c>
      <c r="C334" s="28"/>
      <c r="D334" s="29" t="s">
        <v>1135</v>
      </c>
      <c r="E334" s="76">
        <v>5819040</v>
      </c>
      <c r="F334" s="77">
        <f t="shared" si="17"/>
        <v>465523.20000000001</v>
      </c>
      <c r="G334" s="31">
        <f t="shared" si="18"/>
        <v>6284563.2000000002</v>
      </c>
      <c r="H334" s="74">
        <v>6284563.2000000002</v>
      </c>
      <c r="I334" s="75">
        <f t="shared" si="16"/>
        <v>0</v>
      </c>
      <c r="J334" s="75"/>
      <c r="L334" s="5">
        <v>46086</v>
      </c>
      <c r="Q334" s="9"/>
      <c r="S334" s="3"/>
    </row>
    <row r="335" spans="1:19" ht="15" hidden="1" customHeight="1" x14ac:dyDescent="0.35">
      <c r="A335" s="26" t="s">
        <v>1248</v>
      </c>
      <c r="B335" s="32" t="s">
        <v>1085</v>
      </c>
      <c r="C335" s="28"/>
      <c r="D335" s="29" t="s">
        <v>1135</v>
      </c>
      <c r="E335" s="76">
        <v>2531520</v>
      </c>
      <c r="F335" s="77">
        <f t="shared" si="17"/>
        <v>202521.60000000001</v>
      </c>
      <c r="G335" s="31">
        <f t="shared" si="18"/>
        <v>2734041.6</v>
      </c>
      <c r="H335" s="74">
        <v>2734041.6</v>
      </c>
      <c r="I335" s="75">
        <f t="shared" si="16"/>
        <v>0</v>
      </c>
      <c r="J335" s="75"/>
      <c r="L335" s="5">
        <v>46086</v>
      </c>
      <c r="Q335" s="9"/>
      <c r="S335" s="3"/>
    </row>
    <row r="336" spans="1:19" ht="15" hidden="1" customHeight="1" x14ac:dyDescent="0.35">
      <c r="A336" s="26" t="s">
        <v>1249</v>
      </c>
      <c r="B336" s="32" t="s">
        <v>1086</v>
      </c>
      <c r="C336" s="28"/>
      <c r="D336" s="29" t="s">
        <v>1135</v>
      </c>
      <c r="E336" s="76">
        <v>2039040</v>
      </c>
      <c r="F336" s="77">
        <f t="shared" si="17"/>
        <v>163123.20000000001</v>
      </c>
      <c r="G336" s="31">
        <f t="shared" si="18"/>
        <v>2202163.2000000002</v>
      </c>
      <c r="H336" s="74">
        <v>2202163.2000000002</v>
      </c>
      <c r="I336" s="75">
        <f t="shared" si="16"/>
        <v>0</v>
      </c>
      <c r="J336" s="75"/>
      <c r="L336" s="5">
        <v>46086</v>
      </c>
      <c r="Q336" s="9"/>
      <c r="S336" s="3"/>
    </row>
    <row r="337" spans="1:19" ht="15" hidden="1" customHeight="1" x14ac:dyDescent="0.35">
      <c r="A337" s="26" t="s">
        <v>1250</v>
      </c>
      <c r="B337" s="32" t="s">
        <v>1087</v>
      </c>
      <c r="C337" s="28"/>
      <c r="D337" s="29" t="s">
        <v>1135</v>
      </c>
      <c r="E337" s="76">
        <v>756000</v>
      </c>
      <c r="F337" s="77">
        <f t="shared" si="17"/>
        <v>60480</v>
      </c>
      <c r="G337" s="31">
        <f t="shared" si="18"/>
        <v>816480</v>
      </c>
      <c r="H337" s="74">
        <v>816480</v>
      </c>
      <c r="I337" s="75">
        <f t="shared" si="16"/>
        <v>0</v>
      </c>
      <c r="J337" s="75"/>
      <c r="L337" s="5">
        <v>46096</v>
      </c>
      <c r="Q337" s="9"/>
      <c r="S337" s="3"/>
    </row>
    <row r="338" spans="1:19" ht="15" hidden="1" customHeight="1" x14ac:dyDescent="0.35">
      <c r="A338" s="26" t="s">
        <v>1251</v>
      </c>
      <c r="B338" s="32" t="s">
        <v>1088</v>
      </c>
      <c r="C338" s="28"/>
      <c r="D338" s="29" t="s">
        <v>1135</v>
      </c>
      <c r="E338" s="76">
        <v>1512000</v>
      </c>
      <c r="F338" s="77">
        <f t="shared" si="17"/>
        <v>120960</v>
      </c>
      <c r="G338" s="31">
        <f t="shared" si="18"/>
        <v>1632960</v>
      </c>
      <c r="H338" s="74">
        <v>1632960</v>
      </c>
      <c r="I338" s="75">
        <f t="shared" si="16"/>
        <v>0</v>
      </c>
      <c r="J338" s="75"/>
      <c r="L338" s="5">
        <v>46086</v>
      </c>
      <c r="Q338" s="9"/>
      <c r="S338" s="3"/>
    </row>
    <row r="339" spans="1:19" ht="15" hidden="1" customHeight="1" x14ac:dyDescent="0.35">
      <c r="A339" s="26" t="s">
        <v>1252</v>
      </c>
      <c r="B339" s="32" t="s">
        <v>1089</v>
      </c>
      <c r="C339" s="28"/>
      <c r="D339" s="29" t="s">
        <v>1135</v>
      </c>
      <c r="E339" s="76">
        <v>756000</v>
      </c>
      <c r="F339" s="77">
        <f t="shared" si="17"/>
        <v>60480</v>
      </c>
      <c r="G339" s="31">
        <f t="shared" si="18"/>
        <v>816480</v>
      </c>
      <c r="H339" s="74">
        <v>816480</v>
      </c>
      <c r="I339" s="75">
        <f t="shared" si="16"/>
        <v>0</v>
      </c>
      <c r="J339" s="75"/>
      <c r="L339" s="5">
        <v>46086</v>
      </c>
      <c r="Q339" s="9"/>
      <c r="S339" s="3"/>
    </row>
    <row r="340" spans="1:19" ht="15" hidden="1" customHeight="1" x14ac:dyDescent="0.35">
      <c r="A340" s="26" t="s">
        <v>1253</v>
      </c>
      <c r="B340" s="32" t="s">
        <v>1090</v>
      </c>
      <c r="C340" s="28"/>
      <c r="D340" s="29" t="s">
        <v>1135</v>
      </c>
      <c r="E340" s="76">
        <v>756000</v>
      </c>
      <c r="F340" s="77">
        <f t="shared" si="17"/>
        <v>60480</v>
      </c>
      <c r="G340" s="31">
        <f t="shared" si="18"/>
        <v>816480</v>
      </c>
      <c r="H340" s="74">
        <v>816480</v>
      </c>
      <c r="I340" s="75">
        <f t="shared" si="16"/>
        <v>0</v>
      </c>
      <c r="J340" s="75"/>
      <c r="L340" s="5">
        <v>46086</v>
      </c>
      <c r="Q340" s="9"/>
      <c r="S340" s="3"/>
    </row>
    <row r="341" spans="1:19" ht="15" hidden="1" customHeight="1" x14ac:dyDescent="0.35">
      <c r="A341" s="26" t="s">
        <v>1254</v>
      </c>
      <c r="B341" s="32" t="s">
        <v>1091</v>
      </c>
      <c r="C341" s="28"/>
      <c r="D341" s="29" t="s">
        <v>1135</v>
      </c>
      <c r="E341" s="76">
        <v>1775520</v>
      </c>
      <c r="F341" s="77">
        <f t="shared" si="17"/>
        <v>142041.60000000001</v>
      </c>
      <c r="G341" s="31">
        <f t="shared" si="18"/>
        <v>1917561.6</v>
      </c>
      <c r="H341" s="74">
        <v>1917561.6</v>
      </c>
      <c r="I341" s="75">
        <f t="shared" si="16"/>
        <v>0</v>
      </c>
      <c r="J341" s="75"/>
      <c r="L341" s="5">
        <v>46086</v>
      </c>
      <c r="Q341" s="9"/>
      <c r="S341" s="3"/>
    </row>
    <row r="342" spans="1:19" ht="15" hidden="1" customHeight="1" x14ac:dyDescent="0.35">
      <c r="A342" s="26" t="s">
        <v>1255</v>
      </c>
      <c r="B342" s="32" t="s">
        <v>1092</v>
      </c>
      <c r="C342" s="28"/>
      <c r="D342" s="29" t="s">
        <v>1135</v>
      </c>
      <c r="E342" s="76">
        <v>1019520</v>
      </c>
      <c r="F342" s="77">
        <f t="shared" si="17"/>
        <v>81561.600000000006</v>
      </c>
      <c r="G342" s="31">
        <f t="shared" si="18"/>
        <v>1101081.6000000001</v>
      </c>
      <c r="H342" s="74">
        <v>1101081.6000000001</v>
      </c>
      <c r="I342" s="75">
        <f t="shared" si="16"/>
        <v>0</v>
      </c>
      <c r="J342" s="75"/>
      <c r="L342" s="5">
        <v>46096</v>
      </c>
      <c r="Q342" s="9"/>
      <c r="S342" s="3"/>
    </row>
    <row r="343" spans="1:19" ht="15" hidden="1" customHeight="1" x14ac:dyDescent="0.35">
      <c r="A343" s="26" t="s">
        <v>1256</v>
      </c>
      <c r="B343" s="32" t="s">
        <v>1093</v>
      </c>
      <c r="C343" s="28"/>
      <c r="D343" s="29" t="s">
        <v>1135</v>
      </c>
      <c r="E343" s="76">
        <v>756000</v>
      </c>
      <c r="F343" s="77">
        <f t="shared" si="17"/>
        <v>60480</v>
      </c>
      <c r="G343" s="31">
        <f t="shared" si="18"/>
        <v>816480</v>
      </c>
      <c r="H343" s="74">
        <v>816480</v>
      </c>
      <c r="I343" s="75">
        <f t="shared" si="16"/>
        <v>0</v>
      </c>
      <c r="J343" s="75"/>
      <c r="L343" s="5">
        <v>46096</v>
      </c>
      <c r="Q343" s="9"/>
      <c r="S343" s="3"/>
    </row>
    <row r="344" spans="1:19" ht="15" hidden="1" customHeight="1" x14ac:dyDescent="0.35">
      <c r="A344" s="26" t="s">
        <v>1257</v>
      </c>
      <c r="B344" s="32" t="s">
        <v>151</v>
      </c>
      <c r="C344" s="28"/>
      <c r="D344" s="29" t="s">
        <v>1135</v>
      </c>
      <c r="E344" s="76">
        <v>756000</v>
      </c>
      <c r="F344" s="77">
        <f t="shared" si="17"/>
        <v>60480</v>
      </c>
      <c r="G344" s="31">
        <f t="shared" si="18"/>
        <v>816480</v>
      </c>
      <c r="H344" s="74">
        <v>816480</v>
      </c>
      <c r="I344" s="75">
        <f t="shared" si="16"/>
        <v>0</v>
      </c>
      <c r="J344" s="75"/>
      <c r="L344" s="5">
        <v>46096</v>
      </c>
      <c r="Q344" s="9"/>
      <c r="S344" s="3"/>
    </row>
    <row r="345" spans="1:19" ht="15" hidden="1" customHeight="1" x14ac:dyDescent="0.35">
      <c r="A345" s="26" t="s">
        <v>1258</v>
      </c>
      <c r="B345" s="27" t="s">
        <v>152</v>
      </c>
      <c r="C345" s="28"/>
      <c r="D345" s="29" t="s">
        <v>1135</v>
      </c>
      <c r="E345" s="76">
        <v>756000</v>
      </c>
      <c r="F345" s="77">
        <f t="shared" si="17"/>
        <v>60480</v>
      </c>
      <c r="G345" s="31">
        <f t="shared" si="18"/>
        <v>816480</v>
      </c>
      <c r="H345" s="74">
        <v>816480</v>
      </c>
      <c r="I345" s="75">
        <f t="shared" si="16"/>
        <v>0</v>
      </c>
      <c r="J345" s="75"/>
      <c r="L345" s="5">
        <v>46086</v>
      </c>
      <c r="Q345" s="9"/>
      <c r="S345" s="3"/>
    </row>
    <row r="346" spans="1:19" ht="15" hidden="1" customHeight="1" x14ac:dyDescent="0.35">
      <c r="A346" s="26" t="s">
        <v>1259</v>
      </c>
      <c r="B346" s="32" t="s">
        <v>153</v>
      </c>
      <c r="C346" s="28"/>
      <c r="D346" s="29" t="s">
        <v>1135</v>
      </c>
      <c r="E346" s="76">
        <v>1775520</v>
      </c>
      <c r="F346" s="77">
        <f t="shared" si="17"/>
        <v>142041.60000000001</v>
      </c>
      <c r="G346" s="31">
        <f t="shared" si="18"/>
        <v>1917561.6</v>
      </c>
      <c r="H346" s="74">
        <v>1917561.6</v>
      </c>
      <c r="I346" s="75">
        <f t="shared" si="16"/>
        <v>0</v>
      </c>
      <c r="J346" s="75"/>
      <c r="L346" s="5">
        <v>46086</v>
      </c>
      <c r="Q346" s="9"/>
      <c r="S346" s="3"/>
    </row>
    <row r="347" spans="1:19" ht="15" hidden="1" customHeight="1" x14ac:dyDescent="0.35">
      <c r="A347" s="26" t="s">
        <v>1260</v>
      </c>
      <c r="B347" s="32" t="s">
        <v>154</v>
      </c>
      <c r="C347" s="28"/>
      <c r="D347" s="29" t="s">
        <v>1135</v>
      </c>
      <c r="E347" s="76">
        <v>1019520</v>
      </c>
      <c r="F347" s="77">
        <f t="shared" si="17"/>
        <v>81561.600000000006</v>
      </c>
      <c r="G347" s="31">
        <f t="shared" si="18"/>
        <v>1101081.6000000001</v>
      </c>
      <c r="H347" s="74">
        <v>1101081.6000000001</v>
      </c>
      <c r="I347" s="75">
        <f t="shared" si="16"/>
        <v>0</v>
      </c>
      <c r="J347" s="75"/>
      <c r="L347" s="5">
        <v>46086</v>
      </c>
      <c r="Q347" s="9"/>
      <c r="S347" s="3"/>
    </row>
    <row r="348" spans="1:19" ht="15" hidden="1" customHeight="1" x14ac:dyDescent="0.35">
      <c r="A348" s="26" t="s">
        <v>1261</v>
      </c>
      <c r="B348" s="32" t="s">
        <v>155</v>
      </c>
      <c r="C348" s="28"/>
      <c r="D348" s="29" t="s">
        <v>1136</v>
      </c>
      <c r="E348" s="76">
        <v>12657600</v>
      </c>
      <c r="F348" s="77">
        <f t="shared" si="17"/>
        <v>1012608</v>
      </c>
      <c r="G348" s="31">
        <f t="shared" si="18"/>
        <v>13670208</v>
      </c>
      <c r="H348" s="74">
        <v>13670208</v>
      </c>
      <c r="I348" s="75">
        <f t="shared" si="16"/>
        <v>0</v>
      </c>
      <c r="J348" s="75"/>
      <c r="L348" s="5">
        <v>46096</v>
      </c>
      <c r="Q348" s="9"/>
      <c r="S348" s="3"/>
    </row>
    <row r="349" spans="1:19" ht="15" hidden="1" customHeight="1" x14ac:dyDescent="0.35">
      <c r="A349" s="26" t="s">
        <v>1262</v>
      </c>
      <c r="B349" s="32" t="s">
        <v>156</v>
      </c>
      <c r="C349" s="28"/>
      <c r="D349" s="29" t="s">
        <v>1136</v>
      </c>
      <c r="E349" s="76">
        <v>11845760</v>
      </c>
      <c r="F349" s="77">
        <f t="shared" si="17"/>
        <v>947660.80000000005</v>
      </c>
      <c r="G349" s="31">
        <f t="shared" si="18"/>
        <v>12793420.800000001</v>
      </c>
      <c r="H349" s="74">
        <v>12793420.800000001</v>
      </c>
      <c r="I349" s="75">
        <f t="shared" si="16"/>
        <v>0</v>
      </c>
      <c r="J349" s="75"/>
      <c r="K349" s="5">
        <v>46117</v>
      </c>
      <c r="Q349" s="9"/>
      <c r="S349" s="3"/>
    </row>
    <row r="350" spans="1:19" ht="15" hidden="1" customHeight="1" x14ac:dyDescent="0.35">
      <c r="A350" s="26" t="s">
        <v>1263</v>
      </c>
      <c r="B350" s="32" t="s">
        <v>1094</v>
      </c>
      <c r="C350" s="28"/>
      <c r="D350" s="29" t="s">
        <v>1137</v>
      </c>
      <c r="E350" s="76">
        <v>3900000</v>
      </c>
      <c r="F350" s="77">
        <f t="shared" si="17"/>
        <v>312000</v>
      </c>
      <c r="G350" s="31">
        <f t="shared" si="18"/>
        <v>4212000</v>
      </c>
      <c r="H350" s="74">
        <v>4212000</v>
      </c>
      <c r="I350" s="75">
        <f t="shared" si="16"/>
        <v>0</v>
      </c>
      <c r="J350" s="75"/>
      <c r="K350" s="5">
        <v>46117</v>
      </c>
      <c r="Q350" s="9"/>
      <c r="S350" s="3"/>
    </row>
    <row r="351" spans="1:19" ht="15" hidden="1" customHeight="1" x14ac:dyDescent="0.35">
      <c r="A351" s="26" t="s">
        <v>1264</v>
      </c>
      <c r="B351" s="27" t="s">
        <v>1095</v>
      </c>
      <c r="C351" s="28">
        <v>1728</v>
      </c>
      <c r="D351" s="29">
        <v>46080</v>
      </c>
      <c r="E351" s="76">
        <v>18054000</v>
      </c>
      <c r="F351" s="77">
        <f t="shared" si="17"/>
        <v>1444320</v>
      </c>
      <c r="G351" s="31">
        <f t="shared" si="18"/>
        <v>19498320</v>
      </c>
      <c r="H351" s="74">
        <v>19498320</v>
      </c>
      <c r="I351" s="75">
        <f t="shared" si="16"/>
        <v>0</v>
      </c>
      <c r="J351" s="75"/>
      <c r="K351" s="5">
        <v>46127</v>
      </c>
      <c r="Q351" s="9"/>
      <c r="S351" s="3"/>
    </row>
    <row r="352" spans="1:19" ht="15" hidden="1" customHeight="1" x14ac:dyDescent="0.35">
      <c r="A352" s="26" t="s">
        <v>1265</v>
      </c>
      <c r="B352" s="32" t="s">
        <v>1096</v>
      </c>
      <c r="C352" s="28">
        <v>1532</v>
      </c>
      <c r="D352" s="29">
        <v>46066</v>
      </c>
      <c r="E352" s="76">
        <v>11380000</v>
      </c>
      <c r="F352" s="77">
        <f t="shared" si="17"/>
        <v>910400</v>
      </c>
      <c r="G352" s="31">
        <f t="shared" si="18"/>
        <v>12290400</v>
      </c>
      <c r="H352" s="74">
        <v>12290400</v>
      </c>
      <c r="I352" s="75">
        <f t="shared" si="16"/>
        <v>0</v>
      </c>
      <c r="J352" s="75"/>
      <c r="K352" s="5">
        <v>46117</v>
      </c>
      <c r="Q352" s="9"/>
      <c r="S352" s="3"/>
    </row>
    <row r="353" spans="1:19" ht="15" hidden="1" customHeight="1" x14ac:dyDescent="0.35">
      <c r="A353" s="26" t="s">
        <v>1266</v>
      </c>
      <c r="B353" s="32" t="s">
        <v>1097</v>
      </c>
      <c r="C353" s="28"/>
      <c r="D353" s="29" t="s">
        <v>1137</v>
      </c>
      <c r="E353" s="76">
        <v>1005000</v>
      </c>
      <c r="F353" s="77">
        <f t="shared" si="17"/>
        <v>80400</v>
      </c>
      <c r="G353" s="31">
        <f t="shared" si="18"/>
        <v>1085400</v>
      </c>
      <c r="H353" s="74">
        <v>1085400</v>
      </c>
      <c r="I353" s="75">
        <f t="shared" si="16"/>
        <v>0</v>
      </c>
      <c r="J353" s="75"/>
      <c r="K353" s="5">
        <v>46117</v>
      </c>
      <c r="Q353" s="9"/>
      <c r="S353" s="3"/>
    </row>
    <row r="354" spans="1:19" ht="15" hidden="1" customHeight="1" x14ac:dyDescent="0.35">
      <c r="A354" s="26" t="s">
        <v>1267</v>
      </c>
      <c r="B354" s="32" t="s">
        <v>1098</v>
      </c>
      <c r="C354" s="28">
        <v>1530</v>
      </c>
      <c r="D354" s="29">
        <v>46066</v>
      </c>
      <c r="E354" s="76">
        <v>6615500</v>
      </c>
      <c r="F354" s="77">
        <f t="shared" si="17"/>
        <v>529240</v>
      </c>
      <c r="G354" s="31">
        <f t="shared" si="18"/>
        <v>7144740</v>
      </c>
      <c r="H354" s="74">
        <v>7144740</v>
      </c>
      <c r="I354" s="75">
        <f t="shared" si="16"/>
        <v>0</v>
      </c>
      <c r="J354" s="75"/>
      <c r="K354" s="5">
        <v>46117</v>
      </c>
      <c r="Q354" s="9"/>
      <c r="S354" s="3"/>
    </row>
    <row r="355" spans="1:19" ht="15" hidden="1" customHeight="1" x14ac:dyDescent="0.35">
      <c r="A355" s="26" t="s">
        <v>1268</v>
      </c>
      <c r="B355" s="32" t="s">
        <v>1099</v>
      </c>
      <c r="C355" s="28"/>
      <c r="D355" s="29" t="s">
        <v>1137</v>
      </c>
      <c r="E355" s="76">
        <v>2040000</v>
      </c>
      <c r="F355" s="77">
        <f t="shared" si="17"/>
        <v>163200</v>
      </c>
      <c r="G355" s="31">
        <f t="shared" si="18"/>
        <v>2203200</v>
      </c>
      <c r="H355" s="74">
        <v>2203200</v>
      </c>
      <c r="I355" s="75">
        <f t="shared" si="16"/>
        <v>0</v>
      </c>
      <c r="J355" s="75"/>
      <c r="K355" s="5">
        <v>46117</v>
      </c>
      <c r="Q355" s="9"/>
      <c r="S355" s="3"/>
    </row>
    <row r="356" spans="1:19" ht="15" hidden="1" customHeight="1" x14ac:dyDescent="0.35">
      <c r="A356" s="26" t="s">
        <v>1269</v>
      </c>
      <c r="B356" s="32" t="s">
        <v>1100</v>
      </c>
      <c r="C356" s="28"/>
      <c r="D356" s="29" t="s">
        <v>1137</v>
      </c>
      <c r="E356" s="76">
        <v>8924400</v>
      </c>
      <c r="F356" s="77">
        <f t="shared" si="17"/>
        <v>713952</v>
      </c>
      <c r="G356" s="31">
        <f t="shared" si="18"/>
        <v>9638352</v>
      </c>
      <c r="H356" s="74">
        <v>9638352</v>
      </c>
      <c r="I356" s="75">
        <f t="shared" si="16"/>
        <v>0</v>
      </c>
      <c r="J356" s="75"/>
      <c r="K356" s="5">
        <v>46117</v>
      </c>
      <c r="Q356" s="9"/>
      <c r="S356" s="3"/>
    </row>
    <row r="357" spans="1:19" ht="15" hidden="1" customHeight="1" x14ac:dyDescent="0.35">
      <c r="A357" s="26" t="s">
        <v>1270</v>
      </c>
      <c r="B357" s="32" t="s">
        <v>1101</v>
      </c>
      <c r="C357" s="28"/>
      <c r="D357" s="29" t="s">
        <v>1137</v>
      </c>
      <c r="E357" s="76">
        <v>12450000</v>
      </c>
      <c r="F357" s="77">
        <f t="shared" si="17"/>
        <v>996000</v>
      </c>
      <c r="G357" s="31">
        <f t="shared" si="18"/>
        <v>13446000</v>
      </c>
      <c r="H357" s="74">
        <v>13446000</v>
      </c>
      <c r="I357" s="75">
        <f t="shared" si="16"/>
        <v>0</v>
      </c>
      <c r="J357" s="75"/>
      <c r="K357" s="5">
        <v>46117</v>
      </c>
      <c r="Q357" s="9"/>
      <c r="S357" s="3"/>
    </row>
    <row r="358" spans="1:19" ht="15" hidden="1" customHeight="1" x14ac:dyDescent="0.35">
      <c r="A358" s="26" t="s">
        <v>1271</v>
      </c>
      <c r="B358" s="32" t="s">
        <v>1102</v>
      </c>
      <c r="C358" s="28"/>
      <c r="D358" s="29" t="s">
        <v>1137</v>
      </c>
      <c r="E358" s="76">
        <v>4020000</v>
      </c>
      <c r="F358" s="77">
        <f t="shared" si="17"/>
        <v>321600</v>
      </c>
      <c r="G358" s="31">
        <f t="shared" si="18"/>
        <v>4341600</v>
      </c>
      <c r="H358" s="74">
        <v>4341600</v>
      </c>
      <c r="I358" s="75">
        <f t="shared" si="16"/>
        <v>0</v>
      </c>
      <c r="J358" s="75"/>
      <c r="K358" s="5">
        <v>46117</v>
      </c>
      <c r="Q358" s="9"/>
      <c r="S358" s="3"/>
    </row>
    <row r="359" spans="1:19" ht="15" hidden="1" customHeight="1" x14ac:dyDescent="0.35">
      <c r="A359" s="26" t="s">
        <v>1272</v>
      </c>
      <c r="B359" s="32" t="s">
        <v>1103</v>
      </c>
      <c r="C359" s="28"/>
      <c r="D359" s="29" t="s">
        <v>1137</v>
      </c>
      <c r="E359" s="76">
        <v>2440000</v>
      </c>
      <c r="F359" s="77">
        <f t="shared" si="17"/>
        <v>195200</v>
      </c>
      <c r="G359" s="31">
        <f t="shared" si="18"/>
        <v>2635200</v>
      </c>
      <c r="H359" s="74">
        <v>2635200</v>
      </c>
      <c r="I359" s="75">
        <f t="shared" si="16"/>
        <v>0</v>
      </c>
      <c r="J359" s="75"/>
      <c r="K359" s="5">
        <v>46117</v>
      </c>
      <c r="Q359" s="9"/>
      <c r="S359" s="3"/>
    </row>
    <row r="360" spans="1:19" ht="15" hidden="1" customHeight="1" x14ac:dyDescent="0.35">
      <c r="A360" s="26" t="s">
        <v>1273</v>
      </c>
      <c r="B360" s="32" t="s">
        <v>1104</v>
      </c>
      <c r="C360" s="28"/>
      <c r="D360" s="29" t="s">
        <v>1137</v>
      </c>
      <c r="E360" s="76">
        <v>640000</v>
      </c>
      <c r="F360" s="77">
        <f t="shared" si="17"/>
        <v>51200</v>
      </c>
      <c r="G360" s="31">
        <f t="shared" si="18"/>
        <v>691200</v>
      </c>
      <c r="H360" s="74">
        <v>691200</v>
      </c>
      <c r="I360" s="75">
        <f t="shared" si="16"/>
        <v>0</v>
      </c>
      <c r="J360" s="75"/>
      <c r="K360" s="5">
        <v>46117</v>
      </c>
      <c r="Q360" s="9"/>
      <c r="S360" s="3"/>
    </row>
    <row r="361" spans="1:19" ht="15" hidden="1" customHeight="1" x14ac:dyDescent="0.35">
      <c r="A361" s="26" t="s">
        <v>1274</v>
      </c>
      <c r="B361" s="32" t="s">
        <v>1105</v>
      </c>
      <c r="C361" s="28"/>
      <c r="D361" s="29" t="s">
        <v>1137</v>
      </c>
      <c r="E361" s="76">
        <v>4465000</v>
      </c>
      <c r="F361" s="77">
        <f t="shared" si="17"/>
        <v>357200</v>
      </c>
      <c r="G361" s="31">
        <f t="shared" si="18"/>
        <v>4822200</v>
      </c>
      <c r="H361" s="74">
        <v>4822200</v>
      </c>
      <c r="I361" s="75">
        <f t="shared" si="16"/>
        <v>0</v>
      </c>
      <c r="J361" s="75"/>
      <c r="K361" s="5">
        <v>46117</v>
      </c>
      <c r="Q361" s="9"/>
      <c r="S361" s="3"/>
    </row>
    <row r="362" spans="1:19" ht="15" hidden="1" customHeight="1" x14ac:dyDescent="0.35">
      <c r="A362" s="26" t="s">
        <v>1275</v>
      </c>
      <c r="B362" s="32" t="s">
        <v>1106</v>
      </c>
      <c r="C362" s="28"/>
      <c r="D362" s="29" t="s">
        <v>1137</v>
      </c>
      <c r="E362" s="76">
        <v>2040000</v>
      </c>
      <c r="F362" s="77">
        <f t="shared" si="17"/>
        <v>163200</v>
      </c>
      <c r="G362" s="31">
        <f t="shared" si="18"/>
        <v>2203200</v>
      </c>
      <c r="H362" s="74">
        <v>2203200</v>
      </c>
      <c r="I362" s="75">
        <f t="shared" si="16"/>
        <v>0</v>
      </c>
      <c r="J362" s="75"/>
      <c r="K362" s="5">
        <v>46117</v>
      </c>
      <c r="Q362" s="9"/>
      <c r="S362" s="3"/>
    </row>
    <row r="363" spans="1:19" ht="15" hidden="1" customHeight="1" x14ac:dyDescent="0.35">
      <c r="A363" s="26" t="s">
        <v>1276</v>
      </c>
      <c r="B363" s="27" t="s">
        <v>1107</v>
      </c>
      <c r="C363" s="28"/>
      <c r="D363" s="29" t="s">
        <v>1137</v>
      </c>
      <c r="E363" s="76">
        <v>17879400</v>
      </c>
      <c r="F363" s="77">
        <f t="shared" si="17"/>
        <v>1430352</v>
      </c>
      <c r="G363" s="31">
        <f t="shared" si="18"/>
        <v>19309752</v>
      </c>
      <c r="H363" s="74">
        <v>19309752</v>
      </c>
      <c r="I363" s="75">
        <f t="shared" si="16"/>
        <v>0</v>
      </c>
      <c r="J363" s="75"/>
      <c r="K363" s="5">
        <v>46117</v>
      </c>
      <c r="Q363" s="9"/>
      <c r="S363" s="3"/>
    </row>
    <row r="364" spans="1:19" ht="15" hidden="1" customHeight="1" x14ac:dyDescent="0.35">
      <c r="A364" s="26" t="s">
        <v>1277</v>
      </c>
      <c r="B364" s="32" t="s">
        <v>1108</v>
      </c>
      <c r="C364" s="28"/>
      <c r="D364" s="29" t="s">
        <v>1137</v>
      </c>
      <c r="E364" s="76">
        <v>5740000</v>
      </c>
      <c r="F364" s="77">
        <f t="shared" si="17"/>
        <v>459200</v>
      </c>
      <c r="G364" s="31">
        <f t="shared" si="18"/>
        <v>6199200</v>
      </c>
      <c r="H364" s="74">
        <v>6199200</v>
      </c>
      <c r="I364" s="75">
        <f t="shared" si="16"/>
        <v>0</v>
      </c>
      <c r="J364" s="75"/>
      <c r="K364" s="5">
        <v>46117</v>
      </c>
      <c r="Q364" s="9"/>
      <c r="S364" s="3"/>
    </row>
    <row r="365" spans="1:19" ht="15" hidden="1" customHeight="1" x14ac:dyDescent="0.35">
      <c r="A365" s="26" t="s">
        <v>1278</v>
      </c>
      <c r="B365" s="32" t="s">
        <v>1109</v>
      </c>
      <c r="C365" s="28"/>
      <c r="D365" s="29" t="s">
        <v>1137</v>
      </c>
      <c r="E365" s="76">
        <v>6125000</v>
      </c>
      <c r="F365" s="77">
        <f t="shared" si="17"/>
        <v>490000</v>
      </c>
      <c r="G365" s="31">
        <f t="shared" si="18"/>
        <v>6615000</v>
      </c>
      <c r="H365" s="74">
        <v>6615000</v>
      </c>
      <c r="I365" s="75">
        <f t="shared" si="16"/>
        <v>0</v>
      </c>
      <c r="J365" s="75"/>
      <c r="K365" s="5">
        <v>46117</v>
      </c>
      <c r="Q365" s="9"/>
      <c r="S365" s="3"/>
    </row>
    <row r="366" spans="1:19" ht="15" hidden="1" customHeight="1" x14ac:dyDescent="0.35">
      <c r="A366" s="26" t="s">
        <v>1279</v>
      </c>
      <c r="B366" s="32" t="s">
        <v>1110</v>
      </c>
      <c r="C366" s="28"/>
      <c r="D366" s="29" t="s">
        <v>1137</v>
      </c>
      <c r="E366" s="76">
        <v>2040000</v>
      </c>
      <c r="F366" s="77">
        <f t="shared" si="17"/>
        <v>163200</v>
      </c>
      <c r="G366" s="31">
        <f t="shared" si="18"/>
        <v>2203200</v>
      </c>
      <c r="H366" s="74">
        <v>2203200</v>
      </c>
      <c r="I366" s="75">
        <f t="shared" si="16"/>
        <v>0</v>
      </c>
      <c r="J366" s="75"/>
      <c r="K366" s="5">
        <v>46117</v>
      </c>
      <c r="Q366" s="9"/>
      <c r="S366" s="3"/>
    </row>
    <row r="367" spans="1:19" ht="15" hidden="1" customHeight="1" x14ac:dyDescent="0.35">
      <c r="A367" s="26" t="s">
        <v>1280</v>
      </c>
      <c r="B367" s="32" t="s">
        <v>1111</v>
      </c>
      <c r="C367" s="28"/>
      <c r="D367" s="29" t="s">
        <v>1137</v>
      </c>
      <c r="E367" s="76">
        <v>3785000</v>
      </c>
      <c r="F367" s="77">
        <f t="shared" si="17"/>
        <v>302800</v>
      </c>
      <c r="G367" s="31">
        <f t="shared" si="18"/>
        <v>4087800</v>
      </c>
      <c r="H367" s="74">
        <v>4087800</v>
      </c>
      <c r="I367" s="75">
        <f t="shared" si="16"/>
        <v>0</v>
      </c>
      <c r="J367" s="75"/>
      <c r="K367" s="5">
        <v>46117</v>
      </c>
      <c r="Q367" s="9"/>
      <c r="S367" s="3"/>
    </row>
    <row r="368" spans="1:19" ht="15" hidden="1" customHeight="1" x14ac:dyDescent="0.35">
      <c r="A368" s="26" t="s">
        <v>1281</v>
      </c>
      <c r="B368" s="32" t="s">
        <v>1112</v>
      </c>
      <c r="C368" s="28">
        <v>1421</v>
      </c>
      <c r="D368" s="29">
        <v>46060</v>
      </c>
      <c r="E368" s="76">
        <v>5231500</v>
      </c>
      <c r="F368" s="77">
        <f t="shared" si="17"/>
        <v>418520</v>
      </c>
      <c r="G368" s="31">
        <f t="shared" si="18"/>
        <v>5650020</v>
      </c>
      <c r="H368" s="74">
        <v>5650020</v>
      </c>
      <c r="I368" s="75">
        <f t="shared" si="16"/>
        <v>0</v>
      </c>
      <c r="J368" s="75"/>
      <c r="K368" s="5">
        <v>46117</v>
      </c>
      <c r="Q368" s="9"/>
      <c r="S368" s="3"/>
    </row>
    <row r="369" spans="1:19" ht="15" hidden="1" customHeight="1" x14ac:dyDescent="0.35">
      <c r="A369" s="26" t="s">
        <v>1282</v>
      </c>
      <c r="B369" s="32" t="s">
        <v>1113</v>
      </c>
      <c r="C369" s="28">
        <v>1423</v>
      </c>
      <c r="D369" s="29">
        <v>46060</v>
      </c>
      <c r="E369" s="76">
        <v>6372000</v>
      </c>
      <c r="F369" s="77">
        <f t="shared" si="17"/>
        <v>509760</v>
      </c>
      <c r="G369" s="31">
        <f t="shared" si="18"/>
        <v>6881760</v>
      </c>
      <c r="H369" s="74">
        <v>6881760</v>
      </c>
      <c r="I369" s="75">
        <f t="shared" si="16"/>
        <v>0</v>
      </c>
      <c r="J369" s="75"/>
      <c r="K369" s="5">
        <v>46117</v>
      </c>
      <c r="Q369" s="9"/>
      <c r="S369" s="3"/>
    </row>
    <row r="370" spans="1:19" ht="15" hidden="1" customHeight="1" x14ac:dyDescent="0.35">
      <c r="A370" s="26" t="s">
        <v>1283</v>
      </c>
      <c r="B370" s="32" t="s">
        <v>1114</v>
      </c>
      <c r="C370" s="28">
        <v>1425</v>
      </c>
      <c r="D370" s="29">
        <v>46061</v>
      </c>
      <c r="E370" s="76">
        <v>22051260</v>
      </c>
      <c r="F370" s="77">
        <f t="shared" si="17"/>
        <v>1764100.8</v>
      </c>
      <c r="G370" s="31">
        <f t="shared" si="18"/>
        <v>23815360.800000001</v>
      </c>
      <c r="H370" s="74">
        <v>23815360.800000001</v>
      </c>
      <c r="I370" s="75">
        <f t="shared" si="16"/>
        <v>0</v>
      </c>
      <c r="J370" s="75"/>
      <c r="K370" s="5">
        <v>46117</v>
      </c>
      <c r="Q370" s="9"/>
      <c r="S370" s="3"/>
    </row>
    <row r="371" spans="1:19" ht="15" hidden="1" customHeight="1" x14ac:dyDescent="0.35">
      <c r="A371" s="26" t="s">
        <v>1284</v>
      </c>
      <c r="B371" s="32" t="s">
        <v>1115</v>
      </c>
      <c r="C371" s="28"/>
      <c r="D371" s="29" t="s">
        <v>1137</v>
      </c>
      <c r="E371" s="76">
        <v>1710000</v>
      </c>
      <c r="F371" s="77">
        <f t="shared" si="17"/>
        <v>136800</v>
      </c>
      <c r="G371" s="31">
        <f t="shared" si="18"/>
        <v>1846800</v>
      </c>
      <c r="H371" s="74">
        <v>1846800</v>
      </c>
      <c r="I371" s="75">
        <f t="shared" si="16"/>
        <v>0</v>
      </c>
      <c r="J371" s="75"/>
      <c r="K371" s="5">
        <v>46117</v>
      </c>
      <c r="Q371" s="9"/>
      <c r="S371" s="3"/>
    </row>
    <row r="372" spans="1:19" ht="15" hidden="1" customHeight="1" x14ac:dyDescent="0.35">
      <c r="A372" s="26" t="s">
        <v>1285</v>
      </c>
      <c r="B372" s="32" t="s">
        <v>1116</v>
      </c>
      <c r="C372" s="28"/>
      <c r="D372" s="29" t="s">
        <v>1137</v>
      </c>
      <c r="E372" s="76">
        <v>960000</v>
      </c>
      <c r="F372" s="77">
        <f t="shared" si="17"/>
        <v>76800</v>
      </c>
      <c r="G372" s="31">
        <f t="shared" si="18"/>
        <v>1036800</v>
      </c>
      <c r="H372" s="74">
        <v>1036800</v>
      </c>
      <c r="I372" s="75">
        <f t="shared" si="16"/>
        <v>0</v>
      </c>
      <c r="J372" s="75"/>
      <c r="K372" s="5">
        <v>46117</v>
      </c>
      <c r="Q372" s="9"/>
      <c r="S372" s="3"/>
    </row>
    <row r="373" spans="1:19" ht="15" hidden="1" customHeight="1" x14ac:dyDescent="0.35">
      <c r="A373" s="26" t="s">
        <v>1286</v>
      </c>
      <c r="B373" s="32" t="s">
        <v>1117</v>
      </c>
      <c r="C373" s="28">
        <v>1533</v>
      </c>
      <c r="D373" s="29">
        <v>46066</v>
      </c>
      <c r="E373" s="76">
        <v>1876000</v>
      </c>
      <c r="F373" s="77">
        <f t="shared" si="17"/>
        <v>150080</v>
      </c>
      <c r="G373" s="31">
        <f t="shared" si="18"/>
        <v>2026080</v>
      </c>
      <c r="H373" s="74">
        <v>2026080</v>
      </c>
      <c r="I373" s="75">
        <f t="shared" si="16"/>
        <v>0</v>
      </c>
      <c r="J373" s="75"/>
      <c r="K373" s="5">
        <v>46117</v>
      </c>
      <c r="Q373" s="9"/>
      <c r="S373" s="3"/>
    </row>
    <row r="374" spans="1:19" ht="15" hidden="1" customHeight="1" x14ac:dyDescent="0.35">
      <c r="A374" s="26" t="s">
        <v>1287</v>
      </c>
      <c r="B374" s="32" t="s">
        <v>1118</v>
      </c>
      <c r="C374" s="28"/>
      <c r="D374" s="29" t="s">
        <v>1137</v>
      </c>
      <c r="E374" s="76">
        <v>1005000</v>
      </c>
      <c r="F374" s="77">
        <f t="shared" si="17"/>
        <v>80400</v>
      </c>
      <c r="G374" s="31">
        <f t="shared" si="18"/>
        <v>1085400</v>
      </c>
      <c r="H374" s="74">
        <v>1085400</v>
      </c>
      <c r="I374" s="75">
        <f t="shared" si="16"/>
        <v>0</v>
      </c>
      <c r="J374" s="75"/>
      <c r="K374" s="5">
        <v>46117</v>
      </c>
      <c r="Q374" s="9"/>
      <c r="S374" s="3"/>
    </row>
    <row r="375" spans="1:19" ht="15" hidden="1" customHeight="1" x14ac:dyDescent="0.35">
      <c r="A375" s="26" t="s">
        <v>1288</v>
      </c>
      <c r="B375" s="32" t="s">
        <v>1119</v>
      </c>
      <c r="C375" s="28"/>
      <c r="D375" s="29" t="s">
        <v>1137</v>
      </c>
      <c r="E375" s="76">
        <v>1005000</v>
      </c>
      <c r="F375" s="77">
        <f t="shared" si="17"/>
        <v>80400</v>
      </c>
      <c r="G375" s="31">
        <f t="shared" si="18"/>
        <v>1085400</v>
      </c>
      <c r="H375" s="74">
        <v>1085400</v>
      </c>
      <c r="I375" s="75">
        <f t="shared" si="16"/>
        <v>0</v>
      </c>
      <c r="J375" s="75"/>
      <c r="K375" s="5">
        <v>46117</v>
      </c>
      <c r="Q375" s="9"/>
      <c r="S375" s="3"/>
    </row>
    <row r="376" spans="1:19" ht="15" hidden="1" customHeight="1" x14ac:dyDescent="0.35">
      <c r="A376" s="26" t="s">
        <v>1289</v>
      </c>
      <c r="B376" s="32" t="s">
        <v>1120</v>
      </c>
      <c r="C376" s="28"/>
      <c r="D376" s="29" t="s">
        <v>1137</v>
      </c>
      <c r="E376" s="76">
        <v>1005000</v>
      </c>
      <c r="F376" s="77">
        <f t="shared" si="17"/>
        <v>80400</v>
      </c>
      <c r="G376" s="31">
        <f t="shared" si="18"/>
        <v>1085400</v>
      </c>
      <c r="H376" s="74">
        <v>1085400</v>
      </c>
      <c r="I376" s="75">
        <f t="shared" si="16"/>
        <v>0</v>
      </c>
      <c r="J376" s="75"/>
      <c r="K376" s="5">
        <v>46117</v>
      </c>
      <c r="Q376" s="9"/>
      <c r="S376" s="3"/>
    </row>
    <row r="377" spans="1:19" ht="15" hidden="1" customHeight="1" x14ac:dyDescent="0.35">
      <c r="A377" s="26" t="s">
        <v>1290</v>
      </c>
      <c r="B377" s="32" t="s">
        <v>1121</v>
      </c>
      <c r="C377" s="28"/>
      <c r="D377" s="29" t="s">
        <v>1137</v>
      </c>
      <c r="E377" s="76">
        <v>1005000</v>
      </c>
      <c r="F377" s="77">
        <f t="shared" si="17"/>
        <v>80400</v>
      </c>
      <c r="G377" s="31">
        <f t="shared" si="18"/>
        <v>1085400</v>
      </c>
      <c r="H377" s="74">
        <v>1085400</v>
      </c>
      <c r="I377" s="75">
        <f t="shared" si="16"/>
        <v>0</v>
      </c>
      <c r="J377" s="75"/>
      <c r="K377" s="5">
        <v>46117</v>
      </c>
      <c r="Q377" s="9"/>
      <c r="S377" s="3"/>
    </row>
    <row r="378" spans="1:19" ht="15" hidden="1" customHeight="1" x14ac:dyDescent="0.35">
      <c r="A378" s="26" t="s">
        <v>1291</v>
      </c>
      <c r="B378" s="32" t="s">
        <v>1122</v>
      </c>
      <c r="C378" s="28"/>
      <c r="D378" s="29" t="s">
        <v>1137</v>
      </c>
      <c r="E378" s="76">
        <v>1005000</v>
      </c>
      <c r="F378" s="77">
        <f t="shared" si="17"/>
        <v>80400</v>
      </c>
      <c r="G378" s="31">
        <f t="shared" si="18"/>
        <v>1085400</v>
      </c>
      <c r="H378" s="74">
        <v>1085400</v>
      </c>
      <c r="I378" s="75">
        <f t="shared" ref="I378:I439" si="19">G378-H378</f>
        <v>0</v>
      </c>
      <c r="J378" s="75"/>
      <c r="K378" s="5">
        <v>46117</v>
      </c>
      <c r="Q378" s="9"/>
      <c r="S378" s="3"/>
    </row>
    <row r="379" spans="1:19" ht="15" hidden="1" customHeight="1" x14ac:dyDescent="0.35">
      <c r="A379" s="26" t="s">
        <v>1292</v>
      </c>
      <c r="B379" s="32" t="s">
        <v>1123</v>
      </c>
      <c r="C379" s="28"/>
      <c r="D379" s="29" t="s">
        <v>1137</v>
      </c>
      <c r="E379" s="76">
        <v>14910000</v>
      </c>
      <c r="F379" s="77">
        <f t="shared" ref="F379:F440" si="20">+E379*0.08</f>
        <v>1192800</v>
      </c>
      <c r="G379" s="31">
        <f t="shared" si="18"/>
        <v>16102800</v>
      </c>
      <c r="H379" s="74">
        <v>16102800</v>
      </c>
      <c r="I379" s="75">
        <f t="shared" si="19"/>
        <v>0</v>
      </c>
      <c r="J379" s="75"/>
      <c r="K379" s="5">
        <v>46117</v>
      </c>
      <c r="Q379" s="9"/>
      <c r="S379" s="3"/>
    </row>
    <row r="380" spans="1:19" ht="15" hidden="1" customHeight="1" x14ac:dyDescent="0.35">
      <c r="A380" s="26" t="s">
        <v>1293</v>
      </c>
      <c r="B380" s="32" t="s">
        <v>1124</v>
      </c>
      <c r="C380" s="28"/>
      <c r="D380" s="29" t="s">
        <v>1137</v>
      </c>
      <c r="E380" s="76">
        <v>8365000</v>
      </c>
      <c r="F380" s="77">
        <f t="shared" si="20"/>
        <v>669200</v>
      </c>
      <c r="G380" s="31">
        <f t="shared" si="18"/>
        <v>9034200</v>
      </c>
      <c r="H380" s="74">
        <v>9034200</v>
      </c>
      <c r="I380" s="75">
        <f t="shared" si="19"/>
        <v>0</v>
      </c>
      <c r="J380" s="75"/>
      <c r="K380" s="5">
        <v>46117</v>
      </c>
      <c r="Q380" s="9"/>
      <c r="S380" s="3"/>
    </row>
    <row r="381" spans="1:19" ht="15" hidden="1" customHeight="1" x14ac:dyDescent="0.35">
      <c r="A381" s="26" t="s">
        <v>1294</v>
      </c>
      <c r="B381" s="32" t="s">
        <v>1125</v>
      </c>
      <c r="C381" s="28"/>
      <c r="D381" s="29" t="s">
        <v>1137</v>
      </c>
      <c r="E381" s="76">
        <v>6780000</v>
      </c>
      <c r="F381" s="77">
        <f t="shared" si="20"/>
        <v>542400</v>
      </c>
      <c r="G381" s="31">
        <f t="shared" si="18"/>
        <v>7322400</v>
      </c>
      <c r="H381" s="74">
        <v>7322400</v>
      </c>
      <c r="I381" s="75">
        <f t="shared" si="19"/>
        <v>0</v>
      </c>
      <c r="J381" s="75"/>
      <c r="K381" s="5">
        <v>46117</v>
      </c>
      <c r="Q381" s="9"/>
      <c r="S381" s="3"/>
    </row>
    <row r="382" spans="1:19" ht="15" hidden="1" customHeight="1" x14ac:dyDescent="0.35">
      <c r="A382" s="26" t="s">
        <v>1295</v>
      </c>
      <c r="B382" s="32" t="s">
        <v>1126</v>
      </c>
      <c r="C382" s="28"/>
      <c r="D382" s="29" t="s">
        <v>1137</v>
      </c>
      <c r="E382" s="76">
        <v>3430000</v>
      </c>
      <c r="F382" s="77">
        <f t="shared" si="20"/>
        <v>274400</v>
      </c>
      <c r="G382" s="31">
        <f t="shared" si="18"/>
        <v>3704400</v>
      </c>
      <c r="H382" s="74">
        <v>3704400</v>
      </c>
      <c r="I382" s="75">
        <f t="shared" si="19"/>
        <v>0</v>
      </c>
      <c r="J382" s="75"/>
      <c r="K382" s="5">
        <v>46117</v>
      </c>
      <c r="Q382" s="9"/>
      <c r="S382" s="3"/>
    </row>
    <row r="383" spans="1:19" ht="15" hidden="1" customHeight="1" x14ac:dyDescent="0.35">
      <c r="A383" s="26" t="s">
        <v>1296</v>
      </c>
      <c r="B383" s="32" t="s">
        <v>1127</v>
      </c>
      <c r="C383" s="28"/>
      <c r="D383" s="29" t="s">
        <v>1137</v>
      </c>
      <c r="E383" s="76">
        <v>1019520</v>
      </c>
      <c r="F383" s="77">
        <f t="shared" si="20"/>
        <v>81561.600000000006</v>
      </c>
      <c r="G383" s="31">
        <f t="shared" si="18"/>
        <v>1101081.6000000001</v>
      </c>
      <c r="H383" s="74">
        <v>1101081.6000000001</v>
      </c>
      <c r="I383" s="75">
        <f t="shared" si="19"/>
        <v>0</v>
      </c>
      <c r="J383" s="75"/>
      <c r="L383" s="5">
        <v>46096</v>
      </c>
      <c r="Q383" s="9"/>
      <c r="S383" s="3"/>
    </row>
    <row r="384" spans="1:19" ht="15" hidden="1" customHeight="1" x14ac:dyDescent="0.35">
      <c r="A384" s="26" t="s">
        <v>1328</v>
      </c>
      <c r="B384" s="32" t="s">
        <v>157</v>
      </c>
      <c r="C384" s="28"/>
      <c r="D384" s="29" t="s">
        <v>1322</v>
      </c>
      <c r="E384" s="76">
        <v>750000</v>
      </c>
      <c r="F384" s="77">
        <f t="shared" si="20"/>
        <v>60000</v>
      </c>
      <c r="G384" s="31">
        <f t="shared" si="18"/>
        <v>810000</v>
      </c>
      <c r="H384" s="74">
        <v>810000</v>
      </c>
      <c r="I384" s="75">
        <f t="shared" si="19"/>
        <v>0</v>
      </c>
      <c r="J384" s="75"/>
      <c r="K384" s="5">
        <v>46117</v>
      </c>
      <c r="Q384" s="9"/>
      <c r="S384" s="3"/>
    </row>
    <row r="385" spans="1:19" ht="15" hidden="1" customHeight="1" x14ac:dyDescent="0.35">
      <c r="A385" s="26" t="s">
        <v>1329</v>
      </c>
      <c r="B385" s="27" t="s">
        <v>158</v>
      </c>
      <c r="C385" s="28"/>
      <c r="D385" s="29" t="s">
        <v>1322</v>
      </c>
      <c r="E385" s="76">
        <v>2010000</v>
      </c>
      <c r="F385" s="77">
        <f t="shared" si="20"/>
        <v>160800</v>
      </c>
      <c r="G385" s="31">
        <f t="shared" si="18"/>
        <v>2170800</v>
      </c>
      <c r="H385" s="74">
        <v>2170800</v>
      </c>
      <c r="I385" s="75">
        <f t="shared" si="19"/>
        <v>0</v>
      </c>
      <c r="J385" s="75"/>
      <c r="K385" s="5">
        <v>46117</v>
      </c>
      <c r="Q385" s="9"/>
      <c r="S385" s="3"/>
    </row>
    <row r="386" spans="1:19" ht="15" hidden="1" customHeight="1" x14ac:dyDescent="0.35">
      <c r="A386" s="26" t="s">
        <v>1330</v>
      </c>
      <c r="B386" s="32" t="s">
        <v>159</v>
      </c>
      <c r="C386" s="28"/>
      <c r="D386" s="29" t="s">
        <v>1322</v>
      </c>
      <c r="E386" s="76">
        <v>1920000</v>
      </c>
      <c r="F386" s="77">
        <f t="shared" si="20"/>
        <v>153600</v>
      </c>
      <c r="G386" s="31">
        <f t="shared" si="18"/>
        <v>2073600</v>
      </c>
      <c r="H386" s="74">
        <v>2073600</v>
      </c>
      <c r="I386" s="75">
        <f t="shared" si="19"/>
        <v>0</v>
      </c>
      <c r="J386" s="75"/>
      <c r="K386" s="5">
        <v>46117</v>
      </c>
      <c r="Q386" s="9"/>
      <c r="S386" s="3"/>
    </row>
    <row r="387" spans="1:19" ht="15" hidden="1" customHeight="1" x14ac:dyDescent="0.35">
      <c r="A387" s="26" t="s">
        <v>1331</v>
      </c>
      <c r="B387" s="32" t="s">
        <v>160</v>
      </c>
      <c r="C387" s="28"/>
      <c r="D387" s="29" t="s">
        <v>1322</v>
      </c>
      <c r="E387" s="76">
        <v>1005000</v>
      </c>
      <c r="F387" s="77">
        <f t="shared" si="20"/>
        <v>80400</v>
      </c>
      <c r="G387" s="31">
        <f t="shared" si="18"/>
        <v>1085400</v>
      </c>
      <c r="H387" s="74">
        <v>1085400</v>
      </c>
      <c r="I387" s="75">
        <f t="shared" si="19"/>
        <v>0</v>
      </c>
      <c r="J387" s="75"/>
      <c r="K387" s="5">
        <v>46117</v>
      </c>
      <c r="Q387" s="9"/>
      <c r="S387" s="3"/>
    </row>
    <row r="388" spans="1:19" ht="15" hidden="1" customHeight="1" x14ac:dyDescent="0.35">
      <c r="A388" s="26" t="s">
        <v>1332</v>
      </c>
      <c r="B388" s="32" t="s">
        <v>161</v>
      </c>
      <c r="C388" s="28"/>
      <c r="D388" s="29" t="s">
        <v>1322</v>
      </c>
      <c r="E388" s="76">
        <v>750000</v>
      </c>
      <c r="F388" s="77">
        <f t="shared" si="20"/>
        <v>60000</v>
      </c>
      <c r="G388" s="31">
        <f t="shared" si="18"/>
        <v>810000</v>
      </c>
      <c r="H388" s="74">
        <v>810000</v>
      </c>
      <c r="I388" s="75">
        <f t="shared" si="19"/>
        <v>0</v>
      </c>
      <c r="J388" s="75"/>
      <c r="K388" s="5">
        <v>46117</v>
      </c>
      <c r="Q388" s="9"/>
      <c r="S388" s="3"/>
    </row>
    <row r="389" spans="1:19" ht="15" hidden="1" customHeight="1" x14ac:dyDescent="0.35">
      <c r="A389" s="26" t="s">
        <v>1333</v>
      </c>
      <c r="B389" s="32" t="s">
        <v>162</v>
      </c>
      <c r="C389" s="28"/>
      <c r="D389" s="29" t="s">
        <v>1322</v>
      </c>
      <c r="E389" s="76">
        <v>1005000</v>
      </c>
      <c r="F389" s="77">
        <f t="shared" si="20"/>
        <v>80400</v>
      </c>
      <c r="G389" s="31">
        <f t="shared" si="18"/>
        <v>1085400</v>
      </c>
      <c r="H389" s="74">
        <v>1085400</v>
      </c>
      <c r="I389" s="75">
        <f t="shared" si="19"/>
        <v>0</v>
      </c>
      <c r="J389" s="75"/>
      <c r="K389" s="5">
        <v>46117</v>
      </c>
      <c r="Q389" s="9"/>
      <c r="S389" s="3"/>
    </row>
    <row r="390" spans="1:19" ht="15" hidden="1" customHeight="1" x14ac:dyDescent="0.35">
      <c r="A390" s="26" t="s">
        <v>1334</v>
      </c>
      <c r="B390" s="32" t="s">
        <v>163</v>
      </c>
      <c r="C390" s="28"/>
      <c r="D390" s="29" t="s">
        <v>1322</v>
      </c>
      <c r="E390" s="76">
        <v>18243640</v>
      </c>
      <c r="F390" s="77">
        <f t="shared" si="20"/>
        <v>1459491.2</v>
      </c>
      <c r="G390" s="31">
        <f t="shared" si="18"/>
        <v>19703131.199999999</v>
      </c>
      <c r="H390" s="74">
        <v>19703131.199999999</v>
      </c>
      <c r="I390" s="75">
        <f t="shared" si="19"/>
        <v>0</v>
      </c>
      <c r="J390" s="75"/>
      <c r="K390" s="5">
        <v>46117</v>
      </c>
      <c r="Q390" s="9"/>
      <c r="S390" s="3"/>
    </row>
    <row r="391" spans="1:19" ht="15" hidden="1" customHeight="1" x14ac:dyDescent="0.35">
      <c r="A391" s="26" t="s">
        <v>1335</v>
      </c>
      <c r="B391" s="32" t="s">
        <v>164</v>
      </c>
      <c r="C391" s="28"/>
      <c r="D391" s="29" t="s">
        <v>1322</v>
      </c>
      <c r="E391" s="76">
        <v>9825000</v>
      </c>
      <c r="F391" s="77">
        <f t="shared" si="20"/>
        <v>786000</v>
      </c>
      <c r="G391" s="31">
        <f t="shared" ref="G391:G452" si="21">+F391+E391</f>
        <v>10611000</v>
      </c>
      <c r="H391" s="31">
        <v>10611000</v>
      </c>
      <c r="I391" s="75">
        <f t="shared" si="19"/>
        <v>0</v>
      </c>
      <c r="J391" s="75"/>
      <c r="K391" s="5">
        <v>46117</v>
      </c>
      <c r="Q391" s="9"/>
      <c r="S391" s="3"/>
    </row>
    <row r="392" spans="1:19" ht="15" hidden="1" customHeight="1" x14ac:dyDescent="0.35">
      <c r="A392" s="26" t="s">
        <v>1336</v>
      </c>
      <c r="B392" s="32" t="s">
        <v>165</v>
      </c>
      <c r="C392" s="28"/>
      <c r="D392" s="29" t="s">
        <v>1322</v>
      </c>
      <c r="E392" s="76">
        <v>4815000</v>
      </c>
      <c r="F392" s="77">
        <f t="shared" si="20"/>
        <v>385200</v>
      </c>
      <c r="G392" s="31">
        <f t="shared" si="21"/>
        <v>5200200</v>
      </c>
      <c r="H392" s="74">
        <v>5200200</v>
      </c>
      <c r="I392" s="75">
        <f t="shared" si="19"/>
        <v>0</v>
      </c>
      <c r="J392" s="75"/>
      <c r="K392" s="5">
        <v>46117</v>
      </c>
      <c r="Q392" s="9"/>
      <c r="S392" s="3"/>
    </row>
    <row r="393" spans="1:19" ht="15" hidden="1" customHeight="1" x14ac:dyDescent="0.35">
      <c r="A393" s="26" t="s">
        <v>1337</v>
      </c>
      <c r="B393" s="32" t="s">
        <v>166</v>
      </c>
      <c r="C393" s="28"/>
      <c r="D393" s="29" t="s">
        <v>1322</v>
      </c>
      <c r="E393" s="76">
        <v>3240000</v>
      </c>
      <c r="F393" s="77">
        <f t="shared" si="20"/>
        <v>259200</v>
      </c>
      <c r="G393" s="31">
        <f t="shared" si="21"/>
        <v>3499200</v>
      </c>
      <c r="H393" s="74">
        <v>3499200</v>
      </c>
      <c r="I393" s="75">
        <f t="shared" si="19"/>
        <v>0</v>
      </c>
      <c r="J393" s="75"/>
      <c r="K393" s="5">
        <v>46117</v>
      </c>
      <c r="Q393" s="9"/>
      <c r="S393" s="3"/>
    </row>
    <row r="394" spans="1:19" ht="15" hidden="1" customHeight="1" x14ac:dyDescent="0.35">
      <c r="A394" s="26" t="s">
        <v>1338</v>
      </c>
      <c r="B394" s="32" t="s">
        <v>167</v>
      </c>
      <c r="C394" s="28"/>
      <c r="D394" s="29" t="s">
        <v>1322</v>
      </c>
      <c r="E394" s="76">
        <v>3630000</v>
      </c>
      <c r="F394" s="77">
        <f t="shared" si="20"/>
        <v>290400</v>
      </c>
      <c r="G394" s="31">
        <f t="shared" si="21"/>
        <v>3920400</v>
      </c>
      <c r="H394" s="74">
        <v>3920400</v>
      </c>
      <c r="I394" s="75">
        <f t="shared" si="19"/>
        <v>0</v>
      </c>
      <c r="J394" s="75"/>
      <c r="K394" s="5">
        <v>46117</v>
      </c>
      <c r="Q394" s="9"/>
      <c r="S394" s="3"/>
    </row>
    <row r="395" spans="1:19" ht="15" hidden="1" customHeight="1" x14ac:dyDescent="0.35">
      <c r="A395" s="26" t="s">
        <v>1339</v>
      </c>
      <c r="B395" s="32" t="s">
        <v>168</v>
      </c>
      <c r="C395" s="28"/>
      <c r="D395" s="29" t="s">
        <v>1322</v>
      </c>
      <c r="E395" s="76">
        <v>37610000</v>
      </c>
      <c r="F395" s="77">
        <f t="shared" si="20"/>
        <v>3008800</v>
      </c>
      <c r="G395" s="31">
        <f t="shared" si="21"/>
        <v>40618800</v>
      </c>
      <c r="H395" s="74">
        <v>40618800</v>
      </c>
      <c r="I395" s="75">
        <f t="shared" si="19"/>
        <v>0</v>
      </c>
      <c r="J395" s="75"/>
      <c r="K395" s="5">
        <v>46117</v>
      </c>
      <c r="Q395" s="9"/>
      <c r="S395" s="3"/>
    </row>
    <row r="396" spans="1:19" ht="15" hidden="1" customHeight="1" x14ac:dyDescent="0.35">
      <c r="A396" s="26" t="s">
        <v>1340</v>
      </c>
      <c r="B396" s="32" t="s">
        <v>169</v>
      </c>
      <c r="C396" s="28"/>
      <c r="D396" s="29" t="s">
        <v>1322</v>
      </c>
      <c r="E396" s="76">
        <v>14460000</v>
      </c>
      <c r="F396" s="77">
        <f t="shared" si="20"/>
        <v>1156800</v>
      </c>
      <c r="G396" s="31">
        <f t="shared" si="21"/>
        <v>15616800</v>
      </c>
      <c r="H396" s="74">
        <v>15616800</v>
      </c>
      <c r="I396" s="75">
        <f t="shared" si="19"/>
        <v>0</v>
      </c>
      <c r="J396" s="75"/>
      <c r="K396" s="5">
        <v>46117</v>
      </c>
      <c r="Q396" s="9"/>
      <c r="S396" s="3"/>
    </row>
    <row r="397" spans="1:19" ht="15" hidden="1" customHeight="1" x14ac:dyDescent="0.35">
      <c r="A397" s="26" t="s">
        <v>1341</v>
      </c>
      <c r="B397" s="32" t="s">
        <v>170</v>
      </c>
      <c r="C397" s="28"/>
      <c r="D397" s="29" t="s">
        <v>1322</v>
      </c>
      <c r="E397" s="76">
        <v>2040000</v>
      </c>
      <c r="F397" s="77">
        <f t="shared" si="20"/>
        <v>163200</v>
      </c>
      <c r="G397" s="31">
        <f t="shared" si="21"/>
        <v>2203200</v>
      </c>
      <c r="H397" s="74">
        <v>2203200</v>
      </c>
      <c r="I397" s="75">
        <f t="shared" si="19"/>
        <v>0</v>
      </c>
      <c r="J397" s="75"/>
      <c r="K397" s="5">
        <v>46117</v>
      </c>
      <c r="Q397" s="9"/>
      <c r="S397" s="3"/>
    </row>
    <row r="398" spans="1:19" ht="15" hidden="1" customHeight="1" x14ac:dyDescent="0.35">
      <c r="A398" s="26" t="s">
        <v>1342</v>
      </c>
      <c r="B398" s="32" t="s">
        <v>171</v>
      </c>
      <c r="C398" s="28"/>
      <c r="D398" s="29" t="s">
        <v>1322</v>
      </c>
      <c r="E398" s="76">
        <v>10170000</v>
      </c>
      <c r="F398" s="77">
        <f t="shared" si="20"/>
        <v>813600</v>
      </c>
      <c r="G398" s="31">
        <f t="shared" si="21"/>
        <v>10983600</v>
      </c>
      <c r="H398" s="74">
        <v>10983600</v>
      </c>
      <c r="I398" s="75">
        <f t="shared" si="19"/>
        <v>0</v>
      </c>
      <c r="J398" s="75"/>
      <c r="K398" s="5">
        <v>46117</v>
      </c>
      <c r="Q398" s="9"/>
      <c r="S398" s="3"/>
    </row>
    <row r="399" spans="1:19" ht="15" hidden="1" customHeight="1" x14ac:dyDescent="0.35">
      <c r="A399" s="26" t="s">
        <v>1343</v>
      </c>
      <c r="B399" s="32" t="s">
        <v>172</v>
      </c>
      <c r="C399" s="28"/>
      <c r="D399" s="29" t="s">
        <v>1322</v>
      </c>
      <c r="E399" s="76">
        <v>1972800</v>
      </c>
      <c r="F399" s="77">
        <f t="shared" si="20"/>
        <v>157824</v>
      </c>
      <c r="G399" s="31">
        <f t="shared" si="21"/>
        <v>2130624</v>
      </c>
      <c r="H399" s="74">
        <v>2130624</v>
      </c>
      <c r="I399" s="75">
        <f t="shared" si="19"/>
        <v>0</v>
      </c>
      <c r="J399" s="75"/>
      <c r="L399" s="5">
        <v>46096</v>
      </c>
      <c r="Q399" s="9"/>
      <c r="S399" s="3"/>
    </row>
    <row r="400" spans="1:19" ht="15" hidden="1" customHeight="1" x14ac:dyDescent="0.35">
      <c r="A400" s="26" t="s">
        <v>1344</v>
      </c>
      <c r="B400" s="32" t="s">
        <v>1297</v>
      </c>
      <c r="C400" s="28"/>
      <c r="D400" s="29" t="s">
        <v>1322</v>
      </c>
      <c r="E400" s="76">
        <v>91472000</v>
      </c>
      <c r="F400" s="77">
        <f t="shared" si="20"/>
        <v>7317760</v>
      </c>
      <c r="G400" s="31">
        <f t="shared" si="21"/>
        <v>98789760</v>
      </c>
      <c r="H400" s="74">
        <v>98789760</v>
      </c>
      <c r="I400" s="75">
        <f t="shared" si="19"/>
        <v>0</v>
      </c>
      <c r="J400" s="75"/>
      <c r="K400" s="5">
        <v>46117</v>
      </c>
      <c r="Q400" s="9"/>
      <c r="S400" s="3"/>
    </row>
    <row r="401" spans="1:19" ht="15" hidden="1" customHeight="1" x14ac:dyDescent="0.35">
      <c r="A401" s="26" t="s">
        <v>1345</v>
      </c>
      <c r="B401" s="32" t="s">
        <v>1298</v>
      </c>
      <c r="C401" s="28"/>
      <c r="D401" s="29" t="s">
        <v>1322</v>
      </c>
      <c r="E401" s="76">
        <v>41962400</v>
      </c>
      <c r="F401" s="77">
        <f t="shared" si="20"/>
        <v>3356992</v>
      </c>
      <c r="G401" s="31">
        <f t="shared" si="21"/>
        <v>45319392</v>
      </c>
      <c r="H401" s="74">
        <v>45319392</v>
      </c>
      <c r="I401" s="75">
        <f t="shared" si="19"/>
        <v>0</v>
      </c>
      <c r="J401" s="75"/>
      <c r="K401" s="5">
        <v>46117</v>
      </c>
      <c r="Q401" s="9"/>
      <c r="S401" s="3"/>
    </row>
    <row r="402" spans="1:19" ht="15" hidden="1" customHeight="1" x14ac:dyDescent="0.35">
      <c r="A402" s="26" t="s">
        <v>1346</v>
      </c>
      <c r="B402" s="32" t="s">
        <v>1299</v>
      </c>
      <c r="C402" s="28"/>
      <c r="D402" s="29" t="s">
        <v>1323</v>
      </c>
      <c r="E402" s="76">
        <v>840000</v>
      </c>
      <c r="F402" s="77">
        <f t="shared" si="20"/>
        <v>67200</v>
      </c>
      <c r="G402" s="31">
        <f t="shared" si="21"/>
        <v>907200</v>
      </c>
      <c r="H402" s="74">
        <v>907200</v>
      </c>
      <c r="I402" s="75">
        <f t="shared" si="19"/>
        <v>0</v>
      </c>
      <c r="J402" s="75"/>
      <c r="L402" s="5">
        <v>46096</v>
      </c>
      <c r="Q402" s="9"/>
      <c r="S402" s="3"/>
    </row>
    <row r="403" spans="1:19" ht="15" hidden="1" customHeight="1" x14ac:dyDescent="0.35">
      <c r="A403" s="26" t="s">
        <v>1347</v>
      </c>
      <c r="B403" s="32" t="s">
        <v>1300</v>
      </c>
      <c r="C403" s="28"/>
      <c r="D403" s="29" t="s">
        <v>1323</v>
      </c>
      <c r="E403" s="76">
        <v>840000</v>
      </c>
      <c r="F403" s="77">
        <f t="shared" si="20"/>
        <v>67200</v>
      </c>
      <c r="G403" s="31">
        <f t="shared" si="21"/>
        <v>907200</v>
      </c>
      <c r="H403" s="74">
        <v>907200</v>
      </c>
      <c r="I403" s="75">
        <f t="shared" si="19"/>
        <v>0</v>
      </c>
      <c r="J403" s="75"/>
      <c r="L403" s="5">
        <v>46096</v>
      </c>
      <c r="Q403" s="9"/>
      <c r="S403" s="3"/>
    </row>
    <row r="404" spans="1:19" ht="15" hidden="1" customHeight="1" x14ac:dyDescent="0.35">
      <c r="A404" s="26" t="s">
        <v>1348</v>
      </c>
      <c r="B404" s="32" t="s">
        <v>1301</v>
      </c>
      <c r="C404" s="28"/>
      <c r="D404" s="29" t="s">
        <v>1323</v>
      </c>
      <c r="E404" s="76">
        <v>5371200</v>
      </c>
      <c r="F404" s="77">
        <f t="shared" si="20"/>
        <v>429696</v>
      </c>
      <c r="G404" s="31">
        <f t="shared" si="21"/>
        <v>5800896</v>
      </c>
      <c r="H404" s="74">
        <v>5800896</v>
      </c>
      <c r="I404" s="75">
        <f t="shared" si="19"/>
        <v>0</v>
      </c>
      <c r="J404" s="75"/>
      <c r="L404" s="5">
        <v>46096</v>
      </c>
      <c r="Q404" s="9"/>
      <c r="S404" s="3"/>
    </row>
    <row r="405" spans="1:19" ht="15" hidden="1" customHeight="1" x14ac:dyDescent="0.35">
      <c r="A405" s="26" t="s">
        <v>1349</v>
      </c>
      <c r="B405" s="27" t="s">
        <v>1302</v>
      </c>
      <c r="C405" s="28">
        <v>1899</v>
      </c>
      <c r="D405" s="29">
        <v>46085</v>
      </c>
      <c r="E405" s="76">
        <v>9258200</v>
      </c>
      <c r="F405" s="77">
        <f t="shared" si="20"/>
        <v>740656</v>
      </c>
      <c r="G405" s="31">
        <f t="shared" si="21"/>
        <v>9998856</v>
      </c>
      <c r="H405" s="74">
        <v>9998856</v>
      </c>
      <c r="I405" s="75">
        <f t="shared" si="19"/>
        <v>0</v>
      </c>
      <c r="J405" s="75"/>
      <c r="L405" s="5">
        <v>46117</v>
      </c>
      <c r="Q405" s="9"/>
      <c r="S405" s="3"/>
    </row>
    <row r="406" spans="1:19" ht="15" hidden="1" customHeight="1" x14ac:dyDescent="0.35">
      <c r="A406" s="26" t="s">
        <v>1350</v>
      </c>
      <c r="B406" s="32" t="s">
        <v>1303</v>
      </c>
      <c r="C406" s="28"/>
      <c r="D406" s="29" t="s">
        <v>1323</v>
      </c>
      <c r="E406" s="76">
        <v>840000</v>
      </c>
      <c r="F406" s="77">
        <f t="shared" si="20"/>
        <v>67200</v>
      </c>
      <c r="G406" s="31">
        <f t="shared" si="21"/>
        <v>907200</v>
      </c>
      <c r="H406" s="74">
        <v>907200</v>
      </c>
      <c r="I406" s="75">
        <f t="shared" si="19"/>
        <v>0</v>
      </c>
      <c r="J406" s="75"/>
      <c r="L406" s="5">
        <v>46096</v>
      </c>
      <c r="Q406" s="9"/>
      <c r="S406" s="3"/>
    </row>
    <row r="407" spans="1:19" ht="15" hidden="1" customHeight="1" x14ac:dyDescent="0.35">
      <c r="A407" s="26" t="s">
        <v>1351</v>
      </c>
      <c r="B407" s="32" t="s">
        <v>1304</v>
      </c>
      <c r="C407" s="28"/>
      <c r="D407" s="29" t="s">
        <v>1323</v>
      </c>
      <c r="E407" s="76">
        <v>1972800</v>
      </c>
      <c r="F407" s="77">
        <f t="shared" si="20"/>
        <v>157824</v>
      </c>
      <c r="G407" s="31">
        <f t="shared" si="21"/>
        <v>2130624</v>
      </c>
      <c r="H407" s="74">
        <v>2130624</v>
      </c>
      <c r="I407" s="75">
        <f t="shared" si="19"/>
        <v>0</v>
      </c>
      <c r="J407" s="75"/>
      <c r="L407" s="5">
        <v>46096</v>
      </c>
      <c r="Q407" s="9"/>
      <c r="S407" s="3"/>
    </row>
    <row r="408" spans="1:19" ht="15" hidden="1" customHeight="1" x14ac:dyDescent="0.35">
      <c r="A408" s="26" t="s">
        <v>1352</v>
      </c>
      <c r="B408" s="32" t="s">
        <v>173</v>
      </c>
      <c r="C408" s="28"/>
      <c r="D408" s="29" t="s">
        <v>1323</v>
      </c>
      <c r="E408" s="76">
        <v>30164400</v>
      </c>
      <c r="F408" s="77">
        <f t="shared" si="20"/>
        <v>2413152</v>
      </c>
      <c r="G408" s="31">
        <f t="shared" si="21"/>
        <v>32577552</v>
      </c>
      <c r="H408" s="74">
        <v>32577552</v>
      </c>
      <c r="I408" s="75">
        <f t="shared" si="19"/>
        <v>0</v>
      </c>
      <c r="J408" s="75"/>
      <c r="K408" s="5">
        <v>46117</v>
      </c>
      <c r="Q408" s="9"/>
      <c r="S408" s="3"/>
    </row>
    <row r="409" spans="1:19" ht="15" hidden="1" customHeight="1" x14ac:dyDescent="0.35">
      <c r="A409" s="26" t="s">
        <v>1353</v>
      </c>
      <c r="B409" s="32" t="s">
        <v>1305</v>
      </c>
      <c r="C409" s="28"/>
      <c r="D409" s="29" t="s">
        <v>1323</v>
      </c>
      <c r="E409" s="76">
        <v>4800000</v>
      </c>
      <c r="F409" s="77">
        <f t="shared" si="20"/>
        <v>384000</v>
      </c>
      <c r="G409" s="31">
        <f t="shared" si="21"/>
        <v>5184000</v>
      </c>
      <c r="H409" s="74">
        <v>5184000</v>
      </c>
      <c r="I409" s="75">
        <f t="shared" si="19"/>
        <v>0</v>
      </c>
      <c r="J409" s="75"/>
      <c r="K409" s="5">
        <v>46117</v>
      </c>
      <c r="Q409" s="9"/>
      <c r="S409" s="3"/>
    </row>
    <row r="410" spans="1:19" ht="15" hidden="1" customHeight="1" x14ac:dyDescent="0.35">
      <c r="A410" s="26" t="s">
        <v>1354</v>
      </c>
      <c r="B410" s="32" t="s">
        <v>1306</v>
      </c>
      <c r="C410" s="28"/>
      <c r="D410" s="29" t="s">
        <v>1323</v>
      </c>
      <c r="E410" s="76">
        <v>1972800</v>
      </c>
      <c r="F410" s="77">
        <f t="shared" si="20"/>
        <v>157824</v>
      </c>
      <c r="G410" s="31">
        <f t="shared" si="21"/>
        <v>2130624</v>
      </c>
      <c r="H410" s="74">
        <v>2130624</v>
      </c>
      <c r="I410" s="75">
        <f t="shared" si="19"/>
        <v>0</v>
      </c>
      <c r="J410" s="75"/>
      <c r="L410" s="5">
        <v>46096</v>
      </c>
      <c r="Q410" s="9"/>
      <c r="S410" s="3"/>
    </row>
    <row r="411" spans="1:19" ht="15" hidden="1" customHeight="1" x14ac:dyDescent="0.35">
      <c r="A411" s="26" t="s">
        <v>1355</v>
      </c>
      <c r="B411" s="32" t="s">
        <v>1307</v>
      </c>
      <c r="C411" s="28"/>
      <c r="D411" s="29" t="s">
        <v>1323</v>
      </c>
      <c r="E411" s="76">
        <v>840000</v>
      </c>
      <c r="F411" s="77">
        <f t="shared" si="20"/>
        <v>67200</v>
      </c>
      <c r="G411" s="31">
        <f t="shared" si="21"/>
        <v>907200</v>
      </c>
      <c r="H411" s="74">
        <v>907200</v>
      </c>
      <c r="I411" s="75">
        <f t="shared" si="19"/>
        <v>0</v>
      </c>
      <c r="J411" s="75"/>
      <c r="L411" s="5">
        <v>46096</v>
      </c>
      <c r="Q411" s="9"/>
      <c r="S411" s="3"/>
    </row>
    <row r="412" spans="1:19" ht="15" hidden="1" customHeight="1" x14ac:dyDescent="0.35">
      <c r="A412" s="26" t="s">
        <v>1356</v>
      </c>
      <c r="B412" s="32" t="s">
        <v>1308</v>
      </c>
      <c r="C412" s="28"/>
      <c r="D412" s="29" t="s">
        <v>1323</v>
      </c>
      <c r="E412" s="76">
        <v>1972800</v>
      </c>
      <c r="F412" s="77">
        <f t="shared" si="20"/>
        <v>157824</v>
      </c>
      <c r="G412" s="31">
        <f t="shared" si="21"/>
        <v>2130624</v>
      </c>
      <c r="H412" s="74">
        <v>2130624</v>
      </c>
      <c r="I412" s="75">
        <f t="shared" si="19"/>
        <v>0</v>
      </c>
      <c r="J412" s="75"/>
      <c r="L412" s="5">
        <v>46096</v>
      </c>
      <c r="Q412" s="9"/>
      <c r="S412" s="3"/>
    </row>
    <row r="413" spans="1:19" ht="15" hidden="1" customHeight="1" x14ac:dyDescent="0.35">
      <c r="A413" s="26" t="s">
        <v>1357</v>
      </c>
      <c r="B413" s="32" t="s">
        <v>1309</v>
      </c>
      <c r="C413" s="28"/>
      <c r="D413" s="29" t="s">
        <v>1323</v>
      </c>
      <c r="E413" s="76">
        <v>12990000</v>
      </c>
      <c r="F413" s="77">
        <f t="shared" si="20"/>
        <v>1039200</v>
      </c>
      <c r="G413" s="31">
        <f t="shared" si="21"/>
        <v>14029200</v>
      </c>
      <c r="H413" s="74">
        <v>14029200</v>
      </c>
      <c r="I413" s="75">
        <f t="shared" si="19"/>
        <v>0</v>
      </c>
      <c r="J413" s="75"/>
      <c r="K413" s="5">
        <v>46117</v>
      </c>
      <c r="Q413" s="9"/>
      <c r="S413" s="3"/>
    </row>
    <row r="414" spans="1:19" ht="15" hidden="1" customHeight="1" x14ac:dyDescent="0.35">
      <c r="A414" s="26" t="s">
        <v>1358</v>
      </c>
      <c r="B414" s="32" t="s">
        <v>1310</v>
      </c>
      <c r="C414" s="28"/>
      <c r="D414" s="29" t="s">
        <v>1323</v>
      </c>
      <c r="E414" s="76">
        <v>1755000</v>
      </c>
      <c r="F414" s="77">
        <f t="shared" si="20"/>
        <v>140400</v>
      </c>
      <c r="G414" s="31">
        <f t="shared" si="21"/>
        <v>1895400</v>
      </c>
      <c r="H414" s="74">
        <v>1895400</v>
      </c>
      <c r="I414" s="75">
        <f t="shared" si="19"/>
        <v>0</v>
      </c>
      <c r="J414" s="75"/>
      <c r="K414" s="5">
        <v>46117</v>
      </c>
      <c r="Q414" s="9"/>
      <c r="S414" s="3"/>
    </row>
    <row r="415" spans="1:19" ht="15" hidden="1" customHeight="1" x14ac:dyDescent="0.35">
      <c r="A415" s="26" t="s">
        <v>1359</v>
      </c>
      <c r="B415" s="32" t="s">
        <v>1311</v>
      </c>
      <c r="C415" s="28"/>
      <c r="D415" s="29" t="s">
        <v>1323</v>
      </c>
      <c r="E415" s="76">
        <v>2265600</v>
      </c>
      <c r="F415" s="77">
        <f t="shared" si="20"/>
        <v>181248</v>
      </c>
      <c r="G415" s="31">
        <f t="shared" si="21"/>
        <v>2446848</v>
      </c>
      <c r="H415" s="74">
        <v>2446848</v>
      </c>
      <c r="I415" s="75">
        <f t="shared" si="19"/>
        <v>0</v>
      </c>
      <c r="J415" s="75"/>
      <c r="L415" s="5">
        <v>46096</v>
      </c>
      <c r="Q415" s="9"/>
      <c r="S415" s="3"/>
    </row>
    <row r="416" spans="1:19" ht="15" hidden="1" customHeight="1" x14ac:dyDescent="0.35">
      <c r="A416" s="26" t="s">
        <v>1360</v>
      </c>
      <c r="B416" s="32" t="s">
        <v>1312</v>
      </c>
      <c r="C416" s="28"/>
      <c r="D416" s="29" t="s">
        <v>1324</v>
      </c>
      <c r="E416" s="76">
        <v>3945600</v>
      </c>
      <c r="F416" s="77">
        <f t="shared" si="20"/>
        <v>315648</v>
      </c>
      <c r="G416" s="31">
        <f t="shared" si="21"/>
        <v>4261248</v>
      </c>
      <c r="H416" s="74">
        <v>4261248</v>
      </c>
      <c r="I416" s="75">
        <f t="shared" si="19"/>
        <v>0</v>
      </c>
      <c r="J416" s="75"/>
      <c r="L416" s="5">
        <v>46096</v>
      </c>
      <c r="Q416" s="9"/>
      <c r="S416" s="3"/>
    </row>
    <row r="417" spans="1:19" ht="15" hidden="1" customHeight="1" x14ac:dyDescent="0.35">
      <c r="A417" s="26" t="s">
        <v>1361</v>
      </c>
      <c r="B417" s="32" t="s">
        <v>1313</v>
      </c>
      <c r="C417" s="28"/>
      <c r="D417" s="29" t="s">
        <v>1324</v>
      </c>
      <c r="E417" s="76">
        <v>840000</v>
      </c>
      <c r="F417" s="77">
        <f t="shared" si="20"/>
        <v>67200</v>
      </c>
      <c r="G417" s="31">
        <f t="shared" si="21"/>
        <v>907200</v>
      </c>
      <c r="H417" s="74">
        <v>907200</v>
      </c>
      <c r="I417" s="75">
        <f t="shared" si="19"/>
        <v>0</v>
      </c>
      <c r="J417" s="75"/>
      <c r="L417" s="5">
        <v>46096</v>
      </c>
      <c r="Q417" s="9"/>
      <c r="S417" s="3"/>
    </row>
    <row r="418" spans="1:19" ht="15" hidden="1" customHeight="1" x14ac:dyDescent="0.35">
      <c r="A418" s="26" t="s">
        <v>1362</v>
      </c>
      <c r="B418" s="32" t="s">
        <v>1314</v>
      </c>
      <c r="C418" s="28"/>
      <c r="D418" s="29" t="s">
        <v>1324</v>
      </c>
      <c r="E418" s="76">
        <v>1132800</v>
      </c>
      <c r="F418" s="77">
        <f t="shared" si="20"/>
        <v>90624</v>
      </c>
      <c r="G418" s="31">
        <f t="shared" si="21"/>
        <v>1223424</v>
      </c>
      <c r="H418" s="74">
        <v>1223424</v>
      </c>
      <c r="I418" s="75">
        <f t="shared" si="19"/>
        <v>0</v>
      </c>
      <c r="J418" s="75"/>
      <c r="L418" s="5">
        <v>46096</v>
      </c>
      <c r="Q418" s="9"/>
      <c r="S418" s="3"/>
    </row>
    <row r="419" spans="1:19" ht="15" hidden="1" customHeight="1" x14ac:dyDescent="0.35">
      <c r="A419" s="26" t="s">
        <v>1363</v>
      </c>
      <c r="B419" s="32" t="s">
        <v>1315</v>
      </c>
      <c r="C419" s="28"/>
      <c r="D419" s="29" t="s">
        <v>1324</v>
      </c>
      <c r="E419" s="76">
        <v>1972800</v>
      </c>
      <c r="F419" s="77">
        <f t="shared" si="20"/>
        <v>157824</v>
      </c>
      <c r="G419" s="31">
        <f t="shared" si="21"/>
        <v>2130624</v>
      </c>
      <c r="H419" s="74">
        <v>2130624</v>
      </c>
      <c r="I419" s="75">
        <f t="shared" si="19"/>
        <v>0</v>
      </c>
      <c r="J419" s="75"/>
      <c r="L419" s="5">
        <v>46096</v>
      </c>
      <c r="Q419" s="9"/>
      <c r="S419" s="3"/>
    </row>
    <row r="420" spans="1:19" ht="15" hidden="1" customHeight="1" x14ac:dyDescent="0.35">
      <c r="A420" s="26" t="s">
        <v>1364</v>
      </c>
      <c r="B420" s="32" t="s">
        <v>1316</v>
      </c>
      <c r="C420" s="28"/>
      <c r="D420" s="29" t="s">
        <v>1324</v>
      </c>
      <c r="E420" s="76">
        <v>1972800</v>
      </c>
      <c r="F420" s="77">
        <f t="shared" si="20"/>
        <v>157824</v>
      </c>
      <c r="G420" s="31">
        <f t="shared" si="21"/>
        <v>2130624</v>
      </c>
      <c r="H420" s="74">
        <v>2130624</v>
      </c>
      <c r="I420" s="75">
        <f t="shared" si="19"/>
        <v>0</v>
      </c>
      <c r="J420" s="75"/>
      <c r="L420" s="5">
        <v>46096</v>
      </c>
      <c r="Q420" s="9"/>
      <c r="S420" s="3"/>
    </row>
    <row r="421" spans="1:19" ht="15" hidden="1" customHeight="1" x14ac:dyDescent="0.35">
      <c r="A421" s="26" t="s">
        <v>1365</v>
      </c>
      <c r="B421" s="32" t="s">
        <v>1317</v>
      </c>
      <c r="C421" s="28"/>
      <c r="D421" s="29" t="s">
        <v>1324</v>
      </c>
      <c r="E421" s="76">
        <v>1972800</v>
      </c>
      <c r="F421" s="77">
        <f t="shared" si="20"/>
        <v>157824</v>
      </c>
      <c r="G421" s="31">
        <f t="shared" si="21"/>
        <v>2130624</v>
      </c>
      <c r="H421" s="74">
        <v>2130624</v>
      </c>
      <c r="I421" s="75">
        <f t="shared" si="19"/>
        <v>0</v>
      </c>
      <c r="J421" s="75"/>
      <c r="L421" s="5">
        <v>46096</v>
      </c>
      <c r="Q421" s="9"/>
      <c r="S421" s="3"/>
    </row>
    <row r="422" spans="1:19" ht="15" hidden="1" customHeight="1" x14ac:dyDescent="0.35">
      <c r="A422" s="26" t="s">
        <v>1366</v>
      </c>
      <c r="B422" s="32" t="s">
        <v>1318</v>
      </c>
      <c r="C422" s="28"/>
      <c r="D422" s="29" t="s">
        <v>1324</v>
      </c>
      <c r="E422" s="76">
        <v>18180000</v>
      </c>
      <c r="F422" s="77">
        <f t="shared" si="20"/>
        <v>1454400</v>
      </c>
      <c r="G422" s="31">
        <f t="shared" si="21"/>
        <v>19634400</v>
      </c>
      <c r="H422" s="74">
        <v>19634400</v>
      </c>
      <c r="I422" s="75">
        <f t="shared" si="19"/>
        <v>0</v>
      </c>
      <c r="J422" s="75"/>
      <c r="K422" s="5">
        <v>46117</v>
      </c>
      <c r="Q422" s="9"/>
      <c r="S422" s="3"/>
    </row>
    <row r="423" spans="1:19" ht="15" hidden="1" customHeight="1" x14ac:dyDescent="0.35">
      <c r="A423" s="26" t="s">
        <v>1367</v>
      </c>
      <c r="B423" s="32" t="s">
        <v>1319</v>
      </c>
      <c r="C423" s="28"/>
      <c r="D423" s="29" t="s">
        <v>1324</v>
      </c>
      <c r="E423" s="76">
        <v>1755000</v>
      </c>
      <c r="F423" s="77">
        <f t="shared" si="20"/>
        <v>140400</v>
      </c>
      <c r="G423" s="31">
        <f t="shared" si="21"/>
        <v>1895400</v>
      </c>
      <c r="H423" s="74">
        <v>1895400</v>
      </c>
      <c r="I423" s="75">
        <f t="shared" si="19"/>
        <v>0</v>
      </c>
      <c r="J423" s="75"/>
      <c r="K423" s="5">
        <v>46117</v>
      </c>
      <c r="Q423" s="9"/>
      <c r="S423" s="3"/>
    </row>
    <row r="424" spans="1:19" ht="15" hidden="1" customHeight="1" x14ac:dyDescent="0.35">
      <c r="A424" s="26" t="s">
        <v>1368</v>
      </c>
      <c r="B424" s="32" t="s">
        <v>174</v>
      </c>
      <c r="C424" s="28"/>
      <c r="D424" s="29" t="s">
        <v>1325</v>
      </c>
      <c r="E424" s="76">
        <v>25040000</v>
      </c>
      <c r="F424" s="77">
        <f t="shared" si="20"/>
        <v>2003200</v>
      </c>
      <c r="G424" s="31">
        <f t="shared" si="21"/>
        <v>27043200</v>
      </c>
      <c r="H424" s="74">
        <v>27043200</v>
      </c>
      <c r="I424" s="75">
        <f t="shared" si="19"/>
        <v>0</v>
      </c>
      <c r="J424" s="75"/>
      <c r="K424" s="5">
        <v>46117</v>
      </c>
      <c r="Q424" s="9"/>
      <c r="S424" s="3"/>
    </row>
    <row r="425" spans="1:19" ht="15" hidden="1" customHeight="1" x14ac:dyDescent="0.35">
      <c r="A425" s="26" t="s">
        <v>1369</v>
      </c>
      <c r="B425" s="32" t="s">
        <v>175</v>
      </c>
      <c r="C425" s="28"/>
      <c r="D425" s="29" t="s">
        <v>1325</v>
      </c>
      <c r="E425" s="76">
        <v>47596600</v>
      </c>
      <c r="F425" s="77">
        <f t="shared" si="20"/>
        <v>3807728</v>
      </c>
      <c r="G425" s="31">
        <f t="shared" si="21"/>
        <v>51404328</v>
      </c>
      <c r="H425" s="74">
        <v>51404328</v>
      </c>
      <c r="I425" s="75">
        <f t="shared" si="19"/>
        <v>0</v>
      </c>
      <c r="J425" s="75"/>
      <c r="K425" s="5">
        <v>46117</v>
      </c>
      <c r="Q425" s="9"/>
      <c r="S425" s="3"/>
    </row>
    <row r="426" spans="1:19" ht="15" hidden="1" customHeight="1" x14ac:dyDescent="0.35">
      <c r="A426" s="26" t="s">
        <v>1370</v>
      </c>
      <c r="B426" s="32" t="s">
        <v>176</v>
      </c>
      <c r="C426" s="28"/>
      <c r="D426" s="29" t="s">
        <v>1325</v>
      </c>
      <c r="E426" s="76">
        <v>22526800</v>
      </c>
      <c r="F426" s="77">
        <f t="shared" si="20"/>
        <v>1802144</v>
      </c>
      <c r="G426" s="31">
        <f t="shared" si="21"/>
        <v>24328944</v>
      </c>
      <c r="H426" s="74">
        <v>24328944</v>
      </c>
      <c r="I426" s="75">
        <f t="shared" si="19"/>
        <v>0</v>
      </c>
      <c r="J426" s="75"/>
      <c r="K426" s="5">
        <v>46117</v>
      </c>
      <c r="Q426" s="9"/>
      <c r="S426" s="3"/>
    </row>
    <row r="427" spans="1:19" ht="15" hidden="1" customHeight="1" x14ac:dyDescent="0.35">
      <c r="A427" s="26" t="s">
        <v>1371</v>
      </c>
      <c r="B427" s="32" t="s">
        <v>1320</v>
      </c>
      <c r="C427" s="28"/>
      <c r="D427" s="29" t="s">
        <v>1326</v>
      </c>
      <c r="E427" s="76">
        <v>59512000</v>
      </c>
      <c r="F427" s="77">
        <f t="shared" si="20"/>
        <v>4760960</v>
      </c>
      <c r="G427" s="31">
        <f t="shared" si="21"/>
        <v>64272960</v>
      </c>
      <c r="H427" s="74">
        <v>64272960</v>
      </c>
      <c r="I427" s="75">
        <f t="shared" si="19"/>
        <v>0</v>
      </c>
      <c r="J427" s="75"/>
      <c r="K427" s="5">
        <v>46117</v>
      </c>
      <c r="Q427" s="9"/>
      <c r="S427" s="3"/>
    </row>
    <row r="428" spans="1:19" ht="15" hidden="1" customHeight="1" x14ac:dyDescent="0.35">
      <c r="A428" s="26" t="s">
        <v>1372</v>
      </c>
      <c r="B428" s="32" t="s">
        <v>1321</v>
      </c>
      <c r="C428" s="28"/>
      <c r="D428" s="29" t="s">
        <v>1327</v>
      </c>
      <c r="E428" s="76">
        <v>17940000</v>
      </c>
      <c r="F428" s="77">
        <f t="shared" si="20"/>
        <v>1435200</v>
      </c>
      <c r="G428" s="31">
        <f t="shared" si="21"/>
        <v>19375200</v>
      </c>
      <c r="H428" s="74">
        <v>19375200</v>
      </c>
      <c r="I428" s="75">
        <f t="shared" si="19"/>
        <v>0</v>
      </c>
      <c r="J428" s="75"/>
      <c r="K428" s="5">
        <v>46117</v>
      </c>
      <c r="Q428" s="9"/>
      <c r="S428" s="3"/>
    </row>
    <row r="429" spans="1:19" ht="15" hidden="1" customHeight="1" x14ac:dyDescent="0.35">
      <c r="A429" s="26" t="s">
        <v>1374</v>
      </c>
      <c r="B429" s="32" t="s">
        <v>1373</v>
      </c>
      <c r="C429" s="28">
        <v>1729</v>
      </c>
      <c r="D429" s="29">
        <v>46080</v>
      </c>
      <c r="E429" s="76">
        <v>115834000</v>
      </c>
      <c r="F429" s="77">
        <f t="shared" si="20"/>
        <v>9266720</v>
      </c>
      <c r="G429" s="31">
        <f t="shared" si="21"/>
        <v>125100720</v>
      </c>
      <c r="H429" s="74">
        <v>125100720</v>
      </c>
      <c r="I429" s="75">
        <f t="shared" si="19"/>
        <v>0</v>
      </c>
      <c r="J429" s="75"/>
      <c r="K429" s="5">
        <v>46127</v>
      </c>
      <c r="Q429" s="9"/>
      <c r="S429" s="3"/>
    </row>
    <row r="430" spans="1:19" ht="15" hidden="1" customHeight="1" x14ac:dyDescent="0.35">
      <c r="A430" s="26" t="s">
        <v>1388</v>
      </c>
      <c r="B430" s="27" t="s">
        <v>1375</v>
      </c>
      <c r="C430" s="28"/>
      <c r="D430" s="29" t="s">
        <v>1387</v>
      </c>
      <c r="E430" s="76">
        <v>12175000</v>
      </c>
      <c r="F430" s="77">
        <f t="shared" si="20"/>
        <v>974000</v>
      </c>
      <c r="G430" s="31">
        <f t="shared" si="21"/>
        <v>13149000</v>
      </c>
      <c r="H430" s="74">
        <v>13149000</v>
      </c>
      <c r="I430" s="75">
        <f t="shared" si="19"/>
        <v>0</v>
      </c>
      <c r="J430" s="75"/>
      <c r="K430" s="5">
        <v>46127</v>
      </c>
      <c r="Q430" s="9"/>
      <c r="S430" s="3"/>
    </row>
    <row r="431" spans="1:19" ht="15" hidden="1" customHeight="1" x14ac:dyDescent="0.35">
      <c r="A431" s="26" t="s">
        <v>1389</v>
      </c>
      <c r="B431" s="32" t="s">
        <v>1376</v>
      </c>
      <c r="C431" s="28"/>
      <c r="D431" s="29" t="s">
        <v>1387</v>
      </c>
      <c r="E431" s="76">
        <v>3435000</v>
      </c>
      <c r="F431" s="77">
        <f t="shared" si="20"/>
        <v>274800</v>
      </c>
      <c r="G431" s="31">
        <f t="shared" si="21"/>
        <v>3709800</v>
      </c>
      <c r="H431" s="74">
        <v>3709800</v>
      </c>
      <c r="I431" s="75">
        <f t="shared" si="19"/>
        <v>0</v>
      </c>
      <c r="J431" s="75"/>
      <c r="K431" s="5">
        <v>46127</v>
      </c>
      <c r="Q431" s="9"/>
      <c r="S431" s="3"/>
    </row>
    <row r="432" spans="1:19" ht="15" hidden="1" customHeight="1" x14ac:dyDescent="0.35">
      <c r="A432" s="26" t="s">
        <v>1390</v>
      </c>
      <c r="B432" s="32" t="s">
        <v>1377</v>
      </c>
      <c r="C432" s="28">
        <v>1898</v>
      </c>
      <c r="D432" s="29">
        <v>46085</v>
      </c>
      <c r="E432" s="76">
        <v>4086000</v>
      </c>
      <c r="F432" s="77">
        <f t="shared" si="20"/>
        <v>326880</v>
      </c>
      <c r="G432" s="31">
        <f t="shared" si="21"/>
        <v>4412880</v>
      </c>
      <c r="H432" s="74">
        <v>4412880</v>
      </c>
      <c r="I432" s="75">
        <f t="shared" si="19"/>
        <v>0</v>
      </c>
      <c r="J432" s="75"/>
      <c r="K432" s="5">
        <v>46127</v>
      </c>
      <c r="Q432" s="9"/>
      <c r="S432" s="3"/>
    </row>
    <row r="433" spans="1:19" ht="15" hidden="1" customHeight="1" x14ac:dyDescent="0.35">
      <c r="A433" s="26" t="s">
        <v>1391</v>
      </c>
      <c r="B433" s="27" t="s">
        <v>177</v>
      </c>
      <c r="C433" s="28"/>
      <c r="D433" s="29" t="s">
        <v>1387</v>
      </c>
      <c r="E433" s="76">
        <v>20395000</v>
      </c>
      <c r="F433" s="77">
        <f t="shared" si="20"/>
        <v>1631600</v>
      </c>
      <c r="G433" s="31">
        <f t="shared" si="21"/>
        <v>22026600</v>
      </c>
      <c r="H433" s="74">
        <v>22026600</v>
      </c>
      <c r="I433" s="75">
        <f t="shared" si="19"/>
        <v>0</v>
      </c>
      <c r="J433" s="75"/>
      <c r="K433" s="5">
        <v>46127</v>
      </c>
      <c r="Q433" s="9"/>
      <c r="S433" s="3"/>
    </row>
    <row r="434" spans="1:19" ht="15" hidden="1" customHeight="1" x14ac:dyDescent="0.35">
      <c r="A434" s="26" t="s">
        <v>1392</v>
      </c>
      <c r="B434" s="27" t="s">
        <v>178</v>
      </c>
      <c r="C434" s="28">
        <v>2281</v>
      </c>
      <c r="D434" s="29">
        <v>46101</v>
      </c>
      <c r="E434" s="76">
        <v>11008000</v>
      </c>
      <c r="F434" s="77">
        <f t="shared" si="20"/>
        <v>880640</v>
      </c>
      <c r="G434" s="31">
        <f t="shared" si="21"/>
        <v>11888640</v>
      </c>
      <c r="H434" s="74">
        <v>11888640</v>
      </c>
      <c r="I434" s="75">
        <f t="shared" si="19"/>
        <v>0</v>
      </c>
      <c r="J434" s="75"/>
      <c r="K434" s="5">
        <v>46147</v>
      </c>
      <c r="Q434" s="9"/>
      <c r="S434" s="3"/>
    </row>
    <row r="435" spans="1:19" ht="15" hidden="1" customHeight="1" x14ac:dyDescent="0.35">
      <c r="A435" s="26" t="s">
        <v>1393</v>
      </c>
      <c r="B435" s="27" t="s">
        <v>1378</v>
      </c>
      <c r="C435" s="33">
        <v>1904</v>
      </c>
      <c r="D435" s="29">
        <v>46085</v>
      </c>
      <c r="E435" s="76">
        <v>18361000</v>
      </c>
      <c r="F435" s="77">
        <f t="shared" si="20"/>
        <v>1468880</v>
      </c>
      <c r="G435" s="31">
        <f t="shared" si="21"/>
        <v>19829880</v>
      </c>
      <c r="H435" s="74">
        <v>19829880</v>
      </c>
      <c r="I435" s="75">
        <f t="shared" si="19"/>
        <v>0</v>
      </c>
      <c r="J435" s="75"/>
      <c r="K435" s="5">
        <v>46127</v>
      </c>
      <c r="Q435" s="9"/>
      <c r="S435" s="3"/>
    </row>
    <row r="436" spans="1:19" ht="15" hidden="1" customHeight="1" x14ac:dyDescent="0.35">
      <c r="A436" s="26" t="s">
        <v>1394</v>
      </c>
      <c r="B436" s="27" t="s">
        <v>1379</v>
      </c>
      <c r="C436" s="28"/>
      <c r="D436" s="29" t="s">
        <v>1387</v>
      </c>
      <c r="E436" s="76">
        <v>7540000</v>
      </c>
      <c r="F436" s="77">
        <f t="shared" si="20"/>
        <v>603200</v>
      </c>
      <c r="G436" s="31">
        <f t="shared" si="21"/>
        <v>8143200</v>
      </c>
      <c r="H436" s="74">
        <v>8143200</v>
      </c>
      <c r="I436" s="75">
        <f t="shared" si="19"/>
        <v>0</v>
      </c>
      <c r="J436" s="75"/>
      <c r="K436" s="5">
        <v>46127</v>
      </c>
      <c r="Q436" s="9"/>
      <c r="S436" s="3"/>
    </row>
    <row r="437" spans="1:19" ht="15" hidden="1" customHeight="1" x14ac:dyDescent="0.35">
      <c r="A437" s="26" t="s">
        <v>1395</v>
      </c>
      <c r="B437" s="27" t="s">
        <v>1380</v>
      </c>
      <c r="C437" s="33">
        <v>1865</v>
      </c>
      <c r="D437" s="29">
        <v>46084</v>
      </c>
      <c r="E437" s="76">
        <v>6000000</v>
      </c>
      <c r="F437" s="77">
        <f t="shared" si="20"/>
        <v>480000</v>
      </c>
      <c r="G437" s="31">
        <f t="shared" si="21"/>
        <v>6480000</v>
      </c>
      <c r="H437" s="74">
        <v>6480000</v>
      </c>
      <c r="I437" s="75">
        <f t="shared" si="19"/>
        <v>0</v>
      </c>
      <c r="J437" s="75"/>
      <c r="K437" s="5">
        <v>46127</v>
      </c>
      <c r="Q437" s="9"/>
      <c r="S437" s="3"/>
    </row>
    <row r="438" spans="1:19" ht="15" hidden="1" customHeight="1" x14ac:dyDescent="0.35">
      <c r="A438" s="26" t="s">
        <v>1396</v>
      </c>
      <c r="B438" s="27" t="s">
        <v>1381</v>
      </c>
      <c r="C438" s="28"/>
      <c r="D438" s="29" t="s">
        <v>1387</v>
      </c>
      <c r="E438" s="76">
        <v>19815000</v>
      </c>
      <c r="F438" s="77">
        <f t="shared" si="20"/>
        <v>1585200</v>
      </c>
      <c r="G438" s="31">
        <f t="shared" si="21"/>
        <v>21400200</v>
      </c>
      <c r="H438" s="74">
        <v>21400200</v>
      </c>
      <c r="I438" s="75">
        <f t="shared" si="19"/>
        <v>0</v>
      </c>
      <c r="J438" s="75"/>
      <c r="K438" s="5">
        <v>46127</v>
      </c>
      <c r="Q438" s="9"/>
      <c r="S438" s="3"/>
    </row>
    <row r="439" spans="1:19" ht="15" hidden="1" customHeight="1" x14ac:dyDescent="0.35">
      <c r="A439" s="26" t="s">
        <v>1397</v>
      </c>
      <c r="B439" s="27" t="s">
        <v>1382</v>
      </c>
      <c r="C439" s="28"/>
      <c r="D439" s="29" t="s">
        <v>1387</v>
      </c>
      <c r="E439" s="76">
        <v>4531200</v>
      </c>
      <c r="F439" s="77">
        <f t="shared" si="20"/>
        <v>362496</v>
      </c>
      <c r="G439" s="31">
        <f t="shared" si="21"/>
        <v>4893696</v>
      </c>
      <c r="H439" s="74">
        <v>4893696</v>
      </c>
      <c r="I439" s="75">
        <f t="shared" si="19"/>
        <v>0</v>
      </c>
      <c r="J439" s="75"/>
      <c r="L439" s="5">
        <v>46117</v>
      </c>
      <c r="Q439" s="9"/>
      <c r="S439" s="3"/>
    </row>
    <row r="440" spans="1:19" ht="15" hidden="1" customHeight="1" x14ac:dyDescent="0.35">
      <c r="A440" s="26" t="s">
        <v>1398</v>
      </c>
      <c r="B440" s="32" t="s">
        <v>1383</v>
      </c>
      <c r="C440" s="28"/>
      <c r="D440" s="29" t="s">
        <v>1387</v>
      </c>
      <c r="E440" s="76">
        <v>1972800</v>
      </c>
      <c r="F440" s="77">
        <f t="shared" si="20"/>
        <v>157824</v>
      </c>
      <c r="G440" s="31">
        <f t="shared" si="21"/>
        <v>2130624</v>
      </c>
      <c r="H440" s="74">
        <v>2130624</v>
      </c>
      <c r="I440" s="75">
        <f t="shared" ref="I440:I503" si="22">G440-H440</f>
        <v>0</v>
      </c>
      <c r="J440" s="75"/>
      <c r="L440" s="5">
        <v>46117</v>
      </c>
      <c r="Q440" s="9"/>
      <c r="S440" s="3"/>
    </row>
    <row r="441" spans="1:19" ht="15" hidden="1" customHeight="1" x14ac:dyDescent="0.35">
      <c r="A441" s="26" t="s">
        <v>1399</v>
      </c>
      <c r="B441" s="32" t="s">
        <v>1384</v>
      </c>
      <c r="C441" s="28"/>
      <c r="D441" s="29" t="s">
        <v>1387</v>
      </c>
      <c r="E441" s="76">
        <v>840000</v>
      </c>
      <c r="F441" s="77">
        <f t="shared" ref="F441:F504" si="23">+E441*0.08</f>
        <v>67200</v>
      </c>
      <c r="G441" s="31">
        <f t="shared" si="21"/>
        <v>907200</v>
      </c>
      <c r="H441" s="74">
        <v>907200</v>
      </c>
      <c r="I441" s="75">
        <f t="shared" si="22"/>
        <v>0</v>
      </c>
      <c r="J441" s="75"/>
      <c r="L441" s="5">
        <v>46117</v>
      </c>
      <c r="Q441" s="9"/>
      <c r="S441" s="3"/>
    </row>
    <row r="442" spans="1:19" ht="15" hidden="1" customHeight="1" x14ac:dyDescent="0.35">
      <c r="A442" s="26" t="s">
        <v>1400</v>
      </c>
      <c r="B442" s="32" t="s">
        <v>1385</v>
      </c>
      <c r="C442" s="28"/>
      <c r="D442" s="29" t="s">
        <v>1387</v>
      </c>
      <c r="E442" s="76">
        <v>1132800</v>
      </c>
      <c r="F442" s="77">
        <f t="shared" si="23"/>
        <v>90624</v>
      </c>
      <c r="G442" s="31">
        <f t="shared" si="21"/>
        <v>1223424</v>
      </c>
      <c r="H442" s="74">
        <v>1223424</v>
      </c>
      <c r="I442" s="75">
        <f t="shared" si="22"/>
        <v>0</v>
      </c>
      <c r="J442" s="75"/>
      <c r="L442" s="5">
        <v>46117</v>
      </c>
      <c r="Q442" s="9"/>
      <c r="S442" s="3"/>
    </row>
    <row r="443" spans="1:19" ht="15" hidden="1" customHeight="1" x14ac:dyDescent="0.35">
      <c r="A443" s="26" t="s">
        <v>1401</v>
      </c>
      <c r="B443" s="32" t="s">
        <v>1386</v>
      </c>
      <c r="C443" s="28"/>
      <c r="D443" s="29" t="s">
        <v>1387</v>
      </c>
      <c r="E443" s="76">
        <v>1972800</v>
      </c>
      <c r="F443" s="77">
        <f t="shared" si="23"/>
        <v>157824</v>
      </c>
      <c r="G443" s="31">
        <f t="shared" si="21"/>
        <v>2130624</v>
      </c>
      <c r="H443" s="74">
        <v>2130624</v>
      </c>
      <c r="I443" s="75">
        <f t="shared" si="22"/>
        <v>0</v>
      </c>
      <c r="J443" s="75"/>
      <c r="L443" s="5">
        <v>46117</v>
      </c>
      <c r="Q443" s="9"/>
      <c r="S443" s="3"/>
    </row>
    <row r="444" spans="1:19" ht="15" hidden="1" customHeight="1" x14ac:dyDescent="0.35">
      <c r="A444" s="26" t="s">
        <v>1402</v>
      </c>
      <c r="B444" s="32" t="s">
        <v>179</v>
      </c>
      <c r="C444" s="28"/>
      <c r="D444" s="29" t="s">
        <v>1549</v>
      </c>
      <c r="E444" s="76">
        <v>1972800</v>
      </c>
      <c r="F444" s="77">
        <f t="shared" si="23"/>
        <v>157824</v>
      </c>
      <c r="G444" s="31">
        <f t="shared" si="21"/>
        <v>2130624</v>
      </c>
      <c r="H444" s="74">
        <v>2130624</v>
      </c>
      <c r="I444" s="75">
        <f t="shared" si="22"/>
        <v>0</v>
      </c>
      <c r="J444" s="75"/>
      <c r="L444" s="5">
        <v>46117</v>
      </c>
      <c r="Q444" s="9"/>
      <c r="S444" s="3"/>
    </row>
    <row r="445" spans="1:19" ht="15" hidden="1" customHeight="1" x14ac:dyDescent="0.35">
      <c r="A445" s="26" t="s">
        <v>1403</v>
      </c>
      <c r="B445" s="32" t="s">
        <v>180</v>
      </c>
      <c r="C445" s="28"/>
      <c r="D445" s="29" t="s">
        <v>1549</v>
      </c>
      <c r="E445" s="76">
        <v>3652800</v>
      </c>
      <c r="F445" s="77">
        <f t="shared" si="23"/>
        <v>292224</v>
      </c>
      <c r="G445" s="31">
        <f t="shared" si="21"/>
        <v>3945024</v>
      </c>
      <c r="H445" s="74">
        <v>3945024</v>
      </c>
      <c r="I445" s="75">
        <f t="shared" si="22"/>
        <v>0</v>
      </c>
      <c r="J445" s="75"/>
      <c r="L445" s="5">
        <v>46117</v>
      </c>
      <c r="Q445" s="9"/>
      <c r="S445" s="3"/>
    </row>
    <row r="446" spans="1:19" ht="15" hidden="1" customHeight="1" x14ac:dyDescent="0.35">
      <c r="A446" s="26" t="s">
        <v>1404</v>
      </c>
      <c r="B446" s="32" t="s">
        <v>181</v>
      </c>
      <c r="C446" s="28"/>
      <c r="D446" s="29" t="s">
        <v>1549</v>
      </c>
      <c r="E446" s="76">
        <v>2520000</v>
      </c>
      <c r="F446" s="77">
        <f t="shared" si="23"/>
        <v>201600</v>
      </c>
      <c r="G446" s="31">
        <f t="shared" si="21"/>
        <v>2721600</v>
      </c>
      <c r="H446" s="74">
        <v>2721600</v>
      </c>
      <c r="I446" s="75">
        <f t="shared" si="22"/>
        <v>0</v>
      </c>
      <c r="J446" s="75"/>
      <c r="L446" s="5">
        <v>46117</v>
      </c>
      <c r="Q446" s="9"/>
      <c r="S446" s="3"/>
    </row>
    <row r="447" spans="1:19" ht="15" hidden="1" customHeight="1" x14ac:dyDescent="0.35">
      <c r="A447" s="26" t="s">
        <v>1405</v>
      </c>
      <c r="B447" s="27" t="s">
        <v>182</v>
      </c>
      <c r="C447" s="28"/>
      <c r="D447" s="29" t="s">
        <v>1549</v>
      </c>
      <c r="E447" s="76">
        <v>840000</v>
      </c>
      <c r="F447" s="77">
        <f t="shared" si="23"/>
        <v>67200</v>
      </c>
      <c r="G447" s="31">
        <f t="shared" si="21"/>
        <v>907200</v>
      </c>
      <c r="H447" s="74">
        <v>907200</v>
      </c>
      <c r="I447" s="75">
        <f t="shared" si="22"/>
        <v>0</v>
      </c>
      <c r="J447" s="75"/>
      <c r="L447" s="5">
        <v>46117</v>
      </c>
      <c r="Q447" s="9"/>
      <c r="S447" s="3"/>
    </row>
    <row r="448" spans="1:19" ht="15" hidden="1" customHeight="1" x14ac:dyDescent="0.35">
      <c r="A448" s="26" t="s">
        <v>1406</v>
      </c>
      <c r="B448" s="32" t="s">
        <v>183</v>
      </c>
      <c r="C448" s="28"/>
      <c r="D448" s="29" t="s">
        <v>1549</v>
      </c>
      <c r="E448" s="76">
        <v>840000</v>
      </c>
      <c r="F448" s="77">
        <f t="shared" si="23"/>
        <v>67200</v>
      </c>
      <c r="G448" s="31">
        <f t="shared" si="21"/>
        <v>907200</v>
      </c>
      <c r="H448" s="74">
        <v>907200</v>
      </c>
      <c r="I448" s="75">
        <f t="shared" si="22"/>
        <v>0</v>
      </c>
      <c r="J448" s="75"/>
      <c r="L448" s="5">
        <v>46117</v>
      </c>
      <c r="Q448" s="9"/>
      <c r="S448" s="3"/>
    </row>
    <row r="449" spans="1:19" ht="15" hidden="1" customHeight="1" x14ac:dyDescent="0.35">
      <c r="A449" s="26" t="s">
        <v>1407</v>
      </c>
      <c r="B449" s="32" t="s">
        <v>184</v>
      </c>
      <c r="C449" s="28"/>
      <c r="D449" s="29" t="s">
        <v>1549</v>
      </c>
      <c r="E449" s="76">
        <v>1132800</v>
      </c>
      <c r="F449" s="77">
        <f t="shared" si="23"/>
        <v>90624</v>
      </c>
      <c r="G449" s="31">
        <f t="shared" si="21"/>
        <v>1223424</v>
      </c>
      <c r="H449" s="74">
        <v>1223424</v>
      </c>
      <c r="I449" s="75">
        <f t="shared" si="22"/>
        <v>0</v>
      </c>
      <c r="J449" s="75"/>
      <c r="L449" s="5">
        <v>46117</v>
      </c>
      <c r="Q449" s="9"/>
      <c r="S449" s="3"/>
    </row>
    <row r="450" spans="1:19" ht="15" hidden="1" customHeight="1" x14ac:dyDescent="0.35">
      <c r="A450" s="26" t="s">
        <v>1408</v>
      </c>
      <c r="B450" s="32" t="s">
        <v>185</v>
      </c>
      <c r="C450" s="28"/>
      <c r="D450" s="29" t="s">
        <v>1549</v>
      </c>
      <c r="E450" s="76">
        <v>1972800</v>
      </c>
      <c r="F450" s="77">
        <f t="shared" si="23"/>
        <v>157824</v>
      </c>
      <c r="G450" s="31">
        <f t="shared" si="21"/>
        <v>2130624</v>
      </c>
      <c r="H450" s="74">
        <v>2130624</v>
      </c>
      <c r="I450" s="75">
        <f t="shared" si="22"/>
        <v>0</v>
      </c>
      <c r="J450" s="75"/>
      <c r="L450" s="5">
        <v>46117</v>
      </c>
      <c r="Q450" s="9"/>
      <c r="S450" s="3"/>
    </row>
    <row r="451" spans="1:19" ht="15" hidden="1" customHeight="1" x14ac:dyDescent="0.35">
      <c r="A451" s="26" t="s">
        <v>1409</v>
      </c>
      <c r="B451" s="32" t="s">
        <v>186</v>
      </c>
      <c r="C451" s="28"/>
      <c r="D451" s="29" t="s">
        <v>1549</v>
      </c>
      <c r="E451" s="76">
        <v>840000</v>
      </c>
      <c r="F451" s="77">
        <f t="shared" si="23"/>
        <v>67200</v>
      </c>
      <c r="G451" s="31">
        <f t="shared" si="21"/>
        <v>907200</v>
      </c>
      <c r="H451" s="74">
        <v>907200</v>
      </c>
      <c r="I451" s="75">
        <f t="shared" si="22"/>
        <v>0</v>
      </c>
      <c r="J451" s="75"/>
      <c r="L451" s="5">
        <v>46117</v>
      </c>
      <c r="Q451" s="9"/>
      <c r="S451" s="3"/>
    </row>
    <row r="452" spans="1:19" ht="15" hidden="1" customHeight="1" x14ac:dyDescent="0.35">
      <c r="A452" s="26" t="s">
        <v>1410</v>
      </c>
      <c r="B452" s="32" t="s">
        <v>187</v>
      </c>
      <c r="C452" s="28"/>
      <c r="D452" s="29" t="s">
        <v>1549</v>
      </c>
      <c r="E452" s="76">
        <v>840000</v>
      </c>
      <c r="F452" s="77">
        <f t="shared" si="23"/>
        <v>67200</v>
      </c>
      <c r="G452" s="31">
        <f t="shared" si="21"/>
        <v>907200</v>
      </c>
      <c r="H452" s="74">
        <v>907200</v>
      </c>
      <c r="I452" s="75">
        <f t="shared" si="22"/>
        <v>0</v>
      </c>
      <c r="J452" s="75"/>
      <c r="L452" s="5">
        <v>46117</v>
      </c>
      <c r="Q452" s="9"/>
      <c r="S452" s="3"/>
    </row>
    <row r="453" spans="1:19" ht="15" hidden="1" customHeight="1" x14ac:dyDescent="0.35">
      <c r="A453" s="26" t="s">
        <v>1411</v>
      </c>
      <c r="B453" s="32" t="s">
        <v>188</v>
      </c>
      <c r="C453" s="28"/>
      <c r="D453" s="29" t="s">
        <v>1549</v>
      </c>
      <c r="E453" s="76">
        <v>840000</v>
      </c>
      <c r="F453" s="77">
        <f t="shared" si="23"/>
        <v>67200</v>
      </c>
      <c r="G453" s="31">
        <f t="shared" ref="G453:G516" si="24">+F453+E453</f>
        <v>907200</v>
      </c>
      <c r="H453" s="74">
        <v>907200</v>
      </c>
      <c r="I453" s="75">
        <f t="shared" si="22"/>
        <v>0</v>
      </c>
      <c r="J453" s="75"/>
      <c r="L453" s="5">
        <v>46117</v>
      </c>
      <c r="Q453" s="9"/>
      <c r="S453" s="3"/>
    </row>
    <row r="454" spans="1:19" ht="15" hidden="1" customHeight="1" x14ac:dyDescent="0.35">
      <c r="A454" s="26" t="s">
        <v>1412</v>
      </c>
      <c r="B454" s="32" t="s">
        <v>189</v>
      </c>
      <c r="C454" s="28">
        <v>2054</v>
      </c>
      <c r="D454" s="29">
        <v>46092</v>
      </c>
      <c r="E454" s="76">
        <v>30031000</v>
      </c>
      <c r="F454" s="77">
        <f t="shared" si="23"/>
        <v>2402480</v>
      </c>
      <c r="G454" s="31">
        <f t="shared" si="24"/>
        <v>32433480</v>
      </c>
      <c r="H454" s="74">
        <v>32433480</v>
      </c>
      <c r="I454" s="75">
        <f t="shared" si="22"/>
        <v>0</v>
      </c>
      <c r="J454" s="75"/>
      <c r="K454" s="5">
        <v>46147</v>
      </c>
      <c r="Q454" s="9"/>
      <c r="S454" s="3"/>
    </row>
    <row r="455" spans="1:19" ht="15" hidden="1" customHeight="1" x14ac:dyDescent="0.35">
      <c r="A455" s="26" t="s">
        <v>1413</v>
      </c>
      <c r="B455" s="32" t="s">
        <v>190</v>
      </c>
      <c r="C455" s="28">
        <v>1897</v>
      </c>
      <c r="D455" s="29">
        <v>46085</v>
      </c>
      <c r="E455" s="76">
        <v>17989500</v>
      </c>
      <c r="F455" s="77">
        <f t="shared" si="23"/>
        <v>1439160</v>
      </c>
      <c r="G455" s="31">
        <f t="shared" si="24"/>
        <v>19428660</v>
      </c>
      <c r="H455" s="74">
        <v>19428660</v>
      </c>
      <c r="I455" s="75">
        <f t="shared" si="22"/>
        <v>0</v>
      </c>
      <c r="J455" s="75"/>
      <c r="K455" s="5">
        <v>46127</v>
      </c>
      <c r="Q455" s="9"/>
      <c r="S455" s="3"/>
    </row>
    <row r="456" spans="1:19" ht="15" hidden="1" customHeight="1" x14ac:dyDescent="0.35">
      <c r="A456" s="26" t="s">
        <v>1414</v>
      </c>
      <c r="B456" s="32" t="s">
        <v>191</v>
      </c>
      <c r="C456" s="28"/>
      <c r="D456" s="29" t="s">
        <v>1549</v>
      </c>
      <c r="E456" s="76">
        <v>9645000</v>
      </c>
      <c r="F456" s="77">
        <f t="shared" si="23"/>
        <v>771600</v>
      </c>
      <c r="G456" s="31">
        <f t="shared" si="24"/>
        <v>10416600</v>
      </c>
      <c r="H456" s="31">
        <v>10416600</v>
      </c>
      <c r="I456" s="75">
        <f t="shared" si="22"/>
        <v>0</v>
      </c>
      <c r="J456" s="75"/>
      <c r="K456" s="5">
        <v>46127</v>
      </c>
      <c r="Q456" s="9"/>
      <c r="S456" s="3"/>
    </row>
    <row r="457" spans="1:19" ht="15" hidden="1" customHeight="1" x14ac:dyDescent="0.35">
      <c r="A457" s="26" t="s">
        <v>1415</v>
      </c>
      <c r="B457" s="27" t="s">
        <v>192</v>
      </c>
      <c r="C457" s="28"/>
      <c r="D457" s="29" t="s">
        <v>1549</v>
      </c>
      <c r="E457" s="76">
        <v>23325000</v>
      </c>
      <c r="F457" s="77">
        <f t="shared" si="23"/>
        <v>1866000</v>
      </c>
      <c r="G457" s="31">
        <f t="shared" si="24"/>
        <v>25191000</v>
      </c>
      <c r="H457" s="74">
        <v>25191000</v>
      </c>
      <c r="I457" s="75">
        <f t="shared" si="22"/>
        <v>0</v>
      </c>
      <c r="J457" s="75"/>
      <c r="K457" s="5">
        <v>46127</v>
      </c>
      <c r="Q457" s="9"/>
      <c r="S457" s="3"/>
    </row>
    <row r="458" spans="1:19" ht="15" hidden="1" customHeight="1" x14ac:dyDescent="0.35">
      <c r="A458" s="26" t="s">
        <v>1416</v>
      </c>
      <c r="B458" s="27" t="s">
        <v>193</v>
      </c>
      <c r="C458" s="28"/>
      <c r="D458" s="29" t="s">
        <v>1549</v>
      </c>
      <c r="E458" s="76">
        <v>17595000</v>
      </c>
      <c r="F458" s="77">
        <f t="shared" si="23"/>
        <v>1407600</v>
      </c>
      <c r="G458" s="31">
        <f t="shared" si="24"/>
        <v>19002600</v>
      </c>
      <c r="H458" s="74">
        <v>19002600</v>
      </c>
      <c r="I458" s="75">
        <f t="shared" si="22"/>
        <v>0</v>
      </c>
      <c r="J458" s="75"/>
      <c r="K458" s="5">
        <v>46127</v>
      </c>
      <c r="Q458" s="9"/>
      <c r="S458" s="3"/>
    </row>
    <row r="459" spans="1:19" ht="15" hidden="1" customHeight="1" x14ac:dyDescent="0.35">
      <c r="A459" s="26" t="s">
        <v>1417</v>
      </c>
      <c r="B459" s="27" t="s">
        <v>194</v>
      </c>
      <c r="C459" s="28"/>
      <c r="D459" s="29" t="s">
        <v>1549</v>
      </c>
      <c r="E459" s="76">
        <v>47870000</v>
      </c>
      <c r="F459" s="77">
        <f t="shared" si="23"/>
        <v>3829600</v>
      </c>
      <c r="G459" s="31">
        <f t="shared" si="24"/>
        <v>51699600</v>
      </c>
      <c r="H459" s="74">
        <v>51699600</v>
      </c>
      <c r="I459" s="75">
        <f t="shared" si="22"/>
        <v>0</v>
      </c>
      <c r="J459" s="75"/>
      <c r="K459" s="5">
        <v>46127</v>
      </c>
      <c r="Q459" s="9"/>
      <c r="S459" s="3"/>
    </row>
    <row r="460" spans="1:19" ht="15" hidden="1" customHeight="1" x14ac:dyDescent="0.35">
      <c r="A460" s="26" t="s">
        <v>1418</v>
      </c>
      <c r="B460" s="27" t="s">
        <v>195</v>
      </c>
      <c r="C460" s="28"/>
      <c r="D460" s="29" t="s">
        <v>1549</v>
      </c>
      <c r="E460" s="76">
        <v>8660000</v>
      </c>
      <c r="F460" s="77">
        <f t="shared" si="23"/>
        <v>692800</v>
      </c>
      <c r="G460" s="31">
        <f t="shared" si="24"/>
        <v>9352800</v>
      </c>
      <c r="H460" s="74">
        <v>9352800</v>
      </c>
      <c r="I460" s="75">
        <f t="shared" si="22"/>
        <v>0</v>
      </c>
      <c r="J460" s="75"/>
      <c r="K460" s="5">
        <v>46127</v>
      </c>
      <c r="Q460" s="9"/>
      <c r="S460" s="3"/>
    </row>
    <row r="461" spans="1:19" ht="15" hidden="1" customHeight="1" x14ac:dyDescent="0.35">
      <c r="A461" s="26" t="s">
        <v>1419</v>
      </c>
      <c r="B461" s="32" t="s">
        <v>196</v>
      </c>
      <c r="C461" s="28"/>
      <c r="D461" s="29" t="s">
        <v>1549</v>
      </c>
      <c r="E461" s="76">
        <v>1965000</v>
      </c>
      <c r="F461" s="77">
        <f t="shared" si="23"/>
        <v>157200</v>
      </c>
      <c r="G461" s="31">
        <f t="shared" si="24"/>
        <v>2122200</v>
      </c>
      <c r="H461" s="74">
        <v>2122200</v>
      </c>
      <c r="I461" s="75">
        <f t="shared" si="22"/>
        <v>0</v>
      </c>
      <c r="J461" s="75"/>
      <c r="K461" s="5">
        <v>46127</v>
      </c>
      <c r="Q461" s="9"/>
      <c r="S461" s="3"/>
    </row>
    <row r="462" spans="1:19" ht="15" hidden="1" customHeight="1" x14ac:dyDescent="0.35">
      <c r="A462" s="26" t="s">
        <v>1420</v>
      </c>
      <c r="B462" s="32" t="s">
        <v>197</v>
      </c>
      <c r="C462" s="28"/>
      <c r="D462" s="29" t="s">
        <v>1549</v>
      </c>
      <c r="E462" s="76">
        <v>13670000</v>
      </c>
      <c r="F462" s="77">
        <f t="shared" si="23"/>
        <v>1093600</v>
      </c>
      <c r="G462" s="31">
        <f t="shared" si="24"/>
        <v>14763600</v>
      </c>
      <c r="H462" s="74">
        <v>14763600</v>
      </c>
      <c r="I462" s="75">
        <f t="shared" si="22"/>
        <v>0</v>
      </c>
      <c r="J462" s="75"/>
      <c r="K462" s="5">
        <v>46127</v>
      </c>
      <c r="Q462" s="9"/>
      <c r="S462" s="3"/>
    </row>
    <row r="463" spans="1:19" ht="15" hidden="1" customHeight="1" x14ac:dyDescent="0.35">
      <c r="A463" s="26" t="s">
        <v>1421</v>
      </c>
      <c r="B463" s="32" t="s">
        <v>198</v>
      </c>
      <c r="C463" s="28"/>
      <c r="D463" s="29" t="s">
        <v>1549</v>
      </c>
      <c r="E463" s="76">
        <v>2040000</v>
      </c>
      <c r="F463" s="77">
        <f t="shared" si="23"/>
        <v>163200</v>
      </c>
      <c r="G463" s="31">
        <f t="shared" si="24"/>
        <v>2203200</v>
      </c>
      <c r="H463" s="74">
        <v>2203200</v>
      </c>
      <c r="I463" s="75">
        <f t="shared" si="22"/>
        <v>0</v>
      </c>
      <c r="J463" s="75"/>
      <c r="K463" s="5">
        <v>46127</v>
      </c>
      <c r="Q463" s="9"/>
      <c r="S463" s="3"/>
    </row>
    <row r="464" spans="1:19" ht="15" hidden="1" customHeight="1" x14ac:dyDescent="0.35">
      <c r="A464" s="26" t="s">
        <v>1422</v>
      </c>
      <c r="B464" s="32" t="s">
        <v>199</v>
      </c>
      <c r="C464" s="28"/>
      <c r="D464" s="29" t="s">
        <v>1549</v>
      </c>
      <c r="E464" s="76">
        <v>12465000</v>
      </c>
      <c r="F464" s="77">
        <f t="shared" si="23"/>
        <v>997200</v>
      </c>
      <c r="G464" s="31">
        <f t="shared" si="24"/>
        <v>13462200</v>
      </c>
      <c r="H464" s="74">
        <v>13462200</v>
      </c>
      <c r="I464" s="75">
        <f t="shared" si="22"/>
        <v>0</v>
      </c>
      <c r="J464" s="75"/>
      <c r="K464" s="5">
        <v>46127</v>
      </c>
      <c r="Q464" s="9"/>
      <c r="S464" s="3"/>
    </row>
    <row r="465" spans="1:19" ht="15" hidden="1" customHeight="1" x14ac:dyDescent="0.35">
      <c r="A465" s="26" t="s">
        <v>1423</v>
      </c>
      <c r="B465" s="32" t="s">
        <v>200</v>
      </c>
      <c r="C465" s="28"/>
      <c r="D465" s="29" t="s">
        <v>1549</v>
      </c>
      <c r="E465" s="76">
        <v>19940000</v>
      </c>
      <c r="F465" s="77">
        <f t="shared" si="23"/>
        <v>1595200</v>
      </c>
      <c r="G465" s="31">
        <f t="shared" si="24"/>
        <v>21535200</v>
      </c>
      <c r="H465" s="74">
        <v>21535200</v>
      </c>
      <c r="I465" s="75">
        <f t="shared" si="22"/>
        <v>0</v>
      </c>
      <c r="J465" s="75"/>
      <c r="K465" s="5">
        <v>46127</v>
      </c>
      <c r="Q465" s="9"/>
      <c r="S465" s="3"/>
    </row>
    <row r="466" spans="1:19" ht="15" hidden="1" customHeight="1" x14ac:dyDescent="0.35">
      <c r="A466" s="26" t="s">
        <v>1424</v>
      </c>
      <c r="B466" s="32" t="s">
        <v>201</v>
      </c>
      <c r="C466" s="28"/>
      <c r="D466" s="29" t="s">
        <v>1550</v>
      </c>
      <c r="E466" s="76">
        <v>1920000</v>
      </c>
      <c r="F466" s="77">
        <f t="shared" si="23"/>
        <v>153600</v>
      </c>
      <c r="G466" s="31">
        <f t="shared" si="24"/>
        <v>2073600</v>
      </c>
      <c r="H466" s="74">
        <v>2073600</v>
      </c>
      <c r="I466" s="75">
        <f t="shared" si="22"/>
        <v>0</v>
      </c>
      <c r="J466" s="75"/>
      <c r="K466" s="5">
        <v>46127</v>
      </c>
      <c r="Q466" s="9"/>
      <c r="S466" s="3"/>
    </row>
    <row r="467" spans="1:19" ht="15" hidden="1" customHeight="1" x14ac:dyDescent="0.35">
      <c r="A467" s="26" t="s">
        <v>1425</v>
      </c>
      <c r="B467" s="27" t="s">
        <v>1556</v>
      </c>
      <c r="C467" s="28"/>
      <c r="D467" s="29" t="s">
        <v>1550</v>
      </c>
      <c r="E467" s="76">
        <v>6420000</v>
      </c>
      <c r="F467" s="77">
        <f t="shared" si="23"/>
        <v>513600</v>
      </c>
      <c r="G467" s="31">
        <f t="shared" si="24"/>
        <v>6933600</v>
      </c>
      <c r="H467" s="74">
        <v>6933600</v>
      </c>
      <c r="I467" s="75">
        <f t="shared" si="22"/>
        <v>0</v>
      </c>
      <c r="J467" s="75"/>
      <c r="K467" s="5">
        <v>46127</v>
      </c>
      <c r="Q467" s="9"/>
      <c r="S467" s="3"/>
    </row>
    <row r="468" spans="1:19" ht="15" hidden="1" customHeight="1" x14ac:dyDescent="0.35">
      <c r="A468" s="26" t="s">
        <v>1426</v>
      </c>
      <c r="B468" s="32" t="s">
        <v>1557</v>
      </c>
      <c r="C468" s="28">
        <v>1962</v>
      </c>
      <c r="D468" s="29">
        <v>46087</v>
      </c>
      <c r="E468" s="76">
        <v>8973500</v>
      </c>
      <c r="F468" s="77">
        <f t="shared" si="23"/>
        <v>717880</v>
      </c>
      <c r="G468" s="31">
        <f t="shared" si="24"/>
        <v>9691380</v>
      </c>
      <c r="H468" s="74">
        <v>9691380</v>
      </c>
      <c r="I468" s="75">
        <f t="shared" si="22"/>
        <v>0</v>
      </c>
      <c r="J468" s="75"/>
      <c r="K468" s="5">
        <v>46127</v>
      </c>
      <c r="Q468" s="9"/>
      <c r="S468" s="3"/>
    </row>
    <row r="469" spans="1:19" ht="15" hidden="1" customHeight="1" x14ac:dyDescent="0.35">
      <c r="A469" s="26" t="s">
        <v>1427</v>
      </c>
      <c r="B469" s="27" t="s">
        <v>1558</v>
      </c>
      <c r="C469" s="28">
        <v>1963</v>
      </c>
      <c r="D469" s="29" t="s">
        <v>1550</v>
      </c>
      <c r="E469" s="76">
        <v>20724000</v>
      </c>
      <c r="F469" s="77">
        <f t="shared" si="23"/>
        <v>1657920</v>
      </c>
      <c r="G469" s="31">
        <f t="shared" si="24"/>
        <v>22381920</v>
      </c>
      <c r="H469" s="74">
        <v>22381920</v>
      </c>
      <c r="I469" s="75">
        <f t="shared" si="22"/>
        <v>0</v>
      </c>
      <c r="J469" s="75"/>
      <c r="K469" s="5">
        <v>46127</v>
      </c>
      <c r="Q469" s="9"/>
      <c r="S469" s="3"/>
    </row>
    <row r="470" spans="1:19" ht="15" hidden="1" customHeight="1" x14ac:dyDescent="0.35">
      <c r="A470" s="26" t="s">
        <v>1428</v>
      </c>
      <c r="B470" s="27" t="s">
        <v>1559</v>
      </c>
      <c r="C470" s="28"/>
      <c r="D470" s="29" t="s">
        <v>1550</v>
      </c>
      <c r="E470" s="76">
        <v>8130000</v>
      </c>
      <c r="F470" s="77">
        <f t="shared" si="23"/>
        <v>650400</v>
      </c>
      <c r="G470" s="31">
        <f t="shared" si="24"/>
        <v>8780400</v>
      </c>
      <c r="H470" s="74">
        <v>8780400</v>
      </c>
      <c r="I470" s="75">
        <f t="shared" si="22"/>
        <v>0</v>
      </c>
      <c r="J470" s="75"/>
      <c r="K470" s="5">
        <v>46127</v>
      </c>
      <c r="Q470" s="9"/>
      <c r="S470" s="3"/>
    </row>
    <row r="471" spans="1:19" ht="15" hidden="1" customHeight="1" x14ac:dyDescent="0.35">
      <c r="A471" s="26" t="s">
        <v>1429</v>
      </c>
      <c r="B471" s="32" t="s">
        <v>1560</v>
      </c>
      <c r="C471" s="28"/>
      <c r="D471" s="29" t="s">
        <v>1550</v>
      </c>
      <c r="E471" s="76">
        <v>1005000</v>
      </c>
      <c r="F471" s="77">
        <f t="shared" si="23"/>
        <v>80400</v>
      </c>
      <c r="G471" s="31">
        <f t="shared" si="24"/>
        <v>1085400</v>
      </c>
      <c r="H471" s="74">
        <v>1085400</v>
      </c>
      <c r="I471" s="75">
        <f t="shared" si="22"/>
        <v>0</v>
      </c>
      <c r="J471" s="75"/>
      <c r="K471" s="5">
        <v>46127</v>
      </c>
      <c r="Q471" s="9"/>
      <c r="S471" s="3"/>
    </row>
    <row r="472" spans="1:19" ht="15" hidden="1" customHeight="1" x14ac:dyDescent="0.35">
      <c r="A472" s="26" t="s">
        <v>1430</v>
      </c>
      <c r="B472" s="27" t="s">
        <v>1561</v>
      </c>
      <c r="C472" s="28"/>
      <c r="D472" s="29" t="s">
        <v>1550</v>
      </c>
      <c r="E472" s="76">
        <v>14660000</v>
      </c>
      <c r="F472" s="77">
        <f t="shared" si="23"/>
        <v>1172800</v>
      </c>
      <c r="G472" s="31">
        <f t="shared" si="24"/>
        <v>15832800</v>
      </c>
      <c r="H472" s="74">
        <v>15832800</v>
      </c>
      <c r="I472" s="75">
        <f t="shared" si="22"/>
        <v>0</v>
      </c>
      <c r="J472" s="75"/>
      <c r="K472" s="5">
        <v>46127</v>
      </c>
      <c r="Q472" s="9"/>
      <c r="S472" s="3"/>
    </row>
    <row r="473" spans="1:19" ht="15" hidden="1" customHeight="1" x14ac:dyDescent="0.35">
      <c r="A473" s="26" t="s">
        <v>1431</v>
      </c>
      <c r="B473" s="27" t="s">
        <v>1562</v>
      </c>
      <c r="C473" s="28"/>
      <c r="D473" s="29" t="s">
        <v>1550</v>
      </c>
      <c r="E473" s="76">
        <v>16055000</v>
      </c>
      <c r="F473" s="77">
        <f t="shared" si="23"/>
        <v>1284400</v>
      </c>
      <c r="G473" s="31">
        <f t="shared" si="24"/>
        <v>17339400</v>
      </c>
      <c r="H473" s="74">
        <v>17339400</v>
      </c>
      <c r="I473" s="75">
        <f t="shared" si="22"/>
        <v>0</v>
      </c>
      <c r="J473" s="75"/>
      <c r="K473" s="5">
        <v>46127</v>
      </c>
      <c r="Q473" s="9"/>
      <c r="S473" s="3"/>
    </row>
    <row r="474" spans="1:19" ht="15" hidden="1" customHeight="1" x14ac:dyDescent="0.35">
      <c r="A474" s="26" t="s">
        <v>1432</v>
      </c>
      <c r="B474" s="27" t="s">
        <v>1563</v>
      </c>
      <c r="C474" s="28"/>
      <c r="D474" s="29" t="s">
        <v>1550</v>
      </c>
      <c r="E474" s="76">
        <v>28340000</v>
      </c>
      <c r="F474" s="77">
        <f t="shared" si="23"/>
        <v>2267200</v>
      </c>
      <c r="G474" s="31">
        <f t="shared" si="24"/>
        <v>30607200</v>
      </c>
      <c r="H474" s="74">
        <v>30607200</v>
      </c>
      <c r="I474" s="75">
        <f t="shared" si="22"/>
        <v>0</v>
      </c>
      <c r="J474" s="75"/>
      <c r="K474" s="5">
        <v>46127</v>
      </c>
      <c r="Q474" s="9"/>
      <c r="S474" s="3"/>
    </row>
    <row r="475" spans="1:19" ht="15" hidden="1" customHeight="1" x14ac:dyDescent="0.35">
      <c r="A475" s="26" t="s">
        <v>1433</v>
      </c>
      <c r="B475" s="27" t="s">
        <v>1564</v>
      </c>
      <c r="C475" s="28"/>
      <c r="D475" s="29" t="s">
        <v>1550</v>
      </c>
      <c r="E475" s="76">
        <v>7735000</v>
      </c>
      <c r="F475" s="77">
        <f t="shared" si="23"/>
        <v>618800</v>
      </c>
      <c r="G475" s="31">
        <f t="shared" si="24"/>
        <v>8353800</v>
      </c>
      <c r="H475" s="74">
        <v>8353800</v>
      </c>
      <c r="I475" s="75">
        <f t="shared" si="22"/>
        <v>0</v>
      </c>
      <c r="J475" s="75"/>
      <c r="K475" s="5">
        <v>46127</v>
      </c>
      <c r="Q475" s="9"/>
      <c r="S475" s="3"/>
    </row>
    <row r="476" spans="1:19" ht="15" hidden="1" customHeight="1" x14ac:dyDescent="0.35">
      <c r="A476" s="26" t="s">
        <v>1434</v>
      </c>
      <c r="B476" s="32" t="s">
        <v>1565</v>
      </c>
      <c r="C476" s="28"/>
      <c r="D476" s="29" t="s">
        <v>1550</v>
      </c>
      <c r="E476" s="76">
        <v>810000</v>
      </c>
      <c r="F476" s="77">
        <f t="shared" si="23"/>
        <v>64800</v>
      </c>
      <c r="G476" s="31">
        <f t="shared" si="24"/>
        <v>874800</v>
      </c>
      <c r="H476" s="74">
        <v>874800</v>
      </c>
      <c r="I476" s="75">
        <f t="shared" si="22"/>
        <v>0</v>
      </c>
      <c r="J476" s="75"/>
      <c r="K476" s="5">
        <v>46127</v>
      </c>
      <c r="Q476" s="9"/>
      <c r="S476" s="3"/>
    </row>
    <row r="477" spans="1:19" ht="15" hidden="1" customHeight="1" x14ac:dyDescent="0.35">
      <c r="A477" s="26" t="s">
        <v>1435</v>
      </c>
      <c r="B477" s="32" t="s">
        <v>1566</v>
      </c>
      <c r="C477" s="28"/>
      <c r="D477" s="29" t="s">
        <v>1550</v>
      </c>
      <c r="E477" s="76">
        <v>12810000</v>
      </c>
      <c r="F477" s="77">
        <f t="shared" si="23"/>
        <v>1024800</v>
      </c>
      <c r="G477" s="31">
        <f t="shared" si="24"/>
        <v>13834800</v>
      </c>
      <c r="H477" s="74">
        <v>13834800</v>
      </c>
      <c r="I477" s="75">
        <f t="shared" si="22"/>
        <v>0</v>
      </c>
      <c r="J477" s="75"/>
      <c r="K477" s="5">
        <v>46127</v>
      </c>
      <c r="Q477" s="9"/>
      <c r="S477" s="3"/>
    </row>
    <row r="478" spans="1:19" ht="15" hidden="1" customHeight="1" x14ac:dyDescent="0.35">
      <c r="A478" s="26" t="s">
        <v>1436</v>
      </c>
      <c r="B478" s="32" t="s">
        <v>1567</v>
      </c>
      <c r="C478" s="28">
        <v>2057</v>
      </c>
      <c r="D478" s="29">
        <v>46092</v>
      </c>
      <c r="E478" s="76">
        <v>9882000</v>
      </c>
      <c r="F478" s="77">
        <f t="shared" si="23"/>
        <v>790560</v>
      </c>
      <c r="G478" s="31">
        <f t="shared" si="24"/>
        <v>10672560</v>
      </c>
      <c r="H478" s="74">
        <v>10672560</v>
      </c>
      <c r="I478" s="75">
        <f t="shared" si="22"/>
        <v>0</v>
      </c>
      <c r="J478" s="75"/>
      <c r="K478" s="5">
        <v>46147</v>
      </c>
      <c r="Q478" s="9"/>
      <c r="S478" s="3"/>
    </row>
    <row r="479" spans="1:19" ht="15" hidden="1" customHeight="1" x14ac:dyDescent="0.35">
      <c r="A479" s="26" t="s">
        <v>1437</v>
      </c>
      <c r="B479" s="32" t="s">
        <v>1568</v>
      </c>
      <c r="C479" s="28">
        <v>2053</v>
      </c>
      <c r="D479" s="29">
        <v>46092</v>
      </c>
      <c r="E479" s="76">
        <v>24440500</v>
      </c>
      <c r="F479" s="77">
        <f t="shared" si="23"/>
        <v>1955240</v>
      </c>
      <c r="G479" s="31">
        <f t="shared" si="24"/>
        <v>26395740</v>
      </c>
      <c r="H479" s="74">
        <v>26395740</v>
      </c>
      <c r="I479" s="75">
        <f t="shared" si="22"/>
        <v>0</v>
      </c>
      <c r="J479" s="75"/>
      <c r="K479" s="5">
        <v>46147</v>
      </c>
      <c r="Q479" s="9"/>
      <c r="S479" s="3"/>
    </row>
    <row r="480" spans="1:19" ht="15" hidden="1" customHeight="1" x14ac:dyDescent="0.35">
      <c r="A480" s="26" t="s">
        <v>1438</v>
      </c>
      <c r="B480" s="32" t="s">
        <v>202</v>
      </c>
      <c r="C480" s="28">
        <v>1959</v>
      </c>
      <c r="D480" s="29">
        <v>46087</v>
      </c>
      <c r="E480" s="76">
        <v>3724500</v>
      </c>
      <c r="F480" s="77">
        <f t="shared" si="23"/>
        <v>297960</v>
      </c>
      <c r="G480" s="31">
        <f t="shared" si="24"/>
        <v>4022460</v>
      </c>
      <c r="H480" s="74">
        <v>4022460</v>
      </c>
      <c r="I480" s="75">
        <f t="shared" si="22"/>
        <v>0</v>
      </c>
      <c r="J480" s="75"/>
      <c r="K480" s="5">
        <v>46127</v>
      </c>
      <c r="Q480" s="9"/>
      <c r="S480" s="3"/>
    </row>
    <row r="481" spans="1:19" ht="15" hidden="1" customHeight="1" x14ac:dyDescent="0.35">
      <c r="A481" s="26" t="s">
        <v>1439</v>
      </c>
      <c r="B481" s="27" t="s">
        <v>1569</v>
      </c>
      <c r="C481" s="28"/>
      <c r="D481" s="29" t="s">
        <v>1550</v>
      </c>
      <c r="E481" s="76">
        <v>10350000</v>
      </c>
      <c r="F481" s="77">
        <f t="shared" si="23"/>
        <v>828000</v>
      </c>
      <c r="G481" s="31">
        <f t="shared" si="24"/>
        <v>11178000</v>
      </c>
      <c r="H481" s="74">
        <v>11178000</v>
      </c>
      <c r="I481" s="75">
        <f t="shared" si="22"/>
        <v>0</v>
      </c>
      <c r="J481" s="75"/>
      <c r="K481" s="5">
        <v>46127</v>
      </c>
      <c r="Q481" s="9"/>
      <c r="S481" s="3"/>
    </row>
    <row r="482" spans="1:19" ht="15" hidden="1" customHeight="1" x14ac:dyDescent="0.35">
      <c r="A482" s="26" t="s">
        <v>1440</v>
      </c>
      <c r="B482" s="32" t="s">
        <v>1570</v>
      </c>
      <c r="C482" s="28"/>
      <c r="D482" s="29" t="s">
        <v>1550</v>
      </c>
      <c r="E482" s="76">
        <v>17820000</v>
      </c>
      <c r="F482" s="77">
        <f t="shared" si="23"/>
        <v>1425600</v>
      </c>
      <c r="G482" s="31">
        <f t="shared" si="24"/>
        <v>19245600</v>
      </c>
      <c r="H482" s="74">
        <v>19245600</v>
      </c>
      <c r="I482" s="75">
        <f t="shared" si="22"/>
        <v>0</v>
      </c>
      <c r="J482" s="75"/>
      <c r="K482" s="5">
        <v>46127</v>
      </c>
      <c r="Q482" s="9"/>
      <c r="S482" s="3"/>
    </row>
    <row r="483" spans="1:19" ht="15" hidden="1" customHeight="1" x14ac:dyDescent="0.35">
      <c r="A483" s="26" t="s">
        <v>1441</v>
      </c>
      <c r="B483" s="32" t="s">
        <v>1571</v>
      </c>
      <c r="C483" s="28"/>
      <c r="D483" s="29" t="s">
        <v>1550</v>
      </c>
      <c r="E483" s="76">
        <v>1005000</v>
      </c>
      <c r="F483" s="77">
        <f t="shared" si="23"/>
        <v>80400</v>
      </c>
      <c r="G483" s="31">
        <f t="shared" si="24"/>
        <v>1085400</v>
      </c>
      <c r="H483" s="74">
        <v>1085400</v>
      </c>
      <c r="I483" s="75">
        <f t="shared" si="22"/>
        <v>0</v>
      </c>
      <c r="J483" s="75"/>
      <c r="K483" s="5">
        <v>46127</v>
      </c>
      <c r="Q483" s="9"/>
      <c r="S483" s="3"/>
    </row>
    <row r="484" spans="1:19" ht="15" hidden="1" customHeight="1" x14ac:dyDescent="0.35">
      <c r="A484" s="26" t="s">
        <v>1442</v>
      </c>
      <c r="B484" s="27" t="s">
        <v>1572</v>
      </c>
      <c r="C484" s="28"/>
      <c r="D484" s="29" t="s">
        <v>1551</v>
      </c>
      <c r="E484" s="76">
        <v>840000</v>
      </c>
      <c r="F484" s="77">
        <f t="shared" si="23"/>
        <v>67200</v>
      </c>
      <c r="G484" s="31">
        <f t="shared" si="24"/>
        <v>907200</v>
      </c>
      <c r="H484" s="74">
        <v>907200</v>
      </c>
      <c r="I484" s="75">
        <f t="shared" si="22"/>
        <v>0</v>
      </c>
      <c r="J484" s="75"/>
      <c r="L484" s="5">
        <v>46127</v>
      </c>
      <c r="Q484" s="9"/>
      <c r="S484" s="3"/>
    </row>
    <row r="485" spans="1:19" ht="15" hidden="1" customHeight="1" x14ac:dyDescent="0.35">
      <c r="A485" s="26" t="s">
        <v>1443</v>
      </c>
      <c r="B485" s="27" t="s">
        <v>1573</v>
      </c>
      <c r="C485" s="28">
        <v>2616</v>
      </c>
      <c r="D485" s="29">
        <v>46115</v>
      </c>
      <c r="E485" s="76">
        <v>2147600</v>
      </c>
      <c r="F485" s="77">
        <f t="shared" si="23"/>
        <v>171808</v>
      </c>
      <c r="G485" s="31">
        <f t="shared" si="24"/>
        <v>2319408</v>
      </c>
      <c r="H485" s="74">
        <v>2319408</v>
      </c>
      <c r="I485" s="75">
        <f t="shared" si="22"/>
        <v>0</v>
      </c>
      <c r="J485" s="75"/>
      <c r="L485" s="5">
        <v>46147</v>
      </c>
      <c r="Q485" s="9"/>
      <c r="S485" s="3"/>
    </row>
    <row r="486" spans="1:19" ht="15" hidden="1" customHeight="1" x14ac:dyDescent="0.35">
      <c r="A486" s="26" t="s">
        <v>1444</v>
      </c>
      <c r="B486" s="32" t="s">
        <v>1574</v>
      </c>
      <c r="C486" s="28"/>
      <c r="D486" s="29" t="s">
        <v>1551</v>
      </c>
      <c r="E486" s="76">
        <v>840000</v>
      </c>
      <c r="F486" s="77">
        <f t="shared" si="23"/>
        <v>67200</v>
      </c>
      <c r="G486" s="31">
        <f t="shared" si="24"/>
        <v>907200</v>
      </c>
      <c r="H486" s="74">
        <v>907200</v>
      </c>
      <c r="I486" s="75">
        <f t="shared" si="22"/>
        <v>0</v>
      </c>
      <c r="J486" s="75"/>
      <c r="L486" s="5">
        <v>46117</v>
      </c>
      <c r="Q486" s="9"/>
      <c r="S486" s="3"/>
    </row>
    <row r="487" spans="1:19" ht="15" hidden="1" customHeight="1" x14ac:dyDescent="0.35">
      <c r="A487" s="26" t="s">
        <v>1445</v>
      </c>
      <c r="B487" s="27" t="s">
        <v>1575</v>
      </c>
      <c r="C487" s="28"/>
      <c r="D487" s="29" t="s">
        <v>1551</v>
      </c>
      <c r="E487" s="76">
        <v>840000</v>
      </c>
      <c r="F487" s="77">
        <f t="shared" si="23"/>
        <v>67200</v>
      </c>
      <c r="G487" s="31">
        <f t="shared" si="24"/>
        <v>907200</v>
      </c>
      <c r="H487" s="74">
        <v>907200</v>
      </c>
      <c r="I487" s="75">
        <f t="shared" si="22"/>
        <v>0</v>
      </c>
      <c r="J487" s="75"/>
      <c r="L487" s="5">
        <v>46117</v>
      </c>
      <c r="Q487" s="9"/>
      <c r="S487" s="3"/>
    </row>
    <row r="488" spans="1:19" ht="15" hidden="1" customHeight="1" x14ac:dyDescent="0.35">
      <c r="A488" s="26" t="s">
        <v>1446</v>
      </c>
      <c r="B488" s="32" t="s">
        <v>1576</v>
      </c>
      <c r="C488" s="28"/>
      <c r="D488" s="29" t="s">
        <v>1551</v>
      </c>
      <c r="E488" s="76">
        <v>1972800</v>
      </c>
      <c r="F488" s="77">
        <f t="shared" si="23"/>
        <v>157824</v>
      </c>
      <c r="G488" s="31">
        <f t="shared" si="24"/>
        <v>2130624</v>
      </c>
      <c r="H488" s="74">
        <v>2130624</v>
      </c>
      <c r="I488" s="75">
        <f t="shared" si="22"/>
        <v>0</v>
      </c>
      <c r="J488" s="75"/>
      <c r="L488" s="5">
        <v>46117</v>
      </c>
      <c r="Q488" s="9"/>
      <c r="S488" s="3"/>
    </row>
    <row r="489" spans="1:19" ht="15" hidden="1" customHeight="1" x14ac:dyDescent="0.35">
      <c r="A489" s="26" t="s">
        <v>1447</v>
      </c>
      <c r="B489" s="27" t="s">
        <v>1577</v>
      </c>
      <c r="C489" s="28"/>
      <c r="D489" s="29" t="s">
        <v>1551</v>
      </c>
      <c r="E489" s="76">
        <v>1972800</v>
      </c>
      <c r="F489" s="77">
        <f t="shared" si="23"/>
        <v>157824</v>
      </c>
      <c r="G489" s="31">
        <f t="shared" si="24"/>
        <v>2130624</v>
      </c>
      <c r="H489" s="74">
        <v>2130624</v>
      </c>
      <c r="I489" s="75">
        <f t="shared" si="22"/>
        <v>0</v>
      </c>
      <c r="J489" s="75"/>
      <c r="L489" s="5">
        <v>46127</v>
      </c>
      <c r="Q489" s="9"/>
      <c r="S489" s="3"/>
    </row>
    <row r="490" spans="1:19" ht="15" hidden="1" customHeight="1" x14ac:dyDescent="0.35">
      <c r="A490" s="26" t="s">
        <v>1448</v>
      </c>
      <c r="B490" s="32" t="s">
        <v>1578</v>
      </c>
      <c r="C490" s="28"/>
      <c r="D490" s="29" t="s">
        <v>1551</v>
      </c>
      <c r="E490" s="76">
        <v>3250000</v>
      </c>
      <c r="F490" s="77">
        <f t="shared" si="23"/>
        <v>260000</v>
      </c>
      <c r="G490" s="31">
        <f t="shared" si="24"/>
        <v>3510000</v>
      </c>
      <c r="H490" s="74">
        <v>3510000</v>
      </c>
      <c r="I490" s="75">
        <f t="shared" si="22"/>
        <v>0</v>
      </c>
      <c r="J490" s="75"/>
      <c r="K490" s="5">
        <v>46127</v>
      </c>
      <c r="Q490" s="9"/>
      <c r="S490" s="3"/>
    </row>
    <row r="491" spans="1:19" ht="15" hidden="1" customHeight="1" x14ac:dyDescent="0.35">
      <c r="A491" s="26" t="s">
        <v>1449</v>
      </c>
      <c r="B491" s="27" t="s">
        <v>1579</v>
      </c>
      <c r="C491" s="28"/>
      <c r="D491" s="29" t="s">
        <v>1551</v>
      </c>
      <c r="E491" s="76">
        <v>7765000</v>
      </c>
      <c r="F491" s="77">
        <f t="shared" si="23"/>
        <v>621200</v>
      </c>
      <c r="G491" s="31">
        <f t="shared" si="24"/>
        <v>8386200</v>
      </c>
      <c r="H491" s="74">
        <v>8386200</v>
      </c>
      <c r="I491" s="75">
        <f t="shared" si="22"/>
        <v>0</v>
      </c>
      <c r="J491" s="75"/>
      <c r="K491" s="5">
        <v>46127</v>
      </c>
      <c r="Q491" s="9"/>
      <c r="S491" s="3"/>
    </row>
    <row r="492" spans="1:19" ht="15" hidden="1" customHeight="1" x14ac:dyDescent="0.35">
      <c r="A492" s="26" t="s">
        <v>1450</v>
      </c>
      <c r="B492" s="27" t="s">
        <v>1580</v>
      </c>
      <c r="C492" s="28"/>
      <c r="D492" s="29" t="s">
        <v>1551</v>
      </c>
      <c r="E492" s="76">
        <v>4170000</v>
      </c>
      <c r="F492" s="77">
        <f t="shared" si="23"/>
        <v>333600</v>
      </c>
      <c r="G492" s="31">
        <f t="shared" si="24"/>
        <v>4503600</v>
      </c>
      <c r="H492" s="74">
        <v>4503600</v>
      </c>
      <c r="I492" s="75">
        <f t="shared" si="22"/>
        <v>0</v>
      </c>
      <c r="J492" s="75"/>
      <c r="K492" s="5">
        <v>46127</v>
      </c>
      <c r="Q492" s="9"/>
      <c r="S492" s="3"/>
    </row>
    <row r="493" spans="1:19" ht="15" hidden="1" customHeight="1" x14ac:dyDescent="0.35">
      <c r="A493" s="26" t="s">
        <v>1451</v>
      </c>
      <c r="B493" s="27" t="s">
        <v>1581</v>
      </c>
      <c r="C493" s="28">
        <v>2055</v>
      </c>
      <c r="D493" s="29">
        <v>46092</v>
      </c>
      <c r="E493" s="76">
        <v>17405500</v>
      </c>
      <c r="F493" s="77">
        <f t="shared" si="23"/>
        <v>1392440</v>
      </c>
      <c r="G493" s="31">
        <f t="shared" si="24"/>
        <v>18797940</v>
      </c>
      <c r="H493" s="74">
        <v>18797940</v>
      </c>
      <c r="I493" s="75">
        <f t="shared" si="22"/>
        <v>0</v>
      </c>
      <c r="J493" s="75"/>
      <c r="K493" s="5">
        <v>46147</v>
      </c>
      <c r="Q493" s="9"/>
      <c r="S493" s="3"/>
    </row>
    <row r="494" spans="1:19" ht="15" hidden="1" customHeight="1" x14ac:dyDescent="0.35">
      <c r="A494" s="26" t="s">
        <v>1452</v>
      </c>
      <c r="B494" s="27" t="s">
        <v>203</v>
      </c>
      <c r="C494" s="28">
        <v>1960</v>
      </c>
      <c r="D494" s="29">
        <v>46087</v>
      </c>
      <c r="E494" s="76">
        <v>7330000</v>
      </c>
      <c r="F494" s="77">
        <f t="shared" si="23"/>
        <v>586400</v>
      </c>
      <c r="G494" s="31">
        <f t="shared" si="24"/>
        <v>7916400</v>
      </c>
      <c r="H494" s="74">
        <v>7916400</v>
      </c>
      <c r="I494" s="75">
        <f t="shared" si="22"/>
        <v>0</v>
      </c>
      <c r="J494" s="75"/>
      <c r="K494" s="5">
        <v>46127</v>
      </c>
      <c r="Q494" s="9"/>
      <c r="S494" s="3"/>
    </row>
    <row r="495" spans="1:19" ht="15" hidden="1" customHeight="1" x14ac:dyDescent="0.35">
      <c r="A495" s="26" t="s">
        <v>1453</v>
      </c>
      <c r="B495" s="27" t="s">
        <v>204</v>
      </c>
      <c r="C495" s="28">
        <v>2419</v>
      </c>
      <c r="D495" s="29">
        <v>46106</v>
      </c>
      <c r="E495" s="76">
        <v>7634000</v>
      </c>
      <c r="F495" s="77">
        <f t="shared" si="23"/>
        <v>610720</v>
      </c>
      <c r="G495" s="31">
        <f t="shared" si="24"/>
        <v>8244720</v>
      </c>
      <c r="H495" s="74">
        <v>8244720</v>
      </c>
      <c r="I495" s="75">
        <f t="shared" si="22"/>
        <v>0</v>
      </c>
      <c r="J495" s="75"/>
      <c r="K495" s="5">
        <v>46147</v>
      </c>
      <c r="Q495" s="9"/>
      <c r="S495" s="3"/>
    </row>
    <row r="496" spans="1:19" ht="15" hidden="1" customHeight="1" x14ac:dyDescent="0.35">
      <c r="A496" s="26" t="s">
        <v>1454</v>
      </c>
      <c r="B496" s="32" t="s">
        <v>1582</v>
      </c>
      <c r="C496" s="28">
        <v>2277</v>
      </c>
      <c r="D496" s="29">
        <v>46101</v>
      </c>
      <c r="E496" s="76">
        <v>4755000</v>
      </c>
      <c r="F496" s="77">
        <f t="shared" si="23"/>
        <v>380400</v>
      </c>
      <c r="G496" s="31">
        <f t="shared" si="24"/>
        <v>5135400</v>
      </c>
      <c r="H496" s="74">
        <v>5135400</v>
      </c>
      <c r="I496" s="75">
        <f t="shared" si="22"/>
        <v>0</v>
      </c>
      <c r="J496" s="75"/>
      <c r="K496" s="5">
        <v>46147</v>
      </c>
      <c r="Q496" s="9"/>
      <c r="S496" s="3"/>
    </row>
    <row r="497" spans="1:19" ht="15" hidden="1" customHeight="1" x14ac:dyDescent="0.35">
      <c r="A497" s="26" t="s">
        <v>1455</v>
      </c>
      <c r="B497" s="27" t="s">
        <v>1583</v>
      </c>
      <c r="C497" s="28"/>
      <c r="D497" s="29" t="s">
        <v>1551</v>
      </c>
      <c r="E497" s="76">
        <v>10695000</v>
      </c>
      <c r="F497" s="77">
        <f t="shared" si="23"/>
        <v>855600</v>
      </c>
      <c r="G497" s="31">
        <f t="shared" si="24"/>
        <v>11550600</v>
      </c>
      <c r="H497" s="74">
        <v>11550600</v>
      </c>
      <c r="I497" s="75">
        <f t="shared" si="22"/>
        <v>0</v>
      </c>
      <c r="J497" s="75"/>
      <c r="K497" s="5">
        <v>46127</v>
      </c>
      <c r="Q497" s="9"/>
      <c r="S497" s="3"/>
    </row>
    <row r="498" spans="1:19" ht="15" hidden="1" customHeight="1" x14ac:dyDescent="0.35">
      <c r="A498" s="26" t="s">
        <v>1456</v>
      </c>
      <c r="B498" s="27" t="s">
        <v>1584</v>
      </c>
      <c r="C498" s="28"/>
      <c r="D498" s="29" t="s">
        <v>1551</v>
      </c>
      <c r="E498" s="76">
        <v>5730000</v>
      </c>
      <c r="F498" s="77">
        <f t="shared" si="23"/>
        <v>458400</v>
      </c>
      <c r="G498" s="31">
        <f t="shared" si="24"/>
        <v>6188400</v>
      </c>
      <c r="H498" s="74">
        <v>6188400</v>
      </c>
      <c r="I498" s="75">
        <f t="shared" si="22"/>
        <v>0</v>
      </c>
      <c r="J498" s="75"/>
      <c r="K498" s="5">
        <v>46178</v>
      </c>
      <c r="Q498" s="9"/>
      <c r="S498" s="3"/>
    </row>
    <row r="499" spans="1:19" ht="15" hidden="1" customHeight="1" x14ac:dyDescent="0.35">
      <c r="A499" s="26" t="s">
        <v>1457</v>
      </c>
      <c r="B499" s="27" t="s">
        <v>1585</v>
      </c>
      <c r="C499" s="28"/>
      <c r="D499" s="29" t="s">
        <v>1551</v>
      </c>
      <c r="E499" s="76">
        <v>10695000</v>
      </c>
      <c r="F499" s="77">
        <f t="shared" si="23"/>
        <v>855600</v>
      </c>
      <c r="G499" s="31">
        <f t="shared" si="24"/>
        <v>11550600</v>
      </c>
      <c r="H499" s="74">
        <v>11550600</v>
      </c>
      <c r="I499" s="75">
        <f t="shared" si="22"/>
        <v>0</v>
      </c>
      <c r="J499" s="75"/>
      <c r="K499" s="5">
        <v>46178</v>
      </c>
      <c r="Q499" s="9"/>
      <c r="S499" s="3"/>
    </row>
    <row r="500" spans="1:19" ht="15" hidden="1" customHeight="1" x14ac:dyDescent="0.35">
      <c r="A500" s="26" t="s">
        <v>1458</v>
      </c>
      <c r="B500" s="32" t="s">
        <v>1586</v>
      </c>
      <c r="C500" s="28">
        <v>2418</v>
      </c>
      <c r="D500" s="29">
        <v>46106</v>
      </c>
      <c r="E500" s="76">
        <v>7469000</v>
      </c>
      <c r="F500" s="77">
        <f t="shared" si="23"/>
        <v>597520</v>
      </c>
      <c r="G500" s="31">
        <f t="shared" si="24"/>
        <v>8066520</v>
      </c>
      <c r="H500" s="74">
        <v>8066520</v>
      </c>
      <c r="I500" s="75">
        <f t="shared" si="22"/>
        <v>0</v>
      </c>
      <c r="J500" s="75"/>
      <c r="K500" s="5">
        <v>46147</v>
      </c>
      <c r="Q500" s="9"/>
      <c r="S500" s="3"/>
    </row>
    <row r="501" spans="1:19" ht="15" hidden="1" customHeight="1" x14ac:dyDescent="0.35">
      <c r="A501" s="26" t="s">
        <v>1459</v>
      </c>
      <c r="B501" s="27" t="s">
        <v>1587</v>
      </c>
      <c r="C501" s="28"/>
      <c r="D501" s="29" t="s">
        <v>1551</v>
      </c>
      <c r="E501" s="76">
        <v>1965000</v>
      </c>
      <c r="F501" s="77">
        <f t="shared" si="23"/>
        <v>157200</v>
      </c>
      <c r="G501" s="31">
        <f t="shared" si="24"/>
        <v>2122200</v>
      </c>
      <c r="H501" s="74">
        <v>2122200</v>
      </c>
      <c r="I501" s="75">
        <f t="shared" si="22"/>
        <v>0</v>
      </c>
      <c r="J501" s="75"/>
      <c r="K501" s="5">
        <v>46127</v>
      </c>
      <c r="Q501" s="9"/>
      <c r="S501" s="3"/>
    </row>
    <row r="502" spans="1:19" ht="15" hidden="1" customHeight="1" x14ac:dyDescent="0.35">
      <c r="A502" s="26" t="s">
        <v>1460</v>
      </c>
      <c r="B502" s="27" t="s">
        <v>1588</v>
      </c>
      <c r="C502" s="28"/>
      <c r="D502" s="29" t="s">
        <v>1551</v>
      </c>
      <c r="E502" s="76">
        <v>3975000</v>
      </c>
      <c r="F502" s="77">
        <f t="shared" si="23"/>
        <v>318000</v>
      </c>
      <c r="G502" s="31">
        <f t="shared" si="24"/>
        <v>4293000</v>
      </c>
      <c r="H502" s="74">
        <v>4293000</v>
      </c>
      <c r="I502" s="75">
        <f t="shared" si="22"/>
        <v>0</v>
      </c>
      <c r="J502" s="75"/>
      <c r="K502" s="5">
        <v>46127</v>
      </c>
      <c r="Q502" s="9"/>
      <c r="S502" s="3"/>
    </row>
    <row r="503" spans="1:19" ht="15" hidden="1" customHeight="1" x14ac:dyDescent="0.35">
      <c r="A503" s="26" t="s">
        <v>1461</v>
      </c>
      <c r="B503" s="27" t="s">
        <v>1589</v>
      </c>
      <c r="C503" s="28"/>
      <c r="D503" s="29" t="s">
        <v>1551</v>
      </c>
      <c r="E503" s="76">
        <v>1965000</v>
      </c>
      <c r="F503" s="77">
        <f t="shared" si="23"/>
        <v>157200</v>
      </c>
      <c r="G503" s="31">
        <f t="shared" si="24"/>
        <v>2122200</v>
      </c>
      <c r="H503" s="74">
        <v>2122200</v>
      </c>
      <c r="I503" s="75">
        <f t="shared" si="22"/>
        <v>0</v>
      </c>
      <c r="J503" s="75"/>
      <c r="K503" s="5">
        <v>46127</v>
      </c>
      <c r="Q503" s="9"/>
      <c r="S503" s="3"/>
    </row>
    <row r="504" spans="1:19" ht="15" hidden="1" customHeight="1" x14ac:dyDescent="0.35">
      <c r="A504" s="26" t="s">
        <v>1462</v>
      </c>
      <c r="B504" s="27" t="s">
        <v>1590</v>
      </c>
      <c r="C504" s="28"/>
      <c r="D504" s="29" t="s">
        <v>1551</v>
      </c>
      <c r="E504" s="76">
        <v>7650000</v>
      </c>
      <c r="F504" s="77">
        <f t="shared" si="23"/>
        <v>612000</v>
      </c>
      <c r="G504" s="31">
        <f t="shared" si="24"/>
        <v>8262000</v>
      </c>
      <c r="H504" s="74">
        <v>8262000</v>
      </c>
      <c r="I504" s="75">
        <f t="shared" ref="I504:I566" si="25">G504-H504</f>
        <v>0</v>
      </c>
      <c r="J504" s="75"/>
      <c r="K504" s="5">
        <v>46127</v>
      </c>
      <c r="Q504" s="9"/>
      <c r="S504" s="3"/>
    </row>
    <row r="505" spans="1:19" ht="15" hidden="1" customHeight="1" x14ac:dyDescent="0.35">
      <c r="A505" s="26" t="s">
        <v>1463</v>
      </c>
      <c r="B505" s="27" t="s">
        <v>1591</v>
      </c>
      <c r="C505" s="28"/>
      <c r="D505" s="29" t="s">
        <v>1551</v>
      </c>
      <c r="E505" s="76">
        <v>4980000</v>
      </c>
      <c r="F505" s="77">
        <f t="shared" ref="F505:F567" si="26">+E505*0.08</f>
        <v>398400</v>
      </c>
      <c r="G505" s="31">
        <f t="shared" si="24"/>
        <v>5378400</v>
      </c>
      <c r="H505" s="74">
        <v>5378400</v>
      </c>
      <c r="I505" s="75">
        <f t="shared" si="25"/>
        <v>0</v>
      </c>
      <c r="J505" s="75"/>
      <c r="K505" s="5">
        <v>46127</v>
      </c>
      <c r="Q505" s="9"/>
      <c r="S505" s="3"/>
    </row>
    <row r="506" spans="1:19" ht="15" hidden="1" customHeight="1" x14ac:dyDescent="0.35">
      <c r="A506" s="26" t="s">
        <v>1464</v>
      </c>
      <c r="B506" s="32" t="s">
        <v>1592</v>
      </c>
      <c r="C506" s="28"/>
      <c r="D506" s="29" t="s">
        <v>1551</v>
      </c>
      <c r="E506" s="76">
        <v>960000</v>
      </c>
      <c r="F506" s="77">
        <f t="shared" si="26"/>
        <v>76800</v>
      </c>
      <c r="G506" s="31">
        <f t="shared" si="24"/>
        <v>1036800</v>
      </c>
      <c r="H506" s="74">
        <v>1036800</v>
      </c>
      <c r="I506" s="75">
        <f t="shared" si="25"/>
        <v>0</v>
      </c>
      <c r="J506" s="75"/>
      <c r="K506" s="5">
        <v>46127</v>
      </c>
      <c r="Q506" s="9"/>
      <c r="S506" s="3"/>
    </row>
    <row r="507" spans="1:19" ht="15" hidden="1" customHeight="1" x14ac:dyDescent="0.35">
      <c r="A507" s="26" t="s">
        <v>1465</v>
      </c>
      <c r="B507" s="27" t="s">
        <v>1593</v>
      </c>
      <c r="C507" s="28"/>
      <c r="D507" s="29" t="s">
        <v>1551</v>
      </c>
      <c r="E507" s="76">
        <v>7695000</v>
      </c>
      <c r="F507" s="77">
        <f t="shared" si="26"/>
        <v>615600</v>
      </c>
      <c r="G507" s="31">
        <f t="shared" si="24"/>
        <v>8310600</v>
      </c>
      <c r="H507" s="74">
        <v>8310600</v>
      </c>
      <c r="I507" s="75">
        <f t="shared" si="25"/>
        <v>0</v>
      </c>
      <c r="J507" s="75"/>
      <c r="K507" s="5">
        <v>46127</v>
      </c>
      <c r="Q507" s="9"/>
      <c r="S507" s="3"/>
    </row>
    <row r="508" spans="1:19" ht="15" hidden="1" customHeight="1" x14ac:dyDescent="0.35">
      <c r="A508" s="26" t="s">
        <v>1466</v>
      </c>
      <c r="B508" s="27" t="s">
        <v>1594</v>
      </c>
      <c r="C508" s="28"/>
      <c r="D508" s="29" t="s">
        <v>1551</v>
      </c>
      <c r="E508" s="76">
        <v>2970000</v>
      </c>
      <c r="F508" s="77">
        <f t="shared" si="26"/>
        <v>237600</v>
      </c>
      <c r="G508" s="31">
        <f t="shared" si="24"/>
        <v>3207600</v>
      </c>
      <c r="H508" s="74">
        <v>3207600</v>
      </c>
      <c r="I508" s="75">
        <f t="shared" si="25"/>
        <v>0</v>
      </c>
      <c r="J508" s="75"/>
      <c r="K508" s="5">
        <v>46127</v>
      </c>
      <c r="Q508" s="9"/>
      <c r="S508" s="3"/>
    </row>
    <row r="509" spans="1:19" ht="15" hidden="1" customHeight="1" x14ac:dyDescent="0.35">
      <c r="A509" s="26" t="s">
        <v>1467</v>
      </c>
      <c r="B509" s="27" t="s">
        <v>1595</v>
      </c>
      <c r="C509" s="28">
        <v>2002</v>
      </c>
      <c r="D509" s="29">
        <v>46090</v>
      </c>
      <c r="E509" s="76">
        <v>1005000</v>
      </c>
      <c r="F509" s="77">
        <f t="shared" si="26"/>
        <v>80400</v>
      </c>
      <c r="G509" s="31">
        <f t="shared" si="24"/>
        <v>1085400</v>
      </c>
      <c r="H509" s="74">
        <v>1085400</v>
      </c>
      <c r="I509" s="75">
        <f t="shared" si="25"/>
        <v>0</v>
      </c>
      <c r="J509" s="75"/>
      <c r="K509" s="5">
        <v>46178</v>
      </c>
      <c r="Q509" s="9"/>
      <c r="S509" s="3"/>
    </row>
    <row r="510" spans="1:19" ht="15" hidden="1" customHeight="1" x14ac:dyDescent="0.35">
      <c r="A510" s="26" t="s">
        <v>1468</v>
      </c>
      <c r="B510" s="27" t="s">
        <v>1596</v>
      </c>
      <c r="C510" s="28"/>
      <c r="D510" s="29" t="s">
        <v>1551</v>
      </c>
      <c r="E510" s="76">
        <v>840000</v>
      </c>
      <c r="F510" s="77">
        <f t="shared" si="26"/>
        <v>67200</v>
      </c>
      <c r="G510" s="31">
        <f t="shared" si="24"/>
        <v>907200</v>
      </c>
      <c r="H510" s="74">
        <v>907200</v>
      </c>
      <c r="I510" s="75">
        <f t="shared" si="25"/>
        <v>0</v>
      </c>
      <c r="J510" s="75"/>
      <c r="L510" s="5">
        <v>46127</v>
      </c>
      <c r="Q510" s="9"/>
      <c r="S510" s="3"/>
    </row>
    <row r="511" spans="1:19" ht="15" hidden="1" customHeight="1" x14ac:dyDescent="0.35">
      <c r="A511" s="26" t="s">
        <v>1469</v>
      </c>
      <c r="B511" s="27" t="s">
        <v>1597</v>
      </c>
      <c r="C511" s="28"/>
      <c r="D511" s="29" t="s">
        <v>1551</v>
      </c>
      <c r="E511" s="76">
        <v>1972800</v>
      </c>
      <c r="F511" s="77">
        <f t="shared" si="26"/>
        <v>157824</v>
      </c>
      <c r="G511" s="31">
        <f t="shared" si="24"/>
        <v>2130624</v>
      </c>
      <c r="H511" s="74">
        <v>2130624</v>
      </c>
      <c r="I511" s="75">
        <f t="shared" si="25"/>
        <v>0</v>
      </c>
      <c r="J511" s="75"/>
      <c r="L511" s="5">
        <v>46117</v>
      </c>
      <c r="Q511" s="9"/>
      <c r="S511" s="3"/>
    </row>
    <row r="512" spans="1:19" ht="15" hidden="1" customHeight="1" x14ac:dyDescent="0.35">
      <c r="A512" s="26" t="s">
        <v>1470</v>
      </c>
      <c r="B512" s="32" t="s">
        <v>1598</v>
      </c>
      <c r="C512" s="28"/>
      <c r="D512" s="29" t="s">
        <v>1551</v>
      </c>
      <c r="E512" s="76">
        <v>2265600</v>
      </c>
      <c r="F512" s="77">
        <f t="shared" si="26"/>
        <v>181248</v>
      </c>
      <c r="G512" s="31">
        <f t="shared" si="24"/>
        <v>2446848</v>
      </c>
      <c r="H512" s="74">
        <v>2446848</v>
      </c>
      <c r="I512" s="75">
        <f t="shared" si="25"/>
        <v>0</v>
      </c>
      <c r="J512" s="75"/>
      <c r="L512" s="5">
        <v>46117</v>
      </c>
      <c r="Q512" s="9"/>
      <c r="S512" s="3"/>
    </row>
    <row r="513" spans="1:19" ht="15" hidden="1" customHeight="1" x14ac:dyDescent="0.35">
      <c r="A513" s="26" t="s">
        <v>1471</v>
      </c>
      <c r="B513" s="32" t="s">
        <v>1599</v>
      </c>
      <c r="C513" s="28"/>
      <c r="D513" s="29" t="s">
        <v>1551</v>
      </c>
      <c r="E513" s="76">
        <v>2812800</v>
      </c>
      <c r="F513" s="77">
        <f t="shared" si="26"/>
        <v>225024</v>
      </c>
      <c r="G513" s="31">
        <f t="shared" si="24"/>
        <v>3037824</v>
      </c>
      <c r="H513" s="74">
        <v>3037824</v>
      </c>
      <c r="I513" s="75">
        <f t="shared" si="25"/>
        <v>0</v>
      </c>
      <c r="J513" s="75"/>
      <c r="L513" s="5">
        <v>46117</v>
      </c>
      <c r="Q513" s="9"/>
      <c r="S513" s="3"/>
    </row>
    <row r="514" spans="1:19" ht="15" hidden="1" customHeight="1" x14ac:dyDescent="0.35">
      <c r="A514" s="26" t="s">
        <v>1472</v>
      </c>
      <c r="B514" s="27" t="s">
        <v>1600</v>
      </c>
      <c r="C514" s="28"/>
      <c r="D514" s="29" t="s">
        <v>1551</v>
      </c>
      <c r="E514" s="76">
        <v>3945600</v>
      </c>
      <c r="F514" s="77">
        <f t="shared" si="26"/>
        <v>315648</v>
      </c>
      <c r="G514" s="31">
        <f t="shared" si="24"/>
        <v>4261248</v>
      </c>
      <c r="H514" s="74">
        <v>4261248</v>
      </c>
      <c r="I514" s="75">
        <f t="shared" si="25"/>
        <v>0</v>
      </c>
      <c r="J514" s="75"/>
      <c r="L514" s="5">
        <v>46117</v>
      </c>
      <c r="Q514" s="9"/>
      <c r="S514" s="3"/>
    </row>
    <row r="515" spans="1:19" ht="15" hidden="1" customHeight="1" x14ac:dyDescent="0.35">
      <c r="A515" s="26" t="s">
        <v>1473</v>
      </c>
      <c r="B515" s="32" t="s">
        <v>205</v>
      </c>
      <c r="C515" s="28"/>
      <c r="D515" s="29" t="s">
        <v>1551</v>
      </c>
      <c r="E515" s="76">
        <v>1680000</v>
      </c>
      <c r="F515" s="77">
        <f t="shared" si="26"/>
        <v>134400</v>
      </c>
      <c r="G515" s="31">
        <f t="shared" si="24"/>
        <v>1814400</v>
      </c>
      <c r="H515" s="74">
        <v>1814400</v>
      </c>
      <c r="I515" s="75">
        <f t="shared" si="25"/>
        <v>0</v>
      </c>
      <c r="J515" s="75"/>
      <c r="L515" s="5">
        <v>46117</v>
      </c>
      <c r="Q515" s="9"/>
      <c r="S515" s="3"/>
    </row>
    <row r="516" spans="1:19" ht="15" hidden="1" customHeight="1" x14ac:dyDescent="0.35">
      <c r="A516" s="26" t="s">
        <v>1474</v>
      </c>
      <c r="B516" s="32" t="s">
        <v>1601</v>
      </c>
      <c r="C516" s="28"/>
      <c r="D516" s="29" t="s">
        <v>1551</v>
      </c>
      <c r="E516" s="76">
        <v>840000</v>
      </c>
      <c r="F516" s="77">
        <f t="shared" si="26"/>
        <v>67200</v>
      </c>
      <c r="G516" s="31">
        <f t="shared" si="24"/>
        <v>907200</v>
      </c>
      <c r="H516" s="74">
        <v>907200</v>
      </c>
      <c r="I516" s="75">
        <f t="shared" si="25"/>
        <v>0</v>
      </c>
      <c r="J516" s="75"/>
      <c r="L516" s="5">
        <v>46117</v>
      </c>
      <c r="Q516" s="9"/>
      <c r="S516" s="3"/>
    </row>
    <row r="517" spans="1:19" ht="15" hidden="1" customHeight="1" x14ac:dyDescent="0.35">
      <c r="A517" s="26" t="s">
        <v>1475</v>
      </c>
      <c r="B517" s="32" t="s">
        <v>1602</v>
      </c>
      <c r="C517" s="28"/>
      <c r="D517" s="29" t="s">
        <v>1551</v>
      </c>
      <c r="E517" s="76">
        <v>840000</v>
      </c>
      <c r="F517" s="77">
        <f t="shared" si="26"/>
        <v>67200</v>
      </c>
      <c r="G517" s="31">
        <f t="shared" ref="G517:G579" si="27">+F517+E517</f>
        <v>907200</v>
      </c>
      <c r="H517" s="74">
        <v>907200</v>
      </c>
      <c r="I517" s="75">
        <f t="shared" si="25"/>
        <v>0</v>
      </c>
      <c r="J517" s="75"/>
      <c r="L517" s="5">
        <v>46117</v>
      </c>
      <c r="Q517" s="9"/>
      <c r="S517" s="3"/>
    </row>
    <row r="518" spans="1:19" ht="15" hidden="1" customHeight="1" x14ac:dyDescent="0.35">
      <c r="A518" s="26" t="s">
        <v>1476</v>
      </c>
      <c r="B518" s="32" t="s">
        <v>1603</v>
      </c>
      <c r="C518" s="28"/>
      <c r="D518" s="29" t="s">
        <v>1551</v>
      </c>
      <c r="E518" s="76">
        <v>1132800</v>
      </c>
      <c r="F518" s="77">
        <f t="shared" si="26"/>
        <v>90624</v>
      </c>
      <c r="G518" s="31">
        <f t="shared" si="27"/>
        <v>1223424</v>
      </c>
      <c r="H518" s="74">
        <v>1223424</v>
      </c>
      <c r="I518" s="75">
        <f t="shared" si="25"/>
        <v>0</v>
      </c>
      <c r="J518" s="75"/>
      <c r="L518" s="5">
        <v>46117</v>
      </c>
      <c r="Q518" s="9"/>
      <c r="S518" s="3"/>
    </row>
    <row r="519" spans="1:19" ht="15" hidden="1" customHeight="1" x14ac:dyDescent="0.35">
      <c r="A519" s="26" t="s">
        <v>1477</v>
      </c>
      <c r="B519" s="27" t="s">
        <v>1604</v>
      </c>
      <c r="C519" s="28">
        <v>2040</v>
      </c>
      <c r="D519" s="29">
        <v>46092</v>
      </c>
      <c r="E519" s="76">
        <v>1972800</v>
      </c>
      <c r="F519" s="77">
        <f t="shared" si="26"/>
        <v>157824</v>
      </c>
      <c r="G519" s="31">
        <f t="shared" si="27"/>
        <v>2130624</v>
      </c>
      <c r="H519" s="74">
        <v>2130624</v>
      </c>
      <c r="I519" s="75">
        <f t="shared" si="25"/>
        <v>0</v>
      </c>
      <c r="J519" s="75"/>
      <c r="L519" s="5">
        <v>46127</v>
      </c>
      <c r="Q519" s="9"/>
      <c r="S519" s="3"/>
    </row>
    <row r="520" spans="1:19" ht="15" hidden="1" customHeight="1" x14ac:dyDescent="0.35">
      <c r="A520" s="26" t="s">
        <v>1478</v>
      </c>
      <c r="B520" s="27" t="s">
        <v>1605</v>
      </c>
      <c r="C520" s="28"/>
      <c r="D520" s="29" t="s">
        <v>1551</v>
      </c>
      <c r="E520" s="76">
        <v>840000</v>
      </c>
      <c r="F520" s="77">
        <f t="shared" si="26"/>
        <v>67200</v>
      </c>
      <c r="G520" s="31">
        <f t="shared" si="27"/>
        <v>907200</v>
      </c>
      <c r="H520" s="74">
        <v>907200</v>
      </c>
      <c r="I520" s="75">
        <f t="shared" si="25"/>
        <v>0</v>
      </c>
      <c r="J520" s="75"/>
      <c r="L520" s="5">
        <v>46127</v>
      </c>
      <c r="Q520" s="9"/>
      <c r="S520" s="3"/>
    </row>
    <row r="521" spans="1:19" ht="15" hidden="1" customHeight="1" x14ac:dyDescent="0.35">
      <c r="A521" s="26" t="s">
        <v>1479</v>
      </c>
      <c r="B521" s="32" t="s">
        <v>1606</v>
      </c>
      <c r="C521" s="28"/>
      <c r="D521" s="29" t="s">
        <v>1551</v>
      </c>
      <c r="E521" s="76">
        <v>1680000</v>
      </c>
      <c r="F521" s="77">
        <f t="shared" si="26"/>
        <v>134400</v>
      </c>
      <c r="G521" s="31">
        <f t="shared" si="27"/>
        <v>1814400</v>
      </c>
      <c r="H521" s="74">
        <v>1814400</v>
      </c>
      <c r="I521" s="75">
        <f t="shared" si="25"/>
        <v>0</v>
      </c>
      <c r="J521" s="75"/>
      <c r="L521" s="5">
        <v>46117</v>
      </c>
      <c r="Q521" s="9"/>
      <c r="S521" s="3"/>
    </row>
    <row r="522" spans="1:19" ht="15" hidden="1" customHeight="1" x14ac:dyDescent="0.35">
      <c r="A522" s="26" t="s">
        <v>1480</v>
      </c>
      <c r="B522" s="32" t="s">
        <v>1607</v>
      </c>
      <c r="C522" s="28"/>
      <c r="D522" s="29" t="s">
        <v>1551</v>
      </c>
      <c r="E522" s="76">
        <v>1132800</v>
      </c>
      <c r="F522" s="77">
        <f t="shared" si="26"/>
        <v>90624</v>
      </c>
      <c r="G522" s="31">
        <f t="shared" si="27"/>
        <v>1223424</v>
      </c>
      <c r="H522" s="74">
        <v>1223424</v>
      </c>
      <c r="I522" s="75">
        <f t="shared" si="25"/>
        <v>0</v>
      </c>
      <c r="J522" s="75"/>
      <c r="L522" s="5">
        <v>46117</v>
      </c>
      <c r="Q522" s="9"/>
      <c r="S522" s="3"/>
    </row>
    <row r="523" spans="1:19" ht="15" hidden="1" customHeight="1" x14ac:dyDescent="0.35">
      <c r="A523" s="26" t="s">
        <v>1481</v>
      </c>
      <c r="B523" s="32" t="s">
        <v>1608</v>
      </c>
      <c r="C523" s="28"/>
      <c r="D523" s="29" t="s">
        <v>1551</v>
      </c>
      <c r="E523" s="76">
        <v>840000</v>
      </c>
      <c r="F523" s="77">
        <f t="shared" si="26"/>
        <v>67200</v>
      </c>
      <c r="G523" s="31">
        <f t="shared" si="27"/>
        <v>907200</v>
      </c>
      <c r="H523" s="74">
        <v>907200</v>
      </c>
      <c r="I523" s="75">
        <f t="shared" si="25"/>
        <v>0</v>
      </c>
      <c r="J523" s="75"/>
      <c r="L523" s="5">
        <v>46117</v>
      </c>
      <c r="Q523" s="9"/>
      <c r="S523" s="3"/>
    </row>
    <row r="524" spans="1:19" ht="15" hidden="1" customHeight="1" x14ac:dyDescent="0.35">
      <c r="A524" s="26" t="s">
        <v>1482</v>
      </c>
      <c r="B524" s="32" t="s">
        <v>1609</v>
      </c>
      <c r="C524" s="28"/>
      <c r="D524" s="29" t="s">
        <v>1551</v>
      </c>
      <c r="E524" s="76">
        <v>840000</v>
      </c>
      <c r="F524" s="77">
        <f t="shared" si="26"/>
        <v>67200</v>
      </c>
      <c r="G524" s="31">
        <f t="shared" si="27"/>
        <v>907200</v>
      </c>
      <c r="H524" s="74">
        <v>907200</v>
      </c>
      <c r="I524" s="75">
        <f t="shared" si="25"/>
        <v>0</v>
      </c>
      <c r="J524" s="75"/>
      <c r="L524" s="5">
        <v>46117</v>
      </c>
      <c r="Q524" s="9"/>
      <c r="S524" s="3"/>
    </row>
    <row r="525" spans="1:19" ht="15" hidden="1" customHeight="1" x14ac:dyDescent="0.35">
      <c r="A525" s="26" t="s">
        <v>1483</v>
      </c>
      <c r="B525" s="32" t="s">
        <v>1610</v>
      </c>
      <c r="C525" s="28"/>
      <c r="D525" s="29" t="s">
        <v>1551</v>
      </c>
      <c r="E525" s="76">
        <v>1132800</v>
      </c>
      <c r="F525" s="77">
        <f t="shared" si="26"/>
        <v>90624</v>
      </c>
      <c r="G525" s="31">
        <f t="shared" si="27"/>
        <v>1223424</v>
      </c>
      <c r="H525" s="74">
        <v>1223424</v>
      </c>
      <c r="I525" s="75">
        <f t="shared" si="25"/>
        <v>0</v>
      </c>
      <c r="J525" s="75"/>
      <c r="L525" s="5">
        <v>46117</v>
      </c>
      <c r="Q525" s="9"/>
      <c r="S525" s="3"/>
    </row>
    <row r="526" spans="1:19" ht="15" hidden="1" customHeight="1" x14ac:dyDescent="0.35">
      <c r="A526" s="26" t="s">
        <v>1484</v>
      </c>
      <c r="B526" s="27" t="s">
        <v>1611</v>
      </c>
      <c r="C526" s="28">
        <v>2615</v>
      </c>
      <c r="D526" s="29">
        <v>46115</v>
      </c>
      <c r="E526" s="76">
        <v>1839000</v>
      </c>
      <c r="F526" s="77">
        <f t="shared" si="26"/>
        <v>147120</v>
      </c>
      <c r="G526" s="31">
        <f t="shared" si="27"/>
        <v>1986120</v>
      </c>
      <c r="H526" s="74">
        <v>1986120</v>
      </c>
      <c r="I526" s="75">
        <f t="shared" si="25"/>
        <v>0</v>
      </c>
      <c r="J526" s="75"/>
      <c r="L526" s="5">
        <v>46147</v>
      </c>
      <c r="Q526" s="9"/>
      <c r="S526" s="3"/>
    </row>
    <row r="527" spans="1:19" ht="15" hidden="1" customHeight="1" x14ac:dyDescent="0.35">
      <c r="A527" s="26" t="s">
        <v>1485</v>
      </c>
      <c r="B527" s="27" t="s">
        <v>206</v>
      </c>
      <c r="C527" s="28"/>
      <c r="D527" s="29" t="s">
        <v>1551</v>
      </c>
      <c r="E527" s="76">
        <v>1132800</v>
      </c>
      <c r="F527" s="77">
        <f t="shared" si="26"/>
        <v>90624</v>
      </c>
      <c r="G527" s="31">
        <f t="shared" si="27"/>
        <v>1223424</v>
      </c>
      <c r="H527" s="74">
        <v>1223424</v>
      </c>
      <c r="I527" s="75">
        <f t="shared" si="25"/>
        <v>0</v>
      </c>
      <c r="J527" s="75"/>
      <c r="L527" s="5">
        <v>46127</v>
      </c>
      <c r="Q527" s="9"/>
      <c r="S527" s="3"/>
    </row>
    <row r="528" spans="1:19" ht="15" hidden="1" customHeight="1" x14ac:dyDescent="0.35">
      <c r="A528" s="26" t="s">
        <v>1486</v>
      </c>
      <c r="B528" s="32" t="s">
        <v>207</v>
      </c>
      <c r="C528" s="28"/>
      <c r="D528" s="29" t="s">
        <v>1551</v>
      </c>
      <c r="E528" s="76">
        <v>840000</v>
      </c>
      <c r="F528" s="77">
        <f t="shared" si="26"/>
        <v>67200</v>
      </c>
      <c r="G528" s="31">
        <f t="shared" si="27"/>
        <v>907200</v>
      </c>
      <c r="H528" s="74">
        <v>907200</v>
      </c>
      <c r="I528" s="75">
        <f t="shared" si="25"/>
        <v>0</v>
      </c>
      <c r="J528" s="75"/>
      <c r="L528" s="5">
        <v>46117</v>
      </c>
      <c r="Q528" s="9"/>
      <c r="S528" s="3"/>
    </row>
    <row r="529" spans="1:19" ht="15" hidden="1" customHeight="1" x14ac:dyDescent="0.35">
      <c r="A529" s="26" t="s">
        <v>1487</v>
      </c>
      <c r="B529" s="32" t="s">
        <v>208</v>
      </c>
      <c r="C529" s="28"/>
      <c r="D529" s="29" t="s">
        <v>1551</v>
      </c>
      <c r="E529" s="76">
        <v>1972800</v>
      </c>
      <c r="F529" s="77">
        <f t="shared" si="26"/>
        <v>157824</v>
      </c>
      <c r="G529" s="31">
        <f t="shared" si="27"/>
        <v>2130624</v>
      </c>
      <c r="H529" s="74">
        <v>2130624</v>
      </c>
      <c r="I529" s="75">
        <f t="shared" si="25"/>
        <v>0</v>
      </c>
      <c r="J529" s="75"/>
      <c r="L529" s="5">
        <v>46117</v>
      </c>
      <c r="Q529" s="9"/>
      <c r="S529" s="3"/>
    </row>
    <row r="530" spans="1:19" ht="15" hidden="1" customHeight="1" x14ac:dyDescent="0.35">
      <c r="A530" s="26" t="s">
        <v>1488</v>
      </c>
      <c r="B530" s="27" t="s">
        <v>209</v>
      </c>
      <c r="C530" s="28"/>
      <c r="D530" s="29" t="s">
        <v>1551</v>
      </c>
      <c r="E530" s="76">
        <v>1132800</v>
      </c>
      <c r="F530" s="77">
        <f t="shared" si="26"/>
        <v>90624</v>
      </c>
      <c r="G530" s="31">
        <f t="shared" si="27"/>
        <v>1223424</v>
      </c>
      <c r="H530" s="74">
        <v>1223424</v>
      </c>
      <c r="I530" s="75">
        <f t="shared" si="25"/>
        <v>0</v>
      </c>
      <c r="J530" s="75"/>
      <c r="L530" s="5">
        <v>46117</v>
      </c>
      <c r="Q530" s="9"/>
      <c r="S530" s="3"/>
    </row>
    <row r="531" spans="1:19" ht="15" hidden="1" customHeight="1" x14ac:dyDescent="0.35">
      <c r="A531" s="26" t="s">
        <v>1489</v>
      </c>
      <c r="B531" s="27" t="s">
        <v>210</v>
      </c>
      <c r="C531" s="28"/>
      <c r="D531" s="29" t="s">
        <v>1551</v>
      </c>
      <c r="E531" s="76">
        <v>1132800</v>
      </c>
      <c r="F531" s="77">
        <f t="shared" si="26"/>
        <v>90624</v>
      </c>
      <c r="G531" s="31">
        <f t="shared" si="27"/>
        <v>1223424</v>
      </c>
      <c r="H531" s="31">
        <v>1223424</v>
      </c>
      <c r="I531" s="75">
        <f t="shared" si="25"/>
        <v>0</v>
      </c>
      <c r="J531" s="75"/>
      <c r="L531" s="5">
        <v>46127</v>
      </c>
      <c r="Q531" s="9"/>
      <c r="S531" s="3"/>
    </row>
    <row r="532" spans="1:19" ht="15" hidden="1" customHeight="1" x14ac:dyDescent="0.35">
      <c r="A532" s="26" t="s">
        <v>1490</v>
      </c>
      <c r="B532" s="32" t="s">
        <v>211</v>
      </c>
      <c r="C532" s="28"/>
      <c r="D532" s="29" t="s">
        <v>1551</v>
      </c>
      <c r="E532" s="76">
        <v>1972800</v>
      </c>
      <c r="F532" s="77">
        <f t="shared" si="26"/>
        <v>157824</v>
      </c>
      <c r="G532" s="31">
        <f t="shared" si="27"/>
        <v>2130624</v>
      </c>
      <c r="H532" s="74">
        <v>2130624</v>
      </c>
      <c r="I532" s="75">
        <f t="shared" si="25"/>
        <v>0</v>
      </c>
      <c r="J532" s="75"/>
      <c r="L532" s="5">
        <v>46117</v>
      </c>
      <c r="Q532" s="9"/>
      <c r="S532" s="3"/>
    </row>
    <row r="533" spans="1:19" ht="15" hidden="1" customHeight="1" x14ac:dyDescent="0.35">
      <c r="A533" s="26" t="s">
        <v>1491</v>
      </c>
      <c r="B533" s="27" t="s">
        <v>212</v>
      </c>
      <c r="C533" s="28">
        <v>1929</v>
      </c>
      <c r="D533" s="29">
        <v>46087</v>
      </c>
      <c r="E533" s="76">
        <v>1972800</v>
      </c>
      <c r="F533" s="77">
        <f t="shared" si="26"/>
        <v>157824</v>
      </c>
      <c r="G533" s="31">
        <f t="shared" si="27"/>
        <v>2130624</v>
      </c>
      <c r="H533" s="74">
        <v>2130624</v>
      </c>
      <c r="I533" s="75">
        <f t="shared" si="25"/>
        <v>0</v>
      </c>
      <c r="J533" s="75"/>
      <c r="L533" s="5">
        <v>46117</v>
      </c>
      <c r="Q533" s="9"/>
      <c r="S533" s="3"/>
    </row>
    <row r="534" spans="1:19" ht="15" hidden="1" customHeight="1" x14ac:dyDescent="0.35">
      <c r="A534" s="26" t="s">
        <v>1492</v>
      </c>
      <c r="B534" s="27" t="s">
        <v>213</v>
      </c>
      <c r="C534" s="28"/>
      <c r="D534" s="29" t="s">
        <v>1551</v>
      </c>
      <c r="E534" s="76">
        <v>840000</v>
      </c>
      <c r="F534" s="77">
        <f t="shared" si="26"/>
        <v>67200</v>
      </c>
      <c r="G534" s="31">
        <f t="shared" si="27"/>
        <v>907200</v>
      </c>
      <c r="H534" s="74">
        <v>907200</v>
      </c>
      <c r="I534" s="75">
        <f t="shared" si="25"/>
        <v>0</v>
      </c>
      <c r="J534" s="75"/>
      <c r="L534" s="5">
        <v>46117</v>
      </c>
      <c r="Q534" s="9"/>
      <c r="S534" s="3"/>
    </row>
    <row r="535" spans="1:19" ht="15" hidden="1" customHeight="1" x14ac:dyDescent="0.35">
      <c r="A535" s="26" t="s">
        <v>1493</v>
      </c>
      <c r="B535" s="32" t="s">
        <v>1612</v>
      </c>
      <c r="C535" s="28"/>
      <c r="D535" s="29" t="s">
        <v>1552</v>
      </c>
      <c r="E535" s="76">
        <v>840000</v>
      </c>
      <c r="F535" s="77">
        <f t="shared" si="26"/>
        <v>67200</v>
      </c>
      <c r="G535" s="31">
        <f t="shared" si="27"/>
        <v>907200</v>
      </c>
      <c r="H535" s="74">
        <v>907200</v>
      </c>
      <c r="I535" s="75">
        <f t="shared" si="25"/>
        <v>0</v>
      </c>
      <c r="J535" s="75"/>
      <c r="L535" s="5">
        <v>46117</v>
      </c>
      <c r="Q535" s="9"/>
      <c r="S535" s="3"/>
    </row>
    <row r="536" spans="1:19" ht="15" hidden="1" customHeight="1" x14ac:dyDescent="0.35">
      <c r="A536" s="26" t="s">
        <v>1494</v>
      </c>
      <c r="B536" s="27" t="s">
        <v>1613</v>
      </c>
      <c r="C536" s="28"/>
      <c r="D536" s="29" t="s">
        <v>1553</v>
      </c>
      <c r="E536" s="76">
        <v>840000</v>
      </c>
      <c r="F536" s="77">
        <f t="shared" si="26"/>
        <v>67200</v>
      </c>
      <c r="G536" s="31">
        <f t="shared" si="27"/>
        <v>907200</v>
      </c>
      <c r="H536" s="74">
        <v>907200</v>
      </c>
      <c r="I536" s="75">
        <f t="shared" si="25"/>
        <v>0</v>
      </c>
      <c r="J536" s="75"/>
      <c r="L536" s="5">
        <v>46127</v>
      </c>
      <c r="Q536" s="9"/>
      <c r="S536" s="3"/>
    </row>
    <row r="537" spans="1:19" ht="15" hidden="1" customHeight="1" x14ac:dyDescent="0.35">
      <c r="A537" s="26" t="s">
        <v>1495</v>
      </c>
      <c r="B537" s="32" t="s">
        <v>214</v>
      </c>
      <c r="C537" s="28"/>
      <c r="D537" s="29" t="s">
        <v>1553</v>
      </c>
      <c r="E537" s="76">
        <v>5715000</v>
      </c>
      <c r="F537" s="77">
        <f t="shared" si="26"/>
        <v>457200</v>
      </c>
      <c r="G537" s="31">
        <f t="shared" si="27"/>
        <v>6172200</v>
      </c>
      <c r="H537" s="74">
        <v>6172200</v>
      </c>
      <c r="I537" s="75">
        <f t="shared" si="25"/>
        <v>0</v>
      </c>
      <c r="J537" s="75"/>
      <c r="K537" s="5">
        <v>46127</v>
      </c>
      <c r="Q537" s="9"/>
      <c r="S537" s="3"/>
    </row>
    <row r="538" spans="1:19" ht="15" hidden="1" customHeight="1" x14ac:dyDescent="0.35">
      <c r="A538" s="26" t="s">
        <v>1496</v>
      </c>
      <c r="B538" s="27" t="s">
        <v>1614</v>
      </c>
      <c r="C538" s="28"/>
      <c r="D538" s="29" t="s">
        <v>1553</v>
      </c>
      <c r="E538" s="76">
        <v>2010000</v>
      </c>
      <c r="F538" s="77">
        <f t="shared" si="26"/>
        <v>160800</v>
      </c>
      <c r="G538" s="31">
        <f t="shared" si="27"/>
        <v>2170800</v>
      </c>
      <c r="H538" s="74">
        <v>2170800</v>
      </c>
      <c r="I538" s="75">
        <f t="shared" si="25"/>
        <v>0</v>
      </c>
      <c r="J538" s="75"/>
      <c r="K538" s="5">
        <v>46178</v>
      </c>
      <c r="Q538" s="9"/>
      <c r="S538" s="3"/>
    </row>
    <row r="539" spans="1:19" ht="15" hidden="1" customHeight="1" x14ac:dyDescent="0.35">
      <c r="A539" s="26" t="s">
        <v>1497</v>
      </c>
      <c r="B539" s="27" t="s">
        <v>215</v>
      </c>
      <c r="C539" s="28"/>
      <c r="D539" s="29" t="s">
        <v>1553</v>
      </c>
      <c r="E539" s="76">
        <v>1005000</v>
      </c>
      <c r="F539" s="77">
        <f t="shared" si="26"/>
        <v>80400</v>
      </c>
      <c r="G539" s="31">
        <f t="shared" si="27"/>
        <v>1085400</v>
      </c>
      <c r="H539" s="74">
        <v>1085400</v>
      </c>
      <c r="I539" s="75">
        <f t="shared" si="25"/>
        <v>0</v>
      </c>
      <c r="J539" s="75"/>
      <c r="K539" s="5">
        <v>46147</v>
      </c>
      <c r="Q539" s="9"/>
      <c r="S539" s="3"/>
    </row>
    <row r="540" spans="1:19" ht="15" hidden="1" customHeight="1" x14ac:dyDescent="0.35">
      <c r="A540" s="26" t="s">
        <v>1498</v>
      </c>
      <c r="B540" s="32" t="s">
        <v>216</v>
      </c>
      <c r="C540" s="28"/>
      <c r="D540" s="29" t="s">
        <v>1553</v>
      </c>
      <c r="E540" s="76">
        <v>960000</v>
      </c>
      <c r="F540" s="77">
        <f t="shared" si="26"/>
        <v>76800</v>
      </c>
      <c r="G540" s="31">
        <f t="shared" si="27"/>
        <v>1036800</v>
      </c>
      <c r="H540" s="74">
        <v>1036800</v>
      </c>
      <c r="I540" s="75">
        <f t="shared" si="25"/>
        <v>0</v>
      </c>
      <c r="J540" s="75"/>
      <c r="K540" s="5">
        <v>46178</v>
      </c>
      <c r="Q540" s="9"/>
      <c r="S540" s="3"/>
    </row>
    <row r="541" spans="1:19" ht="15" hidden="1" customHeight="1" x14ac:dyDescent="0.35">
      <c r="A541" s="26" t="s">
        <v>1499</v>
      </c>
      <c r="B541" s="27" t="s">
        <v>217</v>
      </c>
      <c r="C541" s="28"/>
      <c r="D541" s="29" t="s">
        <v>1553</v>
      </c>
      <c r="E541" s="76">
        <v>750000</v>
      </c>
      <c r="F541" s="77">
        <f t="shared" si="26"/>
        <v>60000</v>
      </c>
      <c r="G541" s="31">
        <f t="shared" si="27"/>
        <v>810000</v>
      </c>
      <c r="H541" s="74">
        <v>810000</v>
      </c>
      <c r="I541" s="75">
        <f t="shared" si="25"/>
        <v>0</v>
      </c>
      <c r="J541" s="75"/>
      <c r="K541" s="5">
        <v>46178</v>
      </c>
      <c r="Q541" s="9"/>
      <c r="S541" s="3"/>
    </row>
    <row r="542" spans="1:19" ht="15" hidden="1" customHeight="1" x14ac:dyDescent="0.35">
      <c r="A542" s="26" t="s">
        <v>1500</v>
      </c>
      <c r="B542" s="27" t="s">
        <v>218</v>
      </c>
      <c r="C542" s="28"/>
      <c r="D542" s="29" t="s">
        <v>1553</v>
      </c>
      <c r="E542" s="76">
        <v>1005000</v>
      </c>
      <c r="F542" s="77">
        <f t="shared" si="26"/>
        <v>80400</v>
      </c>
      <c r="G542" s="31">
        <f t="shared" si="27"/>
        <v>1085400</v>
      </c>
      <c r="H542" s="74">
        <v>1085400</v>
      </c>
      <c r="I542" s="75">
        <f t="shared" si="25"/>
        <v>0</v>
      </c>
      <c r="J542" s="75"/>
      <c r="K542" s="5">
        <v>46178</v>
      </c>
      <c r="Q542" s="9"/>
      <c r="S542" s="3"/>
    </row>
    <row r="543" spans="1:19" ht="15" hidden="1" customHeight="1" x14ac:dyDescent="0.35">
      <c r="A543" s="26" t="s">
        <v>1501</v>
      </c>
      <c r="B543" s="27" t="s">
        <v>219</v>
      </c>
      <c r="C543" s="28"/>
      <c r="D543" s="29" t="s">
        <v>1553</v>
      </c>
      <c r="E543" s="76">
        <v>2010000</v>
      </c>
      <c r="F543" s="77">
        <f t="shared" si="26"/>
        <v>160800</v>
      </c>
      <c r="G543" s="31">
        <f t="shared" si="27"/>
        <v>2170800</v>
      </c>
      <c r="H543" s="74">
        <v>2170800</v>
      </c>
      <c r="I543" s="75">
        <f t="shared" si="25"/>
        <v>0</v>
      </c>
      <c r="J543" s="75"/>
      <c r="K543" s="5">
        <v>46178</v>
      </c>
      <c r="Q543" s="9"/>
      <c r="S543" s="3"/>
    </row>
    <row r="544" spans="1:19" ht="15" hidden="1" customHeight="1" x14ac:dyDescent="0.35">
      <c r="A544" s="26" t="s">
        <v>1502</v>
      </c>
      <c r="B544" s="27" t="s">
        <v>1615</v>
      </c>
      <c r="C544" s="28"/>
      <c r="D544" s="29" t="s">
        <v>1553</v>
      </c>
      <c r="E544" s="76">
        <v>3045000</v>
      </c>
      <c r="F544" s="77">
        <f t="shared" si="26"/>
        <v>243600</v>
      </c>
      <c r="G544" s="31">
        <f t="shared" si="27"/>
        <v>3288600</v>
      </c>
      <c r="H544" s="74">
        <v>3288600</v>
      </c>
      <c r="I544" s="75">
        <f t="shared" si="25"/>
        <v>0</v>
      </c>
      <c r="J544" s="75"/>
      <c r="K544" s="5">
        <v>46147</v>
      </c>
      <c r="Q544" s="9"/>
      <c r="S544" s="3"/>
    </row>
    <row r="545" spans="1:19" ht="15" hidden="1" customHeight="1" x14ac:dyDescent="0.35">
      <c r="A545" s="26" t="s">
        <v>1503</v>
      </c>
      <c r="B545" s="27" t="s">
        <v>220</v>
      </c>
      <c r="C545" s="28"/>
      <c r="D545" s="29" t="s">
        <v>1553</v>
      </c>
      <c r="E545" s="76">
        <v>3045000</v>
      </c>
      <c r="F545" s="77">
        <f t="shared" si="26"/>
        <v>243600</v>
      </c>
      <c r="G545" s="31">
        <f t="shared" si="27"/>
        <v>3288600</v>
      </c>
      <c r="H545" s="74">
        <v>3288600</v>
      </c>
      <c r="I545" s="75">
        <f t="shared" si="25"/>
        <v>0</v>
      </c>
      <c r="J545" s="75"/>
      <c r="K545" s="5">
        <v>46147</v>
      </c>
      <c r="Q545" s="9"/>
      <c r="S545" s="3"/>
    </row>
    <row r="546" spans="1:19" ht="15" hidden="1" customHeight="1" x14ac:dyDescent="0.35">
      <c r="A546" s="26" t="s">
        <v>1504</v>
      </c>
      <c r="B546" s="27" t="s">
        <v>1616</v>
      </c>
      <c r="C546" s="28"/>
      <c r="D546" s="29" t="s">
        <v>1553</v>
      </c>
      <c r="E546" s="76">
        <v>1005000</v>
      </c>
      <c r="F546" s="77">
        <f t="shared" si="26"/>
        <v>80400</v>
      </c>
      <c r="G546" s="31">
        <f t="shared" si="27"/>
        <v>1085400</v>
      </c>
      <c r="H546" s="74">
        <v>1085400</v>
      </c>
      <c r="I546" s="75">
        <f t="shared" si="25"/>
        <v>0</v>
      </c>
      <c r="J546" s="75"/>
      <c r="K546" s="5">
        <v>46147</v>
      </c>
      <c r="Q546" s="9"/>
      <c r="S546" s="3"/>
    </row>
    <row r="547" spans="1:19" ht="15" hidden="1" customHeight="1" x14ac:dyDescent="0.35">
      <c r="A547" s="26" t="s">
        <v>1505</v>
      </c>
      <c r="B547" s="32" t="s">
        <v>1617</v>
      </c>
      <c r="C547" s="28"/>
      <c r="D547" s="29" t="s">
        <v>1553</v>
      </c>
      <c r="E547" s="76">
        <v>1040000</v>
      </c>
      <c r="F547" s="77">
        <f t="shared" si="26"/>
        <v>83200</v>
      </c>
      <c r="G547" s="31">
        <f t="shared" si="27"/>
        <v>1123200</v>
      </c>
      <c r="H547" s="74">
        <v>1123200</v>
      </c>
      <c r="I547" s="75">
        <f t="shared" si="25"/>
        <v>0</v>
      </c>
      <c r="J547" s="75"/>
      <c r="K547" s="5">
        <v>46127</v>
      </c>
      <c r="Q547" s="9"/>
      <c r="S547" s="3"/>
    </row>
    <row r="548" spans="1:19" ht="15" hidden="1" customHeight="1" x14ac:dyDescent="0.35">
      <c r="A548" s="26" t="s">
        <v>1506</v>
      </c>
      <c r="B548" s="27" t="s">
        <v>221</v>
      </c>
      <c r="C548" s="28"/>
      <c r="D548" s="29" t="s">
        <v>1553</v>
      </c>
      <c r="E548" s="76">
        <v>9240000</v>
      </c>
      <c r="F548" s="77">
        <f t="shared" si="26"/>
        <v>739200</v>
      </c>
      <c r="G548" s="31">
        <f t="shared" si="27"/>
        <v>9979200</v>
      </c>
      <c r="H548" s="74">
        <v>9979200</v>
      </c>
      <c r="I548" s="75">
        <f t="shared" si="25"/>
        <v>0</v>
      </c>
      <c r="J548" s="75"/>
      <c r="K548" s="5">
        <v>46127</v>
      </c>
      <c r="Q548" s="9"/>
      <c r="S548" s="3"/>
    </row>
    <row r="549" spans="1:19" ht="15" hidden="1" customHeight="1" x14ac:dyDescent="0.35">
      <c r="A549" s="26" t="s">
        <v>1507</v>
      </c>
      <c r="B549" s="27" t="s">
        <v>222</v>
      </c>
      <c r="C549" s="28"/>
      <c r="D549" s="29" t="s">
        <v>1553</v>
      </c>
      <c r="E549" s="76">
        <v>16395000</v>
      </c>
      <c r="F549" s="77">
        <f t="shared" si="26"/>
        <v>1311600</v>
      </c>
      <c r="G549" s="31">
        <f t="shared" si="27"/>
        <v>17706600</v>
      </c>
      <c r="H549" s="74">
        <v>17706600</v>
      </c>
      <c r="I549" s="75">
        <f t="shared" si="25"/>
        <v>0</v>
      </c>
      <c r="J549" s="75"/>
      <c r="K549" s="5">
        <v>46178</v>
      </c>
      <c r="Q549" s="9"/>
      <c r="S549" s="3"/>
    </row>
    <row r="550" spans="1:19" ht="15" hidden="1" customHeight="1" x14ac:dyDescent="0.35">
      <c r="A550" s="26" t="s">
        <v>1508</v>
      </c>
      <c r="B550" s="27" t="s">
        <v>223</v>
      </c>
      <c r="C550" s="28">
        <v>1998</v>
      </c>
      <c r="D550" s="29">
        <v>46088</v>
      </c>
      <c r="E550" s="76">
        <v>8379000</v>
      </c>
      <c r="F550" s="77">
        <f t="shared" si="26"/>
        <v>670320</v>
      </c>
      <c r="G550" s="31">
        <f t="shared" si="27"/>
        <v>9049320</v>
      </c>
      <c r="H550" s="74">
        <v>9049320</v>
      </c>
      <c r="I550" s="75">
        <f t="shared" si="25"/>
        <v>0</v>
      </c>
      <c r="J550" s="75"/>
      <c r="K550" s="5">
        <v>46178</v>
      </c>
      <c r="Q550" s="9"/>
      <c r="S550" s="3"/>
    </row>
    <row r="551" spans="1:19" ht="15" hidden="1" customHeight="1" x14ac:dyDescent="0.35">
      <c r="A551" s="26" t="s">
        <v>1509</v>
      </c>
      <c r="B551" s="27" t="s">
        <v>224</v>
      </c>
      <c r="C551" s="28"/>
      <c r="D551" s="29" t="s">
        <v>1553</v>
      </c>
      <c r="E551" s="76">
        <v>19350000</v>
      </c>
      <c r="F551" s="77">
        <f t="shared" si="26"/>
        <v>1548000</v>
      </c>
      <c r="G551" s="31">
        <f t="shared" si="27"/>
        <v>20898000</v>
      </c>
      <c r="H551" s="74">
        <v>20898000</v>
      </c>
      <c r="I551" s="75">
        <f t="shared" si="25"/>
        <v>0</v>
      </c>
      <c r="J551" s="75"/>
      <c r="K551" s="5">
        <v>46127</v>
      </c>
      <c r="L551" s="5">
        <v>46127</v>
      </c>
      <c r="Q551" s="9"/>
      <c r="S551" s="3"/>
    </row>
    <row r="552" spans="1:19" ht="15" hidden="1" customHeight="1" x14ac:dyDescent="0.35">
      <c r="A552" s="26" t="s">
        <v>1510</v>
      </c>
      <c r="B552" s="27" t="s">
        <v>225</v>
      </c>
      <c r="C552" s="28"/>
      <c r="D552" s="29" t="s">
        <v>1553</v>
      </c>
      <c r="E552" s="76">
        <v>2970000</v>
      </c>
      <c r="F552" s="77">
        <f t="shared" si="26"/>
        <v>237600</v>
      </c>
      <c r="G552" s="31">
        <f t="shared" si="27"/>
        <v>3207600</v>
      </c>
      <c r="H552" s="74">
        <v>3207600</v>
      </c>
      <c r="I552" s="75">
        <f t="shared" si="25"/>
        <v>0</v>
      </c>
      <c r="J552" s="75"/>
      <c r="K552" s="5">
        <v>46178</v>
      </c>
      <c r="Q552" s="9"/>
      <c r="S552" s="3"/>
    </row>
    <row r="553" spans="1:19" ht="15" hidden="1" customHeight="1" x14ac:dyDescent="0.35">
      <c r="A553" s="26" t="s">
        <v>1511</v>
      </c>
      <c r="B553" s="27" t="s">
        <v>226</v>
      </c>
      <c r="C553" s="28">
        <v>2276</v>
      </c>
      <c r="D553" s="29">
        <v>46101</v>
      </c>
      <c r="E553" s="76">
        <v>2597000</v>
      </c>
      <c r="F553" s="77">
        <f t="shared" si="26"/>
        <v>207760</v>
      </c>
      <c r="G553" s="31">
        <f t="shared" si="27"/>
        <v>2804760</v>
      </c>
      <c r="H553" s="74">
        <v>2804760</v>
      </c>
      <c r="I553" s="75">
        <f t="shared" si="25"/>
        <v>0</v>
      </c>
      <c r="J553" s="75"/>
      <c r="K553" s="5">
        <v>46147</v>
      </c>
      <c r="Q553" s="9"/>
      <c r="S553" s="3"/>
    </row>
    <row r="554" spans="1:19" ht="15" hidden="1" customHeight="1" x14ac:dyDescent="0.35">
      <c r="A554" s="26" t="s">
        <v>1512</v>
      </c>
      <c r="B554" s="32" t="s">
        <v>227</v>
      </c>
      <c r="C554" s="28"/>
      <c r="D554" s="29" t="s">
        <v>1553</v>
      </c>
      <c r="E554" s="76">
        <v>17905000</v>
      </c>
      <c r="F554" s="77">
        <f t="shared" si="26"/>
        <v>1432400</v>
      </c>
      <c r="G554" s="31">
        <f t="shared" si="27"/>
        <v>19337400</v>
      </c>
      <c r="H554" s="74">
        <v>19337400</v>
      </c>
      <c r="I554" s="75">
        <f t="shared" si="25"/>
        <v>0</v>
      </c>
      <c r="J554" s="75"/>
      <c r="K554" s="5">
        <v>46127</v>
      </c>
      <c r="Q554" s="9"/>
      <c r="S554" s="3"/>
    </row>
    <row r="555" spans="1:19" ht="15" hidden="1" customHeight="1" x14ac:dyDescent="0.35">
      <c r="A555" s="26" t="s">
        <v>1513</v>
      </c>
      <c r="B555" s="27" t="s">
        <v>228</v>
      </c>
      <c r="C555" s="28"/>
      <c r="D555" s="29" t="s">
        <v>1553</v>
      </c>
      <c r="E555" s="76">
        <v>1980000</v>
      </c>
      <c r="F555" s="77">
        <f t="shared" si="26"/>
        <v>158400</v>
      </c>
      <c r="G555" s="31">
        <f t="shared" si="27"/>
        <v>2138400</v>
      </c>
      <c r="H555" s="74">
        <v>2138400</v>
      </c>
      <c r="I555" s="75">
        <f t="shared" si="25"/>
        <v>0</v>
      </c>
      <c r="J555" s="75"/>
      <c r="K555" s="5">
        <v>46147</v>
      </c>
      <c r="Q555" s="9"/>
      <c r="S555" s="3"/>
    </row>
    <row r="556" spans="1:19" ht="15" hidden="1" customHeight="1" x14ac:dyDescent="0.35">
      <c r="A556" s="26" t="s">
        <v>1514</v>
      </c>
      <c r="B556" s="32" t="s">
        <v>1618</v>
      </c>
      <c r="C556" s="28"/>
      <c r="D556" s="29" t="s">
        <v>1553</v>
      </c>
      <c r="E556" s="76">
        <v>18125000</v>
      </c>
      <c r="F556" s="77">
        <f t="shared" si="26"/>
        <v>1450000</v>
      </c>
      <c r="G556" s="31">
        <f t="shared" si="27"/>
        <v>19575000</v>
      </c>
      <c r="H556" s="74">
        <v>19575000</v>
      </c>
      <c r="I556" s="75">
        <f t="shared" si="25"/>
        <v>0</v>
      </c>
      <c r="J556" s="75"/>
      <c r="K556" s="5">
        <v>46127</v>
      </c>
      <c r="Q556" s="9"/>
      <c r="S556" s="3"/>
    </row>
    <row r="557" spans="1:19" ht="15" hidden="1" customHeight="1" x14ac:dyDescent="0.35">
      <c r="A557" s="26" t="s">
        <v>1515</v>
      </c>
      <c r="B557" s="27" t="s">
        <v>229</v>
      </c>
      <c r="C557" s="28"/>
      <c r="D557" s="29" t="s">
        <v>1553</v>
      </c>
      <c r="E557" s="76">
        <v>5795000</v>
      </c>
      <c r="F557" s="77">
        <f t="shared" si="26"/>
        <v>463600</v>
      </c>
      <c r="G557" s="31">
        <f t="shared" si="27"/>
        <v>6258600</v>
      </c>
      <c r="H557" s="74">
        <v>6258600</v>
      </c>
      <c r="I557" s="75">
        <f t="shared" si="25"/>
        <v>0</v>
      </c>
      <c r="J557" s="75"/>
      <c r="K557" s="5">
        <v>46178</v>
      </c>
      <c r="Q557" s="9"/>
      <c r="S557" s="3"/>
    </row>
    <row r="558" spans="1:19" ht="15" hidden="1" customHeight="1" x14ac:dyDescent="0.35">
      <c r="A558" s="26" t="s">
        <v>1516</v>
      </c>
      <c r="B558" s="27" t="s">
        <v>230</v>
      </c>
      <c r="C558" s="28"/>
      <c r="D558" s="29" t="s">
        <v>1553</v>
      </c>
      <c r="E558" s="76">
        <v>4540000</v>
      </c>
      <c r="F558" s="77">
        <f t="shared" si="26"/>
        <v>363200</v>
      </c>
      <c r="G558" s="31">
        <f t="shared" si="27"/>
        <v>4903200</v>
      </c>
      <c r="H558" s="74">
        <v>4903200</v>
      </c>
      <c r="I558" s="75">
        <f t="shared" si="25"/>
        <v>0</v>
      </c>
      <c r="J558" s="75"/>
      <c r="K558" s="5">
        <v>46127</v>
      </c>
      <c r="Q558" s="9"/>
      <c r="S558" s="3"/>
    </row>
    <row r="559" spans="1:19" ht="15" hidden="1" customHeight="1" x14ac:dyDescent="0.35">
      <c r="A559" s="26" t="s">
        <v>1517</v>
      </c>
      <c r="B559" s="32" t="s">
        <v>231</v>
      </c>
      <c r="C559" s="28"/>
      <c r="D559" s="29" t="s">
        <v>1553</v>
      </c>
      <c r="E559" s="76">
        <v>20355000</v>
      </c>
      <c r="F559" s="77">
        <f t="shared" si="26"/>
        <v>1628400</v>
      </c>
      <c r="G559" s="31">
        <f t="shared" si="27"/>
        <v>21983400</v>
      </c>
      <c r="H559" s="74">
        <v>21983400</v>
      </c>
      <c r="I559" s="75">
        <f t="shared" si="25"/>
        <v>0</v>
      </c>
      <c r="J559" s="75"/>
      <c r="K559" s="5">
        <v>46127</v>
      </c>
      <c r="Q559" s="9"/>
      <c r="S559" s="3"/>
    </row>
    <row r="560" spans="1:19" ht="15" hidden="1" customHeight="1" x14ac:dyDescent="0.35">
      <c r="A560" s="26" t="s">
        <v>1518</v>
      </c>
      <c r="B560" s="27" t="s">
        <v>232</v>
      </c>
      <c r="C560" s="28"/>
      <c r="D560" s="29" t="s">
        <v>1553</v>
      </c>
      <c r="E560" s="76">
        <v>21945000</v>
      </c>
      <c r="F560" s="77">
        <f t="shared" si="26"/>
        <v>1755600</v>
      </c>
      <c r="G560" s="31">
        <f t="shared" si="27"/>
        <v>23700600</v>
      </c>
      <c r="H560" s="74">
        <v>23700600</v>
      </c>
      <c r="I560" s="75">
        <f t="shared" si="25"/>
        <v>0</v>
      </c>
      <c r="J560" s="75"/>
      <c r="K560" s="5">
        <v>46178</v>
      </c>
      <c r="Q560" s="9"/>
      <c r="S560" s="3"/>
    </row>
    <row r="561" spans="1:19" ht="15" hidden="1" customHeight="1" x14ac:dyDescent="0.35">
      <c r="A561" s="26" t="s">
        <v>1519</v>
      </c>
      <c r="B561" s="27" t="s">
        <v>233</v>
      </c>
      <c r="C561" s="28"/>
      <c r="D561" s="29" t="s">
        <v>1553</v>
      </c>
      <c r="E561" s="76">
        <v>3855000</v>
      </c>
      <c r="F561" s="77">
        <f t="shared" si="26"/>
        <v>308400</v>
      </c>
      <c r="G561" s="31">
        <f t="shared" si="27"/>
        <v>4163400</v>
      </c>
      <c r="H561" s="74">
        <v>4163400</v>
      </c>
      <c r="I561" s="75">
        <f t="shared" si="25"/>
        <v>0</v>
      </c>
      <c r="J561" s="75"/>
      <c r="K561" s="5">
        <v>46178</v>
      </c>
      <c r="Q561" s="9"/>
      <c r="S561" s="3"/>
    </row>
    <row r="562" spans="1:19" ht="15" hidden="1" customHeight="1" x14ac:dyDescent="0.35">
      <c r="A562" s="26" t="s">
        <v>1520</v>
      </c>
      <c r="B562" s="27" t="s">
        <v>234</v>
      </c>
      <c r="C562" s="28"/>
      <c r="D562" s="29" t="s">
        <v>1553</v>
      </c>
      <c r="E562" s="76">
        <v>22390000</v>
      </c>
      <c r="F562" s="77">
        <f t="shared" si="26"/>
        <v>1791200</v>
      </c>
      <c r="G562" s="31">
        <f t="shared" si="27"/>
        <v>24181200</v>
      </c>
      <c r="H562" s="74">
        <v>24181200</v>
      </c>
      <c r="I562" s="75">
        <f t="shared" si="25"/>
        <v>0</v>
      </c>
      <c r="J562" s="75"/>
      <c r="K562" s="5">
        <v>46147</v>
      </c>
      <c r="Q562" s="9"/>
      <c r="S562" s="3"/>
    </row>
    <row r="563" spans="1:19" ht="15" hidden="1" customHeight="1" x14ac:dyDescent="0.35">
      <c r="A563" s="26" t="s">
        <v>1521</v>
      </c>
      <c r="B563" s="32" t="s">
        <v>235</v>
      </c>
      <c r="C563" s="28"/>
      <c r="D563" s="29" t="s">
        <v>1553</v>
      </c>
      <c r="E563" s="76">
        <v>11310000</v>
      </c>
      <c r="F563" s="77">
        <f t="shared" si="26"/>
        <v>904800</v>
      </c>
      <c r="G563" s="31">
        <f t="shared" si="27"/>
        <v>12214800</v>
      </c>
      <c r="H563" s="74">
        <v>12214800</v>
      </c>
      <c r="I563" s="75">
        <f t="shared" si="25"/>
        <v>0</v>
      </c>
      <c r="J563" s="75"/>
      <c r="K563" s="5">
        <v>46127</v>
      </c>
      <c r="Q563" s="9"/>
      <c r="S563" s="3"/>
    </row>
    <row r="564" spans="1:19" ht="15" hidden="1" customHeight="1" x14ac:dyDescent="0.35">
      <c r="A564" s="26" t="s">
        <v>1522</v>
      </c>
      <c r="B564" s="27" t="s">
        <v>236</v>
      </c>
      <c r="C564" s="28">
        <v>1961</v>
      </c>
      <c r="D564" s="29">
        <v>46087</v>
      </c>
      <c r="E564" s="76">
        <v>8406500</v>
      </c>
      <c r="F564" s="77">
        <f t="shared" si="26"/>
        <v>672520</v>
      </c>
      <c r="G564" s="31">
        <f t="shared" si="27"/>
        <v>9079020</v>
      </c>
      <c r="H564" s="74">
        <v>9079020</v>
      </c>
      <c r="I564" s="75">
        <f t="shared" si="25"/>
        <v>0</v>
      </c>
      <c r="J564" s="75"/>
      <c r="K564" s="5">
        <v>46127</v>
      </c>
      <c r="Q564" s="9"/>
      <c r="S564" s="3"/>
    </row>
    <row r="565" spans="1:19" ht="15" hidden="1" customHeight="1" x14ac:dyDescent="0.35">
      <c r="A565" s="26" t="s">
        <v>1523</v>
      </c>
      <c r="B565" s="27" t="s">
        <v>237</v>
      </c>
      <c r="C565" s="28"/>
      <c r="D565" s="29" t="s">
        <v>1553</v>
      </c>
      <c r="E565" s="76">
        <v>7470000</v>
      </c>
      <c r="F565" s="77">
        <f t="shared" si="26"/>
        <v>597600</v>
      </c>
      <c r="G565" s="31">
        <f t="shared" si="27"/>
        <v>8067600</v>
      </c>
      <c r="H565" s="74">
        <v>8067600</v>
      </c>
      <c r="I565" s="75">
        <f t="shared" si="25"/>
        <v>0</v>
      </c>
      <c r="J565" s="75"/>
      <c r="K565" s="5">
        <v>46178</v>
      </c>
      <c r="Q565" s="9"/>
      <c r="S565" s="3"/>
    </row>
    <row r="566" spans="1:19" ht="15" hidden="1" customHeight="1" x14ac:dyDescent="0.35">
      <c r="A566" s="26" t="s">
        <v>1524</v>
      </c>
      <c r="B566" s="27" t="s">
        <v>238</v>
      </c>
      <c r="C566" s="28"/>
      <c r="D566" s="29" t="s">
        <v>1553</v>
      </c>
      <c r="E566" s="76">
        <v>1920000</v>
      </c>
      <c r="F566" s="77">
        <f t="shared" si="26"/>
        <v>153600</v>
      </c>
      <c r="G566" s="31">
        <f t="shared" si="27"/>
        <v>2073600</v>
      </c>
      <c r="H566" s="74">
        <v>2073600</v>
      </c>
      <c r="I566" s="75">
        <f t="shared" si="25"/>
        <v>0</v>
      </c>
      <c r="J566" s="75"/>
      <c r="K566" s="5">
        <v>46178</v>
      </c>
      <c r="Q566" s="9"/>
      <c r="S566" s="3"/>
    </row>
    <row r="567" spans="1:19" ht="15" hidden="1" customHeight="1" x14ac:dyDescent="0.35">
      <c r="A567" s="26" t="s">
        <v>1525</v>
      </c>
      <c r="B567" s="32" t="s">
        <v>239</v>
      </c>
      <c r="C567" s="28"/>
      <c r="D567" s="29" t="s">
        <v>1553</v>
      </c>
      <c r="E567" s="76">
        <v>3960000</v>
      </c>
      <c r="F567" s="77">
        <f t="shared" si="26"/>
        <v>316800</v>
      </c>
      <c r="G567" s="31">
        <f t="shared" si="27"/>
        <v>4276800</v>
      </c>
      <c r="H567" s="74">
        <v>4276800</v>
      </c>
      <c r="I567" s="75">
        <f t="shared" ref="I567:I630" si="28">G567-H567</f>
        <v>0</v>
      </c>
      <c r="J567" s="75"/>
      <c r="K567" s="5">
        <v>46178</v>
      </c>
      <c r="Q567" s="9"/>
      <c r="S567" s="3"/>
    </row>
    <row r="568" spans="1:19" ht="15" hidden="1" customHeight="1" x14ac:dyDescent="0.35">
      <c r="A568" s="26" t="s">
        <v>1526</v>
      </c>
      <c r="B568" s="27" t="s">
        <v>240</v>
      </c>
      <c r="C568" s="28"/>
      <c r="D568" s="29" t="s">
        <v>1553</v>
      </c>
      <c r="E568" s="76">
        <v>1620000</v>
      </c>
      <c r="F568" s="77">
        <f t="shared" ref="F568:F631" si="29">+E568*0.08</f>
        <v>129600</v>
      </c>
      <c r="G568" s="31">
        <f t="shared" si="27"/>
        <v>1749600</v>
      </c>
      <c r="H568" s="74">
        <v>1749600</v>
      </c>
      <c r="I568" s="75">
        <f t="shared" si="28"/>
        <v>0</v>
      </c>
      <c r="J568" s="75"/>
      <c r="K568" s="5">
        <v>46178</v>
      </c>
      <c r="Q568" s="9"/>
      <c r="S568" s="3"/>
    </row>
    <row r="569" spans="1:19" ht="15" hidden="1" customHeight="1" x14ac:dyDescent="0.35">
      <c r="A569" s="26" t="s">
        <v>1527</v>
      </c>
      <c r="B569" s="27" t="s">
        <v>241</v>
      </c>
      <c r="C569" s="28"/>
      <c r="D569" s="29" t="s">
        <v>1553</v>
      </c>
      <c r="E569" s="76">
        <v>8705000</v>
      </c>
      <c r="F569" s="77">
        <f t="shared" si="29"/>
        <v>696400</v>
      </c>
      <c r="G569" s="31">
        <f t="shared" si="27"/>
        <v>9401400</v>
      </c>
      <c r="H569" s="74">
        <v>9401400</v>
      </c>
      <c r="I569" s="75">
        <f t="shared" si="28"/>
        <v>0</v>
      </c>
      <c r="J569" s="75"/>
      <c r="K569" s="5">
        <v>46127</v>
      </c>
      <c r="Q569" s="9"/>
      <c r="S569" s="3"/>
    </row>
    <row r="570" spans="1:19" ht="15" hidden="1" customHeight="1" x14ac:dyDescent="0.35">
      <c r="A570" s="26" t="s">
        <v>1528</v>
      </c>
      <c r="B570" s="32" t="s">
        <v>242</v>
      </c>
      <c r="C570" s="28"/>
      <c r="D570" s="29" t="s">
        <v>1553</v>
      </c>
      <c r="E570" s="76">
        <v>1790000</v>
      </c>
      <c r="F570" s="77">
        <f t="shared" si="29"/>
        <v>143200</v>
      </c>
      <c r="G570" s="31">
        <f t="shared" si="27"/>
        <v>1933200</v>
      </c>
      <c r="H570" s="74">
        <v>1933200</v>
      </c>
      <c r="I570" s="75">
        <f t="shared" si="28"/>
        <v>0</v>
      </c>
      <c r="J570" s="75"/>
      <c r="K570" s="5">
        <v>46127</v>
      </c>
      <c r="Q570" s="9"/>
      <c r="S570" s="3"/>
    </row>
    <row r="571" spans="1:19" ht="15" hidden="1" customHeight="1" x14ac:dyDescent="0.35">
      <c r="A571" s="26" t="s">
        <v>1529</v>
      </c>
      <c r="B571" s="32" t="s">
        <v>243</v>
      </c>
      <c r="C571" s="28"/>
      <c r="D571" s="29" t="s">
        <v>1553</v>
      </c>
      <c r="E571" s="76">
        <v>4830000</v>
      </c>
      <c r="F571" s="77">
        <f t="shared" si="29"/>
        <v>386400</v>
      </c>
      <c r="G571" s="31">
        <f t="shared" si="27"/>
        <v>5216400</v>
      </c>
      <c r="H571" s="74">
        <v>5216400</v>
      </c>
      <c r="I571" s="75">
        <f t="shared" si="28"/>
        <v>0</v>
      </c>
      <c r="J571" s="75"/>
      <c r="K571" s="5">
        <v>46178</v>
      </c>
      <c r="Q571" s="9"/>
      <c r="S571" s="3"/>
    </row>
    <row r="572" spans="1:19" ht="15" hidden="1" customHeight="1" x14ac:dyDescent="0.35">
      <c r="A572" s="26" t="s">
        <v>1530</v>
      </c>
      <c r="B572" s="27" t="s">
        <v>244</v>
      </c>
      <c r="C572" s="28"/>
      <c r="D572" s="29" t="s">
        <v>1553</v>
      </c>
      <c r="E572" s="76">
        <v>17205000</v>
      </c>
      <c r="F572" s="77">
        <f t="shared" si="29"/>
        <v>1376400</v>
      </c>
      <c r="G572" s="31">
        <f t="shared" si="27"/>
        <v>18581400</v>
      </c>
      <c r="H572" s="74">
        <v>18581400</v>
      </c>
      <c r="I572" s="75">
        <f t="shared" si="28"/>
        <v>0</v>
      </c>
      <c r="J572" s="75"/>
      <c r="K572" s="5">
        <v>46178</v>
      </c>
      <c r="Q572" s="9"/>
      <c r="S572" s="3"/>
    </row>
    <row r="573" spans="1:19" ht="15" hidden="1" customHeight="1" x14ac:dyDescent="0.35">
      <c r="A573" s="26" t="s">
        <v>1531</v>
      </c>
      <c r="B573" s="27" t="s">
        <v>245</v>
      </c>
      <c r="C573" s="28"/>
      <c r="D573" s="29" t="s">
        <v>1553</v>
      </c>
      <c r="E573" s="76">
        <v>19785000</v>
      </c>
      <c r="F573" s="77">
        <f t="shared" si="29"/>
        <v>1582800</v>
      </c>
      <c r="G573" s="31">
        <f t="shared" si="27"/>
        <v>21367800</v>
      </c>
      <c r="H573" s="74">
        <v>21367800</v>
      </c>
      <c r="I573" s="75">
        <f t="shared" si="28"/>
        <v>0</v>
      </c>
      <c r="J573" s="75"/>
      <c r="K573" s="5">
        <v>46127</v>
      </c>
      <c r="Q573" s="9"/>
      <c r="S573" s="3"/>
    </row>
    <row r="574" spans="1:19" ht="15" hidden="1" customHeight="1" x14ac:dyDescent="0.35">
      <c r="A574" s="26" t="s">
        <v>1532</v>
      </c>
      <c r="B574" s="27" t="s">
        <v>246</v>
      </c>
      <c r="C574" s="28"/>
      <c r="D574" s="29" t="s">
        <v>1553</v>
      </c>
      <c r="E574" s="76">
        <v>29210000</v>
      </c>
      <c r="F574" s="77">
        <f t="shared" si="29"/>
        <v>2336800</v>
      </c>
      <c r="G574" s="31">
        <f t="shared" si="27"/>
        <v>31546800</v>
      </c>
      <c r="H574" s="74">
        <v>31546800</v>
      </c>
      <c r="I574" s="75">
        <f t="shared" si="28"/>
        <v>0</v>
      </c>
      <c r="J574" s="75"/>
      <c r="K574" s="5">
        <v>46127</v>
      </c>
      <c r="Q574" s="9"/>
      <c r="S574" s="3"/>
    </row>
    <row r="575" spans="1:19" ht="15" hidden="1" customHeight="1" x14ac:dyDescent="0.35">
      <c r="A575" s="26" t="s">
        <v>1533</v>
      </c>
      <c r="B575" s="32" t="s">
        <v>247</v>
      </c>
      <c r="C575" s="28"/>
      <c r="D575" s="29" t="s">
        <v>1553</v>
      </c>
      <c r="E575" s="76">
        <v>2730000</v>
      </c>
      <c r="F575" s="77">
        <f t="shared" si="29"/>
        <v>218400</v>
      </c>
      <c r="G575" s="31">
        <f t="shared" si="27"/>
        <v>2948400</v>
      </c>
      <c r="H575" s="74">
        <v>2948400</v>
      </c>
      <c r="I575" s="75">
        <f t="shared" si="28"/>
        <v>0</v>
      </c>
      <c r="J575" s="75"/>
      <c r="K575" s="5">
        <v>46127</v>
      </c>
      <c r="Q575" s="9"/>
      <c r="S575" s="3"/>
    </row>
    <row r="576" spans="1:19" ht="15" hidden="1" customHeight="1" x14ac:dyDescent="0.35">
      <c r="A576" s="26" t="s">
        <v>1534</v>
      </c>
      <c r="B576" s="32" t="s">
        <v>248</v>
      </c>
      <c r="C576" s="28"/>
      <c r="D576" s="29" t="s">
        <v>1553</v>
      </c>
      <c r="E576" s="76">
        <v>27275000</v>
      </c>
      <c r="F576" s="77">
        <f t="shared" si="29"/>
        <v>2182000</v>
      </c>
      <c r="G576" s="31">
        <f t="shared" si="27"/>
        <v>29457000</v>
      </c>
      <c r="H576" s="31">
        <v>29457000</v>
      </c>
      <c r="I576" s="75">
        <f t="shared" si="28"/>
        <v>0</v>
      </c>
      <c r="J576" s="75"/>
      <c r="K576" s="5">
        <v>46147</v>
      </c>
      <c r="Q576" s="9"/>
      <c r="S576" s="3"/>
    </row>
    <row r="577" spans="1:19" ht="15" hidden="1" customHeight="1" x14ac:dyDescent="0.35">
      <c r="A577" s="26" t="s">
        <v>1535</v>
      </c>
      <c r="B577" s="27" t="s">
        <v>249</v>
      </c>
      <c r="C577" s="28">
        <v>2052</v>
      </c>
      <c r="D577" s="29" t="s">
        <v>1553</v>
      </c>
      <c r="E577" s="76">
        <v>13386500</v>
      </c>
      <c r="F577" s="77">
        <f t="shared" si="29"/>
        <v>1070920</v>
      </c>
      <c r="G577" s="31">
        <f t="shared" si="27"/>
        <v>14457420</v>
      </c>
      <c r="H577" s="74">
        <v>14457420</v>
      </c>
      <c r="I577" s="75">
        <f t="shared" si="28"/>
        <v>0</v>
      </c>
      <c r="J577" s="75"/>
      <c r="K577" s="5">
        <v>46147</v>
      </c>
      <c r="Q577" s="9"/>
      <c r="S577" s="3"/>
    </row>
    <row r="578" spans="1:19" ht="15" hidden="1" customHeight="1" x14ac:dyDescent="0.35">
      <c r="A578" s="26" t="s">
        <v>1536</v>
      </c>
      <c r="B578" s="27" t="s">
        <v>250</v>
      </c>
      <c r="C578" s="28"/>
      <c r="D578" s="29" t="s">
        <v>1553</v>
      </c>
      <c r="E578" s="76">
        <v>2040000</v>
      </c>
      <c r="F578" s="77">
        <f t="shared" si="29"/>
        <v>163200</v>
      </c>
      <c r="G578" s="31">
        <f t="shared" si="27"/>
        <v>2203200</v>
      </c>
      <c r="H578" s="74">
        <v>2203200</v>
      </c>
      <c r="I578" s="75">
        <f t="shared" si="28"/>
        <v>0</v>
      </c>
      <c r="J578" s="75"/>
      <c r="K578" s="5">
        <v>46178</v>
      </c>
      <c r="Q578" s="9"/>
      <c r="S578" s="3"/>
    </row>
    <row r="579" spans="1:19" ht="15" hidden="1" customHeight="1" x14ac:dyDescent="0.35">
      <c r="A579" s="26" t="s">
        <v>1537</v>
      </c>
      <c r="B579" s="32" t="s">
        <v>251</v>
      </c>
      <c r="C579" s="28"/>
      <c r="D579" s="29" t="s">
        <v>1553</v>
      </c>
      <c r="E579" s="76">
        <v>3720000</v>
      </c>
      <c r="F579" s="77">
        <f t="shared" si="29"/>
        <v>297600</v>
      </c>
      <c r="G579" s="31">
        <f t="shared" si="27"/>
        <v>4017600</v>
      </c>
      <c r="H579" s="74">
        <v>4017600</v>
      </c>
      <c r="I579" s="75">
        <f t="shared" si="28"/>
        <v>0</v>
      </c>
      <c r="J579" s="75"/>
      <c r="K579" s="5">
        <v>46127</v>
      </c>
      <c r="Q579" s="9"/>
      <c r="S579" s="3"/>
    </row>
    <row r="580" spans="1:19" ht="15" hidden="1" customHeight="1" x14ac:dyDescent="0.35">
      <c r="A580" s="26" t="s">
        <v>1538</v>
      </c>
      <c r="B580" s="27" t="s">
        <v>252</v>
      </c>
      <c r="C580" s="28"/>
      <c r="D580" s="29" t="s">
        <v>1553</v>
      </c>
      <c r="E580" s="76">
        <v>1920000</v>
      </c>
      <c r="F580" s="77">
        <f t="shared" si="29"/>
        <v>153600</v>
      </c>
      <c r="G580" s="31">
        <f t="shared" ref="G580:G642" si="30">+F580+E580</f>
        <v>2073600</v>
      </c>
      <c r="H580" s="74">
        <v>2073600</v>
      </c>
      <c r="I580" s="75">
        <f t="shared" si="28"/>
        <v>0</v>
      </c>
      <c r="J580" s="75"/>
      <c r="K580" s="5">
        <v>46178</v>
      </c>
      <c r="Q580" s="9"/>
      <c r="S580" s="3"/>
    </row>
    <row r="581" spans="1:19" ht="15" hidden="1" customHeight="1" x14ac:dyDescent="0.35">
      <c r="A581" s="26" t="s">
        <v>1539</v>
      </c>
      <c r="B581" s="27" t="s">
        <v>253</v>
      </c>
      <c r="C581" s="28">
        <v>2278</v>
      </c>
      <c r="D581" s="29">
        <v>46101</v>
      </c>
      <c r="E581" s="76">
        <v>5664500</v>
      </c>
      <c r="F581" s="77">
        <f t="shared" si="29"/>
        <v>453160</v>
      </c>
      <c r="G581" s="31">
        <f t="shared" si="30"/>
        <v>6117660</v>
      </c>
      <c r="H581" s="74">
        <v>6117660</v>
      </c>
      <c r="I581" s="75">
        <f t="shared" si="28"/>
        <v>0</v>
      </c>
      <c r="J581" s="75"/>
      <c r="K581" s="5">
        <v>46147</v>
      </c>
      <c r="Q581" s="9"/>
      <c r="S581" s="3"/>
    </row>
    <row r="582" spans="1:19" ht="15" hidden="1" customHeight="1" x14ac:dyDescent="0.35">
      <c r="A582" s="26" t="s">
        <v>1540</v>
      </c>
      <c r="B582" s="32" t="s">
        <v>254</v>
      </c>
      <c r="C582" s="28"/>
      <c r="D582" s="29" t="s">
        <v>1553</v>
      </c>
      <c r="E582" s="76">
        <v>2010000</v>
      </c>
      <c r="F582" s="77">
        <f t="shared" si="29"/>
        <v>160800</v>
      </c>
      <c r="G582" s="31">
        <f t="shared" si="30"/>
        <v>2170800</v>
      </c>
      <c r="H582" s="74">
        <v>2170800</v>
      </c>
      <c r="I582" s="75">
        <f t="shared" si="28"/>
        <v>0</v>
      </c>
      <c r="J582" s="75"/>
      <c r="K582" s="5">
        <v>46127</v>
      </c>
      <c r="Q582" s="9"/>
      <c r="S582" s="3"/>
    </row>
    <row r="583" spans="1:19" ht="15" hidden="1" customHeight="1" x14ac:dyDescent="0.35">
      <c r="A583" s="26" t="s">
        <v>1541</v>
      </c>
      <c r="B583" s="32" t="s">
        <v>255</v>
      </c>
      <c r="C583" s="28"/>
      <c r="D583" s="29" t="s">
        <v>1553</v>
      </c>
      <c r="E583" s="76">
        <v>840000</v>
      </c>
      <c r="F583" s="77">
        <f t="shared" si="29"/>
        <v>67200</v>
      </c>
      <c r="G583" s="31">
        <f t="shared" si="30"/>
        <v>907200</v>
      </c>
      <c r="H583" s="74">
        <v>907200</v>
      </c>
      <c r="I583" s="75">
        <f t="shared" si="28"/>
        <v>0</v>
      </c>
      <c r="J583" s="75"/>
      <c r="L583" s="5">
        <v>46117</v>
      </c>
      <c r="Q583" s="9"/>
      <c r="S583" s="3"/>
    </row>
    <row r="584" spans="1:19" ht="15" hidden="1" customHeight="1" x14ac:dyDescent="0.35">
      <c r="A584" s="26" t="s">
        <v>1542</v>
      </c>
      <c r="B584" s="27" t="s">
        <v>256</v>
      </c>
      <c r="C584" s="28"/>
      <c r="D584" s="29" t="s">
        <v>1553</v>
      </c>
      <c r="E584" s="76">
        <v>750000</v>
      </c>
      <c r="F584" s="77">
        <f t="shared" si="29"/>
        <v>60000</v>
      </c>
      <c r="G584" s="31">
        <f t="shared" si="30"/>
        <v>810000</v>
      </c>
      <c r="H584" s="74">
        <v>810000</v>
      </c>
      <c r="I584" s="75">
        <f t="shared" si="28"/>
        <v>0</v>
      </c>
      <c r="J584" s="75"/>
      <c r="K584" s="5">
        <v>46178</v>
      </c>
      <c r="Q584" s="9"/>
      <c r="S584" s="3"/>
    </row>
    <row r="585" spans="1:19" ht="15" hidden="1" customHeight="1" x14ac:dyDescent="0.35">
      <c r="A585" s="26" t="s">
        <v>1543</v>
      </c>
      <c r="B585" s="32" t="s">
        <v>257</v>
      </c>
      <c r="C585" s="28"/>
      <c r="D585" s="29" t="s">
        <v>1553</v>
      </c>
      <c r="E585" s="76">
        <v>22200000</v>
      </c>
      <c r="F585" s="77">
        <f t="shared" si="29"/>
        <v>1776000</v>
      </c>
      <c r="G585" s="31">
        <f t="shared" si="30"/>
        <v>23976000</v>
      </c>
      <c r="H585" s="74">
        <v>23976000</v>
      </c>
      <c r="I585" s="75">
        <f t="shared" si="28"/>
        <v>0</v>
      </c>
      <c r="J585" s="75"/>
      <c r="K585" s="5">
        <v>46127</v>
      </c>
      <c r="Q585" s="9"/>
      <c r="S585" s="3"/>
    </row>
    <row r="586" spans="1:19" ht="15" hidden="1" customHeight="1" x14ac:dyDescent="0.35">
      <c r="A586" s="26" t="s">
        <v>1544</v>
      </c>
      <c r="B586" s="32" t="s">
        <v>258</v>
      </c>
      <c r="C586" s="28"/>
      <c r="D586" s="29" t="s">
        <v>1554</v>
      </c>
      <c r="E586" s="76">
        <v>14265000</v>
      </c>
      <c r="F586" s="77">
        <f t="shared" si="29"/>
        <v>1141200</v>
      </c>
      <c r="G586" s="31">
        <f t="shared" si="30"/>
        <v>15406200</v>
      </c>
      <c r="H586" s="74">
        <v>15406200</v>
      </c>
      <c r="I586" s="75">
        <f t="shared" si="28"/>
        <v>0</v>
      </c>
      <c r="J586" s="75"/>
      <c r="K586" s="5">
        <v>46127</v>
      </c>
      <c r="Q586" s="9"/>
      <c r="S586" s="3"/>
    </row>
    <row r="587" spans="1:19" ht="15" hidden="1" customHeight="1" x14ac:dyDescent="0.35">
      <c r="A587" s="26" t="s">
        <v>1545</v>
      </c>
      <c r="B587" s="27" t="s">
        <v>1619</v>
      </c>
      <c r="C587" s="28">
        <v>2080</v>
      </c>
      <c r="D587" s="29">
        <v>46093</v>
      </c>
      <c r="E587" s="76">
        <v>11476000</v>
      </c>
      <c r="F587" s="77">
        <f t="shared" si="29"/>
        <v>918080</v>
      </c>
      <c r="G587" s="31">
        <f t="shared" si="30"/>
        <v>12394080</v>
      </c>
      <c r="H587" s="74">
        <v>12394080</v>
      </c>
      <c r="I587" s="75">
        <f t="shared" si="28"/>
        <v>0</v>
      </c>
      <c r="J587" s="75"/>
      <c r="K587" s="5">
        <v>46147</v>
      </c>
      <c r="Q587" s="9"/>
      <c r="S587" s="3"/>
    </row>
    <row r="588" spans="1:19" ht="15" hidden="1" customHeight="1" x14ac:dyDescent="0.35">
      <c r="A588" s="26" t="s">
        <v>1546</v>
      </c>
      <c r="B588" s="32" t="s">
        <v>1620</v>
      </c>
      <c r="C588" s="28"/>
      <c r="D588" s="29" t="s">
        <v>1555</v>
      </c>
      <c r="E588" s="76">
        <v>2040000</v>
      </c>
      <c r="F588" s="77">
        <f t="shared" si="29"/>
        <v>163200</v>
      </c>
      <c r="G588" s="31">
        <f t="shared" si="30"/>
        <v>2203200</v>
      </c>
      <c r="H588" s="74">
        <v>2203200</v>
      </c>
      <c r="I588" s="75">
        <f t="shared" si="28"/>
        <v>0</v>
      </c>
      <c r="J588" s="75"/>
      <c r="K588" s="5">
        <v>46127</v>
      </c>
      <c r="Q588" s="9"/>
      <c r="S588" s="3"/>
    </row>
    <row r="589" spans="1:19" ht="15" hidden="1" customHeight="1" x14ac:dyDescent="0.35">
      <c r="A589" s="26" t="s">
        <v>1547</v>
      </c>
      <c r="B589" s="27" t="s">
        <v>1621</v>
      </c>
      <c r="C589" s="28"/>
      <c r="D589" s="29" t="s">
        <v>1555</v>
      </c>
      <c r="E589" s="76">
        <v>1680000</v>
      </c>
      <c r="F589" s="77">
        <f t="shared" si="29"/>
        <v>134400</v>
      </c>
      <c r="G589" s="31">
        <f t="shared" si="30"/>
        <v>1814400</v>
      </c>
      <c r="H589" s="74">
        <v>1814400</v>
      </c>
      <c r="I589" s="75">
        <f t="shared" si="28"/>
        <v>0</v>
      </c>
      <c r="J589" s="75"/>
      <c r="L589" s="5">
        <v>46127</v>
      </c>
      <c r="Q589" s="9"/>
      <c r="S589" s="3"/>
    </row>
    <row r="590" spans="1:19" ht="15" hidden="1" customHeight="1" x14ac:dyDescent="0.35">
      <c r="A590" s="26" t="s">
        <v>1548</v>
      </c>
      <c r="B590" s="27" t="s">
        <v>1622</v>
      </c>
      <c r="C590" s="28"/>
      <c r="D590" s="29">
        <v>46084</v>
      </c>
      <c r="E590" s="76">
        <v>9360000</v>
      </c>
      <c r="F590" s="77">
        <f t="shared" si="29"/>
        <v>748800</v>
      </c>
      <c r="G590" s="31">
        <f t="shared" si="30"/>
        <v>10108800</v>
      </c>
      <c r="H590" s="74">
        <v>10108800</v>
      </c>
      <c r="I590" s="75">
        <f t="shared" si="28"/>
        <v>0</v>
      </c>
      <c r="J590" s="75"/>
      <c r="K590" s="5">
        <v>46178</v>
      </c>
      <c r="Q590" s="9"/>
      <c r="S590" s="3"/>
    </row>
    <row r="591" spans="1:19" ht="15" hidden="1" customHeight="1" x14ac:dyDescent="0.35">
      <c r="A591" s="26" t="s">
        <v>1726</v>
      </c>
      <c r="B591" s="27" t="s">
        <v>1623</v>
      </c>
      <c r="C591" s="28"/>
      <c r="D591" s="29" t="s">
        <v>1717</v>
      </c>
      <c r="E591" s="76">
        <v>6960000</v>
      </c>
      <c r="F591" s="77">
        <f t="shared" si="29"/>
        <v>556800</v>
      </c>
      <c r="G591" s="31">
        <f t="shared" si="30"/>
        <v>7516800</v>
      </c>
      <c r="H591" s="74">
        <v>7516800</v>
      </c>
      <c r="I591" s="75">
        <f t="shared" si="28"/>
        <v>0</v>
      </c>
      <c r="J591" s="75"/>
      <c r="K591" s="5">
        <v>46127</v>
      </c>
      <c r="Q591" s="9"/>
      <c r="S591" s="3"/>
    </row>
    <row r="592" spans="1:19" ht="15" hidden="1" customHeight="1" x14ac:dyDescent="0.35">
      <c r="A592" s="26" t="s">
        <v>1727</v>
      </c>
      <c r="B592" s="27" t="s">
        <v>1624</v>
      </c>
      <c r="C592" s="28"/>
      <c r="D592" s="29" t="s">
        <v>1717</v>
      </c>
      <c r="E592" s="76">
        <v>3105600</v>
      </c>
      <c r="F592" s="77">
        <f t="shared" si="29"/>
        <v>248448</v>
      </c>
      <c r="G592" s="31">
        <f t="shared" si="30"/>
        <v>3354048</v>
      </c>
      <c r="H592" s="74">
        <v>3354048</v>
      </c>
      <c r="I592" s="75">
        <f t="shared" si="28"/>
        <v>0</v>
      </c>
      <c r="J592" s="75"/>
      <c r="L592" s="5">
        <v>46117</v>
      </c>
      <c r="Q592" s="9"/>
      <c r="S592" s="3"/>
    </row>
    <row r="593" spans="1:19" ht="15" hidden="1" customHeight="1" x14ac:dyDescent="0.35">
      <c r="A593" s="26" t="s">
        <v>1728</v>
      </c>
      <c r="B593" s="27" t="s">
        <v>1625</v>
      </c>
      <c r="C593" s="28"/>
      <c r="D593" s="29" t="s">
        <v>1718</v>
      </c>
      <c r="E593" s="76">
        <v>840000</v>
      </c>
      <c r="F593" s="77">
        <f t="shared" si="29"/>
        <v>67200</v>
      </c>
      <c r="G593" s="31">
        <f t="shared" si="30"/>
        <v>907200</v>
      </c>
      <c r="H593" s="74">
        <v>907200</v>
      </c>
      <c r="I593" s="75">
        <f t="shared" si="28"/>
        <v>0</v>
      </c>
      <c r="J593" s="75"/>
      <c r="L593" s="5">
        <v>46127</v>
      </c>
      <c r="Q593" s="9"/>
      <c r="S593" s="3"/>
    </row>
    <row r="594" spans="1:19" ht="15" hidden="1" customHeight="1" x14ac:dyDescent="0.35">
      <c r="A594" s="26" t="s">
        <v>1729</v>
      </c>
      <c r="B594" s="27" t="s">
        <v>1626</v>
      </c>
      <c r="C594" s="28"/>
      <c r="D594" s="29" t="s">
        <v>1718</v>
      </c>
      <c r="E594" s="76">
        <v>1132800</v>
      </c>
      <c r="F594" s="77">
        <f t="shared" si="29"/>
        <v>90624</v>
      </c>
      <c r="G594" s="31">
        <f t="shared" si="30"/>
        <v>1223424</v>
      </c>
      <c r="H594" s="74">
        <v>1223424</v>
      </c>
      <c r="I594" s="75">
        <f t="shared" si="28"/>
        <v>0</v>
      </c>
      <c r="J594" s="75"/>
      <c r="L594" s="5">
        <v>46127</v>
      </c>
      <c r="Q594" s="9"/>
      <c r="S594" s="3"/>
    </row>
    <row r="595" spans="1:19" ht="15" hidden="1" customHeight="1" x14ac:dyDescent="0.35">
      <c r="A595" s="26" t="s">
        <v>1730</v>
      </c>
      <c r="B595" s="27" t="s">
        <v>1627</v>
      </c>
      <c r="C595" s="28"/>
      <c r="D595" s="29" t="s">
        <v>1718</v>
      </c>
      <c r="E595" s="76">
        <v>840000</v>
      </c>
      <c r="F595" s="77">
        <f t="shared" si="29"/>
        <v>67200</v>
      </c>
      <c r="G595" s="31">
        <f t="shared" si="30"/>
        <v>907200</v>
      </c>
      <c r="H595" s="74">
        <v>907200</v>
      </c>
      <c r="I595" s="75">
        <f t="shared" si="28"/>
        <v>0</v>
      </c>
      <c r="J595" s="75"/>
      <c r="L595" s="5">
        <v>46127</v>
      </c>
      <c r="Q595" s="9"/>
      <c r="S595" s="3"/>
    </row>
    <row r="596" spans="1:19" ht="15" hidden="1" customHeight="1" x14ac:dyDescent="0.35">
      <c r="A596" s="26" t="s">
        <v>1731</v>
      </c>
      <c r="B596" s="27" t="s">
        <v>259</v>
      </c>
      <c r="C596" s="28"/>
      <c r="D596" s="29" t="s">
        <v>1718</v>
      </c>
      <c r="E596" s="76">
        <v>13440000</v>
      </c>
      <c r="F596" s="77">
        <f t="shared" si="29"/>
        <v>1075200</v>
      </c>
      <c r="G596" s="31">
        <f t="shared" si="30"/>
        <v>14515200</v>
      </c>
      <c r="H596" s="74">
        <v>14515200</v>
      </c>
      <c r="I596" s="75">
        <f t="shared" si="28"/>
        <v>0</v>
      </c>
      <c r="J596" s="75"/>
      <c r="K596" s="5">
        <v>46178</v>
      </c>
      <c r="Q596" s="9"/>
      <c r="S596" s="3"/>
    </row>
    <row r="597" spans="1:19" ht="15" hidden="1" customHeight="1" x14ac:dyDescent="0.35">
      <c r="A597" s="26" t="s">
        <v>1732</v>
      </c>
      <c r="B597" s="27" t="s">
        <v>260</v>
      </c>
      <c r="C597" s="28"/>
      <c r="D597" s="29" t="s">
        <v>1718</v>
      </c>
      <c r="E597" s="76">
        <v>8650000</v>
      </c>
      <c r="F597" s="77">
        <f t="shared" si="29"/>
        <v>692000</v>
      </c>
      <c r="G597" s="31">
        <f t="shared" si="30"/>
        <v>9342000</v>
      </c>
      <c r="H597" s="74">
        <v>9342000</v>
      </c>
      <c r="I597" s="75">
        <f t="shared" si="28"/>
        <v>0</v>
      </c>
      <c r="J597" s="75"/>
      <c r="K597" s="5">
        <v>46147</v>
      </c>
      <c r="Q597" s="9"/>
      <c r="S597" s="3"/>
    </row>
    <row r="598" spans="1:19" ht="15" hidden="1" customHeight="1" x14ac:dyDescent="0.35">
      <c r="A598" s="26" t="s">
        <v>1733</v>
      </c>
      <c r="B598" s="27" t="s">
        <v>1628</v>
      </c>
      <c r="C598" s="28"/>
      <c r="D598" s="29" t="s">
        <v>1718</v>
      </c>
      <c r="E598" s="76">
        <v>750000</v>
      </c>
      <c r="F598" s="77">
        <f t="shared" si="29"/>
        <v>60000</v>
      </c>
      <c r="G598" s="31">
        <f t="shared" si="30"/>
        <v>810000</v>
      </c>
      <c r="H598" s="74">
        <v>810000</v>
      </c>
      <c r="I598" s="75">
        <f t="shared" si="28"/>
        <v>0</v>
      </c>
      <c r="J598" s="75"/>
      <c r="K598" s="5">
        <v>46178</v>
      </c>
      <c r="Q598" s="9"/>
      <c r="S598" s="3"/>
    </row>
    <row r="599" spans="1:19" ht="15" hidden="1" customHeight="1" x14ac:dyDescent="0.35">
      <c r="A599" s="26" t="s">
        <v>1734</v>
      </c>
      <c r="B599" s="27" t="s">
        <v>1629</v>
      </c>
      <c r="C599" s="28"/>
      <c r="D599" s="29" t="s">
        <v>1718</v>
      </c>
      <c r="E599" s="76">
        <v>3890000</v>
      </c>
      <c r="F599" s="77">
        <f t="shared" si="29"/>
        <v>311200</v>
      </c>
      <c r="G599" s="31">
        <f t="shared" si="30"/>
        <v>4201200</v>
      </c>
      <c r="H599" s="74">
        <v>4201200</v>
      </c>
      <c r="I599" s="75">
        <f t="shared" si="28"/>
        <v>0</v>
      </c>
      <c r="J599" s="75"/>
      <c r="K599" s="5">
        <v>46147</v>
      </c>
      <c r="Q599" s="9"/>
      <c r="S599" s="3"/>
    </row>
    <row r="600" spans="1:19" ht="15" hidden="1" customHeight="1" x14ac:dyDescent="0.35">
      <c r="A600" s="26" t="s">
        <v>1735</v>
      </c>
      <c r="B600" s="27" t="s">
        <v>261</v>
      </c>
      <c r="C600" s="28"/>
      <c r="D600" s="29" t="s">
        <v>1718</v>
      </c>
      <c r="E600" s="76">
        <v>3830000</v>
      </c>
      <c r="F600" s="77">
        <f t="shared" si="29"/>
        <v>306400</v>
      </c>
      <c r="G600" s="31">
        <f t="shared" si="30"/>
        <v>4136400</v>
      </c>
      <c r="H600" s="74">
        <v>4136400</v>
      </c>
      <c r="I600" s="75">
        <f t="shared" si="28"/>
        <v>0</v>
      </c>
      <c r="J600" s="75"/>
      <c r="K600" s="5">
        <v>46147</v>
      </c>
      <c r="Q600" s="9"/>
      <c r="S600" s="3"/>
    </row>
    <row r="601" spans="1:19" ht="15" hidden="1" customHeight="1" x14ac:dyDescent="0.35">
      <c r="A601" s="26" t="s">
        <v>1736</v>
      </c>
      <c r="B601" s="27" t="s">
        <v>1630</v>
      </c>
      <c r="C601" s="28"/>
      <c r="D601" s="29" t="s">
        <v>1718</v>
      </c>
      <c r="E601" s="76">
        <v>3490000</v>
      </c>
      <c r="F601" s="77">
        <f t="shared" si="29"/>
        <v>279200</v>
      </c>
      <c r="G601" s="31">
        <f t="shared" si="30"/>
        <v>3769200</v>
      </c>
      <c r="H601" s="74">
        <v>3769200</v>
      </c>
      <c r="I601" s="75">
        <f t="shared" si="28"/>
        <v>0</v>
      </c>
      <c r="J601" s="75"/>
      <c r="K601" s="5">
        <v>46178</v>
      </c>
      <c r="Q601" s="9"/>
      <c r="S601" s="3"/>
    </row>
    <row r="602" spans="1:19" ht="15" hidden="1" customHeight="1" x14ac:dyDescent="0.35">
      <c r="A602" s="26" t="s">
        <v>1737</v>
      </c>
      <c r="B602" s="27" t="s">
        <v>1631</v>
      </c>
      <c r="C602" s="28"/>
      <c r="D602" s="29" t="s">
        <v>1719</v>
      </c>
      <c r="E602" s="76">
        <v>1972800</v>
      </c>
      <c r="F602" s="77">
        <f t="shared" si="29"/>
        <v>157824</v>
      </c>
      <c r="G602" s="31">
        <f t="shared" si="30"/>
        <v>2130624</v>
      </c>
      <c r="H602" s="74">
        <v>2130624</v>
      </c>
      <c r="I602" s="75">
        <f t="shared" si="28"/>
        <v>0</v>
      </c>
      <c r="J602" s="75"/>
      <c r="L602" s="5">
        <v>46127</v>
      </c>
      <c r="Q602" s="9"/>
      <c r="S602" s="3"/>
    </row>
    <row r="603" spans="1:19" ht="15" hidden="1" customHeight="1" x14ac:dyDescent="0.35">
      <c r="A603" s="26" t="s">
        <v>1738</v>
      </c>
      <c r="B603" s="27" t="s">
        <v>1632</v>
      </c>
      <c r="C603" s="28"/>
      <c r="D603" s="29" t="s">
        <v>1719</v>
      </c>
      <c r="E603" s="76">
        <v>3585000</v>
      </c>
      <c r="F603" s="77">
        <f t="shared" si="29"/>
        <v>286800</v>
      </c>
      <c r="G603" s="31">
        <f t="shared" si="30"/>
        <v>3871800</v>
      </c>
      <c r="H603" s="74">
        <v>3871800</v>
      </c>
      <c r="I603" s="75">
        <f t="shared" si="28"/>
        <v>0</v>
      </c>
      <c r="J603" s="75"/>
      <c r="K603" s="5">
        <v>46178</v>
      </c>
      <c r="Q603" s="9"/>
      <c r="S603" s="3"/>
    </row>
    <row r="604" spans="1:19" ht="15" hidden="1" customHeight="1" x14ac:dyDescent="0.35">
      <c r="A604" s="26" t="s">
        <v>1739</v>
      </c>
      <c r="B604" s="27" t="s">
        <v>1633</v>
      </c>
      <c r="C604" s="28"/>
      <c r="D604" s="29" t="s">
        <v>1719</v>
      </c>
      <c r="E604" s="76">
        <v>1680000</v>
      </c>
      <c r="F604" s="77">
        <f t="shared" si="29"/>
        <v>134400</v>
      </c>
      <c r="G604" s="31">
        <f t="shared" si="30"/>
        <v>1814400</v>
      </c>
      <c r="H604" s="74">
        <v>1814400</v>
      </c>
      <c r="I604" s="75">
        <f t="shared" si="28"/>
        <v>0</v>
      </c>
      <c r="J604" s="75"/>
      <c r="L604" s="5">
        <v>46127</v>
      </c>
      <c r="Q604" s="9"/>
      <c r="S604" s="3"/>
    </row>
    <row r="605" spans="1:19" ht="15" hidden="1" customHeight="1" x14ac:dyDescent="0.35">
      <c r="A605" s="26" t="s">
        <v>1740</v>
      </c>
      <c r="B605" s="27" t="s">
        <v>1634</v>
      </c>
      <c r="C605" s="28"/>
      <c r="D605" s="29" t="s">
        <v>1719</v>
      </c>
      <c r="E605" s="76">
        <v>1132800</v>
      </c>
      <c r="F605" s="77">
        <f t="shared" si="29"/>
        <v>90624</v>
      </c>
      <c r="G605" s="31">
        <f t="shared" si="30"/>
        <v>1223424</v>
      </c>
      <c r="H605" s="74">
        <v>1223424</v>
      </c>
      <c r="I605" s="75">
        <f t="shared" si="28"/>
        <v>0</v>
      </c>
      <c r="J605" s="75"/>
      <c r="L605" s="5">
        <v>46127</v>
      </c>
      <c r="Q605" s="9"/>
      <c r="S605" s="3"/>
    </row>
    <row r="606" spans="1:19" ht="15" hidden="1" customHeight="1" x14ac:dyDescent="0.35">
      <c r="A606" s="26" t="s">
        <v>1741</v>
      </c>
      <c r="B606" s="27" t="s">
        <v>1635</v>
      </c>
      <c r="C606" s="28"/>
      <c r="D606" s="29" t="s">
        <v>1719</v>
      </c>
      <c r="E606" s="76">
        <v>840000</v>
      </c>
      <c r="F606" s="77">
        <f t="shared" si="29"/>
        <v>67200</v>
      </c>
      <c r="G606" s="31">
        <f t="shared" si="30"/>
        <v>907200</v>
      </c>
      <c r="H606" s="74">
        <v>907200</v>
      </c>
      <c r="I606" s="75">
        <f t="shared" si="28"/>
        <v>0</v>
      </c>
      <c r="J606" s="75"/>
      <c r="L606" s="5">
        <v>46127</v>
      </c>
      <c r="Q606" s="9"/>
      <c r="S606" s="3"/>
    </row>
    <row r="607" spans="1:19" ht="15" hidden="1" customHeight="1" x14ac:dyDescent="0.35">
      <c r="A607" s="26" t="s">
        <v>1742</v>
      </c>
      <c r="B607" s="27" t="s">
        <v>1636</v>
      </c>
      <c r="C607" s="28"/>
      <c r="D607" s="29" t="s">
        <v>1719</v>
      </c>
      <c r="E607" s="76">
        <v>2265600</v>
      </c>
      <c r="F607" s="77">
        <f t="shared" si="29"/>
        <v>181248</v>
      </c>
      <c r="G607" s="31">
        <f t="shared" si="30"/>
        <v>2446848</v>
      </c>
      <c r="H607" s="74">
        <v>2446848</v>
      </c>
      <c r="I607" s="75">
        <f t="shared" si="28"/>
        <v>0</v>
      </c>
      <c r="J607" s="75"/>
      <c r="L607" s="5">
        <v>46127</v>
      </c>
      <c r="Q607" s="9"/>
      <c r="S607" s="3"/>
    </row>
    <row r="608" spans="1:19" ht="15" hidden="1" customHeight="1" x14ac:dyDescent="0.35">
      <c r="A608" s="26" t="s">
        <v>1743</v>
      </c>
      <c r="B608" s="27" t="s">
        <v>1637</v>
      </c>
      <c r="C608" s="28"/>
      <c r="D608" s="29" t="s">
        <v>1719</v>
      </c>
      <c r="E608" s="76">
        <v>840000</v>
      </c>
      <c r="F608" s="77">
        <f t="shared" si="29"/>
        <v>67200</v>
      </c>
      <c r="G608" s="31">
        <f t="shared" si="30"/>
        <v>907200</v>
      </c>
      <c r="H608" s="74">
        <v>907200</v>
      </c>
      <c r="I608" s="75">
        <f t="shared" si="28"/>
        <v>0</v>
      </c>
      <c r="J608" s="75"/>
      <c r="L608" s="5">
        <v>46127</v>
      </c>
      <c r="Q608" s="9"/>
      <c r="S608" s="3"/>
    </row>
    <row r="609" spans="1:19" ht="15" hidden="1" customHeight="1" x14ac:dyDescent="0.35">
      <c r="A609" s="26" t="s">
        <v>1744</v>
      </c>
      <c r="B609" s="27" t="s">
        <v>1638</v>
      </c>
      <c r="C609" s="28"/>
      <c r="D609" s="29" t="s">
        <v>1719</v>
      </c>
      <c r="E609" s="76">
        <v>2812800</v>
      </c>
      <c r="F609" s="77">
        <f t="shared" si="29"/>
        <v>225024</v>
      </c>
      <c r="G609" s="31">
        <f t="shared" si="30"/>
        <v>3037824</v>
      </c>
      <c r="H609" s="74">
        <v>3037824</v>
      </c>
      <c r="I609" s="75">
        <f t="shared" si="28"/>
        <v>0</v>
      </c>
      <c r="J609" s="75"/>
      <c r="L609" s="5">
        <v>46127</v>
      </c>
      <c r="Q609" s="9"/>
      <c r="S609" s="3"/>
    </row>
    <row r="610" spans="1:19" ht="15" hidden="1" customHeight="1" x14ac:dyDescent="0.35">
      <c r="A610" s="26" t="s">
        <v>1745</v>
      </c>
      <c r="B610" s="27" t="s">
        <v>1639</v>
      </c>
      <c r="C610" s="28"/>
      <c r="D610" s="29" t="s">
        <v>1719</v>
      </c>
      <c r="E610" s="76">
        <v>840000</v>
      </c>
      <c r="F610" s="77">
        <f t="shared" si="29"/>
        <v>67200</v>
      </c>
      <c r="G610" s="31">
        <f t="shared" si="30"/>
        <v>907200</v>
      </c>
      <c r="H610" s="74">
        <v>907200</v>
      </c>
      <c r="I610" s="75">
        <f t="shared" si="28"/>
        <v>0</v>
      </c>
      <c r="J610" s="75"/>
      <c r="L610" s="5">
        <v>46127</v>
      </c>
      <c r="Q610" s="9"/>
      <c r="S610" s="3"/>
    </row>
    <row r="611" spans="1:19" ht="15" hidden="1" customHeight="1" x14ac:dyDescent="0.35">
      <c r="A611" s="26" t="s">
        <v>1746</v>
      </c>
      <c r="B611" s="27" t="s">
        <v>1640</v>
      </c>
      <c r="C611" s="28"/>
      <c r="D611" s="29" t="s">
        <v>1719</v>
      </c>
      <c r="E611" s="76">
        <v>840000</v>
      </c>
      <c r="F611" s="77">
        <f t="shared" si="29"/>
        <v>67200</v>
      </c>
      <c r="G611" s="31">
        <f t="shared" si="30"/>
        <v>907200</v>
      </c>
      <c r="H611" s="74">
        <v>907200</v>
      </c>
      <c r="I611" s="75">
        <f t="shared" si="28"/>
        <v>0</v>
      </c>
      <c r="J611" s="75"/>
      <c r="L611" s="5">
        <v>46127</v>
      </c>
      <c r="Q611" s="9"/>
      <c r="S611" s="3"/>
    </row>
    <row r="612" spans="1:19" ht="15" hidden="1" customHeight="1" x14ac:dyDescent="0.35">
      <c r="A612" s="26" t="s">
        <v>1747</v>
      </c>
      <c r="B612" s="27" t="s">
        <v>1641</v>
      </c>
      <c r="C612" s="28"/>
      <c r="D612" s="29" t="s">
        <v>1719</v>
      </c>
      <c r="E612" s="76">
        <v>1972800</v>
      </c>
      <c r="F612" s="77">
        <f t="shared" si="29"/>
        <v>157824</v>
      </c>
      <c r="G612" s="31">
        <f t="shared" si="30"/>
        <v>2130624</v>
      </c>
      <c r="H612" s="74">
        <v>2130624</v>
      </c>
      <c r="I612" s="75">
        <f t="shared" si="28"/>
        <v>0</v>
      </c>
      <c r="J612" s="75"/>
      <c r="L612" s="5">
        <v>46127</v>
      </c>
      <c r="Q612" s="9"/>
      <c r="S612" s="3"/>
    </row>
    <row r="613" spans="1:19" ht="15" hidden="1" customHeight="1" x14ac:dyDescent="0.35">
      <c r="A613" s="26" t="s">
        <v>1748</v>
      </c>
      <c r="B613" s="27" t="s">
        <v>1642</v>
      </c>
      <c r="C613" s="28"/>
      <c r="D613" s="29" t="s">
        <v>1719</v>
      </c>
      <c r="E613" s="76">
        <v>840000</v>
      </c>
      <c r="F613" s="77">
        <f t="shared" si="29"/>
        <v>67200</v>
      </c>
      <c r="G613" s="31">
        <f t="shared" si="30"/>
        <v>907200</v>
      </c>
      <c r="H613" s="74">
        <v>907200</v>
      </c>
      <c r="I613" s="75">
        <f t="shared" si="28"/>
        <v>0</v>
      </c>
      <c r="J613" s="75"/>
      <c r="L613" s="5">
        <v>46127</v>
      </c>
      <c r="Q613" s="9"/>
      <c r="S613" s="3"/>
    </row>
    <row r="614" spans="1:19" ht="15" hidden="1" customHeight="1" x14ac:dyDescent="0.35">
      <c r="A614" s="26" t="s">
        <v>1749</v>
      </c>
      <c r="B614" s="32" t="s">
        <v>1643</v>
      </c>
      <c r="C614" s="28"/>
      <c r="D614" s="29" t="s">
        <v>1719</v>
      </c>
      <c r="E614" s="76">
        <v>840000</v>
      </c>
      <c r="F614" s="77">
        <f t="shared" si="29"/>
        <v>67200</v>
      </c>
      <c r="G614" s="31">
        <f t="shared" si="30"/>
        <v>907200</v>
      </c>
      <c r="H614" s="74">
        <v>907200</v>
      </c>
      <c r="I614" s="75">
        <f t="shared" si="28"/>
        <v>0</v>
      </c>
      <c r="J614" s="75"/>
      <c r="L614" s="5">
        <v>46127</v>
      </c>
      <c r="Q614" s="9"/>
      <c r="S614" s="3"/>
    </row>
    <row r="615" spans="1:19" ht="15" hidden="1" customHeight="1" x14ac:dyDescent="0.35">
      <c r="A615" s="26" t="s">
        <v>1750</v>
      </c>
      <c r="B615" s="27" t="s">
        <v>1644</v>
      </c>
      <c r="C615" s="28"/>
      <c r="D615" s="29" t="s">
        <v>1719</v>
      </c>
      <c r="E615" s="76">
        <v>6758400</v>
      </c>
      <c r="F615" s="77">
        <f t="shared" si="29"/>
        <v>540672</v>
      </c>
      <c r="G615" s="31">
        <f t="shared" si="30"/>
        <v>7299072</v>
      </c>
      <c r="H615" s="74">
        <v>7299072</v>
      </c>
      <c r="I615" s="75">
        <f t="shared" si="28"/>
        <v>0</v>
      </c>
      <c r="J615" s="75"/>
      <c r="L615" s="5">
        <v>46127</v>
      </c>
      <c r="Q615" s="9"/>
      <c r="S615" s="3"/>
    </row>
    <row r="616" spans="1:19" ht="15" hidden="1" customHeight="1" x14ac:dyDescent="0.35">
      <c r="A616" s="26" t="s">
        <v>1751</v>
      </c>
      <c r="B616" s="27" t="s">
        <v>1645</v>
      </c>
      <c r="C616" s="28"/>
      <c r="D616" s="29" t="s">
        <v>1719</v>
      </c>
      <c r="E616" s="76">
        <v>1680000</v>
      </c>
      <c r="F616" s="77">
        <f t="shared" si="29"/>
        <v>134400</v>
      </c>
      <c r="G616" s="31">
        <f t="shared" si="30"/>
        <v>1814400</v>
      </c>
      <c r="H616" s="74">
        <v>1814400</v>
      </c>
      <c r="I616" s="75">
        <f t="shared" si="28"/>
        <v>0</v>
      </c>
      <c r="J616" s="75"/>
      <c r="L616" s="5">
        <v>46127</v>
      </c>
      <c r="Q616" s="9"/>
      <c r="S616" s="3"/>
    </row>
    <row r="617" spans="1:19" ht="15" hidden="1" customHeight="1" x14ac:dyDescent="0.35">
      <c r="A617" s="26" t="s">
        <v>1752</v>
      </c>
      <c r="B617" s="27" t="s">
        <v>1646</v>
      </c>
      <c r="C617" s="28"/>
      <c r="D617" s="29" t="s">
        <v>1719</v>
      </c>
      <c r="E617" s="76">
        <v>840000</v>
      </c>
      <c r="F617" s="77">
        <f t="shared" si="29"/>
        <v>67200</v>
      </c>
      <c r="G617" s="31">
        <f t="shared" si="30"/>
        <v>907200</v>
      </c>
      <c r="H617" s="74">
        <v>907200</v>
      </c>
      <c r="I617" s="75">
        <f t="shared" si="28"/>
        <v>0</v>
      </c>
      <c r="J617" s="75"/>
      <c r="L617" s="5">
        <v>46127</v>
      </c>
      <c r="Q617" s="9"/>
      <c r="S617" s="3"/>
    </row>
    <row r="618" spans="1:19" ht="15" hidden="1" customHeight="1" x14ac:dyDescent="0.35">
      <c r="A618" s="26" t="s">
        <v>1753</v>
      </c>
      <c r="B618" s="27" t="s">
        <v>1647</v>
      </c>
      <c r="C618" s="28"/>
      <c r="D618" s="29" t="s">
        <v>1719</v>
      </c>
      <c r="E618" s="76">
        <v>1132800</v>
      </c>
      <c r="F618" s="77">
        <f t="shared" si="29"/>
        <v>90624</v>
      </c>
      <c r="G618" s="31">
        <f t="shared" si="30"/>
        <v>1223424</v>
      </c>
      <c r="H618" s="74">
        <v>1223424</v>
      </c>
      <c r="I618" s="75">
        <f t="shared" si="28"/>
        <v>0</v>
      </c>
      <c r="J618" s="75"/>
      <c r="L618" s="5">
        <v>46127</v>
      </c>
      <c r="Q618" s="9"/>
      <c r="S618" s="3"/>
    </row>
    <row r="619" spans="1:19" ht="15" hidden="1" customHeight="1" x14ac:dyDescent="0.35">
      <c r="A619" s="26" t="s">
        <v>1754</v>
      </c>
      <c r="B619" s="27" t="s">
        <v>262</v>
      </c>
      <c r="C619" s="28"/>
      <c r="D619" s="29" t="s">
        <v>1719</v>
      </c>
      <c r="E619" s="76">
        <v>1972800</v>
      </c>
      <c r="F619" s="77">
        <f t="shared" si="29"/>
        <v>157824</v>
      </c>
      <c r="G619" s="31">
        <f t="shared" si="30"/>
        <v>2130624</v>
      </c>
      <c r="H619" s="74">
        <v>2130624</v>
      </c>
      <c r="I619" s="75">
        <f t="shared" si="28"/>
        <v>0</v>
      </c>
      <c r="J619" s="75"/>
      <c r="L619" s="5">
        <v>46127</v>
      </c>
      <c r="Q619" s="9"/>
      <c r="S619" s="3"/>
    </row>
    <row r="620" spans="1:19" ht="15" hidden="1" customHeight="1" x14ac:dyDescent="0.35">
      <c r="A620" s="26" t="s">
        <v>1755</v>
      </c>
      <c r="B620" s="27" t="s">
        <v>263</v>
      </c>
      <c r="C620" s="28"/>
      <c r="D620" s="29" t="s">
        <v>1719</v>
      </c>
      <c r="E620" s="76">
        <v>840000</v>
      </c>
      <c r="F620" s="77">
        <f t="shared" si="29"/>
        <v>67200</v>
      </c>
      <c r="G620" s="31">
        <f t="shared" si="30"/>
        <v>907200</v>
      </c>
      <c r="H620" s="74">
        <v>907200</v>
      </c>
      <c r="I620" s="75">
        <f t="shared" si="28"/>
        <v>0</v>
      </c>
      <c r="J620" s="75"/>
      <c r="L620" s="5">
        <v>46127</v>
      </c>
      <c r="Q620" s="9"/>
      <c r="S620" s="3"/>
    </row>
    <row r="621" spans="1:19" ht="15" hidden="1" customHeight="1" x14ac:dyDescent="0.35">
      <c r="A621" s="26" t="s">
        <v>1756</v>
      </c>
      <c r="B621" s="27" t="s">
        <v>264</v>
      </c>
      <c r="C621" s="28"/>
      <c r="D621" s="29" t="s">
        <v>1719</v>
      </c>
      <c r="E621" s="76">
        <v>2000000</v>
      </c>
      <c r="F621" s="77">
        <f t="shared" si="29"/>
        <v>160000</v>
      </c>
      <c r="G621" s="31">
        <f t="shared" si="30"/>
        <v>2160000</v>
      </c>
      <c r="H621" s="74">
        <v>2160000</v>
      </c>
      <c r="I621" s="75">
        <f t="shared" si="28"/>
        <v>0</v>
      </c>
      <c r="J621" s="75"/>
      <c r="K621" s="5">
        <v>46147</v>
      </c>
      <c r="Q621" s="9"/>
      <c r="S621" s="3"/>
    </row>
    <row r="622" spans="1:19" ht="15" hidden="1" customHeight="1" x14ac:dyDescent="0.35">
      <c r="A622" s="26" t="s">
        <v>1757</v>
      </c>
      <c r="B622" s="27" t="s">
        <v>265</v>
      </c>
      <c r="C622" s="28"/>
      <c r="D622" s="29" t="s">
        <v>1719</v>
      </c>
      <c r="E622" s="76">
        <v>1005000</v>
      </c>
      <c r="F622" s="77">
        <f t="shared" si="29"/>
        <v>80400</v>
      </c>
      <c r="G622" s="31">
        <f t="shared" si="30"/>
        <v>1085400</v>
      </c>
      <c r="H622" s="74">
        <v>1085400</v>
      </c>
      <c r="I622" s="75">
        <f t="shared" si="28"/>
        <v>0</v>
      </c>
      <c r="J622" s="75"/>
      <c r="K622" s="5">
        <v>46178</v>
      </c>
      <c r="Q622" s="9"/>
      <c r="S622" s="3"/>
    </row>
    <row r="623" spans="1:19" ht="15" hidden="1" customHeight="1" x14ac:dyDescent="0.35">
      <c r="A623" s="26" t="s">
        <v>1758</v>
      </c>
      <c r="B623" s="27" t="s">
        <v>266</v>
      </c>
      <c r="C623" s="28"/>
      <c r="D623" s="29" t="s">
        <v>1720</v>
      </c>
      <c r="E623" s="76">
        <v>2040000</v>
      </c>
      <c r="F623" s="77">
        <f t="shared" si="29"/>
        <v>163200</v>
      </c>
      <c r="G623" s="31">
        <f t="shared" si="30"/>
        <v>2203200</v>
      </c>
      <c r="H623" s="74">
        <v>2203200</v>
      </c>
      <c r="I623" s="75">
        <f t="shared" si="28"/>
        <v>0</v>
      </c>
      <c r="J623" s="75"/>
      <c r="K623" s="5">
        <v>46147</v>
      </c>
      <c r="Q623" s="9"/>
      <c r="S623" s="3"/>
    </row>
    <row r="624" spans="1:19" ht="15" hidden="1" customHeight="1" x14ac:dyDescent="0.35">
      <c r="A624" s="26" t="s">
        <v>1759</v>
      </c>
      <c r="B624" s="27" t="s">
        <v>267</v>
      </c>
      <c r="C624" s="28"/>
      <c r="D624" s="29" t="s">
        <v>1720</v>
      </c>
      <c r="E624" s="76">
        <v>1965000</v>
      </c>
      <c r="F624" s="77">
        <f t="shared" si="29"/>
        <v>157200</v>
      </c>
      <c r="G624" s="31">
        <f t="shared" si="30"/>
        <v>2122200</v>
      </c>
      <c r="H624" s="74">
        <v>2122200</v>
      </c>
      <c r="I624" s="75">
        <f t="shared" si="28"/>
        <v>0</v>
      </c>
      <c r="J624" s="75"/>
      <c r="K624" s="5">
        <v>46178</v>
      </c>
      <c r="Q624" s="9"/>
      <c r="S624" s="3"/>
    </row>
    <row r="625" spans="1:19" ht="15" hidden="1" customHeight="1" x14ac:dyDescent="0.35">
      <c r="A625" s="26" t="s">
        <v>1760</v>
      </c>
      <c r="B625" s="27" t="s">
        <v>268</v>
      </c>
      <c r="C625" s="28"/>
      <c r="D625" s="29" t="s">
        <v>1720</v>
      </c>
      <c r="E625" s="76">
        <v>2040000</v>
      </c>
      <c r="F625" s="77">
        <f t="shared" si="29"/>
        <v>163200</v>
      </c>
      <c r="G625" s="31">
        <f t="shared" si="30"/>
        <v>2203200</v>
      </c>
      <c r="H625" s="74">
        <v>2203200</v>
      </c>
      <c r="I625" s="75">
        <f t="shared" si="28"/>
        <v>0</v>
      </c>
      <c r="J625" s="75"/>
      <c r="K625" s="5">
        <v>46147</v>
      </c>
      <c r="Q625" s="9"/>
      <c r="S625" s="3"/>
    </row>
    <row r="626" spans="1:19" ht="15" hidden="1" customHeight="1" x14ac:dyDescent="0.35">
      <c r="A626" s="26" t="s">
        <v>1761</v>
      </c>
      <c r="B626" s="27" t="s">
        <v>269</v>
      </c>
      <c r="C626" s="28"/>
      <c r="D626" s="29" t="s">
        <v>1720</v>
      </c>
      <c r="E626" s="76">
        <v>2040000</v>
      </c>
      <c r="F626" s="77">
        <f t="shared" si="29"/>
        <v>163200</v>
      </c>
      <c r="G626" s="31">
        <f t="shared" si="30"/>
        <v>2203200</v>
      </c>
      <c r="H626" s="74">
        <v>2203200</v>
      </c>
      <c r="I626" s="75">
        <f t="shared" si="28"/>
        <v>0</v>
      </c>
      <c r="J626" s="75"/>
      <c r="K626" s="5">
        <v>46178</v>
      </c>
      <c r="Q626" s="9"/>
      <c r="S626" s="3"/>
    </row>
    <row r="627" spans="1:19" ht="15" hidden="1" customHeight="1" x14ac:dyDescent="0.35">
      <c r="A627" s="26" t="s">
        <v>1762</v>
      </c>
      <c r="B627" s="27" t="s">
        <v>270</v>
      </c>
      <c r="C627" s="28"/>
      <c r="D627" s="29" t="s">
        <v>1720</v>
      </c>
      <c r="E627" s="76">
        <v>3310000</v>
      </c>
      <c r="F627" s="77">
        <f t="shared" si="29"/>
        <v>264800</v>
      </c>
      <c r="G627" s="31">
        <f t="shared" si="30"/>
        <v>3574800</v>
      </c>
      <c r="H627" s="74">
        <v>3574800</v>
      </c>
      <c r="I627" s="75">
        <f t="shared" si="28"/>
        <v>0</v>
      </c>
      <c r="J627" s="75"/>
      <c r="K627" s="5">
        <v>46178</v>
      </c>
      <c r="Q627" s="9"/>
      <c r="S627" s="3"/>
    </row>
    <row r="628" spans="1:19" ht="15" hidden="1" customHeight="1" x14ac:dyDescent="0.35">
      <c r="A628" s="26" t="s">
        <v>1763</v>
      </c>
      <c r="B628" s="27" t="s">
        <v>271</v>
      </c>
      <c r="C628" s="28"/>
      <c r="D628" s="29" t="s">
        <v>1720</v>
      </c>
      <c r="E628" s="76">
        <v>5810000</v>
      </c>
      <c r="F628" s="77">
        <f t="shared" si="29"/>
        <v>464800</v>
      </c>
      <c r="G628" s="31">
        <f t="shared" si="30"/>
        <v>6274800</v>
      </c>
      <c r="H628" s="74">
        <v>6274800</v>
      </c>
      <c r="I628" s="75">
        <f t="shared" si="28"/>
        <v>0</v>
      </c>
      <c r="J628" s="75"/>
      <c r="K628" s="5">
        <v>46178</v>
      </c>
      <c r="Q628" s="9"/>
      <c r="S628" s="3"/>
    </row>
    <row r="629" spans="1:19" ht="15" hidden="1" customHeight="1" x14ac:dyDescent="0.35">
      <c r="A629" s="26" t="s">
        <v>1764</v>
      </c>
      <c r="B629" s="27" t="s">
        <v>272</v>
      </c>
      <c r="C629" s="28">
        <v>2056</v>
      </c>
      <c r="D629" s="29">
        <v>46092</v>
      </c>
      <c r="E629" s="76">
        <v>4549000</v>
      </c>
      <c r="F629" s="77">
        <f t="shared" si="29"/>
        <v>363920</v>
      </c>
      <c r="G629" s="31">
        <f t="shared" si="30"/>
        <v>4912920</v>
      </c>
      <c r="H629" s="74">
        <v>4912920</v>
      </c>
      <c r="I629" s="75">
        <f t="shared" si="28"/>
        <v>0</v>
      </c>
      <c r="J629" s="75"/>
      <c r="K629" s="5">
        <v>46147</v>
      </c>
      <c r="Q629" s="9"/>
      <c r="S629" s="3"/>
    </row>
    <row r="630" spans="1:19" ht="15" hidden="1" customHeight="1" x14ac:dyDescent="0.35">
      <c r="A630" s="26" t="s">
        <v>1765</v>
      </c>
      <c r="B630" s="27" t="s">
        <v>273</v>
      </c>
      <c r="C630" s="28"/>
      <c r="D630" s="29" t="s">
        <v>1720</v>
      </c>
      <c r="E630" s="76">
        <v>6585000</v>
      </c>
      <c r="F630" s="77">
        <f t="shared" si="29"/>
        <v>526800</v>
      </c>
      <c r="G630" s="31">
        <f t="shared" si="30"/>
        <v>7111800</v>
      </c>
      <c r="H630" s="74">
        <v>7111800</v>
      </c>
      <c r="I630" s="75">
        <f t="shared" si="28"/>
        <v>0</v>
      </c>
      <c r="J630" s="75"/>
      <c r="K630" s="5">
        <v>46178</v>
      </c>
      <c r="Q630" s="9"/>
      <c r="S630" s="3"/>
    </row>
    <row r="631" spans="1:19" ht="15" hidden="1" customHeight="1" x14ac:dyDescent="0.35">
      <c r="A631" s="26" t="s">
        <v>1766</v>
      </c>
      <c r="B631" s="27" t="s">
        <v>274</v>
      </c>
      <c r="C631" s="28"/>
      <c r="D631" s="29" t="s">
        <v>1720</v>
      </c>
      <c r="E631" s="76">
        <v>1005000</v>
      </c>
      <c r="F631" s="77">
        <f t="shared" si="29"/>
        <v>80400</v>
      </c>
      <c r="G631" s="31">
        <f t="shared" si="30"/>
        <v>1085400</v>
      </c>
      <c r="H631" s="74">
        <v>1085400</v>
      </c>
      <c r="I631" s="75">
        <f t="shared" ref="I631:I693" si="31">G631-H631</f>
        <v>0</v>
      </c>
      <c r="J631" s="75"/>
      <c r="K631" s="5">
        <v>46147</v>
      </c>
      <c r="Q631" s="9"/>
      <c r="S631" s="3"/>
    </row>
    <row r="632" spans="1:19" ht="15" hidden="1" customHeight="1" x14ac:dyDescent="0.35">
      <c r="A632" s="26" t="s">
        <v>1767</v>
      </c>
      <c r="B632" s="27" t="s">
        <v>275</v>
      </c>
      <c r="C632" s="28"/>
      <c r="D632" s="29" t="s">
        <v>1720</v>
      </c>
      <c r="E632" s="76">
        <v>750000</v>
      </c>
      <c r="F632" s="77">
        <f t="shared" ref="F632:F693" si="32">+E632*0.08</f>
        <v>60000</v>
      </c>
      <c r="G632" s="31">
        <f t="shared" si="30"/>
        <v>810000</v>
      </c>
      <c r="H632" s="74">
        <v>810000</v>
      </c>
      <c r="I632" s="75">
        <f t="shared" si="31"/>
        <v>0</v>
      </c>
      <c r="J632" s="75"/>
      <c r="K632" s="5">
        <v>46178</v>
      </c>
      <c r="Q632" s="9"/>
      <c r="S632" s="3"/>
    </row>
    <row r="633" spans="1:19" ht="15" hidden="1" customHeight="1" x14ac:dyDescent="0.35">
      <c r="A633" s="26" t="s">
        <v>1768</v>
      </c>
      <c r="B633" s="27" t="s">
        <v>276</v>
      </c>
      <c r="C633" s="28"/>
      <c r="D633" s="29" t="s">
        <v>1720</v>
      </c>
      <c r="E633" s="76">
        <v>750000</v>
      </c>
      <c r="F633" s="77">
        <f t="shared" si="32"/>
        <v>60000</v>
      </c>
      <c r="G633" s="31">
        <f t="shared" si="30"/>
        <v>810000</v>
      </c>
      <c r="H633" s="74">
        <v>810000</v>
      </c>
      <c r="I633" s="75">
        <f t="shared" si="31"/>
        <v>0</v>
      </c>
      <c r="J633" s="75"/>
      <c r="K633" s="5">
        <v>46178</v>
      </c>
      <c r="Q633" s="9"/>
      <c r="S633" s="3"/>
    </row>
    <row r="634" spans="1:19" ht="15" hidden="1" customHeight="1" x14ac:dyDescent="0.35">
      <c r="A634" s="26" t="s">
        <v>1769</v>
      </c>
      <c r="B634" s="27" t="s">
        <v>277</v>
      </c>
      <c r="C634" s="28"/>
      <c r="D634" s="29" t="s">
        <v>1720</v>
      </c>
      <c r="E634" s="76">
        <v>3045000</v>
      </c>
      <c r="F634" s="77">
        <f t="shared" si="32"/>
        <v>243600</v>
      </c>
      <c r="G634" s="31">
        <f t="shared" si="30"/>
        <v>3288600</v>
      </c>
      <c r="H634" s="74">
        <v>3288600</v>
      </c>
      <c r="I634" s="75">
        <f t="shared" si="31"/>
        <v>0</v>
      </c>
      <c r="J634" s="75"/>
      <c r="K634" s="5">
        <v>46178</v>
      </c>
      <c r="Q634" s="9"/>
      <c r="S634" s="3"/>
    </row>
    <row r="635" spans="1:19" ht="15" hidden="1" customHeight="1" x14ac:dyDescent="0.35">
      <c r="A635" s="26" t="s">
        <v>1770</v>
      </c>
      <c r="B635" s="27" t="s">
        <v>278</v>
      </c>
      <c r="C635" s="28">
        <v>2051</v>
      </c>
      <c r="D635" s="29">
        <v>46092</v>
      </c>
      <c r="E635" s="76">
        <v>4614000</v>
      </c>
      <c r="F635" s="77">
        <f t="shared" si="32"/>
        <v>369120</v>
      </c>
      <c r="G635" s="31">
        <f t="shared" si="30"/>
        <v>4983120</v>
      </c>
      <c r="H635" s="74">
        <v>4983120</v>
      </c>
      <c r="I635" s="75">
        <f t="shared" si="31"/>
        <v>0</v>
      </c>
      <c r="J635" s="75"/>
      <c r="K635" s="5">
        <v>46147</v>
      </c>
      <c r="Q635" s="9"/>
      <c r="S635" s="3"/>
    </row>
    <row r="636" spans="1:19" ht="15" hidden="1" customHeight="1" x14ac:dyDescent="0.35">
      <c r="A636" s="26" t="s">
        <v>1771</v>
      </c>
      <c r="B636" s="27" t="s">
        <v>279</v>
      </c>
      <c r="C636" s="28"/>
      <c r="D636" s="29" t="s">
        <v>1720</v>
      </c>
      <c r="E636" s="76">
        <v>810000</v>
      </c>
      <c r="F636" s="77">
        <f t="shared" si="32"/>
        <v>64800</v>
      </c>
      <c r="G636" s="31">
        <f t="shared" si="30"/>
        <v>874800</v>
      </c>
      <c r="H636" s="74">
        <v>874800</v>
      </c>
      <c r="I636" s="75">
        <f t="shared" si="31"/>
        <v>0</v>
      </c>
      <c r="J636" s="75"/>
      <c r="K636" s="5">
        <v>46178</v>
      </c>
      <c r="Q636" s="9"/>
      <c r="S636" s="3"/>
    </row>
    <row r="637" spans="1:19" ht="15" hidden="1" customHeight="1" x14ac:dyDescent="0.35">
      <c r="A637" s="26" t="s">
        <v>1772</v>
      </c>
      <c r="B637" s="27" t="s">
        <v>280</v>
      </c>
      <c r="C637" s="28"/>
      <c r="D637" s="29" t="s">
        <v>1720</v>
      </c>
      <c r="E637" s="76">
        <v>5660000</v>
      </c>
      <c r="F637" s="77">
        <f t="shared" si="32"/>
        <v>452800</v>
      </c>
      <c r="G637" s="31">
        <f t="shared" si="30"/>
        <v>6112800</v>
      </c>
      <c r="H637" s="74">
        <v>6112800</v>
      </c>
      <c r="I637" s="75">
        <f t="shared" si="31"/>
        <v>0</v>
      </c>
      <c r="J637" s="75"/>
      <c r="K637" s="5">
        <v>46147</v>
      </c>
      <c r="Q637" s="9"/>
      <c r="S637" s="3"/>
    </row>
    <row r="638" spans="1:19" ht="15" hidden="1" customHeight="1" x14ac:dyDescent="0.35">
      <c r="A638" s="26" t="s">
        <v>1773</v>
      </c>
      <c r="B638" s="27" t="s">
        <v>281</v>
      </c>
      <c r="C638" s="28"/>
      <c r="D638" s="29" t="s">
        <v>1720</v>
      </c>
      <c r="E638" s="76">
        <v>2635000</v>
      </c>
      <c r="F638" s="77">
        <f t="shared" si="32"/>
        <v>210800</v>
      </c>
      <c r="G638" s="31">
        <f t="shared" si="30"/>
        <v>2845800</v>
      </c>
      <c r="H638" s="74">
        <v>2845800</v>
      </c>
      <c r="I638" s="75">
        <f t="shared" si="31"/>
        <v>0</v>
      </c>
      <c r="J638" s="75"/>
      <c r="K638" s="5">
        <v>46178</v>
      </c>
      <c r="Q638" s="9"/>
      <c r="S638" s="3"/>
    </row>
    <row r="639" spans="1:19" ht="15" hidden="1" customHeight="1" x14ac:dyDescent="0.35">
      <c r="A639" s="26" t="s">
        <v>1774</v>
      </c>
      <c r="B639" s="27" t="s">
        <v>282</v>
      </c>
      <c r="C639" s="28"/>
      <c r="D639" s="29" t="s">
        <v>1720</v>
      </c>
      <c r="E639" s="76">
        <v>5940000</v>
      </c>
      <c r="F639" s="77">
        <f t="shared" si="32"/>
        <v>475200</v>
      </c>
      <c r="G639" s="31">
        <f t="shared" si="30"/>
        <v>6415200</v>
      </c>
      <c r="H639" s="74">
        <v>6415200</v>
      </c>
      <c r="I639" s="75">
        <f t="shared" si="31"/>
        <v>0</v>
      </c>
      <c r="J639" s="75"/>
      <c r="K639" s="5">
        <v>46178</v>
      </c>
      <c r="Q639" s="9"/>
      <c r="S639" s="3"/>
    </row>
    <row r="640" spans="1:19" ht="15" hidden="1" customHeight="1" x14ac:dyDescent="0.35">
      <c r="A640" s="26" t="s">
        <v>1775</v>
      </c>
      <c r="B640" s="27" t="s">
        <v>283</v>
      </c>
      <c r="C640" s="28">
        <v>2279</v>
      </c>
      <c r="D640" s="29">
        <v>46101</v>
      </c>
      <c r="E640" s="76">
        <v>11226000</v>
      </c>
      <c r="F640" s="77">
        <f t="shared" si="32"/>
        <v>898080</v>
      </c>
      <c r="G640" s="31">
        <f t="shared" si="30"/>
        <v>12124080</v>
      </c>
      <c r="H640" s="74">
        <v>12124080</v>
      </c>
      <c r="I640" s="75">
        <f t="shared" si="31"/>
        <v>0</v>
      </c>
      <c r="J640" s="75"/>
      <c r="K640" s="5">
        <v>46147</v>
      </c>
      <c r="Q640" s="9"/>
      <c r="S640" s="3"/>
    </row>
    <row r="641" spans="1:19" ht="15" hidden="1" customHeight="1" x14ac:dyDescent="0.35">
      <c r="A641" s="26" t="s">
        <v>1776</v>
      </c>
      <c r="B641" s="27" t="s">
        <v>284</v>
      </c>
      <c r="C641" s="28"/>
      <c r="D641" s="29" t="s">
        <v>1720</v>
      </c>
      <c r="E641" s="76">
        <v>1940000</v>
      </c>
      <c r="F641" s="77">
        <f t="shared" si="32"/>
        <v>155200</v>
      </c>
      <c r="G641" s="31">
        <f t="shared" si="30"/>
        <v>2095200</v>
      </c>
      <c r="H641" s="74">
        <v>2095200</v>
      </c>
      <c r="I641" s="75">
        <f t="shared" si="31"/>
        <v>0</v>
      </c>
      <c r="J641" s="75"/>
      <c r="K641" s="5">
        <v>46178</v>
      </c>
      <c r="Q641" s="9"/>
      <c r="S641" s="3"/>
    </row>
    <row r="642" spans="1:19" ht="15" hidden="1" customHeight="1" x14ac:dyDescent="0.35">
      <c r="A642" s="26" t="s">
        <v>1777</v>
      </c>
      <c r="B642" s="27" t="s">
        <v>285</v>
      </c>
      <c r="C642" s="28"/>
      <c r="D642" s="29" t="s">
        <v>1720</v>
      </c>
      <c r="E642" s="76">
        <v>4890000</v>
      </c>
      <c r="F642" s="77">
        <f t="shared" si="32"/>
        <v>391200</v>
      </c>
      <c r="G642" s="31">
        <f t="shared" si="30"/>
        <v>5281200</v>
      </c>
      <c r="H642" s="74">
        <v>5281200</v>
      </c>
      <c r="I642" s="75">
        <f t="shared" si="31"/>
        <v>0</v>
      </c>
      <c r="J642" s="75"/>
      <c r="K642" s="5">
        <v>46178</v>
      </c>
      <c r="Q642" s="9"/>
      <c r="S642" s="3"/>
    </row>
    <row r="643" spans="1:19" ht="15" hidden="1" customHeight="1" x14ac:dyDescent="0.35">
      <c r="A643" s="26" t="s">
        <v>1778</v>
      </c>
      <c r="B643" s="27" t="s">
        <v>286</v>
      </c>
      <c r="C643" s="28"/>
      <c r="D643" s="29" t="s">
        <v>1720</v>
      </c>
      <c r="E643" s="76">
        <v>4630000</v>
      </c>
      <c r="F643" s="77">
        <f t="shared" si="32"/>
        <v>370400</v>
      </c>
      <c r="G643" s="31">
        <f t="shared" ref="G643:G705" si="33">+F643+E643</f>
        <v>5000400</v>
      </c>
      <c r="H643" s="74">
        <v>5000400</v>
      </c>
      <c r="I643" s="75">
        <f t="shared" si="31"/>
        <v>0</v>
      </c>
      <c r="J643" s="75"/>
      <c r="K643" s="5">
        <v>46178</v>
      </c>
      <c r="Q643" s="9"/>
      <c r="S643" s="3"/>
    </row>
    <row r="644" spans="1:19" ht="15" hidden="1" customHeight="1" x14ac:dyDescent="0.35">
      <c r="A644" s="26" t="s">
        <v>1779</v>
      </c>
      <c r="B644" s="27" t="s">
        <v>287</v>
      </c>
      <c r="C644" s="28"/>
      <c r="D644" s="29" t="s">
        <v>1720</v>
      </c>
      <c r="E644" s="76">
        <v>1005000</v>
      </c>
      <c r="F644" s="77">
        <f t="shared" si="32"/>
        <v>80400</v>
      </c>
      <c r="G644" s="31">
        <f t="shared" si="33"/>
        <v>1085400</v>
      </c>
      <c r="H644" s="74">
        <v>1085400</v>
      </c>
      <c r="I644" s="75">
        <f t="shared" si="31"/>
        <v>0</v>
      </c>
      <c r="J644" s="75"/>
      <c r="K644" s="5">
        <v>46178</v>
      </c>
      <c r="Q644" s="9"/>
      <c r="S644" s="3"/>
    </row>
    <row r="645" spans="1:19" ht="15" hidden="1" customHeight="1" x14ac:dyDescent="0.35">
      <c r="A645" s="26" t="s">
        <v>1780</v>
      </c>
      <c r="B645" s="27" t="s">
        <v>288</v>
      </c>
      <c r="C645" s="28"/>
      <c r="D645" s="29" t="s">
        <v>1720</v>
      </c>
      <c r="E645" s="76">
        <v>1680000</v>
      </c>
      <c r="F645" s="77">
        <f t="shared" si="32"/>
        <v>134400</v>
      </c>
      <c r="G645" s="31">
        <f t="shared" si="33"/>
        <v>1814400</v>
      </c>
      <c r="H645" s="74">
        <v>1814400</v>
      </c>
      <c r="I645" s="75">
        <f t="shared" si="31"/>
        <v>0</v>
      </c>
      <c r="J645" s="75"/>
      <c r="K645" s="5">
        <v>46178</v>
      </c>
      <c r="Q645" s="9"/>
      <c r="S645" s="3"/>
    </row>
    <row r="646" spans="1:19" ht="15" hidden="1" customHeight="1" x14ac:dyDescent="0.35">
      <c r="A646" s="26" t="s">
        <v>1781</v>
      </c>
      <c r="B646" s="27" t="s">
        <v>289</v>
      </c>
      <c r="C646" s="28"/>
      <c r="D646" s="29" t="s">
        <v>1720</v>
      </c>
      <c r="E646" s="76">
        <v>11565000</v>
      </c>
      <c r="F646" s="77">
        <f t="shared" si="32"/>
        <v>925200</v>
      </c>
      <c r="G646" s="31">
        <f t="shared" si="33"/>
        <v>12490200</v>
      </c>
      <c r="H646" s="74">
        <v>12490200</v>
      </c>
      <c r="I646" s="75">
        <f t="shared" si="31"/>
        <v>0</v>
      </c>
      <c r="J646" s="75"/>
      <c r="K646" s="5">
        <v>46147</v>
      </c>
      <c r="Q646" s="9"/>
      <c r="S646" s="3"/>
    </row>
    <row r="647" spans="1:19" ht="15" hidden="1" customHeight="1" x14ac:dyDescent="0.35">
      <c r="A647" s="26" t="s">
        <v>1782</v>
      </c>
      <c r="B647" s="27" t="s">
        <v>290</v>
      </c>
      <c r="C647" s="28">
        <v>2280</v>
      </c>
      <c r="D647" s="29">
        <v>46101</v>
      </c>
      <c r="E647" s="76">
        <v>7955500</v>
      </c>
      <c r="F647" s="77">
        <f t="shared" si="32"/>
        <v>636440</v>
      </c>
      <c r="G647" s="31">
        <f t="shared" si="33"/>
        <v>8591940</v>
      </c>
      <c r="H647" s="74">
        <v>8591940</v>
      </c>
      <c r="I647" s="75">
        <f t="shared" si="31"/>
        <v>0</v>
      </c>
      <c r="J647" s="75"/>
      <c r="K647" s="5">
        <v>46147</v>
      </c>
      <c r="Q647" s="9"/>
      <c r="S647" s="3"/>
    </row>
    <row r="648" spans="1:19" ht="15" hidden="1" customHeight="1" x14ac:dyDescent="0.35">
      <c r="A648" s="26" t="s">
        <v>1783</v>
      </c>
      <c r="B648" s="27" t="s">
        <v>1648</v>
      </c>
      <c r="C648" s="28"/>
      <c r="D648" s="29" t="s">
        <v>1720</v>
      </c>
      <c r="E648" s="76">
        <v>1005000</v>
      </c>
      <c r="F648" s="77">
        <f t="shared" si="32"/>
        <v>80400</v>
      </c>
      <c r="G648" s="31">
        <f t="shared" si="33"/>
        <v>1085400</v>
      </c>
      <c r="H648" s="74">
        <v>1085400</v>
      </c>
      <c r="I648" s="75">
        <f t="shared" si="31"/>
        <v>0</v>
      </c>
      <c r="J648" s="75"/>
      <c r="K648" s="5">
        <v>46147</v>
      </c>
      <c r="Q648" s="9"/>
      <c r="S648" s="3"/>
    </row>
    <row r="649" spans="1:19" ht="15" hidden="1" customHeight="1" x14ac:dyDescent="0.35">
      <c r="A649" s="26" t="s">
        <v>1784</v>
      </c>
      <c r="B649" s="27" t="s">
        <v>1649</v>
      </c>
      <c r="C649" s="28"/>
      <c r="D649" s="29" t="s">
        <v>1721</v>
      </c>
      <c r="E649" s="76">
        <v>1972800</v>
      </c>
      <c r="F649" s="77">
        <f t="shared" si="32"/>
        <v>157824</v>
      </c>
      <c r="G649" s="31">
        <f t="shared" si="33"/>
        <v>2130624</v>
      </c>
      <c r="H649" s="74">
        <v>2130624</v>
      </c>
      <c r="I649" s="75">
        <f t="shared" si="31"/>
        <v>0</v>
      </c>
      <c r="J649" s="75"/>
      <c r="L649" s="5">
        <v>46147</v>
      </c>
      <c r="Q649" s="9"/>
      <c r="S649" s="3"/>
    </row>
    <row r="650" spans="1:19" ht="15" hidden="1" customHeight="1" x14ac:dyDescent="0.35">
      <c r="A650" s="26" t="s">
        <v>1785</v>
      </c>
      <c r="B650" s="27" t="s">
        <v>1650</v>
      </c>
      <c r="C650" s="28"/>
      <c r="D650" s="29" t="s">
        <v>1721</v>
      </c>
      <c r="E650" s="76">
        <v>840000</v>
      </c>
      <c r="F650" s="77">
        <f t="shared" si="32"/>
        <v>67200</v>
      </c>
      <c r="G650" s="31">
        <f t="shared" si="33"/>
        <v>907200</v>
      </c>
      <c r="H650" s="74">
        <v>907200</v>
      </c>
      <c r="I650" s="75">
        <f t="shared" si="31"/>
        <v>0</v>
      </c>
      <c r="J650" s="75"/>
      <c r="L650" s="5">
        <v>46127</v>
      </c>
      <c r="Q650" s="9"/>
      <c r="S650" s="3"/>
    </row>
    <row r="651" spans="1:19" ht="15" hidden="1" customHeight="1" x14ac:dyDescent="0.35">
      <c r="A651" s="26" t="s">
        <v>1786</v>
      </c>
      <c r="B651" s="32" t="s">
        <v>1651</v>
      </c>
      <c r="C651" s="28"/>
      <c r="D651" s="29" t="s">
        <v>1721</v>
      </c>
      <c r="E651" s="76">
        <v>1132800</v>
      </c>
      <c r="F651" s="77">
        <f t="shared" si="32"/>
        <v>90624</v>
      </c>
      <c r="G651" s="31">
        <f t="shared" si="33"/>
        <v>1223424</v>
      </c>
      <c r="H651" s="74">
        <v>1223424</v>
      </c>
      <c r="I651" s="75">
        <f t="shared" si="31"/>
        <v>0</v>
      </c>
      <c r="J651" s="75"/>
      <c r="L651" s="5">
        <v>46147</v>
      </c>
      <c r="Q651" s="9"/>
      <c r="S651" s="3"/>
    </row>
    <row r="652" spans="1:19" ht="15" hidden="1" customHeight="1" x14ac:dyDescent="0.35">
      <c r="A652" s="26" t="s">
        <v>1787</v>
      </c>
      <c r="B652" s="27" t="s">
        <v>1652</v>
      </c>
      <c r="C652" s="28"/>
      <c r="D652" s="29" t="s">
        <v>1721</v>
      </c>
      <c r="E652" s="76">
        <v>840000</v>
      </c>
      <c r="F652" s="77">
        <f t="shared" si="32"/>
        <v>67200</v>
      </c>
      <c r="G652" s="31">
        <f t="shared" si="33"/>
        <v>907200</v>
      </c>
      <c r="H652" s="74">
        <v>907200</v>
      </c>
      <c r="I652" s="75">
        <f t="shared" si="31"/>
        <v>0</v>
      </c>
      <c r="J652" s="75"/>
      <c r="L652" s="5">
        <v>46147</v>
      </c>
      <c r="Q652" s="9"/>
      <c r="S652" s="3"/>
    </row>
    <row r="653" spans="1:19" ht="15" hidden="1" customHeight="1" x14ac:dyDescent="0.35">
      <c r="A653" s="26" t="s">
        <v>1788</v>
      </c>
      <c r="B653" s="27" t="s">
        <v>1653</v>
      </c>
      <c r="C653" s="28"/>
      <c r="D653" s="29" t="s">
        <v>1721</v>
      </c>
      <c r="E653" s="76">
        <v>840000</v>
      </c>
      <c r="F653" s="77">
        <f t="shared" si="32"/>
        <v>67200</v>
      </c>
      <c r="G653" s="31">
        <f t="shared" si="33"/>
        <v>907200</v>
      </c>
      <c r="H653" s="74">
        <v>907200</v>
      </c>
      <c r="I653" s="75">
        <f t="shared" si="31"/>
        <v>0</v>
      </c>
      <c r="J653" s="75"/>
      <c r="L653" s="5">
        <v>46147</v>
      </c>
      <c r="Q653" s="9"/>
      <c r="S653" s="3"/>
    </row>
    <row r="654" spans="1:19" ht="15" hidden="1" customHeight="1" x14ac:dyDescent="0.35">
      <c r="A654" s="26" t="s">
        <v>1789</v>
      </c>
      <c r="B654" s="27" t="s">
        <v>1654</v>
      </c>
      <c r="C654" s="28"/>
      <c r="D654" s="29" t="s">
        <v>1721</v>
      </c>
      <c r="E654" s="76">
        <v>1680000</v>
      </c>
      <c r="F654" s="77">
        <f t="shared" si="32"/>
        <v>134400</v>
      </c>
      <c r="G654" s="31">
        <f t="shared" si="33"/>
        <v>1814400</v>
      </c>
      <c r="H654" s="31">
        <v>1814400</v>
      </c>
      <c r="I654" s="75">
        <f t="shared" si="31"/>
        <v>0</v>
      </c>
      <c r="J654" s="75"/>
      <c r="L654" s="5">
        <v>46127</v>
      </c>
      <c r="Q654" s="9"/>
      <c r="S654" s="3"/>
    </row>
    <row r="655" spans="1:19" ht="15" hidden="1" customHeight="1" x14ac:dyDescent="0.35">
      <c r="A655" s="26" t="s">
        <v>1790</v>
      </c>
      <c r="B655" s="27" t="s">
        <v>1655</v>
      </c>
      <c r="C655" s="28"/>
      <c r="D655" s="29" t="s">
        <v>1721</v>
      </c>
      <c r="E655" s="76">
        <v>2812800</v>
      </c>
      <c r="F655" s="77">
        <f t="shared" si="32"/>
        <v>225024</v>
      </c>
      <c r="G655" s="31">
        <f t="shared" si="33"/>
        <v>3037824</v>
      </c>
      <c r="H655" s="74">
        <v>3037824</v>
      </c>
      <c r="I655" s="75">
        <f t="shared" si="31"/>
        <v>0</v>
      </c>
      <c r="J655" s="75"/>
      <c r="L655" s="5">
        <v>46147</v>
      </c>
      <c r="Q655" s="9"/>
      <c r="S655" s="3"/>
    </row>
    <row r="656" spans="1:19" ht="15" hidden="1" customHeight="1" x14ac:dyDescent="0.35">
      <c r="A656" s="26" t="s">
        <v>1791</v>
      </c>
      <c r="B656" s="27" t="s">
        <v>1656</v>
      </c>
      <c r="C656" s="28"/>
      <c r="D656" s="29" t="s">
        <v>1721</v>
      </c>
      <c r="E656" s="76">
        <v>840000</v>
      </c>
      <c r="F656" s="77">
        <f t="shared" si="32"/>
        <v>67200</v>
      </c>
      <c r="G656" s="31">
        <f t="shared" si="33"/>
        <v>907200</v>
      </c>
      <c r="H656" s="74">
        <v>907200</v>
      </c>
      <c r="I656" s="75">
        <f t="shared" si="31"/>
        <v>0</v>
      </c>
      <c r="J656" s="75"/>
      <c r="L656" s="5">
        <v>46147</v>
      </c>
      <c r="Q656" s="9"/>
      <c r="S656" s="3"/>
    </row>
    <row r="657" spans="1:19" ht="15" hidden="1" customHeight="1" x14ac:dyDescent="0.35">
      <c r="A657" s="26" t="s">
        <v>1792</v>
      </c>
      <c r="B657" s="27" t="s">
        <v>1657</v>
      </c>
      <c r="C657" s="28"/>
      <c r="D657" s="29" t="s">
        <v>1721</v>
      </c>
      <c r="E657" s="76">
        <v>3945600</v>
      </c>
      <c r="F657" s="77">
        <f t="shared" si="32"/>
        <v>315648</v>
      </c>
      <c r="G657" s="31">
        <f t="shared" si="33"/>
        <v>4261248</v>
      </c>
      <c r="H657" s="74">
        <v>4261248</v>
      </c>
      <c r="I657" s="75">
        <f t="shared" si="31"/>
        <v>0</v>
      </c>
      <c r="J657" s="75"/>
      <c r="L657" s="5">
        <v>46127</v>
      </c>
      <c r="Q657" s="9"/>
      <c r="S657" s="3"/>
    </row>
    <row r="658" spans="1:19" ht="15" hidden="1" customHeight="1" x14ac:dyDescent="0.35">
      <c r="A658" s="26" t="s">
        <v>1793</v>
      </c>
      <c r="B658" s="32" t="s">
        <v>291</v>
      </c>
      <c r="C658" s="28">
        <v>2617</v>
      </c>
      <c r="D658" s="29">
        <v>46115</v>
      </c>
      <c r="E658" s="76">
        <v>3945600</v>
      </c>
      <c r="F658" s="77">
        <f t="shared" si="32"/>
        <v>315648</v>
      </c>
      <c r="G658" s="31">
        <f t="shared" si="33"/>
        <v>4261248</v>
      </c>
      <c r="H658" s="74">
        <v>4261248</v>
      </c>
      <c r="I658" s="75">
        <f t="shared" si="31"/>
        <v>0</v>
      </c>
      <c r="J658" s="75"/>
      <c r="L658" s="5">
        <v>46147</v>
      </c>
      <c r="Q658" s="9"/>
      <c r="S658" s="3"/>
    </row>
    <row r="659" spans="1:19" ht="15" hidden="1" customHeight="1" x14ac:dyDescent="0.35">
      <c r="A659" s="26" t="s">
        <v>1794</v>
      </c>
      <c r="B659" s="27" t="s">
        <v>292</v>
      </c>
      <c r="C659" s="28"/>
      <c r="D659" s="29" t="s">
        <v>1721</v>
      </c>
      <c r="E659" s="76">
        <v>1972800</v>
      </c>
      <c r="F659" s="77">
        <f t="shared" si="32"/>
        <v>157824</v>
      </c>
      <c r="G659" s="31">
        <f t="shared" si="33"/>
        <v>2130624</v>
      </c>
      <c r="H659" s="74">
        <v>2130624</v>
      </c>
      <c r="I659" s="75">
        <f t="shared" si="31"/>
        <v>0</v>
      </c>
      <c r="J659" s="75"/>
      <c r="L659" s="5">
        <v>46147</v>
      </c>
      <c r="Q659" s="9"/>
      <c r="S659" s="3"/>
    </row>
    <row r="660" spans="1:19" ht="15" hidden="1" customHeight="1" x14ac:dyDescent="0.35">
      <c r="A660" s="26" t="s">
        <v>1795</v>
      </c>
      <c r="B660" s="27" t="s">
        <v>293</v>
      </c>
      <c r="C660" s="28"/>
      <c r="D660" s="29" t="s">
        <v>1721</v>
      </c>
      <c r="E660" s="76">
        <v>3825000</v>
      </c>
      <c r="F660" s="77">
        <f t="shared" si="32"/>
        <v>306000</v>
      </c>
      <c r="G660" s="31">
        <f t="shared" si="33"/>
        <v>4131000</v>
      </c>
      <c r="H660" s="74">
        <v>4131000</v>
      </c>
      <c r="I660" s="75">
        <f t="shared" si="31"/>
        <v>0</v>
      </c>
      <c r="J660" s="75"/>
      <c r="K660" s="5">
        <v>46147</v>
      </c>
      <c r="Q660" s="9"/>
      <c r="S660" s="3"/>
    </row>
    <row r="661" spans="1:19" ht="15" hidden="1" customHeight="1" x14ac:dyDescent="0.35">
      <c r="A661" s="26" t="s">
        <v>1796</v>
      </c>
      <c r="B661" s="27" t="s">
        <v>1658</v>
      </c>
      <c r="C661" s="28"/>
      <c r="D661" s="29" t="s">
        <v>1722</v>
      </c>
      <c r="E661" s="76">
        <v>1005000</v>
      </c>
      <c r="F661" s="77">
        <f t="shared" si="32"/>
        <v>80400</v>
      </c>
      <c r="G661" s="31">
        <f t="shared" si="33"/>
        <v>1085400</v>
      </c>
      <c r="H661" s="74">
        <v>1085400</v>
      </c>
      <c r="I661" s="75">
        <f t="shared" si="31"/>
        <v>0</v>
      </c>
      <c r="J661" s="75"/>
      <c r="K661" s="5">
        <v>46147</v>
      </c>
      <c r="Q661" s="9"/>
      <c r="S661" s="3"/>
    </row>
    <row r="662" spans="1:19" ht="15" hidden="1" customHeight="1" x14ac:dyDescent="0.35">
      <c r="A662" s="26" t="s">
        <v>1797</v>
      </c>
      <c r="B662" s="27" t="s">
        <v>1659</v>
      </c>
      <c r="C662" s="28"/>
      <c r="D662" s="29" t="s">
        <v>1722</v>
      </c>
      <c r="E662" s="76">
        <v>2430000</v>
      </c>
      <c r="F662" s="77">
        <f t="shared" si="32"/>
        <v>194400</v>
      </c>
      <c r="G662" s="31">
        <f t="shared" si="33"/>
        <v>2624400</v>
      </c>
      <c r="H662" s="74">
        <v>2624400</v>
      </c>
      <c r="I662" s="75">
        <f t="shared" si="31"/>
        <v>0</v>
      </c>
      <c r="J662" s="75"/>
      <c r="K662" s="5">
        <v>46147</v>
      </c>
      <c r="Q662" s="9"/>
      <c r="S662" s="3"/>
    </row>
    <row r="663" spans="1:19" ht="15" hidden="1" customHeight="1" x14ac:dyDescent="0.35">
      <c r="A663" s="26" t="s">
        <v>1798</v>
      </c>
      <c r="B663" s="27" t="s">
        <v>1660</v>
      </c>
      <c r="C663" s="28"/>
      <c r="D663" s="29" t="s">
        <v>1722</v>
      </c>
      <c r="E663" s="76">
        <v>3685000</v>
      </c>
      <c r="F663" s="77">
        <f t="shared" si="32"/>
        <v>294800</v>
      </c>
      <c r="G663" s="31">
        <f t="shared" si="33"/>
        <v>3979800</v>
      </c>
      <c r="H663" s="74">
        <v>3979800</v>
      </c>
      <c r="I663" s="75">
        <f t="shared" si="31"/>
        <v>0</v>
      </c>
      <c r="J663" s="75"/>
      <c r="K663" s="5">
        <v>46147</v>
      </c>
      <c r="Q663" s="9"/>
      <c r="S663" s="3"/>
    </row>
    <row r="664" spans="1:19" ht="15" hidden="1" customHeight="1" x14ac:dyDescent="0.35">
      <c r="A664" s="26" t="s">
        <v>1799</v>
      </c>
      <c r="B664" s="27" t="s">
        <v>1661</v>
      </c>
      <c r="C664" s="28"/>
      <c r="D664" s="29" t="s">
        <v>1722</v>
      </c>
      <c r="E664" s="76">
        <v>3780000</v>
      </c>
      <c r="F664" s="77">
        <f t="shared" si="32"/>
        <v>302400</v>
      </c>
      <c r="G664" s="31">
        <f t="shared" si="33"/>
        <v>4082400</v>
      </c>
      <c r="H664" s="74">
        <v>4082400</v>
      </c>
      <c r="I664" s="75">
        <f t="shared" si="31"/>
        <v>0</v>
      </c>
      <c r="J664" s="75"/>
      <c r="K664" s="5">
        <v>46147</v>
      </c>
      <c r="Q664" s="9"/>
      <c r="S664" s="3"/>
    </row>
    <row r="665" spans="1:19" ht="15" hidden="1" customHeight="1" x14ac:dyDescent="0.35">
      <c r="A665" s="26" t="s">
        <v>1800</v>
      </c>
      <c r="B665" s="27" t="s">
        <v>1662</v>
      </c>
      <c r="C665" s="28">
        <v>2275</v>
      </c>
      <c r="D665" s="29">
        <v>46101</v>
      </c>
      <c r="E665" s="76">
        <v>4463000</v>
      </c>
      <c r="F665" s="77">
        <f t="shared" si="32"/>
        <v>357040</v>
      </c>
      <c r="G665" s="31">
        <f t="shared" si="33"/>
        <v>4820040</v>
      </c>
      <c r="H665" s="74">
        <v>4820040</v>
      </c>
      <c r="I665" s="75">
        <f t="shared" si="31"/>
        <v>0</v>
      </c>
      <c r="J665" s="75"/>
      <c r="K665" s="5">
        <v>46147</v>
      </c>
      <c r="Q665" s="9"/>
      <c r="S665" s="3"/>
    </row>
    <row r="666" spans="1:19" ht="15" hidden="1" customHeight="1" x14ac:dyDescent="0.35">
      <c r="A666" s="26" t="s">
        <v>1801</v>
      </c>
      <c r="B666" s="27" t="s">
        <v>1663</v>
      </c>
      <c r="C666" s="28"/>
      <c r="D666" s="29" t="s">
        <v>1722</v>
      </c>
      <c r="E666" s="76">
        <v>5735000</v>
      </c>
      <c r="F666" s="77">
        <f t="shared" si="32"/>
        <v>458800</v>
      </c>
      <c r="G666" s="31">
        <f t="shared" si="33"/>
        <v>6193800</v>
      </c>
      <c r="H666" s="74">
        <v>6193800</v>
      </c>
      <c r="I666" s="75">
        <f t="shared" si="31"/>
        <v>0</v>
      </c>
      <c r="J666" s="75"/>
      <c r="K666" s="5">
        <v>46147</v>
      </c>
      <c r="Q666" s="9"/>
      <c r="S666" s="3"/>
    </row>
    <row r="667" spans="1:19" ht="15" hidden="1" customHeight="1" x14ac:dyDescent="0.35">
      <c r="A667" s="26" t="s">
        <v>1802</v>
      </c>
      <c r="B667" s="32" t="s">
        <v>1664</v>
      </c>
      <c r="C667" s="28">
        <v>2421</v>
      </c>
      <c r="D667" s="29">
        <v>46106</v>
      </c>
      <c r="E667" s="76">
        <v>2102000</v>
      </c>
      <c r="F667" s="77">
        <f t="shared" si="32"/>
        <v>168160</v>
      </c>
      <c r="G667" s="31">
        <f t="shared" si="33"/>
        <v>2270160</v>
      </c>
      <c r="H667" s="74">
        <v>2270160</v>
      </c>
      <c r="I667" s="75">
        <f t="shared" si="31"/>
        <v>0</v>
      </c>
      <c r="J667" s="75"/>
      <c r="K667" s="5">
        <v>46147</v>
      </c>
      <c r="Q667" s="9"/>
      <c r="S667" s="3"/>
    </row>
    <row r="668" spans="1:19" ht="15" hidden="1" customHeight="1" x14ac:dyDescent="0.35">
      <c r="A668" s="26" t="s">
        <v>1803</v>
      </c>
      <c r="B668" s="27" t="s">
        <v>1665</v>
      </c>
      <c r="C668" s="28">
        <v>2420</v>
      </c>
      <c r="D668" s="29">
        <v>46106</v>
      </c>
      <c r="E668" s="76">
        <v>7191500</v>
      </c>
      <c r="F668" s="77">
        <f t="shared" si="32"/>
        <v>575320</v>
      </c>
      <c r="G668" s="31">
        <f t="shared" si="33"/>
        <v>7766820</v>
      </c>
      <c r="H668" s="74">
        <v>7766820</v>
      </c>
      <c r="I668" s="75">
        <f t="shared" si="31"/>
        <v>0</v>
      </c>
      <c r="J668" s="75"/>
      <c r="K668" s="5">
        <v>46147</v>
      </c>
      <c r="Q668" s="9"/>
      <c r="S668" s="3"/>
    </row>
    <row r="669" spans="1:19" ht="15" hidden="1" customHeight="1" x14ac:dyDescent="0.35">
      <c r="A669" s="26" t="s">
        <v>1804</v>
      </c>
      <c r="B669" s="27" t="s">
        <v>1666</v>
      </c>
      <c r="C669" s="28"/>
      <c r="D669" s="29" t="s">
        <v>1722</v>
      </c>
      <c r="E669" s="76">
        <v>4485000</v>
      </c>
      <c r="F669" s="77">
        <f t="shared" si="32"/>
        <v>358800</v>
      </c>
      <c r="G669" s="31">
        <f t="shared" si="33"/>
        <v>4843800</v>
      </c>
      <c r="H669" s="74">
        <v>4843800</v>
      </c>
      <c r="I669" s="75">
        <f t="shared" si="31"/>
        <v>0</v>
      </c>
      <c r="J669" s="75"/>
      <c r="K669" s="5">
        <v>46147</v>
      </c>
      <c r="Q669" s="9"/>
      <c r="S669" s="3"/>
    </row>
    <row r="670" spans="1:19" ht="15" hidden="1" customHeight="1" x14ac:dyDescent="0.35">
      <c r="A670" s="26" t="s">
        <v>1805</v>
      </c>
      <c r="B670" s="27" t="s">
        <v>1667</v>
      </c>
      <c r="C670" s="28">
        <v>2618</v>
      </c>
      <c r="D670" s="29">
        <v>46115</v>
      </c>
      <c r="E670" s="76">
        <v>3702500</v>
      </c>
      <c r="F670" s="77">
        <f t="shared" si="32"/>
        <v>296200</v>
      </c>
      <c r="G670" s="31">
        <f t="shared" si="33"/>
        <v>3998700</v>
      </c>
      <c r="H670" s="74">
        <v>3998700</v>
      </c>
      <c r="I670" s="75">
        <f t="shared" si="31"/>
        <v>0</v>
      </c>
      <c r="J670" s="75"/>
      <c r="K670" s="5">
        <v>46157</v>
      </c>
      <c r="Q670" s="9"/>
      <c r="S670" s="3"/>
    </row>
    <row r="671" spans="1:19" ht="15" hidden="1" customHeight="1" x14ac:dyDescent="0.35">
      <c r="A671" s="26" t="s">
        <v>1806</v>
      </c>
      <c r="B671" s="27" t="s">
        <v>1668</v>
      </c>
      <c r="C671" s="28"/>
      <c r="D671" s="29" t="s">
        <v>1722</v>
      </c>
      <c r="E671" s="76">
        <v>4470000</v>
      </c>
      <c r="F671" s="77">
        <f t="shared" si="32"/>
        <v>357600</v>
      </c>
      <c r="G671" s="31">
        <f t="shared" si="33"/>
        <v>4827600</v>
      </c>
      <c r="H671" s="74">
        <v>4827600</v>
      </c>
      <c r="I671" s="75">
        <f t="shared" si="31"/>
        <v>0</v>
      </c>
      <c r="J671" s="75"/>
      <c r="K671" s="5">
        <v>46147</v>
      </c>
      <c r="Q671" s="9"/>
      <c r="S671" s="3"/>
    </row>
    <row r="672" spans="1:19" ht="15" hidden="1" customHeight="1" x14ac:dyDescent="0.35">
      <c r="A672" s="26" t="s">
        <v>1807</v>
      </c>
      <c r="B672" s="27" t="s">
        <v>1669</v>
      </c>
      <c r="C672" s="28"/>
      <c r="D672" s="29" t="s">
        <v>1722</v>
      </c>
      <c r="E672" s="76">
        <v>33490000</v>
      </c>
      <c r="F672" s="77">
        <f t="shared" si="32"/>
        <v>2679200</v>
      </c>
      <c r="G672" s="31">
        <f t="shared" si="33"/>
        <v>36169200</v>
      </c>
      <c r="H672" s="74">
        <v>36169200</v>
      </c>
      <c r="I672" s="75">
        <f t="shared" si="31"/>
        <v>0</v>
      </c>
      <c r="J672" s="75"/>
      <c r="K672" s="5">
        <v>46147</v>
      </c>
      <c r="Q672" s="9"/>
      <c r="S672" s="3"/>
    </row>
    <row r="673" spans="1:19" ht="15" hidden="1" customHeight="1" x14ac:dyDescent="0.35">
      <c r="A673" s="26" t="s">
        <v>1808</v>
      </c>
      <c r="B673" s="27" t="s">
        <v>294</v>
      </c>
      <c r="C673" s="28"/>
      <c r="D673" s="29" t="s">
        <v>1722</v>
      </c>
      <c r="E673" s="76">
        <v>2670000</v>
      </c>
      <c r="F673" s="77">
        <f t="shared" si="32"/>
        <v>213600</v>
      </c>
      <c r="G673" s="31">
        <f t="shared" si="33"/>
        <v>2883600</v>
      </c>
      <c r="H673" s="74">
        <v>2883600</v>
      </c>
      <c r="I673" s="75">
        <f t="shared" si="31"/>
        <v>0</v>
      </c>
      <c r="J673" s="75"/>
      <c r="K673" s="5">
        <v>46147</v>
      </c>
      <c r="Q673" s="9"/>
      <c r="S673" s="3"/>
    </row>
    <row r="674" spans="1:19" ht="15" hidden="1" customHeight="1" x14ac:dyDescent="0.35">
      <c r="A674" s="26" t="s">
        <v>1809</v>
      </c>
      <c r="B674" s="27" t="s">
        <v>295</v>
      </c>
      <c r="C674" s="28"/>
      <c r="D674" s="29" t="s">
        <v>1722</v>
      </c>
      <c r="E674" s="76">
        <v>12060000</v>
      </c>
      <c r="F674" s="77">
        <f t="shared" si="32"/>
        <v>964800</v>
      </c>
      <c r="G674" s="31">
        <f t="shared" si="33"/>
        <v>13024800</v>
      </c>
      <c r="H674" s="74">
        <v>13024800</v>
      </c>
      <c r="I674" s="75">
        <f t="shared" si="31"/>
        <v>0</v>
      </c>
      <c r="J674" s="75"/>
      <c r="K674" s="5">
        <v>46147</v>
      </c>
      <c r="Q674" s="9"/>
      <c r="S674" s="3"/>
    </row>
    <row r="675" spans="1:19" ht="15" hidden="1" customHeight="1" x14ac:dyDescent="0.35">
      <c r="A675" s="26" t="s">
        <v>1810</v>
      </c>
      <c r="B675" s="27" t="s">
        <v>1670</v>
      </c>
      <c r="C675" s="28"/>
      <c r="D675" s="29" t="s">
        <v>1722</v>
      </c>
      <c r="E675" s="76">
        <v>2880000</v>
      </c>
      <c r="F675" s="77">
        <f t="shared" si="32"/>
        <v>230400</v>
      </c>
      <c r="G675" s="31">
        <f t="shared" si="33"/>
        <v>3110400</v>
      </c>
      <c r="H675" s="74">
        <v>3110400</v>
      </c>
      <c r="I675" s="75">
        <f t="shared" si="31"/>
        <v>0</v>
      </c>
      <c r="J675" s="75"/>
      <c r="K675" s="5">
        <v>46147</v>
      </c>
      <c r="Q675" s="9"/>
      <c r="S675" s="3"/>
    </row>
    <row r="676" spans="1:19" ht="15" hidden="1" customHeight="1" x14ac:dyDescent="0.35">
      <c r="A676" s="26" t="s">
        <v>1811</v>
      </c>
      <c r="B676" s="27" t="s">
        <v>1671</v>
      </c>
      <c r="C676" s="28"/>
      <c r="D676" s="29" t="s">
        <v>1722</v>
      </c>
      <c r="E676" s="76">
        <v>1620000</v>
      </c>
      <c r="F676" s="77">
        <f t="shared" si="32"/>
        <v>129600</v>
      </c>
      <c r="G676" s="31">
        <f t="shared" si="33"/>
        <v>1749600</v>
      </c>
      <c r="H676" s="74">
        <v>1749600</v>
      </c>
      <c r="I676" s="75">
        <f t="shared" si="31"/>
        <v>0</v>
      </c>
      <c r="J676" s="75"/>
      <c r="K676" s="5">
        <v>46147</v>
      </c>
      <c r="Q676" s="9"/>
      <c r="S676" s="3"/>
    </row>
    <row r="677" spans="1:19" ht="15" hidden="1" customHeight="1" x14ac:dyDescent="0.35">
      <c r="A677" s="26" t="s">
        <v>1812</v>
      </c>
      <c r="B677" s="27" t="s">
        <v>1672</v>
      </c>
      <c r="C677" s="28"/>
      <c r="D677" s="29" t="s">
        <v>1722</v>
      </c>
      <c r="E677" s="76">
        <v>5425000</v>
      </c>
      <c r="F677" s="77">
        <f t="shared" si="32"/>
        <v>434000</v>
      </c>
      <c r="G677" s="31">
        <f t="shared" si="33"/>
        <v>5859000</v>
      </c>
      <c r="H677" s="74">
        <v>5859000</v>
      </c>
      <c r="I677" s="75">
        <f t="shared" si="31"/>
        <v>0</v>
      </c>
      <c r="J677" s="75"/>
      <c r="K677" s="5">
        <v>46147</v>
      </c>
      <c r="Q677" s="9"/>
      <c r="S677" s="3"/>
    </row>
    <row r="678" spans="1:19" ht="15" hidden="1" customHeight="1" x14ac:dyDescent="0.35">
      <c r="A678" s="26" t="s">
        <v>1813</v>
      </c>
      <c r="B678" s="27" t="s">
        <v>1673</v>
      </c>
      <c r="C678" s="28"/>
      <c r="D678" s="29" t="s">
        <v>1722</v>
      </c>
      <c r="E678" s="76">
        <v>750000</v>
      </c>
      <c r="F678" s="77">
        <f t="shared" si="32"/>
        <v>60000</v>
      </c>
      <c r="G678" s="31">
        <f t="shared" si="33"/>
        <v>810000</v>
      </c>
      <c r="H678" s="74">
        <v>810000</v>
      </c>
      <c r="I678" s="75">
        <f t="shared" si="31"/>
        <v>0</v>
      </c>
      <c r="J678" s="75"/>
      <c r="K678" s="5">
        <v>46147</v>
      </c>
      <c r="Q678" s="9"/>
      <c r="S678" s="3"/>
    </row>
    <row r="679" spans="1:19" ht="15" hidden="1" customHeight="1" x14ac:dyDescent="0.35">
      <c r="A679" s="26" t="s">
        <v>1814</v>
      </c>
      <c r="B679" s="27" t="s">
        <v>1674</v>
      </c>
      <c r="C679" s="28"/>
      <c r="D679" s="29" t="s">
        <v>1722</v>
      </c>
      <c r="E679" s="76">
        <v>9615000</v>
      </c>
      <c r="F679" s="77">
        <f t="shared" si="32"/>
        <v>769200</v>
      </c>
      <c r="G679" s="31">
        <f t="shared" si="33"/>
        <v>10384200</v>
      </c>
      <c r="H679" s="74">
        <v>10384200</v>
      </c>
      <c r="I679" s="75">
        <f t="shared" si="31"/>
        <v>0</v>
      </c>
      <c r="J679" s="75"/>
      <c r="K679" s="5">
        <v>46147</v>
      </c>
      <c r="Q679" s="9"/>
      <c r="S679" s="3"/>
    </row>
    <row r="680" spans="1:19" ht="15" hidden="1" customHeight="1" x14ac:dyDescent="0.35">
      <c r="A680" s="26" t="s">
        <v>1815</v>
      </c>
      <c r="B680" s="27" t="s">
        <v>1675</v>
      </c>
      <c r="C680" s="28">
        <v>2283</v>
      </c>
      <c r="D680" s="29">
        <v>46101</v>
      </c>
      <c r="E680" s="76">
        <v>5327000</v>
      </c>
      <c r="F680" s="77">
        <f t="shared" si="32"/>
        <v>426160</v>
      </c>
      <c r="G680" s="31">
        <f t="shared" si="33"/>
        <v>5753160</v>
      </c>
      <c r="H680" s="74">
        <v>5753160</v>
      </c>
      <c r="I680" s="75">
        <f t="shared" si="31"/>
        <v>0</v>
      </c>
      <c r="J680" s="75"/>
      <c r="K680" s="5">
        <v>46147</v>
      </c>
      <c r="Q680" s="9"/>
      <c r="S680" s="3"/>
    </row>
    <row r="681" spans="1:19" ht="15" hidden="1" customHeight="1" x14ac:dyDescent="0.35">
      <c r="A681" s="26" t="s">
        <v>1816</v>
      </c>
      <c r="B681" s="27" t="s">
        <v>1676</v>
      </c>
      <c r="C681" s="28"/>
      <c r="D681" s="29" t="s">
        <v>1722</v>
      </c>
      <c r="E681" s="76">
        <v>810000</v>
      </c>
      <c r="F681" s="77">
        <f t="shared" si="32"/>
        <v>64800</v>
      </c>
      <c r="G681" s="31">
        <f>+F681+E681</f>
        <v>874800</v>
      </c>
      <c r="H681" s="74">
        <v>874800</v>
      </c>
      <c r="I681" s="75">
        <f t="shared" si="31"/>
        <v>0</v>
      </c>
      <c r="J681" s="75"/>
      <c r="K681" s="5">
        <v>46147</v>
      </c>
      <c r="Q681" s="9"/>
      <c r="S681" s="3"/>
    </row>
    <row r="682" spans="1:19" ht="15" hidden="1" customHeight="1" x14ac:dyDescent="0.35">
      <c r="A682" s="26" t="s">
        <v>1817</v>
      </c>
      <c r="B682" s="27" t="s">
        <v>1677</v>
      </c>
      <c r="C682" s="28">
        <v>2282</v>
      </c>
      <c r="D682" s="29">
        <v>46101</v>
      </c>
      <c r="E682" s="76">
        <v>3508500</v>
      </c>
      <c r="F682" s="77">
        <f t="shared" si="32"/>
        <v>280680</v>
      </c>
      <c r="G682" s="31">
        <f t="shared" si="33"/>
        <v>3789180</v>
      </c>
      <c r="H682" s="74">
        <v>3789180</v>
      </c>
      <c r="I682" s="75">
        <f t="shared" si="31"/>
        <v>0</v>
      </c>
      <c r="J682" s="75"/>
      <c r="K682" s="5">
        <v>46147</v>
      </c>
      <c r="Q682" s="9"/>
      <c r="S682" s="3"/>
    </row>
    <row r="683" spans="1:19" ht="15" hidden="1" customHeight="1" x14ac:dyDescent="0.35">
      <c r="A683" s="26" t="s">
        <v>1818</v>
      </c>
      <c r="B683" s="27" t="s">
        <v>1678</v>
      </c>
      <c r="C683" s="28"/>
      <c r="D683" s="29" t="s">
        <v>1722</v>
      </c>
      <c r="E683" s="76">
        <v>4070000</v>
      </c>
      <c r="F683" s="77">
        <f t="shared" si="32"/>
        <v>325600</v>
      </c>
      <c r="G683" s="31">
        <f t="shared" si="33"/>
        <v>4395600</v>
      </c>
      <c r="H683" s="74">
        <v>4395600</v>
      </c>
      <c r="I683" s="75">
        <f t="shared" si="31"/>
        <v>0</v>
      </c>
      <c r="J683" s="75"/>
      <c r="K683" s="5">
        <v>46147</v>
      </c>
      <c r="Q683" s="9"/>
      <c r="S683" s="3"/>
    </row>
    <row r="684" spans="1:19" ht="15" hidden="1" customHeight="1" x14ac:dyDescent="0.35">
      <c r="A684" s="26" t="s">
        <v>1819</v>
      </c>
      <c r="B684" s="32" t="s">
        <v>1679</v>
      </c>
      <c r="C684" s="28"/>
      <c r="D684" s="29" t="s">
        <v>1722</v>
      </c>
      <c r="E684" s="76">
        <v>7215000</v>
      </c>
      <c r="F684" s="77">
        <f t="shared" si="32"/>
        <v>577200</v>
      </c>
      <c r="G684" s="31">
        <f t="shared" si="33"/>
        <v>7792200</v>
      </c>
      <c r="H684" s="74">
        <v>7792200</v>
      </c>
      <c r="I684" s="75">
        <f t="shared" si="31"/>
        <v>0</v>
      </c>
      <c r="J684" s="75"/>
      <c r="K684" s="5">
        <v>46147</v>
      </c>
      <c r="Q684" s="9"/>
      <c r="S684" s="3"/>
    </row>
    <row r="685" spans="1:19" ht="15" hidden="1" customHeight="1" x14ac:dyDescent="0.35">
      <c r="A685" s="26" t="s">
        <v>1820</v>
      </c>
      <c r="B685" s="32" t="s">
        <v>1680</v>
      </c>
      <c r="C685" s="28"/>
      <c r="D685" s="29" t="s">
        <v>1722</v>
      </c>
      <c r="E685" s="76">
        <v>9360000</v>
      </c>
      <c r="F685" s="77">
        <f t="shared" si="32"/>
        <v>748800</v>
      </c>
      <c r="G685" s="31">
        <f t="shared" si="33"/>
        <v>10108800</v>
      </c>
      <c r="H685" s="74">
        <v>10108800</v>
      </c>
      <c r="I685" s="75">
        <f t="shared" si="31"/>
        <v>0</v>
      </c>
      <c r="J685" s="75"/>
      <c r="K685" s="5">
        <v>46147</v>
      </c>
      <c r="Q685" s="9"/>
      <c r="S685" s="3"/>
    </row>
    <row r="686" spans="1:19" ht="15" hidden="1" customHeight="1" x14ac:dyDescent="0.35">
      <c r="A686" s="26" t="s">
        <v>1821</v>
      </c>
      <c r="B686" s="27" t="s">
        <v>1681</v>
      </c>
      <c r="C686" s="28"/>
      <c r="D686" s="29" t="s">
        <v>1722</v>
      </c>
      <c r="E686" s="76">
        <v>1980000</v>
      </c>
      <c r="F686" s="77">
        <f t="shared" si="32"/>
        <v>158400</v>
      </c>
      <c r="G686" s="31">
        <f t="shared" si="33"/>
        <v>2138400</v>
      </c>
      <c r="H686" s="74">
        <v>2138400</v>
      </c>
      <c r="I686" s="75">
        <f t="shared" si="31"/>
        <v>0</v>
      </c>
      <c r="J686" s="75"/>
      <c r="K686" s="5">
        <v>46147</v>
      </c>
      <c r="Q686" s="9"/>
      <c r="S686" s="3"/>
    </row>
    <row r="687" spans="1:19" ht="15" hidden="1" customHeight="1" x14ac:dyDescent="0.35">
      <c r="A687" s="26" t="s">
        <v>1822</v>
      </c>
      <c r="B687" s="27" t="s">
        <v>1682</v>
      </c>
      <c r="C687" s="28"/>
      <c r="D687" s="29" t="s">
        <v>1722</v>
      </c>
      <c r="E687" s="76">
        <v>1005000</v>
      </c>
      <c r="F687" s="77">
        <f t="shared" si="32"/>
        <v>80400</v>
      </c>
      <c r="G687" s="31">
        <f t="shared" si="33"/>
        <v>1085400</v>
      </c>
      <c r="H687" s="74">
        <v>1085400</v>
      </c>
      <c r="I687" s="75">
        <f t="shared" si="31"/>
        <v>0</v>
      </c>
      <c r="J687" s="75"/>
      <c r="K687" s="5">
        <v>46147</v>
      </c>
      <c r="Q687" s="9"/>
      <c r="S687" s="3"/>
    </row>
    <row r="688" spans="1:19" ht="15" hidden="1" customHeight="1" x14ac:dyDescent="0.35">
      <c r="A688" s="26" t="s">
        <v>1823</v>
      </c>
      <c r="B688" s="27" t="s">
        <v>1683</v>
      </c>
      <c r="C688" s="28"/>
      <c r="D688" s="29" t="s">
        <v>1722</v>
      </c>
      <c r="E688" s="76">
        <v>1005000</v>
      </c>
      <c r="F688" s="77">
        <f t="shared" si="32"/>
        <v>80400</v>
      </c>
      <c r="G688" s="31">
        <f t="shared" si="33"/>
        <v>1085400</v>
      </c>
      <c r="H688" s="74">
        <v>1085400</v>
      </c>
      <c r="I688" s="75">
        <f t="shared" si="31"/>
        <v>0</v>
      </c>
      <c r="J688" s="75"/>
      <c r="K688" s="5">
        <v>46147</v>
      </c>
      <c r="Q688" s="9"/>
      <c r="S688" s="3"/>
    </row>
    <row r="689" spans="1:19" ht="15" hidden="1" customHeight="1" x14ac:dyDescent="0.35">
      <c r="A689" s="26" t="s">
        <v>1824</v>
      </c>
      <c r="B689" s="27" t="s">
        <v>1684</v>
      </c>
      <c r="C689" s="28"/>
      <c r="D689" s="29" t="s">
        <v>1722</v>
      </c>
      <c r="E689" s="76">
        <v>960000</v>
      </c>
      <c r="F689" s="77">
        <f t="shared" si="32"/>
        <v>76800</v>
      </c>
      <c r="G689" s="31">
        <f t="shared" si="33"/>
        <v>1036800</v>
      </c>
      <c r="H689" s="74">
        <v>1036800</v>
      </c>
      <c r="I689" s="75">
        <f t="shared" si="31"/>
        <v>0</v>
      </c>
      <c r="J689" s="75"/>
      <c r="K689" s="5">
        <v>46147</v>
      </c>
      <c r="Q689" s="9"/>
      <c r="S689" s="3"/>
    </row>
    <row r="690" spans="1:19" ht="15" hidden="1" customHeight="1" x14ac:dyDescent="0.35">
      <c r="A690" s="26" t="s">
        <v>1825</v>
      </c>
      <c r="B690" s="27" t="s">
        <v>1685</v>
      </c>
      <c r="C690" s="28"/>
      <c r="D690" s="29" t="s">
        <v>1722</v>
      </c>
      <c r="E690" s="76">
        <v>1005000</v>
      </c>
      <c r="F690" s="77">
        <f t="shared" si="32"/>
        <v>80400</v>
      </c>
      <c r="G690" s="31">
        <f t="shared" si="33"/>
        <v>1085400</v>
      </c>
      <c r="H690" s="74">
        <v>1085400</v>
      </c>
      <c r="I690" s="75">
        <f t="shared" si="31"/>
        <v>0</v>
      </c>
      <c r="J690" s="75"/>
      <c r="K690" s="5">
        <v>46147</v>
      </c>
      <c r="Q690" s="9"/>
      <c r="S690" s="3"/>
    </row>
    <row r="691" spans="1:19" ht="15" hidden="1" customHeight="1" x14ac:dyDescent="0.35">
      <c r="A691" s="26" t="s">
        <v>1826</v>
      </c>
      <c r="B691" s="27" t="s">
        <v>1686</v>
      </c>
      <c r="C691" s="28"/>
      <c r="D691" s="29" t="s">
        <v>1722</v>
      </c>
      <c r="E691" s="76">
        <v>1005000</v>
      </c>
      <c r="F691" s="77">
        <f t="shared" si="32"/>
        <v>80400</v>
      </c>
      <c r="G691" s="31">
        <f t="shared" si="33"/>
        <v>1085400</v>
      </c>
      <c r="H691" s="74">
        <v>1085400</v>
      </c>
      <c r="I691" s="75">
        <f t="shared" si="31"/>
        <v>0</v>
      </c>
      <c r="J691" s="75"/>
      <c r="K691" s="5">
        <v>46147</v>
      </c>
      <c r="Q691" s="9"/>
      <c r="S691" s="3"/>
    </row>
    <row r="692" spans="1:19" ht="15" hidden="1" customHeight="1" x14ac:dyDescent="0.35">
      <c r="A692" s="26" t="s">
        <v>1827</v>
      </c>
      <c r="B692" s="27" t="s">
        <v>1687</v>
      </c>
      <c r="C692" s="28"/>
      <c r="D692" s="29" t="s">
        <v>1722</v>
      </c>
      <c r="E692" s="76">
        <v>3470000</v>
      </c>
      <c r="F692" s="77">
        <f t="shared" si="32"/>
        <v>277600</v>
      </c>
      <c r="G692" s="31">
        <f t="shared" si="33"/>
        <v>3747600</v>
      </c>
      <c r="H692" s="74">
        <v>3747600</v>
      </c>
      <c r="I692" s="75">
        <f t="shared" si="31"/>
        <v>0</v>
      </c>
      <c r="J692" s="75"/>
      <c r="K692" s="5">
        <v>46147</v>
      </c>
      <c r="Q692" s="9"/>
      <c r="S692" s="3"/>
    </row>
    <row r="693" spans="1:19" ht="15" hidden="1" customHeight="1" x14ac:dyDescent="0.35">
      <c r="A693" s="26" t="s">
        <v>1828</v>
      </c>
      <c r="B693" s="27" t="s">
        <v>1688</v>
      </c>
      <c r="C693" s="28"/>
      <c r="D693" s="29" t="s">
        <v>1723</v>
      </c>
      <c r="E693" s="76">
        <v>840000</v>
      </c>
      <c r="F693" s="77">
        <f t="shared" si="32"/>
        <v>67200</v>
      </c>
      <c r="G693" s="31">
        <f t="shared" si="33"/>
        <v>907200</v>
      </c>
      <c r="H693" s="74">
        <v>907200</v>
      </c>
      <c r="I693" s="75">
        <f t="shared" si="31"/>
        <v>0</v>
      </c>
      <c r="J693" s="75"/>
      <c r="L693" s="5">
        <v>46147</v>
      </c>
      <c r="Q693" s="9"/>
      <c r="S693" s="3"/>
    </row>
    <row r="694" spans="1:19" ht="15" hidden="1" customHeight="1" x14ac:dyDescent="0.35">
      <c r="A694" s="26" t="s">
        <v>1830</v>
      </c>
      <c r="B694" s="27" t="s">
        <v>1689</v>
      </c>
      <c r="C694" s="28"/>
      <c r="D694" s="29" t="s">
        <v>1723</v>
      </c>
      <c r="E694" s="76">
        <v>1995000</v>
      </c>
      <c r="F694" s="77">
        <f t="shared" ref="F694:F753" si="34">+E694*0.08</f>
        <v>159600</v>
      </c>
      <c r="G694" s="31">
        <f t="shared" si="33"/>
        <v>2154600</v>
      </c>
      <c r="H694" s="74">
        <v>2154600</v>
      </c>
      <c r="I694" s="75">
        <f t="shared" ref="I694:I752" si="35">G694-H694</f>
        <v>0</v>
      </c>
      <c r="J694" s="75"/>
      <c r="K694" s="5">
        <v>46147</v>
      </c>
      <c r="Q694" s="9"/>
      <c r="S694" s="3"/>
    </row>
    <row r="695" spans="1:19" ht="15" hidden="1" customHeight="1" x14ac:dyDescent="0.35">
      <c r="A695" s="26" t="s">
        <v>1829</v>
      </c>
      <c r="B695" s="32" t="s">
        <v>296</v>
      </c>
      <c r="C695" s="28">
        <v>2416</v>
      </c>
      <c r="D695" s="29">
        <v>46106</v>
      </c>
      <c r="E695" s="76">
        <v>15495000</v>
      </c>
      <c r="F695" s="77">
        <f t="shared" si="34"/>
        <v>1239600</v>
      </c>
      <c r="G695" s="31">
        <f t="shared" si="33"/>
        <v>16734600</v>
      </c>
      <c r="H695" s="74">
        <v>16734600</v>
      </c>
      <c r="I695" s="75">
        <f t="shared" si="35"/>
        <v>0</v>
      </c>
      <c r="J695" s="75"/>
      <c r="K695" s="5">
        <v>46147</v>
      </c>
      <c r="Q695" s="9"/>
      <c r="S695" s="3"/>
    </row>
    <row r="696" spans="1:19" ht="15" hidden="1" customHeight="1" x14ac:dyDescent="0.35">
      <c r="A696" s="26" t="s">
        <v>1831</v>
      </c>
      <c r="B696" s="27" t="s">
        <v>1690</v>
      </c>
      <c r="C696" s="28"/>
      <c r="D696" s="29" t="s">
        <v>1724</v>
      </c>
      <c r="E696" s="76">
        <v>2910000</v>
      </c>
      <c r="F696" s="77">
        <f t="shared" si="34"/>
        <v>232800</v>
      </c>
      <c r="G696" s="31">
        <f t="shared" si="33"/>
        <v>3142800</v>
      </c>
      <c r="H696" s="74">
        <v>3142800</v>
      </c>
      <c r="I696" s="75">
        <f t="shared" si="35"/>
        <v>0</v>
      </c>
      <c r="J696" s="75"/>
      <c r="K696" s="5">
        <v>46147</v>
      </c>
      <c r="Q696" s="9"/>
      <c r="S696" s="3"/>
    </row>
    <row r="697" spans="1:19" ht="15" hidden="1" customHeight="1" x14ac:dyDescent="0.35">
      <c r="A697" s="26" t="s">
        <v>1832</v>
      </c>
      <c r="B697" s="27" t="s">
        <v>1691</v>
      </c>
      <c r="C697" s="28"/>
      <c r="D697" s="29" t="s">
        <v>1724</v>
      </c>
      <c r="E697" s="76">
        <v>1680000</v>
      </c>
      <c r="F697" s="77">
        <f t="shared" si="34"/>
        <v>134400</v>
      </c>
      <c r="G697" s="31">
        <f t="shared" si="33"/>
        <v>1814400</v>
      </c>
      <c r="H697" s="74">
        <v>1814400</v>
      </c>
      <c r="I697" s="75">
        <f t="shared" si="35"/>
        <v>0</v>
      </c>
      <c r="J697" s="75"/>
      <c r="L697" s="5">
        <v>46147</v>
      </c>
      <c r="Q697" s="9"/>
      <c r="S697" s="3"/>
    </row>
    <row r="698" spans="1:19" ht="15" hidden="1" customHeight="1" x14ac:dyDescent="0.35">
      <c r="A698" s="26" t="s">
        <v>1833</v>
      </c>
      <c r="B698" s="27" t="s">
        <v>1692</v>
      </c>
      <c r="C698" s="28"/>
      <c r="D698" s="29" t="s">
        <v>1724</v>
      </c>
      <c r="E698" s="76">
        <v>1972800</v>
      </c>
      <c r="F698" s="77">
        <f t="shared" si="34"/>
        <v>157824</v>
      </c>
      <c r="G698" s="31">
        <f t="shared" si="33"/>
        <v>2130624</v>
      </c>
      <c r="H698" s="74">
        <v>2130624</v>
      </c>
      <c r="I698" s="75">
        <f t="shared" si="35"/>
        <v>0</v>
      </c>
      <c r="J698" s="75"/>
      <c r="L698" s="5">
        <v>46147</v>
      </c>
      <c r="Q698" s="9"/>
      <c r="S698" s="3"/>
    </row>
    <row r="699" spans="1:19" ht="15" hidden="1" customHeight="1" x14ac:dyDescent="0.35">
      <c r="A699" s="26" t="s">
        <v>1834</v>
      </c>
      <c r="B699" s="27" t="s">
        <v>1693</v>
      </c>
      <c r="C699" s="28"/>
      <c r="D699" s="29" t="s">
        <v>1724</v>
      </c>
      <c r="E699" s="76">
        <v>1132800</v>
      </c>
      <c r="F699" s="77">
        <f t="shared" si="34"/>
        <v>90624</v>
      </c>
      <c r="G699" s="31">
        <f t="shared" si="33"/>
        <v>1223424</v>
      </c>
      <c r="H699" s="74">
        <v>1223424</v>
      </c>
      <c r="I699" s="75">
        <f t="shared" si="35"/>
        <v>0</v>
      </c>
      <c r="J699" s="75"/>
      <c r="L699" s="5">
        <v>46147</v>
      </c>
      <c r="Q699" s="9"/>
      <c r="S699" s="3"/>
    </row>
    <row r="700" spans="1:19" ht="15" hidden="1" customHeight="1" x14ac:dyDescent="0.35">
      <c r="A700" s="26" t="s">
        <v>1835</v>
      </c>
      <c r="B700" s="27" t="s">
        <v>1694</v>
      </c>
      <c r="C700" s="28"/>
      <c r="D700" s="29" t="s">
        <v>1724</v>
      </c>
      <c r="E700" s="76">
        <v>840000</v>
      </c>
      <c r="F700" s="77">
        <f t="shared" si="34"/>
        <v>67200</v>
      </c>
      <c r="G700" s="31">
        <f t="shared" si="33"/>
        <v>907200</v>
      </c>
      <c r="H700" s="74">
        <v>907200</v>
      </c>
      <c r="I700" s="75">
        <f t="shared" si="35"/>
        <v>0</v>
      </c>
      <c r="J700" s="75"/>
      <c r="L700" s="5">
        <v>46147</v>
      </c>
      <c r="Q700" s="9"/>
      <c r="S700" s="3"/>
    </row>
    <row r="701" spans="1:19" ht="15" hidden="1" customHeight="1" x14ac:dyDescent="0.35">
      <c r="A701" s="26" t="s">
        <v>1836</v>
      </c>
      <c r="B701" s="27" t="s">
        <v>1695</v>
      </c>
      <c r="C701" s="28"/>
      <c r="D701" s="29" t="s">
        <v>1724</v>
      </c>
      <c r="E701" s="76">
        <v>840000</v>
      </c>
      <c r="F701" s="77">
        <f t="shared" si="34"/>
        <v>67200</v>
      </c>
      <c r="G701" s="31">
        <f t="shared" si="33"/>
        <v>907200</v>
      </c>
      <c r="H701" s="74">
        <v>907200</v>
      </c>
      <c r="I701" s="75">
        <f t="shared" si="35"/>
        <v>0</v>
      </c>
      <c r="J701" s="75"/>
      <c r="L701" s="5">
        <v>46147</v>
      </c>
      <c r="Q701" s="9"/>
      <c r="S701" s="3"/>
    </row>
    <row r="702" spans="1:19" ht="15" hidden="1" customHeight="1" x14ac:dyDescent="0.35">
      <c r="A702" s="26" t="s">
        <v>1837</v>
      </c>
      <c r="B702" s="27" t="s">
        <v>1696</v>
      </c>
      <c r="C702" s="28"/>
      <c r="D702" s="29" t="s">
        <v>1724</v>
      </c>
      <c r="E702" s="76">
        <v>840000</v>
      </c>
      <c r="F702" s="77">
        <f t="shared" si="34"/>
        <v>67200</v>
      </c>
      <c r="G702" s="31">
        <f t="shared" si="33"/>
        <v>907200</v>
      </c>
      <c r="H702" s="74">
        <v>907200</v>
      </c>
      <c r="I702" s="75">
        <f t="shared" si="35"/>
        <v>0</v>
      </c>
      <c r="J702" s="75"/>
      <c r="L702" s="5">
        <v>46147</v>
      </c>
      <c r="Q702" s="9"/>
      <c r="S702" s="3"/>
    </row>
    <row r="703" spans="1:19" ht="15" hidden="1" customHeight="1" x14ac:dyDescent="0.35">
      <c r="A703" s="26" t="s">
        <v>1838</v>
      </c>
      <c r="B703" s="32" t="s">
        <v>1697</v>
      </c>
      <c r="C703" s="28"/>
      <c r="D703" s="29" t="s">
        <v>1725</v>
      </c>
      <c r="E703" s="76">
        <v>1005000</v>
      </c>
      <c r="F703" s="77">
        <f t="shared" si="34"/>
        <v>80400</v>
      </c>
      <c r="G703" s="31">
        <f t="shared" si="33"/>
        <v>1085400</v>
      </c>
      <c r="H703" s="74">
        <v>1085400</v>
      </c>
      <c r="I703" s="75">
        <f t="shared" si="35"/>
        <v>0</v>
      </c>
      <c r="J703" s="75"/>
      <c r="K703" s="5">
        <v>46147</v>
      </c>
      <c r="Q703" s="9"/>
      <c r="S703" s="3"/>
    </row>
    <row r="704" spans="1:19" ht="15" hidden="1" customHeight="1" x14ac:dyDescent="0.35">
      <c r="A704" s="26" t="s">
        <v>1839</v>
      </c>
      <c r="B704" s="32" t="s">
        <v>1698</v>
      </c>
      <c r="C704" s="28"/>
      <c r="D704" s="29" t="s">
        <v>1725</v>
      </c>
      <c r="E704" s="76">
        <v>1005000</v>
      </c>
      <c r="F704" s="77">
        <f t="shared" si="34"/>
        <v>80400</v>
      </c>
      <c r="G704" s="31">
        <f t="shared" si="33"/>
        <v>1085400</v>
      </c>
      <c r="H704" s="74">
        <v>1085400</v>
      </c>
      <c r="I704" s="75">
        <f t="shared" si="35"/>
        <v>0</v>
      </c>
      <c r="J704" s="75"/>
      <c r="K704" s="5">
        <v>46147</v>
      </c>
      <c r="Q704" s="9"/>
      <c r="S704" s="3"/>
    </row>
    <row r="705" spans="1:19" ht="15" hidden="1" customHeight="1" x14ac:dyDescent="0.35">
      <c r="A705" s="26" t="s">
        <v>1840</v>
      </c>
      <c r="B705" s="32" t="s">
        <v>1699</v>
      </c>
      <c r="C705" s="28"/>
      <c r="D705" s="29" t="s">
        <v>1725</v>
      </c>
      <c r="E705" s="76">
        <v>2010000</v>
      </c>
      <c r="F705" s="77">
        <f t="shared" si="34"/>
        <v>160800</v>
      </c>
      <c r="G705" s="31">
        <f t="shared" si="33"/>
        <v>2170800</v>
      </c>
      <c r="H705" s="74">
        <v>2170800</v>
      </c>
      <c r="I705" s="75">
        <f t="shared" si="35"/>
        <v>0</v>
      </c>
      <c r="J705" s="75"/>
      <c r="K705" s="5">
        <v>46147</v>
      </c>
      <c r="Q705" s="9"/>
      <c r="S705" s="3"/>
    </row>
    <row r="706" spans="1:19" ht="15" hidden="1" customHeight="1" x14ac:dyDescent="0.35">
      <c r="A706" s="26" t="s">
        <v>1841</v>
      </c>
      <c r="B706" s="32" t="s">
        <v>1700</v>
      </c>
      <c r="C706" s="28"/>
      <c r="D706" s="29" t="s">
        <v>1725</v>
      </c>
      <c r="E706" s="76">
        <v>1005000</v>
      </c>
      <c r="F706" s="77">
        <f t="shared" si="34"/>
        <v>80400</v>
      </c>
      <c r="G706" s="31">
        <f t="shared" ref="G706:G765" si="36">+F706+E706</f>
        <v>1085400</v>
      </c>
      <c r="H706" s="74">
        <v>1085400</v>
      </c>
      <c r="I706" s="75">
        <f t="shared" si="35"/>
        <v>0</v>
      </c>
      <c r="J706" s="75"/>
      <c r="K706" s="5">
        <v>46147</v>
      </c>
      <c r="Q706" s="9"/>
      <c r="S706" s="3"/>
    </row>
    <row r="707" spans="1:19" ht="15" hidden="1" customHeight="1" x14ac:dyDescent="0.35">
      <c r="A707" s="26" t="s">
        <v>1842</v>
      </c>
      <c r="B707" s="32" t="s">
        <v>1701</v>
      </c>
      <c r="C707" s="28"/>
      <c r="D707" s="29" t="s">
        <v>1725</v>
      </c>
      <c r="E707" s="76">
        <v>960000</v>
      </c>
      <c r="F707" s="77">
        <f t="shared" si="34"/>
        <v>76800</v>
      </c>
      <c r="G707" s="31">
        <f t="shared" si="36"/>
        <v>1036800</v>
      </c>
      <c r="H707" s="74">
        <v>1036800</v>
      </c>
      <c r="I707" s="75">
        <f t="shared" si="35"/>
        <v>0</v>
      </c>
      <c r="J707" s="75"/>
      <c r="K707" s="5">
        <v>46147</v>
      </c>
      <c r="Q707" s="9"/>
      <c r="S707" s="3"/>
    </row>
    <row r="708" spans="1:19" ht="15" hidden="1" customHeight="1" x14ac:dyDescent="0.35">
      <c r="A708" s="26" t="s">
        <v>1843</v>
      </c>
      <c r="B708" s="32" t="s">
        <v>1702</v>
      </c>
      <c r="C708" s="28"/>
      <c r="D708" s="29" t="s">
        <v>1725</v>
      </c>
      <c r="E708" s="76">
        <v>2010000</v>
      </c>
      <c r="F708" s="77">
        <f t="shared" si="34"/>
        <v>160800</v>
      </c>
      <c r="G708" s="31">
        <f t="shared" si="36"/>
        <v>2170800</v>
      </c>
      <c r="H708" s="74">
        <v>2170800</v>
      </c>
      <c r="I708" s="75">
        <f t="shared" si="35"/>
        <v>0</v>
      </c>
      <c r="J708" s="75"/>
      <c r="K708" s="5">
        <v>46147</v>
      </c>
      <c r="Q708" s="9"/>
      <c r="S708" s="3"/>
    </row>
    <row r="709" spans="1:19" ht="15" hidden="1" customHeight="1" x14ac:dyDescent="0.35">
      <c r="A709" s="26" t="s">
        <v>1844</v>
      </c>
      <c r="B709" s="27" t="s">
        <v>1703</v>
      </c>
      <c r="C709" s="28"/>
      <c r="D709" s="29" t="s">
        <v>1725</v>
      </c>
      <c r="E709" s="76">
        <v>810000</v>
      </c>
      <c r="F709" s="77">
        <f t="shared" si="34"/>
        <v>64800</v>
      </c>
      <c r="G709" s="31">
        <f t="shared" si="36"/>
        <v>874800</v>
      </c>
      <c r="H709" s="74">
        <v>874800</v>
      </c>
      <c r="I709" s="75">
        <f t="shared" si="35"/>
        <v>0</v>
      </c>
      <c r="J709" s="75"/>
      <c r="K709" s="5">
        <v>46147</v>
      </c>
      <c r="Q709" s="9"/>
      <c r="S709" s="3"/>
    </row>
    <row r="710" spans="1:19" ht="15" hidden="1" customHeight="1" x14ac:dyDescent="0.35">
      <c r="A710" s="26" t="s">
        <v>1845</v>
      </c>
      <c r="B710" s="27" t="s">
        <v>1704</v>
      </c>
      <c r="C710" s="28">
        <v>2417</v>
      </c>
      <c r="D710" s="29">
        <v>46106</v>
      </c>
      <c r="E710" s="76">
        <v>3539000</v>
      </c>
      <c r="F710" s="77">
        <f t="shared" si="34"/>
        <v>283120</v>
      </c>
      <c r="G710" s="31">
        <f t="shared" si="36"/>
        <v>3822120</v>
      </c>
      <c r="H710" s="74">
        <v>3822120</v>
      </c>
      <c r="I710" s="75">
        <f t="shared" si="35"/>
        <v>0</v>
      </c>
      <c r="J710" s="75"/>
      <c r="K710" s="5">
        <v>46147</v>
      </c>
      <c r="Q710" s="9"/>
      <c r="S710" s="3"/>
    </row>
    <row r="711" spans="1:19" ht="15" hidden="1" customHeight="1" x14ac:dyDescent="0.35">
      <c r="A711" s="26" t="s">
        <v>1846</v>
      </c>
      <c r="B711" s="27" t="s">
        <v>1705</v>
      </c>
      <c r="C711" s="28"/>
      <c r="D711" s="29" t="s">
        <v>1725</v>
      </c>
      <c r="E711" s="76">
        <v>640000</v>
      </c>
      <c r="F711" s="77">
        <f t="shared" si="34"/>
        <v>51200</v>
      </c>
      <c r="G711" s="31">
        <f t="shared" si="36"/>
        <v>691200</v>
      </c>
      <c r="H711" s="74">
        <v>691200</v>
      </c>
      <c r="I711" s="75">
        <f t="shared" si="35"/>
        <v>0</v>
      </c>
      <c r="J711" s="75"/>
      <c r="K711" s="5">
        <v>46147</v>
      </c>
      <c r="Q711" s="9"/>
      <c r="S711" s="3"/>
    </row>
    <row r="712" spans="1:19" ht="15" hidden="1" customHeight="1" x14ac:dyDescent="0.35">
      <c r="A712" s="26" t="s">
        <v>1847</v>
      </c>
      <c r="B712" s="27" t="s">
        <v>1706</v>
      </c>
      <c r="C712" s="28"/>
      <c r="D712" s="29" t="s">
        <v>1725</v>
      </c>
      <c r="E712" s="76">
        <v>4290000</v>
      </c>
      <c r="F712" s="77">
        <f t="shared" si="34"/>
        <v>343200</v>
      </c>
      <c r="G712" s="31">
        <f t="shared" si="36"/>
        <v>4633200</v>
      </c>
      <c r="H712" s="74">
        <v>4633200</v>
      </c>
      <c r="I712" s="75">
        <f t="shared" si="35"/>
        <v>0</v>
      </c>
      <c r="J712" s="75"/>
      <c r="K712" s="5">
        <v>46157</v>
      </c>
      <c r="Q712" s="9"/>
      <c r="S712" s="3"/>
    </row>
    <row r="713" spans="1:19" ht="15" hidden="1" customHeight="1" x14ac:dyDescent="0.35">
      <c r="A713" s="26" t="s">
        <v>1848</v>
      </c>
      <c r="B713" s="27" t="s">
        <v>1707</v>
      </c>
      <c r="C713" s="28"/>
      <c r="D713" s="29" t="s">
        <v>1725</v>
      </c>
      <c r="E713" s="76">
        <v>5400000</v>
      </c>
      <c r="F713" s="77">
        <f t="shared" si="34"/>
        <v>432000</v>
      </c>
      <c r="G713" s="31">
        <f t="shared" si="36"/>
        <v>5832000</v>
      </c>
      <c r="H713" s="74">
        <v>5832000</v>
      </c>
      <c r="I713" s="75">
        <f t="shared" si="35"/>
        <v>0</v>
      </c>
      <c r="J713" s="75"/>
      <c r="K713" s="5">
        <v>46147</v>
      </c>
      <c r="Q713" s="9"/>
      <c r="S713" s="3"/>
    </row>
    <row r="714" spans="1:19" ht="15" hidden="1" customHeight="1" x14ac:dyDescent="0.35">
      <c r="A714" s="26" t="s">
        <v>1849</v>
      </c>
      <c r="B714" s="32" t="s">
        <v>1708</v>
      </c>
      <c r="C714" s="28"/>
      <c r="D714" s="29" t="s">
        <v>1725</v>
      </c>
      <c r="E714" s="76">
        <v>1920000</v>
      </c>
      <c r="F714" s="77">
        <f t="shared" si="34"/>
        <v>153600</v>
      </c>
      <c r="G714" s="31">
        <f t="shared" si="36"/>
        <v>2073600</v>
      </c>
      <c r="H714" s="74">
        <v>2073600</v>
      </c>
      <c r="I714" s="75">
        <f t="shared" si="35"/>
        <v>0</v>
      </c>
      <c r="J714" s="75"/>
      <c r="K714" s="5">
        <v>46147</v>
      </c>
      <c r="Q714" s="9"/>
      <c r="S714" s="3"/>
    </row>
    <row r="715" spans="1:19" ht="15" hidden="1" customHeight="1" x14ac:dyDescent="0.35">
      <c r="A715" s="26" t="s">
        <v>1850</v>
      </c>
      <c r="B715" s="32" t="s">
        <v>1709</v>
      </c>
      <c r="C715" s="28"/>
      <c r="D715" s="29" t="s">
        <v>1725</v>
      </c>
      <c r="E715" s="76">
        <v>1755000</v>
      </c>
      <c r="F715" s="77">
        <f t="shared" si="34"/>
        <v>140400</v>
      </c>
      <c r="G715" s="31">
        <f t="shared" si="36"/>
        <v>1895400</v>
      </c>
      <c r="H715" s="74">
        <v>1895400</v>
      </c>
      <c r="I715" s="75">
        <f t="shared" si="35"/>
        <v>0</v>
      </c>
      <c r="J715" s="75"/>
      <c r="K715" s="5">
        <v>46147</v>
      </c>
      <c r="Q715" s="9"/>
      <c r="S715" s="3"/>
    </row>
    <row r="716" spans="1:19" ht="15" hidden="1" customHeight="1" x14ac:dyDescent="0.35">
      <c r="A716" s="26" t="s">
        <v>1851</v>
      </c>
      <c r="B716" s="32" t="s">
        <v>1710</v>
      </c>
      <c r="C716" s="28"/>
      <c r="D716" s="29" t="s">
        <v>1725</v>
      </c>
      <c r="E716" s="76">
        <v>3720000</v>
      </c>
      <c r="F716" s="77">
        <f t="shared" si="34"/>
        <v>297600</v>
      </c>
      <c r="G716" s="31">
        <f t="shared" si="36"/>
        <v>4017600</v>
      </c>
      <c r="H716" s="74">
        <v>4017600</v>
      </c>
      <c r="I716" s="75">
        <f t="shared" si="35"/>
        <v>0</v>
      </c>
      <c r="J716" s="75"/>
      <c r="K716" s="5">
        <v>46147</v>
      </c>
      <c r="Q716" s="9"/>
      <c r="S716" s="3"/>
    </row>
    <row r="717" spans="1:19" ht="15" hidden="1" customHeight="1" x14ac:dyDescent="0.35">
      <c r="A717" s="26" t="s">
        <v>1852</v>
      </c>
      <c r="B717" s="27" t="s">
        <v>1711</v>
      </c>
      <c r="C717" s="28">
        <v>2613</v>
      </c>
      <c r="D717" s="29">
        <v>46115</v>
      </c>
      <c r="E717" s="76">
        <v>7403500</v>
      </c>
      <c r="F717" s="77">
        <f t="shared" si="34"/>
        <v>592280</v>
      </c>
      <c r="G717" s="31">
        <f t="shared" si="36"/>
        <v>7995780</v>
      </c>
      <c r="H717" s="74">
        <v>7995780</v>
      </c>
      <c r="I717" s="75">
        <f t="shared" si="35"/>
        <v>0</v>
      </c>
      <c r="J717" s="75"/>
      <c r="K717" s="5">
        <v>46157</v>
      </c>
      <c r="Q717" s="9"/>
      <c r="S717" s="3"/>
    </row>
    <row r="718" spans="1:19" ht="15" hidden="1" customHeight="1" x14ac:dyDescent="0.35">
      <c r="A718" s="26" t="s">
        <v>1853</v>
      </c>
      <c r="B718" s="32" t="s">
        <v>1712</v>
      </c>
      <c r="C718" s="28"/>
      <c r="D718" s="29" t="s">
        <v>1725</v>
      </c>
      <c r="E718" s="76">
        <v>1005000</v>
      </c>
      <c r="F718" s="77">
        <f t="shared" si="34"/>
        <v>80400</v>
      </c>
      <c r="G718" s="31">
        <f t="shared" si="36"/>
        <v>1085400</v>
      </c>
      <c r="H718" s="74">
        <v>1085400</v>
      </c>
      <c r="I718" s="75">
        <f t="shared" si="35"/>
        <v>0</v>
      </c>
      <c r="J718" s="75"/>
      <c r="K718" s="5">
        <v>46147</v>
      </c>
      <c r="Q718" s="9"/>
      <c r="S718" s="3"/>
    </row>
    <row r="719" spans="1:19" ht="15" hidden="1" customHeight="1" x14ac:dyDescent="0.35">
      <c r="A719" s="26" t="s">
        <v>1854</v>
      </c>
      <c r="B719" s="27" t="s">
        <v>1713</v>
      </c>
      <c r="C719" s="28"/>
      <c r="D719" s="29" t="s">
        <v>1725</v>
      </c>
      <c r="E719" s="76">
        <v>810000</v>
      </c>
      <c r="F719" s="77">
        <f t="shared" si="34"/>
        <v>64800</v>
      </c>
      <c r="G719" s="31">
        <f t="shared" si="36"/>
        <v>874800</v>
      </c>
      <c r="H719" s="74">
        <v>874800</v>
      </c>
      <c r="I719" s="75">
        <f t="shared" si="35"/>
        <v>0</v>
      </c>
      <c r="J719" s="75"/>
      <c r="K719" s="5">
        <v>46147</v>
      </c>
      <c r="Q719" s="9"/>
      <c r="S719" s="3"/>
    </row>
    <row r="720" spans="1:19" ht="15" hidden="1" customHeight="1" x14ac:dyDescent="0.35">
      <c r="A720" s="26" t="s">
        <v>1855</v>
      </c>
      <c r="B720" s="32" t="s">
        <v>1714</v>
      </c>
      <c r="C720" s="28"/>
      <c r="D720" s="29" t="s">
        <v>1725</v>
      </c>
      <c r="E720" s="76">
        <v>13650000</v>
      </c>
      <c r="F720" s="77">
        <f t="shared" si="34"/>
        <v>1092000</v>
      </c>
      <c r="G720" s="31">
        <f t="shared" si="36"/>
        <v>14742000</v>
      </c>
      <c r="H720" s="74">
        <v>14742000</v>
      </c>
      <c r="I720" s="75">
        <f t="shared" si="35"/>
        <v>0</v>
      </c>
      <c r="J720" s="75"/>
      <c r="K720" s="5">
        <v>46147</v>
      </c>
      <c r="Q720" s="9"/>
      <c r="S720" s="3"/>
    </row>
    <row r="721" spans="1:19" ht="15" hidden="1" customHeight="1" x14ac:dyDescent="0.35">
      <c r="A721" s="26" t="s">
        <v>1856</v>
      </c>
      <c r="B721" s="27" t="s">
        <v>1715</v>
      </c>
      <c r="C721" s="28"/>
      <c r="D721" s="29" t="s">
        <v>1725</v>
      </c>
      <c r="E721" s="76">
        <v>3045000</v>
      </c>
      <c r="F721" s="77">
        <f t="shared" si="34"/>
        <v>243600</v>
      </c>
      <c r="G721" s="31">
        <f t="shared" si="36"/>
        <v>3288600</v>
      </c>
      <c r="H721" s="74">
        <v>3288600</v>
      </c>
      <c r="I721" s="75">
        <f t="shared" si="35"/>
        <v>0</v>
      </c>
      <c r="J721" s="75"/>
      <c r="K721" s="5">
        <v>46147</v>
      </c>
      <c r="Q721" s="9"/>
      <c r="S721" s="3"/>
    </row>
    <row r="722" spans="1:19" ht="15" hidden="1" customHeight="1" x14ac:dyDescent="0.35">
      <c r="A722" s="26" t="s">
        <v>1857</v>
      </c>
      <c r="B722" s="32" t="s">
        <v>1716</v>
      </c>
      <c r="C722" s="28">
        <v>3399</v>
      </c>
      <c r="D722" s="29">
        <v>46141</v>
      </c>
      <c r="E722" s="76">
        <v>6187600</v>
      </c>
      <c r="F722" s="77">
        <f t="shared" si="34"/>
        <v>495008</v>
      </c>
      <c r="G722" s="31">
        <f t="shared" si="36"/>
        <v>6682608</v>
      </c>
      <c r="H722" s="74">
        <v>6682608</v>
      </c>
      <c r="I722" s="75">
        <f t="shared" si="35"/>
        <v>0</v>
      </c>
      <c r="J722" s="75"/>
      <c r="L722" s="5">
        <v>46178</v>
      </c>
      <c r="Q722" s="9"/>
      <c r="S722" s="3"/>
    </row>
    <row r="723" spans="1:19" ht="15" hidden="1" customHeight="1" x14ac:dyDescent="0.35">
      <c r="A723" s="26" t="s">
        <v>1891</v>
      </c>
      <c r="B723" s="32" t="s">
        <v>1859</v>
      </c>
      <c r="C723" s="28"/>
      <c r="D723" s="29" t="s">
        <v>1886</v>
      </c>
      <c r="E723" s="76">
        <v>12870000</v>
      </c>
      <c r="F723" s="77">
        <f t="shared" si="34"/>
        <v>1029600</v>
      </c>
      <c r="G723" s="31">
        <f t="shared" si="36"/>
        <v>13899600</v>
      </c>
      <c r="H723" s="74">
        <v>13899600</v>
      </c>
      <c r="I723" s="75">
        <f t="shared" si="35"/>
        <v>0</v>
      </c>
      <c r="J723" s="75"/>
      <c r="K723" s="5">
        <v>46157</v>
      </c>
      <c r="Q723" s="9"/>
      <c r="S723" s="3"/>
    </row>
    <row r="724" spans="1:19" ht="15" hidden="1" customHeight="1" x14ac:dyDescent="0.35">
      <c r="A724" s="26" t="s">
        <v>1892</v>
      </c>
      <c r="B724" s="27" t="s">
        <v>1860</v>
      </c>
      <c r="C724" s="28"/>
      <c r="D724" s="29" t="s">
        <v>1886</v>
      </c>
      <c r="E724" s="76">
        <v>3915000</v>
      </c>
      <c r="F724" s="77">
        <f t="shared" si="34"/>
        <v>313200</v>
      </c>
      <c r="G724" s="31">
        <f t="shared" si="36"/>
        <v>4228200</v>
      </c>
      <c r="H724" s="74">
        <v>4228200</v>
      </c>
      <c r="I724" s="75">
        <f t="shared" si="35"/>
        <v>0</v>
      </c>
      <c r="J724" s="75"/>
      <c r="K724" s="5">
        <v>46147</v>
      </c>
      <c r="Q724" s="9"/>
      <c r="S724" s="3"/>
    </row>
    <row r="725" spans="1:19" ht="15" hidden="1" customHeight="1" x14ac:dyDescent="0.35">
      <c r="A725" s="26" t="s">
        <v>1893</v>
      </c>
      <c r="B725" s="32" t="s">
        <v>297</v>
      </c>
      <c r="C725" s="28"/>
      <c r="D725" s="29" t="s">
        <v>1887</v>
      </c>
      <c r="E725" s="76">
        <v>1132800</v>
      </c>
      <c r="F725" s="77">
        <f t="shared" si="34"/>
        <v>90624</v>
      </c>
      <c r="G725" s="31">
        <f t="shared" si="36"/>
        <v>1223424</v>
      </c>
      <c r="H725" s="74">
        <v>1223424</v>
      </c>
      <c r="I725" s="75">
        <f t="shared" si="35"/>
        <v>0</v>
      </c>
      <c r="J725" s="75"/>
      <c r="L725" s="5">
        <v>46147</v>
      </c>
      <c r="Q725" s="9"/>
      <c r="S725" s="3"/>
    </row>
    <row r="726" spans="1:19" ht="15" hidden="1" customHeight="1" x14ac:dyDescent="0.35">
      <c r="A726" s="26" t="s">
        <v>1894</v>
      </c>
      <c r="B726" s="32" t="s">
        <v>1861</v>
      </c>
      <c r="C726" s="28"/>
      <c r="D726" s="29" t="s">
        <v>1887</v>
      </c>
      <c r="E726" s="76">
        <v>1972800</v>
      </c>
      <c r="F726" s="77">
        <f t="shared" si="34"/>
        <v>157824</v>
      </c>
      <c r="G726" s="31">
        <f t="shared" si="36"/>
        <v>2130624</v>
      </c>
      <c r="H726" s="74">
        <v>2130624</v>
      </c>
      <c r="I726" s="75">
        <f t="shared" si="35"/>
        <v>0</v>
      </c>
      <c r="J726" s="75"/>
      <c r="L726" s="5">
        <v>46147</v>
      </c>
      <c r="Q726" s="9"/>
      <c r="S726" s="3"/>
    </row>
    <row r="727" spans="1:19" ht="15" hidden="1" customHeight="1" x14ac:dyDescent="0.35">
      <c r="A727" s="26" t="s">
        <v>1895</v>
      </c>
      <c r="B727" s="32" t="s">
        <v>1862</v>
      </c>
      <c r="C727" s="28"/>
      <c r="D727" s="29" t="s">
        <v>1887</v>
      </c>
      <c r="E727" s="76">
        <v>1005000</v>
      </c>
      <c r="F727" s="77">
        <f t="shared" si="34"/>
        <v>80400</v>
      </c>
      <c r="G727" s="31">
        <f t="shared" si="36"/>
        <v>1085400</v>
      </c>
      <c r="H727" s="74">
        <v>1085400</v>
      </c>
      <c r="I727" s="75">
        <f t="shared" si="35"/>
        <v>0</v>
      </c>
      <c r="J727" s="75"/>
      <c r="K727" s="5">
        <v>46157</v>
      </c>
      <c r="Q727" s="9"/>
      <c r="S727" s="3"/>
    </row>
    <row r="728" spans="1:19" ht="15" hidden="1" customHeight="1" x14ac:dyDescent="0.35">
      <c r="A728" s="26" t="s">
        <v>1896</v>
      </c>
      <c r="B728" s="32" t="s">
        <v>1863</v>
      </c>
      <c r="C728" s="28"/>
      <c r="D728" s="29" t="s">
        <v>1887</v>
      </c>
      <c r="E728" s="76">
        <v>1680000</v>
      </c>
      <c r="F728" s="77">
        <f t="shared" si="34"/>
        <v>134400</v>
      </c>
      <c r="G728" s="31">
        <f t="shared" si="36"/>
        <v>1814400</v>
      </c>
      <c r="H728" s="74">
        <v>1814400</v>
      </c>
      <c r="I728" s="75">
        <f t="shared" si="35"/>
        <v>0</v>
      </c>
      <c r="J728" s="75"/>
      <c r="L728" s="5">
        <v>46147</v>
      </c>
      <c r="Q728" s="9"/>
      <c r="S728" s="3"/>
    </row>
    <row r="729" spans="1:19" ht="15" hidden="1" customHeight="1" x14ac:dyDescent="0.35">
      <c r="A729" s="26" t="s">
        <v>1897</v>
      </c>
      <c r="B729" s="32" t="s">
        <v>1864</v>
      </c>
      <c r="C729" s="28"/>
      <c r="D729" s="29" t="s">
        <v>1887</v>
      </c>
      <c r="E729" s="76">
        <v>840000</v>
      </c>
      <c r="F729" s="77">
        <f t="shared" si="34"/>
        <v>67200</v>
      </c>
      <c r="G729" s="31">
        <f t="shared" si="36"/>
        <v>907200</v>
      </c>
      <c r="H729" s="74">
        <v>907200</v>
      </c>
      <c r="I729" s="75">
        <f t="shared" si="35"/>
        <v>0</v>
      </c>
      <c r="J729" s="75"/>
      <c r="L729" s="5">
        <v>46147</v>
      </c>
      <c r="Q729" s="9"/>
      <c r="S729" s="3"/>
    </row>
    <row r="730" spans="1:19" ht="15" hidden="1" customHeight="1" x14ac:dyDescent="0.35">
      <c r="A730" s="26" t="s">
        <v>1898</v>
      </c>
      <c r="B730" s="32" t="s">
        <v>1865</v>
      </c>
      <c r="C730" s="28"/>
      <c r="D730" s="29" t="s">
        <v>1887</v>
      </c>
      <c r="E730" s="76">
        <v>1132800</v>
      </c>
      <c r="F730" s="77">
        <f t="shared" si="34"/>
        <v>90624</v>
      </c>
      <c r="G730" s="31">
        <f t="shared" si="36"/>
        <v>1223424</v>
      </c>
      <c r="H730" s="74">
        <v>1223424</v>
      </c>
      <c r="I730" s="75">
        <f t="shared" si="35"/>
        <v>0</v>
      </c>
      <c r="J730" s="75"/>
      <c r="L730" s="5">
        <v>46147</v>
      </c>
      <c r="Q730" s="9"/>
      <c r="S730" s="3"/>
    </row>
    <row r="731" spans="1:19" ht="15" hidden="1" customHeight="1" x14ac:dyDescent="0.35">
      <c r="A731" s="26" t="s">
        <v>1899</v>
      </c>
      <c r="B731" s="32" t="s">
        <v>1866</v>
      </c>
      <c r="C731" s="28"/>
      <c r="D731" s="29" t="s">
        <v>1887</v>
      </c>
      <c r="E731" s="76">
        <v>840000</v>
      </c>
      <c r="F731" s="77">
        <f t="shared" si="34"/>
        <v>67200</v>
      </c>
      <c r="G731" s="31">
        <f t="shared" si="36"/>
        <v>907200</v>
      </c>
      <c r="H731" s="74">
        <v>907200</v>
      </c>
      <c r="I731" s="75">
        <f t="shared" si="35"/>
        <v>0</v>
      </c>
      <c r="J731" s="75"/>
      <c r="L731" s="5">
        <v>46147</v>
      </c>
      <c r="Q731" s="9"/>
      <c r="S731" s="3"/>
    </row>
    <row r="732" spans="1:19" ht="15" hidden="1" customHeight="1" x14ac:dyDescent="0.35">
      <c r="A732" s="26" t="s">
        <v>1900</v>
      </c>
      <c r="B732" s="32" t="s">
        <v>1867</v>
      </c>
      <c r="C732" s="28"/>
      <c r="D732" s="29" t="s">
        <v>1888</v>
      </c>
      <c r="E732" s="76">
        <v>14210000</v>
      </c>
      <c r="F732" s="77">
        <f t="shared" si="34"/>
        <v>1136800</v>
      </c>
      <c r="G732" s="31">
        <f t="shared" si="36"/>
        <v>15346800</v>
      </c>
      <c r="H732" s="74">
        <v>15346800</v>
      </c>
      <c r="I732" s="75">
        <f t="shared" si="35"/>
        <v>0</v>
      </c>
      <c r="J732" s="75"/>
      <c r="K732" s="5">
        <v>46157</v>
      </c>
      <c r="Q732" s="9"/>
      <c r="S732" s="3"/>
    </row>
    <row r="733" spans="1:19" ht="15" hidden="1" customHeight="1" x14ac:dyDescent="0.35">
      <c r="A733" s="26" t="s">
        <v>1901</v>
      </c>
      <c r="B733" s="27" t="s">
        <v>1868</v>
      </c>
      <c r="C733" s="28"/>
      <c r="D733" s="29" t="s">
        <v>1888</v>
      </c>
      <c r="E733" s="76">
        <v>20370000</v>
      </c>
      <c r="F733" s="77">
        <f t="shared" si="34"/>
        <v>1629600</v>
      </c>
      <c r="G733" s="31">
        <f t="shared" si="36"/>
        <v>21999600</v>
      </c>
      <c r="H733" s="74">
        <v>21999600</v>
      </c>
      <c r="I733" s="75">
        <f t="shared" si="35"/>
        <v>0</v>
      </c>
      <c r="J733" s="75"/>
      <c r="K733" s="5">
        <v>46157</v>
      </c>
      <c r="Q733" s="9"/>
      <c r="S733" s="3"/>
    </row>
    <row r="734" spans="1:19" ht="15" hidden="1" customHeight="1" x14ac:dyDescent="0.35">
      <c r="A734" s="26" t="s">
        <v>1902</v>
      </c>
      <c r="B734" s="32" t="s">
        <v>1869</v>
      </c>
      <c r="C734" s="28"/>
      <c r="D734" s="29" t="s">
        <v>1888</v>
      </c>
      <c r="E734" s="76">
        <v>1005000</v>
      </c>
      <c r="F734" s="77">
        <f t="shared" si="34"/>
        <v>80400</v>
      </c>
      <c r="G734" s="31">
        <f t="shared" si="36"/>
        <v>1085400</v>
      </c>
      <c r="H734" s="74">
        <v>1085400</v>
      </c>
      <c r="I734" s="75">
        <f t="shared" si="35"/>
        <v>0</v>
      </c>
      <c r="J734" s="75"/>
      <c r="K734" s="5">
        <v>46157</v>
      </c>
      <c r="Q734" s="9"/>
      <c r="S734" s="3"/>
    </row>
    <row r="735" spans="1:19" ht="15" hidden="1" customHeight="1" x14ac:dyDescent="0.35">
      <c r="A735" s="26" t="s">
        <v>1903</v>
      </c>
      <c r="B735" s="32" t="s">
        <v>1870</v>
      </c>
      <c r="C735" s="28"/>
      <c r="D735" s="29" t="s">
        <v>1888</v>
      </c>
      <c r="E735" s="76">
        <v>840000</v>
      </c>
      <c r="F735" s="77">
        <f t="shared" si="34"/>
        <v>67200</v>
      </c>
      <c r="G735" s="31">
        <f t="shared" si="36"/>
        <v>907200</v>
      </c>
      <c r="H735" s="74">
        <v>907200</v>
      </c>
      <c r="I735" s="75">
        <f t="shared" si="35"/>
        <v>0</v>
      </c>
      <c r="J735" s="75"/>
      <c r="L735" s="5">
        <v>46147</v>
      </c>
      <c r="Q735" s="9"/>
      <c r="S735" s="3"/>
    </row>
    <row r="736" spans="1:19" ht="15" hidden="1" customHeight="1" x14ac:dyDescent="0.35">
      <c r="A736" s="26" t="s">
        <v>1904</v>
      </c>
      <c r="B736" s="32" t="s">
        <v>1871</v>
      </c>
      <c r="C736" s="28"/>
      <c r="D736" s="29" t="s">
        <v>1888</v>
      </c>
      <c r="E736" s="76">
        <v>5245000</v>
      </c>
      <c r="F736" s="77">
        <f t="shared" si="34"/>
        <v>419600</v>
      </c>
      <c r="G736" s="31">
        <f t="shared" si="36"/>
        <v>5664600</v>
      </c>
      <c r="H736" s="74">
        <v>5664600</v>
      </c>
      <c r="I736" s="75">
        <f t="shared" si="35"/>
        <v>0</v>
      </c>
      <c r="J736" s="75"/>
      <c r="K736" s="5">
        <v>46157</v>
      </c>
      <c r="Q736" s="9"/>
      <c r="S736" s="3"/>
    </row>
    <row r="737" spans="1:19" ht="15" hidden="1" customHeight="1" x14ac:dyDescent="0.35">
      <c r="A737" s="26" t="s">
        <v>1905</v>
      </c>
      <c r="B737" s="32" t="s">
        <v>1872</v>
      </c>
      <c r="C737" s="28"/>
      <c r="D737" s="29" t="s">
        <v>1888</v>
      </c>
      <c r="E737" s="76">
        <v>5575000</v>
      </c>
      <c r="F737" s="77">
        <f t="shared" si="34"/>
        <v>446000</v>
      </c>
      <c r="G737" s="31">
        <f t="shared" si="36"/>
        <v>6021000</v>
      </c>
      <c r="H737" s="74">
        <v>6021000</v>
      </c>
      <c r="I737" s="75">
        <f t="shared" si="35"/>
        <v>0</v>
      </c>
      <c r="J737" s="75"/>
      <c r="K737" s="5">
        <v>46157</v>
      </c>
      <c r="Q737" s="9"/>
      <c r="S737" s="3"/>
    </row>
    <row r="738" spans="1:19" ht="15" hidden="1" customHeight="1" x14ac:dyDescent="0.35">
      <c r="A738" s="26" t="s">
        <v>1906</v>
      </c>
      <c r="B738" s="32" t="s">
        <v>1873</v>
      </c>
      <c r="C738" s="28"/>
      <c r="D738" s="29" t="s">
        <v>1888</v>
      </c>
      <c r="E738" s="76">
        <v>2930000</v>
      </c>
      <c r="F738" s="77">
        <f t="shared" si="34"/>
        <v>234400</v>
      </c>
      <c r="G738" s="31">
        <f t="shared" si="36"/>
        <v>3164400</v>
      </c>
      <c r="H738" s="74">
        <v>3164400</v>
      </c>
      <c r="I738" s="75">
        <f t="shared" si="35"/>
        <v>0</v>
      </c>
      <c r="J738" s="75"/>
      <c r="K738" s="5">
        <v>46157</v>
      </c>
      <c r="Q738" s="9"/>
      <c r="S738" s="3"/>
    </row>
    <row r="739" spans="1:19" ht="15" hidden="1" customHeight="1" x14ac:dyDescent="0.35">
      <c r="A739" s="26" t="s">
        <v>1907</v>
      </c>
      <c r="B739" s="32" t="s">
        <v>1874</v>
      </c>
      <c r="C739" s="28"/>
      <c r="D739" s="29" t="s">
        <v>1888</v>
      </c>
      <c r="E739" s="76">
        <v>1040000</v>
      </c>
      <c r="F739" s="77">
        <f t="shared" si="34"/>
        <v>83200</v>
      </c>
      <c r="G739" s="31">
        <f t="shared" si="36"/>
        <v>1123200</v>
      </c>
      <c r="H739" s="74">
        <v>1123200</v>
      </c>
      <c r="I739" s="75">
        <f t="shared" si="35"/>
        <v>0</v>
      </c>
      <c r="J739" s="75"/>
      <c r="K739" s="5">
        <v>46157</v>
      </c>
      <c r="Q739" s="9"/>
      <c r="S739" s="3"/>
    </row>
    <row r="740" spans="1:19" ht="15" hidden="1" customHeight="1" x14ac:dyDescent="0.35">
      <c r="A740" s="26" t="s">
        <v>1908</v>
      </c>
      <c r="B740" s="32" t="s">
        <v>1875</v>
      </c>
      <c r="C740" s="28"/>
      <c r="D740" s="29" t="s">
        <v>1888</v>
      </c>
      <c r="E740" s="76">
        <v>1005000</v>
      </c>
      <c r="F740" s="77">
        <f t="shared" si="34"/>
        <v>80400</v>
      </c>
      <c r="G740" s="31">
        <f t="shared" si="36"/>
        <v>1085400</v>
      </c>
      <c r="H740" s="74">
        <v>1085400</v>
      </c>
      <c r="I740" s="75">
        <f t="shared" si="35"/>
        <v>0</v>
      </c>
      <c r="J740" s="75"/>
      <c r="K740" s="5">
        <v>46157</v>
      </c>
      <c r="Q740" s="9"/>
      <c r="S740" s="3"/>
    </row>
    <row r="741" spans="1:19" ht="15" hidden="1" customHeight="1" x14ac:dyDescent="0.35">
      <c r="A741" s="26" t="s">
        <v>1909</v>
      </c>
      <c r="B741" s="32" t="s">
        <v>1876</v>
      </c>
      <c r="C741" s="28">
        <v>2929</v>
      </c>
      <c r="D741" s="29">
        <v>46126</v>
      </c>
      <c r="E741" s="76">
        <v>320000</v>
      </c>
      <c r="F741" s="77">
        <f t="shared" si="34"/>
        <v>25600</v>
      </c>
      <c r="G741" s="31">
        <f t="shared" si="36"/>
        <v>345600</v>
      </c>
      <c r="H741" s="74">
        <v>345600</v>
      </c>
      <c r="I741" s="75">
        <f t="shared" si="35"/>
        <v>0</v>
      </c>
      <c r="J741" s="75"/>
      <c r="K741" s="5">
        <v>46178</v>
      </c>
      <c r="Q741" s="9"/>
      <c r="S741" s="3"/>
    </row>
    <row r="742" spans="1:19" ht="15" hidden="1" customHeight="1" x14ac:dyDescent="0.35">
      <c r="A742" s="26" t="s">
        <v>1910</v>
      </c>
      <c r="B742" s="32" t="s">
        <v>298</v>
      </c>
      <c r="C742" s="28"/>
      <c r="D742" s="29" t="s">
        <v>1888</v>
      </c>
      <c r="E742" s="76">
        <v>810000</v>
      </c>
      <c r="F742" s="77">
        <f t="shared" si="34"/>
        <v>64800</v>
      </c>
      <c r="G742" s="31">
        <f t="shared" si="36"/>
        <v>874800</v>
      </c>
      <c r="H742" s="31">
        <v>874800</v>
      </c>
      <c r="I742" s="75">
        <f t="shared" si="35"/>
        <v>0</v>
      </c>
      <c r="J742" s="75"/>
      <c r="K742" s="5">
        <v>46157</v>
      </c>
      <c r="Q742" s="9"/>
      <c r="S742" s="3"/>
    </row>
    <row r="743" spans="1:19" ht="15" hidden="1" customHeight="1" x14ac:dyDescent="0.35">
      <c r="A743" s="26" t="s">
        <v>1911</v>
      </c>
      <c r="B743" s="32" t="s">
        <v>299</v>
      </c>
      <c r="C743" s="28"/>
      <c r="D743" s="29" t="s">
        <v>1889</v>
      </c>
      <c r="E743" s="76">
        <v>6765000</v>
      </c>
      <c r="F743" s="77">
        <f t="shared" si="34"/>
        <v>541200</v>
      </c>
      <c r="G743" s="31">
        <f t="shared" si="36"/>
        <v>7306200</v>
      </c>
      <c r="H743" s="74">
        <v>7306200</v>
      </c>
      <c r="I743" s="75">
        <f t="shared" si="35"/>
        <v>0</v>
      </c>
      <c r="J743" s="75"/>
      <c r="K743" s="5">
        <v>46157</v>
      </c>
      <c r="Q743" s="9"/>
      <c r="S743" s="3"/>
    </row>
    <row r="744" spans="1:19" ht="15" hidden="1" customHeight="1" x14ac:dyDescent="0.35">
      <c r="A744" s="26" t="s">
        <v>1912</v>
      </c>
      <c r="B744" s="32" t="s">
        <v>300</v>
      </c>
      <c r="C744" s="28">
        <v>2930</v>
      </c>
      <c r="D744" s="29">
        <v>46126</v>
      </c>
      <c r="E744" s="76">
        <v>1792000</v>
      </c>
      <c r="F744" s="77">
        <f t="shared" si="34"/>
        <v>143360</v>
      </c>
      <c r="G744" s="31">
        <f t="shared" si="36"/>
        <v>1935360</v>
      </c>
      <c r="H744" s="74">
        <v>1935360</v>
      </c>
      <c r="I744" s="75">
        <f t="shared" si="35"/>
        <v>0</v>
      </c>
      <c r="J744" s="75"/>
      <c r="K744" s="5">
        <v>46178</v>
      </c>
      <c r="Q744" s="9"/>
      <c r="S744" s="3"/>
    </row>
    <row r="745" spans="1:19" ht="15" hidden="1" customHeight="1" x14ac:dyDescent="0.35">
      <c r="A745" s="26" t="s">
        <v>1913</v>
      </c>
      <c r="B745" s="32" t="s">
        <v>301</v>
      </c>
      <c r="C745" s="28">
        <v>2926</v>
      </c>
      <c r="D745" s="29">
        <v>46126</v>
      </c>
      <c r="E745" s="76">
        <v>9236000</v>
      </c>
      <c r="F745" s="77">
        <f t="shared" si="34"/>
        <v>738880</v>
      </c>
      <c r="G745" s="31">
        <f t="shared" si="36"/>
        <v>9974880</v>
      </c>
      <c r="H745" s="74">
        <v>9974880</v>
      </c>
      <c r="I745" s="75">
        <f t="shared" si="35"/>
        <v>0</v>
      </c>
      <c r="J745" s="75"/>
      <c r="K745" s="5">
        <v>46178</v>
      </c>
      <c r="Q745" s="9"/>
      <c r="S745" s="3"/>
    </row>
    <row r="746" spans="1:19" ht="15" hidden="1" customHeight="1" x14ac:dyDescent="0.35">
      <c r="A746" s="26" t="s">
        <v>1914</v>
      </c>
      <c r="B746" s="32" t="s">
        <v>302</v>
      </c>
      <c r="C746" s="28"/>
      <c r="D746" s="29" t="s">
        <v>1889</v>
      </c>
      <c r="E746" s="76">
        <v>2530000</v>
      </c>
      <c r="F746" s="77">
        <f t="shared" si="34"/>
        <v>202400</v>
      </c>
      <c r="G746" s="31">
        <f t="shared" si="36"/>
        <v>2732400</v>
      </c>
      <c r="H746" s="74">
        <v>2732400</v>
      </c>
      <c r="I746" s="75">
        <f t="shared" si="35"/>
        <v>0</v>
      </c>
      <c r="J746" s="75"/>
      <c r="K746" s="5">
        <v>46157</v>
      </c>
      <c r="Q746" s="9"/>
      <c r="S746" s="3"/>
    </row>
    <row r="747" spans="1:19" ht="15" hidden="1" customHeight="1" x14ac:dyDescent="0.35">
      <c r="A747" s="26" t="s">
        <v>1915</v>
      </c>
      <c r="B747" s="32" t="s">
        <v>303</v>
      </c>
      <c r="C747" s="28"/>
      <c r="D747" s="29" t="s">
        <v>1889</v>
      </c>
      <c r="E747" s="76">
        <v>960000</v>
      </c>
      <c r="F747" s="77">
        <f t="shared" si="34"/>
        <v>76800</v>
      </c>
      <c r="G747" s="31">
        <f t="shared" si="36"/>
        <v>1036800</v>
      </c>
      <c r="H747" s="74">
        <v>1036800</v>
      </c>
      <c r="I747" s="75">
        <f t="shared" si="35"/>
        <v>0</v>
      </c>
      <c r="J747" s="75"/>
      <c r="K747" s="5">
        <v>46157</v>
      </c>
      <c r="Q747" s="9"/>
      <c r="S747" s="3"/>
    </row>
    <row r="748" spans="1:19" ht="15" hidden="1" customHeight="1" x14ac:dyDescent="0.35">
      <c r="A748" s="26" t="s">
        <v>1916</v>
      </c>
      <c r="B748" s="32" t="s">
        <v>304</v>
      </c>
      <c r="C748" s="28"/>
      <c r="D748" s="29" t="s">
        <v>1889</v>
      </c>
      <c r="E748" s="76">
        <v>2040000</v>
      </c>
      <c r="F748" s="77">
        <f t="shared" si="34"/>
        <v>163200</v>
      </c>
      <c r="G748" s="31">
        <f t="shared" si="36"/>
        <v>2203200</v>
      </c>
      <c r="H748" s="74">
        <v>2203200</v>
      </c>
      <c r="I748" s="75">
        <f t="shared" si="35"/>
        <v>0</v>
      </c>
      <c r="J748" s="75"/>
      <c r="K748" s="5">
        <v>46157</v>
      </c>
      <c r="Q748" s="9"/>
      <c r="S748" s="3"/>
    </row>
    <row r="749" spans="1:19" ht="15" hidden="1" customHeight="1" x14ac:dyDescent="0.35">
      <c r="A749" s="26" t="s">
        <v>1917</v>
      </c>
      <c r="B749" s="32" t="s">
        <v>305</v>
      </c>
      <c r="C749" s="28"/>
      <c r="D749" s="29" t="s">
        <v>1889</v>
      </c>
      <c r="E749" s="76">
        <v>1890000</v>
      </c>
      <c r="F749" s="77">
        <f t="shared" si="34"/>
        <v>151200</v>
      </c>
      <c r="G749" s="31">
        <f t="shared" si="36"/>
        <v>2041200</v>
      </c>
      <c r="H749" s="74">
        <v>2041200</v>
      </c>
      <c r="I749" s="75">
        <f t="shared" si="35"/>
        <v>0</v>
      </c>
      <c r="J749" s="75"/>
      <c r="K749" s="5">
        <v>46157</v>
      </c>
      <c r="Q749" s="9"/>
      <c r="S749" s="3"/>
    </row>
    <row r="750" spans="1:19" ht="15" hidden="1" customHeight="1" x14ac:dyDescent="0.35">
      <c r="A750" s="26" t="s">
        <v>1918</v>
      </c>
      <c r="B750" s="32" t="s">
        <v>306</v>
      </c>
      <c r="C750" s="28"/>
      <c r="D750" s="29" t="s">
        <v>1889</v>
      </c>
      <c r="E750" s="76">
        <v>960000</v>
      </c>
      <c r="F750" s="77">
        <f t="shared" si="34"/>
        <v>76800</v>
      </c>
      <c r="G750" s="31">
        <f t="shared" si="36"/>
        <v>1036800</v>
      </c>
      <c r="H750" s="74">
        <v>1036800</v>
      </c>
      <c r="I750" s="75">
        <f t="shared" si="35"/>
        <v>0</v>
      </c>
      <c r="J750" s="75"/>
      <c r="K750" s="5">
        <v>46178</v>
      </c>
      <c r="Q750" s="9"/>
      <c r="S750" s="3"/>
    </row>
    <row r="751" spans="1:19" ht="15" hidden="1" customHeight="1" x14ac:dyDescent="0.35">
      <c r="A751" s="26" t="s">
        <v>1919</v>
      </c>
      <c r="B751" s="32" t="s">
        <v>1877</v>
      </c>
      <c r="C751" s="28"/>
      <c r="D751" s="29" t="s">
        <v>1889</v>
      </c>
      <c r="E751" s="76">
        <v>900000</v>
      </c>
      <c r="F751" s="77">
        <f t="shared" si="34"/>
        <v>72000</v>
      </c>
      <c r="G751" s="31">
        <f t="shared" si="36"/>
        <v>972000</v>
      </c>
      <c r="H751" s="74">
        <v>972000</v>
      </c>
      <c r="I751" s="75">
        <f t="shared" si="35"/>
        <v>0</v>
      </c>
      <c r="J751" s="75"/>
      <c r="K751" s="5">
        <v>46157</v>
      </c>
      <c r="Q751" s="9"/>
      <c r="S751" s="3"/>
    </row>
    <row r="752" spans="1:19" ht="15" hidden="1" customHeight="1" x14ac:dyDescent="0.35">
      <c r="A752" s="26" t="s">
        <v>1920</v>
      </c>
      <c r="B752" s="32" t="s">
        <v>307</v>
      </c>
      <c r="C752" s="28"/>
      <c r="D752" s="29" t="s">
        <v>1889</v>
      </c>
      <c r="E752" s="76">
        <v>5535000</v>
      </c>
      <c r="F752" s="77">
        <f t="shared" si="34"/>
        <v>442800</v>
      </c>
      <c r="G752" s="31">
        <f t="shared" si="36"/>
        <v>5977800</v>
      </c>
      <c r="H752" s="74">
        <v>5977800</v>
      </c>
      <c r="I752" s="75">
        <f t="shared" si="35"/>
        <v>0</v>
      </c>
      <c r="J752" s="75"/>
      <c r="K752" s="5">
        <v>46157</v>
      </c>
      <c r="Q752" s="9"/>
      <c r="S752" s="3"/>
    </row>
    <row r="753" spans="1:19" ht="15" hidden="1" customHeight="1" x14ac:dyDescent="0.35">
      <c r="A753" s="26" t="s">
        <v>1921</v>
      </c>
      <c r="B753" s="32" t="s">
        <v>308</v>
      </c>
      <c r="C753" s="28">
        <v>2925</v>
      </c>
      <c r="D753" s="29">
        <v>46126</v>
      </c>
      <c r="E753" s="76">
        <v>3387500</v>
      </c>
      <c r="F753" s="77">
        <f t="shared" si="34"/>
        <v>271000</v>
      </c>
      <c r="G753" s="31">
        <f t="shared" si="36"/>
        <v>3658500</v>
      </c>
      <c r="H753" s="74">
        <v>3658500</v>
      </c>
      <c r="I753" s="75">
        <f t="shared" ref="I753:I816" si="37">G753-H753</f>
        <v>0</v>
      </c>
      <c r="J753" s="75"/>
      <c r="K753" s="5">
        <v>46178</v>
      </c>
      <c r="Q753" s="9"/>
      <c r="S753" s="3"/>
    </row>
    <row r="754" spans="1:19" ht="15" hidden="1" customHeight="1" x14ac:dyDescent="0.35">
      <c r="A754" s="26" t="s">
        <v>1922</v>
      </c>
      <c r="B754" s="27" t="s">
        <v>309</v>
      </c>
      <c r="C754" s="28">
        <v>2614</v>
      </c>
      <c r="D754" s="29">
        <v>46115</v>
      </c>
      <c r="E754" s="76">
        <v>5746500</v>
      </c>
      <c r="F754" s="77">
        <f t="shared" ref="F754:F817" si="38">+E754*0.08</f>
        <v>459720</v>
      </c>
      <c r="G754" s="31">
        <f t="shared" si="36"/>
        <v>6206220</v>
      </c>
      <c r="H754" s="74">
        <v>6206220</v>
      </c>
      <c r="I754" s="75">
        <f t="shared" si="37"/>
        <v>0</v>
      </c>
      <c r="J754" s="75"/>
      <c r="K754" s="5">
        <v>46157</v>
      </c>
      <c r="Q754" s="9"/>
      <c r="S754" s="3"/>
    </row>
    <row r="755" spans="1:19" ht="15" hidden="1" customHeight="1" x14ac:dyDescent="0.35">
      <c r="A755" s="26" t="s">
        <v>1923</v>
      </c>
      <c r="B755" s="32" t="s">
        <v>310</v>
      </c>
      <c r="C755" s="28"/>
      <c r="D755" s="29" t="s">
        <v>1889</v>
      </c>
      <c r="E755" s="76">
        <v>990000</v>
      </c>
      <c r="F755" s="77">
        <f t="shared" si="38"/>
        <v>79200</v>
      </c>
      <c r="G755" s="31">
        <f t="shared" si="36"/>
        <v>1069200</v>
      </c>
      <c r="H755" s="74">
        <v>1069200</v>
      </c>
      <c r="I755" s="75">
        <f t="shared" si="37"/>
        <v>0</v>
      </c>
      <c r="J755" s="75"/>
      <c r="K755" s="5">
        <v>46157</v>
      </c>
      <c r="Q755" s="9"/>
      <c r="S755" s="3"/>
    </row>
    <row r="756" spans="1:19" ht="15" hidden="1" customHeight="1" x14ac:dyDescent="0.35">
      <c r="A756" s="26" t="s">
        <v>1924</v>
      </c>
      <c r="B756" s="27" t="s">
        <v>1878</v>
      </c>
      <c r="C756" s="28">
        <v>2659</v>
      </c>
      <c r="D756" s="29">
        <v>46116</v>
      </c>
      <c r="E756" s="76">
        <v>6443000</v>
      </c>
      <c r="F756" s="77">
        <f t="shared" si="38"/>
        <v>515440</v>
      </c>
      <c r="G756" s="31">
        <f t="shared" si="36"/>
        <v>6958440</v>
      </c>
      <c r="H756" s="74">
        <v>6958440</v>
      </c>
      <c r="I756" s="75">
        <f t="shared" si="37"/>
        <v>0</v>
      </c>
      <c r="J756" s="75"/>
      <c r="K756" s="5">
        <v>46157</v>
      </c>
      <c r="Q756" s="9"/>
      <c r="S756" s="3"/>
    </row>
    <row r="757" spans="1:19" ht="15" hidden="1" customHeight="1" x14ac:dyDescent="0.35">
      <c r="A757" s="26" t="s">
        <v>1925</v>
      </c>
      <c r="B757" s="32" t="s">
        <v>311</v>
      </c>
      <c r="C757" s="28"/>
      <c r="D757" s="29" t="s">
        <v>1889</v>
      </c>
      <c r="E757" s="76">
        <v>4710000</v>
      </c>
      <c r="F757" s="77">
        <f t="shared" si="38"/>
        <v>376800</v>
      </c>
      <c r="G757" s="31">
        <f t="shared" si="36"/>
        <v>5086800</v>
      </c>
      <c r="H757" s="74">
        <v>5086800</v>
      </c>
      <c r="I757" s="75">
        <f t="shared" si="37"/>
        <v>0</v>
      </c>
      <c r="J757" s="75"/>
      <c r="K757" s="5">
        <v>46157</v>
      </c>
      <c r="Q757" s="9"/>
      <c r="S757" s="3"/>
    </row>
    <row r="758" spans="1:19" ht="15" hidden="1" customHeight="1" x14ac:dyDescent="0.35">
      <c r="A758" s="26" t="s">
        <v>1926</v>
      </c>
      <c r="B758" s="32" t="s">
        <v>312</v>
      </c>
      <c r="C758" s="28">
        <v>2928</v>
      </c>
      <c r="D758" s="29">
        <v>46126</v>
      </c>
      <c r="E758" s="76">
        <v>5118000</v>
      </c>
      <c r="F758" s="77">
        <f t="shared" si="38"/>
        <v>409440</v>
      </c>
      <c r="G758" s="31">
        <f t="shared" si="36"/>
        <v>5527440</v>
      </c>
      <c r="H758" s="74">
        <v>5527440</v>
      </c>
      <c r="I758" s="75">
        <f t="shared" si="37"/>
        <v>0</v>
      </c>
      <c r="J758" s="75"/>
      <c r="K758" s="5">
        <v>46178</v>
      </c>
      <c r="Q758" s="9"/>
      <c r="S758" s="3"/>
    </row>
    <row r="759" spans="1:19" ht="15" hidden="1" customHeight="1" x14ac:dyDescent="0.35">
      <c r="A759" s="26" t="s">
        <v>1927</v>
      </c>
      <c r="B759" s="32" t="s">
        <v>313</v>
      </c>
      <c r="C759" s="28"/>
      <c r="D759" s="29" t="s">
        <v>1889</v>
      </c>
      <c r="E759" s="76">
        <v>25210000</v>
      </c>
      <c r="F759" s="77">
        <f t="shared" si="38"/>
        <v>2016800</v>
      </c>
      <c r="G759" s="31">
        <f t="shared" si="36"/>
        <v>27226800</v>
      </c>
      <c r="H759" s="74">
        <v>27226800</v>
      </c>
      <c r="I759" s="75">
        <f t="shared" si="37"/>
        <v>0</v>
      </c>
      <c r="J759" s="75"/>
      <c r="K759" s="5">
        <v>46157</v>
      </c>
      <c r="Q759" s="9"/>
      <c r="S759" s="3"/>
    </row>
    <row r="760" spans="1:19" ht="15" hidden="1" customHeight="1" x14ac:dyDescent="0.35">
      <c r="A760" s="26" t="s">
        <v>1928</v>
      </c>
      <c r="B760" s="32" t="s">
        <v>314</v>
      </c>
      <c r="C760" s="28">
        <v>2920</v>
      </c>
      <c r="D760" s="29">
        <v>46126</v>
      </c>
      <c r="E760" s="76">
        <v>3536000</v>
      </c>
      <c r="F760" s="77">
        <f t="shared" si="38"/>
        <v>282880</v>
      </c>
      <c r="G760" s="31">
        <f t="shared" si="36"/>
        <v>3818880</v>
      </c>
      <c r="H760" s="74">
        <v>3818880</v>
      </c>
      <c r="I760" s="75">
        <f t="shared" si="37"/>
        <v>0</v>
      </c>
      <c r="J760" s="75"/>
      <c r="K760" s="5">
        <v>46178</v>
      </c>
      <c r="Q760" s="9"/>
      <c r="S760" s="3"/>
    </row>
    <row r="761" spans="1:19" ht="15" hidden="1" customHeight="1" x14ac:dyDescent="0.35">
      <c r="A761" s="26" t="s">
        <v>1929</v>
      </c>
      <c r="B761" s="32" t="s">
        <v>315</v>
      </c>
      <c r="C761" s="28"/>
      <c r="D761" s="29" t="s">
        <v>1889</v>
      </c>
      <c r="E761" s="76">
        <v>1005000</v>
      </c>
      <c r="F761" s="77">
        <f t="shared" si="38"/>
        <v>80400</v>
      </c>
      <c r="G761" s="31">
        <f t="shared" si="36"/>
        <v>1085400</v>
      </c>
      <c r="H761" s="74">
        <v>1085400</v>
      </c>
      <c r="I761" s="75">
        <f t="shared" si="37"/>
        <v>0</v>
      </c>
      <c r="J761" s="75"/>
      <c r="K761" s="5">
        <v>46157</v>
      </c>
      <c r="Q761" s="9"/>
      <c r="S761" s="3"/>
    </row>
    <row r="762" spans="1:19" ht="15" hidden="1" customHeight="1" x14ac:dyDescent="0.35">
      <c r="A762" s="26" t="s">
        <v>1930</v>
      </c>
      <c r="B762" s="32" t="s">
        <v>316</v>
      </c>
      <c r="C762" s="28"/>
      <c r="D762" s="29" t="s">
        <v>1889</v>
      </c>
      <c r="E762" s="76">
        <v>1920000</v>
      </c>
      <c r="F762" s="77">
        <f t="shared" si="38"/>
        <v>153600</v>
      </c>
      <c r="G762" s="31">
        <f t="shared" si="36"/>
        <v>2073600</v>
      </c>
      <c r="H762" s="74">
        <v>2073600</v>
      </c>
      <c r="I762" s="75">
        <f t="shared" si="37"/>
        <v>0</v>
      </c>
      <c r="J762" s="75"/>
      <c r="K762" s="5">
        <v>46157</v>
      </c>
      <c r="Q762" s="9"/>
      <c r="S762" s="3"/>
    </row>
    <row r="763" spans="1:19" ht="15" hidden="1" customHeight="1" x14ac:dyDescent="0.35">
      <c r="A763" s="26" t="s">
        <v>1931</v>
      </c>
      <c r="B763" s="32" t="s">
        <v>317</v>
      </c>
      <c r="C763" s="28"/>
      <c r="D763" s="29" t="s">
        <v>1889</v>
      </c>
      <c r="E763" s="76">
        <v>12300000</v>
      </c>
      <c r="F763" s="77">
        <f t="shared" si="38"/>
        <v>984000</v>
      </c>
      <c r="G763" s="31">
        <f t="shared" si="36"/>
        <v>13284000</v>
      </c>
      <c r="H763" s="74">
        <v>13284000</v>
      </c>
      <c r="I763" s="75">
        <f t="shared" si="37"/>
        <v>0</v>
      </c>
      <c r="J763" s="75"/>
      <c r="K763" s="5">
        <v>46157</v>
      </c>
      <c r="Q763" s="9"/>
      <c r="S763" s="3"/>
    </row>
    <row r="764" spans="1:19" ht="15" hidden="1" customHeight="1" x14ac:dyDescent="0.35">
      <c r="A764" s="26" t="s">
        <v>1932</v>
      </c>
      <c r="B764" s="32" t="s">
        <v>318</v>
      </c>
      <c r="C764" s="28"/>
      <c r="D764" s="29" t="s">
        <v>1889</v>
      </c>
      <c r="E764" s="76">
        <v>1920000</v>
      </c>
      <c r="F764" s="77">
        <f t="shared" si="38"/>
        <v>153600</v>
      </c>
      <c r="G764" s="31">
        <f t="shared" si="36"/>
        <v>2073600</v>
      </c>
      <c r="H764" s="74">
        <v>2073600</v>
      </c>
      <c r="I764" s="75">
        <f t="shared" si="37"/>
        <v>0</v>
      </c>
      <c r="J764" s="75"/>
      <c r="K764" s="5">
        <v>46157</v>
      </c>
      <c r="Q764" s="9"/>
      <c r="S764" s="3"/>
    </row>
    <row r="765" spans="1:19" ht="15" hidden="1" customHeight="1" x14ac:dyDescent="0.35">
      <c r="A765" s="26" t="s">
        <v>1933</v>
      </c>
      <c r="B765" s="32" t="s">
        <v>319</v>
      </c>
      <c r="C765" s="28"/>
      <c r="D765" s="29" t="s">
        <v>1889</v>
      </c>
      <c r="E765" s="76">
        <v>2940000</v>
      </c>
      <c r="F765" s="77">
        <f t="shared" si="38"/>
        <v>235200</v>
      </c>
      <c r="G765" s="31">
        <f t="shared" si="36"/>
        <v>3175200</v>
      </c>
      <c r="H765" s="74">
        <v>3175200</v>
      </c>
      <c r="I765" s="75">
        <f t="shared" si="37"/>
        <v>0</v>
      </c>
      <c r="J765" s="75"/>
      <c r="K765" s="5">
        <v>46157</v>
      </c>
      <c r="Q765" s="9"/>
      <c r="S765" s="3"/>
    </row>
    <row r="766" spans="1:19" ht="15" hidden="1" customHeight="1" x14ac:dyDescent="0.35">
      <c r="A766" s="26" t="s">
        <v>1934</v>
      </c>
      <c r="B766" s="32" t="s">
        <v>320</v>
      </c>
      <c r="C766" s="28"/>
      <c r="D766" s="29" t="s">
        <v>1889</v>
      </c>
      <c r="E766" s="76">
        <v>1790000</v>
      </c>
      <c r="F766" s="77">
        <f t="shared" si="38"/>
        <v>143200</v>
      </c>
      <c r="G766" s="31">
        <f t="shared" ref="G766:G829" si="39">+F766+E766</f>
        <v>1933200</v>
      </c>
      <c r="H766" s="74">
        <v>1933200</v>
      </c>
      <c r="I766" s="75">
        <f t="shared" si="37"/>
        <v>0</v>
      </c>
      <c r="J766" s="75"/>
      <c r="K766" s="5">
        <v>46157</v>
      </c>
      <c r="Q766" s="9"/>
      <c r="S766" s="3"/>
    </row>
    <row r="767" spans="1:19" ht="15" hidden="1" customHeight="1" x14ac:dyDescent="0.35">
      <c r="A767" s="26" t="s">
        <v>1935</v>
      </c>
      <c r="B767" s="32" t="s">
        <v>1879</v>
      </c>
      <c r="C767" s="28"/>
      <c r="D767" s="29" t="s">
        <v>1890</v>
      </c>
      <c r="E767" s="76">
        <v>2910000</v>
      </c>
      <c r="F767" s="77">
        <f t="shared" si="38"/>
        <v>232800</v>
      </c>
      <c r="G767" s="31">
        <f t="shared" si="39"/>
        <v>3142800</v>
      </c>
      <c r="H767" s="74">
        <v>3142800</v>
      </c>
      <c r="I767" s="75">
        <f t="shared" si="37"/>
        <v>0</v>
      </c>
      <c r="J767" s="75"/>
      <c r="K767" s="5">
        <v>46157</v>
      </c>
      <c r="Q767" s="9"/>
      <c r="S767" s="3"/>
    </row>
    <row r="768" spans="1:19" ht="15" hidden="1" customHeight="1" x14ac:dyDescent="0.35">
      <c r="A768" s="26" t="s">
        <v>1936</v>
      </c>
      <c r="B768" s="32" t="s">
        <v>1880</v>
      </c>
      <c r="C768" s="28"/>
      <c r="D768" s="29" t="s">
        <v>1890</v>
      </c>
      <c r="E768" s="76">
        <v>990000</v>
      </c>
      <c r="F768" s="77">
        <f t="shared" si="38"/>
        <v>79200</v>
      </c>
      <c r="G768" s="31">
        <f t="shared" si="39"/>
        <v>1069200</v>
      </c>
      <c r="H768" s="74">
        <v>1069200</v>
      </c>
      <c r="I768" s="75">
        <f t="shared" si="37"/>
        <v>0</v>
      </c>
      <c r="J768" s="75"/>
      <c r="K768" s="5">
        <v>46178</v>
      </c>
      <c r="Q768" s="9"/>
      <c r="S768" s="3"/>
    </row>
    <row r="769" spans="1:19" ht="15" hidden="1" customHeight="1" x14ac:dyDescent="0.35">
      <c r="A769" s="26" t="s">
        <v>1937</v>
      </c>
      <c r="B769" s="32" t="s">
        <v>1881</v>
      </c>
      <c r="C769" s="28"/>
      <c r="D769" s="29" t="s">
        <v>1890</v>
      </c>
      <c r="E769" s="76">
        <v>990000</v>
      </c>
      <c r="F769" s="77">
        <f t="shared" si="38"/>
        <v>79200</v>
      </c>
      <c r="G769" s="31">
        <f t="shared" si="39"/>
        <v>1069200</v>
      </c>
      <c r="H769" s="74">
        <v>1069200</v>
      </c>
      <c r="I769" s="75">
        <f t="shared" si="37"/>
        <v>0</v>
      </c>
      <c r="J769" s="75"/>
      <c r="K769" s="5">
        <v>46157</v>
      </c>
      <c r="Q769" s="9"/>
      <c r="S769" s="3"/>
    </row>
    <row r="770" spans="1:19" ht="15" hidden="1" customHeight="1" x14ac:dyDescent="0.35">
      <c r="A770" s="26" t="s">
        <v>1938</v>
      </c>
      <c r="B770" s="32" t="s">
        <v>1882</v>
      </c>
      <c r="C770" s="28"/>
      <c r="D770" s="29" t="s">
        <v>1890</v>
      </c>
      <c r="E770" s="76">
        <v>6900000</v>
      </c>
      <c r="F770" s="77">
        <f t="shared" si="38"/>
        <v>552000</v>
      </c>
      <c r="G770" s="31">
        <f t="shared" si="39"/>
        <v>7452000</v>
      </c>
      <c r="H770" s="74">
        <v>7452000</v>
      </c>
      <c r="I770" s="75">
        <f t="shared" si="37"/>
        <v>0</v>
      </c>
      <c r="J770" s="75"/>
      <c r="K770" s="5">
        <v>46178</v>
      </c>
      <c r="Q770" s="9"/>
      <c r="S770" s="3"/>
    </row>
    <row r="771" spans="1:19" ht="15" hidden="1" customHeight="1" x14ac:dyDescent="0.35">
      <c r="A771" s="26" t="s">
        <v>1939</v>
      </c>
      <c r="B771" s="32" t="s">
        <v>1883</v>
      </c>
      <c r="C771" s="28"/>
      <c r="D771" s="29" t="s">
        <v>1890</v>
      </c>
      <c r="E771" s="76">
        <v>840000</v>
      </c>
      <c r="F771" s="77">
        <f t="shared" si="38"/>
        <v>67200</v>
      </c>
      <c r="G771" s="31">
        <f t="shared" si="39"/>
        <v>907200</v>
      </c>
      <c r="H771" s="74">
        <v>907200</v>
      </c>
      <c r="I771" s="75">
        <f t="shared" si="37"/>
        <v>0</v>
      </c>
      <c r="J771" s="75"/>
      <c r="L771" s="5">
        <v>46147</v>
      </c>
      <c r="Q771" s="9"/>
      <c r="S771" s="3"/>
    </row>
    <row r="772" spans="1:19" ht="15" hidden="1" customHeight="1" x14ac:dyDescent="0.35">
      <c r="A772" s="26" t="s">
        <v>1940</v>
      </c>
      <c r="B772" s="32" t="s">
        <v>1884</v>
      </c>
      <c r="C772" s="28"/>
      <c r="D772" s="29" t="s">
        <v>1890</v>
      </c>
      <c r="E772" s="76">
        <v>840000</v>
      </c>
      <c r="F772" s="77">
        <f t="shared" si="38"/>
        <v>67200</v>
      </c>
      <c r="G772" s="31">
        <f t="shared" si="39"/>
        <v>907200</v>
      </c>
      <c r="H772" s="74">
        <v>907200</v>
      </c>
      <c r="I772" s="75">
        <f t="shared" si="37"/>
        <v>0</v>
      </c>
      <c r="J772" s="75"/>
      <c r="L772" s="5">
        <v>46147</v>
      </c>
      <c r="Q772" s="9"/>
      <c r="S772" s="3"/>
    </row>
    <row r="773" spans="1:19" ht="15" hidden="1" customHeight="1" x14ac:dyDescent="0.35">
      <c r="A773" s="26" t="s">
        <v>1941</v>
      </c>
      <c r="B773" s="32" t="s">
        <v>1885</v>
      </c>
      <c r="C773" s="28"/>
      <c r="D773" s="29" t="s">
        <v>1890</v>
      </c>
      <c r="E773" s="76">
        <v>840000</v>
      </c>
      <c r="F773" s="77">
        <f t="shared" si="38"/>
        <v>67200</v>
      </c>
      <c r="G773" s="31">
        <f t="shared" si="39"/>
        <v>907200</v>
      </c>
      <c r="H773" s="74">
        <v>907200</v>
      </c>
      <c r="I773" s="75">
        <f t="shared" si="37"/>
        <v>0</v>
      </c>
      <c r="J773" s="75"/>
      <c r="L773" s="5">
        <v>46157</v>
      </c>
      <c r="Q773" s="9"/>
      <c r="S773" s="3"/>
    </row>
    <row r="774" spans="1:19" ht="15" hidden="1" customHeight="1" x14ac:dyDescent="0.35">
      <c r="A774" s="26" t="s">
        <v>1942</v>
      </c>
      <c r="B774" s="32" t="s">
        <v>321</v>
      </c>
      <c r="C774" s="28"/>
      <c r="D774" s="29" t="s">
        <v>1890</v>
      </c>
      <c r="E774" s="76">
        <v>840000</v>
      </c>
      <c r="F774" s="77">
        <f t="shared" si="38"/>
        <v>67200</v>
      </c>
      <c r="G774" s="31">
        <f t="shared" si="39"/>
        <v>907200</v>
      </c>
      <c r="H774" s="74">
        <v>907200</v>
      </c>
      <c r="I774" s="75">
        <f t="shared" si="37"/>
        <v>0</v>
      </c>
      <c r="J774" s="75"/>
      <c r="L774" s="5">
        <v>46147</v>
      </c>
      <c r="Q774" s="9"/>
      <c r="S774" s="3"/>
    </row>
    <row r="775" spans="1:19" ht="15" hidden="1" customHeight="1" x14ac:dyDescent="0.35">
      <c r="A775" s="26" t="s">
        <v>2029</v>
      </c>
      <c r="B775" s="32" t="s">
        <v>1943</v>
      </c>
      <c r="C775" s="28"/>
      <c r="D775" s="29" t="s">
        <v>2023</v>
      </c>
      <c r="E775" s="76">
        <v>840000</v>
      </c>
      <c r="F775" s="77">
        <f t="shared" si="38"/>
        <v>67200</v>
      </c>
      <c r="G775" s="31">
        <f t="shared" si="39"/>
        <v>907200</v>
      </c>
      <c r="H775" s="74">
        <v>907200</v>
      </c>
      <c r="I775" s="75">
        <f t="shared" si="37"/>
        <v>0</v>
      </c>
      <c r="J775" s="75"/>
      <c r="L775" s="5">
        <v>46147</v>
      </c>
      <c r="Q775" s="9"/>
      <c r="S775" s="3"/>
    </row>
    <row r="776" spans="1:19" ht="15" hidden="1" customHeight="1" x14ac:dyDescent="0.35">
      <c r="A776" s="26" t="s">
        <v>2030</v>
      </c>
      <c r="B776" s="32" t="s">
        <v>1944</v>
      </c>
      <c r="C776" s="28"/>
      <c r="D776" s="29" t="s">
        <v>2023</v>
      </c>
      <c r="E776" s="76">
        <v>840000</v>
      </c>
      <c r="F776" s="77">
        <f t="shared" si="38"/>
        <v>67200</v>
      </c>
      <c r="G776" s="31">
        <f t="shared" si="39"/>
        <v>907200</v>
      </c>
      <c r="H776" s="74">
        <v>907200</v>
      </c>
      <c r="I776" s="75">
        <f t="shared" si="37"/>
        <v>0</v>
      </c>
      <c r="J776" s="75"/>
      <c r="L776" s="5">
        <v>46147</v>
      </c>
      <c r="Q776" s="9"/>
      <c r="S776" s="3"/>
    </row>
    <row r="777" spans="1:19" ht="15" hidden="1" customHeight="1" x14ac:dyDescent="0.35">
      <c r="A777" s="26" t="s">
        <v>2031</v>
      </c>
      <c r="B777" s="32" t="s">
        <v>1945</v>
      </c>
      <c r="C777" s="28"/>
      <c r="D777" s="29" t="s">
        <v>2023</v>
      </c>
      <c r="E777" s="76">
        <v>1972800</v>
      </c>
      <c r="F777" s="77">
        <f t="shared" si="38"/>
        <v>157824</v>
      </c>
      <c r="G777" s="31">
        <f t="shared" si="39"/>
        <v>2130624</v>
      </c>
      <c r="H777" s="74">
        <v>2130624</v>
      </c>
      <c r="I777" s="75">
        <f t="shared" si="37"/>
        <v>0</v>
      </c>
      <c r="J777" s="75"/>
      <c r="L777" s="5">
        <v>46157</v>
      </c>
      <c r="Q777" s="9"/>
      <c r="S777" s="3"/>
    </row>
    <row r="778" spans="1:19" ht="15" hidden="1" customHeight="1" x14ac:dyDescent="0.35">
      <c r="A778" s="26" t="s">
        <v>2032</v>
      </c>
      <c r="B778" s="27" t="s">
        <v>1946</v>
      </c>
      <c r="C778" s="28"/>
      <c r="D778" s="29" t="s">
        <v>2023</v>
      </c>
      <c r="E778" s="76">
        <v>840000</v>
      </c>
      <c r="F778" s="77">
        <f t="shared" si="38"/>
        <v>67200</v>
      </c>
      <c r="G778" s="31">
        <f t="shared" si="39"/>
        <v>907200</v>
      </c>
      <c r="H778" s="74">
        <v>907200</v>
      </c>
      <c r="I778" s="75">
        <f t="shared" si="37"/>
        <v>0</v>
      </c>
      <c r="J778" s="75"/>
      <c r="L778" s="5">
        <v>46147</v>
      </c>
      <c r="Q778" s="9"/>
      <c r="S778" s="3"/>
    </row>
    <row r="779" spans="1:19" ht="15" hidden="1" customHeight="1" x14ac:dyDescent="0.35">
      <c r="A779" s="26" t="s">
        <v>2033</v>
      </c>
      <c r="B779" s="32" t="s">
        <v>1947</v>
      </c>
      <c r="C779" s="28"/>
      <c r="D779" s="29" t="s">
        <v>2023</v>
      </c>
      <c r="E779" s="76">
        <v>1132800</v>
      </c>
      <c r="F779" s="77">
        <f t="shared" si="38"/>
        <v>90624</v>
      </c>
      <c r="G779" s="31">
        <f t="shared" si="39"/>
        <v>1223424</v>
      </c>
      <c r="H779" s="74">
        <v>1223424</v>
      </c>
      <c r="I779" s="75">
        <f t="shared" si="37"/>
        <v>0</v>
      </c>
      <c r="J779" s="75"/>
      <c r="L779" s="5">
        <v>46157</v>
      </c>
      <c r="Q779" s="9"/>
      <c r="S779" s="3"/>
    </row>
    <row r="780" spans="1:19" ht="15" hidden="1" customHeight="1" x14ac:dyDescent="0.35">
      <c r="A780" s="26" t="s">
        <v>2034</v>
      </c>
      <c r="B780" s="32" t="s">
        <v>1948</v>
      </c>
      <c r="C780" s="28"/>
      <c r="D780" s="29" t="s">
        <v>2023</v>
      </c>
      <c r="E780" s="76">
        <v>2520000</v>
      </c>
      <c r="F780" s="77">
        <f t="shared" si="38"/>
        <v>201600</v>
      </c>
      <c r="G780" s="31">
        <f t="shared" si="39"/>
        <v>2721600</v>
      </c>
      <c r="H780" s="74">
        <v>2721600</v>
      </c>
      <c r="I780" s="75">
        <f t="shared" si="37"/>
        <v>0</v>
      </c>
      <c r="J780" s="75"/>
      <c r="L780" s="5">
        <v>46157</v>
      </c>
      <c r="Q780" s="9"/>
      <c r="S780" s="3"/>
    </row>
    <row r="781" spans="1:19" ht="15" hidden="1" customHeight="1" x14ac:dyDescent="0.35">
      <c r="A781" s="26" t="s">
        <v>2035</v>
      </c>
      <c r="B781" s="32" t="s">
        <v>1949</v>
      </c>
      <c r="C781" s="28">
        <v>3400</v>
      </c>
      <c r="D781" s="29">
        <v>46141</v>
      </c>
      <c r="E781" s="76">
        <v>714000</v>
      </c>
      <c r="F781" s="77">
        <f t="shared" si="38"/>
        <v>57120</v>
      </c>
      <c r="G781" s="31">
        <f t="shared" si="39"/>
        <v>771120</v>
      </c>
      <c r="H781" s="74">
        <v>771120</v>
      </c>
      <c r="I781" s="75">
        <f t="shared" si="37"/>
        <v>0</v>
      </c>
      <c r="J781" s="75"/>
      <c r="L781" s="5">
        <v>46178</v>
      </c>
      <c r="Q781" s="9"/>
      <c r="S781" s="3"/>
    </row>
    <row r="782" spans="1:19" ht="15" hidden="1" customHeight="1" x14ac:dyDescent="0.35">
      <c r="A782" s="26" t="s">
        <v>2036</v>
      </c>
      <c r="B782" s="32" t="s">
        <v>1950</v>
      </c>
      <c r="C782" s="28"/>
      <c r="D782" s="29" t="s">
        <v>2023</v>
      </c>
      <c r="E782" s="76">
        <v>840000</v>
      </c>
      <c r="F782" s="77">
        <f t="shared" si="38"/>
        <v>67200</v>
      </c>
      <c r="G782" s="31">
        <f t="shared" si="39"/>
        <v>907200</v>
      </c>
      <c r="H782" s="74">
        <v>907200</v>
      </c>
      <c r="I782" s="75">
        <f t="shared" si="37"/>
        <v>0</v>
      </c>
      <c r="J782" s="75"/>
      <c r="L782" s="5">
        <v>46147</v>
      </c>
      <c r="Q782" s="9"/>
      <c r="S782" s="3"/>
    </row>
    <row r="783" spans="1:19" ht="15" hidden="1" customHeight="1" x14ac:dyDescent="0.35">
      <c r="A783" s="26" t="s">
        <v>2037</v>
      </c>
      <c r="B783" s="32" t="s">
        <v>1951</v>
      </c>
      <c r="C783" s="28"/>
      <c r="D783" s="29" t="s">
        <v>2023</v>
      </c>
      <c r="E783" s="76">
        <v>840000</v>
      </c>
      <c r="F783" s="77">
        <f t="shared" si="38"/>
        <v>67200</v>
      </c>
      <c r="G783" s="31">
        <f t="shared" si="39"/>
        <v>907200</v>
      </c>
      <c r="H783" s="74">
        <v>907200</v>
      </c>
      <c r="I783" s="75">
        <f t="shared" si="37"/>
        <v>0</v>
      </c>
      <c r="J783" s="75"/>
      <c r="L783" s="5">
        <v>46157</v>
      </c>
      <c r="Q783" s="9"/>
      <c r="S783" s="3"/>
    </row>
    <row r="784" spans="1:19" ht="15" hidden="1" customHeight="1" x14ac:dyDescent="0.35">
      <c r="A784" s="26" t="s">
        <v>2038</v>
      </c>
      <c r="B784" s="32" t="s">
        <v>1952</v>
      </c>
      <c r="C784" s="28"/>
      <c r="D784" s="29" t="s">
        <v>2024</v>
      </c>
      <c r="E784" s="76">
        <v>4645000</v>
      </c>
      <c r="F784" s="77">
        <f t="shared" si="38"/>
        <v>371600</v>
      </c>
      <c r="G784" s="31">
        <f t="shared" si="39"/>
        <v>5016600</v>
      </c>
      <c r="H784" s="74">
        <v>5016600</v>
      </c>
      <c r="I784" s="75">
        <f t="shared" si="37"/>
        <v>0</v>
      </c>
      <c r="J784" s="75"/>
      <c r="K784" s="5">
        <v>46178</v>
      </c>
      <c r="Q784" s="9"/>
      <c r="S784" s="3"/>
    </row>
    <row r="785" spans="1:19" ht="15" hidden="1" customHeight="1" x14ac:dyDescent="0.35">
      <c r="A785" s="26" t="s">
        <v>2039</v>
      </c>
      <c r="B785" s="32" t="s">
        <v>1953</v>
      </c>
      <c r="C785" s="28"/>
      <c r="D785" s="29" t="s">
        <v>2024</v>
      </c>
      <c r="E785" s="76">
        <v>960000</v>
      </c>
      <c r="F785" s="77">
        <f t="shared" si="38"/>
        <v>76800</v>
      </c>
      <c r="G785" s="31">
        <f t="shared" si="39"/>
        <v>1036800</v>
      </c>
      <c r="H785" s="74">
        <v>1036800</v>
      </c>
      <c r="I785" s="75">
        <f t="shared" si="37"/>
        <v>0</v>
      </c>
      <c r="J785" s="75"/>
      <c r="K785" s="5">
        <v>46178</v>
      </c>
      <c r="Q785" s="9"/>
      <c r="S785" s="3"/>
    </row>
    <row r="786" spans="1:19" ht="15" hidden="1" customHeight="1" x14ac:dyDescent="0.35">
      <c r="A786" s="26" t="s">
        <v>2040</v>
      </c>
      <c r="B786" s="32" t="s">
        <v>1954</v>
      </c>
      <c r="C786" s="28"/>
      <c r="D786" s="29" t="s">
        <v>2024</v>
      </c>
      <c r="E786" s="76">
        <v>810000</v>
      </c>
      <c r="F786" s="77">
        <f t="shared" si="38"/>
        <v>64800</v>
      </c>
      <c r="G786" s="31">
        <f t="shared" si="39"/>
        <v>874800</v>
      </c>
      <c r="H786" s="74">
        <v>874800</v>
      </c>
      <c r="I786" s="75">
        <f t="shared" si="37"/>
        <v>0</v>
      </c>
      <c r="J786" s="75"/>
      <c r="K786" s="5">
        <v>46178</v>
      </c>
      <c r="Q786" s="9"/>
      <c r="S786" s="3"/>
    </row>
    <row r="787" spans="1:19" ht="15" hidden="1" customHeight="1" x14ac:dyDescent="0.35">
      <c r="A787" s="26" t="s">
        <v>2041</v>
      </c>
      <c r="B787" s="32" t="s">
        <v>1955</v>
      </c>
      <c r="C787" s="28"/>
      <c r="D787" s="29" t="s">
        <v>2024</v>
      </c>
      <c r="E787" s="76">
        <v>1905000</v>
      </c>
      <c r="F787" s="77">
        <f t="shared" si="38"/>
        <v>152400</v>
      </c>
      <c r="G787" s="31">
        <f t="shared" si="39"/>
        <v>2057400</v>
      </c>
      <c r="H787" s="74">
        <v>2057400</v>
      </c>
      <c r="I787" s="75">
        <f t="shared" si="37"/>
        <v>0</v>
      </c>
      <c r="J787" s="75"/>
      <c r="K787" s="5">
        <v>46178</v>
      </c>
      <c r="Q787" s="9"/>
      <c r="S787" s="3"/>
    </row>
    <row r="788" spans="1:19" ht="15" hidden="1" customHeight="1" x14ac:dyDescent="0.35">
      <c r="A788" s="26" t="s">
        <v>2042</v>
      </c>
      <c r="B788" s="32" t="s">
        <v>1956</v>
      </c>
      <c r="C788" s="28"/>
      <c r="D788" s="29" t="s">
        <v>2024</v>
      </c>
      <c r="E788" s="76">
        <v>750000</v>
      </c>
      <c r="F788" s="77">
        <f t="shared" si="38"/>
        <v>60000</v>
      </c>
      <c r="G788" s="31">
        <f t="shared" si="39"/>
        <v>810000</v>
      </c>
      <c r="H788" s="74">
        <v>810000</v>
      </c>
      <c r="I788" s="75">
        <f t="shared" si="37"/>
        <v>0</v>
      </c>
      <c r="J788" s="75"/>
      <c r="K788" s="5">
        <v>46178</v>
      </c>
      <c r="Q788" s="9"/>
      <c r="S788" s="3"/>
    </row>
    <row r="789" spans="1:19" ht="15" hidden="1" customHeight="1" x14ac:dyDescent="0.35">
      <c r="A789" s="26" t="s">
        <v>2043</v>
      </c>
      <c r="B789" s="32" t="s">
        <v>1957</v>
      </c>
      <c r="C789" s="28"/>
      <c r="D789" s="29" t="s">
        <v>2024</v>
      </c>
      <c r="E789" s="76">
        <v>9600000</v>
      </c>
      <c r="F789" s="77">
        <f t="shared" si="38"/>
        <v>768000</v>
      </c>
      <c r="G789" s="31">
        <f t="shared" si="39"/>
        <v>10368000</v>
      </c>
      <c r="H789" s="74">
        <v>10368000</v>
      </c>
      <c r="I789" s="75">
        <f t="shared" si="37"/>
        <v>0</v>
      </c>
      <c r="J789" s="75"/>
      <c r="K789" s="5">
        <v>46178</v>
      </c>
      <c r="Q789" s="9"/>
      <c r="S789" s="3"/>
    </row>
    <row r="790" spans="1:19" ht="15" hidden="1" customHeight="1" x14ac:dyDescent="0.35">
      <c r="A790" s="26" t="s">
        <v>2044</v>
      </c>
      <c r="B790" s="32" t="s">
        <v>322</v>
      </c>
      <c r="C790" s="28">
        <v>3325</v>
      </c>
      <c r="D790" s="29">
        <v>46140</v>
      </c>
      <c r="E790" s="76">
        <v>9373000</v>
      </c>
      <c r="F790" s="77">
        <f t="shared" si="38"/>
        <v>749840</v>
      </c>
      <c r="G790" s="31">
        <f t="shared" si="39"/>
        <v>10122840</v>
      </c>
      <c r="H790" s="74">
        <v>10122840</v>
      </c>
      <c r="I790" s="75">
        <f t="shared" si="37"/>
        <v>0</v>
      </c>
      <c r="J790" s="75"/>
      <c r="K790" s="5">
        <v>46188</v>
      </c>
      <c r="Q790" s="9"/>
      <c r="S790" s="3"/>
    </row>
    <row r="791" spans="1:19" ht="15" hidden="1" customHeight="1" x14ac:dyDescent="0.35">
      <c r="A791" s="26" t="s">
        <v>2045</v>
      </c>
      <c r="B791" s="32" t="s">
        <v>323</v>
      </c>
      <c r="C791" s="28"/>
      <c r="D791" s="29" t="s">
        <v>2024</v>
      </c>
      <c r="E791" s="76">
        <v>2850000</v>
      </c>
      <c r="F791" s="77">
        <f t="shared" si="38"/>
        <v>228000</v>
      </c>
      <c r="G791" s="31">
        <f t="shared" si="39"/>
        <v>3078000</v>
      </c>
      <c r="H791" s="74">
        <v>3078000</v>
      </c>
      <c r="I791" s="75">
        <f t="shared" si="37"/>
        <v>0</v>
      </c>
      <c r="J791" s="75"/>
      <c r="K791" s="5">
        <v>46178</v>
      </c>
      <c r="Q791" s="9"/>
      <c r="S791" s="3"/>
    </row>
    <row r="792" spans="1:19" ht="15" hidden="1" customHeight="1" x14ac:dyDescent="0.35">
      <c r="A792" s="26" t="s">
        <v>2046</v>
      </c>
      <c r="B792" s="27" t="s">
        <v>324</v>
      </c>
      <c r="C792" s="28"/>
      <c r="D792" s="29" t="s">
        <v>2024</v>
      </c>
      <c r="E792" s="76">
        <v>6890000</v>
      </c>
      <c r="F792" s="77">
        <f t="shared" si="38"/>
        <v>551200</v>
      </c>
      <c r="G792" s="31">
        <f t="shared" si="39"/>
        <v>7441200</v>
      </c>
      <c r="H792" s="74">
        <v>7441200</v>
      </c>
      <c r="I792" s="75">
        <f t="shared" si="37"/>
        <v>0</v>
      </c>
      <c r="J792" s="75"/>
      <c r="K792" s="5">
        <v>46178</v>
      </c>
      <c r="Q792" s="9"/>
      <c r="S792" s="3"/>
    </row>
    <row r="793" spans="1:19" ht="15" hidden="1" customHeight="1" x14ac:dyDescent="0.35">
      <c r="A793" s="26" t="s">
        <v>2047</v>
      </c>
      <c r="B793" s="27" t="s">
        <v>325</v>
      </c>
      <c r="C793" s="28">
        <v>2924</v>
      </c>
      <c r="D793" s="29">
        <v>46126</v>
      </c>
      <c r="E793" s="76">
        <v>3453000</v>
      </c>
      <c r="F793" s="77">
        <f t="shared" si="38"/>
        <v>276240</v>
      </c>
      <c r="G793" s="31">
        <f t="shared" si="39"/>
        <v>3729240</v>
      </c>
      <c r="H793" s="74">
        <v>3729240</v>
      </c>
      <c r="I793" s="75">
        <f t="shared" si="37"/>
        <v>0</v>
      </c>
      <c r="J793" s="75"/>
      <c r="K793" s="5">
        <v>46178</v>
      </c>
      <c r="Q793" s="9"/>
      <c r="S793" s="3"/>
    </row>
    <row r="794" spans="1:19" ht="15" hidden="1" customHeight="1" x14ac:dyDescent="0.35">
      <c r="A794" s="26" t="s">
        <v>2048</v>
      </c>
      <c r="B794" s="32" t="s">
        <v>326</v>
      </c>
      <c r="C794" s="28">
        <v>2921</v>
      </c>
      <c r="D794" s="29">
        <v>46126</v>
      </c>
      <c r="E794" s="76">
        <v>2746000</v>
      </c>
      <c r="F794" s="77">
        <f t="shared" si="38"/>
        <v>219680</v>
      </c>
      <c r="G794" s="31">
        <f t="shared" si="39"/>
        <v>2965680</v>
      </c>
      <c r="H794" s="74">
        <v>2965680</v>
      </c>
      <c r="I794" s="75">
        <f t="shared" si="37"/>
        <v>0</v>
      </c>
      <c r="J794" s="75"/>
      <c r="K794" s="5">
        <v>46178</v>
      </c>
      <c r="Q794" s="9"/>
      <c r="S794" s="3"/>
    </row>
    <row r="795" spans="1:19" ht="15" hidden="1" customHeight="1" x14ac:dyDescent="0.35">
      <c r="A795" s="26" t="s">
        <v>2049</v>
      </c>
      <c r="B795" s="32" t="s">
        <v>327</v>
      </c>
      <c r="C795" s="28">
        <v>2923</v>
      </c>
      <c r="D795" s="29">
        <v>46126</v>
      </c>
      <c r="E795" s="76">
        <v>3488000</v>
      </c>
      <c r="F795" s="77">
        <f t="shared" si="38"/>
        <v>279040</v>
      </c>
      <c r="G795" s="31">
        <f t="shared" si="39"/>
        <v>3767040</v>
      </c>
      <c r="H795" s="74">
        <v>3767040</v>
      </c>
      <c r="I795" s="75">
        <f t="shared" si="37"/>
        <v>0</v>
      </c>
      <c r="J795" s="75"/>
      <c r="K795" s="5">
        <v>46178</v>
      </c>
      <c r="Q795" s="9"/>
      <c r="S795" s="3"/>
    </row>
    <row r="796" spans="1:19" ht="15" hidden="1" customHeight="1" x14ac:dyDescent="0.35">
      <c r="A796" s="26" t="s">
        <v>2050</v>
      </c>
      <c r="B796" s="32" t="s">
        <v>328</v>
      </c>
      <c r="C796" s="28"/>
      <c r="D796" s="29" t="s">
        <v>2024</v>
      </c>
      <c r="E796" s="76">
        <v>810000</v>
      </c>
      <c r="F796" s="77">
        <f t="shared" si="38"/>
        <v>64800</v>
      </c>
      <c r="G796" s="31">
        <f t="shared" si="39"/>
        <v>874800</v>
      </c>
      <c r="H796" s="74">
        <v>874800</v>
      </c>
      <c r="I796" s="75">
        <f t="shared" si="37"/>
        <v>0</v>
      </c>
      <c r="J796" s="75"/>
      <c r="K796" s="5">
        <v>46178</v>
      </c>
      <c r="Q796" s="9"/>
      <c r="S796" s="3"/>
    </row>
    <row r="797" spans="1:19" ht="15" hidden="1" customHeight="1" x14ac:dyDescent="0.35">
      <c r="A797" s="26" t="s">
        <v>2051</v>
      </c>
      <c r="B797" s="32" t="s">
        <v>329</v>
      </c>
      <c r="C797" s="28"/>
      <c r="D797" s="29" t="s">
        <v>2024</v>
      </c>
      <c r="E797" s="76">
        <v>2040000</v>
      </c>
      <c r="F797" s="77">
        <f t="shared" si="38"/>
        <v>163200</v>
      </c>
      <c r="G797" s="31">
        <f t="shared" si="39"/>
        <v>2203200</v>
      </c>
      <c r="H797" s="74">
        <v>2203200</v>
      </c>
      <c r="I797" s="75">
        <f t="shared" si="37"/>
        <v>0</v>
      </c>
      <c r="J797" s="75"/>
      <c r="K797" s="5">
        <v>46178</v>
      </c>
      <c r="Q797" s="9"/>
      <c r="S797" s="3"/>
    </row>
    <row r="798" spans="1:19" ht="15" hidden="1" customHeight="1" x14ac:dyDescent="0.35">
      <c r="A798" s="26" t="s">
        <v>2052</v>
      </c>
      <c r="B798" s="32" t="s">
        <v>330</v>
      </c>
      <c r="C798" s="28">
        <v>2922</v>
      </c>
      <c r="D798" s="29">
        <v>46126</v>
      </c>
      <c r="E798" s="76">
        <v>3130000</v>
      </c>
      <c r="F798" s="77">
        <f t="shared" si="38"/>
        <v>250400</v>
      </c>
      <c r="G798" s="31">
        <f t="shared" si="39"/>
        <v>3380400</v>
      </c>
      <c r="H798" s="74">
        <v>3380400</v>
      </c>
      <c r="I798" s="75">
        <f t="shared" si="37"/>
        <v>0</v>
      </c>
      <c r="J798" s="75"/>
      <c r="K798" s="5">
        <v>46178</v>
      </c>
      <c r="Q798" s="9"/>
      <c r="S798" s="3"/>
    </row>
    <row r="799" spans="1:19" ht="15" hidden="1" customHeight="1" x14ac:dyDescent="0.35">
      <c r="A799" s="26" t="s">
        <v>2053</v>
      </c>
      <c r="B799" s="32" t="s">
        <v>331</v>
      </c>
      <c r="C799" s="28"/>
      <c r="D799" s="29" t="s">
        <v>2024</v>
      </c>
      <c r="E799" s="76">
        <v>1005000</v>
      </c>
      <c r="F799" s="77">
        <f t="shared" si="38"/>
        <v>80400</v>
      </c>
      <c r="G799" s="31">
        <f t="shared" si="39"/>
        <v>1085400</v>
      </c>
      <c r="H799" s="74">
        <v>1085400</v>
      </c>
      <c r="I799" s="75">
        <f t="shared" si="37"/>
        <v>0</v>
      </c>
      <c r="J799" s="75"/>
      <c r="K799" s="5">
        <v>46178</v>
      </c>
      <c r="Q799" s="9"/>
      <c r="S799" s="3"/>
    </row>
    <row r="800" spans="1:19" ht="15" hidden="1" customHeight="1" x14ac:dyDescent="0.35">
      <c r="A800" s="26" t="s">
        <v>2054</v>
      </c>
      <c r="B800" s="32" t="s">
        <v>332</v>
      </c>
      <c r="C800" s="28"/>
      <c r="D800" s="29" t="s">
        <v>2024</v>
      </c>
      <c r="E800" s="76">
        <v>1005000</v>
      </c>
      <c r="F800" s="77">
        <f t="shared" si="38"/>
        <v>80400</v>
      </c>
      <c r="G800" s="31">
        <f t="shared" si="39"/>
        <v>1085400</v>
      </c>
      <c r="H800" s="74">
        <v>1085400</v>
      </c>
      <c r="I800" s="75">
        <f t="shared" si="37"/>
        <v>0</v>
      </c>
      <c r="J800" s="75"/>
      <c r="K800" s="5">
        <v>46178</v>
      </c>
      <c r="Q800" s="9"/>
      <c r="S800" s="3"/>
    </row>
    <row r="801" spans="1:19" ht="15" hidden="1" customHeight="1" x14ac:dyDescent="0.35">
      <c r="A801" s="26" t="s">
        <v>2055</v>
      </c>
      <c r="B801" s="32" t="s">
        <v>333</v>
      </c>
      <c r="C801" s="28"/>
      <c r="D801" s="29" t="s">
        <v>2024</v>
      </c>
      <c r="E801" s="76">
        <v>2045000</v>
      </c>
      <c r="F801" s="77">
        <f t="shared" si="38"/>
        <v>163600</v>
      </c>
      <c r="G801" s="31">
        <f t="shared" si="39"/>
        <v>2208600</v>
      </c>
      <c r="H801" s="74">
        <v>2208600</v>
      </c>
      <c r="I801" s="75">
        <f t="shared" si="37"/>
        <v>0</v>
      </c>
      <c r="J801" s="75"/>
      <c r="K801" s="5">
        <v>46178</v>
      </c>
      <c r="Q801" s="9"/>
      <c r="S801" s="3"/>
    </row>
    <row r="802" spans="1:19" ht="15" hidden="1" customHeight="1" x14ac:dyDescent="0.35">
      <c r="A802" s="26" t="s">
        <v>2056</v>
      </c>
      <c r="B802" s="32" t="s">
        <v>334</v>
      </c>
      <c r="C802" s="28">
        <v>2931</v>
      </c>
      <c r="D802" s="29">
        <v>46126</v>
      </c>
      <c r="E802" s="76">
        <v>2475000</v>
      </c>
      <c r="F802" s="77">
        <f t="shared" si="38"/>
        <v>198000</v>
      </c>
      <c r="G802" s="31">
        <f t="shared" si="39"/>
        <v>2673000</v>
      </c>
      <c r="H802" s="74">
        <v>2673000</v>
      </c>
      <c r="I802" s="75">
        <f t="shared" si="37"/>
        <v>0</v>
      </c>
      <c r="J802" s="75"/>
      <c r="K802" s="5">
        <v>46178</v>
      </c>
      <c r="Q802" s="9"/>
      <c r="S802" s="3"/>
    </row>
    <row r="803" spans="1:19" ht="15" hidden="1" customHeight="1" x14ac:dyDescent="0.35">
      <c r="A803" s="26" t="s">
        <v>2057</v>
      </c>
      <c r="B803" s="32" t="s">
        <v>335</v>
      </c>
      <c r="C803" s="28"/>
      <c r="D803" s="29" t="s">
        <v>2024</v>
      </c>
      <c r="E803" s="76">
        <v>7405000</v>
      </c>
      <c r="F803" s="77">
        <f t="shared" si="38"/>
        <v>592400</v>
      </c>
      <c r="G803" s="31">
        <f t="shared" si="39"/>
        <v>7997400</v>
      </c>
      <c r="H803" s="74">
        <v>7997400</v>
      </c>
      <c r="I803" s="75">
        <f t="shared" si="37"/>
        <v>0</v>
      </c>
      <c r="J803" s="75"/>
      <c r="K803" s="5">
        <v>46178</v>
      </c>
      <c r="Q803" s="9"/>
      <c r="S803" s="3"/>
    </row>
    <row r="804" spans="1:19" ht="15" hidden="1" customHeight="1" x14ac:dyDescent="0.35">
      <c r="A804" s="26" t="s">
        <v>2058</v>
      </c>
      <c r="B804" s="32" t="s">
        <v>336</v>
      </c>
      <c r="C804" s="28"/>
      <c r="D804" s="29" t="s">
        <v>2024</v>
      </c>
      <c r="E804" s="76">
        <v>2760000</v>
      </c>
      <c r="F804" s="77">
        <f t="shared" si="38"/>
        <v>220800</v>
      </c>
      <c r="G804" s="31">
        <f t="shared" si="39"/>
        <v>2980800</v>
      </c>
      <c r="H804" s="74">
        <v>2980800</v>
      </c>
      <c r="I804" s="75">
        <f t="shared" si="37"/>
        <v>0</v>
      </c>
      <c r="J804" s="75"/>
      <c r="K804" s="5">
        <v>46178</v>
      </c>
      <c r="Q804" s="9"/>
      <c r="S804" s="3"/>
    </row>
    <row r="805" spans="1:19" ht="15" hidden="1" customHeight="1" x14ac:dyDescent="0.35">
      <c r="A805" s="26" t="s">
        <v>2059</v>
      </c>
      <c r="B805" s="32" t="s">
        <v>337</v>
      </c>
      <c r="C805" s="28"/>
      <c r="D805" s="29" t="s">
        <v>2024</v>
      </c>
      <c r="E805" s="76">
        <v>1965000</v>
      </c>
      <c r="F805" s="77">
        <f t="shared" si="38"/>
        <v>157200</v>
      </c>
      <c r="G805" s="31">
        <f t="shared" si="39"/>
        <v>2122200</v>
      </c>
      <c r="H805" s="74">
        <v>2122200</v>
      </c>
      <c r="I805" s="75">
        <f t="shared" si="37"/>
        <v>0</v>
      </c>
      <c r="J805" s="75"/>
      <c r="K805" s="5">
        <v>46178</v>
      </c>
      <c r="Q805" s="9"/>
      <c r="S805" s="3"/>
    </row>
    <row r="806" spans="1:19" ht="15" hidden="1" customHeight="1" x14ac:dyDescent="0.35">
      <c r="A806" s="26" t="s">
        <v>2060</v>
      </c>
      <c r="B806" s="32" t="s">
        <v>338</v>
      </c>
      <c r="C806" s="28"/>
      <c r="D806" s="29" t="s">
        <v>2024</v>
      </c>
      <c r="E806" s="76">
        <v>1005000</v>
      </c>
      <c r="F806" s="77">
        <f t="shared" si="38"/>
        <v>80400</v>
      </c>
      <c r="G806" s="31">
        <f t="shared" si="39"/>
        <v>1085400</v>
      </c>
      <c r="H806" s="74">
        <v>1085400</v>
      </c>
      <c r="I806" s="75">
        <f t="shared" si="37"/>
        <v>0</v>
      </c>
      <c r="J806" s="75"/>
      <c r="K806" s="5">
        <v>46178</v>
      </c>
      <c r="Q806" s="9"/>
      <c r="S806" s="3"/>
    </row>
    <row r="807" spans="1:19" ht="15" hidden="1" customHeight="1" x14ac:dyDescent="0.35">
      <c r="A807" s="26" t="s">
        <v>2061</v>
      </c>
      <c r="B807" s="32" t="s">
        <v>339</v>
      </c>
      <c r="C807" s="28"/>
      <c r="D807" s="29" t="s">
        <v>2024</v>
      </c>
      <c r="E807" s="76">
        <v>750000</v>
      </c>
      <c r="F807" s="77">
        <f t="shared" si="38"/>
        <v>60000</v>
      </c>
      <c r="G807" s="31">
        <f t="shared" si="39"/>
        <v>810000</v>
      </c>
      <c r="H807" s="74">
        <v>810000</v>
      </c>
      <c r="I807" s="75">
        <f t="shared" si="37"/>
        <v>0</v>
      </c>
      <c r="J807" s="75"/>
      <c r="K807" s="5">
        <v>46178</v>
      </c>
      <c r="Q807" s="9"/>
      <c r="S807" s="3"/>
    </row>
    <row r="808" spans="1:19" ht="15" hidden="1" customHeight="1" x14ac:dyDescent="0.35">
      <c r="A808" s="26" t="s">
        <v>2062</v>
      </c>
      <c r="B808" s="32" t="s">
        <v>340</v>
      </c>
      <c r="C808" s="28"/>
      <c r="D808" s="29" t="s">
        <v>2024</v>
      </c>
      <c r="E808" s="76">
        <v>1920000</v>
      </c>
      <c r="F808" s="77">
        <f t="shared" si="38"/>
        <v>153600</v>
      </c>
      <c r="G808" s="31">
        <f t="shared" si="39"/>
        <v>2073600</v>
      </c>
      <c r="H808" s="74">
        <v>2073600</v>
      </c>
      <c r="I808" s="75">
        <f t="shared" si="37"/>
        <v>0</v>
      </c>
      <c r="J808" s="75"/>
      <c r="K808" s="5">
        <v>46178</v>
      </c>
      <c r="Q808" s="9"/>
      <c r="S808" s="3"/>
    </row>
    <row r="809" spans="1:19" ht="15" hidden="1" customHeight="1" x14ac:dyDescent="0.35">
      <c r="A809" s="26" t="s">
        <v>2063</v>
      </c>
      <c r="B809" s="32" t="s">
        <v>341</v>
      </c>
      <c r="C809" s="28"/>
      <c r="D809" s="29" t="s">
        <v>2024</v>
      </c>
      <c r="E809" s="76">
        <v>2010000</v>
      </c>
      <c r="F809" s="77">
        <f t="shared" si="38"/>
        <v>160800</v>
      </c>
      <c r="G809" s="31">
        <f t="shared" si="39"/>
        <v>2170800</v>
      </c>
      <c r="H809" s="74">
        <v>2170800</v>
      </c>
      <c r="I809" s="75">
        <f t="shared" si="37"/>
        <v>0</v>
      </c>
      <c r="J809" s="75"/>
      <c r="K809" s="5">
        <v>46178</v>
      </c>
      <c r="Q809" s="9"/>
      <c r="S809" s="3"/>
    </row>
    <row r="810" spans="1:19" ht="15" hidden="1" customHeight="1" x14ac:dyDescent="0.35">
      <c r="A810" s="26" t="s">
        <v>2064</v>
      </c>
      <c r="B810" s="32" t="s">
        <v>342</v>
      </c>
      <c r="C810" s="28"/>
      <c r="D810" s="29" t="s">
        <v>2024</v>
      </c>
      <c r="E810" s="76">
        <v>1005000</v>
      </c>
      <c r="F810" s="77">
        <f t="shared" si="38"/>
        <v>80400</v>
      </c>
      <c r="G810" s="31">
        <f t="shared" si="39"/>
        <v>1085400</v>
      </c>
      <c r="H810" s="74">
        <v>1085400</v>
      </c>
      <c r="I810" s="75">
        <f t="shared" si="37"/>
        <v>0</v>
      </c>
      <c r="J810" s="75"/>
      <c r="K810" s="5">
        <v>46178</v>
      </c>
      <c r="Q810" s="9"/>
      <c r="S810" s="3"/>
    </row>
    <row r="811" spans="1:19" ht="15" hidden="1" customHeight="1" x14ac:dyDescent="0.35">
      <c r="A811" s="26" t="s">
        <v>2065</v>
      </c>
      <c r="B811" s="32" t="s">
        <v>343</v>
      </c>
      <c r="C811" s="28"/>
      <c r="D811" s="29" t="s">
        <v>2024</v>
      </c>
      <c r="E811" s="76">
        <v>750000</v>
      </c>
      <c r="F811" s="77">
        <f t="shared" si="38"/>
        <v>60000</v>
      </c>
      <c r="G811" s="31">
        <f t="shared" si="39"/>
        <v>810000</v>
      </c>
      <c r="H811" s="31">
        <v>810000</v>
      </c>
      <c r="I811" s="75">
        <f t="shared" si="37"/>
        <v>0</v>
      </c>
      <c r="J811" s="75"/>
      <c r="K811" s="5">
        <v>46178</v>
      </c>
      <c r="Q811" s="9"/>
      <c r="S811" s="3"/>
    </row>
    <row r="812" spans="1:19" ht="15" hidden="1" customHeight="1" x14ac:dyDescent="0.35">
      <c r="A812" s="26" t="s">
        <v>2066</v>
      </c>
      <c r="B812" s="32" t="s">
        <v>344</v>
      </c>
      <c r="C812" s="28"/>
      <c r="D812" s="29" t="s">
        <v>2024</v>
      </c>
      <c r="E812" s="76">
        <v>4305000</v>
      </c>
      <c r="F812" s="77">
        <f t="shared" si="38"/>
        <v>344400</v>
      </c>
      <c r="G812" s="31">
        <f t="shared" si="39"/>
        <v>4649400</v>
      </c>
      <c r="H812" s="74">
        <v>4649400</v>
      </c>
      <c r="I812" s="75">
        <f t="shared" si="37"/>
        <v>0</v>
      </c>
      <c r="J812" s="75"/>
      <c r="K812" s="5">
        <v>46178</v>
      </c>
      <c r="Q812" s="9"/>
      <c r="S812" s="3"/>
    </row>
    <row r="813" spans="1:19" ht="15" hidden="1" customHeight="1" x14ac:dyDescent="0.35">
      <c r="A813" s="26" t="s">
        <v>2067</v>
      </c>
      <c r="B813" s="32" t="s">
        <v>1958</v>
      </c>
      <c r="C813" s="28"/>
      <c r="D813" s="29" t="s">
        <v>2025</v>
      </c>
      <c r="E813" s="76">
        <v>2430000</v>
      </c>
      <c r="F813" s="77">
        <f t="shared" si="38"/>
        <v>194400</v>
      </c>
      <c r="G813" s="31">
        <f t="shared" si="39"/>
        <v>2624400</v>
      </c>
      <c r="H813" s="74">
        <v>2624400</v>
      </c>
      <c r="I813" s="75">
        <f t="shared" si="37"/>
        <v>0</v>
      </c>
      <c r="J813" s="75"/>
      <c r="K813" s="5">
        <v>46178</v>
      </c>
      <c r="Q813" s="9"/>
      <c r="S813" s="3"/>
    </row>
    <row r="814" spans="1:19" ht="15" hidden="1" customHeight="1" x14ac:dyDescent="0.35">
      <c r="A814" s="26" t="s">
        <v>2068</v>
      </c>
      <c r="B814" s="32" t="s">
        <v>1959</v>
      </c>
      <c r="C814" s="28">
        <v>3068</v>
      </c>
      <c r="D814" s="29">
        <v>46132</v>
      </c>
      <c r="E814" s="76">
        <v>4904000</v>
      </c>
      <c r="F814" s="77">
        <f t="shared" si="38"/>
        <v>392320</v>
      </c>
      <c r="G814" s="31">
        <f t="shared" si="39"/>
        <v>5296320</v>
      </c>
      <c r="H814" s="74">
        <v>5296320</v>
      </c>
      <c r="I814" s="75">
        <f t="shared" si="37"/>
        <v>0</v>
      </c>
      <c r="J814" s="75"/>
      <c r="K814" s="5">
        <v>46178</v>
      </c>
      <c r="Q814" s="9"/>
      <c r="S814" s="3"/>
    </row>
    <row r="815" spans="1:19" ht="15" hidden="1" customHeight="1" x14ac:dyDescent="0.35">
      <c r="A815" s="26" t="s">
        <v>2069</v>
      </c>
      <c r="B815" s="32" t="s">
        <v>1960</v>
      </c>
      <c r="C815" s="28"/>
      <c r="D815" s="29" t="s">
        <v>2026</v>
      </c>
      <c r="E815" s="76">
        <v>4710000</v>
      </c>
      <c r="F815" s="77">
        <f t="shared" si="38"/>
        <v>376800</v>
      </c>
      <c r="G815" s="31">
        <f t="shared" si="39"/>
        <v>5086800</v>
      </c>
      <c r="H815" s="74">
        <v>5086800</v>
      </c>
      <c r="I815" s="75">
        <f t="shared" si="37"/>
        <v>0</v>
      </c>
      <c r="J815" s="75"/>
      <c r="K815" s="5">
        <v>46178</v>
      </c>
      <c r="Q815" s="9"/>
      <c r="S815" s="3"/>
    </row>
    <row r="816" spans="1:19" ht="15" hidden="1" customHeight="1" x14ac:dyDescent="0.35">
      <c r="A816" s="26" t="s">
        <v>2070</v>
      </c>
      <c r="B816" s="32" t="s">
        <v>1961</v>
      </c>
      <c r="C816" s="28"/>
      <c r="D816" s="29" t="s">
        <v>2026</v>
      </c>
      <c r="E816" s="76">
        <v>1132800</v>
      </c>
      <c r="F816" s="77">
        <f t="shared" si="38"/>
        <v>90624</v>
      </c>
      <c r="G816" s="31">
        <f t="shared" si="39"/>
        <v>1223424</v>
      </c>
      <c r="H816" s="74">
        <v>1223424</v>
      </c>
      <c r="I816" s="75">
        <f t="shared" si="37"/>
        <v>0</v>
      </c>
      <c r="J816" s="75"/>
      <c r="L816" s="5">
        <v>46157</v>
      </c>
      <c r="Q816" s="9"/>
      <c r="S816" s="3"/>
    </row>
    <row r="817" spans="1:19" ht="15" hidden="1" customHeight="1" x14ac:dyDescent="0.35">
      <c r="A817" s="26" t="s">
        <v>2071</v>
      </c>
      <c r="B817" s="32" t="s">
        <v>1962</v>
      </c>
      <c r="C817" s="28"/>
      <c r="D817" s="29" t="s">
        <v>2026</v>
      </c>
      <c r="E817" s="76">
        <v>11000000</v>
      </c>
      <c r="F817" s="77">
        <f t="shared" si="38"/>
        <v>880000</v>
      </c>
      <c r="G817" s="31">
        <f t="shared" si="39"/>
        <v>11880000</v>
      </c>
      <c r="H817" s="74">
        <v>11880000</v>
      </c>
      <c r="I817" s="75">
        <f t="shared" ref="I817:I880" si="40">G817-H817</f>
        <v>0</v>
      </c>
      <c r="J817" s="75"/>
      <c r="K817" s="5">
        <v>46178</v>
      </c>
      <c r="Q817" s="9"/>
      <c r="S817" s="3"/>
    </row>
    <row r="818" spans="1:19" ht="15" hidden="1" customHeight="1" x14ac:dyDescent="0.35">
      <c r="A818" s="26" t="s">
        <v>2072</v>
      </c>
      <c r="B818" s="32" t="s">
        <v>1963</v>
      </c>
      <c r="C818" s="28"/>
      <c r="D818" s="29" t="s">
        <v>2026</v>
      </c>
      <c r="E818" s="76">
        <v>840000</v>
      </c>
      <c r="F818" s="77">
        <f t="shared" ref="F818:F881" si="41">+E818*0.08</f>
        <v>67200</v>
      </c>
      <c r="G818" s="31">
        <f t="shared" si="39"/>
        <v>907200</v>
      </c>
      <c r="H818" s="74">
        <v>907200</v>
      </c>
      <c r="I818" s="75">
        <f t="shared" si="40"/>
        <v>0</v>
      </c>
      <c r="J818" s="75"/>
      <c r="L818" s="5">
        <v>46157</v>
      </c>
      <c r="Q818" s="9"/>
      <c r="S818" s="3"/>
    </row>
    <row r="819" spans="1:19" ht="15" hidden="1" customHeight="1" x14ac:dyDescent="0.35">
      <c r="A819" s="26" t="s">
        <v>2073</v>
      </c>
      <c r="B819" s="32" t="s">
        <v>1964</v>
      </c>
      <c r="C819" s="28"/>
      <c r="D819" s="29" t="s">
        <v>2026</v>
      </c>
      <c r="E819" s="76">
        <v>1132800</v>
      </c>
      <c r="F819" s="77">
        <f t="shared" si="41"/>
        <v>90624</v>
      </c>
      <c r="G819" s="31">
        <f t="shared" si="39"/>
        <v>1223424</v>
      </c>
      <c r="H819" s="74">
        <v>1223424</v>
      </c>
      <c r="I819" s="75">
        <f t="shared" si="40"/>
        <v>0</v>
      </c>
      <c r="J819" s="75"/>
      <c r="L819" s="5">
        <v>46157</v>
      </c>
      <c r="Q819" s="9"/>
      <c r="S819" s="3"/>
    </row>
    <row r="820" spans="1:19" ht="15" hidden="1" customHeight="1" x14ac:dyDescent="0.35">
      <c r="A820" s="26" t="s">
        <v>2074</v>
      </c>
      <c r="B820" s="32" t="s">
        <v>1965</v>
      </c>
      <c r="C820" s="28"/>
      <c r="D820" s="29" t="s">
        <v>2026</v>
      </c>
      <c r="E820" s="76">
        <v>840000</v>
      </c>
      <c r="F820" s="77">
        <f t="shared" si="41"/>
        <v>67200</v>
      </c>
      <c r="G820" s="31">
        <f t="shared" si="39"/>
        <v>907200</v>
      </c>
      <c r="H820" s="74">
        <v>907200</v>
      </c>
      <c r="I820" s="75">
        <f t="shared" si="40"/>
        <v>0</v>
      </c>
      <c r="J820" s="75"/>
      <c r="L820" s="5">
        <v>46157</v>
      </c>
      <c r="Q820" s="9"/>
      <c r="S820" s="3"/>
    </row>
    <row r="821" spans="1:19" ht="15" hidden="1" customHeight="1" x14ac:dyDescent="0.35">
      <c r="A821" s="26" t="s">
        <v>2075</v>
      </c>
      <c r="B821" s="32" t="s">
        <v>1966</v>
      </c>
      <c r="C821" s="28"/>
      <c r="D821" s="29" t="s">
        <v>2026</v>
      </c>
      <c r="E821" s="76">
        <v>840000</v>
      </c>
      <c r="F821" s="77">
        <f t="shared" si="41"/>
        <v>67200</v>
      </c>
      <c r="G821" s="31">
        <f t="shared" si="39"/>
        <v>907200</v>
      </c>
      <c r="H821" s="74">
        <v>907200</v>
      </c>
      <c r="I821" s="75">
        <f t="shared" si="40"/>
        <v>0</v>
      </c>
      <c r="J821" s="75"/>
      <c r="L821" s="5">
        <v>46178</v>
      </c>
      <c r="Q821" s="9"/>
      <c r="S821" s="3"/>
    </row>
    <row r="822" spans="1:19" ht="15" hidden="1" customHeight="1" x14ac:dyDescent="0.35">
      <c r="A822" s="26" t="s">
        <v>2076</v>
      </c>
      <c r="B822" s="32" t="s">
        <v>1967</v>
      </c>
      <c r="C822" s="28"/>
      <c r="D822" s="29" t="s">
        <v>2026</v>
      </c>
      <c r="E822" s="76">
        <v>3105600</v>
      </c>
      <c r="F822" s="77">
        <f t="shared" si="41"/>
        <v>248448</v>
      </c>
      <c r="G822" s="31">
        <f t="shared" si="39"/>
        <v>3354048</v>
      </c>
      <c r="H822" s="74">
        <v>3354048</v>
      </c>
      <c r="I822" s="75">
        <f t="shared" si="40"/>
        <v>0</v>
      </c>
      <c r="J822" s="75"/>
      <c r="L822" s="5">
        <v>46157</v>
      </c>
      <c r="Q822" s="9"/>
      <c r="S822" s="3"/>
    </row>
    <row r="823" spans="1:19" ht="15" hidden="1" customHeight="1" x14ac:dyDescent="0.35">
      <c r="A823" s="26" t="s">
        <v>2077</v>
      </c>
      <c r="B823" s="32" t="s">
        <v>1968</v>
      </c>
      <c r="C823" s="28"/>
      <c r="D823" s="29" t="s">
        <v>2026</v>
      </c>
      <c r="E823" s="76">
        <v>840000</v>
      </c>
      <c r="F823" s="77">
        <f t="shared" si="41"/>
        <v>67200</v>
      </c>
      <c r="G823" s="31">
        <f t="shared" si="39"/>
        <v>907200</v>
      </c>
      <c r="H823" s="74">
        <v>907200</v>
      </c>
      <c r="I823" s="75">
        <f t="shared" si="40"/>
        <v>0</v>
      </c>
      <c r="J823" s="75"/>
      <c r="L823" s="5">
        <v>46157</v>
      </c>
      <c r="Q823" s="9"/>
      <c r="S823" s="3"/>
    </row>
    <row r="824" spans="1:19" ht="15" hidden="1" customHeight="1" x14ac:dyDescent="0.35">
      <c r="A824" s="26" t="s">
        <v>2078</v>
      </c>
      <c r="B824" s="32" t="s">
        <v>1969</v>
      </c>
      <c r="C824" s="28"/>
      <c r="D824" s="29" t="s">
        <v>2026</v>
      </c>
      <c r="E824" s="76">
        <v>1132800</v>
      </c>
      <c r="F824" s="77">
        <f t="shared" si="41"/>
        <v>90624</v>
      </c>
      <c r="G824" s="31">
        <f t="shared" si="39"/>
        <v>1223424</v>
      </c>
      <c r="H824" s="74">
        <v>1223424</v>
      </c>
      <c r="I824" s="75">
        <f t="shared" si="40"/>
        <v>0</v>
      </c>
      <c r="J824" s="75"/>
      <c r="L824" s="5">
        <v>46157</v>
      </c>
      <c r="Q824" s="9"/>
      <c r="S824" s="3"/>
    </row>
    <row r="825" spans="1:19" ht="15" hidden="1" customHeight="1" x14ac:dyDescent="0.35">
      <c r="A825" s="26" t="s">
        <v>2079</v>
      </c>
      <c r="B825" s="32" t="s">
        <v>1970</v>
      </c>
      <c r="C825" s="28"/>
      <c r="D825" s="29" t="s">
        <v>2026</v>
      </c>
      <c r="E825" s="76">
        <v>1132800</v>
      </c>
      <c r="F825" s="77">
        <f t="shared" si="41"/>
        <v>90624</v>
      </c>
      <c r="G825" s="31">
        <f t="shared" si="39"/>
        <v>1223424</v>
      </c>
      <c r="H825" s="74">
        <v>1223424</v>
      </c>
      <c r="I825" s="75">
        <f t="shared" si="40"/>
        <v>0</v>
      </c>
      <c r="J825" s="75"/>
      <c r="L825" s="5">
        <v>46157</v>
      </c>
      <c r="Q825" s="9"/>
      <c r="S825" s="3"/>
    </row>
    <row r="826" spans="1:19" ht="15" hidden="1" customHeight="1" x14ac:dyDescent="0.35">
      <c r="A826" s="26" t="s">
        <v>2080</v>
      </c>
      <c r="B826" s="32" t="s">
        <v>1971</v>
      </c>
      <c r="C826" s="28"/>
      <c r="D826" s="29" t="s">
        <v>2026</v>
      </c>
      <c r="E826" s="76">
        <v>1132800</v>
      </c>
      <c r="F826" s="77">
        <f t="shared" si="41"/>
        <v>90624</v>
      </c>
      <c r="G826" s="31">
        <f t="shared" si="39"/>
        <v>1223424</v>
      </c>
      <c r="H826" s="74">
        <v>1223424</v>
      </c>
      <c r="I826" s="75">
        <f t="shared" si="40"/>
        <v>0</v>
      </c>
      <c r="J826" s="75"/>
      <c r="L826" s="5">
        <v>46157</v>
      </c>
      <c r="Q826" s="9"/>
      <c r="S826" s="3"/>
    </row>
    <row r="827" spans="1:19" ht="15" hidden="1" customHeight="1" x14ac:dyDescent="0.35">
      <c r="A827" s="26" t="s">
        <v>2081</v>
      </c>
      <c r="B827" s="32" t="s">
        <v>1972</v>
      </c>
      <c r="C827" s="28"/>
      <c r="D827" s="29" t="s">
        <v>2026</v>
      </c>
      <c r="E827" s="76">
        <v>1132800</v>
      </c>
      <c r="F827" s="77">
        <f t="shared" si="41"/>
        <v>90624</v>
      </c>
      <c r="G827" s="31">
        <f t="shared" si="39"/>
        <v>1223424</v>
      </c>
      <c r="H827" s="74">
        <v>1223424</v>
      </c>
      <c r="I827" s="75">
        <f t="shared" si="40"/>
        <v>0</v>
      </c>
      <c r="J827" s="75"/>
      <c r="L827" s="5">
        <v>46157</v>
      </c>
      <c r="Q827" s="9"/>
      <c r="S827" s="3"/>
    </row>
    <row r="828" spans="1:19" ht="15" hidden="1" customHeight="1" x14ac:dyDescent="0.35">
      <c r="A828" s="26" t="s">
        <v>2082</v>
      </c>
      <c r="B828" s="32" t="s">
        <v>1973</v>
      </c>
      <c r="C828" s="28"/>
      <c r="D828" s="29" t="s">
        <v>2026</v>
      </c>
      <c r="E828" s="76">
        <v>1132800</v>
      </c>
      <c r="F828" s="77">
        <f t="shared" si="41"/>
        <v>90624</v>
      </c>
      <c r="G828" s="31">
        <f t="shared" si="39"/>
        <v>1223424</v>
      </c>
      <c r="H828" s="74">
        <v>1223424</v>
      </c>
      <c r="I828" s="75">
        <f t="shared" si="40"/>
        <v>0</v>
      </c>
      <c r="J828" s="75"/>
      <c r="L828" s="5">
        <v>46157</v>
      </c>
      <c r="Q828" s="9"/>
      <c r="S828" s="3"/>
    </row>
    <row r="829" spans="1:19" ht="15" hidden="1" customHeight="1" x14ac:dyDescent="0.35">
      <c r="A829" s="26" t="s">
        <v>2083</v>
      </c>
      <c r="B829" s="32" t="s">
        <v>1974</v>
      </c>
      <c r="C829" s="28"/>
      <c r="D829" s="29" t="s">
        <v>2026</v>
      </c>
      <c r="E829" s="76">
        <v>1132800</v>
      </c>
      <c r="F829" s="77">
        <f t="shared" si="41"/>
        <v>90624</v>
      </c>
      <c r="G829" s="31">
        <f t="shared" si="39"/>
        <v>1223424</v>
      </c>
      <c r="H829" s="74">
        <v>1223424</v>
      </c>
      <c r="I829" s="75">
        <f t="shared" si="40"/>
        <v>0</v>
      </c>
      <c r="J829" s="75"/>
      <c r="L829" s="5">
        <v>46157</v>
      </c>
      <c r="Q829" s="9"/>
      <c r="S829" s="3"/>
    </row>
    <row r="830" spans="1:19" ht="15" hidden="1" customHeight="1" x14ac:dyDescent="0.35">
      <c r="A830" s="26" t="s">
        <v>2084</v>
      </c>
      <c r="B830" s="32" t="s">
        <v>1975</v>
      </c>
      <c r="C830" s="28"/>
      <c r="D830" s="29" t="s">
        <v>2026</v>
      </c>
      <c r="E830" s="76">
        <v>1132800</v>
      </c>
      <c r="F830" s="77">
        <f t="shared" si="41"/>
        <v>90624</v>
      </c>
      <c r="G830" s="31">
        <f t="shared" ref="G830:G891" si="42">+F830+E830</f>
        <v>1223424</v>
      </c>
      <c r="H830" s="74">
        <v>1223424</v>
      </c>
      <c r="I830" s="75">
        <f t="shared" si="40"/>
        <v>0</v>
      </c>
      <c r="J830" s="75"/>
      <c r="L830" s="5">
        <v>46157</v>
      </c>
      <c r="Q830" s="9"/>
      <c r="S830" s="3"/>
    </row>
    <row r="831" spans="1:19" ht="15" hidden="1" customHeight="1" x14ac:dyDescent="0.35">
      <c r="A831" s="26" t="s">
        <v>2085</v>
      </c>
      <c r="B831" s="32" t="s">
        <v>1976</v>
      </c>
      <c r="C831" s="28"/>
      <c r="D831" s="29" t="s">
        <v>2026</v>
      </c>
      <c r="E831" s="76">
        <v>840000</v>
      </c>
      <c r="F831" s="77">
        <f t="shared" si="41"/>
        <v>67200</v>
      </c>
      <c r="G831" s="31">
        <f t="shared" si="42"/>
        <v>907200</v>
      </c>
      <c r="H831" s="74">
        <v>907200</v>
      </c>
      <c r="I831" s="75">
        <f t="shared" si="40"/>
        <v>0</v>
      </c>
      <c r="J831" s="75"/>
      <c r="L831" s="5">
        <v>46178</v>
      </c>
      <c r="Q831" s="9"/>
      <c r="S831" s="3"/>
    </row>
    <row r="832" spans="1:19" ht="15" hidden="1" customHeight="1" x14ac:dyDescent="0.35">
      <c r="A832" s="26" t="s">
        <v>2086</v>
      </c>
      <c r="B832" s="32" t="s">
        <v>1977</v>
      </c>
      <c r="C832" s="28"/>
      <c r="D832" s="29" t="s">
        <v>2026</v>
      </c>
      <c r="E832" s="76">
        <v>840000</v>
      </c>
      <c r="F832" s="77">
        <f t="shared" si="41"/>
        <v>67200</v>
      </c>
      <c r="G832" s="31">
        <f t="shared" si="42"/>
        <v>907200</v>
      </c>
      <c r="H832" s="74">
        <v>907200</v>
      </c>
      <c r="I832" s="75">
        <f t="shared" si="40"/>
        <v>0</v>
      </c>
      <c r="J832" s="75"/>
      <c r="L832" s="5">
        <v>46157</v>
      </c>
      <c r="Q832" s="9"/>
      <c r="S832" s="3"/>
    </row>
    <row r="833" spans="1:19" ht="15" hidden="1" customHeight="1" x14ac:dyDescent="0.35">
      <c r="A833" s="26" t="s">
        <v>2087</v>
      </c>
      <c r="B833" s="32" t="s">
        <v>1978</v>
      </c>
      <c r="C833" s="28"/>
      <c r="D833" s="29" t="s">
        <v>2026</v>
      </c>
      <c r="E833" s="76">
        <v>2265600</v>
      </c>
      <c r="F833" s="77">
        <f t="shared" si="41"/>
        <v>181248</v>
      </c>
      <c r="G833" s="31">
        <f t="shared" si="42"/>
        <v>2446848</v>
      </c>
      <c r="H833" s="74">
        <v>2446848</v>
      </c>
      <c r="I833" s="75">
        <f t="shared" si="40"/>
        <v>0</v>
      </c>
      <c r="J833" s="75"/>
      <c r="L833" s="5">
        <v>46157</v>
      </c>
      <c r="Q833" s="9"/>
      <c r="S833" s="3"/>
    </row>
    <row r="834" spans="1:19" ht="15" hidden="1" customHeight="1" x14ac:dyDescent="0.35">
      <c r="A834" s="26" t="s">
        <v>2088</v>
      </c>
      <c r="B834" s="32" t="s">
        <v>1979</v>
      </c>
      <c r="C834" s="28"/>
      <c r="D834" s="29" t="s">
        <v>2026</v>
      </c>
      <c r="E834" s="76">
        <v>1132800</v>
      </c>
      <c r="F834" s="77">
        <f t="shared" si="41"/>
        <v>90624</v>
      </c>
      <c r="G834" s="31">
        <f t="shared" si="42"/>
        <v>1223424</v>
      </c>
      <c r="H834" s="74">
        <v>1223424</v>
      </c>
      <c r="I834" s="75">
        <f t="shared" si="40"/>
        <v>0</v>
      </c>
      <c r="J834" s="75"/>
      <c r="L834" s="5">
        <v>46157</v>
      </c>
      <c r="Q834" s="9"/>
      <c r="S834" s="3"/>
    </row>
    <row r="835" spans="1:19" ht="15" hidden="1" customHeight="1" x14ac:dyDescent="0.35">
      <c r="A835" s="26" t="s">
        <v>2089</v>
      </c>
      <c r="B835" s="32" t="s">
        <v>1980</v>
      </c>
      <c r="C835" s="28"/>
      <c r="D835" s="29" t="s">
        <v>2026</v>
      </c>
      <c r="E835" s="76">
        <v>1972800</v>
      </c>
      <c r="F835" s="77">
        <f t="shared" si="41"/>
        <v>157824</v>
      </c>
      <c r="G835" s="31">
        <f t="shared" si="42"/>
        <v>2130624</v>
      </c>
      <c r="H835" s="74">
        <v>2130624</v>
      </c>
      <c r="I835" s="75">
        <f t="shared" si="40"/>
        <v>0</v>
      </c>
      <c r="J835" s="75"/>
      <c r="L835" s="5">
        <v>46157</v>
      </c>
      <c r="Q835" s="9"/>
      <c r="S835" s="3"/>
    </row>
    <row r="836" spans="1:19" ht="15" hidden="1" customHeight="1" x14ac:dyDescent="0.35">
      <c r="A836" s="26" t="s">
        <v>2090</v>
      </c>
      <c r="B836" s="32" t="s">
        <v>1981</v>
      </c>
      <c r="C836" s="28"/>
      <c r="D836" s="29" t="s">
        <v>2027</v>
      </c>
      <c r="E836" s="76">
        <v>13960000</v>
      </c>
      <c r="F836" s="77">
        <f t="shared" si="41"/>
        <v>1116800</v>
      </c>
      <c r="G836" s="31">
        <f t="shared" si="42"/>
        <v>15076800</v>
      </c>
      <c r="H836" s="74">
        <v>15076800</v>
      </c>
      <c r="I836" s="75">
        <f t="shared" si="40"/>
        <v>0</v>
      </c>
      <c r="J836" s="75"/>
      <c r="K836" s="5">
        <v>46178</v>
      </c>
      <c r="Q836" s="9"/>
      <c r="S836" s="3"/>
    </row>
    <row r="837" spans="1:19" ht="15" hidden="1" customHeight="1" x14ac:dyDescent="0.35">
      <c r="A837" s="26" t="s">
        <v>2091</v>
      </c>
      <c r="B837" s="27" t="s">
        <v>1982</v>
      </c>
      <c r="C837" s="28"/>
      <c r="D837" s="29" t="s">
        <v>2027</v>
      </c>
      <c r="E837" s="76">
        <v>4238400</v>
      </c>
      <c r="F837" s="77">
        <f t="shared" si="41"/>
        <v>339072</v>
      </c>
      <c r="G837" s="31">
        <f t="shared" si="42"/>
        <v>4577472</v>
      </c>
      <c r="H837" s="74">
        <v>4577472</v>
      </c>
      <c r="I837" s="75">
        <f t="shared" si="40"/>
        <v>0</v>
      </c>
      <c r="J837" s="75"/>
      <c r="L837" s="5">
        <v>46157</v>
      </c>
      <c r="Q837" s="9"/>
      <c r="S837" s="3"/>
    </row>
    <row r="838" spans="1:19" ht="15" hidden="1" customHeight="1" x14ac:dyDescent="0.35">
      <c r="A838" s="26" t="s">
        <v>2092</v>
      </c>
      <c r="B838" s="32" t="s">
        <v>1983</v>
      </c>
      <c r="C838" s="28"/>
      <c r="D838" s="29" t="s">
        <v>2027</v>
      </c>
      <c r="E838" s="76">
        <v>960000</v>
      </c>
      <c r="F838" s="77">
        <f t="shared" si="41"/>
        <v>76800</v>
      </c>
      <c r="G838" s="31">
        <f t="shared" si="42"/>
        <v>1036800</v>
      </c>
      <c r="H838" s="74">
        <v>1036800</v>
      </c>
      <c r="I838" s="75">
        <f t="shared" si="40"/>
        <v>0</v>
      </c>
      <c r="J838" s="75"/>
      <c r="K838" s="5">
        <v>46178</v>
      </c>
      <c r="Q838" s="9"/>
      <c r="S838" s="3"/>
    </row>
    <row r="839" spans="1:19" ht="15" hidden="1" customHeight="1" x14ac:dyDescent="0.35">
      <c r="A839" s="26" t="s">
        <v>2093</v>
      </c>
      <c r="B839" s="32" t="s">
        <v>1984</v>
      </c>
      <c r="C839" s="28"/>
      <c r="D839" s="29" t="s">
        <v>2027</v>
      </c>
      <c r="E839" s="76">
        <v>1005000</v>
      </c>
      <c r="F839" s="77">
        <f t="shared" si="41"/>
        <v>80400</v>
      </c>
      <c r="G839" s="31">
        <f t="shared" si="42"/>
        <v>1085400</v>
      </c>
      <c r="H839" s="74">
        <v>1085400</v>
      </c>
      <c r="I839" s="75">
        <f t="shared" si="40"/>
        <v>0</v>
      </c>
      <c r="J839" s="75"/>
      <c r="K839" s="5">
        <v>46178</v>
      </c>
      <c r="Q839" s="9"/>
      <c r="S839" s="3"/>
    </row>
    <row r="840" spans="1:19" ht="15" hidden="1" customHeight="1" x14ac:dyDescent="0.35">
      <c r="A840" s="26" t="s">
        <v>2094</v>
      </c>
      <c r="B840" s="32" t="s">
        <v>1985</v>
      </c>
      <c r="C840" s="28"/>
      <c r="D840" s="29" t="s">
        <v>2027</v>
      </c>
      <c r="E840" s="76">
        <v>1005000</v>
      </c>
      <c r="F840" s="77">
        <f t="shared" si="41"/>
        <v>80400</v>
      </c>
      <c r="G840" s="31">
        <f t="shared" si="42"/>
        <v>1085400</v>
      </c>
      <c r="H840" s="74">
        <v>1085400</v>
      </c>
      <c r="I840" s="75">
        <f t="shared" si="40"/>
        <v>0</v>
      </c>
      <c r="J840" s="75"/>
      <c r="K840" s="5">
        <v>46178</v>
      </c>
      <c r="Q840" s="9"/>
      <c r="S840" s="3"/>
    </row>
    <row r="841" spans="1:19" ht="15" hidden="1" customHeight="1" x14ac:dyDescent="0.35">
      <c r="A841" s="26" t="s">
        <v>2095</v>
      </c>
      <c r="B841" s="32" t="s">
        <v>1986</v>
      </c>
      <c r="C841" s="28"/>
      <c r="D841" s="29" t="s">
        <v>2027</v>
      </c>
      <c r="E841" s="76">
        <v>4005000</v>
      </c>
      <c r="F841" s="77">
        <f t="shared" si="41"/>
        <v>320400</v>
      </c>
      <c r="G841" s="31">
        <f t="shared" si="42"/>
        <v>4325400</v>
      </c>
      <c r="H841" s="74">
        <v>4325400</v>
      </c>
      <c r="I841" s="75">
        <f t="shared" si="40"/>
        <v>0</v>
      </c>
      <c r="J841" s="75"/>
      <c r="K841" s="5">
        <v>46178</v>
      </c>
      <c r="Q841" s="9"/>
      <c r="S841" s="3"/>
    </row>
    <row r="842" spans="1:19" ht="15" hidden="1" customHeight="1" x14ac:dyDescent="0.35">
      <c r="A842" s="26" t="s">
        <v>2096</v>
      </c>
      <c r="B842" s="32" t="s">
        <v>1987</v>
      </c>
      <c r="C842" s="28"/>
      <c r="D842" s="29" t="s">
        <v>2027</v>
      </c>
      <c r="E842" s="76">
        <v>1005000</v>
      </c>
      <c r="F842" s="77">
        <f t="shared" si="41"/>
        <v>80400</v>
      </c>
      <c r="G842" s="31">
        <f t="shared" si="42"/>
        <v>1085400</v>
      </c>
      <c r="H842" s="74">
        <v>1085400</v>
      </c>
      <c r="I842" s="75">
        <f t="shared" si="40"/>
        <v>0</v>
      </c>
      <c r="J842" s="75"/>
      <c r="K842" s="5">
        <v>46178</v>
      </c>
      <c r="Q842" s="9"/>
      <c r="S842" s="3"/>
    </row>
    <row r="843" spans="1:19" ht="15" hidden="1" customHeight="1" x14ac:dyDescent="0.35">
      <c r="A843" s="26" t="s">
        <v>2097</v>
      </c>
      <c r="B843" s="32" t="s">
        <v>1988</v>
      </c>
      <c r="C843" s="28"/>
      <c r="D843" s="29" t="s">
        <v>2027</v>
      </c>
      <c r="E843" s="76">
        <v>1620000</v>
      </c>
      <c r="F843" s="77">
        <f t="shared" si="41"/>
        <v>129600</v>
      </c>
      <c r="G843" s="31">
        <f t="shared" si="42"/>
        <v>1749600</v>
      </c>
      <c r="H843" s="74">
        <v>1749600</v>
      </c>
      <c r="I843" s="75">
        <f t="shared" si="40"/>
        <v>0</v>
      </c>
      <c r="J843" s="75"/>
      <c r="K843" s="5">
        <v>46178</v>
      </c>
      <c r="Q843" s="9"/>
      <c r="S843" s="3"/>
    </row>
    <row r="844" spans="1:19" ht="15" hidden="1" customHeight="1" x14ac:dyDescent="0.35">
      <c r="A844" s="26" t="s">
        <v>2098</v>
      </c>
      <c r="B844" s="32" t="s">
        <v>1989</v>
      </c>
      <c r="C844" s="28"/>
      <c r="D844" s="29" t="s">
        <v>2027</v>
      </c>
      <c r="E844" s="76">
        <v>1005000</v>
      </c>
      <c r="F844" s="77">
        <f t="shared" si="41"/>
        <v>80400</v>
      </c>
      <c r="G844" s="31">
        <f t="shared" si="42"/>
        <v>1085400</v>
      </c>
      <c r="H844" s="74">
        <v>1085400</v>
      </c>
      <c r="I844" s="75">
        <f t="shared" si="40"/>
        <v>0</v>
      </c>
      <c r="J844" s="75"/>
      <c r="K844" s="5">
        <v>46178</v>
      </c>
      <c r="Q844" s="9"/>
      <c r="S844" s="3"/>
    </row>
    <row r="845" spans="1:19" ht="15" hidden="1" customHeight="1" x14ac:dyDescent="0.35">
      <c r="A845" s="26" t="s">
        <v>2099</v>
      </c>
      <c r="B845" s="32" t="s">
        <v>1990</v>
      </c>
      <c r="C845" s="28"/>
      <c r="D845" s="29" t="s">
        <v>2027</v>
      </c>
      <c r="E845" s="76">
        <v>1965000</v>
      </c>
      <c r="F845" s="77">
        <f t="shared" si="41"/>
        <v>157200</v>
      </c>
      <c r="G845" s="31">
        <f t="shared" si="42"/>
        <v>2122200</v>
      </c>
      <c r="H845" s="74">
        <v>2122200</v>
      </c>
      <c r="I845" s="75">
        <f t="shared" si="40"/>
        <v>0</v>
      </c>
      <c r="J845" s="75"/>
      <c r="K845" s="5">
        <v>46178</v>
      </c>
      <c r="Q845" s="9"/>
      <c r="S845" s="3"/>
    </row>
    <row r="846" spans="1:19" ht="15" hidden="1" customHeight="1" x14ac:dyDescent="0.35">
      <c r="A846" s="26" t="s">
        <v>2100</v>
      </c>
      <c r="B846" s="32" t="s">
        <v>1991</v>
      </c>
      <c r="C846" s="28">
        <v>3069</v>
      </c>
      <c r="D846" s="29">
        <v>46132</v>
      </c>
      <c r="E846" s="76">
        <v>2448000</v>
      </c>
      <c r="F846" s="77">
        <f t="shared" si="41"/>
        <v>195840</v>
      </c>
      <c r="G846" s="31">
        <f t="shared" si="42"/>
        <v>2643840</v>
      </c>
      <c r="H846" s="74">
        <v>2643840</v>
      </c>
      <c r="I846" s="75">
        <f t="shared" si="40"/>
        <v>0</v>
      </c>
      <c r="J846" s="75"/>
      <c r="K846" s="5">
        <v>46178</v>
      </c>
      <c r="Q846" s="9"/>
      <c r="S846" s="3"/>
    </row>
    <row r="847" spans="1:19" ht="15" hidden="1" customHeight="1" x14ac:dyDescent="0.35">
      <c r="A847" s="26" t="s">
        <v>2101</v>
      </c>
      <c r="B847" s="32" t="s">
        <v>1992</v>
      </c>
      <c r="C847" s="28"/>
      <c r="D847" s="29" t="s">
        <v>2027</v>
      </c>
      <c r="E847" s="76">
        <v>1005000</v>
      </c>
      <c r="F847" s="77">
        <f t="shared" si="41"/>
        <v>80400</v>
      </c>
      <c r="G847" s="31">
        <f t="shared" si="42"/>
        <v>1085400</v>
      </c>
      <c r="H847" s="74">
        <v>1085400</v>
      </c>
      <c r="I847" s="75">
        <f t="shared" si="40"/>
        <v>0</v>
      </c>
      <c r="J847" s="75"/>
      <c r="K847" s="5">
        <v>46178</v>
      </c>
      <c r="Q847" s="9"/>
      <c r="S847" s="3"/>
    </row>
    <row r="848" spans="1:19" ht="15" hidden="1" customHeight="1" x14ac:dyDescent="0.35">
      <c r="A848" s="26" t="s">
        <v>2102</v>
      </c>
      <c r="B848" s="32" t="s">
        <v>1993</v>
      </c>
      <c r="C848" s="28"/>
      <c r="D848" s="29" t="s">
        <v>2027</v>
      </c>
      <c r="E848" s="76">
        <v>640000</v>
      </c>
      <c r="F848" s="77">
        <f t="shared" si="41"/>
        <v>51200</v>
      </c>
      <c r="G848" s="31">
        <f t="shared" si="42"/>
        <v>691200</v>
      </c>
      <c r="H848" s="74">
        <v>691200</v>
      </c>
      <c r="I848" s="75">
        <f t="shared" si="40"/>
        <v>0</v>
      </c>
      <c r="J848" s="75"/>
      <c r="K848" s="5">
        <v>46178</v>
      </c>
      <c r="Q848" s="9"/>
      <c r="S848" s="3"/>
    </row>
    <row r="849" spans="1:19" ht="15" hidden="1" customHeight="1" x14ac:dyDescent="0.35">
      <c r="A849" s="26" t="s">
        <v>2103</v>
      </c>
      <c r="B849" s="32" t="s">
        <v>1994</v>
      </c>
      <c r="C849" s="28">
        <v>2927</v>
      </c>
      <c r="D849" s="29">
        <v>46126</v>
      </c>
      <c r="E849" s="76">
        <v>725000</v>
      </c>
      <c r="F849" s="77">
        <f t="shared" si="41"/>
        <v>58000</v>
      </c>
      <c r="G849" s="31">
        <f t="shared" si="42"/>
        <v>783000</v>
      </c>
      <c r="H849" s="74">
        <v>783000</v>
      </c>
      <c r="I849" s="75">
        <f t="shared" si="40"/>
        <v>0</v>
      </c>
      <c r="J849" s="75"/>
      <c r="K849" s="5">
        <v>46178</v>
      </c>
      <c r="Q849" s="9"/>
      <c r="S849" s="3"/>
    </row>
    <row r="850" spans="1:19" ht="15" hidden="1" customHeight="1" x14ac:dyDescent="0.35">
      <c r="A850" s="26" t="s">
        <v>2104</v>
      </c>
      <c r="B850" s="32" t="s">
        <v>1995</v>
      </c>
      <c r="C850" s="28">
        <v>3323</v>
      </c>
      <c r="D850" s="29">
        <v>46140</v>
      </c>
      <c r="E850" s="76">
        <v>1894500</v>
      </c>
      <c r="F850" s="77">
        <f t="shared" si="41"/>
        <v>151560</v>
      </c>
      <c r="G850" s="31">
        <f t="shared" si="42"/>
        <v>2046060</v>
      </c>
      <c r="H850" s="74">
        <v>2046060</v>
      </c>
      <c r="I850" s="75">
        <f t="shared" si="40"/>
        <v>0</v>
      </c>
      <c r="J850" s="75"/>
      <c r="K850" s="5">
        <v>46188</v>
      </c>
      <c r="Q850" s="9"/>
      <c r="S850" s="3"/>
    </row>
    <row r="851" spans="1:19" ht="15" hidden="1" customHeight="1" x14ac:dyDescent="0.35">
      <c r="A851" s="26" t="s">
        <v>2105</v>
      </c>
      <c r="B851" s="32" t="s">
        <v>1996</v>
      </c>
      <c r="C851" s="28"/>
      <c r="D851" s="29" t="s">
        <v>2027</v>
      </c>
      <c r="E851" s="76">
        <v>1630000</v>
      </c>
      <c r="F851" s="77">
        <f t="shared" si="41"/>
        <v>130400</v>
      </c>
      <c r="G851" s="31">
        <f t="shared" si="42"/>
        <v>1760400</v>
      </c>
      <c r="H851" s="74">
        <v>1760400</v>
      </c>
      <c r="I851" s="75">
        <f t="shared" si="40"/>
        <v>0</v>
      </c>
      <c r="J851" s="75"/>
      <c r="K851" s="5">
        <v>46178</v>
      </c>
      <c r="Q851" s="9"/>
      <c r="S851" s="3"/>
    </row>
    <row r="852" spans="1:19" ht="15" hidden="1" customHeight="1" x14ac:dyDescent="0.35">
      <c r="A852" s="26" t="s">
        <v>2106</v>
      </c>
      <c r="B852" s="32" t="s">
        <v>1997</v>
      </c>
      <c r="C852" s="28"/>
      <c r="D852" s="29" t="s">
        <v>2027</v>
      </c>
      <c r="E852" s="76">
        <v>640000</v>
      </c>
      <c r="F852" s="77">
        <f t="shared" si="41"/>
        <v>51200</v>
      </c>
      <c r="G852" s="31">
        <f t="shared" si="42"/>
        <v>691200</v>
      </c>
      <c r="H852" s="74">
        <v>691200</v>
      </c>
      <c r="I852" s="75">
        <f t="shared" si="40"/>
        <v>0</v>
      </c>
      <c r="J852" s="75"/>
      <c r="K852" s="5">
        <v>46178</v>
      </c>
      <c r="Q852" s="9"/>
      <c r="S852" s="3"/>
    </row>
    <row r="853" spans="1:19" ht="15" hidden="1" customHeight="1" x14ac:dyDescent="0.35">
      <c r="A853" s="26" t="s">
        <v>2107</v>
      </c>
      <c r="B853" s="32" t="s">
        <v>1998</v>
      </c>
      <c r="C853" s="28"/>
      <c r="D853" s="29" t="s">
        <v>2027</v>
      </c>
      <c r="E853" s="76">
        <v>1600000</v>
      </c>
      <c r="F853" s="77">
        <f t="shared" si="41"/>
        <v>128000</v>
      </c>
      <c r="G853" s="31">
        <f t="shared" si="42"/>
        <v>1728000</v>
      </c>
      <c r="H853" s="74">
        <v>1728000</v>
      </c>
      <c r="I853" s="75">
        <f t="shared" si="40"/>
        <v>0</v>
      </c>
      <c r="J853" s="75"/>
      <c r="K853" s="5">
        <v>46178</v>
      </c>
      <c r="Q853" s="9"/>
      <c r="S853" s="3"/>
    </row>
    <row r="854" spans="1:19" ht="15" hidden="1" customHeight="1" x14ac:dyDescent="0.35">
      <c r="A854" s="26" t="s">
        <v>2108</v>
      </c>
      <c r="B854" s="32" t="s">
        <v>1999</v>
      </c>
      <c r="C854" s="28">
        <v>3067</v>
      </c>
      <c r="D854" s="29">
        <v>46132</v>
      </c>
      <c r="E854" s="76">
        <v>3535000</v>
      </c>
      <c r="F854" s="77">
        <f t="shared" si="41"/>
        <v>282800</v>
      </c>
      <c r="G854" s="31">
        <f t="shared" si="42"/>
        <v>3817800</v>
      </c>
      <c r="H854" s="74">
        <v>3817800</v>
      </c>
      <c r="I854" s="75">
        <f t="shared" si="40"/>
        <v>0</v>
      </c>
      <c r="J854" s="75"/>
      <c r="K854" s="5">
        <v>46178</v>
      </c>
      <c r="Q854" s="9"/>
      <c r="S854" s="3"/>
    </row>
    <row r="855" spans="1:19" ht="15" hidden="1" customHeight="1" x14ac:dyDescent="0.35">
      <c r="A855" s="26" t="s">
        <v>2109</v>
      </c>
      <c r="B855" s="27" t="s">
        <v>2000</v>
      </c>
      <c r="C855" s="28"/>
      <c r="D855" s="29" t="s">
        <v>2027</v>
      </c>
      <c r="E855" s="76">
        <v>6125000</v>
      </c>
      <c r="F855" s="77">
        <f t="shared" si="41"/>
        <v>490000</v>
      </c>
      <c r="G855" s="31">
        <f t="shared" si="42"/>
        <v>6615000</v>
      </c>
      <c r="H855" s="74">
        <v>6615000</v>
      </c>
      <c r="I855" s="75">
        <f t="shared" si="40"/>
        <v>0</v>
      </c>
      <c r="J855" s="75"/>
      <c r="K855" s="5">
        <v>46178</v>
      </c>
      <c r="Q855" s="9"/>
      <c r="S855" s="3"/>
    </row>
    <row r="856" spans="1:19" ht="15" hidden="1" customHeight="1" x14ac:dyDescent="0.35">
      <c r="A856" s="26" t="s">
        <v>2110</v>
      </c>
      <c r="B856" s="32" t="s">
        <v>2001</v>
      </c>
      <c r="C856" s="28"/>
      <c r="D856" s="29" t="s">
        <v>2027</v>
      </c>
      <c r="E856" s="76">
        <v>6945000</v>
      </c>
      <c r="F856" s="77">
        <f t="shared" si="41"/>
        <v>555600</v>
      </c>
      <c r="G856" s="31">
        <f t="shared" si="42"/>
        <v>7500600</v>
      </c>
      <c r="H856" s="74">
        <v>7500600</v>
      </c>
      <c r="I856" s="75">
        <f t="shared" si="40"/>
        <v>0</v>
      </c>
      <c r="J856" s="75"/>
      <c r="K856" s="5">
        <v>46178</v>
      </c>
      <c r="Q856" s="9"/>
      <c r="S856" s="3"/>
    </row>
    <row r="857" spans="1:19" ht="15" hidden="1" customHeight="1" x14ac:dyDescent="0.35">
      <c r="A857" s="26" t="s">
        <v>2111</v>
      </c>
      <c r="B857" s="32" t="s">
        <v>2002</v>
      </c>
      <c r="C857" s="28"/>
      <c r="D857" s="29" t="s">
        <v>2027</v>
      </c>
      <c r="E857" s="76">
        <v>2540000</v>
      </c>
      <c r="F857" s="77">
        <f t="shared" si="41"/>
        <v>203200</v>
      </c>
      <c r="G857" s="31">
        <f t="shared" si="42"/>
        <v>2743200</v>
      </c>
      <c r="H857" s="74">
        <v>2743200</v>
      </c>
      <c r="I857" s="75">
        <f t="shared" si="40"/>
        <v>0</v>
      </c>
      <c r="J857" s="75"/>
      <c r="K857" s="5">
        <v>46178</v>
      </c>
      <c r="L857" s="3"/>
      <c r="O857" s="9"/>
      <c r="S857" s="3"/>
    </row>
    <row r="858" spans="1:19" ht="15" hidden="1" customHeight="1" x14ac:dyDescent="0.35">
      <c r="A858" s="26" t="s">
        <v>2112</v>
      </c>
      <c r="B858" s="32" t="s">
        <v>2003</v>
      </c>
      <c r="C858" s="28"/>
      <c r="D858" s="29" t="s">
        <v>2027</v>
      </c>
      <c r="E858" s="76">
        <v>9015000</v>
      </c>
      <c r="F858" s="77">
        <f t="shared" si="41"/>
        <v>721200</v>
      </c>
      <c r="G858" s="31">
        <f t="shared" si="42"/>
        <v>9736200</v>
      </c>
      <c r="H858" s="74">
        <v>9736200</v>
      </c>
      <c r="I858" s="75">
        <f t="shared" si="40"/>
        <v>0</v>
      </c>
      <c r="J858" s="75"/>
      <c r="K858" s="5">
        <v>46178</v>
      </c>
      <c r="L858" s="3"/>
      <c r="O858" s="9"/>
      <c r="S858" s="3"/>
    </row>
    <row r="859" spans="1:19" ht="15" hidden="1" customHeight="1" x14ac:dyDescent="0.35">
      <c r="A859" s="26" t="s">
        <v>2113</v>
      </c>
      <c r="B859" s="32" t="s">
        <v>2004</v>
      </c>
      <c r="C859" s="28"/>
      <c r="D859" s="29" t="s">
        <v>2027</v>
      </c>
      <c r="E859" s="76">
        <v>2010000</v>
      </c>
      <c r="F859" s="77">
        <f t="shared" si="41"/>
        <v>160800</v>
      </c>
      <c r="G859" s="31">
        <f t="shared" si="42"/>
        <v>2170800</v>
      </c>
      <c r="H859" s="74">
        <v>2170800</v>
      </c>
      <c r="I859" s="75">
        <f t="shared" si="40"/>
        <v>0</v>
      </c>
      <c r="J859" s="75"/>
      <c r="K859" s="5">
        <v>46178</v>
      </c>
      <c r="L859" s="3"/>
      <c r="O859" s="9"/>
      <c r="S859" s="3"/>
    </row>
    <row r="860" spans="1:19" ht="15" hidden="1" customHeight="1" x14ac:dyDescent="0.35">
      <c r="A860" s="26" t="s">
        <v>2114</v>
      </c>
      <c r="B860" s="32" t="s">
        <v>2005</v>
      </c>
      <c r="C860" s="28"/>
      <c r="D860" s="29" t="s">
        <v>2027</v>
      </c>
      <c r="E860" s="76">
        <v>2925000</v>
      </c>
      <c r="F860" s="77">
        <f t="shared" si="41"/>
        <v>234000</v>
      </c>
      <c r="G860" s="31">
        <f t="shared" si="42"/>
        <v>3159000</v>
      </c>
      <c r="H860" s="74">
        <v>3159000</v>
      </c>
      <c r="I860" s="75">
        <f t="shared" si="40"/>
        <v>0</v>
      </c>
      <c r="J860" s="75"/>
      <c r="K860" s="5">
        <v>46178</v>
      </c>
      <c r="L860" s="3"/>
      <c r="O860" s="9"/>
      <c r="S860" s="3"/>
    </row>
    <row r="861" spans="1:19" ht="15" hidden="1" customHeight="1" x14ac:dyDescent="0.35">
      <c r="A861" s="26" t="s">
        <v>2115</v>
      </c>
      <c r="B861" s="32" t="s">
        <v>2006</v>
      </c>
      <c r="C861" s="28"/>
      <c r="D861" s="29" t="s">
        <v>2027</v>
      </c>
      <c r="E861" s="76">
        <v>2040000</v>
      </c>
      <c r="F861" s="77">
        <f t="shared" si="41"/>
        <v>163200</v>
      </c>
      <c r="G861" s="31">
        <f t="shared" si="42"/>
        <v>2203200</v>
      </c>
      <c r="H861" s="74">
        <v>2203200</v>
      </c>
      <c r="I861" s="75">
        <f t="shared" si="40"/>
        <v>0</v>
      </c>
      <c r="J861" s="75"/>
      <c r="K861" s="5">
        <v>46178</v>
      </c>
      <c r="L861" s="3"/>
      <c r="O861" s="9"/>
      <c r="S861" s="3"/>
    </row>
    <row r="862" spans="1:19" ht="15" hidden="1" customHeight="1" x14ac:dyDescent="0.35">
      <c r="A862" s="26" t="s">
        <v>2116</v>
      </c>
      <c r="B862" s="32" t="s">
        <v>2007</v>
      </c>
      <c r="C862" s="28"/>
      <c r="D862" s="29" t="s">
        <v>2027</v>
      </c>
      <c r="E862" s="76">
        <v>1040000</v>
      </c>
      <c r="F862" s="77">
        <f t="shared" si="41"/>
        <v>83200</v>
      </c>
      <c r="G862" s="31">
        <f t="shared" si="42"/>
        <v>1123200</v>
      </c>
      <c r="H862" s="74">
        <v>1123200</v>
      </c>
      <c r="I862" s="75">
        <f t="shared" si="40"/>
        <v>0</v>
      </c>
      <c r="J862" s="75"/>
      <c r="K862" s="5">
        <v>46178</v>
      </c>
      <c r="L862" s="3"/>
      <c r="O862" s="9"/>
      <c r="S862" s="3"/>
    </row>
    <row r="863" spans="1:19" ht="15" hidden="1" customHeight="1" x14ac:dyDescent="0.35">
      <c r="A863" s="26" t="s">
        <v>2117</v>
      </c>
      <c r="B863" s="32" t="s">
        <v>2008</v>
      </c>
      <c r="C863" s="28"/>
      <c r="D863" s="29" t="s">
        <v>2027</v>
      </c>
      <c r="E863" s="76">
        <v>640000</v>
      </c>
      <c r="F863" s="77">
        <f t="shared" si="41"/>
        <v>51200</v>
      </c>
      <c r="G863" s="31">
        <f t="shared" si="42"/>
        <v>691200</v>
      </c>
      <c r="H863" s="74">
        <v>691200</v>
      </c>
      <c r="I863" s="75">
        <f t="shared" si="40"/>
        <v>0</v>
      </c>
      <c r="J863" s="75"/>
      <c r="K863" s="5">
        <v>46178</v>
      </c>
      <c r="L863" s="3"/>
      <c r="O863" s="9"/>
      <c r="S863" s="3"/>
    </row>
    <row r="864" spans="1:19" ht="15" hidden="1" customHeight="1" x14ac:dyDescent="0.35">
      <c r="A864" s="26" t="s">
        <v>2118</v>
      </c>
      <c r="B864" s="32" t="s">
        <v>2009</v>
      </c>
      <c r="C864" s="28"/>
      <c r="D864" s="29" t="s">
        <v>2027</v>
      </c>
      <c r="E864" s="76">
        <v>19365000</v>
      </c>
      <c r="F864" s="77">
        <f t="shared" si="41"/>
        <v>1549200</v>
      </c>
      <c r="G864" s="31">
        <f t="shared" si="42"/>
        <v>20914200</v>
      </c>
      <c r="H864" s="74">
        <v>20914200</v>
      </c>
      <c r="I864" s="75">
        <f t="shared" si="40"/>
        <v>0</v>
      </c>
      <c r="J864" s="75"/>
      <c r="K864" s="5">
        <v>46178</v>
      </c>
      <c r="L864" s="3"/>
      <c r="O864" s="9"/>
      <c r="S864" s="3"/>
    </row>
    <row r="865" spans="1:19" ht="15" hidden="1" customHeight="1" x14ac:dyDescent="0.35">
      <c r="A865" s="26" t="s">
        <v>2119</v>
      </c>
      <c r="B865" s="32" t="s">
        <v>2010</v>
      </c>
      <c r="C865" s="28">
        <v>3066</v>
      </c>
      <c r="D865" s="29">
        <v>46132</v>
      </c>
      <c r="E865" s="76">
        <v>2430000</v>
      </c>
      <c r="F865" s="77">
        <f t="shared" si="41"/>
        <v>194400</v>
      </c>
      <c r="G865" s="31">
        <f t="shared" si="42"/>
        <v>2624400</v>
      </c>
      <c r="H865" s="74">
        <v>2624400</v>
      </c>
      <c r="I865" s="75">
        <f t="shared" si="40"/>
        <v>0</v>
      </c>
      <c r="J865" s="75"/>
      <c r="K865" s="5">
        <v>46178</v>
      </c>
      <c r="L865" s="3"/>
      <c r="O865" s="9"/>
      <c r="S865" s="3"/>
    </row>
    <row r="866" spans="1:19" ht="15" hidden="1" customHeight="1" x14ac:dyDescent="0.35">
      <c r="A866" s="26" t="s">
        <v>2120</v>
      </c>
      <c r="B866" s="32" t="s">
        <v>2011</v>
      </c>
      <c r="C866" s="28">
        <v>3064</v>
      </c>
      <c r="D866" s="29">
        <v>46132</v>
      </c>
      <c r="E866" s="76">
        <v>6649000</v>
      </c>
      <c r="F866" s="77">
        <f t="shared" si="41"/>
        <v>531920</v>
      </c>
      <c r="G866" s="31">
        <f t="shared" si="42"/>
        <v>7180920</v>
      </c>
      <c r="H866" s="74">
        <v>7180920</v>
      </c>
      <c r="I866" s="75">
        <f t="shared" si="40"/>
        <v>0</v>
      </c>
      <c r="J866" s="75"/>
      <c r="K866" s="5">
        <v>46178</v>
      </c>
      <c r="L866" s="3"/>
      <c r="O866" s="9"/>
      <c r="S866" s="3"/>
    </row>
    <row r="867" spans="1:19" ht="15" hidden="1" customHeight="1" x14ac:dyDescent="0.35">
      <c r="A867" s="26" t="s">
        <v>2121</v>
      </c>
      <c r="B867" s="32" t="s">
        <v>2012</v>
      </c>
      <c r="C867" s="28"/>
      <c r="D867" s="29" t="s">
        <v>2027</v>
      </c>
      <c r="E867" s="76">
        <v>2810000</v>
      </c>
      <c r="F867" s="77">
        <f t="shared" si="41"/>
        <v>224800</v>
      </c>
      <c r="G867" s="31">
        <f t="shared" si="42"/>
        <v>3034800</v>
      </c>
      <c r="H867" s="74">
        <v>3034800</v>
      </c>
      <c r="I867" s="75">
        <f t="shared" si="40"/>
        <v>0</v>
      </c>
      <c r="J867" s="75"/>
      <c r="K867" s="5">
        <v>46178</v>
      </c>
      <c r="L867" s="3"/>
      <c r="O867" s="9"/>
      <c r="S867" s="3"/>
    </row>
    <row r="868" spans="1:19" ht="15" hidden="1" customHeight="1" x14ac:dyDescent="0.35">
      <c r="A868" s="26" t="s">
        <v>2122</v>
      </c>
      <c r="B868" s="27" t="s">
        <v>2013</v>
      </c>
      <c r="C868" s="28">
        <v>2956</v>
      </c>
      <c r="D868" s="29">
        <v>46128</v>
      </c>
      <c r="E868" s="76">
        <v>1842500</v>
      </c>
      <c r="F868" s="77">
        <f t="shared" si="41"/>
        <v>147400</v>
      </c>
      <c r="G868" s="31">
        <f t="shared" si="42"/>
        <v>1989900</v>
      </c>
      <c r="H868" s="74">
        <v>1989900</v>
      </c>
      <c r="I868" s="75">
        <f t="shared" si="40"/>
        <v>0</v>
      </c>
      <c r="J868" s="75"/>
      <c r="K868" s="5">
        <v>46178</v>
      </c>
      <c r="L868" s="3"/>
      <c r="O868" s="9"/>
      <c r="S868" s="3"/>
    </row>
    <row r="869" spans="1:19" ht="15" hidden="1" customHeight="1" x14ac:dyDescent="0.35">
      <c r="A869" s="26" t="s">
        <v>2123</v>
      </c>
      <c r="B869" s="32" t="s">
        <v>2014</v>
      </c>
      <c r="C869" s="28"/>
      <c r="D869" s="29" t="s">
        <v>2027</v>
      </c>
      <c r="E869" s="76">
        <v>4350000</v>
      </c>
      <c r="F869" s="77">
        <f t="shared" si="41"/>
        <v>348000</v>
      </c>
      <c r="G869" s="31">
        <f t="shared" si="42"/>
        <v>4698000</v>
      </c>
      <c r="H869" s="74">
        <v>4698000</v>
      </c>
      <c r="I869" s="75">
        <f t="shared" si="40"/>
        <v>0</v>
      </c>
      <c r="J869" s="75"/>
      <c r="K869" s="5">
        <v>46178</v>
      </c>
      <c r="L869" s="3"/>
      <c r="O869" s="9"/>
      <c r="S869" s="3"/>
    </row>
    <row r="870" spans="1:19" ht="15" hidden="1" customHeight="1" x14ac:dyDescent="0.35">
      <c r="A870" s="26" t="s">
        <v>2124</v>
      </c>
      <c r="B870" s="32" t="s">
        <v>2015</v>
      </c>
      <c r="C870" s="28"/>
      <c r="D870" s="29" t="s">
        <v>2027</v>
      </c>
      <c r="E870" s="76">
        <v>5990000</v>
      </c>
      <c r="F870" s="77">
        <f t="shared" si="41"/>
        <v>479200</v>
      </c>
      <c r="G870" s="31">
        <f t="shared" si="42"/>
        <v>6469200</v>
      </c>
      <c r="H870" s="74">
        <v>6469200</v>
      </c>
      <c r="I870" s="75">
        <f t="shared" si="40"/>
        <v>0</v>
      </c>
      <c r="J870" s="75"/>
      <c r="K870" s="5">
        <v>46178</v>
      </c>
      <c r="L870" s="3"/>
      <c r="O870" s="9"/>
      <c r="S870" s="3"/>
    </row>
    <row r="871" spans="1:19" ht="15" hidden="1" customHeight="1" x14ac:dyDescent="0.35">
      <c r="A871" s="26" t="s">
        <v>2125</v>
      </c>
      <c r="B871" s="32" t="s">
        <v>2016</v>
      </c>
      <c r="C871" s="28"/>
      <c r="D871" s="29" t="s">
        <v>2027</v>
      </c>
      <c r="E871" s="76">
        <v>810000</v>
      </c>
      <c r="F871" s="77">
        <f t="shared" si="41"/>
        <v>64800</v>
      </c>
      <c r="G871" s="31">
        <f t="shared" si="42"/>
        <v>874800</v>
      </c>
      <c r="H871" s="74">
        <v>874800</v>
      </c>
      <c r="I871" s="75">
        <f t="shared" si="40"/>
        <v>0</v>
      </c>
      <c r="J871" s="75"/>
      <c r="K871" s="5">
        <v>46178</v>
      </c>
      <c r="L871" s="3"/>
      <c r="O871" s="9"/>
      <c r="S871" s="3"/>
    </row>
    <row r="872" spans="1:19" ht="15" hidden="1" customHeight="1" x14ac:dyDescent="0.35">
      <c r="A872" s="26" t="s">
        <v>2126</v>
      </c>
      <c r="B872" s="32" t="s">
        <v>2017</v>
      </c>
      <c r="C872" s="28">
        <v>3324</v>
      </c>
      <c r="D872" s="29">
        <v>46140</v>
      </c>
      <c r="E872" s="76">
        <v>4415000</v>
      </c>
      <c r="F872" s="77">
        <f t="shared" si="41"/>
        <v>353200</v>
      </c>
      <c r="G872" s="31">
        <f t="shared" si="42"/>
        <v>4768200</v>
      </c>
      <c r="H872" s="74">
        <v>4768200</v>
      </c>
      <c r="I872" s="75">
        <f t="shared" si="40"/>
        <v>0</v>
      </c>
      <c r="J872" s="75"/>
      <c r="K872" s="5">
        <v>46188</v>
      </c>
      <c r="O872" s="9"/>
      <c r="S872" s="3"/>
    </row>
    <row r="873" spans="1:19" ht="15" hidden="1" customHeight="1" x14ac:dyDescent="0.35">
      <c r="A873" s="26" t="s">
        <v>2127</v>
      </c>
      <c r="B873" s="32" t="s">
        <v>2018</v>
      </c>
      <c r="C873" s="28">
        <v>3065</v>
      </c>
      <c r="D873" s="29">
        <v>46132</v>
      </c>
      <c r="E873" s="76">
        <v>15972000</v>
      </c>
      <c r="F873" s="77">
        <f t="shared" si="41"/>
        <v>1277760</v>
      </c>
      <c r="G873" s="31">
        <f t="shared" si="42"/>
        <v>17249760</v>
      </c>
      <c r="H873" s="74">
        <v>17249760</v>
      </c>
      <c r="I873" s="75">
        <f t="shared" si="40"/>
        <v>0</v>
      </c>
      <c r="J873" s="75"/>
      <c r="K873" s="5">
        <v>46178</v>
      </c>
      <c r="L873" s="3"/>
      <c r="O873" s="9"/>
      <c r="S873" s="3"/>
    </row>
    <row r="874" spans="1:19" ht="15" hidden="1" customHeight="1" x14ac:dyDescent="0.35">
      <c r="A874" s="26" t="s">
        <v>2128</v>
      </c>
      <c r="B874" s="32" t="s">
        <v>2019</v>
      </c>
      <c r="C874" s="28"/>
      <c r="D874" s="29" t="s">
        <v>2027</v>
      </c>
      <c r="E874" s="76">
        <v>810000</v>
      </c>
      <c r="F874" s="77">
        <f t="shared" si="41"/>
        <v>64800</v>
      </c>
      <c r="G874" s="31">
        <f t="shared" si="42"/>
        <v>874800</v>
      </c>
      <c r="H874" s="74">
        <v>874800</v>
      </c>
      <c r="I874" s="75">
        <f t="shared" si="40"/>
        <v>0</v>
      </c>
      <c r="J874" s="75"/>
      <c r="K874" s="5">
        <v>46178</v>
      </c>
      <c r="L874" s="3"/>
      <c r="O874" s="9"/>
      <c r="S874" s="3"/>
    </row>
    <row r="875" spans="1:19" ht="15" hidden="1" customHeight="1" x14ac:dyDescent="0.35">
      <c r="A875" s="26" t="s">
        <v>2129</v>
      </c>
      <c r="B875" s="32" t="s">
        <v>2020</v>
      </c>
      <c r="C875" s="28"/>
      <c r="D875" s="29" t="s">
        <v>2027</v>
      </c>
      <c r="E875" s="76">
        <v>13205000</v>
      </c>
      <c r="F875" s="77">
        <f t="shared" si="41"/>
        <v>1056400</v>
      </c>
      <c r="G875" s="31">
        <f t="shared" si="42"/>
        <v>14261400</v>
      </c>
      <c r="H875" s="74">
        <v>14261400</v>
      </c>
      <c r="I875" s="75">
        <f t="shared" si="40"/>
        <v>0</v>
      </c>
      <c r="J875" s="75"/>
      <c r="K875" s="5">
        <v>46178</v>
      </c>
      <c r="L875" s="3"/>
      <c r="O875" s="9"/>
      <c r="S875" s="3"/>
    </row>
    <row r="876" spans="1:19" ht="15" hidden="1" customHeight="1" x14ac:dyDescent="0.35">
      <c r="A876" s="26" t="s">
        <v>2130</v>
      </c>
      <c r="B876" s="32" t="s">
        <v>2021</v>
      </c>
      <c r="C876" s="28"/>
      <c r="D876" s="29" t="s">
        <v>2027</v>
      </c>
      <c r="E876" s="76">
        <v>1005000</v>
      </c>
      <c r="F876" s="77">
        <f t="shared" si="41"/>
        <v>80400</v>
      </c>
      <c r="G876" s="31">
        <f t="shared" si="42"/>
        <v>1085400</v>
      </c>
      <c r="H876" s="74">
        <v>1085400</v>
      </c>
      <c r="I876" s="75">
        <f t="shared" si="40"/>
        <v>0</v>
      </c>
      <c r="J876" s="75"/>
      <c r="K876" s="5">
        <v>46178</v>
      </c>
      <c r="L876" s="3"/>
      <c r="O876" s="9"/>
      <c r="S876" s="3"/>
    </row>
    <row r="877" spans="1:19" ht="15" hidden="1" customHeight="1" x14ac:dyDescent="0.35">
      <c r="A877" s="26" t="s">
        <v>2131</v>
      </c>
      <c r="B877" s="32" t="s">
        <v>345</v>
      </c>
      <c r="C877" s="28"/>
      <c r="D877" s="29" t="s">
        <v>2028</v>
      </c>
      <c r="E877" s="76">
        <v>1710000</v>
      </c>
      <c r="F877" s="77">
        <f t="shared" si="41"/>
        <v>136800</v>
      </c>
      <c r="G877" s="31">
        <f t="shared" si="42"/>
        <v>1846800</v>
      </c>
      <c r="H877" s="74">
        <v>1846800</v>
      </c>
      <c r="I877" s="75">
        <f t="shared" si="40"/>
        <v>0</v>
      </c>
      <c r="J877" s="75"/>
      <c r="K877" s="5">
        <v>46178</v>
      </c>
      <c r="L877" s="3"/>
      <c r="O877" s="9"/>
      <c r="S877" s="3"/>
    </row>
    <row r="878" spans="1:19" ht="15" hidden="1" customHeight="1" x14ac:dyDescent="0.35">
      <c r="A878" s="26" t="s">
        <v>2132</v>
      </c>
      <c r="B878" s="32" t="s">
        <v>2022</v>
      </c>
      <c r="C878" s="28"/>
      <c r="D878" s="29" t="s">
        <v>2028</v>
      </c>
      <c r="E878" s="76">
        <v>810000</v>
      </c>
      <c r="F878" s="77">
        <f t="shared" si="41"/>
        <v>64800</v>
      </c>
      <c r="G878" s="31">
        <f t="shared" si="42"/>
        <v>874800</v>
      </c>
      <c r="H878" s="74">
        <v>874800</v>
      </c>
      <c r="I878" s="75">
        <f t="shared" si="40"/>
        <v>0</v>
      </c>
      <c r="J878" s="75"/>
      <c r="K878" s="5">
        <v>46178</v>
      </c>
      <c r="L878" s="3"/>
      <c r="O878" s="9"/>
      <c r="S878" s="3"/>
    </row>
    <row r="879" spans="1:19" ht="15" hidden="1" customHeight="1" x14ac:dyDescent="0.35">
      <c r="A879" s="26" t="s">
        <v>2133</v>
      </c>
      <c r="B879" s="32" t="s">
        <v>346</v>
      </c>
      <c r="C879" s="28"/>
      <c r="D879" s="29" t="s">
        <v>2137</v>
      </c>
      <c r="E879" s="76">
        <v>1132800</v>
      </c>
      <c r="F879" s="77">
        <f t="shared" si="41"/>
        <v>90624</v>
      </c>
      <c r="G879" s="31">
        <f t="shared" si="42"/>
        <v>1223424</v>
      </c>
      <c r="H879" s="74">
        <v>1223424</v>
      </c>
      <c r="I879" s="75">
        <f t="shared" si="40"/>
        <v>0</v>
      </c>
      <c r="J879" s="75"/>
      <c r="K879" s="3"/>
      <c r="L879" s="5">
        <v>46178</v>
      </c>
      <c r="O879" s="9"/>
      <c r="S879" s="3"/>
    </row>
    <row r="880" spans="1:19" ht="15" hidden="1" customHeight="1" x14ac:dyDescent="0.35">
      <c r="A880" s="26" t="s">
        <v>2134</v>
      </c>
      <c r="B880" s="32" t="s">
        <v>347</v>
      </c>
      <c r="C880" s="28"/>
      <c r="D880" s="29" t="s">
        <v>2137</v>
      </c>
      <c r="E880" s="76">
        <v>1972800</v>
      </c>
      <c r="F880" s="77">
        <f t="shared" si="41"/>
        <v>157824</v>
      </c>
      <c r="G880" s="31">
        <f t="shared" si="42"/>
        <v>2130624</v>
      </c>
      <c r="H880" s="74">
        <v>2130624</v>
      </c>
      <c r="I880" s="75">
        <f t="shared" si="40"/>
        <v>0</v>
      </c>
      <c r="J880" s="75"/>
      <c r="K880" s="3"/>
      <c r="L880" s="5">
        <v>46178</v>
      </c>
      <c r="O880" s="9"/>
      <c r="S880" s="3"/>
    </row>
    <row r="881" spans="1:19" ht="15" hidden="1" customHeight="1" x14ac:dyDescent="0.35">
      <c r="A881" s="26" t="s">
        <v>2135</v>
      </c>
      <c r="B881" s="32" t="s">
        <v>348</v>
      </c>
      <c r="C881" s="28"/>
      <c r="D881" s="29" t="s">
        <v>2137</v>
      </c>
      <c r="E881" s="76">
        <v>1132800</v>
      </c>
      <c r="F881" s="77">
        <f t="shared" si="41"/>
        <v>90624</v>
      </c>
      <c r="G881" s="31">
        <f t="shared" si="42"/>
        <v>1223424</v>
      </c>
      <c r="H881" s="74">
        <v>1223424</v>
      </c>
      <c r="I881" s="75">
        <f t="shared" ref="I881:I943" si="43">G881-H881</f>
        <v>0</v>
      </c>
      <c r="J881" s="75"/>
      <c r="K881" s="3"/>
      <c r="L881" s="5">
        <v>46178</v>
      </c>
      <c r="O881" s="9"/>
      <c r="S881" s="3"/>
    </row>
    <row r="882" spans="1:19" ht="15" hidden="1" customHeight="1" x14ac:dyDescent="0.35">
      <c r="A882" s="26" t="s">
        <v>2136</v>
      </c>
      <c r="B882" s="27" t="s">
        <v>349</v>
      </c>
      <c r="C882" s="28"/>
      <c r="D882" s="29" t="s">
        <v>2137</v>
      </c>
      <c r="E882" s="76">
        <v>1132800</v>
      </c>
      <c r="F882" s="77">
        <f t="shared" ref="F882:F944" si="44">+E882*0.08</f>
        <v>90624</v>
      </c>
      <c r="G882" s="31">
        <f t="shared" si="42"/>
        <v>1223424</v>
      </c>
      <c r="H882" s="74">
        <v>1223424</v>
      </c>
      <c r="I882" s="75">
        <f t="shared" si="43"/>
        <v>0</v>
      </c>
      <c r="J882" s="75"/>
      <c r="K882" s="3"/>
      <c r="L882" s="5">
        <v>46178</v>
      </c>
      <c r="O882" s="9"/>
      <c r="S882" s="3"/>
    </row>
    <row r="883" spans="1:19" ht="15" hidden="1" customHeight="1" x14ac:dyDescent="0.35">
      <c r="A883" s="26" t="s">
        <v>2216</v>
      </c>
      <c r="B883" s="32" t="s">
        <v>2138</v>
      </c>
      <c r="C883" s="28"/>
      <c r="D883" s="29" t="s">
        <v>2317</v>
      </c>
      <c r="E883" s="76">
        <v>2655000</v>
      </c>
      <c r="F883" s="77">
        <f t="shared" si="44"/>
        <v>212400</v>
      </c>
      <c r="G883" s="31">
        <f t="shared" si="42"/>
        <v>2867400</v>
      </c>
      <c r="H883" s="74">
        <v>2867400</v>
      </c>
      <c r="I883" s="75">
        <f t="shared" si="43"/>
        <v>0</v>
      </c>
      <c r="J883" s="75"/>
      <c r="K883" s="84">
        <v>46178</v>
      </c>
      <c r="L883" s="3"/>
      <c r="O883" s="9"/>
      <c r="S883" s="3"/>
    </row>
    <row r="884" spans="1:19" ht="15" hidden="1" customHeight="1" x14ac:dyDescent="0.35">
      <c r="A884" s="26" t="s">
        <v>2217</v>
      </c>
      <c r="B884" s="32" t="s">
        <v>2139</v>
      </c>
      <c r="C884" s="28"/>
      <c r="D884" s="29" t="s">
        <v>2317</v>
      </c>
      <c r="E884" s="76">
        <v>840000</v>
      </c>
      <c r="F884" s="77">
        <f t="shared" si="44"/>
        <v>67200</v>
      </c>
      <c r="G884" s="31">
        <f t="shared" si="42"/>
        <v>907200</v>
      </c>
      <c r="H884" s="74">
        <v>907200</v>
      </c>
      <c r="I884" s="75">
        <f t="shared" si="43"/>
        <v>0</v>
      </c>
      <c r="J884" s="75"/>
      <c r="K884" s="3"/>
      <c r="L884" s="5">
        <v>46178</v>
      </c>
      <c r="O884" s="9"/>
      <c r="S884" s="3"/>
    </row>
    <row r="885" spans="1:19" ht="15" hidden="1" customHeight="1" x14ac:dyDescent="0.35">
      <c r="A885" s="26" t="s">
        <v>2218</v>
      </c>
      <c r="B885" s="32" t="s">
        <v>2140</v>
      </c>
      <c r="C885" s="28"/>
      <c r="D885" s="29" t="s">
        <v>2317</v>
      </c>
      <c r="E885" s="76">
        <v>840000</v>
      </c>
      <c r="F885" s="77">
        <f t="shared" si="44"/>
        <v>67200</v>
      </c>
      <c r="G885" s="31">
        <f t="shared" si="42"/>
        <v>907200</v>
      </c>
      <c r="H885" s="74">
        <v>907200</v>
      </c>
      <c r="I885" s="75">
        <f t="shared" si="43"/>
        <v>0</v>
      </c>
      <c r="J885" s="75"/>
      <c r="L885" s="5">
        <v>46178</v>
      </c>
      <c r="O885" s="9"/>
      <c r="S885" s="3"/>
    </row>
    <row r="886" spans="1:19" ht="15" hidden="1" customHeight="1" x14ac:dyDescent="0.35">
      <c r="A886" s="26" t="s">
        <v>2219</v>
      </c>
      <c r="B886" s="32" t="s">
        <v>2141</v>
      </c>
      <c r="C886" s="28"/>
      <c r="D886" s="29" t="s">
        <v>2317</v>
      </c>
      <c r="E886" s="76">
        <v>1972800</v>
      </c>
      <c r="F886" s="77">
        <f t="shared" si="44"/>
        <v>157824</v>
      </c>
      <c r="G886" s="31">
        <f t="shared" si="42"/>
        <v>2130624</v>
      </c>
      <c r="H886" s="74">
        <v>2130624</v>
      </c>
      <c r="I886" s="75">
        <f t="shared" si="43"/>
        <v>0</v>
      </c>
      <c r="J886" s="75"/>
      <c r="L886" s="5">
        <v>46178</v>
      </c>
      <c r="O886" s="9"/>
      <c r="S886" s="3"/>
    </row>
    <row r="887" spans="1:19" ht="15" hidden="1" customHeight="1" x14ac:dyDescent="0.35">
      <c r="A887" s="26" t="s">
        <v>2220</v>
      </c>
      <c r="B887" s="32" t="s">
        <v>2142</v>
      </c>
      <c r="C887" s="28"/>
      <c r="D887" s="29" t="s">
        <v>2318</v>
      </c>
      <c r="E887" s="76">
        <v>8840000</v>
      </c>
      <c r="F887" s="77">
        <f t="shared" si="44"/>
        <v>707200</v>
      </c>
      <c r="G887" s="31">
        <f t="shared" si="42"/>
        <v>9547200</v>
      </c>
      <c r="H887" s="74">
        <v>9547200</v>
      </c>
      <c r="I887" s="75">
        <f t="shared" si="43"/>
        <v>0</v>
      </c>
      <c r="J887" s="75"/>
      <c r="K887" s="5">
        <v>46178</v>
      </c>
      <c r="L887" s="3"/>
      <c r="O887" s="9"/>
      <c r="S887" s="3"/>
    </row>
    <row r="888" spans="1:19" ht="15" hidden="1" customHeight="1" x14ac:dyDescent="0.35">
      <c r="A888" s="26" t="s">
        <v>2221</v>
      </c>
      <c r="B888" s="32" t="s">
        <v>2143</v>
      </c>
      <c r="C888" s="28"/>
      <c r="D888" s="29" t="s">
        <v>2318</v>
      </c>
      <c r="E888" s="76">
        <v>2812800</v>
      </c>
      <c r="F888" s="77">
        <f t="shared" si="44"/>
        <v>225024</v>
      </c>
      <c r="G888" s="31">
        <f t="shared" si="42"/>
        <v>3037824</v>
      </c>
      <c r="H888" s="74">
        <v>3037824</v>
      </c>
      <c r="I888" s="75">
        <f t="shared" si="43"/>
        <v>0</v>
      </c>
      <c r="J888" s="75"/>
      <c r="L888" s="5">
        <v>46178</v>
      </c>
      <c r="O888" s="9"/>
      <c r="S888" s="3"/>
    </row>
    <row r="889" spans="1:19" ht="15" hidden="1" customHeight="1" x14ac:dyDescent="0.35">
      <c r="A889" s="26" t="s">
        <v>2222</v>
      </c>
      <c r="B889" s="32" t="s">
        <v>2144</v>
      </c>
      <c r="C889" s="28"/>
      <c r="D889" s="29" t="s">
        <v>2318</v>
      </c>
      <c r="E889" s="76">
        <v>1645000</v>
      </c>
      <c r="F889" s="77">
        <f t="shared" si="44"/>
        <v>131600</v>
      </c>
      <c r="G889" s="31">
        <f t="shared" si="42"/>
        <v>1776600</v>
      </c>
      <c r="H889" s="74">
        <v>1776600</v>
      </c>
      <c r="I889" s="75">
        <f t="shared" si="43"/>
        <v>0</v>
      </c>
      <c r="J889" s="75"/>
      <c r="K889" s="5">
        <v>46178</v>
      </c>
      <c r="L889" s="3"/>
      <c r="O889" s="9"/>
      <c r="S889" s="3"/>
    </row>
    <row r="890" spans="1:19" ht="15" hidden="1" customHeight="1" x14ac:dyDescent="0.35">
      <c r="A890" s="26" t="s">
        <v>2223</v>
      </c>
      <c r="B890" s="32" t="s">
        <v>2145</v>
      </c>
      <c r="C890" s="28"/>
      <c r="D890" s="29" t="s">
        <v>2318</v>
      </c>
      <c r="E890" s="76">
        <v>5840000</v>
      </c>
      <c r="F890" s="77">
        <f t="shared" si="44"/>
        <v>467200</v>
      </c>
      <c r="G890" s="31">
        <f t="shared" si="42"/>
        <v>6307200</v>
      </c>
      <c r="H890" s="74">
        <v>6307200</v>
      </c>
      <c r="I890" s="75">
        <f t="shared" si="43"/>
        <v>0</v>
      </c>
      <c r="J890" s="75"/>
      <c r="K890" s="5">
        <v>46178</v>
      </c>
      <c r="L890" s="3"/>
      <c r="O890" s="9"/>
      <c r="S890" s="3"/>
    </row>
    <row r="891" spans="1:19" ht="15" hidden="1" customHeight="1" x14ac:dyDescent="0.35">
      <c r="A891" s="26" t="s">
        <v>2224</v>
      </c>
      <c r="B891" s="32" t="s">
        <v>2146</v>
      </c>
      <c r="C891" s="28"/>
      <c r="D891" s="29" t="s">
        <v>2318</v>
      </c>
      <c r="E891" s="76">
        <v>1005000</v>
      </c>
      <c r="F891" s="77">
        <f t="shared" si="44"/>
        <v>80400</v>
      </c>
      <c r="G891" s="31">
        <f t="shared" si="42"/>
        <v>1085400</v>
      </c>
      <c r="H891" s="74">
        <v>1085400</v>
      </c>
      <c r="I891" s="75">
        <f t="shared" si="43"/>
        <v>0</v>
      </c>
      <c r="J891" s="75"/>
      <c r="K891" s="5">
        <v>46178</v>
      </c>
      <c r="L891" s="3"/>
      <c r="O891" s="9"/>
      <c r="S891" s="3"/>
    </row>
    <row r="892" spans="1:19" ht="15" hidden="1" customHeight="1" x14ac:dyDescent="0.35">
      <c r="A892" s="26" t="s">
        <v>2225</v>
      </c>
      <c r="B892" s="32" t="s">
        <v>2147</v>
      </c>
      <c r="C892" s="28">
        <v>3626</v>
      </c>
      <c r="D892" s="29">
        <v>46150</v>
      </c>
      <c r="E892" s="76">
        <v>10856500</v>
      </c>
      <c r="F892" s="77">
        <f t="shared" si="44"/>
        <v>868520</v>
      </c>
      <c r="G892" s="31">
        <f t="shared" ref="G892:G952" si="45">+F892+E892</f>
        <v>11725020</v>
      </c>
      <c r="H892" s="74">
        <v>11725020</v>
      </c>
      <c r="I892" s="75">
        <f t="shared" si="43"/>
        <v>0</v>
      </c>
      <c r="J892" s="75" t="s">
        <v>2858</v>
      </c>
      <c r="K892" s="5">
        <v>46208</v>
      </c>
      <c r="O892" s="9"/>
      <c r="S892" s="3"/>
    </row>
    <row r="893" spans="1:19" ht="15" hidden="1" customHeight="1" x14ac:dyDescent="0.35">
      <c r="A893" s="26" t="s">
        <v>2226</v>
      </c>
      <c r="B893" s="32" t="s">
        <v>2148</v>
      </c>
      <c r="C893" s="28"/>
      <c r="D893" s="29" t="s">
        <v>2318</v>
      </c>
      <c r="E893" s="76">
        <v>7965000</v>
      </c>
      <c r="F893" s="77">
        <f t="shared" si="44"/>
        <v>637200</v>
      </c>
      <c r="G893" s="31">
        <f t="shared" si="45"/>
        <v>8602200</v>
      </c>
      <c r="H893" s="74">
        <v>8602200</v>
      </c>
      <c r="I893" s="75">
        <f t="shared" si="43"/>
        <v>0</v>
      </c>
      <c r="J893" s="75"/>
      <c r="K893" s="5">
        <v>46178</v>
      </c>
      <c r="L893" s="3"/>
      <c r="O893" s="9"/>
      <c r="S893" s="3"/>
    </row>
    <row r="894" spans="1:19" ht="15" hidden="1" customHeight="1" x14ac:dyDescent="0.35">
      <c r="A894" s="26" t="s">
        <v>2227</v>
      </c>
      <c r="B894" s="32" t="s">
        <v>2149</v>
      </c>
      <c r="C894" s="28">
        <v>3322</v>
      </c>
      <c r="D894" s="29">
        <v>46140</v>
      </c>
      <c r="E894" s="76">
        <v>5410500</v>
      </c>
      <c r="F894" s="77">
        <f t="shared" si="44"/>
        <v>432840</v>
      </c>
      <c r="G894" s="31">
        <f t="shared" si="45"/>
        <v>5843340</v>
      </c>
      <c r="H894" s="74">
        <v>5843340</v>
      </c>
      <c r="I894" s="75">
        <f t="shared" si="43"/>
        <v>0</v>
      </c>
      <c r="J894" s="75"/>
      <c r="K894" s="5">
        <v>46188</v>
      </c>
      <c r="O894" s="9"/>
      <c r="S894" s="3"/>
    </row>
    <row r="895" spans="1:19" ht="15" hidden="1" customHeight="1" x14ac:dyDescent="0.35">
      <c r="A895" s="26" t="s">
        <v>2228</v>
      </c>
      <c r="B895" s="32" t="s">
        <v>2150</v>
      </c>
      <c r="C895" s="28"/>
      <c r="D895" s="29" t="s">
        <v>2318</v>
      </c>
      <c r="E895" s="76">
        <v>8215000</v>
      </c>
      <c r="F895" s="77">
        <f t="shared" si="44"/>
        <v>657200</v>
      </c>
      <c r="G895" s="31">
        <f t="shared" si="45"/>
        <v>8872200</v>
      </c>
      <c r="H895" s="74">
        <v>8872200</v>
      </c>
      <c r="I895" s="75">
        <f t="shared" si="43"/>
        <v>0</v>
      </c>
      <c r="J895" s="75"/>
      <c r="K895" s="5">
        <v>46178</v>
      </c>
      <c r="L895" s="3"/>
      <c r="O895" s="9"/>
      <c r="S895" s="3"/>
    </row>
    <row r="896" spans="1:19" ht="15" hidden="1" customHeight="1" x14ac:dyDescent="0.35">
      <c r="A896" s="26" t="s">
        <v>2229</v>
      </c>
      <c r="B896" s="32" t="s">
        <v>2151</v>
      </c>
      <c r="C896" s="28">
        <v>3321</v>
      </c>
      <c r="D896" s="29">
        <v>46140</v>
      </c>
      <c r="E896" s="76">
        <v>7502500</v>
      </c>
      <c r="F896" s="77">
        <f t="shared" si="44"/>
        <v>600200</v>
      </c>
      <c r="G896" s="31">
        <f t="shared" si="45"/>
        <v>8102700</v>
      </c>
      <c r="H896" s="74">
        <v>8102700</v>
      </c>
      <c r="I896" s="75">
        <f t="shared" si="43"/>
        <v>0</v>
      </c>
      <c r="J896" s="75"/>
      <c r="K896" s="5">
        <v>46188</v>
      </c>
      <c r="O896" s="9"/>
      <c r="S896" s="3"/>
    </row>
    <row r="897" spans="1:19" ht="15" hidden="1" customHeight="1" x14ac:dyDescent="0.35">
      <c r="A897" s="26" t="s">
        <v>2230</v>
      </c>
      <c r="B897" s="32" t="s">
        <v>350</v>
      </c>
      <c r="C897" s="28"/>
      <c r="D897" s="29" t="s">
        <v>2318</v>
      </c>
      <c r="E897" s="76">
        <v>1645000</v>
      </c>
      <c r="F897" s="77">
        <f t="shared" si="44"/>
        <v>131600</v>
      </c>
      <c r="G897" s="31">
        <f t="shared" si="45"/>
        <v>1776600</v>
      </c>
      <c r="H897" s="74">
        <v>1776600</v>
      </c>
      <c r="I897" s="75">
        <f t="shared" si="43"/>
        <v>0</v>
      </c>
      <c r="J897" s="75"/>
      <c r="K897" s="5">
        <v>46178</v>
      </c>
      <c r="L897" s="3"/>
      <c r="O897" s="9"/>
      <c r="S897" s="3"/>
    </row>
    <row r="898" spans="1:19" ht="15" hidden="1" customHeight="1" x14ac:dyDescent="0.35">
      <c r="A898" s="26" t="s">
        <v>2231</v>
      </c>
      <c r="B898" s="32" t="s">
        <v>2152</v>
      </c>
      <c r="C898" s="28"/>
      <c r="D898" s="29" t="s">
        <v>2318</v>
      </c>
      <c r="E898" s="76">
        <v>960000</v>
      </c>
      <c r="F898" s="77">
        <f t="shared" si="44"/>
        <v>76800</v>
      </c>
      <c r="G898" s="31">
        <f t="shared" si="45"/>
        <v>1036800</v>
      </c>
      <c r="H898" s="74">
        <v>1036800</v>
      </c>
      <c r="I898" s="75">
        <f t="shared" si="43"/>
        <v>0</v>
      </c>
      <c r="J898" s="75"/>
      <c r="K898" s="5">
        <v>46178</v>
      </c>
      <c r="L898" s="3"/>
      <c r="O898" s="9"/>
      <c r="S898" s="3"/>
    </row>
    <row r="899" spans="1:19" ht="15" hidden="1" customHeight="1" x14ac:dyDescent="0.35">
      <c r="A899" s="26" t="s">
        <v>2232</v>
      </c>
      <c r="B899" s="32" t="s">
        <v>2153</v>
      </c>
      <c r="C899" s="28"/>
      <c r="D899" s="29" t="s">
        <v>2318</v>
      </c>
      <c r="E899" s="76">
        <v>2960000</v>
      </c>
      <c r="F899" s="77">
        <f t="shared" si="44"/>
        <v>236800</v>
      </c>
      <c r="G899" s="31">
        <f t="shared" si="45"/>
        <v>3196800</v>
      </c>
      <c r="H899" s="74">
        <v>3196800</v>
      </c>
      <c r="I899" s="75">
        <f t="shared" si="43"/>
        <v>0</v>
      </c>
      <c r="J899" s="75"/>
      <c r="K899" s="5">
        <v>46178</v>
      </c>
      <c r="L899" s="3"/>
      <c r="O899" s="9"/>
      <c r="S899" s="3"/>
    </row>
    <row r="900" spans="1:19" ht="15" hidden="1" customHeight="1" x14ac:dyDescent="0.35">
      <c r="A900" s="26" t="s">
        <v>2233</v>
      </c>
      <c r="B900" s="32" t="s">
        <v>2154</v>
      </c>
      <c r="C900" s="28"/>
      <c r="D900" s="29" t="s">
        <v>2318</v>
      </c>
      <c r="E900" s="76">
        <v>5400000</v>
      </c>
      <c r="F900" s="77">
        <f t="shared" si="44"/>
        <v>432000</v>
      </c>
      <c r="G900" s="31">
        <f t="shared" si="45"/>
        <v>5832000</v>
      </c>
      <c r="H900" s="74">
        <v>5832000</v>
      </c>
      <c r="I900" s="75">
        <f t="shared" si="43"/>
        <v>0</v>
      </c>
      <c r="J900" s="75"/>
      <c r="K900" s="5">
        <v>46178</v>
      </c>
      <c r="L900" s="3"/>
      <c r="O900" s="9"/>
      <c r="S900" s="3"/>
    </row>
    <row r="901" spans="1:19" ht="15" hidden="1" customHeight="1" x14ac:dyDescent="0.35">
      <c r="A901" s="26" t="s">
        <v>2234</v>
      </c>
      <c r="B901" s="32" t="s">
        <v>2155</v>
      </c>
      <c r="C901" s="28"/>
      <c r="D901" s="29" t="s">
        <v>2318</v>
      </c>
      <c r="E901" s="76">
        <v>1005000</v>
      </c>
      <c r="F901" s="77">
        <f t="shared" si="44"/>
        <v>80400</v>
      </c>
      <c r="G901" s="31">
        <f t="shared" si="45"/>
        <v>1085400</v>
      </c>
      <c r="H901" s="74">
        <v>1085400</v>
      </c>
      <c r="I901" s="75">
        <f t="shared" si="43"/>
        <v>0</v>
      </c>
      <c r="J901" s="75"/>
      <c r="K901" s="5">
        <v>46178</v>
      </c>
      <c r="L901" s="3"/>
      <c r="O901" s="9"/>
      <c r="S901" s="3"/>
    </row>
    <row r="902" spans="1:19" ht="15" hidden="1" customHeight="1" x14ac:dyDescent="0.35">
      <c r="A902" s="26" t="s">
        <v>2235</v>
      </c>
      <c r="B902" s="32" t="s">
        <v>2156</v>
      </c>
      <c r="C902" s="28"/>
      <c r="D902" s="29" t="s">
        <v>2318</v>
      </c>
      <c r="E902" s="76">
        <v>2000000</v>
      </c>
      <c r="F902" s="77">
        <f t="shared" si="44"/>
        <v>160000</v>
      </c>
      <c r="G902" s="31">
        <f t="shared" si="45"/>
        <v>2160000</v>
      </c>
      <c r="H902" s="74">
        <v>2160000</v>
      </c>
      <c r="I902" s="75">
        <f t="shared" si="43"/>
        <v>0</v>
      </c>
      <c r="J902" s="75"/>
      <c r="K902" s="5">
        <v>46178</v>
      </c>
      <c r="L902" s="3"/>
      <c r="O902" s="9"/>
      <c r="S902" s="3"/>
    </row>
    <row r="903" spans="1:19" ht="15" hidden="1" customHeight="1" x14ac:dyDescent="0.35">
      <c r="A903" s="26" t="s">
        <v>2236</v>
      </c>
      <c r="B903" s="32" t="s">
        <v>2157</v>
      </c>
      <c r="C903" s="28"/>
      <c r="D903" s="29" t="s">
        <v>2318</v>
      </c>
      <c r="E903" s="76">
        <v>1005000</v>
      </c>
      <c r="F903" s="77">
        <f t="shared" si="44"/>
        <v>80400</v>
      </c>
      <c r="G903" s="31">
        <f t="shared" si="45"/>
        <v>1085400</v>
      </c>
      <c r="H903" s="74">
        <v>1085400</v>
      </c>
      <c r="I903" s="75">
        <f t="shared" si="43"/>
        <v>0</v>
      </c>
      <c r="J903" s="75"/>
      <c r="K903" s="5">
        <v>46178</v>
      </c>
      <c r="L903" s="3"/>
      <c r="O903" s="9"/>
      <c r="S903" s="3"/>
    </row>
    <row r="904" spans="1:19" ht="15" hidden="1" customHeight="1" x14ac:dyDescent="0.35">
      <c r="A904" s="26" t="s">
        <v>2237</v>
      </c>
      <c r="B904" s="32" t="s">
        <v>2158</v>
      </c>
      <c r="C904" s="28"/>
      <c r="D904" s="29" t="s">
        <v>2318</v>
      </c>
      <c r="E904" s="76">
        <v>1005000</v>
      </c>
      <c r="F904" s="77">
        <f t="shared" si="44"/>
        <v>80400</v>
      </c>
      <c r="G904" s="31">
        <f t="shared" si="45"/>
        <v>1085400</v>
      </c>
      <c r="H904" s="74">
        <v>1085400</v>
      </c>
      <c r="I904" s="75">
        <f t="shared" si="43"/>
        <v>0</v>
      </c>
      <c r="J904" s="75"/>
      <c r="K904" s="5">
        <v>46178</v>
      </c>
      <c r="L904" s="3"/>
      <c r="O904" s="9"/>
      <c r="S904" s="3"/>
    </row>
    <row r="905" spans="1:19" ht="15" hidden="1" customHeight="1" x14ac:dyDescent="0.35">
      <c r="A905" s="26" t="s">
        <v>2238</v>
      </c>
      <c r="B905" s="32" t="s">
        <v>2159</v>
      </c>
      <c r="C905" s="28">
        <v>3320</v>
      </c>
      <c r="D905" s="29">
        <v>46140</v>
      </c>
      <c r="E905" s="76">
        <v>2660500</v>
      </c>
      <c r="F905" s="77">
        <f t="shared" si="44"/>
        <v>212840</v>
      </c>
      <c r="G905" s="31">
        <f t="shared" si="45"/>
        <v>2873340</v>
      </c>
      <c r="H905" s="74">
        <v>2873340</v>
      </c>
      <c r="I905" s="75">
        <f t="shared" si="43"/>
        <v>0</v>
      </c>
      <c r="J905" s="75"/>
      <c r="K905" s="5">
        <v>46188</v>
      </c>
      <c r="O905" s="9"/>
      <c r="S905" s="3"/>
    </row>
    <row r="906" spans="1:19" ht="15" hidden="1" customHeight="1" x14ac:dyDescent="0.35">
      <c r="A906" s="26" t="s">
        <v>2239</v>
      </c>
      <c r="B906" s="32" t="s">
        <v>2160</v>
      </c>
      <c r="C906" s="28"/>
      <c r="D906" s="29" t="s">
        <v>2318</v>
      </c>
      <c r="E906" s="76">
        <v>3030000</v>
      </c>
      <c r="F906" s="77">
        <f t="shared" si="44"/>
        <v>242400</v>
      </c>
      <c r="G906" s="31">
        <f t="shared" si="45"/>
        <v>3272400</v>
      </c>
      <c r="H906" s="74">
        <v>3272400</v>
      </c>
      <c r="I906" s="75">
        <f t="shared" si="43"/>
        <v>0</v>
      </c>
      <c r="J906" s="75"/>
      <c r="K906" s="5">
        <v>46178</v>
      </c>
      <c r="L906" s="3"/>
      <c r="O906" s="9"/>
      <c r="S906" s="3"/>
    </row>
    <row r="907" spans="1:19" ht="15" hidden="1" customHeight="1" x14ac:dyDescent="0.35">
      <c r="A907" s="26" t="s">
        <v>2240</v>
      </c>
      <c r="B907" s="32" t="s">
        <v>2161</v>
      </c>
      <c r="C907" s="28"/>
      <c r="D907" s="29" t="s">
        <v>2318</v>
      </c>
      <c r="E907" s="76">
        <v>960000</v>
      </c>
      <c r="F907" s="77">
        <f t="shared" si="44"/>
        <v>76800</v>
      </c>
      <c r="G907" s="31">
        <f t="shared" si="45"/>
        <v>1036800</v>
      </c>
      <c r="H907" s="74">
        <v>1036800</v>
      </c>
      <c r="I907" s="75">
        <f t="shared" si="43"/>
        <v>0</v>
      </c>
      <c r="J907" s="75"/>
      <c r="K907" s="5">
        <v>46178</v>
      </c>
      <c r="L907" s="3"/>
      <c r="O907" s="9"/>
      <c r="S907" s="3"/>
    </row>
    <row r="908" spans="1:19" ht="15" hidden="1" customHeight="1" x14ac:dyDescent="0.35">
      <c r="A908" s="26" t="s">
        <v>2241</v>
      </c>
      <c r="B908" s="32" t="s">
        <v>2162</v>
      </c>
      <c r="C908" s="28"/>
      <c r="D908" s="29" t="s">
        <v>2318</v>
      </c>
      <c r="E908" s="76">
        <v>3735000</v>
      </c>
      <c r="F908" s="77">
        <f t="shared" si="44"/>
        <v>298800</v>
      </c>
      <c r="G908" s="31">
        <f t="shared" si="45"/>
        <v>4033800</v>
      </c>
      <c r="H908" s="74">
        <v>4033800</v>
      </c>
      <c r="I908" s="75">
        <f t="shared" si="43"/>
        <v>0</v>
      </c>
      <c r="J908" s="75"/>
      <c r="K908" s="5">
        <v>46178</v>
      </c>
      <c r="L908" s="3"/>
      <c r="O908" s="9"/>
      <c r="S908" s="3"/>
    </row>
    <row r="909" spans="1:19" ht="15" hidden="1" customHeight="1" x14ac:dyDescent="0.35">
      <c r="A909" s="26" t="s">
        <v>2242</v>
      </c>
      <c r="B909" s="32" t="s">
        <v>2163</v>
      </c>
      <c r="C909" s="28"/>
      <c r="D909" s="29" t="s">
        <v>2318</v>
      </c>
      <c r="E909" s="76">
        <v>990000</v>
      </c>
      <c r="F909" s="77">
        <f t="shared" si="44"/>
        <v>79200</v>
      </c>
      <c r="G909" s="31">
        <f t="shared" si="45"/>
        <v>1069200</v>
      </c>
      <c r="H909" s="74">
        <v>1069200</v>
      </c>
      <c r="I909" s="75">
        <f t="shared" si="43"/>
        <v>0</v>
      </c>
      <c r="J909" s="75"/>
      <c r="K909" s="5">
        <v>46178</v>
      </c>
      <c r="L909" s="3"/>
      <c r="O909" s="9"/>
      <c r="S909" s="3"/>
    </row>
    <row r="910" spans="1:19" ht="15" hidden="1" customHeight="1" x14ac:dyDescent="0.35">
      <c r="A910" s="26" t="s">
        <v>2243</v>
      </c>
      <c r="B910" s="32" t="s">
        <v>2164</v>
      </c>
      <c r="C910" s="28"/>
      <c r="D910" s="29" t="s">
        <v>2318</v>
      </c>
      <c r="E910" s="76">
        <v>1005000</v>
      </c>
      <c r="F910" s="77">
        <f t="shared" si="44"/>
        <v>80400</v>
      </c>
      <c r="G910" s="31">
        <f t="shared" si="45"/>
        <v>1085400</v>
      </c>
      <c r="H910" s="74">
        <v>1085400</v>
      </c>
      <c r="I910" s="75">
        <f t="shared" si="43"/>
        <v>0</v>
      </c>
      <c r="J910" s="75"/>
      <c r="K910" s="5">
        <v>46178</v>
      </c>
      <c r="L910" s="3"/>
      <c r="O910" s="9"/>
      <c r="S910" s="3"/>
    </row>
    <row r="911" spans="1:19" ht="15" hidden="1" customHeight="1" x14ac:dyDescent="0.35">
      <c r="A911" s="26" t="s">
        <v>2244</v>
      </c>
      <c r="B911" s="32" t="s">
        <v>2165</v>
      </c>
      <c r="C911" s="28">
        <v>3495</v>
      </c>
      <c r="D911" s="29">
        <v>46146</v>
      </c>
      <c r="E911" s="76">
        <v>2071000</v>
      </c>
      <c r="F911" s="77">
        <f t="shared" si="44"/>
        <v>165680</v>
      </c>
      <c r="G911" s="31">
        <f t="shared" si="45"/>
        <v>2236680</v>
      </c>
      <c r="H911" s="74">
        <v>2236680</v>
      </c>
      <c r="I911" s="75">
        <f t="shared" si="43"/>
        <v>0</v>
      </c>
      <c r="J911" s="75"/>
      <c r="K911" s="5">
        <v>46188</v>
      </c>
      <c r="O911" s="9"/>
      <c r="S911" s="3"/>
    </row>
    <row r="912" spans="1:19" ht="15" hidden="1" customHeight="1" x14ac:dyDescent="0.35">
      <c r="A912" s="26" t="s">
        <v>2245</v>
      </c>
      <c r="B912" s="32" t="s">
        <v>2166</v>
      </c>
      <c r="C912" s="28"/>
      <c r="D912" s="29" t="s">
        <v>2318</v>
      </c>
      <c r="E912" s="76">
        <v>960000</v>
      </c>
      <c r="F912" s="77">
        <f t="shared" si="44"/>
        <v>76800</v>
      </c>
      <c r="G912" s="31">
        <f t="shared" si="45"/>
        <v>1036800</v>
      </c>
      <c r="H912" s="74">
        <v>1036800</v>
      </c>
      <c r="I912" s="75">
        <f t="shared" si="43"/>
        <v>0</v>
      </c>
      <c r="J912" s="75"/>
      <c r="K912" s="5">
        <v>46178</v>
      </c>
      <c r="L912" s="3"/>
      <c r="O912" s="9"/>
      <c r="S912" s="3"/>
    </row>
    <row r="913" spans="1:19" ht="15" hidden="1" customHeight="1" x14ac:dyDescent="0.35">
      <c r="A913" s="26" t="s">
        <v>2246</v>
      </c>
      <c r="B913" s="32" t="s">
        <v>2167</v>
      </c>
      <c r="C913" s="28"/>
      <c r="D913" s="29" t="s">
        <v>2318</v>
      </c>
      <c r="E913" s="76">
        <v>3885000</v>
      </c>
      <c r="F913" s="77">
        <f t="shared" si="44"/>
        <v>310800</v>
      </c>
      <c r="G913" s="31">
        <f t="shared" si="45"/>
        <v>4195800</v>
      </c>
      <c r="H913" s="74">
        <v>4195800</v>
      </c>
      <c r="I913" s="75">
        <f t="shared" si="43"/>
        <v>0</v>
      </c>
      <c r="J913" s="75"/>
      <c r="K913" s="5">
        <v>46178</v>
      </c>
      <c r="L913" s="3"/>
      <c r="O913" s="9"/>
      <c r="S913" s="3"/>
    </row>
    <row r="914" spans="1:19" ht="15" hidden="1" customHeight="1" x14ac:dyDescent="0.35">
      <c r="A914" s="26" t="s">
        <v>2247</v>
      </c>
      <c r="B914" s="32" t="s">
        <v>2168</v>
      </c>
      <c r="C914" s="28"/>
      <c r="D914" s="29" t="s">
        <v>2318</v>
      </c>
      <c r="E914" s="76">
        <v>4020000</v>
      </c>
      <c r="F914" s="77">
        <f t="shared" si="44"/>
        <v>321600</v>
      </c>
      <c r="G914" s="31">
        <f t="shared" si="45"/>
        <v>4341600</v>
      </c>
      <c r="H914" s="74">
        <v>4341600</v>
      </c>
      <c r="I914" s="75">
        <f t="shared" si="43"/>
        <v>0</v>
      </c>
      <c r="J914" s="75"/>
      <c r="K914" s="5">
        <v>46178</v>
      </c>
      <c r="L914" s="3"/>
      <c r="O914" s="9"/>
      <c r="S914" s="3"/>
    </row>
    <row r="915" spans="1:19" ht="15" hidden="1" customHeight="1" x14ac:dyDescent="0.35">
      <c r="A915" s="26" t="s">
        <v>2248</v>
      </c>
      <c r="B915" s="32" t="s">
        <v>2169</v>
      </c>
      <c r="C915" s="28"/>
      <c r="D915" s="29" t="s">
        <v>2318</v>
      </c>
      <c r="E915" s="76">
        <v>2010000</v>
      </c>
      <c r="F915" s="77">
        <f t="shared" si="44"/>
        <v>160800</v>
      </c>
      <c r="G915" s="31">
        <f t="shared" si="45"/>
        <v>2170800</v>
      </c>
      <c r="H915" s="74">
        <v>2170800</v>
      </c>
      <c r="I915" s="75">
        <f t="shared" si="43"/>
        <v>0</v>
      </c>
      <c r="J915" s="75"/>
      <c r="K915" s="5">
        <v>46178</v>
      </c>
      <c r="L915" s="3"/>
      <c r="O915" s="9"/>
      <c r="S915" s="3"/>
    </row>
    <row r="916" spans="1:19" ht="15" hidden="1" customHeight="1" x14ac:dyDescent="0.35">
      <c r="A916" s="26" t="s">
        <v>2249</v>
      </c>
      <c r="B916" s="27" t="s">
        <v>2170</v>
      </c>
      <c r="C916" s="28"/>
      <c r="D916" s="29" t="s">
        <v>2318</v>
      </c>
      <c r="E916" s="76">
        <v>2700000</v>
      </c>
      <c r="F916" s="77">
        <f t="shared" si="44"/>
        <v>216000</v>
      </c>
      <c r="G916" s="31">
        <f t="shared" si="45"/>
        <v>2916000</v>
      </c>
      <c r="H916" s="74">
        <v>2916000</v>
      </c>
      <c r="I916" s="75">
        <f t="shared" si="43"/>
        <v>0</v>
      </c>
      <c r="J916" s="75"/>
      <c r="K916" s="5">
        <v>46178</v>
      </c>
      <c r="L916" s="3"/>
      <c r="O916" s="9"/>
      <c r="S916" s="3"/>
    </row>
    <row r="917" spans="1:19" ht="15" hidden="1" customHeight="1" x14ac:dyDescent="0.35">
      <c r="A917" s="26" t="s">
        <v>2250</v>
      </c>
      <c r="B917" s="32" t="s">
        <v>2171</v>
      </c>
      <c r="C917" s="28"/>
      <c r="D917" s="29" t="s">
        <v>2319</v>
      </c>
      <c r="E917" s="76">
        <v>1005000</v>
      </c>
      <c r="F917" s="77">
        <f t="shared" si="44"/>
        <v>80400</v>
      </c>
      <c r="G917" s="31">
        <f t="shared" si="45"/>
        <v>1085400</v>
      </c>
      <c r="H917" s="74">
        <v>1085400</v>
      </c>
      <c r="I917" s="75">
        <f t="shared" si="43"/>
        <v>0</v>
      </c>
      <c r="J917" s="75"/>
      <c r="K917" s="5">
        <v>46178</v>
      </c>
      <c r="L917" s="3"/>
      <c r="O917" s="9"/>
      <c r="S917" s="3"/>
    </row>
    <row r="918" spans="1:19" ht="15" hidden="1" customHeight="1" x14ac:dyDescent="0.35">
      <c r="A918" s="26" t="s">
        <v>2251</v>
      </c>
      <c r="B918" s="32" t="s">
        <v>2172</v>
      </c>
      <c r="C918" s="28"/>
      <c r="D918" s="29" t="s">
        <v>2319</v>
      </c>
      <c r="E918" s="76">
        <v>1005000</v>
      </c>
      <c r="F918" s="77">
        <f t="shared" si="44"/>
        <v>80400</v>
      </c>
      <c r="G918" s="31">
        <f t="shared" si="45"/>
        <v>1085400</v>
      </c>
      <c r="H918" s="74">
        <v>1085400</v>
      </c>
      <c r="I918" s="75">
        <f t="shared" si="43"/>
        <v>0</v>
      </c>
      <c r="J918" s="75"/>
      <c r="K918" s="5">
        <v>46188</v>
      </c>
      <c r="O918" s="9"/>
      <c r="S918" s="3"/>
    </row>
    <row r="919" spans="1:19" ht="15" hidden="1" customHeight="1" x14ac:dyDescent="0.35">
      <c r="A919" s="26" t="s">
        <v>2252</v>
      </c>
      <c r="B919" s="32" t="s">
        <v>2173</v>
      </c>
      <c r="C919" s="28">
        <v>3326</v>
      </c>
      <c r="D919" s="29">
        <v>46140</v>
      </c>
      <c r="E919" s="76">
        <v>2492000</v>
      </c>
      <c r="F919" s="77">
        <f t="shared" si="44"/>
        <v>199360</v>
      </c>
      <c r="G919" s="31">
        <f t="shared" si="45"/>
        <v>2691360</v>
      </c>
      <c r="H919" s="74">
        <v>2691360</v>
      </c>
      <c r="I919" s="75">
        <f t="shared" si="43"/>
        <v>0</v>
      </c>
      <c r="J919" s="75"/>
      <c r="K919" s="5">
        <v>46188</v>
      </c>
      <c r="O919" s="9"/>
      <c r="S919" s="3"/>
    </row>
    <row r="920" spans="1:19" ht="15" hidden="1" customHeight="1" x14ac:dyDescent="0.35">
      <c r="A920" s="26" t="s">
        <v>2056</v>
      </c>
      <c r="B920" s="27" t="s">
        <v>2174</v>
      </c>
      <c r="C920" s="28"/>
      <c r="D920" s="29" t="s">
        <v>2319</v>
      </c>
      <c r="E920" s="76">
        <v>135000</v>
      </c>
      <c r="F920" s="77">
        <f t="shared" si="44"/>
        <v>10800</v>
      </c>
      <c r="G920" s="31">
        <f t="shared" si="45"/>
        <v>145800</v>
      </c>
      <c r="H920" s="74">
        <v>145800</v>
      </c>
      <c r="I920" s="75">
        <f t="shared" si="43"/>
        <v>0</v>
      </c>
      <c r="J920" s="75"/>
      <c r="K920" s="5">
        <v>46178</v>
      </c>
      <c r="L920" s="3"/>
      <c r="O920" s="9"/>
      <c r="S920" s="3"/>
    </row>
    <row r="921" spans="1:19" ht="15" hidden="1" customHeight="1" x14ac:dyDescent="0.35">
      <c r="A921" s="26" t="s">
        <v>2253</v>
      </c>
      <c r="B921" s="32" t="s">
        <v>351</v>
      </c>
      <c r="C921" s="28"/>
      <c r="D921" s="29" t="s">
        <v>2320</v>
      </c>
      <c r="E921" s="76">
        <v>840000</v>
      </c>
      <c r="F921" s="77">
        <f t="shared" si="44"/>
        <v>67200</v>
      </c>
      <c r="G921" s="31">
        <f t="shared" si="45"/>
        <v>907200</v>
      </c>
      <c r="H921" s="74">
        <v>907200</v>
      </c>
      <c r="I921" s="75">
        <f t="shared" si="43"/>
        <v>0</v>
      </c>
      <c r="J921" s="75"/>
      <c r="L921" s="5">
        <v>46178</v>
      </c>
      <c r="O921" s="9"/>
      <c r="S921" s="3"/>
    </row>
    <row r="922" spans="1:19" ht="15" hidden="1" customHeight="1" x14ac:dyDescent="0.35">
      <c r="A922" s="26" t="s">
        <v>2254</v>
      </c>
      <c r="B922" s="32" t="s">
        <v>2175</v>
      </c>
      <c r="C922" s="28">
        <v>3862</v>
      </c>
      <c r="D922" s="29">
        <v>46156</v>
      </c>
      <c r="E922" s="76">
        <v>2236500</v>
      </c>
      <c r="F922" s="77">
        <f t="shared" si="44"/>
        <v>178920</v>
      </c>
      <c r="G922" s="31">
        <f t="shared" si="45"/>
        <v>2415420</v>
      </c>
      <c r="H922" s="74">
        <v>2415420</v>
      </c>
      <c r="I922" s="75">
        <f t="shared" si="43"/>
        <v>0</v>
      </c>
      <c r="J922" s="75" t="s">
        <v>2858</v>
      </c>
      <c r="K922" s="5">
        <v>46208</v>
      </c>
      <c r="O922" s="9"/>
      <c r="S922" s="3"/>
    </row>
    <row r="923" spans="1:19" ht="15" hidden="1" customHeight="1" x14ac:dyDescent="0.35">
      <c r="A923" s="26" t="s">
        <v>2255</v>
      </c>
      <c r="B923" s="32" t="s">
        <v>2176</v>
      </c>
      <c r="C923" s="28"/>
      <c r="D923" s="29" t="s">
        <v>2321</v>
      </c>
      <c r="E923" s="76">
        <v>990000</v>
      </c>
      <c r="F923" s="77">
        <f t="shared" si="44"/>
        <v>79200</v>
      </c>
      <c r="G923" s="31">
        <f t="shared" si="45"/>
        <v>1069200</v>
      </c>
      <c r="H923" s="74">
        <v>1069200</v>
      </c>
      <c r="I923" s="75">
        <f t="shared" si="43"/>
        <v>0</v>
      </c>
      <c r="J923" s="75"/>
      <c r="K923" s="5">
        <v>46178</v>
      </c>
      <c r="L923" s="3"/>
      <c r="O923" s="9"/>
      <c r="S923" s="3"/>
    </row>
    <row r="924" spans="1:19" ht="15" hidden="1" customHeight="1" x14ac:dyDescent="0.35">
      <c r="A924" s="26" t="s">
        <v>2256</v>
      </c>
      <c r="B924" s="32" t="s">
        <v>2177</v>
      </c>
      <c r="C924" s="28">
        <v>3489</v>
      </c>
      <c r="D924" s="29">
        <v>46146</v>
      </c>
      <c r="E924" s="76">
        <v>4469000</v>
      </c>
      <c r="F924" s="77">
        <f t="shared" si="44"/>
        <v>357520</v>
      </c>
      <c r="G924" s="31">
        <f t="shared" si="45"/>
        <v>4826520</v>
      </c>
      <c r="H924" s="74">
        <v>4826520</v>
      </c>
      <c r="I924" s="75">
        <f t="shared" si="43"/>
        <v>0</v>
      </c>
      <c r="J924" s="75"/>
      <c r="K924" s="5">
        <v>46188</v>
      </c>
      <c r="O924" s="9"/>
      <c r="S924" s="3"/>
    </row>
    <row r="925" spans="1:19" ht="15" hidden="1" customHeight="1" x14ac:dyDescent="0.35">
      <c r="A925" s="26" t="s">
        <v>2257</v>
      </c>
      <c r="B925" s="32" t="s">
        <v>2178</v>
      </c>
      <c r="C925" s="28"/>
      <c r="D925" s="29" t="s">
        <v>2321</v>
      </c>
      <c r="E925" s="76">
        <v>1680000</v>
      </c>
      <c r="F925" s="77">
        <f t="shared" si="44"/>
        <v>134400</v>
      </c>
      <c r="G925" s="31">
        <f t="shared" si="45"/>
        <v>1814400</v>
      </c>
      <c r="H925" s="74">
        <v>1814400</v>
      </c>
      <c r="I925" s="75">
        <f t="shared" si="43"/>
        <v>0</v>
      </c>
      <c r="J925" s="75"/>
      <c r="L925" s="5">
        <v>46178</v>
      </c>
      <c r="O925" s="9"/>
      <c r="S925" s="3"/>
    </row>
    <row r="926" spans="1:19" ht="15" hidden="1" customHeight="1" x14ac:dyDescent="0.35">
      <c r="A926" s="26" t="s">
        <v>2258</v>
      </c>
      <c r="B926" s="32" t="s">
        <v>2179</v>
      </c>
      <c r="C926" s="28">
        <v>3982</v>
      </c>
      <c r="D926" s="29">
        <v>46161</v>
      </c>
      <c r="E926" s="76">
        <v>1626600</v>
      </c>
      <c r="F926" s="77">
        <f t="shared" si="44"/>
        <v>130128</v>
      </c>
      <c r="G926" s="31">
        <f t="shared" si="45"/>
        <v>1756728</v>
      </c>
      <c r="H926" s="74">
        <v>1756728</v>
      </c>
      <c r="I926" s="75">
        <f t="shared" si="43"/>
        <v>0</v>
      </c>
      <c r="J926" s="85" t="s">
        <v>2858</v>
      </c>
      <c r="L926" s="5">
        <v>46208</v>
      </c>
      <c r="O926" s="9"/>
      <c r="S926" s="3"/>
    </row>
    <row r="927" spans="1:19" ht="15" hidden="1" customHeight="1" x14ac:dyDescent="0.35">
      <c r="A927" s="26" t="s">
        <v>2259</v>
      </c>
      <c r="B927" s="32" t="s">
        <v>2180</v>
      </c>
      <c r="C927" s="28"/>
      <c r="D927" s="29" t="s">
        <v>2321</v>
      </c>
      <c r="E927" s="76">
        <v>840000</v>
      </c>
      <c r="F927" s="77">
        <f t="shared" si="44"/>
        <v>67200</v>
      </c>
      <c r="G927" s="31">
        <f t="shared" si="45"/>
        <v>907200</v>
      </c>
      <c r="H927" s="74">
        <v>907200</v>
      </c>
      <c r="I927" s="75">
        <f t="shared" si="43"/>
        <v>0</v>
      </c>
      <c r="J927" s="75"/>
      <c r="L927" s="5">
        <v>46178</v>
      </c>
      <c r="O927" s="9"/>
      <c r="S927" s="3"/>
    </row>
    <row r="928" spans="1:19" ht="15" hidden="1" customHeight="1" x14ac:dyDescent="0.35">
      <c r="A928" s="26" t="s">
        <v>2260</v>
      </c>
      <c r="B928" s="32" t="s">
        <v>2181</v>
      </c>
      <c r="C928" s="28"/>
      <c r="D928" s="29" t="s">
        <v>2321</v>
      </c>
      <c r="E928" s="76">
        <v>1972800</v>
      </c>
      <c r="F928" s="77">
        <f t="shared" si="44"/>
        <v>157824</v>
      </c>
      <c r="G928" s="31">
        <f t="shared" si="45"/>
        <v>2130624</v>
      </c>
      <c r="H928" s="74">
        <v>2130624</v>
      </c>
      <c r="I928" s="75">
        <f t="shared" si="43"/>
        <v>0</v>
      </c>
      <c r="J928" s="75"/>
      <c r="L928" s="5">
        <v>46178</v>
      </c>
      <c r="O928" s="9"/>
      <c r="S928" s="3"/>
    </row>
    <row r="929" spans="1:19" ht="15" hidden="1" customHeight="1" x14ac:dyDescent="0.35">
      <c r="A929" s="26" t="s">
        <v>2261</v>
      </c>
      <c r="B929" s="32" t="s">
        <v>2182</v>
      </c>
      <c r="C929" s="28"/>
      <c r="D929" s="29" t="s">
        <v>2321</v>
      </c>
      <c r="E929" s="76">
        <v>840000</v>
      </c>
      <c r="F929" s="77">
        <f t="shared" si="44"/>
        <v>67200</v>
      </c>
      <c r="G929" s="31">
        <f t="shared" si="45"/>
        <v>907200</v>
      </c>
      <c r="H929" s="74">
        <v>907200</v>
      </c>
      <c r="I929" s="75">
        <f t="shared" si="43"/>
        <v>0</v>
      </c>
      <c r="J929" s="75"/>
      <c r="L929" s="5">
        <v>46178</v>
      </c>
      <c r="O929" s="9"/>
      <c r="S929" s="3"/>
    </row>
    <row r="930" spans="1:19" ht="15" hidden="1" customHeight="1" x14ac:dyDescent="0.35">
      <c r="A930" s="26" t="s">
        <v>2262</v>
      </c>
      <c r="B930" s="32" t="s">
        <v>2183</v>
      </c>
      <c r="C930" s="28"/>
      <c r="D930" s="29" t="s">
        <v>2321</v>
      </c>
      <c r="E930" s="76">
        <v>1132800</v>
      </c>
      <c r="F930" s="77">
        <f t="shared" si="44"/>
        <v>90624</v>
      </c>
      <c r="G930" s="31">
        <f t="shared" si="45"/>
        <v>1223424</v>
      </c>
      <c r="H930" s="74">
        <v>1223424</v>
      </c>
      <c r="I930" s="75">
        <f t="shared" si="43"/>
        <v>0</v>
      </c>
      <c r="J930" s="75"/>
      <c r="L930" s="5">
        <v>46178</v>
      </c>
      <c r="O930" s="9"/>
      <c r="S930" s="3"/>
    </row>
    <row r="931" spans="1:19" ht="15" hidden="1" customHeight="1" x14ac:dyDescent="0.35">
      <c r="A931" s="26" t="s">
        <v>2263</v>
      </c>
      <c r="B931" s="32" t="s">
        <v>2184</v>
      </c>
      <c r="C931" s="28"/>
      <c r="D931" s="29" t="s">
        <v>2321</v>
      </c>
      <c r="E931" s="76">
        <v>840000</v>
      </c>
      <c r="F931" s="77">
        <f t="shared" si="44"/>
        <v>67200</v>
      </c>
      <c r="G931" s="31">
        <f t="shared" si="45"/>
        <v>907200</v>
      </c>
      <c r="H931" s="74">
        <v>907200</v>
      </c>
      <c r="I931" s="75">
        <f t="shared" si="43"/>
        <v>0</v>
      </c>
      <c r="J931" s="75"/>
      <c r="L931" s="5">
        <v>46178</v>
      </c>
      <c r="O931" s="9"/>
      <c r="S931" s="3"/>
    </row>
    <row r="932" spans="1:19" ht="15" hidden="1" customHeight="1" x14ac:dyDescent="0.35">
      <c r="A932" s="26" t="s">
        <v>2264</v>
      </c>
      <c r="B932" s="32" t="s">
        <v>2185</v>
      </c>
      <c r="C932" s="28">
        <v>3625</v>
      </c>
      <c r="D932" s="29">
        <v>46150</v>
      </c>
      <c r="E932" s="76">
        <v>6087500</v>
      </c>
      <c r="F932" s="77">
        <f t="shared" si="44"/>
        <v>487000</v>
      </c>
      <c r="G932" s="31">
        <f t="shared" si="45"/>
        <v>6574500</v>
      </c>
      <c r="H932" s="74">
        <v>6574500</v>
      </c>
      <c r="I932" s="75">
        <f t="shared" si="43"/>
        <v>0</v>
      </c>
      <c r="J932" s="75" t="s">
        <v>2858</v>
      </c>
      <c r="K932" s="5">
        <v>46208</v>
      </c>
      <c r="O932" s="9"/>
      <c r="S932" s="3"/>
    </row>
    <row r="933" spans="1:19" ht="15" hidden="1" customHeight="1" x14ac:dyDescent="0.35">
      <c r="A933" s="26" t="s">
        <v>2265</v>
      </c>
      <c r="B933" s="32" t="s">
        <v>2186</v>
      </c>
      <c r="C933" s="28"/>
      <c r="D933" s="29" t="s">
        <v>2322</v>
      </c>
      <c r="E933" s="76">
        <v>1132800</v>
      </c>
      <c r="F933" s="77">
        <f t="shared" si="44"/>
        <v>90624</v>
      </c>
      <c r="G933" s="31">
        <f t="shared" si="45"/>
        <v>1223424</v>
      </c>
      <c r="H933" s="74">
        <v>1223424</v>
      </c>
      <c r="I933" s="75">
        <f t="shared" si="43"/>
        <v>0</v>
      </c>
      <c r="J933" s="75"/>
      <c r="L933" s="5">
        <v>46178</v>
      </c>
      <c r="O933" s="9"/>
      <c r="S933" s="3"/>
    </row>
    <row r="934" spans="1:19" ht="15" hidden="1" customHeight="1" x14ac:dyDescent="0.35">
      <c r="A934" s="26" t="s">
        <v>2266</v>
      </c>
      <c r="B934" s="32" t="s">
        <v>2187</v>
      </c>
      <c r="C934" s="28"/>
      <c r="D934" s="29" t="s">
        <v>2322</v>
      </c>
      <c r="E934" s="76">
        <v>840000</v>
      </c>
      <c r="F934" s="77">
        <f t="shared" si="44"/>
        <v>67200</v>
      </c>
      <c r="G934" s="31">
        <f t="shared" si="45"/>
        <v>907200</v>
      </c>
      <c r="H934" s="74">
        <v>907200</v>
      </c>
      <c r="I934" s="75">
        <f t="shared" si="43"/>
        <v>0</v>
      </c>
      <c r="J934" s="75"/>
      <c r="L934" s="5">
        <v>46178</v>
      </c>
      <c r="O934" s="9"/>
      <c r="S934" s="3"/>
    </row>
    <row r="935" spans="1:19" ht="15" hidden="1" customHeight="1" x14ac:dyDescent="0.35">
      <c r="A935" s="26" t="s">
        <v>2267</v>
      </c>
      <c r="B935" s="32" t="s">
        <v>2188</v>
      </c>
      <c r="C935" s="28"/>
      <c r="D935" s="29" t="s">
        <v>2322</v>
      </c>
      <c r="E935" s="76">
        <v>1680000</v>
      </c>
      <c r="F935" s="77">
        <f t="shared" si="44"/>
        <v>134400</v>
      </c>
      <c r="G935" s="31">
        <f t="shared" si="45"/>
        <v>1814400</v>
      </c>
      <c r="H935" s="74">
        <v>1814400</v>
      </c>
      <c r="I935" s="75">
        <f t="shared" si="43"/>
        <v>0</v>
      </c>
      <c r="J935" s="75"/>
      <c r="L935" s="5">
        <v>46178</v>
      </c>
      <c r="O935" s="9"/>
      <c r="S935" s="3"/>
    </row>
    <row r="936" spans="1:19" ht="15" hidden="1" customHeight="1" x14ac:dyDescent="0.35">
      <c r="A936" s="26" t="s">
        <v>2268</v>
      </c>
      <c r="B936" s="32" t="s">
        <v>352</v>
      </c>
      <c r="C936" s="28"/>
      <c r="D936" s="29" t="s">
        <v>2322</v>
      </c>
      <c r="E936" s="76">
        <v>840000</v>
      </c>
      <c r="F936" s="77">
        <f t="shared" si="44"/>
        <v>67200</v>
      </c>
      <c r="G936" s="31">
        <f t="shared" si="45"/>
        <v>907200</v>
      </c>
      <c r="H936" s="74">
        <v>907200</v>
      </c>
      <c r="I936" s="75">
        <f t="shared" si="43"/>
        <v>0</v>
      </c>
      <c r="J936" s="75"/>
      <c r="L936" s="5">
        <v>46178</v>
      </c>
      <c r="O936" s="9"/>
      <c r="S936" s="3"/>
    </row>
    <row r="937" spans="1:19" ht="15" hidden="1" customHeight="1" x14ac:dyDescent="0.35">
      <c r="A937" s="26" t="s">
        <v>2269</v>
      </c>
      <c r="B937" s="32" t="s">
        <v>353</v>
      </c>
      <c r="C937" s="28"/>
      <c r="D937" s="29" t="s">
        <v>2322</v>
      </c>
      <c r="E937" s="76">
        <v>840000</v>
      </c>
      <c r="F937" s="77">
        <f t="shared" si="44"/>
        <v>67200</v>
      </c>
      <c r="G937" s="31">
        <f t="shared" si="45"/>
        <v>907200</v>
      </c>
      <c r="H937" s="74">
        <v>907200</v>
      </c>
      <c r="I937" s="75">
        <f t="shared" si="43"/>
        <v>0</v>
      </c>
      <c r="J937" s="75"/>
      <c r="L937" s="5">
        <v>46178</v>
      </c>
      <c r="O937" s="9"/>
      <c r="S937" s="3"/>
    </row>
    <row r="938" spans="1:19" ht="15" hidden="1" customHeight="1" x14ac:dyDescent="0.35">
      <c r="A938" s="26" t="s">
        <v>2270</v>
      </c>
      <c r="B938" s="32" t="s">
        <v>2189</v>
      </c>
      <c r="C938" s="28"/>
      <c r="D938" s="29" t="s">
        <v>2322</v>
      </c>
      <c r="E938" s="76">
        <v>840000</v>
      </c>
      <c r="F938" s="77">
        <f t="shared" si="44"/>
        <v>67200</v>
      </c>
      <c r="G938" s="31">
        <f t="shared" si="45"/>
        <v>907200</v>
      </c>
      <c r="H938" s="74">
        <v>907200</v>
      </c>
      <c r="I938" s="75">
        <f t="shared" si="43"/>
        <v>0</v>
      </c>
      <c r="J938" s="75"/>
      <c r="L938" s="5">
        <v>46178</v>
      </c>
      <c r="O938" s="9"/>
      <c r="S938" s="3"/>
    </row>
    <row r="939" spans="1:19" ht="15" hidden="1" customHeight="1" x14ac:dyDescent="0.35">
      <c r="A939" s="26" t="s">
        <v>2271</v>
      </c>
      <c r="B939" s="32" t="s">
        <v>2190</v>
      </c>
      <c r="C939" s="28"/>
      <c r="D939" s="29" t="s">
        <v>2322</v>
      </c>
      <c r="E939" s="76">
        <v>3945600</v>
      </c>
      <c r="F939" s="77">
        <f t="shared" si="44"/>
        <v>315648</v>
      </c>
      <c r="G939" s="31">
        <f t="shared" si="45"/>
        <v>4261248</v>
      </c>
      <c r="H939" s="74">
        <v>4261248</v>
      </c>
      <c r="I939" s="75">
        <f t="shared" si="43"/>
        <v>0</v>
      </c>
      <c r="J939" s="75"/>
      <c r="L939" s="5">
        <v>46178</v>
      </c>
      <c r="O939" s="9"/>
      <c r="S939" s="3"/>
    </row>
    <row r="940" spans="1:19" ht="15" hidden="1" customHeight="1" x14ac:dyDescent="0.35">
      <c r="A940" s="26" t="s">
        <v>2272</v>
      </c>
      <c r="B940" s="32" t="s">
        <v>2191</v>
      </c>
      <c r="C940" s="28"/>
      <c r="D940" s="29" t="s">
        <v>2322</v>
      </c>
      <c r="E940" s="76">
        <v>840000</v>
      </c>
      <c r="F940" s="77">
        <f t="shared" si="44"/>
        <v>67200</v>
      </c>
      <c r="G940" s="31">
        <f t="shared" si="45"/>
        <v>907200</v>
      </c>
      <c r="H940" s="74">
        <v>907200</v>
      </c>
      <c r="I940" s="75">
        <f t="shared" si="43"/>
        <v>0</v>
      </c>
      <c r="J940" s="75"/>
      <c r="L940" s="5">
        <v>46208</v>
      </c>
      <c r="O940" s="9"/>
      <c r="S940" s="3"/>
    </row>
    <row r="941" spans="1:19" ht="15" hidden="1" customHeight="1" x14ac:dyDescent="0.35">
      <c r="A941" s="26" t="s">
        <v>2273</v>
      </c>
      <c r="B941" s="32" t="s">
        <v>2192</v>
      </c>
      <c r="C941" s="28"/>
      <c r="D941" s="29" t="s">
        <v>2322</v>
      </c>
      <c r="E941" s="76">
        <v>1680000</v>
      </c>
      <c r="F941" s="77">
        <f t="shared" si="44"/>
        <v>134400</v>
      </c>
      <c r="G941" s="31">
        <f t="shared" si="45"/>
        <v>1814400</v>
      </c>
      <c r="H941" s="74">
        <v>1814400</v>
      </c>
      <c r="I941" s="75">
        <f t="shared" si="43"/>
        <v>0</v>
      </c>
      <c r="J941" s="75"/>
      <c r="L941" s="5">
        <v>46178</v>
      </c>
      <c r="O941" s="9"/>
      <c r="S941" s="3"/>
    </row>
    <row r="942" spans="1:19" ht="15" hidden="1" customHeight="1" x14ac:dyDescent="0.35">
      <c r="A942" s="26" t="s">
        <v>2274</v>
      </c>
      <c r="B942" s="32" t="s">
        <v>2193</v>
      </c>
      <c r="C942" s="28"/>
      <c r="D942" s="29" t="s">
        <v>2322</v>
      </c>
      <c r="E942" s="76">
        <v>1972800</v>
      </c>
      <c r="F942" s="77">
        <f t="shared" si="44"/>
        <v>157824</v>
      </c>
      <c r="G942" s="31">
        <f t="shared" si="45"/>
        <v>2130624</v>
      </c>
      <c r="H942" s="74">
        <v>2130624</v>
      </c>
      <c r="I942" s="75">
        <f t="shared" si="43"/>
        <v>0</v>
      </c>
      <c r="J942" s="75"/>
      <c r="L942" s="5">
        <v>46178</v>
      </c>
      <c r="O942" s="9"/>
      <c r="S942" s="3"/>
    </row>
    <row r="943" spans="1:19" ht="15" hidden="1" customHeight="1" x14ac:dyDescent="0.35">
      <c r="A943" s="26" t="s">
        <v>2275</v>
      </c>
      <c r="B943" s="32" t="s">
        <v>2194</v>
      </c>
      <c r="C943" s="28"/>
      <c r="D943" s="29" t="s">
        <v>2322</v>
      </c>
      <c r="E943" s="76">
        <v>1972800</v>
      </c>
      <c r="F943" s="77">
        <f t="shared" si="44"/>
        <v>157824</v>
      </c>
      <c r="G943" s="31">
        <f t="shared" si="45"/>
        <v>2130624</v>
      </c>
      <c r="H943" s="74">
        <v>2130624</v>
      </c>
      <c r="I943" s="75">
        <f t="shared" si="43"/>
        <v>0</v>
      </c>
      <c r="J943" s="75"/>
      <c r="L943" s="5">
        <v>46178</v>
      </c>
      <c r="O943" s="9"/>
      <c r="S943" s="3"/>
    </row>
    <row r="944" spans="1:19" ht="15" hidden="1" customHeight="1" x14ac:dyDescent="0.35">
      <c r="A944" s="26" t="s">
        <v>2276</v>
      </c>
      <c r="B944" s="32" t="s">
        <v>2195</v>
      </c>
      <c r="C944" s="28">
        <v>3983</v>
      </c>
      <c r="D944" s="29">
        <v>46161</v>
      </c>
      <c r="E944" s="76">
        <v>3458600</v>
      </c>
      <c r="F944" s="77">
        <f t="shared" si="44"/>
        <v>276688</v>
      </c>
      <c r="G944" s="31">
        <f t="shared" si="45"/>
        <v>3735288</v>
      </c>
      <c r="H944" s="74">
        <v>3735288</v>
      </c>
      <c r="I944" s="75">
        <f t="shared" ref="I944:I1003" si="46">G944-H944</f>
        <v>0</v>
      </c>
      <c r="J944" s="85" t="s">
        <v>2858</v>
      </c>
      <c r="L944" s="5">
        <v>46208</v>
      </c>
      <c r="O944" s="9"/>
      <c r="S944" s="3"/>
    </row>
    <row r="945" spans="1:19" ht="15" hidden="1" customHeight="1" x14ac:dyDescent="0.35">
      <c r="A945" s="26" t="s">
        <v>2277</v>
      </c>
      <c r="B945" s="32" t="s">
        <v>2196</v>
      </c>
      <c r="C945" s="28"/>
      <c r="D945" s="29" t="s">
        <v>2323</v>
      </c>
      <c r="E945" s="76">
        <v>2812800</v>
      </c>
      <c r="F945" s="77">
        <f t="shared" ref="F945:F1004" si="47">+E945*0.08</f>
        <v>225024</v>
      </c>
      <c r="G945" s="31">
        <f t="shared" si="45"/>
        <v>3037824</v>
      </c>
      <c r="H945" s="74">
        <v>3037824</v>
      </c>
      <c r="I945" s="75">
        <f t="shared" si="46"/>
        <v>0</v>
      </c>
      <c r="J945" s="75"/>
      <c r="L945" s="5">
        <v>46178</v>
      </c>
      <c r="O945" s="9"/>
      <c r="S945" s="3"/>
    </row>
    <row r="946" spans="1:19" ht="15" hidden="1" customHeight="1" x14ac:dyDescent="0.35">
      <c r="A946" s="26" t="s">
        <v>2278</v>
      </c>
      <c r="B946" s="32" t="s">
        <v>2197</v>
      </c>
      <c r="C946" s="28"/>
      <c r="D946" s="29" t="s">
        <v>2324</v>
      </c>
      <c r="E946" s="76">
        <v>1005000</v>
      </c>
      <c r="F946" s="77">
        <f t="shared" si="47"/>
        <v>80400</v>
      </c>
      <c r="G946" s="31">
        <f t="shared" si="45"/>
        <v>1085400</v>
      </c>
      <c r="H946" s="74">
        <v>1085400</v>
      </c>
      <c r="I946" s="75">
        <f t="shared" si="46"/>
        <v>0</v>
      </c>
      <c r="J946" s="75"/>
      <c r="K946" s="5">
        <v>46188</v>
      </c>
      <c r="O946" s="9"/>
      <c r="S946" s="3"/>
    </row>
    <row r="947" spans="1:19" ht="15" hidden="1" customHeight="1" x14ac:dyDescent="0.35">
      <c r="A947" s="26" t="s">
        <v>2279</v>
      </c>
      <c r="B947" s="32" t="s">
        <v>2198</v>
      </c>
      <c r="C947" s="28"/>
      <c r="D947" s="29" t="s">
        <v>2324</v>
      </c>
      <c r="E947" s="76">
        <v>2670000</v>
      </c>
      <c r="F947" s="77">
        <f t="shared" si="47"/>
        <v>213600</v>
      </c>
      <c r="G947" s="31">
        <f t="shared" si="45"/>
        <v>2883600</v>
      </c>
      <c r="H947" s="74">
        <v>2883600</v>
      </c>
      <c r="I947" s="75">
        <f t="shared" si="46"/>
        <v>0</v>
      </c>
      <c r="J947" s="75"/>
      <c r="K947" s="5">
        <v>46188</v>
      </c>
      <c r="O947" s="9"/>
      <c r="S947" s="3"/>
    </row>
    <row r="948" spans="1:19" ht="15" hidden="1" customHeight="1" x14ac:dyDescent="0.35">
      <c r="A948" s="26" t="s">
        <v>2280</v>
      </c>
      <c r="B948" s="32" t="s">
        <v>2199</v>
      </c>
      <c r="C948" s="28">
        <v>3497</v>
      </c>
      <c r="D948" s="29">
        <v>46146</v>
      </c>
      <c r="E948" s="76">
        <v>6419500</v>
      </c>
      <c r="F948" s="77">
        <f t="shared" si="47"/>
        <v>513560</v>
      </c>
      <c r="G948" s="31">
        <f t="shared" si="45"/>
        <v>6933060</v>
      </c>
      <c r="H948" s="74">
        <v>6933060</v>
      </c>
      <c r="I948" s="75">
        <f t="shared" si="46"/>
        <v>0</v>
      </c>
      <c r="J948" s="75"/>
      <c r="K948" s="5">
        <v>46188</v>
      </c>
      <c r="O948" s="9"/>
      <c r="S948" s="3"/>
    </row>
    <row r="949" spans="1:19" ht="15" hidden="1" customHeight="1" x14ac:dyDescent="0.35">
      <c r="A949" s="26" t="s">
        <v>2281</v>
      </c>
      <c r="B949" s="32" t="s">
        <v>2200</v>
      </c>
      <c r="C949" s="28"/>
      <c r="D949" s="29" t="s">
        <v>2324</v>
      </c>
      <c r="E949" s="76">
        <v>640000</v>
      </c>
      <c r="F949" s="77">
        <f t="shared" si="47"/>
        <v>51200</v>
      </c>
      <c r="G949" s="31">
        <f t="shared" si="45"/>
        <v>691200</v>
      </c>
      <c r="H949" s="74">
        <v>691200</v>
      </c>
      <c r="I949" s="75">
        <f t="shared" si="46"/>
        <v>0</v>
      </c>
      <c r="J949" s="75"/>
      <c r="K949" s="5">
        <v>46188</v>
      </c>
      <c r="O949" s="9"/>
      <c r="S949" s="3"/>
    </row>
    <row r="950" spans="1:19" ht="15" hidden="1" customHeight="1" x14ac:dyDescent="0.35">
      <c r="A950" s="26" t="s">
        <v>2282</v>
      </c>
      <c r="B950" s="32" t="s">
        <v>2201</v>
      </c>
      <c r="C950" s="28">
        <v>3494</v>
      </c>
      <c r="D950" s="29">
        <v>46146</v>
      </c>
      <c r="E950" s="76">
        <v>17086000</v>
      </c>
      <c r="F950" s="77">
        <f t="shared" si="47"/>
        <v>1366880</v>
      </c>
      <c r="G950" s="31">
        <f t="shared" si="45"/>
        <v>18452880</v>
      </c>
      <c r="H950" s="74">
        <v>18452880</v>
      </c>
      <c r="I950" s="75">
        <f t="shared" si="46"/>
        <v>0</v>
      </c>
      <c r="J950" s="75"/>
      <c r="K950" s="5">
        <v>46188</v>
      </c>
      <c r="O950" s="9"/>
      <c r="S950" s="3"/>
    </row>
    <row r="951" spans="1:19" ht="15" hidden="1" customHeight="1" x14ac:dyDescent="0.35">
      <c r="A951" s="26" t="s">
        <v>2283</v>
      </c>
      <c r="B951" s="32" t="s">
        <v>2202</v>
      </c>
      <c r="C951" s="28"/>
      <c r="D951" s="29" t="s">
        <v>2324</v>
      </c>
      <c r="E951" s="76">
        <v>2940000</v>
      </c>
      <c r="F951" s="77">
        <f t="shared" si="47"/>
        <v>235200</v>
      </c>
      <c r="G951" s="31">
        <f t="shared" si="45"/>
        <v>3175200</v>
      </c>
      <c r="H951" s="74">
        <v>3175200</v>
      </c>
      <c r="I951" s="75">
        <f t="shared" si="46"/>
        <v>0</v>
      </c>
      <c r="J951" s="75"/>
      <c r="K951" s="5">
        <v>46188</v>
      </c>
      <c r="O951" s="9"/>
      <c r="S951" s="3"/>
    </row>
    <row r="952" spans="1:19" ht="15" hidden="1" customHeight="1" x14ac:dyDescent="0.35">
      <c r="A952" s="26" t="s">
        <v>2284</v>
      </c>
      <c r="B952" s="32" t="s">
        <v>2203</v>
      </c>
      <c r="C952" s="28"/>
      <c r="D952" s="29" t="s">
        <v>2324</v>
      </c>
      <c r="E952" s="76">
        <v>1005000</v>
      </c>
      <c r="F952" s="77">
        <f t="shared" si="47"/>
        <v>80400</v>
      </c>
      <c r="G952" s="31">
        <f t="shared" si="45"/>
        <v>1085400</v>
      </c>
      <c r="H952" s="74">
        <v>1085400</v>
      </c>
      <c r="I952" s="75">
        <f t="shared" si="46"/>
        <v>0</v>
      </c>
      <c r="J952" s="75"/>
      <c r="K952" s="5">
        <v>46188</v>
      </c>
      <c r="O952" s="9"/>
      <c r="S952" s="3"/>
    </row>
    <row r="953" spans="1:19" ht="15" hidden="1" customHeight="1" x14ac:dyDescent="0.35">
      <c r="A953" s="26" t="s">
        <v>2285</v>
      </c>
      <c r="B953" s="32" t="s">
        <v>354</v>
      </c>
      <c r="C953" s="28"/>
      <c r="D953" s="29" t="s">
        <v>2324</v>
      </c>
      <c r="E953" s="76">
        <v>22165000</v>
      </c>
      <c r="F953" s="77">
        <f t="shared" si="47"/>
        <v>1773200</v>
      </c>
      <c r="G953" s="31">
        <f t="shared" ref="G953:G1014" si="48">+F953+E953</f>
        <v>23938200</v>
      </c>
      <c r="H953" s="74">
        <v>23938200</v>
      </c>
      <c r="I953" s="75">
        <f t="shared" si="46"/>
        <v>0</v>
      </c>
      <c r="J953" s="75"/>
      <c r="K953" s="5">
        <v>46188</v>
      </c>
      <c r="O953" s="9"/>
      <c r="S953" s="3"/>
    </row>
    <row r="954" spans="1:19" ht="15" hidden="1" customHeight="1" x14ac:dyDescent="0.35">
      <c r="A954" s="26" t="s">
        <v>2286</v>
      </c>
      <c r="B954" s="32" t="s">
        <v>355</v>
      </c>
      <c r="C954" s="28">
        <v>3491</v>
      </c>
      <c r="D954" s="29">
        <v>46146</v>
      </c>
      <c r="E954" s="76">
        <v>4502000</v>
      </c>
      <c r="F954" s="77">
        <f t="shared" si="47"/>
        <v>360160</v>
      </c>
      <c r="G954" s="31">
        <f t="shared" si="48"/>
        <v>4862160</v>
      </c>
      <c r="H954" s="74">
        <v>4862160</v>
      </c>
      <c r="I954" s="75">
        <f t="shared" si="46"/>
        <v>0</v>
      </c>
      <c r="J954" s="75"/>
      <c r="K954" s="5">
        <v>46188</v>
      </c>
      <c r="O954" s="9"/>
      <c r="S954" s="3"/>
    </row>
    <row r="955" spans="1:19" ht="15" hidden="1" customHeight="1" x14ac:dyDescent="0.35">
      <c r="A955" s="26" t="s">
        <v>2287</v>
      </c>
      <c r="B955" s="32" t="s">
        <v>356</v>
      </c>
      <c r="C955" s="28"/>
      <c r="D955" s="29" t="s">
        <v>2324</v>
      </c>
      <c r="E955" s="76">
        <v>2565000</v>
      </c>
      <c r="F955" s="77">
        <f t="shared" si="47"/>
        <v>205200</v>
      </c>
      <c r="G955" s="31">
        <f t="shared" si="48"/>
        <v>2770200</v>
      </c>
      <c r="H955" s="74">
        <v>2770200</v>
      </c>
      <c r="I955" s="75">
        <f t="shared" si="46"/>
        <v>0</v>
      </c>
      <c r="J955" s="75"/>
      <c r="K955" s="5">
        <v>46188</v>
      </c>
      <c r="O955" s="9"/>
      <c r="S955" s="3"/>
    </row>
    <row r="956" spans="1:19" ht="15" hidden="1" customHeight="1" x14ac:dyDescent="0.35">
      <c r="A956" s="26" t="s">
        <v>2288</v>
      </c>
      <c r="B956" s="32" t="s">
        <v>2204</v>
      </c>
      <c r="C956" s="28"/>
      <c r="D956" s="29" t="s">
        <v>2324</v>
      </c>
      <c r="E956" s="76">
        <v>750000</v>
      </c>
      <c r="F956" s="77">
        <f t="shared" si="47"/>
        <v>60000</v>
      </c>
      <c r="G956" s="31">
        <f t="shared" si="48"/>
        <v>810000</v>
      </c>
      <c r="H956" s="74">
        <v>810000</v>
      </c>
      <c r="I956" s="75">
        <f t="shared" si="46"/>
        <v>0</v>
      </c>
      <c r="J956" s="75"/>
      <c r="L956" s="5">
        <v>46208</v>
      </c>
      <c r="O956" s="9"/>
      <c r="S956" s="3"/>
    </row>
    <row r="957" spans="1:19" ht="15" hidden="1" customHeight="1" x14ac:dyDescent="0.35">
      <c r="A957" s="26" t="s">
        <v>2289</v>
      </c>
      <c r="B957" s="32" t="s">
        <v>2205</v>
      </c>
      <c r="C957" s="28"/>
      <c r="D957" s="29" t="s">
        <v>2324</v>
      </c>
      <c r="E957" s="76">
        <v>3795000</v>
      </c>
      <c r="F957" s="77">
        <f t="shared" si="47"/>
        <v>303600</v>
      </c>
      <c r="G957" s="31">
        <f t="shared" si="48"/>
        <v>4098600</v>
      </c>
      <c r="H957" s="74">
        <v>4098600</v>
      </c>
      <c r="I957" s="75">
        <f t="shared" si="46"/>
        <v>0</v>
      </c>
      <c r="J957" s="75"/>
      <c r="K957" s="5">
        <v>46188</v>
      </c>
      <c r="O957" s="9"/>
      <c r="S957" s="3"/>
    </row>
    <row r="958" spans="1:19" ht="15" hidden="1" customHeight="1" x14ac:dyDescent="0.35">
      <c r="A958" s="26" t="s">
        <v>2290</v>
      </c>
      <c r="B958" s="32" t="s">
        <v>2206</v>
      </c>
      <c r="C958" s="28"/>
      <c r="D958" s="29" t="s">
        <v>2324</v>
      </c>
      <c r="E958" s="76">
        <v>1005000</v>
      </c>
      <c r="F958" s="77">
        <f t="shared" si="47"/>
        <v>80400</v>
      </c>
      <c r="G958" s="31">
        <f t="shared" si="48"/>
        <v>1085400</v>
      </c>
      <c r="H958" s="74">
        <v>1085400</v>
      </c>
      <c r="I958" s="75">
        <f t="shared" si="46"/>
        <v>0</v>
      </c>
      <c r="J958" s="75"/>
      <c r="K958" s="5">
        <v>46188</v>
      </c>
      <c r="O958" s="9"/>
      <c r="S958" s="3"/>
    </row>
    <row r="959" spans="1:19" ht="15" hidden="1" customHeight="1" x14ac:dyDescent="0.35">
      <c r="A959" s="26" t="s">
        <v>2291</v>
      </c>
      <c r="B959" s="32" t="s">
        <v>2207</v>
      </c>
      <c r="C959" s="28"/>
      <c r="D959" s="29" t="s">
        <v>2324</v>
      </c>
      <c r="E959" s="76">
        <v>2545000</v>
      </c>
      <c r="F959" s="77">
        <f t="shared" si="47"/>
        <v>203600</v>
      </c>
      <c r="G959" s="31">
        <f t="shared" si="48"/>
        <v>2748600</v>
      </c>
      <c r="H959" s="74">
        <v>2748600</v>
      </c>
      <c r="I959" s="75">
        <f t="shared" si="46"/>
        <v>0</v>
      </c>
      <c r="J959" s="75"/>
      <c r="K959" s="5">
        <v>46188</v>
      </c>
      <c r="O959" s="9"/>
      <c r="S959" s="3"/>
    </row>
    <row r="960" spans="1:19" ht="15" hidden="1" customHeight="1" x14ac:dyDescent="0.35">
      <c r="A960" s="26" t="s">
        <v>2292</v>
      </c>
      <c r="B960" s="32" t="s">
        <v>2208</v>
      </c>
      <c r="C960" s="28"/>
      <c r="D960" s="29" t="s">
        <v>2324</v>
      </c>
      <c r="E960" s="76">
        <v>1005000</v>
      </c>
      <c r="F960" s="77">
        <f t="shared" si="47"/>
        <v>80400</v>
      </c>
      <c r="G960" s="31">
        <f t="shared" si="48"/>
        <v>1085400</v>
      </c>
      <c r="H960" s="74">
        <v>1085400</v>
      </c>
      <c r="I960" s="75">
        <f t="shared" si="46"/>
        <v>0</v>
      </c>
      <c r="J960" s="75"/>
      <c r="K960" s="5">
        <v>46188</v>
      </c>
      <c r="O960" s="9"/>
      <c r="S960" s="3"/>
    </row>
    <row r="961" spans="1:19" ht="15" hidden="1" customHeight="1" x14ac:dyDescent="0.35">
      <c r="A961" s="26" t="s">
        <v>2293</v>
      </c>
      <c r="B961" s="27" t="s">
        <v>2209</v>
      </c>
      <c r="C961" s="28"/>
      <c r="D961" s="29" t="s">
        <v>2324</v>
      </c>
      <c r="E961" s="76">
        <v>18755000</v>
      </c>
      <c r="F961" s="77">
        <f t="shared" si="47"/>
        <v>1500400</v>
      </c>
      <c r="G961" s="31">
        <f t="shared" si="48"/>
        <v>20255400</v>
      </c>
      <c r="H961" s="74">
        <v>20255400</v>
      </c>
      <c r="I961" s="75">
        <f t="shared" si="46"/>
        <v>0</v>
      </c>
      <c r="J961" s="75"/>
      <c r="K961" s="5">
        <v>46188</v>
      </c>
      <c r="O961" s="9"/>
      <c r="S961" s="3"/>
    </row>
    <row r="962" spans="1:19" ht="15" hidden="1" customHeight="1" x14ac:dyDescent="0.35">
      <c r="A962" s="26" t="s">
        <v>2294</v>
      </c>
      <c r="B962" s="32" t="s">
        <v>2210</v>
      </c>
      <c r="C962" s="28"/>
      <c r="D962" s="29" t="s">
        <v>2324</v>
      </c>
      <c r="E962" s="76">
        <v>16625000</v>
      </c>
      <c r="F962" s="77">
        <f t="shared" si="47"/>
        <v>1330000</v>
      </c>
      <c r="G962" s="31">
        <f t="shared" si="48"/>
        <v>17955000</v>
      </c>
      <c r="H962" s="74">
        <v>17955000</v>
      </c>
      <c r="I962" s="75">
        <f t="shared" si="46"/>
        <v>0</v>
      </c>
      <c r="J962" s="75"/>
      <c r="K962" s="5">
        <v>46188</v>
      </c>
      <c r="O962" s="9"/>
      <c r="S962" s="3"/>
    </row>
    <row r="963" spans="1:19" ht="15" hidden="1" customHeight="1" x14ac:dyDescent="0.35">
      <c r="A963" s="26" t="s">
        <v>2295</v>
      </c>
      <c r="B963" s="32" t="s">
        <v>2211</v>
      </c>
      <c r="C963" s="28"/>
      <c r="D963" s="29" t="s">
        <v>2324</v>
      </c>
      <c r="E963" s="76">
        <v>1995000</v>
      </c>
      <c r="F963" s="77">
        <f t="shared" si="47"/>
        <v>159600</v>
      </c>
      <c r="G963" s="31">
        <f t="shared" si="48"/>
        <v>2154600</v>
      </c>
      <c r="H963" s="74">
        <v>2154600</v>
      </c>
      <c r="I963" s="75">
        <f t="shared" si="46"/>
        <v>0</v>
      </c>
      <c r="J963" s="75"/>
      <c r="K963" s="5">
        <v>46188</v>
      </c>
      <c r="O963" s="9"/>
      <c r="S963" s="3"/>
    </row>
    <row r="964" spans="1:19" ht="15" hidden="1" customHeight="1" x14ac:dyDescent="0.35">
      <c r="A964" s="26" t="s">
        <v>2296</v>
      </c>
      <c r="B964" s="32" t="s">
        <v>2212</v>
      </c>
      <c r="C964" s="28"/>
      <c r="D964" s="29" t="s">
        <v>2324</v>
      </c>
      <c r="E964" s="76">
        <v>13415000</v>
      </c>
      <c r="F964" s="77">
        <f t="shared" si="47"/>
        <v>1073200</v>
      </c>
      <c r="G964" s="31">
        <f t="shared" si="48"/>
        <v>14488200</v>
      </c>
      <c r="H964" s="74">
        <v>14488200</v>
      </c>
      <c r="I964" s="75">
        <f t="shared" si="46"/>
        <v>0</v>
      </c>
      <c r="J964" s="75"/>
      <c r="K964" s="5">
        <v>46188</v>
      </c>
      <c r="O964" s="9"/>
      <c r="S964" s="3"/>
    </row>
    <row r="965" spans="1:19" ht="15" hidden="1" customHeight="1" x14ac:dyDescent="0.35">
      <c r="A965" s="26" t="s">
        <v>2297</v>
      </c>
      <c r="B965" s="32" t="s">
        <v>2213</v>
      </c>
      <c r="C965" s="28"/>
      <c r="D965" s="29" t="s">
        <v>2324</v>
      </c>
      <c r="E965" s="76">
        <v>990000</v>
      </c>
      <c r="F965" s="77">
        <f t="shared" si="47"/>
        <v>79200</v>
      </c>
      <c r="G965" s="31">
        <f t="shared" si="48"/>
        <v>1069200</v>
      </c>
      <c r="H965" s="74">
        <v>1069200</v>
      </c>
      <c r="I965" s="75">
        <f t="shared" si="46"/>
        <v>0</v>
      </c>
      <c r="J965" s="75"/>
      <c r="K965" s="5">
        <v>46188</v>
      </c>
      <c r="O965" s="9"/>
      <c r="S965" s="3"/>
    </row>
    <row r="966" spans="1:19" ht="15" hidden="1" customHeight="1" x14ac:dyDescent="0.35">
      <c r="A966" s="26" t="s">
        <v>2298</v>
      </c>
      <c r="B966" s="32" t="s">
        <v>2214</v>
      </c>
      <c r="C966" s="28"/>
      <c r="D966" s="29" t="s">
        <v>2324</v>
      </c>
      <c r="E966" s="76">
        <v>4815000</v>
      </c>
      <c r="F966" s="77">
        <f t="shared" si="47"/>
        <v>385200</v>
      </c>
      <c r="G966" s="31">
        <f t="shared" si="48"/>
        <v>5200200</v>
      </c>
      <c r="H966" s="74">
        <v>5200200</v>
      </c>
      <c r="I966" s="75">
        <f t="shared" si="46"/>
        <v>0</v>
      </c>
      <c r="J966" s="75"/>
      <c r="K966" s="5">
        <v>46188</v>
      </c>
      <c r="O966" s="9"/>
      <c r="S966" s="3"/>
    </row>
    <row r="967" spans="1:19" ht="15" hidden="1" customHeight="1" x14ac:dyDescent="0.35">
      <c r="A967" s="26" t="s">
        <v>2299</v>
      </c>
      <c r="B967" s="32" t="s">
        <v>2215</v>
      </c>
      <c r="C967" s="28"/>
      <c r="D967" s="29" t="s">
        <v>2324</v>
      </c>
      <c r="E967" s="76">
        <v>960000</v>
      </c>
      <c r="F967" s="77">
        <f t="shared" si="47"/>
        <v>76800</v>
      </c>
      <c r="G967" s="31">
        <f t="shared" si="48"/>
        <v>1036800</v>
      </c>
      <c r="H967" s="74">
        <v>1036800</v>
      </c>
      <c r="I967" s="75">
        <f t="shared" si="46"/>
        <v>0</v>
      </c>
      <c r="J967" s="75"/>
      <c r="K967" s="5">
        <v>46188</v>
      </c>
      <c r="O967" s="9"/>
      <c r="S967" s="3"/>
    </row>
    <row r="968" spans="1:19" ht="15" hidden="1" customHeight="1" x14ac:dyDescent="0.35">
      <c r="A968" s="26" t="s">
        <v>2300</v>
      </c>
      <c r="B968" s="32" t="s">
        <v>357</v>
      </c>
      <c r="C968" s="28"/>
      <c r="D968" s="29" t="s">
        <v>2324</v>
      </c>
      <c r="E968" s="76">
        <v>3045000</v>
      </c>
      <c r="F968" s="77">
        <f t="shared" si="47"/>
        <v>243600</v>
      </c>
      <c r="G968" s="31">
        <f t="shared" si="48"/>
        <v>3288600</v>
      </c>
      <c r="H968" s="74">
        <v>3288600</v>
      </c>
      <c r="I968" s="75">
        <f t="shared" si="46"/>
        <v>0</v>
      </c>
      <c r="J968" s="75"/>
      <c r="K968" s="5">
        <v>46188</v>
      </c>
      <c r="O968" s="9"/>
      <c r="S968" s="3"/>
    </row>
    <row r="969" spans="1:19" ht="15" hidden="1" customHeight="1" x14ac:dyDescent="0.35">
      <c r="A969" s="26" t="s">
        <v>2301</v>
      </c>
      <c r="B969" s="32" t="s">
        <v>358</v>
      </c>
      <c r="C969" s="28"/>
      <c r="D969" s="29" t="s">
        <v>2324</v>
      </c>
      <c r="E969" s="76">
        <v>5320000</v>
      </c>
      <c r="F969" s="77">
        <f t="shared" si="47"/>
        <v>425600</v>
      </c>
      <c r="G969" s="31">
        <f t="shared" si="48"/>
        <v>5745600</v>
      </c>
      <c r="H969" s="74">
        <v>5745600</v>
      </c>
      <c r="I969" s="75">
        <f t="shared" si="46"/>
        <v>0</v>
      </c>
      <c r="J969" s="75"/>
      <c r="K969" s="5">
        <v>46188</v>
      </c>
      <c r="O969" s="9"/>
      <c r="S969" s="3"/>
    </row>
    <row r="970" spans="1:19" ht="15" hidden="1" customHeight="1" x14ac:dyDescent="0.35">
      <c r="A970" s="26" t="s">
        <v>2302</v>
      </c>
      <c r="B970" s="32" t="s">
        <v>359</v>
      </c>
      <c r="C970" s="28"/>
      <c r="D970" s="29" t="s">
        <v>2324</v>
      </c>
      <c r="E970" s="76">
        <v>960000</v>
      </c>
      <c r="F970" s="77">
        <f t="shared" si="47"/>
        <v>76800</v>
      </c>
      <c r="G970" s="31">
        <f t="shared" si="48"/>
        <v>1036800</v>
      </c>
      <c r="H970" s="74">
        <v>1036800</v>
      </c>
      <c r="I970" s="75">
        <f t="shared" si="46"/>
        <v>0</v>
      </c>
      <c r="J970" s="75"/>
      <c r="K970" s="5">
        <v>46188</v>
      </c>
      <c r="O970" s="9"/>
      <c r="S970" s="3"/>
    </row>
    <row r="971" spans="1:19" ht="15" hidden="1" customHeight="1" x14ac:dyDescent="0.35">
      <c r="A971" s="26" t="s">
        <v>2303</v>
      </c>
      <c r="B971" s="32" t="s">
        <v>360</v>
      </c>
      <c r="C971" s="28"/>
      <c r="D971" s="29" t="s">
        <v>2324</v>
      </c>
      <c r="E971" s="76">
        <v>2790000</v>
      </c>
      <c r="F971" s="77">
        <f t="shared" si="47"/>
        <v>223200</v>
      </c>
      <c r="G971" s="31">
        <f t="shared" si="48"/>
        <v>3013200</v>
      </c>
      <c r="H971" s="74">
        <v>3013200</v>
      </c>
      <c r="I971" s="75">
        <f t="shared" si="46"/>
        <v>0</v>
      </c>
      <c r="J971" s="75"/>
      <c r="K971" s="5">
        <v>46188</v>
      </c>
      <c r="O971" s="9"/>
      <c r="S971" s="3"/>
    </row>
    <row r="972" spans="1:19" ht="15" hidden="1" customHeight="1" x14ac:dyDescent="0.35">
      <c r="A972" s="26" t="s">
        <v>2304</v>
      </c>
      <c r="B972" s="32" t="s">
        <v>361</v>
      </c>
      <c r="C972" s="28">
        <v>3863</v>
      </c>
      <c r="D972" s="29">
        <v>46156</v>
      </c>
      <c r="E972" s="76">
        <v>4254000</v>
      </c>
      <c r="F972" s="77">
        <f t="shared" si="47"/>
        <v>340320</v>
      </c>
      <c r="G972" s="31">
        <f t="shared" si="48"/>
        <v>4594320</v>
      </c>
      <c r="H972" s="74">
        <v>4594320</v>
      </c>
      <c r="I972" s="75">
        <f t="shared" si="46"/>
        <v>0</v>
      </c>
      <c r="J972" s="75" t="s">
        <v>2858</v>
      </c>
      <c r="K972" s="5">
        <v>46208</v>
      </c>
      <c r="O972" s="9"/>
      <c r="S972" s="3"/>
    </row>
    <row r="973" spans="1:19" ht="15" hidden="1" customHeight="1" x14ac:dyDescent="0.35">
      <c r="A973" s="26" t="s">
        <v>2306</v>
      </c>
      <c r="B973" s="32" t="s">
        <v>362</v>
      </c>
      <c r="C973" s="28"/>
      <c r="D973" s="29" t="s">
        <v>2324</v>
      </c>
      <c r="E973" s="76">
        <v>1005000</v>
      </c>
      <c r="F973" s="77">
        <f t="shared" si="47"/>
        <v>80400</v>
      </c>
      <c r="G973" s="31">
        <f t="shared" si="48"/>
        <v>1085400</v>
      </c>
      <c r="H973" s="74">
        <v>1085400</v>
      </c>
      <c r="I973" s="75">
        <f t="shared" si="46"/>
        <v>0</v>
      </c>
      <c r="J973" s="75"/>
      <c r="K973" s="5">
        <v>46188</v>
      </c>
      <c r="O973" s="9"/>
      <c r="S973" s="3"/>
    </row>
    <row r="974" spans="1:19" ht="15" hidden="1" customHeight="1" x14ac:dyDescent="0.35">
      <c r="A974" s="26" t="s">
        <v>2307</v>
      </c>
      <c r="B974" s="32" t="s">
        <v>363</v>
      </c>
      <c r="C974" s="28"/>
      <c r="D974" s="29" t="s">
        <v>2324</v>
      </c>
      <c r="E974" s="76">
        <v>990000</v>
      </c>
      <c r="F974" s="77">
        <f t="shared" si="47"/>
        <v>79200</v>
      </c>
      <c r="G974" s="31">
        <f t="shared" si="48"/>
        <v>1069200</v>
      </c>
      <c r="H974" s="74">
        <v>1069200</v>
      </c>
      <c r="I974" s="75">
        <f t="shared" si="46"/>
        <v>0</v>
      </c>
      <c r="J974" s="75"/>
      <c r="K974" s="5">
        <v>46188</v>
      </c>
      <c r="O974" s="9"/>
      <c r="S974" s="3"/>
    </row>
    <row r="975" spans="1:19" ht="15" hidden="1" customHeight="1" x14ac:dyDescent="0.35">
      <c r="A975" s="26" t="s">
        <v>2308</v>
      </c>
      <c r="B975" s="32" t="s">
        <v>364</v>
      </c>
      <c r="C975" s="28"/>
      <c r="D975" s="29" t="s">
        <v>2324</v>
      </c>
      <c r="E975" s="76">
        <v>15360000</v>
      </c>
      <c r="F975" s="77">
        <f t="shared" si="47"/>
        <v>1228800</v>
      </c>
      <c r="G975" s="31">
        <f t="shared" si="48"/>
        <v>16588800</v>
      </c>
      <c r="H975" s="74">
        <v>16588800</v>
      </c>
      <c r="I975" s="75">
        <f t="shared" si="46"/>
        <v>0</v>
      </c>
      <c r="J975" s="75"/>
      <c r="K975" s="5">
        <v>46188</v>
      </c>
      <c r="O975" s="9"/>
      <c r="S975" s="3"/>
    </row>
    <row r="976" spans="1:19" ht="15" hidden="1" customHeight="1" x14ac:dyDescent="0.35">
      <c r="A976" s="26" t="s">
        <v>2309</v>
      </c>
      <c r="B976" s="27" t="s">
        <v>365</v>
      </c>
      <c r="C976" s="28"/>
      <c r="D976" s="29" t="s">
        <v>2324</v>
      </c>
      <c r="E976" s="76">
        <v>8880000</v>
      </c>
      <c r="F976" s="77">
        <f t="shared" si="47"/>
        <v>710400</v>
      </c>
      <c r="G976" s="31">
        <f t="shared" si="48"/>
        <v>9590400</v>
      </c>
      <c r="H976" s="74">
        <v>9590400</v>
      </c>
      <c r="I976" s="75">
        <f t="shared" si="46"/>
        <v>0</v>
      </c>
      <c r="J976" s="75"/>
      <c r="K976" s="5">
        <v>46188</v>
      </c>
      <c r="O976" s="9"/>
      <c r="S976" s="3"/>
    </row>
    <row r="977" spans="1:19" ht="15" hidden="1" customHeight="1" x14ac:dyDescent="0.35">
      <c r="A977" s="26" t="s">
        <v>2310</v>
      </c>
      <c r="B977" s="32" t="s">
        <v>366</v>
      </c>
      <c r="C977" s="28"/>
      <c r="D977" s="29" t="s">
        <v>2324</v>
      </c>
      <c r="E977" s="76">
        <v>16860000</v>
      </c>
      <c r="F977" s="77">
        <f t="shared" si="47"/>
        <v>1348800</v>
      </c>
      <c r="G977" s="31">
        <f t="shared" si="48"/>
        <v>18208800</v>
      </c>
      <c r="H977" s="74">
        <v>18208800</v>
      </c>
      <c r="I977" s="75">
        <f t="shared" si="46"/>
        <v>0</v>
      </c>
      <c r="J977" s="75"/>
      <c r="K977" s="5">
        <v>46188</v>
      </c>
      <c r="O977" s="9"/>
      <c r="S977" s="3"/>
    </row>
    <row r="978" spans="1:19" ht="15" hidden="1" customHeight="1" x14ac:dyDescent="0.35">
      <c r="A978" s="26" t="s">
        <v>2311</v>
      </c>
      <c r="B978" s="27" t="s">
        <v>367</v>
      </c>
      <c r="C978" s="28"/>
      <c r="D978" s="29" t="s">
        <v>2324</v>
      </c>
      <c r="E978" s="76">
        <v>6220000</v>
      </c>
      <c r="F978" s="77">
        <f t="shared" si="47"/>
        <v>497600</v>
      </c>
      <c r="G978" s="31">
        <f t="shared" si="48"/>
        <v>6717600</v>
      </c>
      <c r="H978" s="74">
        <v>6717600</v>
      </c>
      <c r="I978" s="75">
        <f t="shared" si="46"/>
        <v>0</v>
      </c>
      <c r="J978" s="75"/>
      <c r="K978" s="5">
        <v>46188</v>
      </c>
      <c r="O978" s="9"/>
      <c r="S978" s="3"/>
    </row>
    <row r="979" spans="1:19" ht="15" hidden="1" customHeight="1" x14ac:dyDescent="0.35">
      <c r="A979" s="26" t="s">
        <v>2312</v>
      </c>
      <c r="B979" s="32" t="s">
        <v>368</v>
      </c>
      <c r="C979" s="28"/>
      <c r="D979" s="29" t="s">
        <v>2324</v>
      </c>
      <c r="E979" s="76">
        <v>3795000</v>
      </c>
      <c r="F979" s="77">
        <f t="shared" si="47"/>
        <v>303600</v>
      </c>
      <c r="G979" s="31">
        <f t="shared" si="48"/>
        <v>4098600</v>
      </c>
      <c r="H979" s="74">
        <v>4098600</v>
      </c>
      <c r="I979" s="75">
        <f t="shared" si="46"/>
        <v>0</v>
      </c>
      <c r="J979" s="75"/>
      <c r="K979" s="5">
        <v>46188</v>
      </c>
      <c r="O979" s="9"/>
      <c r="S979" s="3"/>
    </row>
    <row r="980" spans="1:19" ht="15" hidden="1" customHeight="1" x14ac:dyDescent="0.35">
      <c r="A980" s="26" t="s">
        <v>2313</v>
      </c>
      <c r="B980" s="32" t="s">
        <v>369</v>
      </c>
      <c r="C980" s="28"/>
      <c r="D980" s="29" t="s">
        <v>2324</v>
      </c>
      <c r="E980" s="76">
        <v>5805000</v>
      </c>
      <c r="F980" s="77">
        <f t="shared" si="47"/>
        <v>464400</v>
      </c>
      <c r="G980" s="31">
        <f t="shared" si="48"/>
        <v>6269400</v>
      </c>
      <c r="H980" s="74">
        <v>6269400</v>
      </c>
      <c r="I980" s="75">
        <f t="shared" si="46"/>
        <v>0</v>
      </c>
      <c r="J980" s="75"/>
      <c r="K980" s="5">
        <v>46188</v>
      </c>
      <c r="O980" s="9"/>
      <c r="S980" s="3"/>
    </row>
    <row r="981" spans="1:19" ht="15" hidden="1" customHeight="1" x14ac:dyDescent="0.35">
      <c r="A981" s="26" t="s">
        <v>2314</v>
      </c>
      <c r="B981" s="32" t="s">
        <v>370</v>
      </c>
      <c r="C981" s="28">
        <v>3492</v>
      </c>
      <c r="D981" s="29">
        <v>46146</v>
      </c>
      <c r="E981" s="76">
        <v>3800500</v>
      </c>
      <c r="F981" s="77">
        <f t="shared" si="47"/>
        <v>304040</v>
      </c>
      <c r="G981" s="31">
        <f t="shared" si="48"/>
        <v>4104540</v>
      </c>
      <c r="H981" s="74">
        <v>4104540</v>
      </c>
      <c r="I981" s="75">
        <f t="shared" si="46"/>
        <v>0</v>
      </c>
      <c r="J981" s="75"/>
      <c r="K981" s="5">
        <v>46188</v>
      </c>
      <c r="O981" s="9"/>
      <c r="S981" s="3"/>
    </row>
    <row r="982" spans="1:19" ht="15" hidden="1" customHeight="1" x14ac:dyDescent="0.35">
      <c r="A982" s="26" t="s">
        <v>2315</v>
      </c>
      <c r="B982" s="32" t="s">
        <v>371</v>
      </c>
      <c r="C982" s="28"/>
      <c r="D982" s="29" t="s">
        <v>2324</v>
      </c>
      <c r="E982" s="76">
        <v>3390000</v>
      </c>
      <c r="F982" s="77">
        <f t="shared" si="47"/>
        <v>271200</v>
      </c>
      <c r="G982" s="31">
        <f t="shared" si="48"/>
        <v>3661200</v>
      </c>
      <c r="H982" s="74">
        <v>3661200</v>
      </c>
      <c r="I982" s="75">
        <f t="shared" si="46"/>
        <v>0</v>
      </c>
      <c r="J982" s="75"/>
      <c r="K982" s="5">
        <v>46188</v>
      </c>
      <c r="O982" s="9"/>
      <c r="S982" s="3"/>
    </row>
    <row r="983" spans="1:19" ht="15" hidden="1" customHeight="1" x14ac:dyDescent="0.35">
      <c r="A983" s="26" t="s">
        <v>2316</v>
      </c>
      <c r="B983" s="32" t="s">
        <v>372</v>
      </c>
      <c r="C983" s="28"/>
      <c r="D983" s="29" t="s">
        <v>2324</v>
      </c>
      <c r="E983" s="76">
        <v>2010000</v>
      </c>
      <c r="F983" s="77">
        <f t="shared" si="47"/>
        <v>160800</v>
      </c>
      <c r="G983" s="31">
        <f t="shared" si="48"/>
        <v>2170800</v>
      </c>
      <c r="H983" s="74">
        <v>2170800</v>
      </c>
      <c r="I983" s="75">
        <f t="shared" si="46"/>
        <v>0</v>
      </c>
      <c r="J983" s="75"/>
      <c r="K983" s="5">
        <v>46188</v>
      </c>
      <c r="O983" s="9"/>
      <c r="S983" s="3"/>
    </row>
    <row r="984" spans="1:19" ht="15" hidden="1" customHeight="1" x14ac:dyDescent="0.35">
      <c r="A984" s="26" t="s">
        <v>2305</v>
      </c>
      <c r="B984" s="32" t="s">
        <v>373</v>
      </c>
      <c r="C984" s="28"/>
      <c r="D984" s="29" t="s">
        <v>2324</v>
      </c>
      <c r="E984" s="76">
        <v>1645000</v>
      </c>
      <c r="F984" s="77">
        <f t="shared" si="47"/>
        <v>131600</v>
      </c>
      <c r="G984" s="31">
        <f t="shared" si="48"/>
        <v>1776600</v>
      </c>
      <c r="H984" s="74">
        <v>1776600</v>
      </c>
      <c r="I984" s="75">
        <f t="shared" si="46"/>
        <v>0</v>
      </c>
      <c r="J984" s="75"/>
      <c r="K984" s="5">
        <v>46188</v>
      </c>
      <c r="O984" s="9"/>
      <c r="S984" s="3"/>
    </row>
    <row r="985" spans="1:19" ht="15" hidden="1" customHeight="1" x14ac:dyDescent="0.35">
      <c r="A985" s="26" t="s">
        <v>2398</v>
      </c>
      <c r="B985" s="32" t="s">
        <v>2325</v>
      </c>
      <c r="C985" s="28"/>
      <c r="D985" s="29" t="s">
        <v>2391</v>
      </c>
      <c r="E985" s="76">
        <v>2520000</v>
      </c>
      <c r="F985" s="77">
        <f t="shared" si="47"/>
        <v>201600</v>
      </c>
      <c r="G985" s="31">
        <f t="shared" si="48"/>
        <v>2721600</v>
      </c>
      <c r="H985" s="74">
        <v>2721600</v>
      </c>
      <c r="I985" s="75">
        <f t="shared" si="46"/>
        <v>0</v>
      </c>
      <c r="J985" s="75"/>
      <c r="L985" s="5">
        <v>46178</v>
      </c>
      <c r="O985" s="9"/>
      <c r="S985" s="3"/>
    </row>
    <row r="986" spans="1:19" ht="15" hidden="1" customHeight="1" x14ac:dyDescent="0.35">
      <c r="A986" s="26" t="s">
        <v>2399</v>
      </c>
      <c r="B986" s="32" t="s">
        <v>2326</v>
      </c>
      <c r="C986" s="28"/>
      <c r="D986" s="29" t="s">
        <v>2391</v>
      </c>
      <c r="E986" s="76">
        <v>3045000</v>
      </c>
      <c r="F986" s="77">
        <f t="shared" si="47"/>
        <v>243600</v>
      </c>
      <c r="G986" s="31">
        <f t="shared" si="48"/>
        <v>3288600</v>
      </c>
      <c r="H986" s="74">
        <v>3288600</v>
      </c>
      <c r="I986" s="75">
        <f t="shared" si="46"/>
        <v>0</v>
      </c>
      <c r="J986" s="75"/>
      <c r="K986" s="5">
        <v>46188</v>
      </c>
      <c r="O986" s="9"/>
      <c r="S986" s="3"/>
    </row>
    <row r="987" spans="1:19" ht="15" hidden="1" customHeight="1" x14ac:dyDescent="0.35">
      <c r="A987" s="26" t="s">
        <v>2400</v>
      </c>
      <c r="B987" s="27" t="s">
        <v>2327</v>
      </c>
      <c r="C987" s="28"/>
      <c r="D987" s="29" t="s">
        <v>2391</v>
      </c>
      <c r="E987" s="76">
        <v>840000</v>
      </c>
      <c r="F987" s="77">
        <f t="shared" si="47"/>
        <v>67200</v>
      </c>
      <c r="G987" s="31">
        <f t="shared" si="48"/>
        <v>907200</v>
      </c>
      <c r="H987" s="74">
        <v>907200</v>
      </c>
      <c r="I987" s="75">
        <f t="shared" si="46"/>
        <v>0</v>
      </c>
      <c r="J987" s="75"/>
      <c r="L987" s="5">
        <v>46178</v>
      </c>
      <c r="O987" s="9"/>
      <c r="S987" s="3"/>
    </row>
    <row r="988" spans="1:19" ht="15" hidden="1" customHeight="1" x14ac:dyDescent="0.35">
      <c r="A988" s="26" t="s">
        <v>2401</v>
      </c>
      <c r="B988" s="27" t="s">
        <v>2328</v>
      </c>
      <c r="C988" s="28"/>
      <c r="D988" s="29" t="s">
        <v>2391</v>
      </c>
      <c r="E988" s="76">
        <v>3930000</v>
      </c>
      <c r="F988" s="77">
        <f t="shared" si="47"/>
        <v>314400</v>
      </c>
      <c r="G988" s="31">
        <f t="shared" si="48"/>
        <v>4244400</v>
      </c>
      <c r="H988" s="74">
        <v>4244400</v>
      </c>
      <c r="I988" s="75">
        <f t="shared" si="46"/>
        <v>0</v>
      </c>
      <c r="J988" s="75"/>
      <c r="K988" s="5">
        <v>46188</v>
      </c>
      <c r="O988" s="9"/>
      <c r="S988" s="3"/>
    </row>
    <row r="989" spans="1:19" ht="15" hidden="1" customHeight="1" x14ac:dyDescent="0.35">
      <c r="A989" s="26" t="s">
        <v>2402</v>
      </c>
      <c r="B989" s="32" t="s">
        <v>374</v>
      </c>
      <c r="C989" s="28">
        <v>3867</v>
      </c>
      <c r="D989" s="29">
        <v>46156</v>
      </c>
      <c r="E989" s="76">
        <v>8570500</v>
      </c>
      <c r="F989" s="77">
        <f t="shared" si="47"/>
        <v>685640</v>
      </c>
      <c r="G989" s="31">
        <f t="shared" si="48"/>
        <v>9256140</v>
      </c>
      <c r="H989" s="74">
        <v>9256140</v>
      </c>
      <c r="I989" s="75">
        <f t="shared" si="46"/>
        <v>0</v>
      </c>
      <c r="J989" s="75" t="s">
        <v>2858</v>
      </c>
      <c r="K989" s="5">
        <v>46208</v>
      </c>
      <c r="O989" s="9"/>
      <c r="S989" s="3"/>
    </row>
    <row r="990" spans="1:19" ht="15" hidden="1" customHeight="1" x14ac:dyDescent="0.35">
      <c r="A990" s="26" t="s">
        <v>2403</v>
      </c>
      <c r="B990" s="27" t="s">
        <v>2329</v>
      </c>
      <c r="C990" s="28"/>
      <c r="D990" s="29" t="s">
        <v>2392</v>
      </c>
      <c r="E990" s="76">
        <v>4965000</v>
      </c>
      <c r="F990" s="77">
        <f t="shared" si="47"/>
        <v>397200</v>
      </c>
      <c r="G990" s="31">
        <f t="shared" si="48"/>
        <v>5362200</v>
      </c>
      <c r="H990" s="74">
        <v>5362200</v>
      </c>
      <c r="I990" s="75">
        <f t="shared" si="46"/>
        <v>0</v>
      </c>
      <c r="J990" s="75"/>
      <c r="K990" s="5">
        <v>46188</v>
      </c>
      <c r="O990" s="9"/>
      <c r="S990" s="3"/>
    </row>
    <row r="991" spans="1:19" ht="15" hidden="1" customHeight="1" x14ac:dyDescent="0.35">
      <c r="A991" s="26" t="s">
        <v>2404</v>
      </c>
      <c r="B991" s="27" t="s">
        <v>2330</v>
      </c>
      <c r="C991" s="28"/>
      <c r="D991" s="29" t="s">
        <v>2392</v>
      </c>
      <c r="E991" s="76">
        <v>4270000</v>
      </c>
      <c r="F991" s="77">
        <f t="shared" si="47"/>
        <v>341600</v>
      </c>
      <c r="G991" s="31">
        <f t="shared" si="48"/>
        <v>4611600</v>
      </c>
      <c r="H991" s="74">
        <v>4611600</v>
      </c>
      <c r="I991" s="75">
        <f t="shared" si="46"/>
        <v>0</v>
      </c>
      <c r="J991" s="75" t="s">
        <v>2858</v>
      </c>
      <c r="K991" s="5">
        <v>46208</v>
      </c>
      <c r="O991" s="9"/>
      <c r="S991" s="3"/>
    </row>
    <row r="992" spans="1:19" ht="15" hidden="1" customHeight="1" x14ac:dyDescent="0.35">
      <c r="A992" s="26" t="s">
        <v>2405</v>
      </c>
      <c r="B992" s="27" t="s">
        <v>2331</v>
      </c>
      <c r="C992" s="28"/>
      <c r="D992" s="29" t="s">
        <v>2392</v>
      </c>
      <c r="E992" s="76">
        <v>7640000</v>
      </c>
      <c r="F992" s="77">
        <f t="shared" si="47"/>
        <v>611200</v>
      </c>
      <c r="G992" s="31">
        <f t="shared" si="48"/>
        <v>8251200</v>
      </c>
      <c r="H992" s="74">
        <v>8251200</v>
      </c>
      <c r="I992" s="75">
        <f t="shared" si="46"/>
        <v>0</v>
      </c>
      <c r="J992" s="75"/>
      <c r="K992" s="5">
        <v>46188</v>
      </c>
      <c r="O992" s="9"/>
      <c r="S992" s="3"/>
    </row>
    <row r="993" spans="1:19" ht="15" hidden="1" customHeight="1" x14ac:dyDescent="0.35">
      <c r="A993" s="26" t="s">
        <v>2406</v>
      </c>
      <c r="B993" s="32" t="s">
        <v>2332</v>
      </c>
      <c r="C993" s="28"/>
      <c r="D993" s="29" t="s">
        <v>2392</v>
      </c>
      <c r="E993" s="76">
        <v>1645000</v>
      </c>
      <c r="F993" s="77">
        <f t="shared" si="47"/>
        <v>131600</v>
      </c>
      <c r="G993" s="31">
        <f t="shared" si="48"/>
        <v>1776600</v>
      </c>
      <c r="H993" s="74">
        <v>1776600</v>
      </c>
      <c r="I993" s="75">
        <f t="shared" si="46"/>
        <v>0</v>
      </c>
      <c r="J993" s="75" t="s">
        <v>2858</v>
      </c>
      <c r="K993" s="5">
        <v>46208</v>
      </c>
      <c r="O993" s="9"/>
      <c r="S993" s="3"/>
    </row>
    <row r="994" spans="1:19" ht="15" hidden="1" customHeight="1" x14ac:dyDescent="0.35">
      <c r="A994" s="26" t="s">
        <v>2407</v>
      </c>
      <c r="B994" s="32" t="s">
        <v>2333</v>
      </c>
      <c r="C994" s="28"/>
      <c r="D994" s="29" t="s">
        <v>2392</v>
      </c>
      <c r="E994" s="76">
        <v>2260000</v>
      </c>
      <c r="F994" s="77">
        <f t="shared" si="47"/>
        <v>180800</v>
      </c>
      <c r="G994" s="31">
        <f t="shared" si="48"/>
        <v>2440800</v>
      </c>
      <c r="H994" s="74">
        <v>2440800</v>
      </c>
      <c r="I994" s="75">
        <f t="shared" si="46"/>
        <v>0</v>
      </c>
      <c r="J994" s="75"/>
      <c r="K994" s="5">
        <v>46188</v>
      </c>
      <c r="O994" s="9"/>
      <c r="S994" s="3"/>
    </row>
    <row r="995" spans="1:19" ht="15" hidden="1" customHeight="1" x14ac:dyDescent="0.35">
      <c r="A995" s="26" t="s">
        <v>2408</v>
      </c>
      <c r="B995" s="32" t="s">
        <v>375</v>
      </c>
      <c r="C995" s="28"/>
      <c r="D995" s="29" t="s">
        <v>2392</v>
      </c>
      <c r="E995" s="76">
        <v>1005000</v>
      </c>
      <c r="F995" s="77">
        <f t="shared" si="47"/>
        <v>80400</v>
      </c>
      <c r="G995" s="31">
        <f t="shared" si="48"/>
        <v>1085400</v>
      </c>
      <c r="H995" s="74">
        <v>1085400</v>
      </c>
      <c r="I995" s="75">
        <f t="shared" si="46"/>
        <v>0</v>
      </c>
      <c r="J995" s="75"/>
      <c r="K995" s="5">
        <v>46188</v>
      </c>
      <c r="O995" s="9"/>
      <c r="S995" s="3"/>
    </row>
    <row r="996" spans="1:19" ht="15" hidden="1" customHeight="1" x14ac:dyDescent="0.35">
      <c r="A996" s="26" t="s">
        <v>2409</v>
      </c>
      <c r="B996" s="27" t="s">
        <v>2334</v>
      </c>
      <c r="C996" s="28"/>
      <c r="D996" s="29" t="s">
        <v>2392</v>
      </c>
      <c r="E996" s="76">
        <v>2820000</v>
      </c>
      <c r="F996" s="77">
        <f t="shared" si="47"/>
        <v>225600</v>
      </c>
      <c r="G996" s="31">
        <f t="shared" si="48"/>
        <v>3045600</v>
      </c>
      <c r="H996" s="74">
        <v>3045600</v>
      </c>
      <c r="I996" s="75">
        <f t="shared" si="46"/>
        <v>0</v>
      </c>
      <c r="J996" s="75" t="s">
        <v>2858</v>
      </c>
      <c r="K996" s="5">
        <v>46208</v>
      </c>
      <c r="O996" s="9"/>
      <c r="S996" s="3"/>
    </row>
    <row r="997" spans="1:19" ht="15" hidden="1" customHeight="1" x14ac:dyDescent="0.35">
      <c r="A997" s="26" t="s">
        <v>2410</v>
      </c>
      <c r="B997" s="32" t="s">
        <v>2335</v>
      </c>
      <c r="C997" s="28"/>
      <c r="D997" s="29" t="s">
        <v>2392</v>
      </c>
      <c r="E997" s="76">
        <v>1005000</v>
      </c>
      <c r="F997" s="77">
        <f t="shared" si="47"/>
        <v>80400</v>
      </c>
      <c r="G997" s="31">
        <f t="shared" si="48"/>
        <v>1085400</v>
      </c>
      <c r="H997" s="74">
        <v>1085400</v>
      </c>
      <c r="I997" s="75">
        <f t="shared" si="46"/>
        <v>0</v>
      </c>
      <c r="J997" s="75" t="s">
        <v>2858</v>
      </c>
      <c r="K997" s="5">
        <v>46208</v>
      </c>
      <c r="O997" s="9"/>
      <c r="S997" s="3"/>
    </row>
    <row r="998" spans="1:19" ht="15" hidden="1" customHeight="1" x14ac:dyDescent="0.35">
      <c r="A998" s="26" t="s">
        <v>2411</v>
      </c>
      <c r="B998" s="32" t="s">
        <v>2336</v>
      </c>
      <c r="C998" s="28">
        <v>3864</v>
      </c>
      <c r="D998" s="29">
        <v>46156</v>
      </c>
      <c r="E998" s="76">
        <v>2544000</v>
      </c>
      <c r="F998" s="77">
        <f t="shared" si="47"/>
        <v>203520</v>
      </c>
      <c r="G998" s="31">
        <f t="shared" si="48"/>
        <v>2747520</v>
      </c>
      <c r="H998" s="74">
        <v>2747520</v>
      </c>
      <c r="I998" s="75">
        <f t="shared" si="46"/>
        <v>0</v>
      </c>
      <c r="J998" s="75" t="s">
        <v>2858</v>
      </c>
      <c r="K998" s="5">
        <v>46208</v>
      </c>
      <c r="O998" s="9"/>
      <c r="S998" s="3"/>
    </row>
    <row r="999" spans="1:19" ht="15" hidden="1" customHeight="1" x14ac:dyDescent="0.35">
      <c r="A999" s="26" t="s">
        <v>2412</v>
      </c>
      <c r="B999" s="32" t="s">
        <v>2337</v>
      </c>
      <c r="C999" s="28"/>
      <c r="D999" s="29" t="s">
        <v>2392</v>
      </c>
      <c r="E999" s="76">
        <v>1005000</v>
      </c>
      <c r="F999" s="77">
        <f t="shared" si="47"/>
        <v>80400</v>
      </c>
      <c r="G999" s="31">
        <f t="shared" si="48"/>
        <v>1085400</v>
      </c>
      <c r="H999" s="74">
        <v>1085400</v>
      </c>
      <c r="I999" s="75">
        <f t="shared" si="46"/>
        <v>0</v>
      </c>
      <c r="J999" s="75"/>
      <c r="K999" s="5">
        <v>46188</v>
      </c>
      <c r="O999" s="9"/>
      <c r="S999" s="3"/>
    </row>
    <row r="1000" spans="1:19" ht="15" hidden="1" customHeight="1" x14ac:dyDescent="0.35">
      <c r="A1000" s="26" t="s">
        <v>2413</v>
      </c>
      <c r="B1000" s="32" t="s">
        <v>2338</v>
      </c>
      <c r="C1000" s="28"/>
      <c r="D1000" s="29" t="s">
        <v>2392</v>
      </c>
      <c r="E1000" s="76">
        <v>960000</v>
      </c>
      <c r="F1000" s="77">
        <f t="shared" si="47"/>
        <v>76800</v>
      </c>
      <c r="G1000" s="31">
        <f t="shared" si="48"/>
        <v>1036800</v>
      </c>
      <c r="H1000" s="74">
        <v>1036800</v>
      </c>
      <c r="I1000" s="75">
        <f t="shared" si="46"/>
        <v>0</v>
      </c>
      <c r="J1000" s="75" t="s">
        <v>2858</v>
      </c>
      <c r="K1000" s="5">
        <v>46208</v>
      </c>
      <c r="O1000" s="9"/>
      <c r="S1000" s="3"/>
    </row>
    <row r="1001" spans="1:19" ht="15" hidden="1" customHeight="1" x14ac:dyDescent="0.35">
      <c r="A1001" s="26" t="s">
        <v>2414</v>
      </c>
      <c r="B1001" s="27" t="s">
        <v>2339</v>
      </c>
      <c r="C1001" s="28"/>
      <c r="D1001" s="29" t="s">
        <v>2392</v>
      </c>
      <c r="E1001" s="76">
        <v>1005000</v>
      </c>
      <c r="F1001" s="77">
        <f t="shared" si="47"/>
        <v>80400</v>
      </c>
      <c r="G1001" s="31">
        <f t="shared" si="48"/>
        <v>1085400</v>
      </c>
      <c r="H1001" s="74">
        <v>1085400</v>
      </c>
      <c r="I1001" s="75">
        <f t="shared" si="46"/>
        <v>0</v>
      </c>
      <c r="J1001" s="75" t="s">
        <v>2858</v>
      </c>
      <c r="K1001" s="5">
        <v>46208</v>
      </c>
      <c r="O1001" s="9"/>
      <c r="S1001" s="3"/>
    </row>
    <row r="1002" spans="1:19" ht="15" hidden="1" customHeight="1" x14ac:dyDescent="0.35">
      <c r="A1002" s="26" t="s">
        <v>2415</v>
      </c>
      <c r="B1002" s="32" t="s">
        <v>376</v>
      </c>
      <c r="C1002" s="28"/>
      <c r="D1002" s="29" t="s">
        <v>2392</v>
      </c>
      <c r="E1002" s="76">
        <v>1005000</v>
      </c>
      <c r="F1002" s="77">
        <f t="shared" si="47"/>
        <v>80400</v>
      </c>
      <c r="G1002" s="31">
        <f t="shared" si="48"/>
        <v>1085400</v>
      </c>
      <c r="H1002" s="74">
        <v>1085400</v>
      </c>
      <c r="I1002" s="75">
        <f t="shared" si="46"/>
        <v>0</v>
      </c>
      <c r="J1002" s="75" t="s">
        <v>2858</v>
      </c>
      <c r="K1002" s="5">
        <v>46208</v>
      </c>
      <c r="O1002" s="9"/>
      <c r="S1002" s="3"/>
    </row>
    <row r="1003" spans="1:19" ht="15" hidden="1" customHeight="1" x14ac:dyDescent="0.35">
      <c r="A1003" s="26" t="s">
        <v>2416</v>
      </c>
      <c r="B1003" s="32" t="s">
        <v>377</v>
      </c>
      <c r="C1003" s="28"/>
      <c r="D1003" s="29" t="s">
        <v>2392</v>
      </c>
      <c r="E1003" s="76">
        <v>4545000</v>
      </c>
      <c r="F1003" s="77">
        <f t="shared" si="47"/>
        <v>363600</v>
      </c>
      <c r="G1003" s="31">
        <f t="shared" si="48"/>
        <v>4908600</v>
      </c>
      <c r="H1003" s="74">
        <v>4908600</v>
      </c>
      <c r="I1003" s="75">
        <f t="shared" si="46"/>
        <v>0</v>
      </c>
      <c r="J1003" s="75"/>
      <c r="K1003" s="5">
        <v>46188</v>
      </c>
      <c r="O1003" s="9"/>
      <c r="S1003" s="3"/>
    </row>
    <row r="1004" spans="1:19" ht="15" hidden="1" customHeight="1" x14ac:dyDescent="0.35">
      <c r="A1004" s="26" t="s">
        <v>2417</v>
      </c>
      <c r="B1004" s="32" t="s">
        <v>378</v>
      </c>
      <c r="C1004" s="28"/>
      <c r="D1004" s="29" t="s">
        <v>2392</v>
      </c>
      <c r="E1004" s="76">
        <v>750000</v>
      </c>
      <c r="F1004" s="77">
        <f t="shared" si="47"/>
        <v>60000</v>
      </c>
      <c r="G1004" s="31">
        <f t="shared" si="48"/>
        <v>810000</v>
      </c>
      <c r="H1004" s="74">
        <v>810000</v>
      </c>
      <c r="I1004" s="75">
        <f t="shared" ref="I1004:I1067" si="49">G1004-H1004</f>
        <v>0</v>
      </c>
      <c r="J1004" s="75"/>
      <c r="K1004" s="5">
        <v>46188</v>
      </c>
      <c r="O1004" s="9"/>
      <c r="S1004" s="3"/>
    </row>
    <row r="1005" spans="1:19" ht="15" hidden="1" customHeight="1" x14ac:dyDescent="0.35">
      <c r="A1005" s="26" t="s">
        <v>2418</v>
      </c>
      <c r="B1005" s="32" t="s">
        <v>2340</v>
      </c>
      <c r="C1005" s="28"/>
      <c r="D1005" s="29" t="s">
        <v>2392</v>
      </c>
      <c r="E1005" s="76">
        <v>1132800</v>
      </c>
      <c r="F1005" s="77">
        <f t="shared" ref="F1005:F1068" si="50">+E1005*0.08</f>
        <v>90624</v>
      </c>
      <c r="G1005" s="31">
        <f t="shared" si="48"/>
        <v>1223424</v>
      </c>
      <c r="H1005" s="74">
        <v>1223424</v>
      </c>
      <c r="I1005" s="75">
        <f t="shared" si="49"/>
        <v>0</v>
      </c>
      <c r="J1005" s="75"/>
      <c r="K1005" s="3"/>
      <c r="L1005" s="5">
        <v>46178</v>
      </c>
      <c r="O1005" s="9"/>
      <c r="S1005" s="3"/>
    </row>
    <row r="1006" spans="1:19" ht="15" hidden="1" customHeight="1" x14ac:dyDescent="0.35">
      <c r="A1006" s="26" t="s">
        <v>2419</v>
      </c>
      <c r="B1006" s="32" t="s">
        <v>2341</v>
      </c>
      <c r="C1006" s="28"/>
      <c r="D1006" s="29" t="s">
        <v>2393</v>
      </c>
      <c r="E1006" s="76">
        <v>7320000</v>
      </c>
      <c r="F1006" s="77">
        <f t="shared" si="50"/>
        <v>585600</v>
      </c>
      <c r="G1006" s="31">
        <f t="shared" si="48"/>
        <v>7905600</v>
      </c>
      <c r="H1006" s="74">
        <v>7905600</v>
      </c>
      <c r="I1006" s="75">
        <f t="shared" si="49"/>
        <v>0</v>
      </c>
      <c r="J1006" s="75"/>
      <c r="K1006" s="5">
        <v>46188</v>
      </c>
      <c r="O1006" s="9"/>
      <c r="S1006" s="3"/>
    </row>
    <row r="1007" spans="1:19" ht="15" hidden="1" customHeight="1" x14ac:dyDescent="0.35">
      <c r="A1007" s="26" t="s">
        <v>2420</v>
      </c>
      <c r="B1007" s="32" t="s">
        <v>2342</v>
      </c>
      <c r="C1007" s="28"/>
      <c r="D1007" s="29" t="s">
        <v>2393</v>
      </c>
      <c r="E1007" s="76">
        <v>810000</v>
      </c>
      <c r="F1007" s="77">
        <f t="shared" si="50"/>
        <v>64800</v>
      </c>
      <c r="G1007" s="31">
        <f t="shared" si="48"/>
        <v>874800</v>
      </c>
      <c r="H1007" s="74">
        <v>874800</v>
      </c>
      <c r="I1007" s="75">
        <f t="shared" si="49"/>
        <v>0</v>
      </c>
      <c r="J1007" s="75"/>
      <c r="K1007" s="5">
        <v>46188</v>
      </c>
      <c r="O1007" s="9"/>
      <c r="S1007" s="3"/>
    </row>
    <row r="1008" spans="1:19" ht="15" hidden="1" customHeight="1" x14ac:dyDescent="0.35">
      <c r="A1008" s="26" t="s">
        <v>2421</v>
      </c>
      <c r="B1008" s="32" t="s">
        <v>2343</v>
      </c>
      <c r="C1008" s="28"/>
      <c r="D1008" s="29" t="s">
        <v>2393</v>
      </c>
      <c r="E1008" s="76">
        <v>4890000</v>
      </c>
      <c r="F1008" s="77">
        <f t="shared" si="50"/>
        <v>391200</v>
      </c>
      <c r="G1008" s="31">
        <f t="shared" si="48"/>
        <v>5281200</v>
      </c>
      <c r="H1008" s="74">
        <v>5281200</v>
      </c>
      <c r="I1008" s="75">
        <f t="shared" si="49"/>
        <v>0</v>
      </c>
      <c r="J1008" s="75"/>
      <c r="K1008" s="5">
        <v>46188</v>
      </c>
      <c r="O1008" s="9"/>
      <c r="S1008" s="3"/>
    </row>
    <row r="1009" spans="1:19" ht="15" hidden="1" customHeight="1" x14ac:dyDescent="0.35">
      <c r="A1009" s="26" t="s">
        <v>2422</v>
      </c>
      <c r="B1009" s="27" t="s">
        <v>2344</v>
      </c>
      <c r="C1009" s="28"/>
      <c r="D1009" s="29" t="s">
        <v>2394</v>
      </c>
      <c r="E1009" s="76">
        <v>1132800</v>
      </c>
      <c r="F1009" s="77">
        <f t="shared" si="50"/>
        <v>90624</v>
      </c>
      <c r="G1009" s="31">
        <f t="shared" si="48"/>
        <v>1223424</v>
      </c>
      <c r="H1009" s="74">
        <v>1223424</v>
      </c>
      <c r="I1009" s="75">
        <f t="shared" si="49"/>
        <v>0</v>
      </c>
      <c r="J1009" s="75"/>
      <c r="L1009" s="5">
        <v>46208</v>
      </c>
      <c r="O1009" s="9"/>
      <c r="S1009" s="3"/>
    </row>
    <row r="1010" spans="1:19" ht="15" hidden="1" customHeight="1" x14ac:dyDescent="0.35">
      <c r="A1010" s="26" t="s">
        <v>2423</v>
      </c>
      <c r="B1010" s="27" t="s">
        <v>2345</v>
      </c>
      <c r="C1010" s="28"/>
      <c r="D1010" s="29" t="s">
        <v>2394</v>
      </c>
      <c r="E1010" s="76">
        <v>840000</v>
      </c>
      <c r="F1010" s="77">
        <f t="shared" si="50"/>
        <v>67200</v>
      </c>
      <c r="G1010" s="31">
        <f t="shared" si="48"/>
        <v>907200</v>
      </c>
      <c r="H1010" s="74">
        <v>907200</v>
      </c>
      <c r="I1010" s="75">
        <f t="shared" si="49"/>
        <v>0</v>
      </c>
      <c r="J1010" s="75"/>
      <c r="L1010" s="5">
        <v>46188</v>
      </c>
      <c r="O1010" s="9"/>
      <c r="S1010" s="3"/>
    </row>
    <row r="1011" spans="1:19" ht="15" hidden="1" customHeight="1" x14ac:dyDescent="0.35">
      <c r="A1011" s="26" t="s">
        <v>2424</v>
      </c>
      <c r="B1011" s="32" t="s">
        <v>2346</v>
      </c>
      <c r="C1011" s="28">
        <v>4451</v>
      </c>
      <c r="D1011" s="29">
        <v>46175</v>
      </c>
      <c r="E1011" s="76">
        <v>3309000</v>
      </c>
      <c r="F1011" s="77">
        <f t="shared" si="50"/>
        <v>264720</v>
      </c>
      <c r="G1011" s="31">
        <f t="shared" si="48"/>
        <v>3573720</v>
      </c>
      <c r="H1011" s="74">
        <v>3573720</v>
      </c>
      <c r="I1011" s="75">
        <f t="shared" si="49"/>
        <v>0</v>
      </c>
      <c r="J1011" s="75"/>
      <c r="K1011" s="5">
        <v>46218</v>
      </c>
      <c r="O1011" s="9"/>
      <c r="S1011" s="3"/>
    </row>
    <row r="1012" spans="1:19" ht="15" hidden="1" customHeight="1" x14ac:dyDescent="0.35">
      <c r="A1012" s="26" t="s">
        <v>2425</v>
      </c>
      <c r="B1012" s="32" t="s">
        <v>2347</v>
      </c>
      <c r="C1012" s="28"/>
      <c r="D1012" s="29" t="s">
        <v>2394</v>
      </c>
      <c r="E1012" s="76">
        <v>11645000</v>
      </c>
      <c r="F1012" s="77">
        <f t="shared" si="50"/>
        <v>931600</v>
      </c>
      <c r="G1012" s="31">
        <f t="shared" si="48"/>
        <v>12576600</v>
      </c>
      <c r="H1012" s="74">
        <v>12576600</v>
      </c>
      <c r="I1012" s="75">
        <f t="shared" si="49"/>
        <v>0</v>
      </c>
      <c r="J1012" s="75" t="s">
        <v>2858</v>
      </c>
      <c r="K1012" s="5">
        <v>46208</v>
      </c>
      <c r="O1012" s="9"/>
      <c r="S1012" s="3"/>
    </row>
    <row r="1013" spans="1:19" ht="15" hidden="1" customHeight="1" x14ac:dyDescent="0.35">
      <c r="A1013" s="26" t="s">
        <v>2426</v>
      </c>
      <c r="B1013" s="32" t="s">
        <v>2348</v>
      </c>
      <c r="C1013" s="28"/>
      <c r="D1013" s="29" t="s">
        <v>2394</v>
      </c>
      <c r="E1013" s="76">
        <v>2490000</v>
      </c>
      <c r="F1013" s="77">
        <f t="shared" si="50"/>
        <v>199200</v>
      </c>
      <c r="G1013" s="31">
        <f t="shared" si="48"/>
        <v>2689200</v>
      </c>
      <c r="H1013" s="74">
        <v>2689200</v>
      </c>
      <c r="I1013" s="75">
        <f t="shared" si="49"/>
        <v>0</v>
      </c>
      <c r="J1013" s="75" t="s">
        <v>2858</v>
      </c>
      <c r="K1013" s="5">
        <v>46208</v>
      </c>
      <c r="O1013" s="9"/>
      <c r="S1013" s="3"/>
    </row>
    <row r="1014" spans="1:19" ht="15" hidden="1" customHeight="1" x14ac:dyDescent="0.35">
      <c r="A1014" s="26" t="s">
        <v>2427</v>
      </c>
      <c r="B1014" s="32" t="s">
        <v>2349</v>
      </c>
      <c r="C1014" s="28"/>
      <c r="D1014" s="29" t="s">
        <v>2395</v>
      </c>
      <c r="E1014" s="76">
        <v>2715000</v>
      </c>
      <c r="F1014" s="77">
        <f t="shared" si="50"/>
        <v>217200</v>
      </c>
      <c r="G1014" s="31">
        <f t="shared" si="48"/>
        <v>2932200</v>
      </c>
      <c r="H1014" s="74">
        <v>2932200</v>
      </c>
      <c r="I1014" s="75">
        <f t="shared" si="49"/>
        <v>0</v>
      </c>
      <c r="J1014" s="75" t="s">
        <v>2858</v>
      </c>
      <c r="K1014" s="5">
        <v>46208</v>
      </c>
      <c r="O1014" s="9"/>
      <c r="S1014" s="3"/>
    </row>
    <row r="1015" spans="1:19" ht="15" hidden="1" customHeight="1" x14ac:dyDescent="0.35">
      <c r="A1015" s="26" t="s">
        <v>2428</v>
      </c>
      <c r="B1015" s="27" t="s">
        <v>2350</v>
      </c>
      <c r="C1015" s="28"/>
      <c r="D1015" s="29" t="s">
        <v>2396</v>
      </c>
      <c r="E1015" s="76">
        <v>1005000</v>
      </c>
      <c r="F1015" s="77">
        <f t="shared" si="50"/>
        <v>80400</v>
      </c>
      <c r="G1015" s="31">
        <f t="shared" ref="G1015:G1078" si="51">+F1015+E1015</f>
        <v>1085400</v>
      </c>
      <c r="H1015" s="74">
        <v>1085400</v>
      </c>
      <c r="I1015" s="75">
        <f t="shared" si="49"/>
        <v>0</v>
      </c>
      <c r="J1015" s="75" t="s">
        <v>2858</v>
      </c>
      <c r="K1015" s="5">
        <v>46208</v>
      </c>
      <c r="O1015" s="9"/>
      <c r="S1015" s="3"/>
    </row>
    <row r="1016" spans="1:19" ht="15" hidden="1" customHeight="1" x14ac:dyDescent="0.35">
      <c r="A1016" s="26" t="s">
        <v>2429</v>
      </c>
      <c r="B1016" s="27" t="s">
        <v>2351</v>
      </c>
      <c r="C1016" s="28"/>
      <c r="D1016" s="29" t="s">
        <v>2396</v>
      </c>
      <c r="E1016" s="76">
        <v>3080000</v>
      </c>
      <c r="F1016" s="77">
        <f t="shared" si="50"/>
        <v>246400</v>
      </c>
      <c r="G1016" s="31">
        <f t="shared" si="51"/>
        <v>3326400</v>
      </c>
      <c r="H1016" s="31">
        <v>3326400</v>
      </c>
      <c r="I1016" s="75">
        <f t="shared" si="49"/>
        <v>0</v>
      </c>
      <c r="J1016" s="75" t="s">
        <v>2858</v>
      </c>
      <c r="K1016" s="5">
        <v>46208</v>
      </c>
      <c r="O1016" s="9"/>
      <c r="S1016" s="3"/>
    </row>
    <row r="1017" spans="1:19" ht="15" hidden="1" customHeight="1" x14ac:dyDescent="0.35">
      <c r="A1017" s="26" t="s">
        <v>2430</v>
      </c>
      <c r="B1017" s="27" t="s">
        <v>2352</v>
      </c>
      <c r="C1017" s="28"/>
      <c r="D1017" s="29" t="s">
        <v>2396</v>
      </c>
      <c r="E1017" s="76">
        <v>2700000</v>
      </c>
      <c r="F1017" s="77">
        <f t="shared" si="50"/>
        <v>216000</v>
      </c>
      <c r="G1017" s="31">
        <f t="shared" si="51"/>
        <v>2916000</v>
      </c>
      <c r="H1017" s="74">
        <v>2916000</v>
      </c>
      <c r="I1017" s="75">
        <f t="shared" si="49"/>
        <v>0</v>
      </c>
      <c r="J1017" s="75" t="s">
        <v>2858</v>
      </c>
      <c r="K1017" s="5">
        <v>46208</v>
      </c>
      <c r="O1017" s="9"/>
      <c r="S1017" s="3"/>
    </row>
    <row r="1018" spans="1:19" ht="15" hidden="1" customHeight="1" x14ac:dyDescent="0.35">
      <c r="A1018" s="26" t="s">
        <v>2431</v>
      </c>
      <c r="B1018" s="32" t="s">
        <v>2353</v>
      </c>
      <c r="C1018" s="28">
        <v>3866</v>
      </c>
      <c r="D1018" s="29">
        <v>46156</v>
      </c>
      <c r="E1018" s="76">
        <v>9765500</v>
      </c>
      <c r="F1018" s="77">
        <f t="shared" si="50"/>
        <v>781240</v>
      </c>
      <c r="G1018" s="31">
        <f t="shared" si="51"/>
        <v>10546740</v>
      </c>
      <c r="H1018" s="74">
        <v>10546740</v>
      </c>
      <c r="I1018" s="75">
        <f t="shared" si="49"/>
        <v>0</v>
      </c>
      <c r="J1018" s="75" t="s">
        <v>2858</v>
      </c>
      <c r="K1018" s="5">
        <v>46208</v>
      </c>
      <c r="O1018" s="9"/>
      <c r="S1018" s="3"/>
    </row>
    <row r="1019" spans="1:19" ht="15" hidden="1" customHeight="1" x14ac:dyDescent="0.35">
      <c r="A1019" s="26" t="s">
        <v>2432</v>
      </c>
      <c r="B1019" s="32" t="s">
        <v>2354</v>
      </c>
      <c r="C1019" s="28"/>
      <c r="D1019" s="29" t="s">
        <v>2396</v>
      </c>
      <c r="E1019" s="76">
        <v>20625000</v>
      </c>
      <c r="F1019" s="77">
        <f t="shared" si="50"/>
        <v>1650000</v>
      </c>
      <c r="G1019" s="31">
        <f t="shared" si="51"/>
        <v>22275000</v>
      </c>
      <c r="H1019" s="74">
        <v>22275000</v>
      </c>
      <c r="I1019" s="75">
        <f t="shared" si="49"/>
        <v>0</v>
      </c>
      <c r="J1019" s="75" t="s">
        <v>2858</v>
      </c>
      <c r="K1019" s="5">
        <v>46208</v>
      </c>
      <c r="O1019" s="9"/>
      <c r="S1019" s="3"/>
    </row>
    <row r="1020" spans="1:19" ht="15" hidden="1" customHeight="1" x14ac:dyDescent="0.35">
      <c r="A1020" s="26" t="s">
        <v>2433</v>
      </c>
      <c r="B1020" s="27" t="s">
        <v>2355</v>
      </c>
      <c r="C1020" s="28">
        <v>3986</v>
      </c>
      <c r="D1020" s="29">
        <v>46161</v>
      </c>
      <c r="E1020" s="76">
        <v>15147500</v>
      </c>
      <c r="F1020" s="77">
        <f t="shared" si="50"/>
        <v>1211800</v>
      </c>
      <c r="G1020" s="31">
        <f t="shared" si="51"/>
        <v>16359300</v>
      </c>
      <c r="H1020" s="74">
        <v>16359300</v>
      </c>
      <c r="I1020" s="75">
        <f t="shared" si="49"/>
        <v>0</v>
      </c>
      <c r="J1020" s="75" t="s">
        <v>2858</v>
      </c>
      <c r="K1020" s="5">
        <v>46208</v>
      </c>
      <c r="O1020" s="9"/>
      <c r="S1020" s="3"/>
    </row>
    <row r="1021" spans="1:19" ht="15" hidden="1" customHeight="1" x14ac:dyDescent="0.35">
      <c r="A1021" s="26" t="s">
        <v>2434</v>
      </c>
      <c r="B1021" s="27" t="s">
        <v>2356</v>
      </c>
      <c r="C1021" s="28"/>
      <c r="D1021" s="29" t="s">
        <v>2396</v>
      </c>
      <c r="E1021" s="76">
        <v>1980000</v>
      </c>
      <c r="F1021" s="77">
        <f t="shared" si="50"/>
        <v>158400</v>
      </c>
      <c r="G1021" s="31">
        <f t="shared" si="51"/>
        <v>2138400</v>
      </c>
      <c r="H1021" s="74">
        <v>2138400</v>
      </c>
      <c r="I1021" s="75">
        <f t="shared" si="49"/>
        <v>0</v>
      </c>
      <c r="J1021" s="75" t="s">
        <v>2858</v>
      </c>
      <c r="K1021" s="5">
        <v>46208</v>
      </c>
      <c r="O1021" s="9"/>
      <c r="S1021" s="3"/>
    </row>
    <row r="1022" spans="1:19" ht="15" hidden="1" customHeight="1" x14ac:dyDescent="0.35">
      <c r="A1022" s="26" t="s">
        <v>2435</v>
      </c>
      <c r="B1022" s="27" t="s">
        <v>2357</v>
      </c>
      <c r="C1022" s="28"/>
      <c r="D1022" s="29" t="s">
        <v>2396</v>
      </c>
      <c r="E1022" s="76">
        <v>1005000</v>
      </c>
      <c r="F1022" s="77">
        <f t="shared" si="50"/>
        <v>80400</v>
      </c>
      <c r="G1022" s="31">
        <f t="shared" si="51"/>
        <v>1085400</v>
      </c>
      <c r="H1022" s="74">
        <v>1085400</v>
      </c>
      <c r="I1022" s="75">
        <f t="shared" si="49"/>
        <v>0</v>
      </c>
      <c r="J1022" s="75" t="s">
        <v>2858</v>
      </c>
      <c r="K1022" s="5">
        <v>46208</v>
      </c>
      <c r="O1022" s="9"/>
      <c r="S1022" s="3"/>
    </row>
    <row r="1023" spans="1:19" ht="15" hidden="1" customHeight="1" x14ac:dyDescent="0.35">
      <c r="A1023" s="26" t="s">
        <v>2436</v>
      </c>
      <c r="B1023" s="32" t="s">
        <v>2358</v>
      </c>
      <c r="C1023" s="28"/>
      <c r="D1023" s="29" t="s">
        <v>2396</v>
      </c>
      <c r="E1023" s="76">
        <v>2760000</v>
      </c>
      <c r="F1023" s="77">
        <f t="shared" si="50"/>
        <v>220800</v>
      </c>
      <c r="G1023" s="31">
        <f t="shared" si="51"/>
        <v>2980800</v>
      </c>
      <c r="H1023" s="74">
        <v>2980800</v>
      </c>
      <c r="I1023" s="75">
        <f t="shared" si="49"/>
        <v>0</v>
      </c>
      <c r="J1023" s="75" t="s">
        <v>2858</v>
      </c>
      <c r="K1023" s="5">
        <v>46208</v>
      </c>
      <c r="O1023" s="9"/>
      <c r="S1023" s="3"/>
    </row>
    <row r="1024" spans="1:19" ht="15" hidden="1" customHeight="1" x14ac:dyDescent="0.35">
      <c r="A1024" s="26" t="s">
        <v>2437</v>
      </c>
      <c r="B1024" s="32" t="s">
        <v>2359</v>
      </c>
      <c r="C1024" s="28"/>
      <c r="D1024" s="29" t="s">
        <v>2396</v>
      </c>
      <c r="E1024" s="76">
        <v>1940000</v>
      </c>
      <c r="F1024" s="77">
        <f t="shared" si="50"/>
        <v>155200</v>
      </c>
      <c r="G1024" s="31">
        <f t="shared" si="51"/>
        <v>2095200</v>
      </c>
      <c r="H1024" s="74">
        <v>2095200</v>
      </c>
      <c r="I1024" s="75">
        <f t="shared" si="49"/>
        <v>0</v>
      </c>
      <c r="J1024" s="75" t="s">
        <v>2858</v>
      </c>
      <c r="K1024" s="5">
        <v>46208</v>
      </c>
      <c r="O1024" s="9"/>
      <c r="S1024" s="3"/>
    </row>
    <row r="1025" spans="1:19" ht="15" hidden="1" customHeight="1" x14ac:dyDescent="0.35">
      <c r="A1025" s="26" t="s">
        <v>2438</v>
      </c>
      <c r="B1025" s="27" t="s">
        <v>2360</v>
      </c>
      <c r="C1025" s="28">
        <v>3783</v>
      </c>
      <c r="D1025" s="29">
        <v>46155</v>
      </c>
      <c r="E1025" s="76">
        <v>1920000</v>
      </c>
      <c r="F1025" s="77">
        <f t="shared" si="50"/>
        <v>153600</v>
      </c>
      <c r="G1025" s="31">
        <f t="shared" si="51"/>
        <v>2073600</v>
      </c>
      <c r="H1025" s="74">
        <v>2073600</v>
      </c>
      <c r="I1025" s="75">
        <f t="shared" si="49"/>
        <v>0</v>
      </c>
      <c r="J1025" s="75" t="s">
        <v>2858</v>
      </c>
      <c r="K1025" s="5">
        <v>46208</v>
      </c>
      <c r="O1025" s="9"/>
      <c r="S1025" s="3"/>
    </row>
    <row r="1026" spans="1:19" ht="15" hidden="1" customHeight="1" x14ac:dyDescent="0.35">
      <c r="A1026" s="26" t="s">
        <v>2439</v>
      </c>
      <c r="B1026" s="27" t="s">
        <v>2361</v>
      </c>
      <c r="C1026" s="28"/>
      <c r="D1026" s="29" t="s">
        <v>2396</v>
      </c>
      <c r="E1026" s="76">
        <v>2040000</v>
      </c>
      <c r="F1026" s="77">
        <f t="shared" si="50"/>
        <v>163200</v>
      </c>
      <c r="G1026" s="31">
        <f t="shared" si="51"/>
        <v>2203200</v>
      </c>
      <c r="H1026" s="74">
        <v>2203200</v>
      </c>
      <c r="I1026" s="75">
        <f t="shared" si="49"/>
        <v>0</v>
      </c>
      <c r="J1026" s="75" t="s">
        <v>2858</v>
      </c>
      <c r="K1026" s="5">
        <v>46208</v>
      </c>
      <c r="O1026" s="9"/>
      <c r="S1026" s="3"/>
    </row>
    <row r="1027" spans="1:19" ht="15" hidden="1" customHeight="1" x14ac:dyDescent="0.35">
      <c r="A1027" s="26" t="s">
        <v>2440</v>
      </c>
      <c r="B1027" s="32" t="s">
        <v>2362</v>
      </c>
      <c r="C1027" s="28"/>
      <c r="D1027" s="29" t="s">
        <v>2396</v>
      </c>
      <c r="E1027" s="76">
        <v>1005000</v>
      </c>
      <c r="F1027" s="77">
        <f t="shared" si="50"/>
        <v>80400</v>
      </c>
      <c r="G1027" s="31">
        <f t="shared" si="51"/>
        <v>1085400</v>
      </c>
      <c r="H1027" s="74">
        <v>1085400</v>
      </c>
      <c r="I1027" s="75">
        <f t="shared" si="49"/>
        <v>0</v>
      </c>
      <c r="J1027" s="75" t="s">
        <v>2858</v>
      </c>
      <c r="K1027" s="5">
        <v>46208</v>
      </c>
      <c r="O1027" s="9"/>
      <c r="S1027" s="3"/>
    </row>
    <row r="1028" spans="1:19" ht="15" hidden="1" customHeight="1" x14ac:dyDescent="0.35">
      <c r="A1028" s="26" t="s">
        <v>2441</v>
      </c>
      <c r="B1028" s="32" t="s">
        <v>2363</v>
      </c>
      <c r="C1028" s="28">
        <v>3865</v>
      </c>
      <c r="D1028" s="29">
        <v>46156</v>
      </c>
      <c r="E1028" s="76">
        <v>2884500</v>
      </c>
      <c r="F1028" s="77">
        <f t="shared" si="50"/>
        <v>230760</v>
      </c>
      <c r="G1028" s="31">
        <f t="shared" si="51"/>
        <v>3115260</v>
      </c>
      <c r="H1028" s="74">
        <v>3115260</v>
      </c>
      <c r="I1028" s="75">
        <f t="shared" si="49"/>
        <v>0</v>
      </c>
      <c r="J1028" s="75" t="s">
        <v>2858</v>
      </c>
      <c r="K1028" s="5">
        <v>46208</v>
      </c>
      <c r="O1028" s="9"/>
      <c r="S1028" s="3"/>
    </row>
    <row r="1029" spans="1:19" ht="15" hidden="1" customHeight="1" x14ac:dyDescent="0.35">
      <c r="A1029" s="26" t="s">
        <v>2442</v>
      </c>
      <c r="B1029" s="27" t="s">
        <v>2364</v>
      </c>
      <c r="C1029" s="28">
        <v>3985</v>
      </c>
      <c r="D1029" s="29">
        <v>46161</v>
      </c>
      <c r="E1029" s="76">
        <v>3705000</v>
      </c>
      <c r="F1029" s="77">
        <f t="shared" si="50"/>
        <v>296400</v>
      </c>
      <c r="G1029" s="31">
        <f t="shared" si="51"/>
        <v>4001400</v>
      </c>
      <c r="H1029" s="74">
        <v>4001400</v>
      </c>
      <c r="I1029" s="75">
        <f t="shared" si="49"/>
        <v>0</v>
      </c>
      <c r="J1029" s="75" t="s">
        <v>2858</v>
      </c>
      <c r="K1029" s="5">
        <v>46208</v>
      </c>
      <c r="O1029" s="9"/>
      <c r="S1029" s="3"/>
    </row>
    <row r="1030" spans="1:19" ht="15" hidden="1" customHeight="1" x14ac:dyDescent="0.35">
      <c r="A1030" s="26" t="s">
        <v>2443</v>
      </c>
      <c r="B1030" s="32" t="s">
        <v>2365</v>
      </c>
      <c r="C1030" s="28"/>
      <c r="D1030" s="29" t="s">
        <v>2396</v>
      </c>
      <c r="E1030" s="76">
        <v>6045000</v>
      </c>
      <c r="F1030" s="77">
        <f t="shared" si="50"/>
        <v>483600</v>
      </c>
      <c r="G1030" s="31">
        <f t="shared" si="51"/>
        <v>6528600</v>
      </c>
      <c r="H1030" s="74">
        <v>6528600</v>
      </c>
      <c r="I1030" s="75">
        <f t="shared" si="49"/>
        <v>0</v>
      </c>
      <c r="J1030" s="75" t="s">
        <v>2858</v>
      </c>
      <c r="K1030" s="5">
        <v>46208</v>
      </c>
      <c r="O1030" s="9"/>
      <c r="S1030" s="3"/>
    </row>
    <row r="1031" spans="1:19" ht="15" hidden="1" customHeight="1" x14ac:dyDescent="0.35">
      <c r="A1031" s="26" t="s">
        <v>2444</v>
      </c>
      <c r="B1031" s="27" t="s">
        <v>2366</v>
      </c>
      <c r="C1031" s="28"/>
      <c r="D1031" s="29" t="s">
        <v>2396</v>
      </c>
      <c r="E1031" s="76">
        <v>3945000</v>
      </c>
      <c r="F1031" s="77">
        <f t="shared" si="50"/>
        <v>315600</v>
      </c>
      <c r="G1031" s="31">
        <f t="shared" si="51"/>
        <v>4260600</v>
      </c>
      <c r="H1031" s="74">
        <v>4260600</v>
      </c>
      <c r="I1031" s="75">
        <f t="shared" si="49"/>
        <v>0</v>
      </c>
      <c r="J1031" s="75" t="s">
        <v>2858</v>
      </c>
      <c r="K1031" s="5">
        <v>46208</v>
      </c>
      <c r="O1031" s="9"/>
      <c r="S1031" s="3"/>
    </row>
    <row r="1032" spans="1:19" ht="15" hidden="1" customHeight="1" x14ac:dyDescent="0.35">
      <c r="A1032" s="26" t="s">
        <v>2445</v>
      </c>
      <c r="B1032" s="32" t="s">
        <v>2367</v>
      </c>
      <c r="C1032" s="28"/>
      <c r="D1032" s="29" t="s">
        <v>2396</v>
      </c>
      <c r="E1032" s="76">
        <v>990000</v>
      </c>
      <c r="F1032" s="77">
        <f t="shared" si="50"/>
        <v>79200</v>
      </c>
      <c r="G1032" s="31">
        <f t="shared" si="51"/>
        <v>1069200</v>
      </c>
      <c r="H1032" s="74">
        <v>1069200</v>
      </c>
      <c r="I1032" s="75">
        <f t="shared" si="49"/>
        <v>0</v>
      </c>
      <c r="J1032" s="75" t="s">
        <v>2858</v>
      </c>
      <c r="K1032" s="5">
        <v>46208</v>
      </c>
      <c r="O1032" s="9"/>
      <c r="S1032" s="3"/>
    </row>
    <row r="1033" spans="1:19" ht="15" hidden="1" customHeight="1" x14ac:dyDescent="0.35">
      <c r="A1033" s="26" t="s">
        <v>2446</v>
      </c>
      <c r="B1033" s="27" t="s">
        <v>2368</v>
      </c>
      <c r="C1033" s="28"/>
      <c r="D1033" s="29" t="s">
        <v>2396</v>
      </c>
      <c r="E1033" s="76">
        <v>900000</v>
      </c>
      <c r="F1033" s="77">
        <f t="shared" si="50"/>
        <v>72000</v>
      </c>
      <c r="G1033" s="31">
        <f t="shared" si="51"/>
        <v>972000</v>
      </c>
      <c r="H1033" s="74">
        <v>972000</v>
      </c>
      <c r="I1033" s="75">
        <f t="shared" si="49"/>
        <v>0</v>
      </c>
      <c r="J1033" s="75" t="s">
        <v>2858</v>
      </c>
      <c r="K1033" s="5">
        <v>46208</v>
      </c>
      <c r="O1033" s="9"/>
      <c r="S1033" s="3"/>
    </row>
    <row r="1034" spans="1:19" ht="15" hidden="1" customHeight="1" x14ac:dyDescent="0.35">
      <c r="A1034" s="26" t="s">
        <v>2447</v>
      </c>
      <c r="B1034" s="32" t="s">
        <v>2369</v>
      </c>
      <c r="C1034" s="28"/>
      <c r="D1034" s="29" t="s">
        <v>2396</v>
      </c>
      <c r="E1034" s="76">
        <v>5215000</v>
      </c>
      <c r="F1034" s="77">
        <f t="shared" si="50"/>
        <v>417200</v>
      </c>
      <c r="G1034" s="31">
        <f t="shared" si="51"/>
        <v>5632200</v>
      </c>
      <c r="H1034" s="74">
        <v>5632200</v>
      </c>
      <c r="I1034" s="75">
        <f t="shared" si="49"/>
        <v>0</v>
      </c>
      <c r="J1034" s="75" t="s">
        <v>2858</v>
      </c>
      <c r="K1034" s="5">
        <v>46208</v>
      </c>
      <c r="O1034" s="9"/>
      <c r="S1034" s="3"/>
    </row>
    <row r="1035" spans="1:19" ht="15" hidden="1" customHeight="1" x14ac:dyDescent="0.35">
      <c r="A1035" s="26" t="s">
        <v>2448</v>
      </c>
      <c r="B1035" s="32" t="s">
        <v>2370</v>
      </c>
      <c r="C1035" s="28"/>
      <c r="D1035" s="29" t="s">
        <v>2396</v>
      </c>
      <c r="E1035" s="76">
        <v>2625000</v>
      </c>
      <c r="F1035" s="77">
        <f t="shared" si="50"/>
        <v>210000</v>
      </c>
      <c r="G1035" s="31">
        <f t="shared" si="51"/>
        <v>2835000</v>
      </c>
      <c r="H1035" s="74">
        <v>2835000</v>
      </c>
      <c r="I1035" s="75">
        <f t="shared" si="49"/>
        <v>0</v>
      </c>
      <c r="J1035" s="75" t="s">
        <v>2858</v>
      </c>
      <c r="K1035" s="5">
        <v>46208</v>
      </c>
      <c r="O1035" s="9"/>
      <c r="S1035" s="3"/>
    </row>
    <row r="1036" spans="1:19" ht="15" hidden="1" customHeight="1" x14ac:dyDescent="0.35">
      <c r="A1036" s="26" t="s">
        <v>2449</v>
      </c>
      <c r="B1036" s="27" t="s">
        <v>2371</v>
      </c>
      <c r="C1036" s="28"/>
      <c r="D1036" s="29" t="s">
        <v>2396</v>
      </c>
      <c r="E1036" s="76">
        <v>1905000</v>
      </c>
      <c r="F1036" s="77">
        <f t="shared" si="50"/>
        <v>152400</v>
      </c>
      <c r="G1036" s="31">
        <f t="shared" si="51"/>
        <v>2057400</v>
      </c>
      <c r="H1036" s="74">
        <v>2057400</v>
      </c>
      <c r="I1036" s="75">
        <f t="shared" si="49"/>
        <v>0</v>
      </c>
      <c r="J1036" s="75" t="s">
        <v>2858</v>
      </c>
      <c r="K1036" s="5">
        <v>46208</v>
      </c>
      <c r="O1036" s="9"/>
      <c r="S1036" s="3"/>
    </row>
    <row r="1037" spans="1:19" ht="15" hidden="1" customHeight="1" x14ac:dyDescent="0.35">
      <c r="A1037" s="26" t="s">
        <v>2450</v>
      </c>
      <c r="B1037" s="27" t="s">
        <v>2372</v>
      </c>
      <c r="C1037" s="28"/>
      <c r="D1037" s="29" t="s">
        <v>2396</v>
      </c>
      <c r="E1037" s="76">
        <v>1005000</v>
      </c>
      <c r="F1037" s="77">
        <f t="shared" si="50"/>
        <v>80400</v>
      </c>
      <c r="G1037" s="31">
        <f t="shared" si="51"/>
        <v>1085400</v>
      </c>
      <c r="H1037" s="74">
        <v>1085400</v>
      </c>
      <c r="I1037" s="75">
        <f t="shared" si="49"/>
        <v>0</v>
      </c>
      <c r="J1037" s="75" t="s">
        <v>2858</v>
      </c>
      <c r="K1037" s="5">
        <v>46208</v>
      </c>
      <c r="O1037" s="9"/>
      <c r="S1037" s="3"/>
    </row>
    <row r="1038" spans="1:19" ht="15" hidden="1" customHeight="1" x14ac:dyDescent="0.35">
      <c r="A1038" s="26" t="s">
        <v>2451</v>
      </c>
      <c r="B1038" s="32" t="s">
        <v>2373</v>
      </c>
      <c r="C1038" s="28"/>
      <c r="D1038" s="29" t="s">
        <v>2396</v>
      </c>
      <c r="E1038" s="76">
        <v>1005000</v>
      </c>
      <c r="F1038" s="77">
        <f t="shared" si="50"/>
        <v>80400</v>
      </c>
      <c r="G1038" s="31">
        <f t="shared" si="51"/>
        <v>1085400</v>
      </c>
      <c r="H1038" s="74">
        <v>1085400</v>
      </c>
      <c r="I1038" s="75">
        <f t="shared" si="49"/>
        <v>0</v>
      </c>
      <c r="J1038" s="75" t="s">
        <v>2858</v>
      </c>
      <c r="K1038" s="5">
        <v>46208</v>
      </c>
      <c r="O1038" s="9"/>
      <c r="S1038" s="3"/>
    </row>
    <row r="1039" spans="1:19" ht="15" hidden="1" customHeight="1" x14ac:dyDescent="0.35">
      <c r="A1039" s="26" t="s">
        <v>2452</v>
      </c>
      <c r="B1039" s="32" t="s">
        <v>2374</v>
      </c>
      <c r="C1039" s="28"/>
      <c r="D1039" s="29" t="s">
        <v>2396</v>
      </c>
      <c r="E1039" s="76">
        <v>7480000</v>
      </c>
      <c r="F1039" s="77">
        <f t="shared" si="50"/>
        <v>598400</v>
      </c>
      <c r="G1039" s="31">
        <f t="shared" si="51"/>
        <v>8078400</v>
      </c>
      <c r="H1039" s="74">
        <v>8078400</v>
      </c>
      <c r="I1039" s="75">
        <f t="shared" si="49"/>
        <v>0</v>
      </c>
      <c r="J1039" s="75" t="s">
        <v>2858</v>
      </c>
      <c r="K1039" s="5">
        <v>46208</v>
      </c>
      <c r="O1039" s="9"/>
      <c r="S1039" s="3"/>
    </row>
    <row r="1040" spans="1:19" ht="15" hidden="1" customHeight="1" x14ac:dyDescent="0.35">
      <c r="A1040" s="26" t="s">
        <v>2453</v>
      </c>
      <c r="B1040" s="32" t="s">
        <v>2375</v>
      </c>
      <c r="C1040" s="28"/>
      <c r="D1040" s="29" t="s">
        <v>2396</v>
      </c>
      <c r="E1040" s="76">
        <v>5885000</v>
      </c>
      <c r="F1040" s="77">
        <f t="shared" si="50"/>
        <v>470800</v>
      </c>
      <c r="G1040" s="31">
        <f t="shared" si="51"/>
        <v>6355800</v>
      </c>
      <c r="H1040" s="74">
        <v>6355800</v>
      </c>
      <c r="I1040" s="75">
        <f t="shared" si="49"/>
        <v>0</v>
      </c>
      <c r="J1040" s="75" t="s">
        <v>2858</v>
      </c>
      <c r="K1040" s="5">
        <v>46208</v>
      </c>
      <c r="O1040" s="9"/>
      <c r="S1040" s="3"/>
    </row>
    <row r="1041" spans="1:19" ht="15" hidden="1" customHeight="1" x14ac:dyDescent="0.35">
      <c r="A1041" s="26" t="s">
        <v>2454</v>
      </c>
      <c r="B1041" s="32" t="s">
        <v>2376</v>
      </c>
      <c r="C1041" s="28"/>
      <c r="D1041" s="29" t="s">
        <v>2396</v>
      </c>
      <c r="E1041" s="76">
        <v>2605000</v>
      </c>
      <c r="F1041" s="77">
        <f t="shared" si="50"/>
        <v>208400</v>
      </c>
      <c r="G1041" s="31">
        <f t="shared" si="51"/>
        <v>2813400</v>
      </c>
      <c r="H1041" s="74">
        <v>2813400</v>
      </c>
      <c r="I1041" s="75">
        <f t="shared" si="49"/>
        <v>0</v>
      </c>
      <c r="J1041" s="75" t="s">
        <v>2858</v>
      </c>
      <c r="K1041" s="5">
        <v>46208</v>
      </c>
      <c r="O1041" s="9"/>
      <c r="S1041" s="3"/>
    </row>
    <row r="1042" spans="1:19" ht="15" hidden="1" customHeight="1" x14ac:dyDescent="0.35">
      <c r="A1042" s="26" t="s">
        <v>2455</v>
      </c>
      <c r="B1042" s="27" t="s">
        <v>2377</v>
      </c>
      <c r="C1042" s="28"/>
      <c r="D1042" s="29" t="s">
        <v>2396</v>
      </c>
      <c r="E1042" s="76">
        <v>2030000</v>
      </c>
      <c r="F1042" s="77">
        <f t="shared" si="50"/>
        <v>162400</v>
      </c>
      <c r="G1042" s="31">
        <f t="shared" si="51"/>
        <v>2192400</v>
      </c>
      <c r="H1042" s="74">
        <v>2192400</v>
      </c>
      <c r="I1042" s="75">
        <f t="shared" si="49"/>
        <v>0</v>
      </c>
      <c r="J1042" s="75" t="s">
        <v>2858</v>
      </c>
      <c r="K1042" s="5">
        <v>46208</v>
      </c>
      <c r="O1042" s="9"/>
      <c r="S1042" s="3"/>
    </row>
    <row r="1043" spans="1:19" ht="15" hidden="1" customHeight="1" x14ac:dyDescent="0.35">
      <c r="A1043" s="26" t="s">
        <v>2456</v>
      </c>
      <c r="B1043" s="27" t="s">
        <v>2378</v>
      </c>
      <c r="C1043" s="28"/>
      <c r="D1043" s="29" t="s">
        <v>2396</v>
      </c>
      <c r="E1043" s="76">
        <v>1905000</v>
      </c>
      <c r="F1043" s="77">
        <f t="shared" si="50"/>
        <v>152400</v>
      </c>
      <c r="G1043" s="31">
        <f t="shared" si="51"/>
        <v>2057400</v>
      </c>
      <c r="H1043" s="74">
        <v>2057400</v>
      </c>
      <c r="I1043" s="75">
        <f t="shared" si="49"/>
        <v>0</v>
      </c>
      <c r="J1043" s="75" t="s">
        <v>2858</v>
      </c>
      <c r="K1043" s="5">
        <v>46208</v>
      </c>
      <c r="O1043" s="9"/>
      <c r="S1043" s="3"/>
    </row>
    <row r="1044" spans="1:19" ht="15" hidden="1" customHeight="1" x14ac:dyDescent="0.35">
      <c r="A1044" s="26" t="s">
        <v>2457</v>
      </c>
      <c r="B1044" s="27" t="s">
        <v>2379</v>
      </c>
      <c r="C1044" s="28"/>
      <c r="D1044" s="29" t="s">
        <v>2396</v>
      </c>
      <c r="E1044" s="76">
        <v>3000000</v>
      </c>
      <c r="F1044" s="77">
        <f t="shared" si="50"/>
        <v>240000</v>
      </c>
      <c r="G1044" s="31">
        <f t="shared" si="51"/>
        <v>3240000</v>
      </c>
      <c r="H1044" s="74">
        <v>3240000</v>
      </c>
      <c r="I1044" s="75">
        <f t="shared" si="49"/>
        <v>0</v>
      </c>
      <c r="J1044" s="75" t="s">
        <v>2858</v>
      </c>
      <c r="K1044" s="5">
        <v>46208</v>
      </c>
      <c r="O1044" s="9"/>
      <c r="S1044" s="3"/>
    </row>
    <row r="1045" spans="1:19" ht="15" hidden="1" customHeight="1" x14ac:dyDescent="0.35">
      <c r="A1045" s="26" t="s">
        <v>2458</v>
      </c>
      <c r="B1045" s="27" t="s">
        <v>380</v>
      </c>
      <c r="C1045" s="28">
        <v>4207</v>
      </c>
      <c r="D1045" s="29">
        <v>46167</v>
      </c>
      <c r="E1045" s="76">
        <v>11212500</v>
      </c>
      <c r="F1045" s="77">
        <f t="shared" si="50"/>
        <v>897000</v>
      </c>
      <c r="G1045" s="31">
        <f t="shared" si="51"/>
        <v>12109500</v>
      </c>
      <c r="H1045" s="74">
        <v>12109500</v>
      </c>
      <c r="I1045" s="75">
        <f t="shared" si="49"/>
        <v>0</v>
      </c>
      <c r="J1045" s="75" t="s">
        <v>2858</v>
      </c>
      <c r="K1045" s="5">
        <v>46208</v>
      </c>
      <c r="O1045" s="9"/>
      <c r="S1045" s="3"/>
    </row>
    <row r="1046" spans="1:19" ht="15" hidden="1" customHeight="1" x14ac:dyDescent="0.35">
      <c r="A1046" s="26" t="s">
        <v>2459</v>
      </c>
      <c r="B1046" s="27" t="s">
        <v>2380</v>
      </c>
      <c r="C1046" s="28"/>
      <c r="D1046" s="29" t="s">
        <v>2397</v>
      </c>
      <c r="E1046" s="76">
        <v>1132800</v>
      </c>
      <c r="F1046" s="77">
        <f t="shared" si="50"/>
        <v>90624</v>
      </c>
      <c r="G1046" s="31">
        <f t="shared" si="51"/>
        <v>1223424</v>
      </c>
      <c r="H1046" s="74">
        <v>1223424</v>
      </c>
      <c r="I1046" s="75">
        <f t="shared" si="49"/>
        <v>0</v>
      </c>
      <c r="J1046" s="85" t="s">
        <v>2858</v>
      </c>
      <c r="L1046" s="5">
        <v>46208</v>
      </c>
      <c r="O1046" s="9"/>
      <c r="S1046" s="3"/>
    </row>
    <row r="1047" spans="1:19" ht="15" hidden="1" customHeight="1" x14ac:dyDescent="0.35">
      <c r="A1047" s="26" t="s">
        <v>2460</v>
      </c>
      <c r="B1047" s="27" t="s">
        <v>2381</v>
      </c>
      <c r="C1047" s="28"/>
      <c r="D1047" s="29" t="s">
        <v>2397</v>
      </c>
      <c r="E1047" s="76">
        <v>840000</v>
      </c>
      <c r="F1047" s="77">
        <f t="shared" si="50"/>
        <v>67200</v>
      </c>
      <c r="G1047" s="31">
        <f t="shared" si="51"/>
        <v>907200</v>
      </c>
      <c r="H1047" s="74">
        <v>907200</v>
      </c>
      <c r="I1047" s="75">
        <f t="shared" si="49"/>
        <v>0</v>
      </c>
      <c r="J1047" s="85" t="s">
        <v>2858</v>
      </c>
      <c r="L1047" s="5">
        <v>46208</v>
      </c>
      <c r="O1047" s="9"/>
      <c r="S1047" s="3"/>
    </row>
    <row r="1048" spans="1:19" ht="15" hidden="1" customHeight="1" x14ac:dyDescent="0.35">
      <c r="A1048" s="26" t="s">
        <v>2461</v>
      </c>
      <c r="B1048" s="27" t="s">
        <v>2382</v>
      </c>
      <c r="C1048" s="28"/>
      <c r="D1048" s="29" t="s">
        <v>2397</v>
      </c>
      <c r="E1048" s="76">
        <v>3360000</v>
      </c>
      <c r="F1048" s="77">
        <f t="shared" si="50"/>
        <v>268800</v>
      </c>
      <c r="G1048" s="31">
        <f t="shared" si="51"/>
        <v>3628800</v>
      </c>
      <c r="H1048" s="74">
        <v>3628800</v>
      </c>
      <c r="I1048" s="75">
        <f t="shared" si="49"/>
        <v>0</v>
      </c>
      <c r="J1048" s="85"/>
      <c r="K1048" s="3"/>
      <c r="L1048" s="5">
        <v>46188</v>
      </c>
      <c r="O1048" s="9"/>
      <c r="S1048" s="3"/>
    </row>
    <row r="1049" spans="1:19" ht="15" hidden="1" customHeight="1" x14ac:dyDescent="0.35">
      <c r="A1049" s="26" t="s">
        <v>2462</v>
      </c>
      <c r="B1049" s="27" t="s">
        <v>2383</v>
      </c>
      <c r="C1049" s="28"/>
      <c r="D1049" s="29" t="s">
        <v>2397</v>
      </c>
      <c r="E1049" s="76">
        <v>1132800</v>
      </c>
      <c r="F1049" s="77">
        <f t="shared" si="50"/>
        <v>90624</v>
      </c>
      <c r="G1049" s="31">
        <f t="shared" si="51"/>
        <v>1223424</v>
      </c>
      <c r="H1049" s="74">
        <v>1223424</v>
      </c>
      <c r="I1049" s="75">
        <f t="shared" si="49"/>
        <v>0</v>
      </c>
      <c r="J1049" s="85" t="s">
        <v>2858</v>
      </c>
      <c r="L1049" s="5">
        <v>46208</v>
      </c>
      <c r="O1049" s="9"/>
      <c r="S1049" s="3"/>
    </row>
    <row r="1050" spans="1:19" ht="15" hidden="1" customHeight="1" x14ac:dyDescent="0.35">
      <c r="A1050" s="26" t="s">
        <v>2463</v>
      </c>
      <c r="B1050" s="27" t="s">
        <v>2384</v>
      </c>
      <c r="C1050" s="28"/>
      <c r="D1050" s="29" t="s">
        <v>2397</v>
      </c>
      <c r="E1050" s="76">
        <v>1972800</v>
      </c>
      <c r="F1050" s="77">
        <f t="shared" si="50"/>
        <v>157824</v>
      </c>
      <c r="G1050" s="31">
        <f t="shared" si="51"/>
        <v>2130624</v>
      </c>
      <c r="H1050" s="74">
        <v>2130624</v>
      </c>
      <c r="I1050" s="75">
        <f t="shared" si="49"/>
        <v>0</v>
      </c>
      <c r="J1050" s="85" t="s">
        <v>2858</v>
      </c>
      <c r="L1050" s="5">
        <v>46208</v>
      </c>
      <c r="O1050" s="9"/>
      <c r="S1050" s="3"/>
    </row>
    <row r="1051" spans="1:19" ht="15" hidden="1" customHeight="1" x14ac:dyDescent="0.35">
      <c r="A1051" s="26" t="s">
        <v>2464</v>
      </c>
      <c r="B1051" s="27" t="s">
        <v>2385</v>
      </c>
      <c r="C1051" s="28"/>
      <c r="D1051" s="29" t="s">
        <v>2397</v>
      </c>
      <c r="E1051" s="76">
        <v>1132800</v>
      </c>
      <c r="F1051" s="77">
        <f t="shared" si="50"/>
        <v>90624</v>
      </c>
      <c r="G1051" s="31">
        <f t="shared" si="51"/>
        <v>1223424</v>
      </c>
      <c r="H1051" s="74">
        <v>1223424</v>
      </c>
      <c r="I1051" s="75">
        <f t="shared" si="49"/>
        <v>0</v>
      </c>
      <c r="J1051" s="85" t="s">
        <v>2858</v>
      </c>
      <c r="L1051" s="5">
        <v>46208</v>
      </c>
      <c r="O1051" s="9"/>
      <c r="S1051" s="3"/>
    </row>
    <row r="1052" spans="1:19" ht="15" hidden="1" customHeight="1" x14ac:dyDescent="0.35">
      <c r="A1052" s="26" t="s">
        <v>2465</v>
      </c>
      <c r="B1052" s="27" t="s">
        <v>2386</v>
      </c>
      <c r="C1052" s="28"/>
      <c r="D1052" s="29" t="s">
        <v>2397</v>
      </c>
      <c r="E1052" s="76">
        <v>840000</v>
      </c>
      <c r="F1052" s="77">
        <f t="shared" si="50"/>
        <v>67200</v>
      </c>
      <c r="G1052" s="31">
        <f t="shared" si="51"/>
        <v>907200</v>
      </c>
      <c r="H1052" s="31">
        <v>907200</v>
      </c>
      <c r="I1052" s="75">
        <f t="shared" si="49"/>
        <v>0</v>
      </c>
      <c r="J1052" s="85"/>
      <c r="K1052" s="3"/>
      <c r="L1052" s="5">
        <v>46188</v>
      </c>
      <c r="O1052" s="9"/>
      <c r="S1052" s="3"/>
    </row>
    <row r="1053" spans="1:19" ht="15" hidden="1" customHeight="1" x14ac:dyDescent="0.35">
      <c r="A1053" s="26" t="s">
        <v>2466</v>
      </c>
      <c r="B1053" s="27" t="s">
        <v>381</v>
      </c>
      <c r="C1053" s="28"/>
      <c r="D1053" s="29" t="s">
        <v>2397</v>
      </c>
      <c r="E1053" s="76">
        <v>840000</v>
      </c>
      <c r="F1053" s="77">
        <f t="shared" si="50"/>
        <v>67200</v>
      </c>
      <c r="G1053" s="31">
        <f t="shared" si="51"/>
        <v>907200</v>
      </c>
      <c r="H1053" s="74">
        <v>907200</v>
      </c>
      <c r="I1053" s="75">
        <f t="shared" si="49"/>
        <v>0</v>
      </c>
      <c r="J1053" s="85" t="s">
        <v>2858</v>
      </c>
      <c r="L1053" s="5">
        <v>46208</v>
      </c>
      <c r="O1053" s="9"/>
      <c r="S1053" s="3"/>
    </row>
    <row r="1054" spans="1:19" ht="15" hidden="1" customHeight="1" x14ac:dyDescent="0.35">
      <c r="A1054" s="26" t="s">
        <v>2467</v>
      </c>
      <c r="B1054" s="27" t="s">
        <v>2387</v>
      </c>
      <c r="C1054" s="28"/>
      <c r="D1054" s="29" t="s">
        <v>2397</v>
      </c>
      <c r="E1054" s="76">
        <v>840000</v>
      </c>
      <c r="F1054" s="77">
        <f t="shared" si="50"/>
        <v>67200</v>
      </c>
      <c r="G1054" s="31">
        <f t="shared" si="51"/>
        <v>907200</v>
      </c>
      <c r="H1054" s="74">
        <v>907200</v>
      </c>
      <c r="I1054" s="75">
        <f t="shared" si="49"/>
        <v>0</v>
      </c>
      <c r="J1054" s="85" t="s">
        <v>2858</v>
      </c>
      <c r="L1054" s="5">
        <v>46208</v>
      </c>
      <c r="O1054" s="9"/>
      <c r="S1054" s="3"/>
    </row>
    <row r="1055" spans="1:19" ht="15" hidden="1" customHeight="1" x14ac:dyDescent="0.35">
      <c r="A1055" s="26" t="s">
        <v>2468</v>
      </c>
      <c r="B1055" s="27" t="s">
        <v>2388</v>
      </c>
      <c r="C1055" s="28"/>
      <c r="D1055" s="29" t="s">
        <v>2397</v>
      </c>
      <c r="E1055" s="76">
        <v>840000</v>
      </c>
      <c r="F1055" s="77">
        <f t="shared" si="50"/>
        <v>67200</v>
      </c>
      <c r="G1055" s="31">
        <f t="shared" si="51"/>
        <v>907200</v>
      </c>
      <c r="H1055" s="74">
        <v>907200</v>
      </c>
      <c r="I1055" s="75">
        <f t="shared" si="49"/>
        <v>0</v>
      </c>
      <c r="J1055" s="85" t="s">
        <v>2858</v>
      </c>
      <c r="L1055" s="5">
        <v>46208</v>
      </c>
      <c r="O1055" s="9"/>
      <c r="S1055" s="3"/>
    </row>
    <row r="1056" spans="1:19" ht="15" hidden="1" customHeight="1" x14ac:dyDescent="0.35">
      <c r="A1056" s="26" t="s">
        <v>2469</v>
      </c>
      <c r="B1056" s="27" t="s">
        <v>2389</v>
      </c>
      <c r="C1056" s="28"/>
      <c r="D1056" s="29" t="s">
        <v>2397</v>
      </c>
      <c r="E1056" s="76">
        <v>840000</v>
      </c>
      <c r="F1056" s="77">
        <f t="shared" si="50"/>
        <v>67200</v>
      </c>
      <c r="G1056" s="31">
        <f t="shared" si="51"/>
        <v>907200</v>
      </c>
      <c r="H1056" s="74">
        <v>907200</v>
      </c>
      <c r="I1056" s="75">
        <f t="shared" si="49"/>
        <v>0</v>
      </c>
      <c r="J1056" s="85" t="s">
        <v>2858</v>
      </c>
      <c r="L1056" s="5">
        <v>46208</v>
      </c>
      <c r="O1056" s="9"/>
      <c r="S1056" s="3"/>
    </row>
    <row r="1057" spans="1:19" ht="15" hidden="1" customHeight="1" x14ac:dyDescent="0.35">
      <c r="A1057" s="26" t="s">
        <v>2470</v>
      </c>
      <c r="B1057" s="27" t="s">
        <v>2390</v>
      </c>
      <c r="C1057" s="28"/>
      <c r="D1057" s="29" t="s">
        <v>2397</v>
      </c>
      <c r="E1057" s="76">
        <v>840000</v>
      </c>
      <c r="F1057" s="77">
        <f t="shared" si="50"/>
        <v>67200</v>
      </c>
      <c r="G1057" s="31">
        <f t="shared" si="51"/>
        <v>907200</v>
      </c>
      <c r="H1057" s="74">
        <v>907200</v>
      </c>
      <c r="I1057" s="75">
        <f t="shared" si="49"/>
        <v>0</v>
      </c>
      <c r="J1057" s="85" t="s">
        <v>2858</v>
      </c>
      <c r="L1057" s="5">
        <v>46208</v>
      </c>
      <c r="O1057" s="9"/>
      <c r="S1057" s="3"/>
    </row>
    <row r="1058" spans="1:19" ht="15" hidden="1" customHeight="1" x14ac:dyDescent="0.35">
      <c r="A1058" s="26" t="s">
        <v>2536</v>
      </c>
      <c r="B1058" s="27" t="s">
        <v>2471</v>
      </c>
      <c r="C1058" s="28"/>
      <c r="D1058" s="29" t="s">
        <v>2622</v>
      </c>
      <c r="E1058" s="76">
        <v>3300000</v>
      </c>
      <c r="F1058" s="77">
        <f t="shared" si="50"/>
        <v>264000</v>
      </c>
      <c r="G1058" s="31">
        <f t="shared" si="51"/>
        <v>3564000</v>
      </c>
      <c r="H1058" s="74">
        <v>3564000</v>
      </c>
      <c r="I1058" s="75">
        <f t="shared" si="49"/>
        <v>0</v>
      </c>
      <c r="J1058" s="75" t="s">
        <v>2858</v>
      </c>
      <c r="K1058" s="5">
        <v>46208</v>
      </c>
      <c r="O1058" s="9"/>
      <c r="S1058" s="3"/>
    </row>
    <row r="1059" spans="1:19" ht="15" hidden="1" customHeight="1" x14ac:dyDescent="0.35">
      <c r="A1059" s="26" t="s">
        <v>2537</v>
      </c>
      <c r="B1059" s="27" t="s">
        <v>2472</v>
      </c>
      <c r="C1059" s="28"/>
      <c r="D1059" s="29" t="s">
        <v>2622</v>
      </c>
      <c r="E1059" s="76">
        <v>3310000</v>
      </c>
      <c r="F1059" s="77">
        <f t="shared" si="50"/>
        <v>264800</v>
      </c>
      <c r="G1059" s="31">
        <f t="shared" si="51"/>
        <v>3574800</v>
      </c>
      <c r="H1059" s="74">
        <v>3574800</v>
      </c>
      <c r="I1059" s="75">
        <f t="shared" si="49"/>
        <v>0</v>
      </c>
      <c r="J1059" s="75" t="s">
        <v>2858</v>
      </c>
      <c r="K1059" s="5">
        <v>46208</v>
      </c>
      <c r="O1059" s="9"/>
      <c r="S1059" s="3"/>
    </row>
    <row r="1060" spans="1:19" ht="15" hidden="1" customHeight="1" x14ac:dyDescent="0.35">
      <c r="A1060" s="26" t="s">
        <v>2538</v>
      </c>
      <c r="B1060" s="27" t="s">
        <v>2473</v>
      </c>
      <c r="C1060" s="28"/>
      <c r="D1060" s="29" t="s">
        <v>2622</v>
      </c>
      <c r="E1060" s="76">
        <v>1815000</v>
      </c>
      <c r="F1060" s="77">
        <f t="shared" si="50"/>
        <v>145200</v>
      </c>
      <c r="G1060" s="31">
        <f t="shared" si="51"/>
        <v>1960200</v>
      </c>
      <c r="H1060" s="74">
        <v>1960200</v>
      </c>
      <c r="I1060" s="75">
        <f t="shared" si="49"/>
        <v>0</v>
      </c>
      <c r="J1060" s="75" t="s">
        <v>2858</v>
      </c>
      <c r="K1060" s="5">
        <v>46208</v>
      </c>
      <c r="O1060" s="9"/>
      <c r="S1060" s="3"/>
    </row>
    <row r="1061" spans="1:19" ht="15" hidden="1" customHeight="1" x14ac:dyDescent="0.35">
      <c r="A1061" s="26" t="s">
        <v>2539</v>
      </c>
      <c r="B1061" s="27" t="s">
        <v>2474</v>
      </c>
      <c r="C1061" s="28"/>
      <c r="D1061" s="29" t="s">
        <v>2622</v>
      </c>
      <c r="E1061" s="76">
        <v>5235000</v>
      </c>
      <c r="F1061" s="77">
        <f t="shared" si="50"/>
        <v>418800</v>
      </c>
      <c r="G1061" s="31">
        <f t="shared" si="51"/>
        <v>5653800</v>
      </c>
      <c r="H1061" s="74">
        <v>5653800</v>
      </c>
      <c r="I1061" s="75">
        <f t="shared" si="49"/>
        <v>0</v>
      </c>
      <c r="J1061" s="75" t="s">
        <v>2858</v>
      </c>
      <c r="K1061" s="5">
        <v>46208</v>
      </c>
      <c r="O1061" s="9"/>
      <c r="S1061" s="3"/>
    </row>
    <row r="1062" spans="1:19" ht="15" hidden="1" customHeight="1" x14ac:dyDescent="0.35">
      <c r="A1062" s="26" t="s">
        <v>2540</v>
      </c>
      <c r="B1062" s="32" t="s">
        <v>2475</v>
      </c>
      <c r="C1062" s="28"/>
      <c r="D1062" s="29" t="s">
        <v>2622</v>
      </c>
      <c r="E1062" s="76">
        <v>990000</v>
      </c>
      <c r="F1062" s="77">
        <f t="shared" si="50"/>
        <v>79200</v>
      </c>
      <c r="G1062" s="31">
        <f t="shared" si="51"/>
        <v>1069200</v>
      </c>
      <c r="H1062" s="74">
        <v>1069200</v>
      </c>
      <c r="I1062" s="75">
        <f t="shared" si="49"/>
        <v>0</v>
      </c>
      <c r="J1062" s="75" t="s">
        <v>2858</v>
      </c>
      <c r="K1062" s="5">
        <v>46208</v>
      </c>
      <c r="O1062" s="9"/>
      <c r="S1062" s="3"/>
    </row>
    <row r="1063" spans="1:19" ht="15" hidden="1" customHeight="1" x14ac:dyDescent="0.35">
      <c r="A1063" s="26" t="s">
        <v>2541</v>
      </c>
      <c r="B1063" s="27" t="s">
        <v>2476</v>
      </c>
      <c r="C1063" s="28"/>
      <c r="D1063" s="29" t="s">
        <v>2622</v>
      </c>
      <c r="E1063" s="76">
        <v>1972800</v>
      </c>
      <c r="F1063" s="77">
        <f t="shared" si="50"/>
        <v>157824</v>
      </c>
      <c r="G1063" s="31">
        <f t="shared" si="51"/>
        <v>2130624</v>
      </c>
      <c r="H1063" s="74">
        <v>2130624</v>
      </c>
      <c r="I1063" s="75">
        <f t="shared" si="49"/>
        <v>0</v>
      </c>
      <c r="J1063" s="85" t="s">
        <v>2858</v>
      </c>
      <c r="L1063" s="5">
        <v>46208</v>
      </c>
      <c r="O1063" s="9"/>
      <c r="S1063" s="3"/>
    </row>
    <row r="1064" spans="1:19" ht="15" hidden="1" customHeight="1" x14ac:dyDescent="0.35">
      <c r="A1064" s="26" t="s">
        <v>2542</v>
      </c>
      <c r="B1064" s="27" t="s">
        <v>2477</v>
      </c>
      <c r="C1064" s="28"/>
      <c r="D1064" s="29" t="s">
        <v>2622</v>
      </c>
      <c r="E1064" s="76">
        <v>3960000</v>
      </c>
      <c r="F1064" s="77">
        <f t="shared" si="50"/>
        <v>316800</v>
      </c>
      <c r="G1064" s="31">
        <f t="shared" si="51"/>
        <v>4276800</v>
      </c>
      <c r="H1064" s="74">
        <v>4276800</v>
      </c>
      <c r="I1064" s="75">
        <f t="shared" si="49"/>
        <v>0</v>
      </c>
      <c r="J1064" s="75" t="s">
        <v>2858</v>
      </c>
      <c r="K1064" s="5">
        <v>46208</v>
      </c>
      <c r="O1064" s="9"/>
      <c r="S1064" s="3"/>
    </row>
    <row r="1065" spans="1:19" ht="15" hidden="1" customHeight="1" x14ac:dyDescent="0.35">
      <c r="A1065" s="26" t="s">
        <v>2543</v>
      </c>
      <c r="B1065" s="27" t="s">
        <v>2478</v>
      </c>
      <c r="C1065" s="28"/>
      <c r="D1065" s="29" t="s">
        <v>2622</v>
      </c>
      <c r="E1065" s="76">
        <v>2880000</v>
      </c>
      <c r="F1065" s="77">
        <f t="shared" si="50"/>
        <v>230400</v>
      </c>
      <c r="G1065" s="31">
        <f t="shared" si="51"/>
        <v>3110400</v>
      </c>
      <c r="H1065" s="74">
        <v>3110400</v>
      </c>
      <c r="I1065" s="75">
        <f t="shared" si="49"/>
        <v>0</v>
      </c>
      <c r="J1065" s="75" t="s">
        <v>2858</v>
      </c>
      <c r="K1065" s="5">
        <v>46208</v>
      </c>
      <c r="O1065" s="9"/>
      <c r="S1065" s="3"/>
    </row>
    <row r="1066" spans="1:19" ht="15" hidden="1" customHeight="1" x14ac:dyDescent="0.35">
      <c r="A1066" s="26" t="s">
        <v>2544</v>
      </c>
      <c r="B1066" s="32" t="s">
        <v>2479</v>
      </c>
      <c r="C1066" s="28">
        <v>4208</v>
      </c>
      <c r="D1066" s="29">
        <v>46167</v>
      </c>
      <c r="E1066" s="76">
        <v>2826000</v>
      </c>
      <c r="F1066" s="77">
        <f t="shared" si="50"/>
        <v>226080</v>
      </c>
      <c r="G1066" s="31">
        <f t="shared" si="51"/>
        <v>3052080</v>
      </c>
      <c r="H1066" s="74">
        <v>3052080</v>
      </c>
      <c r="I1066" s="75">
        <f t="shared" si="49"/>
        <v>0</v>
      </c>
      <c r="J1066" s="75" t="s">
        <v>2858</v>
      </c>
      <c r="K1066" s="5">
        <v>46208</v>
      </c>
      <c r="O1066" s="9"/>
      <c r="S1066" s="3"/>
    </row>
    <row r="1067" spans="1:19" ht="15" hidden="1" customHeight="1" x14ac:dyDescent="0.35">
      <c r="A1067" s="26" t="s">
        <v>2545</v>
      </c>
      <c r="B1067" s="27" t="s">
        <v>2480</v>
      </c>
      <c r="C1067" s="28"/>
      <c r="D1067" s="29" t="s">
        <v>2622</v>
      </c>
      <c r="E1067" s="76">
        <v>1770000</v>
      </c>
      <c r="F1067" s="77">
        <f t="shared" si="50"/>
        <v>141600</v>
      </c>
      <c r="G1067" s="31">
        <f t="shared" si="51"/>
        <v>1911600</v>
      </c>
      <c r="H1067" s="74">
        <v>1911600</v>
      </c>
      <c r="I1067" s="75">
        <f t="shared" si="49"/>
        <v>0</v>
      </c>
      <c r="J1067" s="75" t="s">
        <v>2858</v>
      </c>
      <c r="K1067" s="5">
        <v>46208</v>
      </c>
      <c r="O1067" s="9"/>
      <c r="S1067" s="3"/>
    </row>
    <row r="1068" spans="1:19" ht="15" hidden="1" customHeight="1" x14ac:dyDescent="0.35">
      <c r="A1068" s="26" t="s">
        <v>2546</v>
      </c>
      <c r="B1068" s="27" t="s">
        <v>2481</v>
      </c>
      <c r="C1068" s="28"/>
      <c r="D1068" s="29" t="s">
        <v>2622</v>
      </c>
      <c r="E1068" s="76">
        <v>1815000</v>
      </c>
      <c r="F1068" s="77">
        <f t="shared" si="50"/>
        <v>145200</v>
      </c>
      <c r="G1068" s="31">
        <f t="shared" si="51"/>
        <v>1960200</v>
      </c>
      <c r="H1068" s="74">
        <v>1960200</v>
      </c>
      <c r="I1068" s="75">
        <f t="shared" ref="I1068:I1129" si="52">G1068-H1068</f>
        <v>0</v>
      </c>
      <c r="J1068" s="75" t="s">
        <v>2858</v>
      </c>
      <c r="K1068" s="5">
        <v>46208</v>
      </c>
      <c r="O1068" s="9"/>
      <c r="S1068" s="3"/>
    </row>
    <row r="1069" spans="1:19" ht="15" hidden="1" customHeight="1" x14ac:dyDescent="0.35">
      <c r="A1069" s="26" t="s">
        <v>2547</v>
      </c>
      <c r="B1069" s="27" t="s">
        <v>2482</v>
      </c>
      <c r="C1069" s="28"/>
      <c r="D1069" s="29" t="s">
        <v>2622</v>
      </c>
      <c r="E1069" s="76">
        <v>3945000</v>
      </c>
      <c r="F1069" s="77">
        <f t="shared" ref="F1069:F1130" si="53">+E1069*0.08</f>
        <v>315600</v>
      </c>
      <c r="G1069" s="31">
        <f t="shared" si="51"/>
        <v>4260600</v>
      </c>
      <c r="H1069" s="74">
        <v>4260600</v>
      </c>
      <c r="I1069" s="75">
        <f t="shared" si="52"/>
        <v>0</v>
      </c>
      <c r="J1069" s="75" t="s">
        <v>2858</v>
      </c>
      <c r="K1069" s="5">
        <v>46208</v>
      </c>
      <c r="O1069" s="9"/>
      <c r="S1069" s="3"/>
    </row>
    <row r="1070" spans="1:19" ht="15" hidden="1" customHeight="1" x14ac:dyDescent="0.35">
      <c r="A1070" s="26" t="s">
        <v>2548</v>
      </c>
      <c r="B1070" s="27" t="s">
        <v>2483</v>
      </c>
      <c r="C1070" s="28"/>
      <c r="D1070" s="29" t="s">
        <v>2622</v>
      </c>
      <c r="E1070" s="76">
        <v>2040000</v>
      </c>
      <c r="F1070" s="77">
        <f t="shared" si="53"/>
        <v>163200</v>
      </c>
      <c r="G1070" s="31">
        <f t="shared" si="51"/>
        <v>2203200</v>
      </c>
      <c r="H1070" s="74">
        <v>2203200</v>
      </c>
      <c r="I1070" s="75">
        <f t="shared" si="52"/>
        <v>0</v>
      </c>
      <c r="J1070" s="75" t="s">
        <v>2858</v>
      </c>
      <c r="K1070" s="5">
        <v>46208</v>
      </c>
      <c r="O1070" s="9"/>
      <c r="S1070" s="3"/>
    </row>
    <row r="1071" spans="1:19" ht="15" hidden="1" customHeight="1" x14ac:dyDescent="0.35">
      <c r="A1071" s="26" t="s">
        <v>2549</v>
      </c>
      <c r="B1071" s="27" t="s">
        <v>2484</v>
      </c>
      <c r="C1071" s="28"/>
      <c r="D1071" s="29" t="s">
        <v>2622</v>
      </c>
      <c r="E1071" s="76">
        <v>960000</v>
      </c>
      <c r="F1071" s="77">
        <f t="shared" si="53"/>
        <v>76800</v>
      </c>
      <c r="G1071" s="31">
        <f t="shared" si="51"/>
        <v>1036800</v>
      </c>
      <c r="H1071" s="74">
        <v>1036800</v>
      </c>
      <c r="I1071" s="75">
        <f t="shared" si="52"/>
        <v>0</v>
      </c>
      <c r="J1071" s="75" t="s">
        <v>2858</v>
      </c>
      <c r="K1071" s="5">
        <v>46208</v>
      </c>
      <c r="O1071" s="9"/>
      <c r="S1071" s="3"/>
    </row>
    <row r="1072" spans="1:19" ht="15" hidden="1" customHeight="1" x14ac:dyDescent="0.35">
      <c r="A1072" s="26" t="s">
        <v>2550</v>
      </c>
      <c r="B1072" s="27" t="s">
        <v>2485</v>
      </c>
      <c r="C1072" s="28"/>
      <c r="D1072" s="29" t="s">
        <v>2622</v>
      </c>
      <c r="E1072" s="76">
        <v>2820000</v>
      </c>
      <c r="F1072" s="77">
        <f t="shared" si="53"/>
        <v>225600</v>
      </c>
      <c r="G1072" s="31">
        <f t="shared" si="51"/>
        <v>3045600</v>
      </c>
      <c r="H1072" s="74">
        <v>3045600</v>
      </c>
      <c r="I1072" s="75">
        <f t="shared" si="52"/>
        <v>0</v>
      </c>
      <c r="J1072" s="75" t="s">
        <v>2858</v>
      </c>
      <c r="K1072" s="5">
        <v>46208</v>
      </c>
      <c r="O1072" s="9"/>
      <c r="S1072" s="3"/>
    </row>
    <row r="1073" spans="1:19" ht="15" hidden="1" customHeight="1" x14ac:dyDescent="0.35">
      <c r="A1073" s="26" t="s">
        <v>2551</v>
      </c>
      <c r="B1073" s="27" t="s">
        <v>2486</v>
      </c>
      <c r="C1073" s="28"/>
      <c r="D1073" s="29" t="s">
        <v>2622</v>
      </c>
      <c r="E1073" s="76">
        <v>3000000</v>
      </c>
      <c r="F1073" s="77">
        <f t="shared" si="53"/>
        <v>240000</v>
      </c>
      <c r="G1073" s="31">
        <f t="shared" si="51"/>
        <v>3240000</v>
      </c>
      <c r="H1073" s="74">
        <v>3240000</v>
      </c>
      <c r="I1073" s="75">
        <f t="shared" si="52"/>
        <v>0</v>
      </c>
      <c r="J1073" s="75" t="s">
        <v>2858</v>
      </c>
      <c r="K1073" s="5">
        <v>46208</v>
      </c>
      <c r="O1073" s="9"/>
      <c r="S1073" s="3"/>
    </row>
    <row r="1074" spans="1:19" ht="15" hidden="1" customHeight="1" x14ac:dyDescent="0.35">
      <c r="A1074" s="26" t="s">
        <v>2552</v>
      </c>
      <c r="B1074" s="27" t="s">
        <v>2487</v>
      </c>
      <c r="C1074" s="28"/>
      <c r="D1074" s="29" t="s">
        <v>2622</v>
      </c>
      <c r="E1074" s="76">
        <v>2000000</v>
      </c>
      <c r="F1074" s="77">
        <f t="shared" si="53"/>
        <v>160000</v>
      </c>
      <c r="G1074" s="31">
        <f t="shared" si="51"/>
        <v>2160000</v>
      </c>
      <c r="H1074" s="74">
        <v>2160000</v>
      </c>
      <c r="I1074" s="75">
        <f t="shared" si="52"/>
        <v>0</v>
      </c>
      <c r="J1074" s="75" t="s">
        <v>2858</v>
      </c>
      <c r="K1074" s="5">
        <v>46208</v>
      </c>
      <c r="O1074" s="9"/>
      <c r="S1074" s="3"/>
    </row>
    <row r="1075" spans="1:19" ht="15" hidden="1" customHeight="1" x14ac:dyDescent="0.35">
      <c r="A1075" s="26" t="s">
        <v>2553</v>
      </c>
      <c r="B1075" s="27" t="s">
        <v>2488</v>
      </c>
      <c r="C1075" s="28"/>
      <c r="D1075" s="29" t="s">
        <v>2622</v>
      </c>
      <c r="E1075" s="76">
        <v>1800000</v>
      </c>
      <c r="F1075" s="77">
        <f t="shared" si="53"/>
        <v>144000</v>
      </c>
      <c r="G1075" s="31">
        <f t="shared" si="51"/>
        <v>1944000</v>
      </c>
      <c r="H1075" s="74">
        <v>1944000</v>
      </c>
      <c r="I1075" s="75">
        <f t="shared" si="52"/>
        <v>0</v>
      </c>
      <c r="J1075" s="75" t="s">
        <v>2858</v>
      </c>
      <c r="K1075" s="5">
        <v>46208</v>
      </c>
      <c r="O1075" s="9"/>
      <c r="S1075" s="3"/>
    </row>
    <row r="1076" spans="1:19" ht="15" hidden="1" customHeight="1" x14ac:dyDescent="0.35">
      <c r="A1076" s="26" t="s">
        <v>2554</v>
      </c>
      <c r="B1076" s="27" t="s">
        <v>2489</v>
      </c>
      <c r="C1076" s="28"/>
      <c r="D1076" s="29" t="s">
        <v>2622</v>
      </c>
      <c r="E1076" s="76">
        <v>1005000</v>
      </c>
      <c r="F1076" s="77">
        <f t="shared" si="53"/>
        <v>80400</v>
      </c>
      <c r="G1076" s="31">
        <f t="shared" si="51"/>
        <v>1085400</v>
      </c>
      <c r="H1076" s="74">
        <v>1085400</v>
      </c>
      <c r="I1076" s="75">
        <f t="shared" si="52"/>
        <v>0</v>
      </c>
      <c r="J1076" s="75" t="s">
        <v>2858</v>
      </c>
      <c r="K1076" s="5">
        <v>46208</v>
      </c>
      <c r="O1076" s="9"/>
      <c r="S1076" s="3"/>
    </row>
    <row r="1077" spans="1:19" ht="15" hidden="1" customHeight="1" x14ac:dyDescent="0.35">
      <c r="A1077" s="26" t="s">
        <v>2555</v>
      </c>
      <c r="B1077" s="27" t="s">
        <v>2490</v>
      </c>
      <c r="C1077" s="28"/>
      <c r="D1077" s="29" t="s">
        <v>2622</v>
      </c>
      <c r="E1077" s="76">
        <v>1005000</v>
      </c>
      <c r="F1077" s="77">
        <f t="shared" si="53"/>
        <v>80400</v>
      </c>
      <c r="G1077" s="31">
        <f t="shared" si="51"/>
        <v>1085400</v>
      </c>
      <c r="H1077" s="74">
        <v>1085400</v>
      </c>
      <c r="I1077" s="75">
        <f t="shared" si="52"/>
        <v>0</v>
      </c>
      <c r="J1077" s="75" t="s">
        <v>2858</v>
      </c>
      <c r="K1077" s="5">
        <v>46208</v>
      </c>
      <c r="O1077" s="9"/>
      <c r="S1077" s="3"/>
    </row>
    <row r="1078" spans="1:19" ht="15" hidden="1" customHeight="1" x14ac:dyDescent="0.35">
      <c r="A1078" s="26" t="s">
        <v>2556</v>
      </c>
      <c r="B1078" s="27" t="s">
        <v>2491</v>
      </c>
      <c r="C1078" s="28"/>
      <c r="D1078" s="29" t="s">
        <v>2622</v>
      </c>
      <c r="E1078" s="76">
        <v>1005000</v>
      </c>
      <c r="F1078" s="77">
        <f t="shared" si="53"/>
        <v>80400</v>
      </c>
      <c r="G1078" s="31">
        <f t="shared" si="51"/>
        <v>1085400</v>
      </c>
      <c r="H1078" s="74">
        <v>1085400</v>
      </c>
      <c r="I1078" s="75">
        <f t="shared" si="52"/>
        <v>0</v>
      </c>
      <c r="J1078" s="75" t="s">
        <v>2858</v>
      </c>
      <c r="K1078" s="5">
        <v>46208</v>
      </c>
      <c r="O1078" s="9"/>
      <c r="S1078" s="3"/>
    </row>
    <row r="1079" spans="1:19" ht="15" hidden="1" customHeight="1" x14ac:dyDescent="0.35">
      <c r="A1079" s="26" t="s">
        <v>2557</v>
      </c>
      <c r="B1079" s="27" t="s">
        <v>2492</v>
      </c>
      <c r="C1079" s="28"/>
      <c r="D1079" s="29" t="s">
        <v>2622</v>
      </c>
      <c r="E1079" s="76">
        <v>1005000</v>
      </c>
      <c r="F1079" s="77">
        <f t="shared" si="53"/>
        <v>80400</v>
      </c>
      <c r="G1079" s="31">
        <f t="shared" ref="G1079:G1140" si="54">+F1079+E1079</f>
        <v>1085400</v>
      </c>
      <c r="H1079" s="74">
        <v>1085400</v>
      </c>
      <c r="I1079" s="75">
        <f t="shared" si="52"/>
        <v>0</v>
      </c>
      <c r="J1079" s="75" t="s">
        <v>2858</v>
      </c>
      <c r="K1079" s="5">
        <v>46208</v>
      </c>
      <c r="O1079" s="9"/>
      <c r="S1079" s="3"/>
    </row>
    <row r="1080" spans="1:19" ht="15" hidden="1" customHeight="1" x14ac:dyDescent="0.35">
      <c r="A1080" s="26" t="s">
        <v>2558</v>
      </c>
      <c r="B1080" s="27" t="s">
        <v>2493</v>
      </c>
      <c r="C1080" s="28"/>
      <c r="D1080" s="29" t="s">
        <v>2622</v>
      </c>
      <c r="E1080" s="76">
        <v>10320000</v>
      </c>
      <c r="F1080" s="77">
        <f t="shared" si="53"/>
        <v>825600</v>
      </c>
      <c r="G1080" s="31">
        <f t="shared" si="54"/>
        <v>11145600</v>
      </c>
      <c r="H1080" s="74">
        <v>11145600</v>
      </c>
      <c r="I1080" s="75">
        <f t="shared" si="52"/>
        <v>0</v>
      </c>
      <c r="J1080" s="75" t="s">
        <v>2858</v>
      </c>
      <c r="K1080" s="5">
        <v>46208</v>
      </c>
      <c r="O1080" s="9"/>
      <c r="S1080" s="3"/>
    </row>
    <row r="1081" spans="1:19" ht="15" hidden="1" customHeight="1" x14ac:dyDescent="0.35">
      <c r="A1081" s="26" t="s">
        <v>2559</v>
      </c>
      <c r="B1081" s="27" t="s">
        <v>2494</v>
      </c>
      <c r="C1081" s="28"/>
      <c r="D1081" s="29" t="s">
        <v>2622</v>
      </c>
      <c r="E1081" s="76">
        <v>1920000</v>
      </c>
      <c r="F1081" s="77">
        <f t="shared" si="53"/>
        <v>153600</v>
      </c>
      <c r="G1081" s="31">
        <f t="shared" si="54"/>
        <v>2073600</v>
      </c>
      <c r="H1081" s="74">
        <v>2073600</v>
      </c>
      <c r="I1081" s="75">
        <f t="shared" si="52"/>
        <v>0</v>
      </c>
      <c r="J1081" s="75" t="s">
        <v>2858</v>
      </c>
      <c r="K1081" s="5">
        <v>46208</v>
      </c>
      <c r="O1081" s="9"/>
      <c r="S1081" s="3"/>
    </row>
    <row r="1082" spans="1:19" ht="15" hidden="1" customHeight="1" x14ac:dyDescent="0.35">
      <c r="A1082" s="26" t="s">
        <v>2560</v>
      </c>
      <c r="B1082" s="27" t="s">
        <v>2495</v>
      </c>
      <c r="C1082" s="28"/>
      <c r="D1082" s="29" t="s">
        <v>2622</v>
      </c>
      <c r="E1082" s="76">
        <v>2010000</v>
      </c>
      <c r="F1082" s="77">
        <f t="shared" si="53"/>
        <v>160800</v>
      </c>
      <c r="G1082" s="31">
        <f t="shared" si="54"/>
        <v>2170800</v>
      </c>
      <c r="H1082" s="74">
        <v>2170800</v>
      </c>
      <c r="I1082" s="75">
        <f t="shared" si="52"/>
        <v>0</v>
      </c>
      <c r="J1082" s="75" t="s">
        <v>2858</v>
      </c>
      <c r="K1082" s="5">
        <v>46208</v>
      </c>
      <c r="O1082" s="9"/>
      <c r="S1082" s="3"/>
    </row>
    <row r="1083" spans="1:19" ht="15" hidden="1" customHeight="1" x14ac:dyDescent="0.35">
      <c r="A1083" s="26" t="s">
        <v>2561</v>
      </c>
      <c r="B1083" s="27" t="s">
        <v>2496</v>
      </c>
      <c r="C1083" s="28">
        <v>4430</v>
      </c>
      <c r="D1083" s="29">
        <v>46175</v>
      </c>
      <c r="E1083" s="76">
        <v>4866000</v>
      </c>
      <c r="F1083" s="77">
        <f t="shared" si="53"/>
        <v>389280</v>
      </c>
      <c r="G1083" s="31">
        <f t="shared" si="54"/>
        <v>5255280</v>
      </c>
      <c r="H1083" s="74">
        <v>5255280</v>
      </c>
      <c r="I1083" s="75">
        <f t="shared" si="52"/>
        <v>0</v>
      </c>
      <c r="J1083" s="75"/>
      <c r="K1083" s="5">
        <v>46218</v>
      </c>
      <c r="O1083" s="9"/>
      <c r="S1083" s="3"/>
    </row>
    <row r="1084" spans="1:19" ht="15" hidden="1" customHeight="1" x14ac:dyDescent="0.35">
      <c r="A1084" s="26" t="s">
        <v>2562</v>
      </c>
      <c r="B1084" s="27" t="s">
        <v>2497</v>
      </c>
      <c r="C1084" s="28"/>
      <c r="D1084" s="29" t="s">
        <v>2622</v>
      </c>
      <c r="E1084" s="76">
        <v>640000</v>
      </c>
      <c r="F1084" s="77">
        <f t="shared" si="53"/>
        <v>51200</v>
      </c>
      <c r="G1084" s="31">
        <f t="shared" si="54"/>
        <v>691200</v>
      </c>
      <c r="H1084" s="74">
        <v>691200</v>
      </c>
      <c r="I1084" s="75">
        <f t="shared" si="52"/>
        <v>0</v>
      </c>
      <c r="J1084" s="75" t="s">
        <v>2858</v>
      </c>
      <c r="K1084" s="5">
        <v>46208</v>
      </c>
      <c r="O1084" s="9"/>
      <c r="S1084" s="3"/>
    </row>
    <row r="1085" spans="1:19" ht="15" hidden="1" customHeight="1" x14ac:dyDescent="0.35">
      <c r="A1085" s="26" t="s">
        <v>2563</v>
      </c>
      <c r="B1085" s="27" t="s">
        <v>2498</v>
      </c>
      <c r="C1085" s="28"/>
      <c r="D1085" s="29" t="s">
        <v>2622</v>
      </c>
      <c r="E1085" s="76">
        <v>2790000</v>
      </c>
      <c r="F1085" s="77">
        <f t="shared" si="53"/>
        <v>223200</v>
      </c>
      <c r="G1085" s="31">
        <f t="shared" si="54"/>
        <v>3013200</v>
      </c>
      <c r="H1085" s="74">
        <v>3013200</v>
      </c>
      <c r="I1085" s="75">
        <f t="shared" si="52"/>
        <v>0</v>
      </c>
      <c r="J1085" s="75" t="s">
        <v>2858</v>
      </c>
      <c r="K1085" s="5">
        <v>46208</v>
      </c>
      <c r="O1085" s="9"/>
      <c r="S1085" s="3"/>
    </row>
    <row r="1086" spans="1:19" ht="15" hidden="1" customHeight="1" x14ac:dyDescent="0.35">
      <c r="A1086" s="26" t="s">
        <v>2564</v>
      </c>
      <c r="B1086" s="27" t="s">
        <v>2499</v>
      </c>
      <c r="C1086" s="28"/>
      <c r="D1086" s="29" t="s">
        <v>2623</v>
      </c>
      <c r="E1086" s="76">
        <v>1132800</v>
      </c>
      <c r="F1086" s="77">
        <f t="shared" si="53"/>
        <v>90624</v>
      </c>
      <c r="G1086" s="31">
        <f t="shared" si="54"/>
        <v>1223424</v>
      </c>
      <c r="H1086" s="74">
        <v>1223424</v>
      </c>
      <c r="I1086" s="75">
        <f t="shared" si="52"/>
        <v>0</v>
      </c>
      <c r="J1086" s="85" t="s">
        <v>2858</v>
      </c>
      <c r="L1086" s="5">
        <v>46208</v>
      </c>
      <c r="O1086" s="9"/>
      <c r="S1086" s="3"/>
    </row>
    <row r="1087" spans="1:19" ht="15" hidden="1" customHeight="1" x14ac:dyDescent="0.35">
      <c r="A1087" s="26" t="s">
        <v>2565</v>
      </c>
      <c r="B1087" s="27" t="s">
        <v>2500</v>
      </c>
      <c r="C1087" s="28"/>
      <c r="D1087" s="29" t="s">
        <v>2623</v>
      </c>
      <c r="E1087" s="76">
        <v>960000</v>
      </c>
      <c r="F1087" s="77">
        <f t="shared" si="53"/>
        <v>76800</v>
      </c>
      <c r="G1087" s="31">
        <f t="shared" si="54"/>
        <v>1036800</v>
      </c>
      <c r="H1087" s="74">
        <v>1036800</v>
      </c>
      <c r="I1087" s="75">
        <f t="shared" si="52"/>
        <v>0</v>
      </c>
      <c r="J1087" s="75" t="s">
        <v>2858</v>
      </c>
      <c r="K1087" s="5">
        <v>46208</v>
      </c>
      <c r="O1087" s="9"/>
      <c r="S1087" s="3"/>
    </row>
    <row r="1088" spans="1:19" ht="15" hidden="1" customHeight="1" x14ac:dyDescent="0.35">
      <c r="A1088" s="26" t="s">
        <v>2566</v>
      </c>
      <c r="B1088" s="27" t="s">
        <v>2501</v>
      </c>
      <c r="C1088" s="28"/>
      <c r="D1088" s="29" t="s">
        <v>2623</v>
      </c>
      <c r="E1088" s="76">
        <v>1040000</v>
      </c>
      <c r="F1088" s="77">
        <f t="shared" si="53"/>
        <v>83200</v>
      </c>
      <c r="G1088" s="31">
        <f t="shared" si="54"/>
        <v>1123200</v>
      </c>
      <c r="H1088" s="74">
        <v>1123200</v>
      </c>
      <c r="I1088" s="75">
        <f t="shared" si="52"/>
        <v>0</v>
      </c>
      <c r="J1088" s="75" t="s">
        <v>2858</v>
      </c>
      <c r="K1088" s="5">
        <v>46208</v>
      </c>
      <c r="O1088" s="9"/>
      <c r="S1088" s="3"/>
    </row>
    <row r="1089" spans="1:19" ht="15" hidden="1" customHeight="1" x14ac:dyDescent="0.35">
      <c r="A1089" s="26" t="s">
        <v>2567</v>
      </c>
      <c r="B1089" s="32" t="s">
        <v>382</v>
      </c>
      <c r="C1089" s="28"/>
      <c r="D1089" s="29" t="s">
        <v>2624</v>
      </c>
      <c r="E1089" s="76">
        <v>1972800</v>
      </c>
      <c r="F1089" s="77">
        <f t="shared" si="53"/>
        <v>157824</v>
      </c>
      <c r="G1089" s="31">
        <f t="shared" si="54"/>
        <v>2130624</v>
      </c>
      <c r="H1089" s="74">
        <v>2130624</v>
      </c>
      <c r="I1089" s="75">
        <f t="shared" si="52"/>
        <v>0</v>
      </c>
      <c r="J1089" s="85" t="s">
        <v>2858</v>
      </c>
      <c r="L1089" s="5">
        <v>46208</v>
      </c>
      <c r="O1089" s="9"/>
      <c r="S1089" s="3"/>
    </row>
    <row r="1090" spans="1:19" ht="15" hidden="1" customHeight="1" x14ac:dyDescent="0.35">
      <c r="A1090" s="26" t="s">
        <v>2568</v>
      </c>
      <c r="B1090" s="27" t="s">
        <v>383</v>
      </c>
      <c r="C1090" s="28"/>
      <c r="D1090" s="29" t="s">
        <v>2624</v>
      </c>
      <c r="E1090" s="76">
        <v>1132800</v>
      </c>
      <c r="F1090" s="77">
        <f t="shared" si="53"/>
        <v>90624</v>
      </c>
      <c r="G1090" s="31">
        <f t="shared" si="54"/>
        <v>1223424</v>
      </c>
      <c r="H1090" s="74">
        <v>1223424</v>
      </c>
      <c r="I1090" s="75">
        <f t="shared" si="52"/>
        <v>0</v>
      </c>
      <c r="J1090" s="85" t="s">
        <v>2858</v>
      </c>
      <c r="L1090" s="5">
        <v>46208</v>
      </c>
      <c r="O1090" s="9"/>
      <c r="S1090" s="3"/>
    </row>
    <row r="1091" spans="1:19" ht="15" hidden="1" customHeight="1" x14ac:dyDescent="0.35">
      <c r="A1091" s="26" t="s">
        <v>2569</v>
      </c>
      <c r="B1091" s="27" t="s">
        <v>384</v>
      </c>
      <c r="C1091" s="28"/>
      <c r="D1091" s="29" t="s">
        <v>2624</v>
      </c>
      <c r="E1091" s="76">
        <v>840000</v>
      </c>
      <c r="F1091" s="77">
        <f t="shared" si="53"/>
        <v>67200</v>
      </c>
      <c r="G1091" s="31">
        <f t="shared" si="54"/>
        <v>907200</v>
      </c>
      <c r="H1091" s="74">
        <v>907200</v>
      </c>
      <c r="I1091" s="75">
        <f t="shared" si="52"/>
        <v>0</v>
      </c>
      <c r="J1091" s="85" t="s">
        <v>2858</v>
      </c>
      <c r="L1091" s="5">
        <v>46208</v>
      </c>
      <c r="O1091" s="9"/>
      <c r="S1091" s="3"/>
    </row>
    <row r="1092" spans="1:19" ht="15" hidden="1" customHeight="1" x14ac:dyDescent="0.35">
      <c r="A1092" s="26" t="s">
        <v>2570</v>
      </c>
      <c r="B1092" s="27" t="s">
        <v>385</v>
      </c>
      <c r="C1092" s="28"/>
      <c r="D1092" s="29" t="s">
        <v>2624</v>
      </c>
      <c r="E1092" s="76">
        <v>840000</v>
      </c>
      <c r="F1092" s="77">
        <f t="shared" si="53"/>
        <v>67200</v>
      </c>
      <c r="G1092" s="31">
        <f t="shared" si="54"/>
        <v>907200</v>
      </c>
      <c r="H1092" s="74">
        <v>907200</v>
      </c>
      <c r="I1092" s="75">
        <f t="shared" si="52"/>
        <v>0</v>
      </c>
      <c r="J1092" s="85" t="s">
        <v>2858</v>
      </c>
      <c r="L1092" s="5">
        <v>46208</v>
      </c>
      <c r="O1092" s="9"/>
      <c r="S1092" s="3"/>
    </row>
    <row r="1093" spans="1:19" ht="15" hidden="1" customHeight="1" x14ac:dyDescent="0.35">
      <c r="A1093" s="26" t="s">
        <v>2571</v>
      </c>
      <c r="B1093" s="27" t="s">
        <v>386</v>
      </c>
      <c r="C1093" s="28"/>
      <c r="D1093" s="29" t="s">
        <v>2624</v>
      </c>
      <c r="E1093" s="76">
        <v>840000</v>
      </c>
      <c r="F1093" s="77">
        <f t="shared" si="53"/>
        <v>67200</v>
      </c>
      <c r="G1093" s="31">
        <f t="shared" si="54"/>
        <v>907200</v>
      </c>
      <c r="H1093" s="74">
        <v>907200</v>
      </c>
      <c r="I1093" s="75">
        <f t="shared" si="52"/>
        <v>0</v>
      </c>
      <c r="J1093" s="85" t="s">
        <v>2858</v>
      </c>
      <c r="L1093" s="5">
        <v>46208</v>
      </c>
      <c r="O1093" s="9"/>
      <c r="S1093" s="3"/>
    </row>
    <row r="1094" spans="1:19" ht="15" hidden="1" customHeight="1" x14ac:dyDescent="0.35">
      <c r="A1094" s="26" t="s">
        <v>2572</v>
      </c>
      <c r="B1094" s="27" t="s">
        <v>387</v>
      </c>
      <c r="C1094" s="28"/>
      <c r="D1094" s="29" t="s">
        <v>2624</v>
      </c>
      <c r="E1094" s="76">
        <v>840000</v>
      </c>
      <c r="F1094" s="77">
        <f t="shared" si="53"/>
        <v>67200</v>
      </c>
      <c r="G1094" s="31">
        <f t="shared" si="54"/>
        <v>907200</v>
      </c>
      <c r="H1094" s="74">
        <v>907200</v>
      </c>
      <c r="I1094" s="75">
        <f t="shared" si="52"/>
        <v>0</v>
      </c>
      <c r="J1094" s="85" t="s">
        <v>2858</v>
      </c>
      <c r="L1094" s="5">
        <v>46208</v>
      </c>
      <c r="O1094" s="9"/>
      <c r="S1094" s="3"/>
    </row>
    <row r="1095" spans="1:19" ht="15" hidden="1" customHeight="1" x14ac:dyDescent="0.35">
      <c r="A1095" s="26" t="s">
        <v>2573</v>
      </c>
      <c r="B1095" s="32" t="s">
        <v>388</v>
      </c>
      <c r="C1095" s="28"/>
      <c r="D1095" s="29" t="s">
        <v>2624</v>
      </c>
      <c r="E1095" s="76">
        <v>1132800</v>
      </c>
      <c r="F1095" s="77">
        <f t="shared" si="53"/>
        <v>90624</v>
      </c>
      <c r="G1095" s="31">
        <f t="shared" si="54"/>
        <v>1223424</v>
      </c>
      <c r="H1095" s="74">
        <v>1223424</v>
      </c>
      <c r="I1095" s="75">
        <f t="shared" si="52"/>
        <v>0</v>
      </c>
      <c r="J1095" s="85" t="s">
        <v>2858</v>
      </c>
      <c r="L1095" s="5">
        <v>46208</v>
      </c>
      <c r="O1095" s="9"/>
      <c r="S1095" s="3"/>
    </row>
    <row r="1096" spans="1:19" ht="15" hidden="1" customHeight="1" x14ac:dyDescent="0.35">
      <c r="A1096" s="26" t="s">
        <v>2574</v>
      </c>
      <c r="B1096" s="27" t="s">
        <v>389</v>
      </c>
      <c r="C1096" s="28"/>
      <c r="D1096" s="29" t="s">
        <v>2624</v>
      </c>
      <c r="E1096" s="76">
        <v>1132800</v>
      </c>
      <c r="F1096" s="77">
        <f t="shared" si="53"/>
        <v>90624</v>
      </c>
      <c r="G1096" s="31">
        <f t="shared" si="54"/>
        <v>1223424</v>
      </c>
      <c r="H1096" s="74">
        <v>1223424</v>
      </c>
      <c r="I1096" s="75">
        <f t="shared" si="52"/>
        <v>0</v>
      </c>
      <c r="J1096" s="85" t="s">
        <v>2858</v>
      </c>
      <c r="L1096" s="5">
        <v>46208</v>
      </c>
      <c r="O1096" s="9"/>
      <c r="S1096" s="3"/>
    </row>
    <row r="1097" spans="1:19" ht="15" hidden="1" customHeight="1" x14ac:dyDescent="0.35">
      <c r="A1097" s="26" t="s">
        <v>2575</v>
      </c>
      <c r="B1097" s="27" t="s">
        <v>390</v>
      </c>
      <c r="C1097" s="28"/>
      <c r="D1097" s="29" t="s">
        <v>2624</v>
      </c>
      <c r="E1097" s="76">
        <v>1132800</v>
      </c>
      <c r="F1097" s="77">
        <f t="shared" si="53"/>
        <v>90624</v>
      </c>
      <c r="G1097" s="31">
        <f t="shared" si="54"/>
        <v>1223424</v>
      </c>
      <c r="H1097" s="74">
        <v>1223424</v>
      </c>
      <c r="I1097" s="75">
        <f t="shared" si="52"/>
        <v>0</v>
      </c>
      <c r="J1097" s="85" t="s">
        <v>2858</v>
      </c>
      <c r="L1097" s="5">
        <v>46208</v>
      </c>
      <c r="O1097" s="9"/>
      <c r="S1097" s="3"/>
    </row>
    <row r="1098" spans="1:19" ht="15" hidden="1" customHeight="1" x14ac:dyDescent="0.35">
      <c r="A1098" s="26" t="s">
        <v>2576</v>
      </c>
      <c r="B1098" s="27" t="s">
        <v>391</v>
      </c>
      <c r="C1098" s="28"/>
      <c r="D1098" s="29" t="s">
        <v>2624</v>
      </c>
      <c r="E1098" s="76">
        <v>1132800</v>
      </c>
      <c r="F1098" s="77">
        <f t="shared" si="53"/>
        <v>90624</v>
      </c>
      <c r="G1098" s="31">
        <f t="shared" si="54"/>
        <v>1223424</v>
      </c>
      <c r="H1098" s="74">
        <v>1223424</v>
      </c>
      <c r="I1098" s="75">
        <f t="shared" si="52"/>
        <v>0</v>
      </c>
      <c r="J1098" s="85" t="s">
        <v>2858</v>
      </c>
      <c r="L1098" s="5">
        <v>46208</v>
      </c>
      <c r="O1098" s="9"/>
      <c r="S1098" s="3"/>
    </row>
    <row r="1099" spans="1:19" ht="15" hidden="1" customHeight="1" x14ac:dyDescent="0.35">
      <c r="A1099" s="26" t="s">
        <v>2577</v>
      </c>
      <c r="B1099" s="32" t="s">
        <v>392</v>
      </c>
      <c r="C1099" s="28"/>
      <c r="D1099" s="29" t="s">
        <v>2624</v>
      </c>
      <c r="E1099" s="76">
        <v>1132800</v>
      </c>
      <c r="F1099" s="77">
        <f t="shared" si="53"/>
        <v>90624</v>
      </c>
      <c r="G1099" s="31">
        <f t="shared" si="54"/>
        <v>1223424</v>
      </c>
      <c r="H1099" s="74">
        <v>1223424</v>
      </c>
      <c r="I1099" s="75">
        <f t="shared" si="52"/>
        <v>0</v>
      </c>
      <c r="J1099" s="85" t="s">
        <v>2858</v>
      </c>
      <c r="L1099" s="5">
        <v>46208</v>
      </c>
      <c r="O1099" s="9"/>
      <c r="S1099" s="3"/>
    </row>
    <row r="1100" spans="1:19" ht="15" hidden="1" customHeight="1" x14ac:dyDescent="0.35">
      <c r="A1100" s="26" t="s">
        <v>2578</v>
      </c>
      <c r="B1100" s="27" t="s">
        <v>393</v>
      </c>
      <c r="C1100" s="28"/>
      <c r="D1100" s="29" t="s">
        <v>2624</v>
      </c>
      <c r="E1100" s="76">
        <v>1972800</v>
      </c>
      <c r="F1100" s="77">
        <f t="shared" si="53"/>
        <v>157824</v>
      </c>
      <c r="G1100" s="31">
        <f t="shared" si="54"/>
        <v>2130624</v>
      </c>
      <c r="H1100" s="74">
        <v>2130624</v>
      </c>
      <c r="I1100" s="75">
        <f t="shared" si="52"/>
        <v>0</v>
      </c>
      <c r="J1100" s="85" t="s">
        <v>2858</v>
      </c>
      <c r="L1100" s="5">
        <v>46208</v>
      </c>
      <c r="O1100" s="9"/>
      <c r="S1100" s="3"/>
    </row>
    <row r="1101" spans="1:19" ht="15" hidden="1" customHeight="1" x14ac:dyDescent="0.35">
      <c r="A1101" s="26" t="s">
        <v>2579</v>
      </c>
      <c r="B1101" s="27" t="s">
        <v>394</v>
      </c>
      <c r="C1101" s="28"/>
      <c r="D1101" s="29" t="s">
        <v>2624</v>
      </c>
      <c r="E1101" s="76">
        <v>1132800</v>
      </c>
      <c r="F1101" s="77">
        <f t="shared" si="53"/>
        <v>90624</v>
      </c>
      <c r="G1101" s="31">
        <f t="shared" si="54"/>
        <v>1223424</v>
      </c>
      <c r="H1101" s="74">
        <v>1223424</v>
      </c>
      <c r="I1101" s="75">
        <f t="shared" si="52"/>
        <v>0</v>
      </c>
      <c r="J1101" s="85" t="s">
        <v>2858</v>
      </c>
      <c r="L1101" s="5">
        <v>46208</v>
      </c>
      <c r="O1101" s="9"/>
      <c r="S1101" s="3"/>
    </row>
    <row r="1102" spans="1:19" ht="15" hidden="1" customHeight="1" x14ac:dyDescent="0.35">
      <c r="A1102" s="26" t="s">
        <v>2580</v>
      </c>
      <c r="B1102" s="27" t="s">
        <v>395</v>
      </c>
      <c r="C1102" s="28"/>
      <c r="D1102" s="29" t="s">
        <v>2624</v>
      </c>
      <c r="E1102" s="76">
        <v>840000</v>
      </c>
      <c r="F1102" s="77">
        <f t="shared" si="53"/>
        <v>67200</v>
      </c>
      <c r="G1102" s="31">
        <f t="shared" si="54"/>
        <v>907200</v>
      </c>
      <c r="H1102" s="74">
        <v>907200</v>
      </c>
      <c r="I1102" s="75">
        <f t="shared" si="52"/>
        <v>0</v>
      </c>
      <c r="J1102" s="85" t="s">
        <v>2858</v>
      </c>
      <c r="L1102" s="5">
        <v>46208</v>
      </c>
      <c r="O1102" s="9"/>
      <c r="S1102" s="3"/>
    </row>
    <row r="1103" spans="1:19" ht="15" hidden="1" customHeight="1" x14ac:dyDescent="0.35">
      <c r="A1103" s="26" t="s">
        <v>2581</v>
      </c>
      <c r="B1103" s="27" t="s">
        <v>396</v>
      </c>
      <c r="C1103" s="28"/>
      <c r="D1103" s="29" t="s">
        <v>2624</v>
      </c>
      <c r="E1103" s="76">
        <v>1972800</v>
      </c>
      <c r="F1103" s="77">
        <f t="shared" si="53"/>
        <v>157824</v>
      </c>
      <c r="G1103" s="31">
        <f t="shared" si="54"/>
        <v>2130624</v>
      </c>
      <c r="H1103" s="74">
        <v>2130624</v>
      </c>
      <c r="I1103" s="75">
        <f t="shared" si="52"/>
        <v>0</v>
      </c>
      <c r="J1103" s="85" t="s">
        <v>2858</v>
      </c>
      <c r="L1103" s="5">
        <v>46208</v>
      </c>
      <c r="O1103" s="9"/>
      <c r="S1103" s="3"/>
    </row>
    <row r="1104" spans="1:19" ht="15" hidden="1" customHeight="1" x14ac:dyDescent="0.35">
      <c r="A1104" s="26" t="s">
        <v>2582</v>
      </c>
      <c r="B1104" s="27" t="s">
        <v>397</v>
      </c>
      <c r="C1104" s="28"/>
      <c r="D1104" s="29" t="s">
        <v>2624</v>
      </c>
      <c r="E1104" s="76">
        <v>1680000</v>
      </c>
      <c r="F1104" s="77">
        <f t="shared" si="53"/>
        <v>134400</v>
      </c>
      <c r="G1104" s="31">
        <f t="shared" si="54"/>
        <v>1814400</v>
      </c>
      <c r="H1104" s="74">
        <v>1814400</v>
      </c>
      <c r="I1104" s="75">
        <f t="shared" si="52"/>
        <v>0</v>
      </c>
      <c r="J1104" s="85" t="s">
        <v>2858</v>
      </c>
      <c r="L1104" s="5">
        <v>46208</v>
      </c>
      <c r="O1104" s="9"/>
      <c r="S1104" s="3"/>
    </row>
    <row r="1105" spans="1:19" ht="15" hidden="1" customHeight="1" x14ac:dyDescent="0.35">
      <c r="A1105" s="26" t="s">
        <v>2583</v>
      </c>
      <c r="B1105" s="27" t="s">
        <v>398</v>
      </c>
      <c r="C1105" s="28"/>
      <c r="D1105" s="29" t="s">
        <v>2624</v>
      </c>
      <c r="E1105" s="76">
        <v>840000</v>
      </c>
      <c r="F1105" s="77">
        <f t="shared" si="53"/>
        <v>67200</v>
      </c>
      <c r="G1105" s="31">
        <f t="shared" si="54"/>
        <v>907200</v>
      </c>
      <c r="H1105" s="74">
        <v>907200</v>
      </c>
      <c r="I1105" s="75">
        <f t="shared" si="52"/>
        <v>0</v>
      </c>
      <c r="J1105" s="85" t="s">
        <v>2858</v>
      </c>
      <c r="L1105" s="5">
        <v>46208</v>
      </c>
      <c r="O1105" s="9"/>
      <c r="S1105" s="3"/>
    </row>
    <row r="1106" spans="1:19" ht="15" hidden="1" customHeight="1" x14ac:dyDescent="0.35">
      <c r="A1106" s="26" t="s">
        <v>2584</v>
      </c>
      <c r="B1106" s="32" t="s">
        <v>399</v>
      </c>
      <c r="C1106" s="28"/>
      <c r="D1106" s="29" t="s">
        <v>2624</v>
      </c>
      <c r="E1106" s="76">
        <v>1972800</v>
      </c>
      <c r="F1106" s="77">
        <f t="shared" si="53"/>
        <v>157824</v>
      </c>
      <c r="G1106" s="31">
        <f t="shared" si="54"/>
        <v>2130624</v>
      </c>
      <c r="H1106" s="74">
        <v>2130624</v>
      </c>
      <c r="I1106" s="75">
        <f t="shared" si="52"/>
        <v>0</v>
      </c>
      <c r="J1106" s="85" t="s">
        <v>2858</v>
      </c>
      <c r="L1106" s="5">
        <v>46208</v>
      </c>
      <c r="O1106" s="9"/>
      <c r="S1106" s="3"/>
    </row>
    <row r="1107" spans="1:19" ht="15" hidden="1" customHeight="1" x14ac:dyDescent="0.35">
      <c r="A1107" s="26" t="s">
        <v>2585</v>
      </c>
      <c r="B1107" s="32" t="s">
        <v>2502</v>
      </c>
      <c r="C1107" s="28">
        <v>4325</v>
      </c>
      <c r="D1107" s="29">
        <v>46171</v>
      </c>
      <c r="E1107" s="76">
        <v>4097000</v>
      </c>
      <c r="F1107" s="77">
        <f t="shared" si="53"/>
        <v>327760</v>
      </c>
      <c r="G1107" s="31">
        <f t="shared" si="54"/>
        <v>4424760</v>
      </c>
      <c r="H1107" s="74">
        <v>4424760</v>
      </c>
      <c r="I1107" s="75">
        <f t="shared" si="52"/>
        <v>0</v>
      </c>
      <c r="J1107" s="75" t="s">
        <v>2858</v>
      </c>
      <c r="K1107" s="5">
        <v>46218</v>
      </c>
      <c r="O1107" s="9"/>
      <c r="S1107" s="3"/>
    </row>
    <row r="1108" spans="1:19" ht="15" hidden="1" customHeight="1" x14ac:dyDescent="0.35">
      <c r="A1108" s="26" t="s">
        <v>2586</v>
      </c>
      <c r="B1108" s="32" t="s">
        <v>2503</v>
      </c>
      <c r="C1108" s="28"/>
      <c r="D1108" s="29" t="s">
        <v>2625</v>
      </c>
      <c r="E1108" s="76">
        <v>1132800</v>
      </c>
      <c r="F1108" s="77">
        <f t="shared" si="53"/>
        <v>90624</v>
      </c>
      <c r="G1108" s="31">
        <f t="shared" si="54"/>
        <v>1223424</v>
      </c>
      <c r="H1108" s="74">
        <v>1223424</v>
      </c>
      <c r="I1108" s="75">
        <f t="shared" si="52"/>
        <v>0</v>
      </c>
      <c r="J1108" s="75"/>
      <c r="L1108" s="5">
        <v>46208</v>
      </c>
      <c r="O1108" s="9"/>
      <c r="S1108" s="3"/>
    </row>
    <row r="1109" spans="1:19" ht="15" hidden="1" customHeight="1" x14ac:dyDescent="0.35">
      <c r="A1109" s="26" t="s">
        <v>2587</v>
      </c>
      <c r="B1109" s="32" t="s">
        <v>2504</v>
      </c>
      <c r="C1109" s="28"/>
      <c r="D1109" s="29" t="s">
        <v>2625</v>
      </c>
      <c r="E1109" s="76">
        <v>6410000</v>
      </c>
      <c r="F1109" s="77">
        <f t="shared" si="53"/>
        <v>512800</v>
      </c>
      <c r="G1109" s="31">
        <f t="shared" si="54"/>
        <v>6922800</v>
      </c>
      <c r="H1109" s="74">
        <v>6922800</v>
      </c>
      <c r="I1109" s="75">
        <f t="shared" si="52"/>
        <v>0</v>
      </c>
      <c r="J1109" s="75" t="s">
        <v>2858</v>
      </c>
      <c r="K1109" s="5">
        <v>46218</v>
      </c>
      <c r="O1109" s="9"/>
      <c r="S1109" s="3"/>
    </row>
    <row r="1110" spans="1:19" ht="15" hidden="1" customHeight="1" x14ac:dyDescent="0.35">
      <c r="A1110" s="26" t="s">
        <v>2588</v>
      </c>
      <c r="B1110" s="27" t="s">
        <v>2505</v>
      </c>
      <c r="C1110" s="28"/>
      <c r="D1110" s="29" t="s">
        <v>2625</v>
      </c>
      <c r="E1110" s="76">
        <v>2040000</v>
      </c>
      <c r="F1110" s="77">
        <f t="shared" si="53"/>
        <v>163200</v>
      </c>
      <c r="G1110" s="31">
        <f t="shared" si="54"/>
        <v>2203200</v>
      </c>
      <c r="H1110" s="74">
        <v>2203200</v>
      </c>
      <c r="I1110" s="75">
        <f t="shared" si="52"/>
        <v>0</v>
      </c>
      <c r="J1110" s="75" t="s">
        <v>2858</v>
      </c>
      <c r="K1110" s="5">
        <v>46208</v>
      </c>
      <c r="O1110" s="9"/>
      <c r="S1110" s="3"/>
    </row>
    <row r="1111" spans="1:19" ht="15" hidden="1" customHeight="1" x14ac:dyDescent="0.35">
      <c r="A1111" s="26" t="s">
        <v>2589</v>
      </c>
      <c r="B1111" s="27" t="s">
        <v>2506</v>
      </c>
      <c r="C1111" s="28"/>
      <c r="D1111" s="29" t="s">
        <v>2625</v>
      </c>
      <c r="E1111" s="76">
        <v>3960000</v>
      </c>
      <c r="F1111" s="77">
        <f t="shared" si="53"/>
        <v>316800</v>
      </c>
      <c r="G1111" s="31">
        <f t="shared" si="54"/>
        <v>4276800</v>
      </c>
      <c r="H1111" s="74">
        <v>4276800</v>
      </c>
      <c r="I1111" s="75">
        <f t="shared" si="52"/>
        <v>0</v>
      </c>
      <c r="J1111" s="75" t="s">
        <v>2858</v>
      </c>
      <c r="K1111" s="5">
        <v>46218</v>
      </c>
      <c r="O1111" s="9"/>
      <c r="S1111" s="3"/>
    </row>
    <row r="1112" spans="1:19" ht="15" hidden="1" customHeight="1" x14ac:dyDescent="0.35">
      <c r="A1112" s="26" t="s">
        <v>2590</v>
      </c>
      <c r="B1112" s="27" t="s">
        <v>2507</v>
      </c>
      <c r="C1112" s="28"/>
      <c r="D1112" s="29" t="s">
        <v>2625</v>
      </c>
      <c r="E1112" s="76">
        <v>5725000</v>
      </c>
      <c r="F1112" s="77">
        <f t="shared" si="53"/>
        <v>458000</v>
      </c>
      <c r="G1112" s="31">
        <f t="shared" si="54"/>
        <v>6183000</v>
      </c>
      <c r="H1112" s="74">
        <v>6183000</v>
      </c>
      <c r="I1112" s="75">
        <f t="shared" si="52"/>
        <v>0</v>
      </c>
      <c r="J1112" s="75" t="s">
        <v>2858</v>
      </c>
      <c r="K1112" s="5">
        <v>46208</v>
      </c>
      <c r="O1112" s="9"/>
      <c r="S1112" s="3"/>
    </row>
    <row r="1113" spans="1:19" ht="15" hidden="1" customHeight="1" x14ac:dyDescent="0.35">
      <c r="A1113" s="26" t="s">
        <v>2591</v>
      </c>
      <c r="B1113" s="27" t="s">
        <v>2508</v>
      </c>
      <c r="C1113" s="28"/>
      <c r="D1113" s="29" t="s">
        <v>2625</v>
      </c>
      <c r="E1113" s="76">
        <v>1005000</v>
      </c>
      <c r="F1113" s="77">
        <f t="shared" si="53"/>
        <v>80400</v>
      </c>
      <c r="G1113" s="31">
        <f t="shared" si="54"/>
        <v>1085400</v>
      </c>
      <c r="H1113" s="74">
        <v>1085400</v>
      </c>
      <c r="I1113" s="75">
        <f t="shared" si="52"/>
        <v>0</v>
      </c>
      <c r="J1113" s="75" t="s">
        <v>2858</v>
      </c>
      <c r="K1113" s="5">
        <v>46208</v>
      </c>
      <c r="O1113" s="9"/>
      <c r="S1113" s="3"/>
    </row>
    <row r="1114" spans="1:19" ht="15" hidden="1" customHeight="1" x14ac:dyDescent="0.35">
      <c r="A1114" s="26" t="s">
        <v>2592</v>
      </c>
      <c r="B1114" s="27" t="s">
        <v>2509</v>
      </c>
      <c r="C1114" s="28"/>
      <c r="D1114" s="29" t="s">
        <v>2625</v>
      </c>
      <c r="E1114" s="76">
        <v>6095000</v>
      </c>
      <c r="F1114" s="77">
        <f t="shared" si="53"/>
        <v>487600</v>
      </c>
      <c r="G1114" s="31">
        <f t="shared" si="54"/>
        <v>6582600</v>
      </c>
      <c r="H1114" s="74">
        <v>6582600</v>
      </c>
      <c r="I1114" s="75">
        <f t="shared" si="52"/>
        <v>0</v>
      </c>
      <c r="J1114" s="75" t="s">
        <v>2858</v>
      </c>
      <c r="K1114" s="5">
        <v>46218</v>
      </c>
      <c r="O1114" s="9"/>
      <c r="S1114" s="3"/>
    </row>
    <row r="1115" spans="1:19" ht="15" hidden="1" customHeight="1" x14ac:dyDescent="0.35">
      <c r="A1115" s="26" t="s">
        <v>2593</v>
      </c>
      <c r="B1115" s="32" t="s">
        <v>2510</v>
      </c>
      <c r="C1115" s="28"/>
      <c r="D1115" s="29" t="s">
        <v>2625</v>
      </c>
      <c r="E1115" s="76">
        <v>6645000</v>
      </c>
      <c r="F1115" s="77">
        <f t="shared" si="53"/>
        <v>531600</v>
      </c>
      <c r="G1115" s="31">
        <f t="shared" si="54"/>
        <v>7176600</v>
      </c>
      <c r="H1115" s="74">
        <v>7176600</v>
      </c>
      <c r="I1115" s="75">
        <f t="shared" si="52"/>
        <v>0</v>
      </c>
      <c r="J1115" s="75" t="s">
        <v>2858</v>
      </c>
      <c r="K1115" s="5">
        <v>46208</v>
      </c>
      <c r="O1115" s="9"/>
      <c r="S1115" s="3"/>
    </row>
    <row r="1116" spans="1:19" ht="15" hidden="1" customHeight="1" x14ac:dyDescent="0.35">
      <c r="A1116" s="26" t="s">
        <v>2594</v>
      </c>
      <c r="B1116" s="27" t="s">
        <v>400</v>
      </c>
      <c r="C1116" s="28"/>
      <c r="D1116" s="29" t="s">
        <v>2625</v>
      </c>
      <c r="E1116" s="76">
        <v>2010000</v>
      </c>
      <c r="F1116" s="77">
        <f t="shared" si="53"/>
        <v>160800</v>
      </c>
      <c r="G1116" s="31">
        <f t="shared" si="54"/>
        <v>2170800</v>
      </c>
      <c r="H1116" s="74">
        <v>2170800</v>
      </c>
      <c r="I1116" s="75">
        <f t="shared" si="52"/>
        <v>0</v>
      </c>
      <c r="J1116" s="75" t="s">
        <v>2858</v>
      </c>
      <c r="K1116" s="5">
        <v>46208</v>
      </c>
      <c r="O1116" s="9"/>
      <c r="S1116" s="3"/>
    </row>
    <row r="1117" spans="1:19" ht="15" hidden="1" customHeight="1" x14ac:dyDescent="0.35">
      <c r="A1117" s="26" t="s">
        <v>2595</v>
      </c>
      <c r="B1117" s="27" t="s">
        <v>2511</v>
      </c>
      <c r="C1117" s="28">
        <v>4327</v>
      </c>
      <c r="D1117" s="29">
        <v>46171</v>
      </c>
      <c r="E1117" s="76">
        <v>1866000</v>
      </c>
      <c r="F1117" s="77">
        <f t="shared" si="53"/>
        <v>149280</v>
      </c>
      <c r="G1117" s="31">
        <f t="shared" si="54"/>
        <v>2015280</v>
      </c>
      <c r="H1117" s="74">
        <v>2015280</v>
      </c>
      <c r="I1117" s="75">
        <f t="shared" si="52"/>
        <v>0</v>
      </c>
      <c r="J1117" s="75" t="s">
        <v>2858</v>
      </c>
      <c r="K1117" s="5">
        <v>46218</v>
      </c>
      <c r="O1117" s="9"/>
      <c r="S1117" s="3"/>
    </row>
    <row r="1118" spans="1:19" ht="15" hidden="1" customHeight="1" x14ac:dyDescent="0.35">
      <c r="A1118" s="26" t="s">
        <v>2596</v>
      </c>
      <c r="B1118" s="27" t="s">
        <v>2512</v>
      </c>
      <c r="C1118" s="28">
        <v>4326</v>
      </c>
      <c r="D1118" s="29">
        <v>46171</v>
      </c>
      <c r="E1118" s="76">
        <v>7078000</v>
      </c>
      <c r="F1118" s="77">
        <f t="shared" si="53"/>
        <v>566240</v>
      </c>
      <c r="G1118" s="31">
        <f t="shared" si="54"/>
        <v>7644240</v>
      </c>
      <c r="H1118" s="74">
        <v>7644240</v>
      </c>
      <c r="I1118" s="75">
        <f t="shared" si="52"/>
        <v>0</v>
      </c>
      <c r="J1118" s="75" t="s">
        <v>2858</v>
      </c>
      <c r="K1118" s="5">
        <v>46218</v>
      </c>
      <c r="O1118" s="9"/>
      <c r="S1118" s="3"/>
    </row>
    <row r="1119" spans="1:19" ht="15" hidden="1" customHeight="1" x14ac:dyDescent="0.35">
      <c r="A1119" s="26" t="s">
        <v>2597</v>
      </c>
      <c r="B1119" s="32" t="s">
        <v>2513</v>
      </c>
      <c r="C1119" s="28"/>
      <c r="D1119" s="29" t="s">
        <v>2625</v>
      </c>
      <c r="E1119" s="76">
        <v>7890000</v>
      </c>
      <c r="F1119" s="77">
        <f t="shared" si="53"/>
        <v>631200</v>
      </c>
      <c r="G1119" s="31">
        <f t="shared" si="54"/>
        <v>8521200</v>
      </c>
      <c r="H1119" s="74">
        <v>8521200</v>
      </c>
      <c r="I1119" s="75">
        <f t="shared" si="52"/>
        <v>0</v>
      </c>
      <c r="J1119" s="75" t="s">
        <v>2858</v>
      </c>
      <c r="K1119" s="5">
        <v>46218</v>
      </c>
      <c r="O1119" s="9"/>
      <c r="S1119" s="3"/>
    </row>
    <row r="1120" spans="1:19" ht="15" hidden="1" customHeight="1" x14ac:dyDescent="0.35">
      <c r="A1120" s="26" t="s">
        <v>2598</v>
      </c>
      <c r="B1120" s="27" t="s">
        <v>2514</v>
      </c>
      <c r="C1120" s="28"/>
      <c r="D1120" s="29" t="s">
        <v>2625</v>
      </c>
      <c r="E1120" s="76">
        <v>1645000</v>
      </c>
      <c r="F1120" s="77">
        <f t="shared" si="53"/>
        <v>131600</v>
      </c>
      <c r="G1120" s="31">
        <f t="shared" si="54"/>
        <v>1776600</v>
      </c>
      <c r="H1120" s="74">
        <v>1776600</v>
      </c>
      <c r="I1120" s="75">
        <f t="shared" si="52"/>
        <v>0</v>
      </c>
      <c r="J1120" s="75" t="s">
        <v>2858</v>
      </c>
      <c r="K1120" s="5">
        <v>46218</v>
      </c>
      <c r="O1120" s="9"/>
      <c r="S1120" s="3"/>
    </row>
    <row r="1121" spans="1:19" ht="15" hidden="1" customHeight="1" x14ac:dyDescent="0.35">
      <c r="A1121" s="26" t="s">
        <v>2599</v>
      </c>
      <c r="B1121" s="32" t="s">
        <v>2515</v>
      </c>
      <c r="C1121" s="28">
        <v>4431</v>
      </c>
      <c r="D1121" s="29">
        <v>46175</v>
      </c>
      <c r="E1121" s="76">
        <v>3128000</v>
      </c>
      <c r="F1121" s="77">
        <f t="shared" si="53"/>
        <v>250240</v>
      </c>
      <c r="G1121" s="31">
        <f t="shared" si="54"/>
        <v>3378240</v>
      </c>
      <c r="H1121" s="74">
        <v>3378240</v>
      </c>
      <c r="I1121" s="75">
        <f t="shared" si="52"/>
        <v>0</v>
      </c>
      <c r="J1121" s="75"/>
      <c r="K1121" s="5">
        <v>46218</v>
      </c>
      <c r="O1121" s="9"/>
      <c r="S1121" s="3"/>
    </row>
    <row r="1122" spans="1:19" ht="15" hidden="1" customHeight="1" x14ac:dyDescent="0.35">
      <c r="A1122" s="26" t="s">
        <v>2600</v>
      </c>
      <c r="B1122" s="27" t="s">
        <v>2516</v>
      </c>
      <c r="C1122" s="28"/>
      <c r="D1122" s="29" t="s">
        <v>2625</v>
      </c>
      <c r="E1122" s="76">
        <v>1005000</v>
      </c>
      <c r="F1122" s="77">
        <f t="shared" si="53"/>
        <v>80400</v>
      </c>
      <c r="G1122" s="31">
        <f t="shared" si="54"/>
        <v>1085400</v>
      </c>
      <c r="H1122" s="74">
        <v>1085400</v>
      </c>
      <c r="I1122" s="75">
        <f t="shared" si="52"/>
        <v>0</v>
      </c>
      <c r="J1122" s="75" t="s">
        <v>2858</v>
      </c>
      <c r="K1122" s="5">
        <v>46208</v>
      </c>
      <c r="O1122" s="9"/>
      <c r="S1122" s="3"/>
    </row>
    <row r="1123" spans="1:19" ht="15" hidden="1" customHeight="1" x14ac:dyDescent="0.35">
      <c r="A1123" s="26" t="s">
        <v>2601</v>
      </c>
      <c r="B1123" s="32" t="s">
        <v>2517</v>
      </c>
      <c r="C1123" s="28"/>
      <c r="D1123" s="29" t="s">
        <v>2625</v>
      </c>
      <c r="E1123" s="76">
        <v>1005000</v>
      </c>
      <c r="F1123" s="77">
        <f t="shared" si="53"/>
        <v>80400</v>
      </c>
      <c r="G1123" s="31">
        <f t="shared" si="54"/>
        <v>1085400</v>
      </c>
      <c r="H1123" s="74">
        <v>1085400</v>
      </c>
      <c r="I1123" s="75">
        <f t="shared" si="52"/>
        <v>0</v>
      </c>
      <c r="J1123" s="75" t="s">
        <v>2858</v>
      </c>
      <c r="K1123" s="5">
        <v>46218</v>
      </c>
      <c r="O1123" s="9"/>
      <c r="S1123" s="3"/>
    </row>
    <row r="1124" spans="1:19" ht="15" hidden="1" customHeight="1" x14ac:dyDescent="0.35">
      <c r="A1124" s="26" t="s">
        <v>2602</v>
      </c>
      <c r="B1124" s="27" t="s">
        <v>2518</v>
      </c>
      <c r="C1124" s="28"/>
      <c r="D1124" s="29" t="s">
        <v>2625</v>
      </c>
      <c r="E1124" s="76">
        <v>1005000</v>
      </c>
      <c r="F1124" s="77">
        <f t="shared" si="53"/>
        <v>80400</v>
      </c>
      <c r="G1124" s="31">
        <f t="shared" si="54"/>
        <v>1085400</v>
      </c>
      <c r="H1124" s="74">
        <v>1085400</v>
      </c>
      <c r="I1124" s="75">
        <f t="shared" si="52"/>
        <v>0</v>
      </c>
      <c r="J1124" s="75" t="s">
        <v>2858</v>
      </c>
      <c r="K1124" s="5">
        <v>46218</v>
      </c>
      <c r="O1124" s="9"/>
      <c r="S1124" s="3"/>
    </row>
    <row r="1125" spans="1:19" ht="15" hidden="1" customHeight="1" x14ac:dyDescent="0.35">
      <c r="A1125" s="26" t="s">
        <v>2603</v>
      </c>
      <c r="B1125" s="32" t="s">
        <v>2519</v>
      </c>
      <c r="C1125" s="28"/>
      <c r="D1125" s="29" t="s">
        <v>2625</v>
      </c>
      <c r="E1125" s="76">
        <v>1005000</v>
      </c>
      <c r="F1125" s="77">
        <f t="shared" si="53"/>
        <v>80400</v>
      </c>
      <c r="G1125" s="31">
        <f t="shared" si="54"/>
        <v>1085400</v>
      </c>
      <c r="H1125" s="74">
        <v>1085400</v>
      </c>
      <c r="I1125" s="75">
        <f t="shared" si="52"/>
        <v>0</v>
      </c>
      <c r="J1125" s="75" t="s">
        <v>2858</v>
      </c>
      <c r="K1125" s="5">
        <v>46218</v>
      </c>
      <c r="O1125" s="9"/>
      <c r="S1125" s="3"/>
    </row>
    <row r="1126" spans="1:19" ht="15" hidden="1" customHeight="1" x14ac:dyDescent="0.35">
      <c r="A1126" s="26" t="s">
        <v>2604</v>
      </c>
      <c r="B1126" s="32" t="s">
        <v>2520</v>
      </c>
      <c r="C1126" s="28"/>
      <c r="D1126" s="29" t="s">
        <v>2625</v>
      </c>
      <c r="E1126" s="76">
        <v>1005000</v>
      </c>
      <c r="F1126" s="77">
        <f t="shared" si="53"/>
        <v>80400</v>
      </c>
      <c r="G1126" s="31">
        <f t="shared" si="54"/>
        <v>1085400</v>
      </c>
      <c r="H1126" s="74">
        <v>1085400</v>
      </c>
      <c r="I1126" s="75">
        <f t="shared" si="52"/>
        <v>0</v>
      </c>
      <c r="J1126" s="75" t="s">
        <v>2858</v>
      </c>
      <c r="K1126" s="5">
        <v>46208</v>
      </c>
      <c r="O1126" s="9"/>
      <c r="S1126" s="3"/>
    </row>
    <row r="1127" spans="1:19" ht="15" hidden="1" customHeight="1" x14ac:dyDescent="0.35">
      <c r="A1127" s="26" t="s">
        <v>2605</v>
      </c>
      <c r="B1127" s="32" t="s">
        <v>2521</v>
      </c>
      <c r="C1127" s="28"/>
      <c r="D1127" s="29" t="s">
        <v>2625</v>
      </c>
      <c r="E1127" s="76">
        <v>2010000</v>
      </c>
      <c r="F1127" s="77">
        <f t="shared" si="53"/>
        <v>160800</v>
      </c>
      <c r="G1127" s="31">
        <f t="shared" si="54"/>
        <v>2170800</v>
      </c>
      <c r="H1127" s="74">
        <v>2170800</v>
      </c>
      <c r="I1127" s="75">
        <f t="shared" si="52"/>
        <v>0</v>
      </c>
      <c r="J1127" s="75" t="s">
        <v>2858</v>
      </c>
      <c r="K1127" s="5">
        <v>46218</v>
      </c>
      <c r="O1127" s="9"/>
      <c r="S1127" s="3"/>
    </row>
    <row r="1128" spans="1:19" ht="15" hidden="1" customHeight="1" x14ac:dyDescent="0.35">
      <c r="A1128" s="26" t="s">
        <v>2606</v>
      </c>
      <c r="B1128" s="32" t="s">
        <v>2522</v>
      </c>
      <c r="C1128" s="28"/>
      <c r="D1128" s="29" t="s">
        <v>2625</v>
      </c>
      <c r="E1128" s="76">
        <v>14850000</v>
      </c>
      <c r="F1128" s="77">
        <f t="shared" si="53"/>
        <v>1188000</v>
      </c>
      <c r="G1128" s="31">
        <f t="shared" si="54"/>
        <v>16038000</v>
      </c>
      <c r="H1128" s="74">
        <v>16038000</v>
      </c>
      <c r="I1128" s="75">
        <f t="shared" si="52"/>
        <v>0</v>
      </c>
      <c r="J1128" s="75" t="s">
        <v>2858</v>
      </c>
      <c r="K1128" s="5">
        <v>46208</v>
      </c>
      <c r="O1128" s="9"/>
      <c r="S1128" s="3"/>
    </row>
    <row r="1129" spans="1:19" ht="15" hidden="1" customHeight="1" x14ac:dyDescent="0.35">
      <c r="A1129" s="26" t="s">
        <v>2607</v>
      </c>
      <c r="B1129" s="32" t="s">
        <v>2523</v>
      </c>
      <c r="C1129" s="28"/>
      <c r="D1129" s="29" t="s">
        <v>2625</v>
      </c>
      <c r="E1129" s="76">
        <v>1905000</v>
      </c>
      <c r="F1129" s="77">
        <f t="shared" si="53"/>
        <v>152400</v>
      </c>
      <c r="G1129" s="31">
        <f t="shared" si="54"/>
        <v>2057400</v>
      </c>
      <c r="H1129" s="74">
        <v>2057400</v>
      </c>
      <c r="I1129" s="75">
        <f t="shared" si="52"/>
        <v>0</v>
      </c>
      <c r="J1129" s="75" t="s">
        <v>2858</v>
      </c>
      <c r="K1129" s="5">
        <v>46208</v>
      </c>
      <c r="O1129" s="9"/>
      <c r="S1129" s="3"/>
    </row>
    <row r="1130" spans="1:19" ht="15" hidden="1" customHeight="1" x14ac:dyDescent="0.35">
      <c r="A1130" s="26" t="s">
        <v>2608</v>
      </c>
      <c r="B1130" s="27" t="s">
        <v>2524</v>
      </c>
      <c r="C1130" s="28"/>
      <c r="D1130" s="29" t="s">
        <v>2625</v>
      </c>
      <c r="E1130" s="76">
        <v>8340000</v>
      </c>
      <c r="F1130" s="77">
        <f t="shared" si="53"/>
        <v>667200</v>
      </c>
      <c r="G1130" s="31">
        <f t="shared" si="54"/>
        <v>9007200</v>
      </c>
      <c r="H1130" s="74">
        <v>9007200</v>
      </c>
      <c r="I1130" s="75">
        <f t="shared" ref="I1130:I1190" si="55">G1130-H1130</f>
        <v>0</v>
      </c>
      <c r="J1130" s="75" t="s">
        <v>2858</v>
      </c>
      <c r="K1130" s="5">
        <v>46208</v>
      </c>
      <c r="O1130" s="9"/>
      <c r="S1130" s="3"/>
    </row>
    <row r="1131" spans="1:19" ht="15" hidden="1" customHeight="1" x14ac:dyDescent="0.35">
      <c r="A1131" s="26" t="s">
        <v>2609</v>
      </c>
      <c r="B1131" s="27" t="s">
        <v>2525</v>
      </c>
      <c r="C1131" s="28"/>
      <c r="D1131" s="29" t="s">
        <v>2625</v>
      </c>
      <c r="E1131" s="76">
        <v>1630000</v>
      </c>
      <c r="F1131" s="77">
        <f t="shared" ref="F1131:F1191" si="56">+E1131*0.08</f>
        <v>130400</v>
      </c>
      <c r="G1131" s="31">
        <f t="shared" si="54"/>
        <v>1760400</v>
      </c>
      <c r="H1131" s="74">
        <v>1760400</v>
      </c>
      <c r="I1131" s="75">
        <f t="shared" si="55"/>
        <v>0</v>
      </c>
      <c r="J1131" s="75" t="s">
        <v>2858</v>
      </c>
      <c r="K1131" s="5">
        <v>46218</v>
      </c>
      <c r="O1131" s="9"/>
      <c r="S1131" s="3"/>
    </row>
    <row r="1132" spans="1:19" ht="15" hidden="1" customHeight="1" x14ac:dyDescent="0.35">
      <c r="A1132" s="26" t="s">
        <v>2610</v>
      </c>
      <c r="B1132" s="32" t="s">
        <v>401</v>
      </c>
      <c r="C1132" s="28">
        <v>4328</v>
      </c>
      <c r="D1132" s="29">
        <v>46171</v>
      </c>
      <c r="E1132" s="76">
        <v>7786000</v>
      </c>
      <c r="F1132" s="77">
        <f t="shared" si="56"/>
        <v>622880</v>
      </c>
      <c r="G1132" s="31">
        <f t="shared" si="54"/>
        <v>8408880</v>
      </c>
      <c r="H1132" s="74">
        <v>8408880</v>
      </c>
      <c r="I1132" s="75">
        <f t="shared" si="55"/>
        <v>0</v>
      </c>
      <c r="J1132" s="75" t="s">
        <v>2858</v>
      </c>
      <c r="K1132" s="5">
        <v>46218</v>
      </c>
      <c r="O1132" s="9"/>
      <c r="S1132" s="3"/>
    </row>
    <row r="1133" spans="1:19" ht="15" hidden="1" customHeight="1" x14ac:dyDescent="0.35">
      <c r="A1133" s="26" t="s">
        <v>2611</v>
      </c>
      <c r="B1133" s="32" t="s">
        <v>402</v>
      </c>
      <c r="C1133" s="28"/>
      <c r="D1133" s="29" t="s">
        <v>2625</v>
      </c>
      <c r="E1133" s="76">
        <v>3355000</v>
      </c>
      <c r="F1133" s="77">
        <f t="shared" si="56"/>
        <v>268400</v>
      </c>
      <c r="G1133" s="31">
        <f t="shared" si="54"/>
        <v>3623400</v>
      </c>
      <c r="H1133" s="74">
        <v>3623400</v>
      </c>
      <c r="I1133" s="75">
        <f t="shared" si="55"/>
        <v>0</v>
      </c>
      <c r="J1133" s="75" t="s">
        <v>2858</v>
      </c>
      <c r="K1133" s="5">
        <v>46218</v>
      </c>
      <c r="O1133" s="9"/>
      <c r="S1133" s="3"/>
    </row>
    <row r="1134" spans="1:19" ht="15" hidden="1" customHeight="1" x14ac:dyDescent="0.35">
      <c r="A1134" s="26" t="s">
        <v>2612</v>
      </c>
      <c r="B1134" s="27" t="s">
        <v>2526</v>
      </c>
      <c r="C1134" s="28"/>
      <c r="D1134" s="29" t="s">
        <v>2625</v>
      </c>
      <c r="E1134" s="76">
        <v>11780000</v>
      </c>
      <c r="F1134" s="77">
        <f t="shared" si="56"/>
        <v>942400</v>
      </c>
      <c r="G1134" s="31">
        <f t="shared" si="54"/>
        <v>12722400</v>
      </c>
      <c r="H1134" s="74">
        <v>12722400</v>
      </c>
      <c r="I1134" s="75">
        <f t="shared" si="55"/>
        <v>0</v>
      </c>
      <c r="J1134" s="75" t="s">
        <v>2858</v>
      </c>
      <c r="K1134" s="5">
        <v>46208</v>
      </c>
      <c r="O1134" s="9"/>
      <c r="S1134" s="3"/>
    </row>
    <row r="1135" spans="1:19" ht="15" hidden="1" customHeight="1" x14ac:dyDescent="0.35">
      <c r="A1135" s="26" t="s">
        <v>2613</v>
      </c>
      <c r="B1135" s="32" t="s">
        <v>2527</v>
      </c>
      <c r="C1135" s="28"/>
      <c r="D1135" s="29" t="s">
        <v>2625</v>
      </c>
      <c r="E1135" s="76">
        <v>3960000</v>
      </c>
      <c r="F1135" s="77">
        <f t="shared" si="56"/>
        <v>316800</v>
      </c>
      <c r="G1135" s="31">
        <f t="shared" si="54"/>
        <v>4276800</v>
      </c>
      <c r="H1135" s="74">
        <v>4276800</v>
      </c>
      <c r="I1135" s="75">
        <f t="shared" si="55"/>
        <v>0</v>
      </c>
      <c r="J1135" s="75" t="s">
        <v>2858</v>
      </c>
      <c r="K1135" s="5">
        <v>46218</v>
      </c>
      <c r="O1135" s="9"/>
      <c r="S1135" s="3"/>
    </row>
    <row r="1136" spans="1:19" ht="15" hidden="1" customHeight="1" x14ac:dyDescent="0.35">
      <c r="A1136" s="26" t="s">
        <v>2614</v>
      </c>
      <c r="B1136" s="32" t="s">
        <v>2528</v>
      </c>
      <c r="C1136" s="28"/>
      <c r="D1136" s="29" t="s">
        <v>2625</v>
      </c>
      <c r="E1136" s="76">
        <v>1005000</v>
      </c>
      <c r="F1136" s="77">
        <f t="shared" si="56"/>
        <v>80400</v>
      </c>
      <c r="G1136" s="31">
        <f t="shared" si="54"/>
        <v>1085400</v>
      </c>
      <c r="H1136" s="74">
        <v>1085400</v>
      </c>
      <c r="I1136" s="75">
        <f t="shared" si="55"/>
        <v>0</v>
      </c>
      <c r="J1136" s="75" t="s">
        <v>2858</v>
      </c>
      <c r="K1136" s="5">
        <v>46218</v>
      </c>
      <c r="O1136" s="9"/>
      <c r="S1136" s="3"/>
    </row>
    <row r="1137" spans="1:19" ht="15" hidden="1" customHeight="1" x14ac:dyDescent="0.35">
      <c r="A1137" s="26" t="s">
        <v>2615</v>
      </c>
      <c r="B1137" s="27" t="s">
        <v>2529</v>
      </c>
      <c r="C1137" s="28"/>
      <c r="D1137" s="29" t="s">
        <v>2625</v>
      </c>
      <c r="E1137" s="76">
        <v>7770000</v>
      </c>
      <c r="F1137" s="77">
        <f t="shared" si="56"/>
        <v>621600</v>
      </c>
      <c r="G1137" s="31">
        <f t="shared" si="54"/>
        <v>8391600</v>
      </c>
      <c r="H1137" s="74">
        <v>8391600</v>
      </c>
      <c r="I1137" s="75">
        <f t="shared" si="55"/>
        <v>0</v>
      </c>
      <c r="J1137" s="75" t="s">
        <v>2858</v>
      </c>
      <c r="K1137" s="5">
        <v>46218</v>
      </c>
      <c r="O1137" s="9"/>
      <c r="S1137" s="3"/>
    </row>
    <row r="1138" spans="1:19" ht="15" hidden="1" customHeight="1" x14ac:dyDescent="0.35">
      <c r="A1138" s="26" t="s">
        <v>2616</v>
      </c>
      <c r="B1138" s="32" t="s">
        <v>2530</v>
      </c>
      <c r="C1138" s="28"/>
      <c r="D1138" s="29" t="s">
        <v>2625</v>
      </c>
      <c r="E1138" s="76">
        <v>9525000</v>
      </c>
      <c r="F1138" s="77">
        <f t="shared" si="56"/>
        <v>762000</v>
      </c>
      <c r="G1138" s="31">
        <f t="shared" si="54"/>
        <v>10287000</v>
      </c>
      <c r="H1138" s="74">
        <v>10287000</v>
      </c>
      <c r="I1138" s="75">
        <f t="shared" si="55"/>
        <v>0</v>
      </c>
      <c r="J1138" s="75" t="s">
        <v>2858</v>
      </c>
      <c r="K1138" s="5">
        <v>46218</v>
      </c>
      <c r="O1138" s="9"/>
      <c r="S1138" s="3"/>
    </row>
    <row r="1139" spans="1:19" ht="15" hidden="1" customHeight="1" x14ac:dyDescent="0.35">
      <c r="A1139" s="26" t="s">
        <v>2617</v>
      </c>
      <c r="B1139" s="32" t="s">
        <v>2531</v>
      </c>
      <c r="C1139" s="28">
        <v>4330</v>
      </c>
      <c r="D1139" s="29">
        <v>46171</v>
      </c>
      <c r="E1139" s="76">
        <v>17016000</v>
      </c>
      <c r="F1139" s="77">
        <f t="shared" si="56"/>
        <v>1361280</v>
      </c>
      <c r="G1139" s="31">
        <f t="shared" si="54"/>
        <v>18377280</v>
      </c>
      <c r="H1139" s="74">
        <v>18377280</v>
      </c>
      <c r="I1139" s="75">
        <f t="shared" si="55"/>
        <v>0</v>
      </c>
      <c r="J1139" s="75" t="s">
        <v>2858</v>
      </c>
      <c r="K1139" s="5">
        <v>46218</v>
      </c>
      <c r="O1139" s="9"/>
      <c r="S1139" s="3"/>
    </row>
    <row r="1140" spans="1:19" ht="15" hidden="1" customHeight="1" x14ac:dyDescent="0.35">
      <c r="A1140" s="26" t="s">
        <v>2618</v>
      </c>
      <c r="B1140" s="27" t="s">
        <v>2532</v>
      </c>
      <c r="C1140" s="28"/>
      <c r="D1140" s="29" t="s">
        <v>2625</v>
      </c>
      <c r="E1140" s="76">
        <v>38220000</v>
      </c>
      <c r="F1140" s="77">
        <f t="shared" si="56"/>
        <v>3057600</v>
      </c>
      <c r="G1140" s="31">
        <f t="shared" si="54"/>
        <v>41277600</v>
      </c>
      <c r="H1140" s="74">
        <v>41277600</v>
      </c>
      <c r="I1140" s="75">
        <f t="shared" si="55"/>
        <v>0</v>
      </c>
      <c r="J1140" s="75" t="s">
        <v>2858</v>
      </c>
      <c r="K1140" s="5">
        <v>46208</v>
      </c>
      <c r="O1140" s="9"/>
      <c r="S1140" s="3"/>
    </row>
    <row r="1141" spans="1:19" ht="15" hidden="1" customHeight="1" x14ac:dyDescent="0.35">
      <c r="A1141" s="26" t="s">
        <v>2619</v>
      </c>
      <c r="B1141" s="27" t="s">
        <v>2533</v>
      </c>
      <c r="C1141" s="28"/>
      <c r="D1141" s="29" t="s">
        <v>2625</v>
      </c>
      <c r="E1141" s="76">
        <v>2850000</v>
      </c>
      <c r="F1141" s="77">
        <f t="shared" si="56"/>
        <v>228000</v>
      </c>
      <c r="G1141" s="31">
        <f t="shared" ref="G1141:G1201" si="57">+F1141+E1141</f>
        <v>3078000</v>
      </c>
      <c r="H1141" s="74">
        <v>3078000</v>
      </c>
      <c r="I1141" s="75">
        <f t="shared" si="55"/>
        <v>0</v>
      </c>
      <c r="J1141" s="75" t="s">
        <v>2858</v>
      </c>
      <c r="K1141" s="5">
        <v>46208</v>
      </c>
      <c r="O1141" s="9"/>
      <c r="S1141" s="3"/>
    </row>
    <row r="1142" spans="1:19" ht="15" hidden="1" customHeight="1" x14ac:dyDescent="0.35">
      <c r="A1142" s="26" t="s">
        <v>2620</v>
      </c>
      <c r="B1142" s="27" t="s">
        <v>2534</v>
      </c>
      <c r="C1142" s="28"/>
      <c r="D1142" s="29" t="s">
        <v>2625</v>
      </c>
      <c r="E1142" s="76">
        <v>6090000</v>
      </c>
      <c r="F1142" s="77">
        <f t="shared" si="56"/>
        <v>487200</v>
      </c>
      <c r="G1142" s="31">
        <f t="shared" si="57"/>
        <v>6577200</v>
      </c>
      <c r="H1142" s="74">
        <v>6577200</v>
      </c>
      <c r="I1142" s="75">
        <f t="shared" si="55"/>
        <v>0</v>
      </c>
      <c r="J1142" s="75" t="s">
        <v>2858</v>
      </c>
      <c r="K1142" s="5">
        <v>46218</v>
      </c>
      <c r="O1142" s="9"/>
      <c r="S1142" s="3"/>
    </row>
    <row r="1143" spans="1:19" ht="15" hidden="1" customHeight="1" x14ac:dyDescent="0.35">
      <c r="A1143" s="26" t="s">
        <v>2621</v>
      </c>
      <c r="B1143" s="32" t="s">
        <v>2535</v>
      </c>
      <c r="C1143" s="28">
        <v>4329</v>
      </c>
      <c r="D1143" s="29">
        <v>46171</v>
      </c>
      <c r="E1143" s="76">
        <v>1864500</v>
      </c>
      <c r="F1143" s="77">
        <f t="shared" si="56"/>
        <v>149160</v>
      </c>
      <c r="G1143" s="31">
        <f t="shared" si="57"/>
        <v>2013660</v>
      </c>
      <c r="H1143" s="74">
        <v>2013660</v>
      </c>
      <c r="I1143" s="75">
        <f t="shared" si="55"/>
        <v>0</v>
      </c>
      <c r="J1143" s="75" t="s">
        <v>2858</v>
      </c>
      <c r="K1143" s="5">
        <v>46218</v>
      </c>
      <c r="O1143" s="9"/>
      <c r="S1143" s="3"/>
    </row>
    <row r="1144" spans="1:19" ht="15" hidden="1" customHeight="1" x14ac:dyDescent="0.35">
      <c r="A1144" s="26" t="s">
        <v>2661</v>
      </c>
      <c r="B1144" s="32" t="s">
        <v>2626</v>
      </c>
      <c r="C1144" s="28"/>
      <c r="D1144" s="29" t="s">
        <v>2654</v>
      </c>
      <c r="E1144" s="76">
        <v>840000</v>
      </c>
      <c r="F1144" s="77">
        <f t="shared" si="56"/>
        <v>67200</v>
      </c>
      <c r="G1144" s="31">
        <f t="shared" si="57"/>
        <v>907200</v>
      </c>
      <c r="H1144" s="74">
        <v>907200</v>
      </c>
      <c r="I1144" s="75">
        <f t="shared" si="55"/>
        <v>0</v>
      </c>
      <c r="J1144" s="75"/>
      <c r="L1144" s="5">
        <v>46208</v>
      </c>
      <c r="O1144" s="9"/>
      <c r="S1144" s="3"/>
    </row>
    <row r="1145" spans="1:19" ht="15" hidden="1" customHeight="1" x14ac:dyDescent="0.35">
      <c r="A1145" s="26" t="s">
        <v>2662</v>
      </c>
      <c r="B1145" s="32" t="s">
        <v>403</v>
      </c>
      <c r="C1145" s="28"/>
      <c r="D1145" s="29" t="s">
        <v>2655</v>
      </c>
      <c r="E1145" s="76">
        <v>960000</v>
      </c>
      <c r="F1145" s="77">
        <f t="shared" si="56"/>
        <v>76800</v>
      </c>
      <c r="G1145" s="31">
        <f t="shared" si="57"/>
        <v>1036800</v>
      </c>
      <c r="H1145" s="74">
        <v>1036800</v>
      </c>
      <c r="I1145" s="75">
        <f t="shared" si="55"/>
        <v>0</v>
      </c>
      <c r="J1145" s="75"/>
      <c r="K1145" s="5">
        <v>46218</v>
      </c>
      <c r="O1145" s="9"/>
      <c r="S1145" s="3"/>
    </row>
    <row r="1146" spans="1:19" ht="15" hidden="1" customHeight="1" x14ac:dyDescent="0.35">
      <c r="A1146" s="26" t="s">
        <v>2663</v>
      </c>
      <c r="B1146" s="27" t="s">
        <v>404</v>
      </c>
      <c r="C1146" s="28"/>
      <c r="D1146" s="29" t="s">
        <v>2655</v>
      </c>
      <c r="E1146" s="76">
        <v>1920000</v>
      </c>
      <c r="F1146" s="77">
        <f t="shared" si="56"/>
        <v>153600</v>
      </c>
      <c r="G1146" s="31">
        <f t="shared" si="57"/>
        <v>2073600</v>
      </c>
      <c r="H1146" s="74">
        <v>2073600</v>
      </c>
      <c r="I1146" s="75">
        <f t="shared" si="55"/>
        <v>0</v>
      </c>
      <c r="J1146" s="75"/>
      <c r="K1146" s="5">
        <v>46218</v>
      </c>
      <c r="O1146" s="9"/>
      <c r="S1146" s="3"/>
    </row>
    <row r="1147" spans="1:19" ht="15" hidden="1" customHeight="1" x14ac:dyDescent="0.35">
      <c r="A1147" s="26" t="s">
        <v>2664</v>
      </c>
      <c r="B1147" s="32" t="s">
        <v>405</v>
      </c>
      <c r="C1147" s="28"/>
      <c r="D1147" s="29" t="s">
        <v>2655</v>
      </c>
      <c r="E1147" s="76">
        <v>1005000</v>
      </c>
      <c r="F1147" s="77">
        <f t="shared" si="56"/>
        <v>80400</v>
      </c>
      <c r="G1147" s="31">
        <f t="shared" si="57"/>
        <v>1085400</v>
      </c>
      <c r="H1147" s="74">
        <v>1085400</v>
      </c>
      <c r="I1147" s="75">
        <f t="shared" si="55"/>
        <v>0</v>
      </c>
      <c r="J1147" s="75"/>
      <c r="K1147" s="5">
        <v>46218</v>
      </c>
      <c r="O1147" s="9"/>
      <c r="S1147" s="3"/>
    </row>
    <row r="1148" spans="1:19" ht="15" hidden="1" customHeight="1" x14ac:dyDescent="0.35">
      <c r="A1148" s="26" t="s">
        <v>2665</v>
      </c>
      <c r="B1148" s="32" t="s">
        <v>406</v>
      </c>
      <c r="C1148" s="28"/>
      <c r="D1148" s="29" t="s">
        <v>2655</v>
      </c>
      <c r="E1148" s="76">
        <v>960000</v>
      </c>
      <c r="F1148" s="77">
        <f t="shared" si="56"/>
        <v>76800</v>
      </c>
      <c r="G1148" s="31">
        <f t="shared" si="57"/>
        <v>1036800</v>
      </c>
      <c r="H1148" s="74">
        <v>1036800</v>
      </c>
      <c r="I1148" s="75">
        <f t="shared" si="55"/>
        <v>0</v>
      </c>
      <c r="J1148" s="75"/>
      <c r="K1148" s="5">
        <v>46218</v>
      </c>
      <c r="O1148" s="9"/>
      <c r="S1148" s="3"/>
    </row>
    <row r="1149" spans="1:19" ht="15" hidden="1" customHeight="1" x14ac:dyDescent="0.35">
      <c r="A1149" s="26" t="s">
        <v>2666</v>
      </c>
      <c r="B1149" s="32" t="s">
        <v>407</v>
      </c>
      <c r="C1149" s="28">
        <v>4676</v>
      </c>
      <c r="D1149" s="29">
        <v>46183</v>
      </c>
      <c r="E1149" s="76">
        <v>8626500</v>
      </c>
      <c r="F1149" s="77">
        <f t="shared" si="56"/>
        <v>690120</v>
      </c>
      <c r="G1149" s="31">
        <f t="shared" si="57"/>
        <v>9316620</v>
      </c>
      <c r="H1149" s="74">
        <v>9316620</v>
      </c>
      <c r="I1149" s="75">
        <f t="shared" si="55"/>
        <v>0</v>
      </c>
      <c r="J1149" s="75"/>
      <c r="K1149" s="5">
        <v>46239</v>
      </c>
      <c r="O1149" s="9"/>
      <c r="S1149" s="3"/>
    </row>
    <row r="1150" spans="1:19" ht="15" hidden="1" customHeight="1" x14ac:dyDescent="0.35">
      <c r="A1150" s="26" t="s">
        <v>2667</v>
      </c>
      <c r="B1150" s="32" t="s">
        <v>408</v>
      </c>
      <c r="C1150" s="28"/>
      <c r="D1150" s="29" t="s">
        <v>2655</v>
      </c>
      <c r="E1150" s="76">
        <v>1005000</v>
      </c>
      <c r="F1150" s="77">
        <f t="shared" si="56"/>
        <v>80400</v>
      </c>
      <c r="G1150" s="31">
        <f t="shared" si="57"/>
        <v>1085400</v>
      </c>
      <c r="H1150" s="74">
        <v>1085400</v>
      </c>
      <c r="I1150" s="75">
        <f t="shared" si="55"/>
        <v>0</v>
      </c>
      <c r="J1150" s="75"/>
      <c r="K1150" s="5">
        <v>46218</v>
      </c>
      <c r="O1150" s="9"/>
      <c r="S1150" s="3"/>
    </row>
    <row r="1151" spans="1:19" ht="15" hidden="1" customHeight="1" x14ac:dyDescent="0.35">
      <c r="A1151" s="26" t="s">
        <v>2668</v>
      </c>
      <c r="B1151" s="32" t="s">
        <v>409</v>
      </c>
      <c r="C1151" s="28"/>
      <c r="D1151" s="29" t="s">
        <v>2655</v>
      </c>
      <c r="E1151" s="76">
        <v>1005000</v>
      </c>
      <c r="F1151" s="77">
        <f t="shared" si="56"/>
        <v>80400</v>
      </c>
      <c r="G1151" s="31">
        <f t="shared" si="57"/>
        <v>1085400</v>
      </c>
      <c r="H1151" s="74">
        <v>1085400</v>
      </c>
      <c r="I1151" s="75">
        <f t="shared" si="55"/>
        <v>0</v>
      </c>
      <c r="J1151" s="75"/>
      <c r="K1151" s="5">
        <v>46218</v>
      </c>
      <c r="O1151" s="9"/>
      <c r="S1151" s="3"/>
    </row>
    <row r="1152" spans="1:19" ht="15" hidden="1" customHeight="1" x14ac:dyDescent="0.35">
      <c r="A1152" s="26" t="s">
        <v>2669</v>
      </c>
      <c r="B1152" s="32" t="s">
        <v>410</v>
      </c>
      <c r="C1152" s="28"/>
      <c r="D1152" s="29" t="s">
        <v>2655</v>
      </c>
      <c r="E1152" s="76">
        <v>2910000</v>
      </c>
      <c r="F1152" s="77">
        <f t="shared" si="56"/>
        <v>232800</v>
      </c>
      <c r="G1152" s="31">
        <f t="shared" si="57"/>
        <v>3142800</v>
      </c>
      <c r="H1152" s="74">
        <v>3142800</v>
      </c>
      <c r="I1152" s="75">
        <f t="shared" si="55"/>
        <v>0</v>
      </c>
      <c r="J1152" s="75"/>
      <c r="K1152" s="5">
        <v>46218</v>
      </c>
      <c r="O1152" s="9"/>
      <c r="S1152" s="3"/>
    </row>
    <row r="1153" spans="1:19" ht="15" hidden="1" customHeight="1" x14ac:dyDescent="0.35">
      <c r="A1153" s="26" t="s">
        <v>2670</v>
      </c>
      <c r="B1153" s="32" t="s">
        <v>411</v>
      </c>
      <c r="C1153" s="28"/>
      <c r="D1153" s="29" t="s">
        <v>2655</v>
      </c>
      <c r="E1153" s="76">
        <v>11790000</v>
      </c>
      <c r="F1153" s="77">
        <f t="shared" si="56"/>
        <v>943200</v>
      </c>
      <c r="G1153" s="31">
        <f t="shared" si="57"/>
        <v>12733200</v>
      </c>
      <c r="H1153" s="74">
        <v>12733200</v>
      </c>
      <c r="I1153" s="75">
        <f t="shared" si="55"/>
        <v>0</v>
      </c>
      <c r="J1153" s="75"/>
      <c r="K1153" s="5">
        <v>46218</v>
      </c>
      <c r="O1153" s="9"/>
      <c r="S1153" s="3"/>
    </row>
    <row r="1154" spans="1:19" ht="15" hidden="1" customHeight="1" x14ac:dyDescent="0.35">
      <c r="A1154" s="26" t="s">
        <v>2671</v>
      </c>
      <c r="B1154" s="32" t="s">
        <v>412</v>
      </c>
      <c r="C1154" s="28"/>
      <c r="D1154" s="29" t="s">
        <v>2655</v>
      </c>
      <c r="E1154" s="76">
        <v>5040000</v>
      </c>
      <c r="F1154" s="77">
        <f t="shared" si="56"/>
        <v>403200</v>
      </c>
      <c r="G1154" s="31">
        <f t="shared" si="57"/>
        <v>5443200</v>
      </c>
      <c r="H1154" s="74">
        <v>5443200</v>
      </c>
      <c r="I1154" s="75">
        <f t="shared" si="55"/>
        <v>0</v>
      </c>
      <c r="J1154" s="75"/>
      <c r="K1154" s="5">
        <v>46218</v>
      </c>
      <c r="O1154" s="9"/>
      <c r="S1154" s="3"/>
    </row>
    <row r="1155" spans="1:19" ht="15" hidden="1" customHeight="1" x14ac:dyDescent="0.35">
      <c r="A1155" s="26" t="s">
        <v>2672</v>
      </c>
      <c r="B1155" s="32" t="s">
        <v>413</v>
      </c>
      <c r="C1155" s="28"/>
      <c r="D1155" s="29" t="s">
        <v>2655</v>
      </c>
      <c r="E1155" s="76">
        <v>2910000</v>
      </c>
      <c r="F1155" s="77">
        <f t="shared" si="56"/>
        <v>232800</v>
      </c>
      <c r="G1155" s="31">
        <f t="shared" si="57"/>
        <v>3142800</v>
      </c>
      <c r="H1155" s="74">
        <v>3142800</v>
      </c>
      <c r="I1155" s="75">
        <f t="shared" si="55"/>
        <v>0</v>
      </c>
      <c r="J1155" s="75"/>
      <c r="K1155" s="5">
        <v>46218</v>
      </c>
      <c r="O1155" s="9"/>
      <c r="S1155" s="3"/>
    </row>
    <row r="1156" spans="1:19" ht="15" hidden="1" customHeight="1" x14ac:dyDescent="0.35">
      <c r="A1156" s="26" t="s">
        <v>2673</v>
      </c>
      <c r="B1156" s="27" t="s">
        <v>414</v>
      </c>
      <c r="C1156" s="28"/>
      <c r="D1156" s="29" t="s">
        <v>2655</v>
      </c>
      <c r="E1156" s="76">
        <v>6720000</v>
      </c>
      <c r="F1156" s="77">
        <f t="shared" si="56"/>
        <v>537600</v>
      </c>
      <c r="G1156" s="31">
        <f>+F1156+E1156</f>
        <v>7257600</v>
      </c>
      <c r="H1156" s="74">
        <v>7257600</v>
      </c>
      <c r="I1156" s="75">
        <f>G1156-H1156</f>
        <v>0</v>
      </c>
      <c r="J1156" s="75"/>
      <c r="K1156" s="5">
        <v>46218</v>
      </c>
      <c r="O1156" s="9"/>
      <c r="S1156" s="3"/>
    </row>
    <row r="1157" spans="1:19" ht="15" hidden="1" customHeight="1" x14ac:dyDescent="0.35">
      <c r="A1157" s="26" t="s">
        <v>2674</v>
      </c>
      <c r="B1157" s="32" t="s">
        <v>415</v>
      </c>
      <c r="C1157" s="28"/>
      <c r="D1157" s="29" t="s">
        <v>2655</v>
      </c>
      <c r="E1157" s="76">
        <v>1005000</v>
      </c>
      <c r="F1157" s="77">
        <f t="shared" si="56"/>
        <v>80400</v>
      </c>
      <c r="G1157" s="31">
        <f t="shared" si="57"/>
        <v>1085400</v>
      </c>
      <c r="H1157" s="74">
        <v>1085400</v>
      </c>
      <c r="I1157" s="75">
        <f t="shared" si="55"/>
        <v>0</v>
      </c>
      <c r="J1157" s="75"/>
      <c r="K1157" s="5">
        <v>46218</v>
      </c>
      <c r="O1157" s="9"/>
      <c r="S1157" s="3"/>
    </row>
    <row r="1158" spans="1:19" ht="15" hidden="1" customHeight="1" x14ac:dyDescent="0.35">
      <c r="A1158" s="26" t="s">
        <v>2675</v>
      </c>
      <c r="B1158" s="32" t="s">
        <v>416</v>
      </c>
      <c r="C1158" s="28"/>
      <c r="D1158" s="29" t="s">
        <v>2655</v>
      </c>
      <c r="E1158" s="76">
        <v>5760000</v>
      </c>
      <c r="F1158" s="77">
        <f t="shared" si="56"/>
        <v>460800</v>
      </c>
      <c r="G1158" s="31">
        <f t="shared" si="57"/>
        <v>6220800</v>
      </c>
      <c r="H1158" s="74">
        <v>6220800</v>
      </c>
      <c r="I1158" s="75">
        <f t="shared" si="55"/>
        <v>0</v>
      </c>
      <c r="J1158" s="75"/>
      <c r="K1158" s="5">
        <v>46218</v>
      </c>
      <c r="O1158" s="9"/>
      <c r="S1158" s="3"/>
    </row>
    <row r="1159" spans="1:19" ht="15" hidden="1" customHeight="1" x14ac:dyDescent="0.35">
      <c r="A1159" s="26" t="s">
        <v>2676</v>
      </c>
      <c r="B1159" s="32" t="s">
        <v>417</v>
      </c>
      <c r="C1159" s="28"/>
      <c r="D1159" s="29" t="s">
        <v>2655</v>
      </c>
      <c r="E1159" s="76">
        <v>1850000</v>
      </c>
      <c r="F1159" s="77">
        <f t="shared" si="56"/>
        <v>148000</v>
      </c>
      <c r="G1159" s="31">
        <f t="shared" si="57"/>
        <v>1998000</v>
      </c>
      <c r="H1159" s="74">
        <v>1998000</v>
      </c>
      <c r="I1159" s="75">
        <f t="shared" si="55"/>
        <v>0</v>
      </c>
      <c r="J1159" s="75"/>
      <c r="K1159" s="5">
        <v>46218</v>
      </c>
      <c r="O1159" s="9"/>
      <c r="S1159" s="3"/>
    </row>
    <row r="1160" spans="1:19" ht="15" hidden="1" customHeight="1" x14ac:dyDescent="0.35">
      <c r="A1160" s="26" t="s">
        <v>2677</v>
      </c>
      <c r="B1160" s="32" t="s">
        <v>418</v>
      </c>
      <c r="C1160" s="28"/>
      <c r="D1160" s="29" t="s">
        <v>2655</v>
      </c>
      <c r="E1160" s="76">
        <v>1005000</v>
      </c>
      <c r="F1160" s="77">
        <f t="shared" si="56"/>
        <v>80400</v>
      </c>
      <c r="G1160" s="31">
        <f t="shared" si="57"/>
        <v>1085400</v>
      </c>
      <c r="H1160" s="74">
        <v>1085400</v>
      </c>
      <c r="I1160" s="75">
        <f t="shared" si="55"/>
        <v>0</v>
      </c>
      <c r="J1160" s="75"/>
      <c r="K1160" s="5">
        <v>46218</v>
      </c>
      <c r="O1160" s="9"/>
      <c r="S1160" s="3"/>
    </row>
    <row r="1161" spans="1:19" ht="15" hidden="1" customHeight="1" x14ac:dyDescent="0.35">
      <c r="A1161" s="26" t="s">
        <v>2678</v>
      </c>
      <c r="B1161" s="32" t="s">
        <v>419</v>
      </c>
      <c r="C1161" s="28"/>
      <c r="D1161" s="29" t="s">
        <v>2655</v>
      </c>
      <c r="E1161" s="76">
        <v>5030000</v>
      </c>
      <c r="F1161" s="77">
        <f t="shared" si="56"/>
        <v>402400</v>
      </c>
      <c r="G1161" s="31">
        <f t="shared" si="57"/>
        <v>5432400</v>
      </c>
      <c r="H1161" s="74">
        <v>5432400</v>
      </c>
      <c r="I1161" s="75">
        <f t="shared" si="55"/>
        <v>0</v>
      </c>
      <c r="J1161" s="75"/>
      <c r="K1161" s="5">
        <v>46218</v>
      </c>
      <c r="O1161" s="9"/>
      <c r="S1161" s="3"/>
    </row>
    <row r="1162" spans="1:19" ht="15" hidden="1" customHeight="1" x14ac:dyDescent="0.35">
      <c r="A1162" s="26" t="s">
        <v>2679</v>
      </c>
      <c r="B1162" s="32" t="s">
        <v>420</v>
      </c>
      <c r="C1162" s="28"/>
      <c r="D1162" s="29" t="s">
        <v>2655</v>
      </c>
      <c r="E1162" s="76">
        <v>4050000</v>
      </c>
      <c r="F1162" s="77">
        <f t="shared" si="56"/>
        <v>324000</v>
      </c>
      <c r="G1162" s="31">
        <f t="shared" si="57"/>
        <v>4374000</v>
      </c>
      <c r="H1162" s="74">
        <v>4374000</v>
      </c>
      <c r="I1162" s="75">
        <f t="shared" si="55"/>
        <v>0</v>
      </c>
      <c r="J1162" s="75"/>
      <c r="K1162" s="5">
        <v>46239</v>
      </c>
      <c r="O1162" s="9"/>
      <c r="S1162" s="3"/>
    </row>
    <row r="1163" spans="1:19" ht="15" hidden="1" customHeight="1" x14ac:dyDescent="0.35">
      <c r="A1163" s="26" t="s">
        <v>2680</v>
      </c>
      <c r="B1163" s="32" t="s">
        <v>421</v>
      </c>
      <c r="C1163" s="28"/>
      <c r="D1163" s="29" t="s">
        <v>2655</v>
      </c>
      <c r="E1163" s="76">
        <v>2010000</v>
      </c>
      <c r="F1163" s="77">
        <f t="shared" si="56"/>
        <v>160800</v>
      </c>
      <c r="G1163" s="31">
        <f t="shared" si="57"/>
        <v>2170800</v>
      </c>
      <c r="H1163" s="74">
        <v>2170800</v>
      </c>
      <c r="I1163" s="75">
        <f t="shared" si="55"/>
        <v>0</v>
      </c>
      <c r="J1163" s="75"/>
      <c r="K1163" s="5">
        <v>46218</v>
      </c>
      <c r="O1163" s="9"/>
      <c r="S1163" s="3"/>
    </row>
    <row r="1164" spans="1:19" ht="15" hidden="1" customHeight="1" x14ac:dyDescent="0.35">
      <c r="A1164" s="26" t="s">
        <v>2681</v>
      </c>
      <c r="B1164" s="32" t="s">
        <v>422</v>
      </c>
      <c r="C1164" s="28"/>
      <c r="D1164" s="29" t="s">
        <v>2655</v>
      </c>
      <c r="E1164" s="76">
        <v>840000</v>
      </c>
      <c r="F1164" s="77">
        <f t="shared" si="56"/>
        <v>67200</v>
      </c>
      <c r="G1164" s="31">
        <f t="shared" si="57"/>
        <v>907200</v>
      </c>
      <c r="H1164" s="74">
        <v>907200</v>
      </c>
      <c r="I1164" s="75">
        <f t="shared" si="55"/>
        <v>0</v>
      </c>
      <c r="J1164" s="75"/>
      <c r="L1164" s="5">
        <v>46208</v>
      </c>
      <c r="O1164" s="9"/>
      <c r="S1164" s="3"/>
    </row>
    <row r="1165" spans="1:19" ht="15" hidden="1" customHeight="1" x14ac:dyDescent="0.35">
      <c r="A1165" s="26" t="s">
        <v>2682</v>
      </c>
      <c r="B1165" s="32" t="s">
        <v>423</v>
      </c>
      <c r="C1165" s="28"/>
      <c r="D1165" s="29" t="s">
        <v>2655</v>
      </c>
      <c r="E1165" s="76">
        <v>840000</v>
      </c>
      <c r="F1165" s="77">
        <f t="shared" si="56"/>
        <v>67200</v>
      </c>
      <c r="G1165" s="31">
        <f t="shared" si="57"/>
        <v>907200</v>
      </c>
      <c r="H1165" s="74">
        <v>907200</v>
      </c>
      <c r="I1165" s="75">
        <f t="shared" si="55"/>
        <v>0</v>
      </c>
      <c r="J1165" s="75"/>
      <c r="L1165" s="5">
        <v>46208</v>
      </c>
      <c r="O1165" s="9"/>
      <c r="S1165" s="3"/>
    </row>
    <row r="1166" spans="1:19" ht="15" hidden="1" customHeight="1" x14ac:dyDescent="0.35">
      <c r="A1166" s="26" t="s">
        <v>2683</v>
      </c>
      <c r="B1166" s="27" t="s">
        <v>2627</v>
      </c>
      <c r="C1166" s="28"/>
      <c r="D1166" s="29" t="s">
        <v>2655</v>
      </c>
      <c r="E1166" s="76">
        <v>840000</v>
      </c>
      <c r="F1166" s="77">
        <f t="shared" si="56"/>
        <v>67200</v>
      </c>
      <c r="G1166" s="31">
        <f t="shared" si="57"/>
        <v>907200</v>
      </c>
      <c r="H1166" s="74">
        <v>907200</v>
      </c>
      <c r="I1166" s="75">
        <f t="shared" si="55"/>
        <v>0</v>
      </c>
      <c r="J1166" s="75"/>
      <c r="L1166" s="5">
        <v>46208</v>
      </c>
      <c r="O1166" s="9"/>
      <c r="S1166" s="3"/>
    </row>
    <row r="1167" spans="1:19" ht="15" hidden="1" customHeight="1" x14ac:dyDescent="0.35">
      <c r="A1167" s="26" t="s">
        <v>2684</v>
      </c>
      <c r="B1167" s="32" t="s">
        <v>424</v>
      </c>
      <c r="C1167" s="28"/>
      <c r="D1167" s="29" t="s">
        <v>2655</v>
      </c>
      <c r="E1167" s="76">
        <v>1132800</v>
      </c>
      <c r="F1167" s="77">
        <f t="shared" si="56"/>
        <v>90624</v>
      </c>
      <c r="G1167" s="31">
        <f t="shared" si="57"/>
        <v>1223424</v>
      </c>
      <c r="H1167" s="31">
        <v>1223424</v>
      </c>
      <c r="I1167" s="75">
        <f t="shared" si="55"/>
        <v>0</v>
      </c>
      <c r="J1167" s="75"/>
      <c r="L1167" s="5">
        <v>46208</v>
      </c>
      <c r="O1167" s="9"/>
      <c r="S1167" s="3"/>
    </row>
    <row r="1168" spans="1:19" ht="15" hidden="1" customHeight="1" x14ac:dyDescent="0.35">
      <c r="A1168" s="26" t="s">
        <v>2685</v>
      </c>
      <c r="B1168" s="32" t="s">
        <v>425</v>
      </c>
      <c r="C1168" s="28"/>
      <c r="D1168" s="29" t="s">
        <v>2655</v>
      </c>
      <c r="E1168" s="76">
        <v>840000</v>
      </c>
      <c r="F1168" s="77">
        <f t="shared" si="56"/>
        <v>67200</v>
      </c>
      <c r="G1168" s="31">
        <f t="shared" si="57"/>
        <v>907200</v>
      </c>
      <c r="H1168" s="74">
        <v>907200</v>
      </c>
      <c r="I1168" s="75">
        <f t="shared" si="55"/>
        <v>0</v>
      </c>
      <c r="J1168" s="75"/>
      <c r="L1168" s="5">
        <v>46208</v>
      </c>
      <c r="O1168" s="9"/>
      <c r="S1168" s="3"/>
    </row>
    <row r="1169" spans="1:19" ht="15" hidden="1" customHeight="1" x14ac:dyDescent="0.35">
      <c r="A1169" s="26" t="s">
        <v>2686</v>
      </c>
      <c r="B1169" s="27" t="s">
        <v>426</v>
      </c>
      <c r="C1169" s="28"/>
      <c r="D1169" s="29" t="s">
        <v>2655</v>
      </c>
      <c r="E1169" s="76">
        <v>840000</v>
      </c>
      <c r="F1169" s="77">
        <f t="shared" si="56"/>
        <v>67200</v>
      </c>
      <c r="G1169" s="31">
        <f t="shared" si="57"/>
        <v>907200</v>
      </c>
      <c r="H1169" s="74">
        <v>907200</v>
      </c>
      <c r="I1169" s="75">
        <f t="shared" si="55"/>
        <v>0</v>
      </c>
      <c r="J1169" s="75"/>
      <c r="L1169" s="5">
        <v>46208</v>
      </c>
      <c r="O1169" s="9"/>
      <c r="S1169" s="3"/>
    </row>
    <row r="1170" spans="1:19" ht="15" hidden="1" customHeight="1" x14ac:dyDescent="0.35">
      <c r="A1170" s="26" t="s">
        <v>2687</v>
      </c>
      <c r="B1170" s="32" t="s">
        <v>427</v>
      </c>
      <c r="C1170" s="28"/>
      <c r="D1170" s="29" t="s">
        <v>2655</v>
      </c>
      <c r="E1170" s="76">
        <v>1132800</v>
      </c>
      <c r="F1170" s="77">
        <f t="shared" si="56"/>
        <v>90624</v>
      </c>
      <c r="G1170" s="31">
        <f t="shared" si="57"/>
        <v>1223424</v>
      </c>
      <c r="H1170" s="74">
        <v>1223424</v>
      </c>
      <c r="I1170" s="75">
        <f t="shared" si="55"/>
        <v>0</v>
      </c>
      <c r="J1170" s="75"/>
      <c r="L1170" s="5">
        <v>46208</v>
      </c>
      <c r="O1170" s="9"/>
      <c r="S1170" s="3"/>
    </row>
    <row r="1171" spans="1:19" ht="15" hidden="1" customHeight="1" x14ac:dyDescent="0.35">
      <c r="A1171" s="26" t="s">
        <v>2688</v>
      </c>
      <c r="B1171" s="32" t="s">
        <v>428</v>
      </c>
      <c r="C1171" s="28"/>
      <c r="D1171" s="29" t="s">
        <v>2655</v>
      </c>
      <c r="E1171" s="76">
        <v>1132800</v>
      </c>
      <c r="F1171" s="77">
        <f t="shared" si="56"/>
        <v>90624</v>
      </c>
      <c r="G1171" s="31">
        <f t="shared" si="57"/>
        <v>1223424</v>
      </c>
      <c r="H1171" s="74">
        <v>1223424</v>
      </c>
      <c r="I1171" s="75">
        <f t="shared" si="55"/>
        <v>0</v>
      </c>
      <c r="J1171" s="75"/>
      <c r="L1171" s="5">
        <v>46208</v>
      </c>
      <c r="O1171" s="9"/>
      <c r="S1171" s="3"/>
    </row>
    <row r="1172" spans="1:19" ht="15" hidden="1" customHeight="1" x14ac:dyDescent="0.35">
      <c r="A1172" s="26" t="s">
        <v>2689</v>
      </c>
      <c r="B1172" s="32" t="s">
        <v>429</v>
      </c>
      <c r="C1172" s="28"/>
      <c r="D1172" s="29" t="s">
        <v>2655</v>
      </c>
      <c r="E1172" s="76">
        <v>840000</v>
      </c>
      <c r="F1172" s="77">
        <f t="shared" si="56"/>
        <v>67200</v>
      </c>
      <c r="G1172" s="31">
        <f t="shared" si="57"/>
        <v>907200</v>
      </c>
      <c r="H1172" s="74">
        <v>907200</v>
      </c>
      <c r="I1172" s="75">
        <f t="shared" si="55"/>
        <v>0</v>
      </c>
      <c r="J1172" s="75"/>
      <c r="L1172" s="5">
        <v>46208</v>
      </c>
      <c r="O1172" s="9"/>
      <c r="S1172" s="3"/>
    </row>
    <row r="1173" spans="1:19" ht="15" hidden="1" customHeight="1" x14ac:dyDescent="0.35">
      <c r="A1173" s="26" t="s">
        <v>2690</v>
      </c>
      <c r="B1173" s="32" t="s">
        <v>430</v>
      </c>
      <c r="C1173" s="28"/>
      <c r="D1173" s="29" t="s">
        <v>2655</v>
      </c>
      <c r="E1173" s="76">
        <v>1972800</v>
      </c>
      <c r="F1173" s="77">
        <f t="shared" si="56"/>
        <v>157824</v>
      </c>
      <c r="G1173" s="31">
        <f t="shared" si="57"/>
        <v>2130624</v>
      </c>
      <c r="H1173" s="74">
        <v>2130624</v>
      </c>
      <c r="I1173" s="75">
        <f t="shared" si="55"/>
        <v>0</v>
      </c>
      <c r="J1173" s="75"/>
      <c r="L1173" s="5">
        <v>46208</v>
      </c>
      <c r="O1173" s="9"/>
      <c r="S1173" s="3"/>
    </row>
    <row r="1174" spans="1:19" ht="15" hidden="1" customHeight="1" x14ac:dyDescent="0.35">
      <c r="A1174" s="26" t="s">
        <v>2691</v>
      </c>
      <c r="B1174" s="32" t="s">
        <v>431</v>
      </c>
      <c r="C1174" s="28"/>
      <c r="D1174" s="29" t="s">
        <v>2655</v>
      </c>
      <c r="E1174" s="76">
        <v>840000</v>
      </c>
      <c r="F1174" s="77">
        <f t="shared" si="56"/>
        <v>67200</v>
      </c>
      <c r="G1174" s="31">
        <f t="shared" si="57"/>
        <v>907200</v>
      </c>
      <c r="H1174" s="74">
        <v>907200</v>
      </c>
      <c r="I1174" s="75">
        <f t="shared" si="55"/>
        <v>0</v>
      </c>
      <c r="J1174" s="75"/>
      <c r="L1174" s="5">
        <v>46208</v>
      </c>
      <c r="O1174" s="9"/>
      <c r="S1174" s="3"/>
    </row>
    <row r="1175" spans="1:19" ht="15" hidden="1" customHeight="1" x14ac:dyDescent="0.35">
      <c r="A1175" s="26" t="s">
        <v>2692</v>
      </c>
      <c r="B1175" s="32" t="s">
        <v>432</v>
      </c>
      <c r="C1175" s="28"/>
      <c r="D1175" s="29" t="s">
        <v>2655</v>
      </c>
      <c r="E1175" s="76">
        <v>840000</v>
      </c>
      <c r="F1175" s="77">
        <f t="shared" si="56"/>
        <v>67200</v>
      </c>
      <c r="G1175" s="31">
        <f t="shared" si="57"/>
        <v>907200</v>
      </c>
      <c r="H1175" s="74">
        <v>907200</v>
      </c>
      <c r="I1175" s="75">
        <f t="shared" si="55"/>
        <v>0</v>
      </c>
      <c r="J1175" s="75"/>
      <c r="L1175" s="5">
        <v>46208</v>
      </c>
      <c r="O1175" s="9"/>
      <c r="S1175" s="3"/>
    </row>
    <row r="1176" spans="1:19" ht="15" hidden="1" customHeight="1" x14ac:dyDescent="0.35">
      <c r="A1176" s="26" t="s">
        <v>2693</v>
      </c>
      <c r="B1176" s="27" t="s">
        <v>433</v>
      </c>
      <c r="C1176" s="28"/>
      <c r="D1176" s="29" t="s">
        <v>2655</v>
      </c>
      <c r="E1176" s="76">
        <v>990000</v>
      </c>
      <c r="F1176" s="77">
        <f t="shared" si="56"/>
        <v>79200</v>
      </c>
      <c r="G1176" s="31">
        <f t="shared" si="57"/>
        <v>1069200</v>
      </c>
      <c r="H1176" s="74">
        <v>1069200</v>
      </c>
      <c r="I1176" s="75">
        <f t="shared" si="55"/>
        <v>0</v>
      </c>
      <c r="J1176" s="75"/>
      <c r="K1176" s="5">
        <v>46218</v>
      </c>
      <c r="O1176" s="9"/>
      <c r="S1176" s="3"/>
    </row>
    <row r="1177" spans="1:19" ht="15" hidden="1" customHeight="1" x14ac:dyDescent="0.35">
      <c r="A1177" s="26" t="s">
        <v>2694</v>
      </c>
      <c r="B1177" s="27" t="s">
        <v>434</v>
      </c>
      <c r="C1177" s="28"/>
      <c r="D1177" s="29" t="s">
        <v>2655</v>
      </c>
      <c r="E1177" s="76">
        <v>1005000</v>
      </c>
      <c r="F1177" s="77">
        <f t="shared" si="56"/>
        <v>80400</v>
      </c>
      <c r="G1177" s="31">
        <f t="shared" si="57"/>
        <v>1085400</v>
      </c>
      <c r="H1177" s="74">
        <v>1085400</v>
      </c>
      <c r="I1177" s="75">
        <f t="shared" si="55"/>
        <v>0</v>
      </c>
      <c r="J1177" s="75"/>
      <c r="K1177" s="5">
        <v>46218</v>
      </c>
      <c r="O1177" s="9"/>
      <c r="S1177" s="3"/>
    </row>
    <row r="1178" spans="1:19" ht="15" hidden="1" customHeight="1" x14ac:dyDescent="0.35">
      <c r="A1178" s="26" t="s">
        <v>2695</v>
      </c>
      <c r="B1178" s="32" t="s">
        <v>435</v>
      </c>
      <c r="C1178" s="28"/>
      <c r="D1178" s="29" t="s">
        <v>2655</v>
      </c>
      <c r="E1178" s="76">
        <v>2812800</v>
      </c>
      <c r="F1178" s="77">
        <f t="shared" si="56"/>
        <v>225024</v>
      </c>
      <c r="G1178" s="31">
        <f t="shared" si="57"/>
        <v>3037824</v>
      </c>
      <c r="H1178" s="74">
        <v>3037824</v>
      </c>
      <c r="I1178" s="75">
        <f t="shared" si="55"/>
        <v>0</v>
      </c>
      <c r="J1178" s="75"/>
      <c r="L1178" s="5">
        <v>46208</v>
      </c>
      <c r="O1178" s="9"/>
      <c r="S1178" s="3"/>
    </row>
    <row r="1179" spans="1:19" ht="15" hidden="1" customHeight="1" x14ac:dyDescent="0.35">
      <c r="A1179" s="26" t="s">
        <v>2696</v>
      </c>
      <c r="B1179" s="32" t="s">
        <v>2628</v>
      </c>
      <c r="C1179" s="28"/>
      <c r="D1179" s="29" t="s">
        <v>2656</v>
      </c>
      <c r="E1179" s="76">
        <v>6120000</v>
      </c>
      <c r="F1179" s="77">
        <f t="shared" si="56"/>
        <v>489600</v>
      </c>
      <c r="G1179" s="31">
        <f t="shared" si="57"/>
        <v>6609600</v>
      </c>
      <c r="H1179" s="74">
        <v>6609600</v>
      </c>
      <c r="I1179" s="75">
        <f t="shared" si="55"/>
        <v>0</v>
      </c>
      <c r="J1179" s="75"/>
      <c r="K1179" s="5">
        <v>46218</v>
      </c>
      <c r="O1179" s="9"/>
      <c r="S1179" s="3"/>
    </row>
    <row r="1180" spans="1:19" ht="15" hidden="1" customHeight="1" x14ac:dyDescent="0.35">
      <c r="A1180" s="26" t="s">
        <v>2697</v>
      </c>
      <c r="B1180" s="32" t="s">
        <v>2629</v>
      </c>
      <c r="C1180" s="28">
        <v>4674</v>
      </c>
      <c r="D1180" s="29">
        <v>46183</v>
      </c>
      <c r="E1180" s="76">
        <v>7552000</v>
      </c>
      <c r="F1180" s="77">
        <f t="shared" si="56"/>
        <v>604160</v>
      </c>
      <c r="G1180" s="31">
        <f t="shared" si="57"/>
        <v>8156160</v>
      </c>
      <c r="H1180" s="74">
        <v>8156160</v>
      </c>
      <c r="I1180" s="75">
        <f t="shared" si="55"/>
        <v>0</v>
      </c>
      <c r="J1180" s="75"/>
      <c r="K1180" s="5">
        <v>46239</v>
      </c>
      <c r="O1180" s="9"/>
      <c r="S1180" s="3"/>
    </row>
    <row r="1181" spans="1:19" ht="15" hidden="1" customHeight="1" x14ac:dyDescent="0.35">
      <c r="A1181" s="26" t="s">
        <v>2698</v>
      </c>
      <c r="B1181" s="32" t="s">
        <v>2630</v>
      </c>
      <c r="C1181" s="28"/>
      <c r="D1181" s="29" t="s">
        <v>2656</v>
      </c>
      <c r="E1181" s="76">
        <v>1132800</v>
      </c>
      <c r="F1181" s="77">
        <f t="shared" si="56"/>
        <v>90624</v>
      </c>
      <c r="G1181" s="31">
        <f t="shared" si="57"/>
        <v>1223424</v>
      </c>
      <c r="H1181" s="74">
        <v>1223424</v>
      </c>
      <c r="I1181" s="75">
        <f t="shared" si="55"/>
        <v>0</v>
      </c>
      <c r="J1181" s="75"/>
      <c r="L1181" s="5">
        <v>46218</v>
      </c>
      <c r="O1181" s="9"/>
      <c r="S1181" s="3"/>
    </row>
    <row r="1182" spans="1:19" ht="15" hidden="1" customHeight="1" x14ac:dyDescent="0.35">
      <c r="A1182" s="26" t="s">
        <v>2699</v>
      </c>
      <c r="B1182" s="32" t="s">
        <v>2631</v>
      </c>
      <c r="C1182" s="28"/>
      <c r="D1182" s="29" t="s">
        <v>2657</v>
      </c>
      <c r="E1182" s="76">
        <v>840000</v>
      </c>
      <c r="F1182" s="77">
        <f t="shared" si="56"/>
        <v>67200</v>
      </c>
      <c r="G1182" s="31">
        <f t="shared" si="57"/>
        <v>907200</v>
      </c>
      <c r="H1182" s="74">
        <v>907200</v>
      </c>
      <c r="I1182" s="75">
        <f t="shared" si="55"/>
        <v>0</v>
      </c>
      <c r="J1182" s="75"/>
      <c r="L1182" s="5">
        <v>46218</v>
      </c>
      <c r="O1182" s="9"/>
      <c r="S1182" s="3"/>
    </row>
    <row r="1183" spans="1:19" ht="15" hidden="1" customHeight="1" x14ac:dyDescent="0.35">
      <c r="A1183" s="26" t="s">
        <v>2700</v>
      </c>
      <c r="B1183" s="32" t="s">
        <v>2632</v>
      </c>
      <c r="C1183" s="28"/>
      <c r="D1183" s="29" t="s">
        <v>2657</v>
      </c>
      <c r="E1183" s="76">
        <v>1132800</v>
      </c>
      <c r="F1183" s="77">
        <f t="shared" si="56"/>
        <v>90624</v>
      </c>
      <c r="G1183" s="31">
        <f t="shared" si="57"/>
        <v>1223424</v>
      </c>
      <c r="H1183" s="74">
        <v>1223424</v>
      </c>
      <c r="I1183" s="75">
        <f t="shared" si="55"/>
        <v>0</v>
      </c>
      <c r="J1183" s="75"/>
      <c r="L1183" s="5">
        <v>46218</v>
      </c>
      <c r="O1183" s="9"/>
      <c r="S1183" s="3"/>
    </row>
    <row r="1184" spans="1:19" ht="15" hidden="1" customHeight="1" x14ac:dyDescent="0.35">
      <c r="A1184" s="26" t="s">
        <v>2701</v>
      </c>
      <c r="B1184" s="32" t="s">
        <v>2633</v>
      </c>
      <c r="C1184" s="28"/>
      <c r="D1184" s="29" t="s">
        <v>2657</v>
      </c>
      <c r="E1184" s="76">
        <v>1132800</v>
      </c>
      <c r="F1184" s="77">
        <f t="shared" si="56"/>
        <v>90624</v>
      </c>
      <c r="G1184" s="31">
        <f t="shared" si="57"/>
        <v>1223424</v>
      </c>
      <c r="H1184" s="74">
        <v>1223424</v>
      </c>
      <c r="I1184" s="75">
        <f t="shared" si="55"/>
        <v>0</v>
      </c>
      <c r="J1184" s="75"/>
      <c r="L1184" s="5">
        <v>46218</v>
      </c>
      <c r="O1184" s="9"/>
      <c r="S1184" s="3"/>
    </row>
    <row r="1185" spans="1:19" ht="15" hidden="1" customHeight="1" x14ac:dyDescent="0.35">
      <c r="A1185" s="26" t="s">
        <v>2702</v>
      </c>
      <c r="B1185" s="32" t="s">
        <v>2634</v>
      </c>
      <c r="C1185" s="28"/>
      <c r="D1185" s="29" t="s">
        <v>2657</v>
      </c>
      <c r="E1185" s="76">
        <v>840000</v>
      </c>
      <c r="F1185" s="77">
        <f t="shared" si="56"/>
        <v>67200</v>
      </c>
      <c r="G1185" s="31">
        <f t="shared" si="57"/>
        <v>907200</v>
      </c>
      <c r="H1185" s="74">
        <v>907200</v>
      </c>
      <c r="I1185" s="75">
        <f t="shared" si="55"/>
        <v>0</v>
      </c>
      <c r="J1185" s="75"/>
      <c r="L1185" s="5">
        <v>46218</v>
      </c>
      <c r="O1185" s="9"/>
      <c r="S1185" s="3"/>
    </row>
    <row r="1186" spans="1:19" ht="15" hidden="1" customHeight="1" x14ac:dyDescent="0.35">
      <c r="A1186" s="26" t="s">
        <v>2703</v>
      </c>
      <c r="B1186" s="32" t="s">
        <v>2635</v>
      </c>
      <c r="C1186" s="28"/>
      <c r="D1186" s="29" t="s">
        <v>2657</v>
      </c>
      <c r="E1186" s="76">
        <v>840000</v>
      </c>
      <c r="F1186" s="77">
        <f t="shared" si="56"/>
        <v>67200</v>
      </c>
      <c r="G1186" s="31">
        <f t="shared" si="57"/>
        <v>907200</v>
      </c>
      <c r="H1186" s="74">
        <v>907200</v>
      </c>
      <c r="I1186" s="75">
        <f t="shared" si="55"/>
        <v>0</v>
      </c>
      <c r="J1186" s="75"/>
      <c r="L1186" s="5">
        <v>46218</v>
      </c>
      <c r="O1186" s="9"/>
      <c r="S1186" s="3"/>
    </row>
    <row r="1187" spans="1:19" ht="15" hidden="1" customHeight="1" x14ac:dyDescent="0.35">
      <c r="A1187" s="26" t="s">
        <v>2704</v>
      </c>
      <c r="B1187" s="32" t="s">
        <v>2636</v>
      </c>
      <c r="C1187" s="28"/>
      <c r="D1187" s="29" t="s">
        <v>2657</v>
      </c>
      <c r="E1187" s="76">
        <v>840000</v>
      </c>
      <c r="F1187" s="77">
        <f t="shared" si="56"/>
        <v>67200</v>
      </c>
      <c r="G1187" s="31">
        <f t="shared" si="57"/>
        <v>907200</v>
      </c>
      <c r="H1187" s="74">
        <v>907200</v>
      </c>
      <c r="I1187" s="75">
        <f t="shared" si="55"/>
        <v>0</v>
      </c>
      <c r="J1187" s="75"/>
      <c r="L1187" s="5">
        <v>46218</v>
      </c>
      <c r="O1187" s="9"/>
      <c r="S1187" s="3"/>
    </row>
    <row r="1188" spans="1:19" ht="15" hidden="1" customHeight="1" x14ac:dyDescent="0.35">
      <c r="A1188" s="26" t="s">
        <v>2705</v>
      </c>
      <c r="B1188" s="32" t="s">
        <v>2637</v>
      </c>
      <c r="C1188" s="28"/>
      <c r="D1188" s="29" t="s">
        <v>2657</v>
      </c>
      <c r="E1188" s="76">
        <v>840000</v>
      </c>
      <c r="F1188" s="77">
        <f t="shared" si="56"/>
        <v>67200</v>
      </c>
      <c r="G1188" s="31">
        <f t="shared" si="57"/>
        <v>907200</v>
      </c>
      <c r="H1188" s="74">
        <v>907200</v>
      </c>
      <c r="I1188" s="75">
        <f t="shared" si="55"/>
        <v>0</v>
      </c>
      <c r="J1188" s="75"/>
      <c r="L1188" s="5">
        <v>46218</v>
      </c>
      <c r="O1188" s="9"/>
      <c r="S1188" s="3"/>
    </row>
    <row r="1189" spans="1:19" ht="15" hidden="1" customHeight="1" x14ac:dyDescent="0.35">
      <c r="A1189" s="26" t="s">
        <v>2706</v>
      </c>
      <c r="B1189" s="32" t="s">
        <v>2638</v>
      </c>
      <c r="C1189" s="28"/>
      <c r="D1189" s="29" t="s">
        <v>2657</v>
      </c>
      <c r="E1189" s="76">
        <v>1132800</v>
      </c>
      <c r="F1189" s="77">
        <f t="shared" si="56"/>
        <v>90624</v>
      </c>
      <c r="G1189" s="31">
        <f t="shared" si="57"/>
        <v>1223424</v>
      </c>
      <c r="H1189" s="74">
        <v>1223424</v>
      </c>
      <c r="I1189" s="75">
        <f t="shared" si="55"/>
        <v>0</v>
      </c>
      <c r="J1189" s="75"/>
      <c r="L1189" s="5">
        <v>46218</v>
      </c>
      <c r="O1189" s="9"/>
      <c r="S1189" s="3"/>
    </row>
    <row r="1190" spans="1:19" ht="15" hidden="1" customHeight="1" x14ac:dyDescent="0.35">
      <c r="A1190" s="26" t="s">
        <v>2707</v>
      </c>
      <c r="B1190" s="32" t="s">
        <v>2639</v>
      </c>
      <c r="C1190" s="28"/>
      <c r="D1190" s="29" t="s">
        <v>2657</v>
      </c>
      <c r="E1190" s="76">
        <v>1132800</v>
      </c>
      <c r="F1190" s="77">
        <f t="shared" si="56"/>
        <v>90624</v>
      </c>
      <c r="G1190" s="31">
        <f t="shared" si="57"/>
        <v>1223424</v>
      </c>
      <c r="H1190" s="74">
        <v>1223424</v>
      </c>
      <c r="I1190" s="75">
        <f t="shared" si="55"/>
        <v>0</v>
      </c>
      <c r="J1190" s="75"/>
      <c r="L1190" s="5">
        <v>46218</v>
      </c>
      <c r="O1190" s="9"/>
      <c r="S1190" s="3"/>
    </row>
    <row r="1191" spans="1:19" ht="15" hidden="1" customHeight="1" x14ac:dyDescent="0.35">
      <c r="A1191" s="26" t="s">
        <v>2708</v>
      </c>
      <c r="B1191" s="32" t="s">
        <v>2640</v>
      </c>
      <c r="C1191" s="28"/>
      <c r="D1191" s="29" t="s">
        <v>2657</v>
      </c>
      <c r="E1191" s="76">
        <v>1680000</v>
      </c>
      <c r="F1191" s="77">
        <f t="shared" si="56"/>
        <v>134400</v>
      </c>
      <c r="G1191" s="31">
        <f t="shared" si="57"/>
        <v>1814400</v>
      </c>
      <c r="H1191" s="74">
        <v>1814400</v>
      </c>
      <c r="I1191" s="75">
        <f t="shared" ref="I1191:I1243" si="58">G1191-H1191</f>
        <v>0</v>
      </c>
      <c r="J1191" s="75"/>
      <c r="L1191" s="5">
        <v>46218</v>
      </c>
      <c r="O1191" s="9"/>
      <c r="S1191" s="3"/>
    </row>
    <row r="1192" spans="1:19" ht="15" hidden="1" customHeight="1" x14ac:dyDescent="0.35">
      <c r="A1192" s="26" t="s">
        <v>2709</v>
      </c>
      <c r="B1192" s="32" t="s">
        <v>2641</v>
      </c>
      <c r="C1192" s="28"/>
      <c r="D1192" s="29" t="s">
        <v>2657</v>
      </c>
      <c r="E1192" s="76">
        <v>840000</v>
      </c>
      <c r="F1192" s="77">
        <f t="shared" ref="F1192:F1243" si="59">+E1192*0.08</f>
        <v>67200</v>
      </c>
      <c r="G1192" s="31">
        <f t="shared" si="57"/>
        <v>907200</v>
      </c>
      <c r="H1192" s="74">
        <v>907200</v>
      </c>
      <c r="I1192" s="75">
        <f t="shared" si="58"/>
        <v>0</v>
      </c>
      <c r="J1192" s="75"/>
      <c r="L1192" s="5">
        <v>46218</v>
      </c>
      <c r="O1192" s="9"/>
      <c r="S1192" s="3"/>
    </row>
    <row r="1193" spans="1:19" ht="15" hidden="1" customHeight="1" x14ac:dyDescent="0.35">
      <c r="A1193" s="26" t="s">
        <v>2710</v>
      </c>
      <c r="B1193" s="32" t="s">
        <v>2642</v>
      </c>
      <c r="C1193" s="28"/>
      <c r="D1193" s="29" t="s">
        <v>2657</v>
      </c>
      <c r="E1193" s="76">
        <v>840000</v>
      </c>
      <c r="F1193" s="77">
        <f t="shared" si="59"/>
        <v>67200</v>
      </c>
      <c r="G1193" s="31">
        <f t="shared" si="57"/>
        <v>907200</v>
      </c>
      <c r="H1193" s="74">
        <v>907200</v>
      </c>
      <c r="I1193" s="75">
        <f t="shared" si="58"/>
        <v>0</v>
      </c>
      <c r="J1193" s="75"/>
      <c r="L1193" s="5">
        <v>46218</v>
      </c>
      <c r="O1193" s="9"/>
      <c r="S1193" s="3"/>
    </row>
    <row r="1194" spans="1:19" ht="15" hidden="1" customHeight="1" x14ac:dyDescent="0.35">
      <c r="A1194" s="26" t="s">
        <v>2711</v>
      </c>
      <c r="B1194" s="32" t="s">
        <v>2643</v>
      </c>
      <c r="C1194" s="28"/>
      <c r="D1194" s="29" t="s">
        <v>2657</v>
      </c>
      <c r="E1194" s="76">
        <v>1972800</v>
      </c>
      <c r="F1194" s="77">
        <f t="shared" si="59"/>
        <v>157824</v>
      </c>
      <c r="G1194" s="31">
        <f t="shared" si="57"/>
        <v>2130624</v>
      </c>
      <c r="H1194" s="74">
        <v>2130624</v>
      </c>
      <c r="I1194" s="75">
        <f t="shared" si="58"/>
        <v>0</v>
      </c>
      <c r="J1194" s="75"/>
      <c r="L1194" s="5">
        <v>46218</v>
      </c>
      <c r="O1194" s="9"/>
      <c r="S1194" s="3"/>
    </row>
    <row r="1195" spans="1:19" ht="15" hidden="1" customHeight="1" x14ac:dyDescent="0.35">
      <c r="A1195" s="26" t="s">
        <v>2712</v>
      </c>
      <c r="B1195" s="32" t="s">
        <v>2644</v>
      </c>
      <c r="C1195" s="28"/>
      <c r="D1195" s="29" t="s">
        <v>2657</v>
      </c>
      <c r="E1195" s="76">
        <v>1132800</v>
      </c>
      <c r="F1195" s="77">
        <f t="shared" si="59"/>
        <v>90624</v>
      </c>
      <c r="G1195" s="31">
        <f t="shared" si="57"/>
        <v>1223424</v>
      </c>
      <c r="H1195" s="74">
        <v>1223424</v>
      </c>
      <c r="I1195" s="75">
        <f t="shared" si="58"/>
        <v>0</v>
      </c>
      <c r="J1195" s="75"/>
      <c r="L1195" s="5">
        <v>46218</v>
      </c>
      <c r="O1195" s="9"/>
      <c r="S1195" s="3"/>
    </row>
    <row r="1196" spans="1:19" ht="15" hidden="1" customHeight="1" x14ac:dyDescent="0.35">
      <c r="A1196" s="26" t="s">
        <v>2713</v>
      </c>
      <c r="B1196" s="32" t="s">
        <v>2645</v>
      </c>
      <c r="C1196" s="28"/>
      <c r="D1196" s="29" t="s">
        <v>2657</v>
      </c>
      <c r="E1196" s="76">
        <v>1680000</v>
      </c>
      <c r="F1196" s="77">
        <f t="shared" si="59"/>
        <v>134400</v>
      </c>
      <c r="G1196" s="31">
        <f t="shared" si="57"/>
        <v>1814400</v>
      </c>
      <c r="H1196" s="74">
        <v>1814400</v>
      </c>
      <c r="I1196" s="75">
        <f t="shared" si="58"/>
        <v>0</v>
      </c>
      <c r="J1196" s="75"/>
      <c r="L1196" s="5">
        <v>46218</v>
      </c>
      <c r="O1196" s="9"/>
      <c r="S1196" s="3"/>
    </row>
    <row r="1197" spans="1:19" ht="15" hidden="1" customHeight="1" x14ac:dyDescent="0.35">
      <c r="A1197" s="26" t="s">
        <v>2714</v>
      </c>
      <c r="B1197" s="32" t="s">
        <v>2646</v>
      </c>
      <c r="C1197" s="28">
        <v>4853</v>
      </c>
      <c r="D1197" s="29">
        <v>46188</v>
      </c>
      <c r="E1197" s="76">
        <v>13046500</v>
      </c>
      <c r="F1197" s="77">
        <f t="shared" si="59"/>
        <v>1043720</v>
      </c>
      <c r="G1197" s="31">
        <f t="shared" si="57"/>
        <v>14090220</v>
      </c>
      <c r="H1197" s="74">
        <v>14090220</v>
      </c>
      <c r="I1197" s="75">
        <f t="shared" si="58"/>
        <v>0</v>
      </c>
      <c r="J1197" s="75"/>
      <c r="K1197" s="5">
        <v>46239</v>
      </c>
      <c r="O1197" s="9"/>
      <c r="S1197" s="3"/>
    </row>
    <row r="1198" spans="1:19" ht="15" hidden="1" customHeight="1" x14ac:dyDescent="0.35">
      <c r="A1198" s="26" t="s">
        <v>2715</v>
      </c>
      <c r="B1198" s="32" t="s">
        <v>2647</v>
      </c>
      <c r="C1198" s="28"/>
      <c r="D1198" s="29" t="s">
        <v>2657</v>
      </c>
      <c r="E1198" s="76">
        <v>3105600</v>
      </c>
      <c r="F1198" s="77">
        <f t="shared" si="59"/>
        <v>248448</v>
      </c>
      <c r="G1198" s="31">
        <f t="shared" si="57"/>
        <v>3354048</v>
      </c>
      <c r="H1198" s="74">
        <v>3354048</v>
      </c>
      <c r="I1198" s="75">
        <f t="shared" si="58"/>
        <v>0</v>
      </c>
      <c r="J1198" s="75"/>
      <c r="L1198" s="5">
        <v>46218</v>
      </c>
      <c r="O1198" s="9"/>
      <c r="S1198" s="3"/>
    </row>
    <row r="1199" spans="1:19" ht="15" hidden="1" customHeight="1" x14ac:dyDescent="0.35">
      <c r="A1199" s="26" t="s">
        <v>2716</v>
      </c>
      <c r="B1199" s="32" t="s">
        <v>436</v>
      </c>
      <c r="C1199" s="28"/>
      <c r="D1199" s="29" t="s">
        <v>2658</v>
      </c>
      <c r="E1199" s="76">
        <v>3045000</v>
      </c>
      <c r="F1199" s="77">
        <f t="shared" si="59"/>
        <v>243600</v>
      </c>
      <c r="G1199" s="31">
        <f t="shared" si="57"/>
        <v>3288600</v>
      </c>
      <c r="H1199" s="74">
        <v>3288600</v>
      </c>
      <c r="I1199" s="75">
        <f t="shared" si="58"/>
        <v>0</v>
      </c>
      <c r="J1199" s="75"/>
      <c r="K1199" s="5">
        <v>46239</v>
      </c>
      <c r="O1199" s="9"/>
      <c r="S1199" s="3"/>
    </row>
    <row r="1200" spans="1:19" ht="15" hidden="1" customHeight="1" x14ac:dyDescent="0.35">
      <c r="A1200" s="26" t="s">
        <v>2717</v>
      </c>
      <c r="B1200" s="32" t="s">
        <v>437</v>
      </c>
      <c r="C1200" s="28"/>
      <c r="D1200" s="29" t="s">
        <v>2658</v>
      </c>
      <c r="E1200" s="76">
        <v>3665000</v>
      </c>
      <c r="F1200" s="77">
        <f t="shared" si="59"/>
        <v>293200</v>
      </c>
      <c r="G1200" s="31">
        <f t="shared" si="57"/>
        <v>3958200</v>
      </c>
      <c r="H1200" s="74">
        <v>3958200</v>
      </c>
      <c r="I1200" s="75">
        <f t="shared" si="58"/>
        <v>0</v>
      </c>
      <c r="J1200" s="75"/>
      <c r="K1200" s="5">
        <v>46239</v>
      </c>
      <c r="O1200" s="9"/>
      <c r="S1200" s="3"/>
    </row>
    <row r="1201" spans="1:19" ht="15" hidden="1" customHeight="1" x14ac:dyDescent="0.35">
      <c r="A1201" s="26" t="s">
        <v>2718</v>
      </c>
      <c r="B1201" s="32" t="s">
        <v>438</v>
      </c>
      <c r="C1201" s="28"/>
      <c r="D1201" s="29" t="s">
        <v>2658</v>
      </c>
      <c r="E1201" s="76">
        <v>1390000</v>
      </c>
      <c r="F1201" s="77">
        <f t="shared" si="59"/>
        <v>111200</v>
      </c>
      <c r="G1201" s="31">
        <f t="shared" si="57"/>
        <v>1501200</v>
      </c>
      <c r="H1201" s="74">
        <v>1501200</v>
      </c>
      <c r="I1201" s="75">
        <f t="shared" si="58"/>
        <v>0</v>
      </c>
      <c r="J1201" s="75"/>
      <c r="K1201" s="5">
        <v>46239</v>
      </c>
      <c r="O1201" s="9"/>
      <c r="S1201" s="3"/>
    </row>
    <row r="1202" spans="1:19" ht="15" hidden="1" customHeight="1" x14ac:dyDescent="0.35">
      <c r="A1202" s="26" t="s">
        <v>2719</v>
      </c>
      <c r="B1202" s="32" t="s">
        <v>439</v>
      </c>
      <c r="C1202" s="28">
        <v>4852</v>
      </c>
      <c r="D1202" s="29">
        <v>46188</v>
      </c>
      <c r="E1202" s="76">
        <v>4674000</v>
      </c>
      <c r="F1202" s="77">
        <f t="shared" si="59"/>
        <v>373920</v>
      </c>
      <c r="G1202" s="31">
        <f t="shared" ref="G1202:G1243" si="60">+F1202+E1202</f>
        <v>5047920</v>
      </c>
      <c r="H1202" s="74">
        <v>5047920</v>
      </c>
      <c r="I1202" s="75">
        <f t="shared" si="58"/>
        <v>0</v>
      </c>
      <c r="J1202" s="75"/>
      <c r="K1202" s="5">
        <v>46239</v>
      </c>
      <c r="O1202" s="9"/>
      <c r="S1202" s="3"/>
    </row>
    <row r="1203" spans="1:19" ht="15" hidden="1" customHeight="1" x14ac:dyDescent="0.35">
      <c r="A1203" s="26" t="s">
        <v>2720</v>
      </c>
      <c r="B1203" s="32" t="s">
        <v>440</v>
      </c>
      <c r="C1203" s="28">
        <v>4675</v>
      </c>
      <c r="D1203" s="29">
        <v>46183</v>
      </c>
      <c r="E1203" s="76">
        <v>8202000</v>
      </c>
      <c r="F1203" s="77">
        <f t="shared" si="59"/>
        <v>656160</v>
      </c>
      <c r="G1203" s="31">
        <f t="shared" si="60"/>
        <v>8858160</v>
      </c>
      <c r="H1203" s="74">
        <v>8858160</v>
      </c>
      <c r="I1203" s="75">
        <f t="shared" si="58"/>
        <v>0</v>
      </c>
      <c r="J1203" s="75"/>
      <c r="K1203" s="5">
        <v>46239</v>
      </c>
      <c r="O1203" s="9"/>
      <c r="S1203" s="3"/>
    </row>
    <row r="1204" spans="1:19" ht="15" hidden="1" customHeight="1" x14ac:dyDescent="0.35">
      <c r="A1204" s="26" t="s">
        <v>2721</v>
      </c>
      <c r="B1204" s="32" t="s">
        <v>441</v>
      </c>
      <c r="C1204" s="28">
        <v>4851</v>
      </c>
      <c r="D1204" s="29">
        <v>46188</v>
      </c>
      <c r="E1204" s="76">
        <v>904500</v>
      </c>
      <c r="F1204" s="77">
        <f t="shared" si="59"/>
        <v>72360</v>
      </c>
      <c r="G1204" s="31">
        <f t="shared" si="60"/>
        <v>976860</v>
      </c>
      <c r="H1204" s="74">
        <v>976860</v>
      </c>
      <c r="I1204" s="75">
        <f t="shared" si="58"/>
        <v>0</v>
      </c>
      <c r="J1204" s="75"/>
      <c r="K1204" s="5">
        <v>46239</v>
      </c>
      <c r="O1204" s="9"/>
      <c r="S1204" s="3"/>
    </row>
    <row r="1205" spans="1:19" ht="15" hidden="1" customHeight="1" x14ac:dyDescent="0.35">
      <c r="A1205" s="26" t="s">
        <v>2722</v>
      </c>
      <c r="B1205" s="32" t="s">
        <v>442</v>
      </c>
      <c r="C1205" s="28"/>
      <c r="D1205" s="29" t="s">
        <v>2658</v>
      </c>
      <c r="E1205" s="76">
        <v>6810000</v>
      </c>
      <c r="F1205" s="77">
        <f t="shared" si="59"/>
        <v>544800</v>
      </c>
      <c r="G1205" s="31">
        <f t="shared" si="60"/>
        <v>7354800</v>
      </c>
      <c r="H1205" s="74">
        <v>7354800</v>
      </c>
      <c r="I1205" s="75">
        <f t="shared" si="58"/>
        <v>0</v>
      </c>
      <c r="J1205" s="75"/>
      <c r="K1205" s="5">
        <v>46239</v>
      </c>
      <c r="O1205" s="9"/>
      <c r="S1205" s="3"/>
    </row>
    <row r="1206" spans="1:19" ht="15" hidden="1" customHeight="1" x14ac:dyDescent="0.35">
      <c r="A1206" s="26" t="s">
        <v>2723</v>
      </c>
      <c r="B1206" s="32" t="s">
        <v>443</v>
      </c>
      <c r="C1206" s="28"/>
      <c r="D1206" s="29" t="s">
        <v>2658</v>
      </c>
      <c r="E1206" s="76">
        <v>3045000</v>
      </c>
      <c r="F1206" s="77">
        <f t="shared" si="59"/>
        <v>243600</v>
      </c>
      <c r="G1206" s="31">
        <f t="shared" si="60"/>
        <v>3288600</v>
      </c>
      <c r="H1206" s="74">
        <v>3288600</v>
      </c>
      <c r="I1206" s="75">
        <f t="shared" si="58"/>
        <v>0</v>
      </c>
      <c r="J1206" s="75"/>
      <c r="K1206" s="5">
        <v>46239</v>
      </c>
      <c r="O1206" s="9"/>
      <c r="S1206" s="3"/>
    </row>
    <row r="1207" spans="1:19" ht="15" hidden="1" customHeight="1" x14ac:dyDescent="0.35">
      <c r="A1207" s="26" t="s">
        <v>2724</v>
      </c>
      <c r="B1207" s="32" t="s">
        <v>34</v>
      </c>
      <c r="C1207" s="28"/>
      <c r="D1207" s="29" t="s">
        <v>2658</v>
      </c>
      <c r="E1207" s="76">
        <v>2690000</v>
      </c>
      <c r="F1207" s="77">
        <f t="shared" si="59"/>
        <v>215200</v>
      </c>
      <c r="G1207" s="31">
        <f t="shared" si="60"/>
        <v>2905200</v>
      </c>
      <c r="H1207" s="74">
        <v>2905200</v>
      </c>
      <c r="I1207" s="75">
        <f t="shared" si="58"/>
        <v>0</v>
      </c>
      <c r="J1207" s="75"/>
      <c r="K1207" s="5">
        <v>46239</v>
      </c>
      <c r="O1207" s="9"/>
      <c r="S1207" s="3"/>
    </row>
    <row r="1208" spans="1:19" ht="15" hidden="1" customHeight="1" x14ac:dyDescent="0.35">
      <c r="A1208" s="26" t="s">
        <v>2725</v>
      </c>
      <c r="B1208" s="32" t="s">
        <v>444</v>
      </c>
      <c r="C1208" s="28"/>
      <c r="D1208" s="29" t="s">
        <v>2658</v>
      </c>
      <c r="E1208" s="76">
        <v>5110000</v>
      </c>
      <c r="F1208" s="77">
        <f t="shared" si="59"/>
        <v>408800</v>
      </c>
      <c r="G1208" s="31">
        <f t="shared" si="60"/>
        <v>5518800</v>
      </c>
      <c r="H1208" s="74">
        <v>5518800</v>
      </c>
      <c r="I1208" s="75">
        <f t="shared" si="58"/>
        <v>0</v>
      </c>
      <c r="J1208" s="75"/>
      <c r="K1208" s="5">
        <v>46239</v>
      </c>
      <c r="O1208" s="9"/>
      <c r="S1208" s="3"/>
    </row>
    <row r="1209" spans="1:19" ht="15" hidden="1" customHeight="1" x14ac:dyDescent="0.35">
      <c r="A1209" s="26" t="s">
        <v>2726</v>
      </c>
      <c r="B1209" s="32" t="s">
        <v>445</v>
      </c>
      <c r="C1209" s="28"/>
      <c r="D1209" s="29" t="s">
        <v>2658</v>
      </c>
      <c r="E1209" s="76">
        <v>17920000</v>
      </c>
      <c r="F1209" s="77">
        <f t="shared" si="59"/>
        <v>1433600</v>
      </c>
      <c r="G1209" s="31">
        <f t="shared" si="60"/>
        <v>19353600</v>
      </c>
      <c r="H1209" s="74">
        <v>19353600</v>
      </c>
      <c r="I1209" s="75">
        <f t="shared" si="58"/>
        <v>0</v>
      </c>
      <c r="J1209" s="75"/>
      <c r="K1209" s="5">
        <v>46239</v>
      </c>
      <c r="O1209" s="9"/>
      <c r="S1209" s="3"/>
    </row>
    <row r="1210" spans="1:19" ht="15" hidden="1" customHeight="1" x14ac:dyDescent="0.35">
      <c r="A1210" s="26" t="s">
        <v>2727</v>
      </c>
      <c r="B1210" s="32" t="s">
        <v>446</v>
      </c>
      <c r="C1210" s="28"/>
      <c r="D1210" s="29" t="s">
        <v>2658</v>
      </c>
      <c r="E1210" s="76">
        <v>9550000</v>
      </c>
      <c r="F1210" s="77">
        <f t="shared" si="59"/>
        <v>764000</v>
      </c>
      <c r="G1210" s="31">
        <f t="shared" si="60"/>
        <v>10314000</v>
      </c>
      <c r="H1210" s="74">
        <v>10314000</v>
      </c>
      <c r="I1210" s="75">
        <f t="shared" si="58"/>
        <v>0</v>
      </c>
      <c r="J1210" s="75"/>
      <c r="K1210" s="5">
        <v>46239</v>
      </c>
      <c r="O1210" s="9"/>
      <c r="S1210" s="3"/>
    </row>
    <row r="1211" spans="1:19" ht="15" hidden="1" customHeight="1" x14ac:dyDescent="0.35">
      <c r="A1211" s="26" t="s">
        <v>2728</v>
      </c>
      <c r="B1211" s="32" t="s">
        <v>447</v>
      </c>
      <c r="C1211" s="28">
        <v>4681</v>
      </c>
      <c r="D1211" s="29">
        <v>46184</v>
      </c>
      <c r="E1211" s="76">
        <v>13123500</v>
      </c>
      <c r="F1211" s="77">
        <f t="shared" si="59"/>
        <v>1049880</v>
      </c>
      <c r="G1211" s="31">
        <f t="shared" si="60"/>
        <v>14173380</v>
      </c>
      <c r="H1211" s="74">
        <v>14173380</v>
      </c>
      <c r="I1211" s="75">
        <f t="shared" si="58"/>
        <v>0</v>
      </c>
      <c r="J1211" s="75"/>
      <c r="K1211" s="5">
        <v>46239</v>
      </c>
      <c r="O1211" s="9"/>
      <c r="S1211" s="3"/>
    </row>
    <row r="1212" spans="1:19" ht="15" hidden="1" customHeight="1" x14ac:dyDescent="0.35">
      <c r="A1212" s="26" t="s">
        <v>2729</v>
      </c>
      <c r="B1212" s="32" t="s">
        <v>448</v>
      </c>
      <c r="C1212" s="28"/>
      <c r="D1212" s="29" t="s">
        <v>2658</v>
      </c>
      <c r="E1212" s="76">
        <v>5305000</v>
      </c>
      <c r="F1212" s="77">
        <f t="shared" si="59"/>
        <v>424400</v>
      </c>
      <c r="G1212" s="31">
        <f t="shared" si="60"/>
        <v>5729400</v>
      </c>
      <c r="H1212" s="74">
        <v>5729400</v>
      </c>
      <c r="I1212" s="75">
        <f t="shared" si="58"/>
        <v>0</v>
      </c>
      <c r="J1212" s="75"/>
      <c r="K1212" s="5">
        <v>46239</v>
      </c>
      <c r="O1212" s="9"/>
      <c r="S1212" s="3"/>
    </row>
    <row r="1213" spans="1:19" ht="15" hidden="1" customHeight="1" x14ac:dyDescent="0.35">
      <c r="A1213" s="26" t="s">
        <v>2730</v>
      </c>
      <c r="B1213" s="32" t="s">
        <v>449</v>
      </c>
      <c r="C1213" s="28"/>
      <c r="D1213" s="29" t="s">
        <v>2658</v>
      </c>
      <c r="E1213" s="76">
        <v>1630000</v>
      </c>
      <c r="F1213" s="77">
        <f t="shared" si="59"/>
        <v>130400</v>
      </c>
      <c r="G1213" s="31">
        <f t="shared" si="60"/>
        <v>1760400</v>
      </c>
      <c r="H1213" s="74">
        <v>1760400</v>
      </c>
      <c r="I1213" s="75">
        <f t="shared" si="58"/>
        <v>0</v>
      </c>
      <c r="J1213" s="75"/>
      <c r="K1213" s="5">
        <v>46239</v>
      </c>
      <c r="O1213" s="9"/>
      <c r="S1213" s="3"/>
    </row>
    <row r="1214" spans="1:19" ht="15" hidden="1" customHeight="1" x14ac:dyDescent="0.35">
      <c r="A1214" s="26" t="s">
        <v>2731</v>
      </c>
      <c r="B1214" s="32" t="s">
        <v>450</v>
      </c>
      <c r="C1214" s="28"/>
      <c r="D1214" s="29" t="s">
        <v>2658</v>
      </c>
      <c r="E1214" s="76">
        <v>2925000</v>
      </c>
      <c r="F1214" s="77">
        <f t="shared" si="59"/>
        <v>234000</v>
      </c>
      <c r="G1214" s="31">
        <f t="shared" si="60"/>
        <v>3159000</v>
      </c>
      <c r="H1214" s="74">
        <v>3159000</v>
      </c>
      <c r="I1214" s="75">
        <f t="shared" si="58"/>
        <v>0</v>
      </c>
      <c r="J1214" s="75"/>
      <c r="K1214" s="5">
        <v>46239</v>
      </c>
      <c r="O1214" s="9"/>
      <c r="S1214" s="3"/>
    </row>
    <row r="1215" spans="1:19" ht="15" hidden="1" customHeight="1" x14ac:dyDescent="0.35">
      <c r="A1215" s="26" t="s">
        <v>2732</v>
      </c>
      <c r="B1215" s="32" t="s">
        <v>451</v>
      </c>
      <c r="C1215" s="28"/>
      <c r="D1215" s="29" t="s">
        <v>2658</v>
      </c>
      <c r="E1215" s="76">
        <v>750000</v>
      </c>
      <c r="F1215" s="77">
        <f t="shared" si="59"/>
        <v>60000</v>
      </c>
      <c r="G1215" s="31">
        <f t="shared" si="60"/>
        <v>810000</v>
      </c>
      <c r="H1215" s="74">
        <v>810000</v>
      </c>
      <c r="I1215" s="75">
        <f t="shared" si="58"/>
        <v>0</v>
      </c>
      <c r="J1215" s="75"/>
      <c r="K1215" s="5">
        <v>46239</v>
      </c>
      <c r="O1215" s="9"/>
      <c r="S1215" s="3"/>
    </row>
    <row r="1216" spans="1:19" ht="15" hidden="1" customHeight="1" x14ac:dyDescent="0.35">
      <c r="A1216" s="26" t="s">
        <v>2733</v>
      </c>
      <c r="B1216" s="32" t="s">
        <v>452</v>
      </c>
      <c r="C1216" s="28"/>
      <c r="D1216" s="29" t="s">
        <v>2658</v>
      </c>
      <c r="E1216" s="76">
        <v>1920000</v>
      </c>
      <c r="F1216" s="77">
        <f t="shared" si="59"/>
        <v>153600</v>
      </c>
      <c r="G1216" s="31">
        <f t="shared" si="60"/>
        <v>2073600</v>
      </c>
      <c r="H1216" s="74">
        <v>2073600</v>
      </c>
      <c r="I1216" s="75">
        <f t="shared" si="58"/>
        <v>0</v>
      </c>
      <c r="J1216" s="75"/>
      <c r="K1216" s="5">
        <v>46239</v>
      </c>
      <c r="O1216" s="9"/>
      <c r="S1216" s="3"/>
    </row>
    <row r="1217" spans="1:19" ht="15" hidden="1" customHeight="1" x14ac:dyDescent="0.35">
      <c r="A1217" s="26" t="s">
        <v>2734</v>
      </c>
      <c r="B1217" s="32" t="s">
        <v>453</v>
      </c>
      <c r="C1217" s="28"/>
      <c r="D1217" s="29" t="s">
        <v>2658</v>
      </c>
      <c r="E1217" s="76">
        <v>1920000</v>
      </c>
      <c r="F1217" s="77">
        <f t="shared" si="59"/>
        <v>153600</v>
      </c>
      <c r="G1217" s="31">
        <f t="shared" si="60"/>
        <v>2073600</v>
      </c>
      <c r="H1217" s="74">
        <v>2073600</v>
      </c>
      <c r="I1217" s="75">
        <f t="shared" si="58"/>
        <v>0</v>
      </c>
      <c r="J1217" s="75"/>
      <c r="K1217" s="5">
        <v>46239</v>
      </c>
      <c r="O1217" s="9"/>
      <c r="S1217" s="3"/>
    </row>
    <row r="1218" spans="1:19" ht="15" hidden="1" customHeight="1" x14ac:dyDescent="0.35">
      <c r="A1218" s="26" t="s">
        <v>2735</v>
      </c>
      <c r="B1218" s="32" t="s">
        <v>454</v>
      </c>
      <c r="C1218" s="28"/>
      <c r="D1218" s="29" t="s">
        <v>2658</v>
      </c>
      <c r="E1218" s="76">
        <v>1040000</v>
      </c>
      <c r="F1218" s="77">
        <f t="shared" si="59"/>
        <v>83200</v>
      </c>
      <c r="G1218" s="31">
        <f t="shared" si="60"/>
        <v>1123200</v>
      </c>
      <c r="H1218" s="74">
        <v>1123200</v>
      </c>
      <c r="I1218" s="75">
        <f t="shared" si="58"/>
        <v>0</v>
      </c>
      <c r="J1218" s="75"/>
      <c r="K1218" s="5">
        <v>46239</v>
      </c>
      <c r="O1218" s="9"/>
      <c r="S1218" s="3"/>
    </row>
    <row r="1219" spans="1:19" ht="15" hidden="1" customHeight="1" x14ac:dyDescent="0.35">
      <c r="A1219" s="26" t="s">
        <v>2736</v>
      </c>
      <c r="B1219" s="32" t="s">
        <v>2648</v>
      </c>
      <c r="C1219" s="28"/>
      <c r="D1219" s="29" t="s">
        <v>2658</v>
      </c>
      <c r="E1219" s="76">
        <v>5540000</v>
      </c>
      <c r="F1219" s="77">
        <f t="shared" si="59"/>
        <v>443200</v>
      </c>
      <c r="G1219" s="31">
        <f t="shared" si="60"/>
        <v>5983200</v>
      </c>
      <c r="H1219" s="74">
        <v>5983200</v>
      </c>
      <c r="I1219" s="75">
        <f t="shared" si="58"/>
        <v>0</v>
      </c>
      <c r="J1219" s="75"/>
      <c r="K1219" s="5">
        <v>46239</v>
      </c>
      <c r="O1219" s="9"/>
      <c r="S1219" s="3"/>
    </row>
    <row r="1220" spans="1:19" ht="15" hidden="1" customHeight="1" x14ac:dyDescent="0.35">
      <c r="A1220" s="26" t="s">
        <v>2737</v>
      </c>
      <c r="B1220" s="32" t="s">
        <v>455</v>
      </c>
      <c r="C1220" s="28"/>
      <c r="D1220" s="29" t="s">
        <v>2658</v>
      </c>
      <c r="E1220" s="76">
        <v>8710000</v>
      </c>
      <c r="F1220" s="77">
        <f t="shared" si="59"/>
        <v>696800</v>
      </c>
      <c r="G1220" s="31">
        <f t="shared" si="60"/>
        <v>9406800</v>
      </c>
      <c r="H1220" s="74">
        <v>9406800</v>
      </c>
      <c r="I1220" s="75">
        <f t="shared" si="58"/>
        <v>0</v>
      </c>
      <c r="J1220" s="75"/>
      <c r="K1220" s="5">
        <v>46239</v>
      </c>
      <c r="O1220" s="9"/>
      <c r="S1220" s="3"/>
    </row>
    <row r="1221" spans="1:19" ht="15" hidden="1" customHeight="1" x14ac:dyDescent="0.35">
      <c r="A1221" s="26" t="s">
        <v>2738</v>
      </c>
      <c r="B1221" s="32" t="s">
        <v>456</v>
      </c>
      <c r="C1221" s="28"/>
      <c r="D1221" s="29" t="s">
        <v>2658</v>
      </c>
      <c r="E1221" s="76">
        <v>7210000</v>
      </c>
      <c r="F1221" s="77">
        <f t="shared" si="59"/>
        <v>576800</v>
      </c>
      <c r="G1221" s="31">
        <f t="shared" si="60"/>
        <v>7786800</v>
      </c>
      <c r="H1221" s="74">
        <v>7786800</v>
      </c>
      <c r="I1221" s="75">
        <f t="shared" si="58"/>
        <v>0</v>
      </c>
      <c r="J1221" s="75"/>
      <c r="K1221" s="5">
        <v>46239</v>
      </c>
      <c r="O1221" s="9"/>
      <c r="S1221" s="3"/>
    </row>
    <row r="1222" spans="1:19" ht="15" hidden="1" customHeight="1" x14ac:dyDescent="0.35">
      <c r="A1222" s="26" t="s">
        <v>2739</v>
      </c>
      <c r="B1222" s="32" t="s">
        <v>457</v>
      </c>
      <c r="C1222" s="28"/>
      <c r="D1222" s="29" t="s">
        <v>2658</v>
      </c>
      <c r="E1222" s="76">
        <v>3960000</v>
      </c>
      <c r="F1222" s="77">
        <f t="shared" si="59"/>
        <v>316800</v>
      </c>
      <c r="G1222" s="31">
        <f t="shared" si="60"/>
        <v>4276800</v>
      </c>
      <c r="H1222" s="74">
        <v>4276800</v>
      </c>
      <c r="I1222" s="75">
        <f t="shared" si="58"/>
        <v>0</v>
      </c>
      <c r="J1222" s="75"/>
      <c r="K1222" s="5">
        <v>46239</v>
      </c>
      <c r="O1222" s="9"/>
      <c r="S1222" s="3"/>
    </row>
    <row r="1223" spans="1:19" ht="15" hidden="1" customHeight="1" x14ac:dyDescent="0.35">
      <c r="A1223" s="26" t="s">
        <v>2740</v>
      </c>
      <c r="B1223" s="32" t="s">
        <v>458</v>
      </c>
      <c r="C1223" s="28"/>
      <c r="D1223" s="29" t="s">
        <v>2658</v>
      </c>
      <c r="E1223" s="76">
        <v>9465000</v>
      </c>
      <c r="F1223" s="77">
        <f t="shared" si="59"/>
        <v>757200</v>
      </c>
      <c r="G1223" s="31">
        <f t="shared" si="60"/>
        <v>10222200</v>
      </c>
      <c r="H1223" s="74">
        <v>10222200</v>
      </c>
      <c r="I1223" s="75">
        <f t="shared" si="58"/>
        <v>0</v>
      </c>
      <c r="J1223" s="75"/>
      <c r="K1223" s="5">
        <v>46239</v>
      </c>
      <c r="O1223" s="9"/>
      <c r="S1223" s="3"/>
    </row>
    <row r="1224" spans="1:19" ht="15" hidden="1" customHeight="1" x14ac:dyDescent="0.35">
      <c r="A1224" s="26" t="s">
        <v>2741</v>
      </c>
      <c r="B1224" s="32" t="s">
        <v>459</v>
      </c>
      <c r="C1224" s="28"/>
      <c r="D1224" s="29" t="s">
        <v>2658</v>
      </c>
      <c r="E1224" s="76">
        <v>2040000</v>
      </c>
      <c r="F1224" s="77">
        <f t="shared" si="59"/>
        <v>163200</v>
      </c>
      <c r="G1224" s="31">
        <f t="shared" si="60"/>
        <v>2203200</v>
      </c>
      <c r="H1224" s="74">
        <v>2203200</v>
      </c>
      <c r="I1224" s="75">
        <f t="shared" si="58"/>
        <v>0</v>
      </c>
      <c r="J1224" s="75"/>
      <c r="K1224" s="5">
        <v>46239</v>
      </c>
      <c r="O1224" s="9"/>
      <c r="S1224" s="3"/>
    </row>
    <row r="1225" spans="1:19" ht="15" hidden="1" customHeight="1" x14ac:dyDescent="0.35">
      <c r="A1225" s="26" t="s">
        <v>2742</v>
      </c>
      <c r="B1225" s="27" t="s">
        <v>460</v>
      </c>
      <c r="C1225" s="28"/>
      <c r="D1225" s="29" t="s">
        <v>2658</v>
      </c>
      <c r="E1225" s="76">
        <v>3900000</v>
      </c>
      <c r="F1225" s="77">
        <f t="shared" si="59"/>
        <v>312000</v>
      </c>
      <c r="G1225" s="31">
        <f t="shared" si="60"/>
        <v>4212000</v>
      </c>
      <c r="H1225" s="74">
        <v>4212000</v>
      </c>
      <c r="I1225" s="75">
        <f t="shared" si="58"/>
        <v>0</v>
      </c>
      <c r="J1225" s="75"/>
      <c r="K1225" s="5">
        <v>46239</v>
      </c>
      <c r="O1225" s="9"/>
      <c r="S1225" s="3"/>
    </row>
    <row r="1226" spans="1:19" ht="15" hidden="1" customHeight="1" x14ac:dyDescent="0.35">
      <c r="A1226" s="26" t="s">
        <v>2743</v>
      </c>
      <c r="B1226" s="27" t="s">
        <v>461</v>
      </c>
      <c r="C1226" s="28"/>
      <c r="D1226" s="29" t="s">
        <v>2658</v>
      </c>
      <c r="E1226" s="76">
        <v>9150000</v>
      </c>
      <c r="F1226" s="77">
        <f t="shared" si="59"/>
        <v>732000</v>
      </c>
      <c r="G1226" s="31">
        <f t="shared" si="60"/>
        <v>9882000</v>
      </c>
      <c r="H1226" s="74">
        <v>9882000</v>
      </c>
      <c r="I1226" s="75">
        <f t="shared" si="58"/>
        <v>0</v>
      </c>
      <c r="J1226" s="75"/>
      <c r="K1226" s="5">
        <v>46239</v>
      </c>
      <c r="O1226" s="9"/>
      <c r="S1226" s="3"/>
    </row>
    <row r="1227" spans="1:19" ht="15" hidden="1" customHeight="1" x14ac:dyDescent="0.35">
      <c r="A1227" s="26" t="s">
        <v>2744</v>
      </c>
      <c r="B1227" s="32" t="s">
        <v>462</v>
      </c>
      <c r="C1227" s="28"/>
      <c r="D1227" s="29" t="s">
        <v>2658</v>
      </c>
      <c r="E1227" s="76">
        <v>2460000</v>
      </c>
      <c r="F1227" s="77">
        <f t="shared" si="59"/>
        <v>196800</v>
      </c>
      <c r="G1227" s="31">
        <f t="shared" si="60"/>
        <v>2656800</v>
      </c>
      <c r="H1227" s="74">
        <v>2656800</v>
      </c>
      <c r="I1227" s="75">
        <f t="shared" si="58"/>
        <v>0</v>
      </c>
      <c r="J1227" s="75"/>
      <c r="K1227" s="5">
        <v>46239</v>
      </c>
      <c r="O1227" s="9"/>
      <c r="S1227" s="3"/>
    </row>
    <row r="1228" spans="1:19" ht="15" hidden="1" customHeight="1" x14ac:dyDescent="0.35">
      <c r="A1228" s="26" t="s">
        <v>2745</v>
      </c>
      <c r="B1228" s="32" t="s">
        <v>463</v>
      </c>
      <c r="C1228" s="28"/>
      <c r="D1228" s="29" t="s">
        <v>2658</v>
      </c>
      <c r="E1228" s="76">
        <v>960000</v>
      </c>
      <c r="F1228" s="77">
        <f t="shared" si="59"/>
        <v>76800</v>
      </c>
      <c r="G1228" s="96">
        <f t="shared" si="60"/>
        <v>1036800</v>
      </c>
      <c r="H1228" s="74">
        <v>1036800</v>
      </c>
      <c r="I1228" s="75">
        <f t="shared" si="58"/>
        <v>0</v>
      </c>
      <c r="J1228" s="75"/>
      <c r="K1228" s="5">
        <v>46239</v>
      </c>
      <c r="O1228" s="9"/>
      <c r="S1228" s="3"/>
    </row>
    <row r="1229" spans="1:19" ht="15" hidden="1" customHeight="1" x14ac:dyDescent="0.35">
      <c r="A1229" s="26" t="s">
        <v>2746</v>
      </c>
      <c r="B1229" s="32" t="s">
        <v>464</v>
      </c>
      <c r="C1229" s="28"/>
      <c r="D1229" s="29" t="s">
        <v>2658</v>
      </c>
      <c r="E1229" s="76">
        <v>1005000</v>
      </c>
      <c r="F1229" s="77">
        <f t="shared" si="59"/>
        <v>80400</v>
      </c>
      <c r="G1229" s="96">
        <f t="shared" si="60"/>
        <v>1085400</v>
      </c>
      <c r="H1229" s="74">
        <v>1085400</v>
      </c>
      <c r="I1229" s="75">
        <f t="shared" si="58"/>
        <v>0</v>
      </c>
      <c r="J1229" s="75"/>
      <c r="K1229" s="5">
        <v>46239</v>
      </c>
      <c r="O1229" s="9"/>
      <c r="S1229" s="3"/>
    </row>
    <row r="1230" spans="1:19" ht="15" hidden="1" customHeight="1" x14ac:dyDescent="0.35">
      <c r="A1230" s="26" t="s">
        <v>2747</v>
      </c>
      <c r="B1230" s="27" t="s">
        <v>465</v>
      </c>
      <c r="C1230" s="28">
        <v>4682</v>
      </c>
      <c r="D1230" s="29">
        <v>46184</v>
      </c>
      <c r="E1230" s="76">
        <v>17708500</v>
      </c>
      <c r="F1230" s="77">
        <f t="shared" si="59"/>
        <v>1416680</v>
      </c>
      <c r="G1230" s="96">
        <f t="shared" si="60"/>
        <v>19125180</v>
      </c>
      <c r="H1230" s="74">
        <v>19125180</v>
      </c>
      <c r="I1230" s="75">
        <f t="shared" si="58"/>
        <v>0</v>
      </c>
      <c r="J1230" s="75"/>
      <c r="K1230" s="5">
        <v>46239</v>
      </c>
      <c r="O1230" s="9"/>
      <c r="S1230" s="3"/>
    </row>
    <row r="1231" spans="1:19" ht="15" hidden="1" customHeight="1" x14ac:dyDescent="0.35">
      <c r="A1231" s="26" t="s">
        <v>2748</v>
      </c>
      <c r="B1231" s="32" t="s">
        <v>466</v>
      </c>
      <c r="C1231" s="28"/>
      <c r="D1231" s="29" t="s">
        <v>2658</v>
      </c>
      <c r="E1231" s="76">
        <v>3000000</v>
      </c>
      <c r="F1231" s="77">
        <f t="shared" si="59"/>
        <v>240000</v>
      </c>
      <c r="G1231" s="96">
        <f t="shared" si="60"/>
        <v>3240000</v>
      </c>
      <c r="H1231" s="74">
        <v>3240000</v>
      </c>
      <c r="I1231" s="75">
        <f t="shared" si="58"/>
        <v>0</v>
      </c>
      <c r="J1231" s="75"/>
      <c r="K1231" s="5">
        <v>46239</v>
      </c>
      <c r="O1231" s="9"/>
      <c r="S1231" s="3"/>
    </row>
    <row r="1232" spans="1:19" ht="15" hidden="1" customHeight="1" x14ac:dyDescent="0.35">
      <c r="A1232" s="26" t="s">
        <v>2749</v>
      </c>
      <c r="B1232" s="32" t="s">
        <v>467</v>
      </c>
      <c r="C1232" s="28"/>
      <c r="D1232" s="29" t="s">
        <v>2658</v>
      </c>
      <c r="E1232" s="76">
        <v>1005000</v>
      </c>
      <c r="F1232" s="77">
        <f t="shared" si="59"/>
        <v>80400</v>
      </c>
      <c r="G1232" s="96">
        <f t="shared" si="60"/>
        <v>1085400</v>
      </c>
      <c r="H1232" s="74">
        <v>1085400</v>
      </c>
      <c r="I1232" s="75">
        <f t="shared" si="58"/>
        <v>0</v>
      </c>
      <c r="J1232" s="75"/>
      <c r="K1232" s="5">
        <v>46239</v>
      </c>
      <c r="O1232" s="9"/>
      <c r="S1232" s="3"/>
    </row>
    <row r="1233" spans="1:19" ht="15" hidden="1" customHeight="1" x14ac:dyDescent="0.35">
      <c r="A1233" s="26" t="s">
        <v>2750</v>
      </c>
      <c r="B1233" s="32" t="s">
        <v>468</v>
      </c>
      <c r="C1233" s="28"/>
      <c r="D1233" s="29" t="s">
        <v>2658</v>
      </c>
      <c r="E1233" s="76">
        <v>2010000</v>
      </c>
      <c r="F1233" s="77">
        <f t="shared" si="59"/>
        <v>160800</v>
      </c>
      <c r="G1233" s="96">
        <f t="shared" si="60"/>
        <v>2170800</v>
      </c>
      <c r="H1233" s="74">
        <v>2170800</v>
      </c>
      <c r="I1233" s="75">
        <f t="shared" si="58"/>
        <v>0</v>
      </c>
      <c r="J1233" s="75"/>
      <c r="K1233" s="5">
        <v>46239</v>
      </c>
      <c r="O1233" s="9"/>
      <c r="S1233" s="3"/>
    </row>
    <row r="1234" spans="1:19" ht="15" hidden="1" customHeight="1" x14ac:dyDescent="0.35">
      <c r="A1234" s="26" t="s">
        <v>2751</v>
      </c>
      <c r="B1234" s="32" t="s">
        <v>469</v>
      </c>
      <c r="C1234" s="28"/>
      <c r="D1234" s="29" t="s">
        <v>2658</v>
      </c>
      <c r="E1234" s="76">
        <v>750000</v>
      </c>
      <c r="F1234" s="77">
        <f t="shared" si="59"/>
        <v>60000</v>
      </c>
      <c r="G1234" s="96">
        <f t="shared" si="60"/>
        <v>810000</v>
      </c>
      <c r="H1234" s="74">
        <v>810000</v>
      </c>
      <c r="I1234" s="75">
        <f t="shared" si="58"/>
        <v>0</v>
      </c>
      <c r="J1234" s="75"/>
      <c r="K1234" s="5">
        <v>46239</v>
      </c>
      <c r="O1234" s="9"/>
      <c r="S1234" s="3"/>
    </row>
    <row r="1235" spans="1:19" ht="15" hidden="1" customHeight="1" x14ac:dyDescent="0.35">
      <c r="A1235" s="26" t="s">
        <v>2752</v>
      </c>
      <c r="B1235" s="32" t="s">
        <v>470</v>
      </c>
      <c r="C1235" s="28"/>
      <c r="D1235" s="29" t="s">
        <v>2658</v>
      </c>
      <c r="E1235" s="76">
        <v>2970000</v>
      </c>
      <c r="F1235" s="77">
        <f t="shared" si="59"/>
        <v>237600</v>
      </c>
      <c r="G1235" s="96">
        <f t="shared" si="60"/>
        <v>3207600</v>
      </c>
      <c r="H1235" s="74">
        <v>3207600</v>
      </c>
      <c r="I1235" s="75">
        <f t="shared" si="58"/>
        <v>0</v>
      </c>
      <c r="J1235" s="75"/>
      <c r="K1235" s="5">
        <v>46239</v>
      </c>
      <c r="O1235" s="9"/>
      <c r="S1235" s="3"/>
    </row>
    <row r="1236" spans="1:19" ht="15" hidden="1" customHeight="1" x14ac:dyDescent="0.35">
      <c r="A1236" s="26" t="s">
        <v>2753</v>
      </c>
      <c r="B1236" s="32" t="s">
        <v>471</v>
      </c>
      <c r="C1236" s="28"/>
      <c r="D1236" s="29" t="s">
        <v>2658</v>
      </c>
      <c r="E1236" s="76">
        <v>3520000</v>
      </c>
      <c r="F1236" s="77">
        <f t="shared" si="59"/>
        <v>281600</v>
      </c>
      <c r="G1236" s="96">
        <f t="shared" si="60"/>
        <v>3801600</v>
      </c>
      <c r="H1236" s="74">
        <v>3801600</v>
      </c>
      <c r="I1236" s="75">
        <f t="shared" si="58"/>
        <v>0</v>
      </c>
      <c r="J1236" s="75"/>
      <c r="K1236" s="5">
        <v>46239</v>
      </c>
      <c r="O1236" s="9"/>
      <c r="S1236" s="3"/>
    </row>
    <row r="1237" spans="1:19" ht="15" hidden="1" customHeight="1" x14ac:dyDescent="0.35">
      <c r="A1237" s="26" t="s">
        <v>2754</v>
      </c>
      <c r="B1237" s="32" t="s">
        <v>472</v>
      </c>
      <c r="C1237" s="28">
        <v>4683</v>
      </c>
      <c r="D1237" s="29">
        <v>46184</v>
      </c>
      <c r="E1237" s="76">
        <v>3902000</v>
      </c>
      <c r="F1237" s="77">
        <f t="shared" si="59"/>
        <v>312160</v>
      </c>
      <c r="G1237" s="96">
        <f t="shared" si="60"/>
        <v>4214160</v>
      </c>
      <c r="H1237" s="74">
        <v>4214160</v>
      </c>
      <c r="I1237" s="75">
        <f t="shared" si="58"/>
        <v>0</v>
      </c>
      <c r="J1237" s="75"/>
      <c r="K1237" s="5">
        <v>46239</v>
      </c>
      <c r="O1237" s="9"/>
      <c r="S1237" s="3"/>
    </row>
    <row r="1238" spans="1:19" ht="15" hidden="1" customHeight="1" x14ac:dyDescent="0.35">
      <c r="A1238" s="26" t="s">
        <v>2755</v>
      </c>
      <c r="B1238" s="32" t="s">
        <v>473</v>
      </c>
      <c r="C1238" s="28"/>
      <c r="D1238" s="29" t="s">
        <v>2658</v>
      </c>
      <c r="E1238" s="76">
        <v>2985000</v>
      </c>
      <c r="F1238" s="77">
        <f t="shared" si="59"/>
        <v>238800</v>
      </c>
      <c r="G1238" s="96">
        <f t="shared" si="60"/>
        <v>3223800</v>
      </c>
      <c r="H1238" s="74">
        <v>3223800</v>
      </c>
      <c r="I1238" s="75">
        <f t="shared" si="58"/>
        <v>0</v>
      </c>
      <c r="J1238" s="75"/>
      <c r="K1238" s="5">
        <v>46239</v>
      </c>
      <c r="O1238" s="9"/>
      <c r="S1238" s="3"/>
    </row>
    <row r="1239" spans="1:19" ht="15" hidden="1" customHeight="1" x14ac:dyDescent="0.35">
      <c r="A1239" s="26" t="s">
        <v>2756</v>
      </c>
      <c r="B1239" s="32" t="s">
        <v>474</v>
      </c>
      <c r="C1239" s="28"/>
      <c r="D1239" s="29" t="s">
        <v>2658</v>
      </c>
      <c r="E1239" s="76">
        <v>11310000</v>
      </c>
      <c r="F1239" s="77">
        <f t="shared" si="59"/>
        <v>904800</v>
      </c>
      <c r="G1239" s="96">
        <f t="shared" si="60"/>
        <v>12214800</v>
      </c>
      <c r="H1239" s="74">
        <v>12214800</v>
      </c>
      <c r="I1239" s="75">
        <f t="shared" si="58"/>
        <v>0</v>
      </c>
      <c r="J1239" s="75"/>
      <c r="K1239" s="5">
        <v>46239</v>
      </c>
      <c r="O1239" s="9"/>
      <c r="S1239" s="3"/>
    </row>
    <row r="1240" spans="1:19" ht="15" hidden="1" customHeight="1" x14ac:dyDescent="0.35">
      <c r="A1240" s="26" t="s">
        <v>2757</v>
      </c>
      <c r="B1240" s="32" t="s">
        <v>475</v>
      </c>
      <c r="C1240" s="28"/>
      <c r="D1240" s="29" t="s">
        <v>2658</v>
      </c>
      <c r="E1240" s="76">
        <v>1005000</v>
      </c>
      <c r="F1240" s="77">
        <f t="shared" si="59"/>
        <v>80400</v>
      </c>
      <c r="G1240" s="96">
        <f t="shared" si="60"/>
        <v>1085400</v>
      </c>
      <c r="H1240" s="74">
        <v>1085400</v>
      </c>
      <c r="I1240" s="75">
        <f t="shared" si="58"/>
        <v>0</v>
      </c>
      <c r="J1240" s="75"/>
      <c r="K1240" s="5">
        <v>46239</v>
      </c>
      <c r="O1240" s="9"/>
      <c r="S1240" s="3"/>
    </row>
    <row r="1241" spans="1:19" ht="15" hidden="1" customHeight="1" x14ac:dyDescent="0.35">
      <c r="A1241" s="26" t="s">
        <v>2758</v>
      </c>
      <c r="B1241" s="32" t="s">
        <v>2649</v>
      </c>
      <c r="C1241" s="28">
        <v>5657</v>
      </c>
      <c r="D1241" s="29">
        <v>46209</v>
      </c>
      <c r="E1241" s="76">
        <v>3693600</v>
      </c>
      <c r="F1241" s="77">
        <f t="shared" si="59"/>
        <v>295488</v>
      </c>
      <c r="G1241" s="96">
        <f t="shared" si="60"/>
        <v>3989088</v>
      </c>
      <c r="H1241" s="74">
        <v>3989088</v>
      </c>
      <c r="I1241" s="75">
        <f t="shared" si="58"/>
        <v>0</v>
      </c>
      <c r="J1241" s="75"/>
      <c r="L1241" s="5">
        <v>46239</v>
      </c>
      <c r="O1241" s="9"/>
      <c r="S1241" s="3"/>
    </row>
    <row r="1242" spans="1:19" ht="15" hidden="1" customHeight="1" x14ac:dyDescent="0.35">
      <c r="A1242" s="26" t="s">
        <v>2759</v>
      </c>
      <c r="B1242" s="32" t="s">
        <v>2650</v>
      </c>
      <c r="C1242" s="28">
        <v>4963</v>
      </c>
      <c r="D1242" s="29">
        <v>46191</v>
      </c>
      <c r="E1242" s="76">
        <v>6137000</v>
      </c>
      <c r="F1242" s="77">
        <f t="shared" si="59"/>
        <v>490960</v>
      </c>
      <c r="G1242" s="96">
        <f t="shared" si="60"/>
        <v>6627960</v>
      </c>
      <c r="H1242" s="74">
        <v>6627960</v>
      </c>
      <c r="I1242" s="75">
        <f t="shared" si="58"/>
        <v>0</v>
      </c>
      <c r="J1242" s="75"/>
      <c r="K1242" s="5">
        <v>46239</v>
      </c>
      <c r="O1242" s="9"/>
      <c r="S1242" s="3"/>
    </row>
    <row r="1243" spans="1:19" ht="15" hidden="1" customHeight="1" x14ac:dyDescent="0.35">
      <c r="A1243" s="26" t="s">
        <v>2760</v>
      </c>
      <c r="B1243" s="32" t="s">
        <v>2651</v>
      </c>
      <c r="C1243" s="28"/>
      <c r="D1243" s="29" t="s">
        <v>2659</v>
      </c>
      <c r="E1243" s="76">
        <v>4815000</v>
      </c>
      <c r="F1243" s="77">
        <f t="shared" si="59"/>
        <v>385200</v>
      </c>
      <c r="G1243" s="96">
        <f t="shared" si="60"/>
        <v>5200200</v>
      </c>
      <c r="H1243" s="74">
        <v>5200200</v>
      </c>
      <c r="I1243" s="75">
        <f t="shared" si="58"/>
        <v>0</v>
      </c>
      <c r="J1243" s="75"/>
      <c r="K1243" s="5">
        <v>46239</v>
      </c>
      <c r="O1243" s="9"/>
      <c r="S1243" s="3"/>
    </row>
    <row r="1244" spans="1:19" ht="15" customHeight="1" x14ac:dyDescent="0.35">
      <c r="A1244" s="26" t="s">
        <v>2761</v>
      </c>
      <c r="B1244" s="27" t="s">
        <v>2652</v>
      </c>
      <c r="C1244" s="28">
        <v>6889</v>
      </c>
      <c r="D1244" s="29">
        <v>46246</v>
      </c>
      <c r="E1244" s="76">
        <v>0</v>
      </c>
      <c r="F1244" s="77">
        <f t="shared" ref="F1244:F1307" si="61">+E1244*0.08</f>
        <v>0</v>
      </c>
      <c r="G1244" s="96">
        <f t="shared" ref="G1244:G1307" si="62">+F1244+E1244</f>
        <v>0</v>
      </c>
      <c r="H1244" s="74"/>
      <c r="I1244" s="75">
        <f t="shared" ref="I1244:I1307" si="63">G1244-H1244</f>
        <v>0</v>
      </c>
      <c r="J1244" s="75"/>
      <c r="O1244" s="9"/>
      <c r="S1244" s="3"/>
    </row>
    <row r="1245" spans="1:19" ht="15" hidden="1" customHeight="1" x14ac:dyDescent="0.35">
      <c r="A1245" s="26" t="s">
        <v>2762</v>
      </c>
      <c r="B1245" s="32" t="s">
        <v>2653</v>
      </c>
      <c r="C1245" s="28"/>
      <c r="D1245" s="29" t="s">
        <v>2659</v>
      </c>
      <c r="E1245" s="76">
        <v>1972800</v>
      </c>
      <c r="F1245" s="77">
        <f t="shared" si="61"/>
        <v>157824</v>
      </c>
      <c r="G1245" s="96">
        <f t="shared" si="62"/>
        <v>2130624</v>
      </c>
      <c r="H1245" s="74">
        <v>2130624</v>
      </c>
      <c r="I1245" s="75">
        <f t="shared" si="63"/>
        <v>0</v>
      </c>
      <c r="J1245" s="75"/>
      <c r="L1245" s="5">
        <v>46218</v>
      </c>
      <c r="O1245" s="9"/>
      <c r="S1245" s="3"/>
    </row>
    <row r="1246" spans="1:19" ht="15" hidden="1" customHeight="1" x14ac:dyDescent="0.35">
      <c r="A1246" s="26" t="s">
        <v>2763</v>
      </c>
      <c r="B1246" s="32" t="s">
        <v>476</v>
      </c>
      <c r="C1246" s="28"/>
      <c r="D1246" s="29" t="s">
        <v>2660</v>
      </c>
      <c r="E1246" s="76">
        <v>840000</v>
      </c>
      <c r="F1246" s="77">
        <f t="shared" si="61"/>
        <v>67200</v>
      </c>
      <c r="G1246" s="96">
        <f t="shared" si="62"/>
        <v>907200</v>
      </c>
      <c r="H1246" s="74">
        <v>907200</v>
      </c>
      <c r="I1246" s="75">
        <f t="shared" si="63"/>
        <v>0</v>
      </c>
      <c r="J1246" s="75"/>
      <c r="L1246" s="5">
        <v>46218</v>
      </c>
      <c r="O1246" s="9"/>
      <c r="S1246" s="3"/>
    </row>
    <row r="1247" spans="1:19" ht="15" hidden="1" customHeight="1" x14ac:dyDescent="0.35">
      <c r="A1247" s="26" t="s">
        <v>2764</v>
      </c>
      <c r="B1247" s="32" t="s">
        <v>477</v>
      </c>
      <c r="C1247" s="28"/>
      <c r="D1247" s="29" t="s">
        <v>2660</v>
      </c>
      <c r="E1247" s="76">
        <v>3105600</v>
      </c>
      <c r="F1247" s="77">
        <f t="shared" si="61"/>
        <v>248448</v>
      </c>
      <c r="G1247" s="96">
        <f t="shared" si="62"/>
        <v>3354048</v>
      </c>
      <c r="H1247" s="74">
        <v>3354048</v>
      </c>
      <c r="I1247" s="75">
        <f t="shared" si="63"/>
        <v>0</v>
      </c>
      <c r="J1247" s="75"/>
      <c r="L1247" s="5">
        <v>46218</v>
      </c>
      <c r="O1247" s="9"/>
      <c r="S1247" s="3"/>
    </row>
    <row r="1248" spans="1:19" ht="15" hidden="1" customHeight="1" x14ac:dyDescent="0.35">
      <c r="A1248" s="26" t="s">
        <v>2765</v>
      </c>
      <c r="B1248" s="32" t="s">
        <v>478</v>
      </c>
      <c r="C1248" s="28"/>
      <c r="D1248" s="29" t="s">
        <v>2660</v>
      </c>
      <c r="E1248" s="76">
        <v>1132800</v>
      </c>
      <c r="F1248" s="77">
        <f t="shared" si="61"/>
        <v>90624</v>
      </c>
      <c r="G1248" s="96">
        <f t="shared" si="62"/>
        <v>1223424</v>
      </c>
      <c r="H1248" s="74">
        <v>1223424</v>
      </c>
      <c r="I1248" s="75">
        <f t="shared" si="63"/>
        <v>0</v>
      </c>
      <c r="J1248" s="75"/>
      <c r="L1248" s="5">
        <v>46218</v>
      </c>
      <c r="O1248" s="9"/>
      <c r="S1248" s="3"/>
    </row>
    <row r="1249" spans="1:19" ht="15" hidden="1" customHeight="1" x14ac:dyDescent="0.35">
      <c r="A1249" s="26" t="s">
        <v>2766</v>
      </c>
      <c r="B1249" s="32" t="s">
        <v>479</v>
      </c>
      <c r="C1249" s="28"/>
      <c r="D1249" s="29" t="s">
        <v>2660</v>
      </c>
      <c r="E1249" s="76">
        <v>1972800</v>
      </c>
      <c r="F1249" s="77">
        <f t="shared" si="61"/>
        <v>157824</v>
      </c>
      <c r="G1249" s="96">
        <f t="shared" si="62"/>
        <v>2130624</v>
      </c>
      <c r="H1249" s="74">
        <v>2130624</v>
      </c>
      <c r="I1249" s="75">
        <f t="shared" si="63"/>
        <v>0</v>
      </c>
      <c r="J1249" s="75"/>
      <c r="L1249" s="5">
        <v>46218</v>
      </c>
      <c r="O1249" s="9"/>
      <c r="S1249" s="3"/>
    </row>
    <row r="1250" spans="1:19" ht="15" hidden="1" customHeight="1" x14ac:dyDescent="0.35">
      <c r="A1250" s="26" t="s">
        <v>2767</v>
      </c>
      <c r="B1250" s="32" t="s">
        <v>480</v>
      </c>
      <c r="C1250" s="28"/>
      <c r="D1250" s="29" t="s">
        <v>2660</v>
      </c>
      <c r="E1250" s="76">
        <v>1132800</v>
      </c>
      <c r="F1250" s="77">
        <f t="shared" si="61"/>
        <v>90624</v>
      </c>
      <c r="G1250" s="96">
        <f t="shared" si="62"/>
        <v>1223424</v>
      </c>
      <c r="H1250" s="74">
        <v>1223424</v>
      </c>
      <c r="I1250" s="75">
        <f t="shared" si="63"/>
        <v>0</v>
      </c>
      <c r="J1250" s="75"/>
      <c r="L1250" s="5">
        <v>46239</v>
      </c>
      <c r="O1250" s="9"/>
      <c r="S1250" s="3"/>
    </row>
    <row r="1251" spans="1:19" ht="15" hidden="1" customHeight="1" x14ac:dyDescent="0.35">
      <c r="A1251" s="26" t="s">
        <v>2768</v>
      </c>
      <c r="B1251" s="32" t="s">
        <v>481</v>
      </c>
      <c r="C1251" s="28"/>
      <c r="D1251" s="29" t="s">
        <v>2660</v>
      </c>
      <c r="E1251" s="76">
        <v>1972800</v>
      </c>
      <c r="F1251" s="77">
        <f t="shared" si="61"/>
        <v>157824</v>
      </c>
      <c r="G1251" s="96">
        <f t="shared" si="62"/>
        <v>2130624</v>
      </c>
      <c r="H1251" s="74">
        <v>2130624</v>
      </c>
      <c r="I1251" s="75">
        <f t="shared" si="63"/>
        <v>0</v>
      </c>
      <c r="J1251" s="75"/>
      <c r="L1251" s="5">
        <v>46239</v>
      </c>
      <c r="O1251" s="9"/>
      <c r="S1251" s="3"/>
    </row>
    <row r="1252" spans="1:19" ht="15" hidden="1" customHeight="1" x14ac:dyDescent="0.35">
      <c r="A1252" s="26" t="s">
        <v>2769</v>
      </c>
      <c r="B1252" s="32" t="s">
        <v>482</v>
      </c>
      <c r="C1252" s="28"/>
      <c r="D1252" s="29" t="s">
        <v>2660</v>
      </c>
      <c r="E1252" s="76">
        <v>840000</v>
      </c>
      <c r="F1252" s="77">
        <f t="shared" si="61"/>
        <v>67200</v>
      </c>
      <c r="G1252" s="96">
        <f t="shared" si="62"/>
        <v>907200</v>
      </c>
      <c r="H1252" s="74">
        <v>907200</v>
      </c>
      <c r="I1252" s="75">
        <f t="shared" si="63"/>
        <v>0</v>
      </c>
      <c r="J1252" s="75"/>
      <c r="L1252" s="5">
        <v>46218</v>
      </c>
      <c r="O1252" s="9"/>
      <c r="S1252" s="3"/>
    </row>
    <row r="1253" spans="1:19" ht="15" hidden="1" customHeight="1" x14ac:dyDescent="0.35">
      <c r="A1253" s="26" t="s">
        <v>2770</v>
      </c>
      <c r="B1253" s="32" t="s">
        <v>483</v>
      </c>
      <c r="C1253" s="28">
        <v>5244</v>
      </c>
      <c r="D1253" s="29">
        <v>46200</v>
      </c>
      <c r="E1253" s="76">
        <v>3478500</v>
      </c>
      <c r="F1253" s="77">
        <f t="shared" si="61"/>
        <v>278280</v>
      </c>
      <c r="G1253" s="96">
        <f t="shared" si="62"/>
        <v>3756780</v>
      </c>
      <c r="H1253" s="74">
        <v>3756780</v>
      </c>
      <c r="I1253" s="75">
        <f t="shared" si="63"/>
        <v>0</v>
      </c>
      <c r="J1253" s="75"/>
      <c r="K1253" s="5">
        <v>46249</v>
      </c>
      <c r="O1253" s="9"/>
      <c r="S1253" s="3"/>
    </row>
    <row r="1254" spans="1:19" ht="15" hidden="1" customHeight="1" x14ac:dyDescent="0.35">
      <c r="A1254" s="26" t="s">
        <v>2814</v>
      </c>
      <c r="B1254" s="32" t="s">
        <v>2772</v>
      </c>
      <c r="C1254" s="28"/>
      <c r="D1254" s="29" t="s">
        <v>2810</v>
      </c>
      <c r="E1254" s="76">
        <v>1005000</v>
      </c>
      <c r="F1254" s="77">
        <f t="shared" si="61"/>
        <v>80400</v>
      </c>
      <c r="G1254" s="96">
        <f t="shared" si="62"/>
        <v>1085400</v>
      </c>
      <c r="H1254" s="74">
        <v>1085400</v>
      </c>
      <c r="I1254" s="75">
        <f t="shared" si="63"/>
        <v>0</v>
      </c>
      <c r="J1254" s="75"/>
      <c r="K1254" s="5">
        <v>46239</v>
      </c>
      <c r="O1254" s="9"/>
      <c r="S1254" s="3"/>
    </row>
    <row r="1255" spans="1:19" ht="15" hidden="1" customHeight="1" x14ac:dyDescent="0.35">
      <c r="A1255" s="26" t="s">
        <v>2815</v>
      </c>
      <c r="B1255" s="32" t="s">
        <v>2773</v>
      </c>
      <c r="C1255" s="28"/>
      <c r="D1255" s="29" t="s">
        <v>2810</v>
      </c>
      <c r="E1255" s="76">
        <v>750000</v>
      </c>
      <c r="F1255" s="77">
        <f t="shared" si="61"/>
        <v>60000</v>
      </c>
      <c r="G1255" s="96">
        <f t="shared" si="62"/>
        <v>810000</v>
      </c>
      <c r="H1255" s="74">
        <v>810000</v>
      </c>
      <c r="I1255" s="75">
        <f t="shared" si="63"/>
        <v>0</v>
      </c>
      <c r="J1255" s="75"/>
      <c r="K1255" s="5">
        <v>46239</v>
      </c>
      <c r="O1255" s="9"/>
      <c r="S1255" s="3"/>
    </row>
    <row r="1256" spans="1:19" ht="15" hidden="1" customHeight="1" x14ac:dyDescent="0.35">
      <c r="A1256" s="26" t="s">
        <v>2816</v>
      </c>
      <c r="B1256" s="32" t="s">
        <v>2774</v>
      </c>
      <c r="C1256" s="28"/>
      <c r="D1256" s="29" t="s">
        <v>2810</v>
      </c>
      <c r="E1256" s="76">
        <v>1005000</v>
      </c>
      <c r="F1256" s="77">
        <f t="shared" si="61"/>
        <v>80400</v>
      </c>
      <c r="G1256" s="96">
        <f t="shared" si="62"/>
        <v>1085400</v>
      </c>
      <c r="H1256" s="74">
        <v>1085400</v>
      </c>
      <c r="I1256" s="75">
        <f t="shared" si="63"/>
        <v>0</v>
      </c>
      <c r="J1256" s="75"/>
      <c r="K1256" s="5">
        <v>46239</v>
      </c>
      <c r="O1256" s="9"/>
      <c r="S1256" s="3"/>
    </row>
    <row r="1257" spans="1:19" ht="15" hidden="1" customHeight="1" x14ac:dyDescent="0.35">
      <c r="A1257" s="26" t="s">
        <v>2817</v>
      </c>
      <c r="B1257" s="32" t="s">
        <v>2775</v>
      </c>
      <c r="C1257" s="28"/>
      <c r="D1257" s="29" t="s">
        <v>2810</v>
      </c>
      <c r="E1257" s="76">
        <v>5700000</v>
      </c>
      <c r="F1257" s="77">
        <f t="shared" si="61"/>
        <v>456000</v>
      </c>
      <c r="G1257" s="96">
        <f t="shared" si="62"/>
        <v>6156000</v>
      </c>
      <c r="H1257" s="74">
        <v>6156000</v>
      </c>
      <c r="I1257" s="75">
        <f t="shared" si="63"/>
        <v>0</v>
      </c>
      <c r="J1257" s="75"/>
      <c r="K1257" s="5">
        <v>46239</v>
      </c>
      <c r="O1257" s="9"/>
      <c r="S1257" s="3"/>
    </row>
    <row r="1258" spans="1:19" ht="15" hidden="1" customHeight="1" x14ac:dyDescent="0.35">
      <c r="A1258" s="26" t="s">
        <v>2818</v>
      </c>
      <c r="B1258" s="32" t="s">
        <v>2776</v>
      </c>
      <c r="C1258" s="28"/>
      <c r="D1258" s="29" t="s">
        <v>2810</v>
      </c>
      <c r="E1258" s="76">
        <v>1005000</v>
      </c>
      <c r="F1258" s="77">
        <f t="shared" si="61"/>
        <v>80400</v>
      </c>
      <c r="G1258" s="96">
        <f t="shared" si="62"/>
        <v>1085400</v>
      </c>
      <c r="H1258" s="74">
        <v>1085400</v>
      </c>
      <c r="I1258" s="75">
        <f t="shared" si="63"/>
        <v>0</v>
      </c>
      <c r="J1258" s="75"/>
      <c r="K1258" s="5">
        <v>46239</v>
      </c>
      <c r="O1258" s="9"/>
      <c r="S1258" s="3"/>
    </row>
    <row r="1259" spans="1:19" ht="15" hidden="1" customHeight="1" x14ac:dyDescent="0.35">
      <c r="A1259" s="26" t="s">
        <v>2819</v>
      </c>
      <c r="B1259" s="32" t="s">
        <v>2777</v>
      </c>
      <c r="C1259" s="28"/>
      <c r="D1259" s="29" t="s">
        <v>2810</v>
      </c>
      <c r="E1259" s="76">
        <v>2550000</v>
      </c>
      <c r="F1259" s="77">
        <f t="shared" si="61"/>
        <v>204000</v>
      </c>
      <c r="G1259" s="96">
        <f t="shared" si="62"/>
        <v>2754000</v>
      </c>
      <c r="H1259" s="74">
        <v>2754000</v>
      </c>
      <c r="I1259" s="75">
        <f t="shared" si="63"/>
        <v>0</v>
      </c>
      <c r="J1259" s="75"/>
      <c r="K1259" s="5">
        <v>46239</v>
      </c>
      <c r="O1259" s="9"/>
      <c r="S1259" s="3"/>
    </row>
    <row r="1260" spans="1:19" ht="15" hidden="1" customHeight="1" x14ac:dyDescent="0.35">
      <c r="A1260" s="26" t="s">
        <v>2820</v>
      </c>
      <c r="B1260" s="32" t="s">
        <v>2778</v>
      </c>
      <c r="C1260" s="28"/>
      <c r="D1260" s="29" t="s">
        <v>2810</v>
      </c>
      <c r="E1260" s="76">
        <v>1005000</v>
      </c>
      <c r="F1260" s="77">
        <f t="shared" si="61"/>
        <v>80400</v>
      </c>
      <c r="G1260" s="96">
        <f t="shared" si="62"/>
        <v>1085400</v>
      </c>
      <c r="H1260" s="74">
        <v>1085400</v>
      </c>
      <c r="I1260" s="75">
        <f t="shared" si="63"/>
        <v>0</v>
      </c>
      <c r="J1260" s="75"/>
      <c r="K1260" s="5">
        <v>46239</v>
      </c>
      <c r="O1260" s="9"/>
      <c r="S1260" s="3"/>
    </row>
    <row r="1261" spans="1:19" ht="15" hidden="1" customHeight="1" x14ac:dyDescent="0.35">
      <c r="A1261" s="26" t="s">
        <v>2821</v>
      </c>
      <c r="B1261" s="32" t="s">
        <v>484</v>
      </c>
      <c r="C1261" s="28"/>
      <c r="D1261" s="29" t="s">
        <v>2810</v>
      </c>
      <c r="E1261" s="76">
        <v>4195000</v>
      </c>
      <c r="F1261" s="77">
        <f t="shared" si="61"/>
        <v>335600</v>
      </c>
      <c r="G1261" s="96">
        <f t="shared" si="62"/>
        <v>4530600</v>
      </c>
      <c r="H1261" s="74">
        <v>4530600</v>
      </c>
      <c r="I1261" s="75">
        <f t="shared" si="63"/>
        <v>0</v>
      </c>
      <c r="J1261" s="75"/>
      <c r="K1261" s="5">
        <v>46239</v>
      </c>
      <c r="O1261" s="9"/>
      <c r="S1261" s="3"/>
    </row>
    <row r="1262" spans="1:19" ht="15" hidden="1" customHeight="1" x14ac:dyDescent="0.35">
      <c r="A1262" s="26" t="s">
        <v>2822</v>
      </c>
      <c r="B1262" s="32" t="s">
        <v>2779</v>
      </c>
      <c r="C1262" s="28"/>
      <c r="D1262" s="29" t="s">
        <v>2810</v>
      </c>
      <c r="E1262" s="76">
        <v>8805000</v>
      </c>
      <c r="F1262" s="77">
        <f t="shared" si="61"/>
        <v>704400</v>
      </c>
      <c r="G1262" s="96">
        <f t="shared" si="62"/>
        <v>9509400</v>
      </c>
      <c r="H1262" s="74">
        <v>9509400</v>
      </c>
      <c r="I1262" s="75">
        <f t="shared" si="63"/>
        <v>0</v>
      </c>
      <c r="J1262" s="75"/>
      <c r="K1262" s="5">
        <v>46239</v>
      </c>
      <c r="O1262" s="9"/>
      <c r="S1262" s="3"/>
    </row>
    <row r="1263" spans="1:19" ht="15" hidden="1" customHeight="1" x14ac:dyDescent="0.35">
      <c r="A1263" s="26" t="s">
        <v>2823</v>
      </c>
      <c r="B1263" s="32" t="s">
        <v>2780</v>
      </c>
      <c r="C1263" s="28"/>
      <c r="D1263" s="29" t="s">
        <v>2810</v>
      </c>
      <c r="E1263" s="76">
        <v>2730000</v>
      </c>
      <c r="F1263" s="77">
        <f t="shared" si="61"/>
        <v>218400</v>
      </c>
      <c r="G1263" s="96">
        <f t="shared" si="62"/>
        <v>2948400</v>
      </c>
      <c r="H1263" s="74">
        <v>2948400</v>
      </c>
      <c r="I1263" s="75">
        <f t="shared" si="63"/>
        <v>0</v>
      </c>
      <c r="J1263" s="75"/>
      <c r="K1263" s="5">
        <v>46239</v>
      </c>
      <c r="O1263" s="9"/>
      <c r="S1263" s="3"/>
    </row>
    <row r="1264" spans="1:19" s="93" customFormat="1" ht="15" customHeight="1" x14ac:dyDescent="0.35">
      <c r="A1264" s="86" t="s">
        <v>2824</v>
      </c>
      <c r="B1264" s="87" t="s">
        <v>2781</v>
      </c>
      <c r="C1264" s="88">
        <v>4962</v>
      </c>
      <c r="D1264" s="89">
        <v>46191</v>
      </c>
      <c r="E1264" s="90">
        <v>3644500</v>
      </c>
      <c r="F1264" s="77">
        <f t="shared" si="61"/>
        <v>291560</v>
      </c>
      <c r="G1264" s="96">
        <f t="shared" si="62"/>
        <v>3936060</v>
      </c>
      <c r="H1264" s="91"/>
      <c r="I1264" s="85">
        <f t="shared" si="63"/>
        <v>3936060</v>
      </c>
      <c r="J1264" s="75"/>
      <c r="K1264" s="92" t="s">
        <v>3587</v>
      </c>
      <c r="L1264" s="5"/>
      <c r="O1264" s="94"/>
    </row>
    <row r="1265" spans="1:19" ht="15" hidden="1" customHeight="1" x14ac:dyDescent="0.35">
      <c r="A1265" s="26" t="s">
        <v>2825</v>
      </c>
      <c r="B1265" s="32" t="s">
        <v>2782</v>
      </c>
      <c r="C1265" s="28"/>
      <c r="D1265" s="29" t="s">
        <v>2810</v>
      </c>
      <c r="E1265" s="76">
        <v>960000</v>
      </c>
      <c r="F1265" s="77">
        <f t="shared" si="61"/>
        <v>76800</v>
      </c>
      <c r="G1265" s="96">
        <f t="shared" si="62"/>
        <v>1036800</v>
      </c>
      <c r="H1265" s="74">
        <v>1036800</v>
      </c>
      <c r="I1265" s="75">
        <f t="shared" si="63"/>
        <v>0</v>
      </c>
      <c r="J1265" s="75"/>
      <c r="K1265" s="5">
        <v>46239</v>
      </c>
      <c r="O1265" s="9"/>
      <c r="S1265" s="3"/>
    </row>
    <row r="1266" spans="1:19" ht="15" hidden="1" customHeight="1" x14ac:dyDescent="0.35">
      <c r="A1266" s="26" t="s">
        <v>2826</v>
      </c>
      <c r="B1266" s="32" t="s">
        <v>485</v>
      </c>
      <c r="C1266" s="28"/>
      <c r="D1266" s="29" t="s">
        <v>2810</v>
      </c>
      <c r="E1266" s="76">
        <v>960000</v>
      </c>
      <c r="F1266" s="77">
        <f t="shared" si="61"/>
        <v>76800</v>
      </c>
      <c r="G1266" s="96">
        <f t="shared" si="62"/>
        <v>1036800</v>
      </c>
      <c r="H1266" s="74">
        <v>1036800</v>
      </c>
      <c r="I1266" s="75">
        <f t="shared" si="63"/>
        <v>0</v>
      </c>
      <c r="J1266" s="75"/>
      <c r="K1266" s="5">
        <v>46239</v>
      </c>
      <c r="O1266" s="9"/>
      <c r="S1266" s="3"/>
    </row>
    <row r="1267" spans="1:19" ht="15" hidden="1" customHeight="1" x14ac:dyDescent="0.35">
      <c r="A1267" s="26" t="s">
        <v>2827</v>
      </c>
      <c r="B1267" s="32" t="s">
        <v>2783</v>
      </c>
      <c r="C1267" s="28"/>
      <c r="D1267" s="29" t="s">
        <v>2810</v>
      </c>
      <c r="E1267" s="76">
        <v>2715000</v>
      </c>
      <c r="F1267" s="77">
        <f t="shared" si="61"/>
        <v>217200</v>
      </c>
      <c r="G1267" s="96">
        <f t="shared" si="62"/>
        <v>2932200</v>
      </c>
      <c r="H1267" s="74">
        <v>2932200</v>
      </c>
      <c r="I1267" s="75">
        <f t="shared" si="63"/>
        <v>0</v>
      </c>
      <c r="J1267" s="75"/>
      <c r="K1267" s="5">
        <v>46239</v>
      </c>
      <c r="O1267" s="9"/>
      <c r="S1267" s="3"/>
    </row>
    <row r="1268" spans="1:19" ht="15" hidden="1" customHeight="1" x14ac:dyDescent="0.35">
      <c r="A1268" s="26" t="s">
        <v>2828</v>
      </c>
      <c r="B1268" s="32" t="s">
        <v>2784</v>
      </c>
      <c r="C1268" s="28"/>
      <c r="D1268" s="29" t="s">
        <v>2810</v>
      </c>
      <c r="E1268" s="76">
        <v>1800000</v>
      </c>
      <c r="F1268" s="77">
        <f t="shared" si="61"/>
        <v>144000</v>
      </c>
      <c r="G1268" s="96">
        <f t="shared" si="62"/>
        <v>1944000</v>
      </c>
      <c r="H1268" s="74">
        <v>1944000</v>
      </c>
      <c r="I1268" s="75">
        <f t="shared" si="63"/>
        <v>0</v>
      </c>
      <c r="J1268" s="75"/>
      <c r="K1268" s="5">
        <v>46239</v>
      </c>
      <c r="O1268" s="9"/>
      <c r="S1268" s="3"/>
    </row>
    <row r="1269" spans="1:19" ht="15" hidden="1" customHeight="1" x14ac:dyDescent="0.35">
      <c r="A1269" s="26" t="s">
        <v>2829</v>
      </c>
      <c r="B1269" s="32" t="s">
        <v>486</v>
      </c>
      <c r="C1269" s="28"/>
      <c r="D1269" s="29" t="s">
        <v>2810</v>
      </c>
      <c r="E1269" s="76">
        <v>2850000</v>
      </c>
      <c r="F1269" s="77">
        <f t="shared" si="61"/>
        <v>228000</v>
      </c>
      <c r="G1269" s="96">
        <f t="shared" si="62"/>
        <v>3078000</v>
      </c>
      <c r="H1269" s="74">
        <v>3078000</v>
      </c>
      <c r="I1269" s="75">
        <f t="shared" si="63"/>
        <v>0</v>
      </c>
      <c r="J1269" s="75"/>
      <c r="K1269" s="5">
        <v>46239</v>
      </c>
      <c r="O1269" s="9"/>
      <c r="S1269" s="3"/>
    </row>
    <row r="1270" spans="1:19" ht="15" hidden="1" customHeight="1" x14ac:dyDescent="0.35">
      <c r="A1270" s="26" t="s">
        <v>2830</v>
      </c>
      <c r="B1270" s="32" t="s">
        <v>2785</v>
      </c>
      <c r="C1270" s="28">
        <v>4961</v>
      </c>
      <c r="D1270" s="29">
        <v>46191</v>
      </c>
      <c r="E1270" s="76">
        <v>8379000</v>
      </c>
      <c r="F1270" s="77">
        <f t="shared" si="61"/>
        <v>670320</v>
      </c>
      <c r="G1270" s="96">
        <f t="shared" si="62"/>
        <v>9049320</v>
      </c>
      <c r="H1270" s="74">
        <v>9049320</v>
      </c>
      <c r="I1270" s="75">
        <f t="shared" si="63"/>
        <v>0</v>
      </c>
      <c r="J1270" s="75"/>
      <c r="K1270" s="5">
        <v>46239</v>
      </c>
      <c r="O1270" s="9"/>
      <c r="S1270" s="3"/>
    </row>
    <row r="1271" spans="1:19" ht="15" hidden="1" customHeight="1" x14ac:dyDescent="0.35">
      <c r="A1271" s="26" t="s">
        <v>2831</v>
      </c>
      <c r="B1271" s="32" t="s">
        <v>2786</v>
      </c>
      <c r="C1271" s="28"/>
      <c r="D1271" s="29" t="s">
        <v>2810</v>
      </c>
      <c r="E1271" s="76">
        <v>5950000</v>
      </c>
      <c r="F1271" s="77">
        <f t="shared" si="61"/>
        <v>476000</v>
      </c>
      <c r="G1271" s="96">
        <f t="shared" si="62"/>
        <v>6426000</v>
      </c>
      <c r="H1271" s="74">
        <v>6426000</v>
      </c>
      <c r="I1271" s="75">
        <f t="shared" si="63"/>
        <v>0</v>
      </c>
      <c r="J1271" s="75"/>
      <c r="K1271" s="5">
        <v>46239</v>
      </c>
      <c r="O1271" s="9"/>
      <c r="S1271" s="3"/>
    </row>
    <row r="1272" spans="1:19" ht="15" hidden="1" customHeight="1" x14ac:dyDescent="0.35">
      <c r="A1272" s="26" t="s">
        <v>2832</v>
      </c>
      <c r="B1272" s="32" t="s">
        <v>2787</v>
      </c>
      <c r="C1272" s="28"/>
      <c r="D1272" s="29" t="s">
        <v>2810</v>
      </c>
      <c r="E1272" s="76">
        <v>3035000</v>
      </c>
      <c r="F1272" s="77">
        <f t="shared" si="61"/>
        <v>242800</v>
      </c>
      <c r="G1272" s="96">
        <f t="shared" si="62"/>
        <v>3277800</v>
      </c>
      <c r="H1272" s="74">
        <v>3277800</v>
      </c>
      <c r="I1272" s="75">
        <f t="shared" si="63"/>
        <v>0</v>
      </c>
      <c r="J1272" s="75"/>
      <c r="K1272" s="5">
        <v>46239</v>
      </c>
      <c r="O1272" s="9"/>
      <c r="S1272" s="3"/>
    </row>
    <row r="1273" spans="1:19" ht="15" hidden="1" customHeight="1" x14ac:dyDescent="0.35">
      <c r="A1273" s="26" t="s">
        <v>2833</v>
      </c>
      <c r="B1273" s="27" t="s">
        <v>2788</v>
      </c>
      <c r="C1273" s="28">
        <v>5243</v>
      </c>
      <c r="D1273" s="29">
        <v>46200</v>
      </c>
      <c r="E1273" s="76">
        <v>3852000</v>
      </c>
      <c r="F1273" s="77">
        <f t="shared" si="61"/>
        <v>308160</v>
      </c>
      <c r="G1273" s="96">
        <f t="shared" si="62"/>
        <v>4160160</v>
      </c>
      <c r="H1273" s="74">
        <v>4160160</v>
      </c>
      <c r="I1273" s="75">
        <f t="shared" si="63"/>
        <v>0</v>
      </c>
      <c r="J1273" s="75"/>
      <c r="K1273" s="5">
        <v>46249</v>
      </c>
      <c r="O1273" s="9"/>
      <c r="S1273" s="3"/>
    </row>
    <row r="1274" spans="1:19" ht="15" hidden="1" customHeight="1" x14ac:dyDescent="0.35">
      <c r="A1274" s="26" t="s">
        <v>2834</v>
      </c>
      <c r="B1274" s="32" t="s">
        <v>2789</v>
      </c>
      <c r="C1274" s="28"/>
      <c r="D1274" s="29" t="s">
        <v>2810</v>
      </c>
      <c r="E1274" s="76">
        <v>6630000</v>
      </c>
      <c r="F1274" s="77">
        <f t="shared" si="61"/>
        <v>530400</v>
      </c>
      <c r="G1274" s="96">
        <f t="shared" si="62"/>
        <v>7160400</v>
      </c>
      <c r="H1274" s="74">
        <v>7160400</v>
      </c>
      <c r="I1274" s="75">
        <f t="shared" si="63"/>
        <v>0</v>
      </c>
      <c r="J1274" s="75"/>
      <c r="K1274" s="5">
        <v>46239</v>
      </c>
      <c r="O1274" s="9"/>
      <c r="S1274" s="3"/>
    </row>
    <row r="1275" spans="1:19" ht="15" hidden="1" customHeight="1" x14ac:dyDescent="0.35">
      <c r="A1275" s="26" t="s">
        <v>2835</v>
      </c>
      <c r="B1275" s="32" t="s">
        <v>2790</v>
      </c>
      <c r="C1275" s="28"/>
      <c r="D1275" s="29" t="s">
        <v>2810</v>
      </c>
      <c r="E1275" s="76">
        <v>2010000</v>
      </c>
      <c r="F1275" s="77">
        <f t="shared" si="61"/>
        <v>160800</v>
      </c>
      <c r="G1275" s="96">
        <f t="shared" si="62"/>
        <v>2170800</v>
      </c>
      <c r="H1275" s="74">
        <v>2170800</v>
      </c>
      <c r="I1275" s="75">
        <f t="shared" si="63"/>
        <v>0</v>
      </c>
      <c r="J1275" s="75"/>
      <c r="K1275" s="5">
        <v>46239</v>
      </c>
      <c r="O1275" s="9"/>
      <c r="S1275" s="3"/>
    </row>
    <row r="1276" spans="1:19" ht="15" hidden="1" customHeight="1" x14ac:dyDescent="0.35">
      <c r="A1276" s="26" t="s">
        <v>2836</v>
      </c>
      <c r="B1276" s="32" t="s">
        <v>2791</v>
      </c>
      <c r="C1276" s="28"/>
      <c r="D1276" s="29" t="s">
        <v>2810</v>
      </c>
      <c r="E1276" s="76">
        <v>2040000</v>
      </c>
      <c r="F1276" s="77">
        <f t="shared" si="61"/>
        <v>163200</v>
      </c>
      <c r="G1276" s="96">
        <f t="shared" si="62"/>
        <v>2203200</v>
      </c>
      <c r="H1276" s="74">
        <v>2203200</v>
      </c>
      <c r="I1276" s="75">
        <f t="shared" si="63"/>
        <v>0</v>
      </c>
      <c r="J1276" s="75"/>
      <c r="K1276" s="5">
        <v>46239</v>
      </c>
      <c r="O1276" s="9"/>
      <c r="S1276" s="3"/>
    </row>
    <row r="1277" spans="1:19" ht="15" hidden="1" customHeight="1" x14ac:dyDescent="0.35">
      <c r="A1277" s="26" t="s">
        <v>2837</v>
      </c>
      <c r="B1277" s="27" t="s">
        <v>2792</v>
      </c>
      <c r="C1277" s="28">
        <v>5242</v>
      </c>
      <c r="D1277" s="29">
        <v>46200</v>
      </c>
      <c r="E1277" s="76">
        <v>3914000</v>
      </c>
      <c r="F1277" s="77">
        <f t="shared" si="61"/>
        <v>313120</v>
      </c>
      <c r="G1277" s="96">
        <f t="shared" si="62"/>
        <v>4227120</v>
      </c>
      <c r="H1277" s="74">
        <v>4227120</v>
      </c>
      <c r="I1277" s="75">
        <f t="shared" si="63"/>
        <v>0</v>
      </c>
      <c r="J1277" s="75"/>
      <c r="K1277" s="5">
        <v>46249</v>
      </c>
      <c r="O1277" s="9"/>
      <c r="S1277" s="3"/>
    </row>
    <row r="1278" spans="1:19" ht="15" hidden="1" customHeight="1" x14ac:dyDescent="0.35">
      <c r="A1278" s="26" t="s">
        <v>2838</v>
      </c>
      <c r="B1278" s="32" t="s">
        <v>2793</v>
      </c>
      <c r="C1278" s="28">
        <v>5241</v>
      </c>
      <c r="D1278" s="29">
        <v>46200</v>
      </c>
      <c r="E1278" s="76">
        <v>2253000</v>
      </c>
      <c r="F1278" s="77">
        <f t="shared" si="61"/>
        <v>180240</v>
      </c>
      <c r="G1278" s="96">
        <f t="shared" si="62"/>
        <v>2433240</v>
      </c>
      <c r="H1278" s="74">
        <v>2433240</v>
      </c>
      <c r="I1278" s="75">
        <f t="shared" si="63"/>
        <v>0</v>
      </c>
      <c r="J1278" s="75"/>
      <c r="K1278" s="5">
        <v>46249</v>
      </c>
      <c r="O1278" s="9"/>
      <c r="S1278" s="3"/>
    </row>
    <row r="1279" spans="1:19" ht="15" hidden="1" customHeight="1" x14ac:dyDescent="0.35">
      <c r="A1279" s="26" t="s">
        <v>2839</v>
      </c>
      <c r="B1279" s="32" t="s">
        <v>2794</v>
      </c>
      <c r="C1279" s="28">
        <v>5245</v>
      </c>
      <c r="D1279" s="29">
        <v>46200</v>
      </c>
      <c r="E1279" s="76">
        <v>4341000</v>
      </c>
      <c r="F1279" s="77">
        <f t="shared" si="61"/>
        <v>347280</v>
      </c>
      <c r="G1279" s="96">
        <f t="shared" si="62"/>
        <v>4688280</v>
      </c>
      <c r="H1279" s="74">
        <v>4688280</v>
      </c>
      <c r="I1279" s="75">
        <f t="shared" si="63"/>
        <v>0</v>
      </c>
      <c r="J1279" s="75"/>
      <c r="K1279" s="5">
        <v>46249</v>
      </c>
      <c r="O1279" s="9"/>
      <c r="S1279" s="3"/>
    </row>
    <row r="1280" spans="1:19" ht="15" hidden="1" customHeight="1" x14ac:dyDescent="0.35">
      <c r="A1280" s="26" t="s">
        <v>2840</v>
      </c>
      <c r="B1280" s="32" t="s">
        <v>2795</v>
      </c>
      <c r="C1280" s="28"/>
      <c r="D1280" s="29" t="s">
        <v>2810</v>
      </c>
      <c r="E1280" s="76">
        <v>4920000</v>
      </c>
      <c r="F1280" s="77">
        <f t="shared" si="61"/>
        <v>393600</v>
      </c>
      <c r="G1280" s="96">
        <f t="shared" si="62"/>
        <v>5313600</v>
      </c>
      <c r="H1280" s="74">
        <v>5313600</v>
      </c>
      <c r="I1280" s="75">
        <f t="shared" si="63"/>
        <v>0</v>
      </c>
      <c r="J1280" s="75"/>
      <c r="K1280" s="5">
        <v>46239</v>
      </c>
      <c r="O1280" s="9"/>
      <c r="S1280" s="3"/>
    </row>
    <row r="1281" spans="1:19" ht="15" hidden="1" customHeight="1" x14ac:dyDescent="0.35">
      <c r="A1281" s="26" t="s">
        <v>2841</v>
      </c>
      <c r="B1281" s="32" t="s">
        <v>2796</v>
      </c>
      <c r="C1281" s="28"/>
      <c r="D1281" s="29" t="s">
        <v>2810</v>
      </c>
      <c r="E1281" s="76">
        <v>960000</v>
      </c>
      <c r="F1281" s="77">
        <f t="shared" si="61"/>
        <v>76800</v>
      </c>
      <c r="G1281" s="96">
        <f t="shared" si="62"/>
        <v>1036800</v>
      </c>
      <c r="H1281" s="74">
        <v>1036800</v>
      </c>
      <c r="I1281" s="75">
        <f t="shared" si="63"/>
        <v>0</v>
      </c>
      <c r="J1281" s="75"/>
      <c r="K1281" s="5">
        <v>46239</v>
      </c>
      <c r="O1281" s="9"/>
      <c r="S1281" s="3"/>
    </row>
    <row r="1282" spans="1:19" ht="15" hidden="1" customHeight="1" x14ac:dyDescent="0.35">
      <c r="A1282" s="26" t="s">
        <v>2842</v>
      </c>
      <c r="B1282" s="32" t="s">
        <v>2797</v>
      </c>
      <c r="C1282" s="28"/>
      <c r="D1282" s="29" t="s">
        <v>2810</v>
      </c>
      <c r="E1282" s="76">
        <v>1965000</v>
      </c>
      <c r="F1282" s="77">
        <f t="shared" si="61"/>
        <v>157200</v>
      </c>
      <c r="G1282" s="96">
        <f t="shared" si="62"/>
        <v>2122200</v>
      </c>
      <c r="H1282" s="74">
        <v>2122200</v>
      </c>
      <c r="I1282" s="75">
        <f t="shared" si="63"/>
        <v>0</v>
      </c>
      <c r="J1282" s="75"/>
      <c r="K1282" s="5">
        <v>46239</v>
      </c>
      <c r="O1282" s="9"/>
      <c r="S1282" s="3"/>
    </row>
    <row r="1283" spans="1:19" ht="15" hidden="1" customHeight="1" x14ac:dyDescent="0.35">
      <c r="A1283" s="26" t="s">
        <v>2843</v>
      </c>
      <c r="B1283" s="32" t="s">
        <v>2798</v>
      </c>
      <c r="C1283" s="28"/>
      <c r="D1283" s="29" t="s">
        <v>2810</v>
      </c>
      <c r="E1283" s="76">
        <v>960000</v>
      </c>
      <c r="F1283" s="77">
        <f t="shared" si="61"/>
        <v>76800</v>
      </c>
      <c r="G1283" s="96">
        <f t="shared" si="62"/>
        <v>1036800</v>
      </c>
      <c r="H1283" s="74">
        <v>1036800</v>
      </c>
      <c r="I1283" s="75">
        <f t="shared" si="63"/>
        <v>0</v>
      </c>
      <c r="J1283" s="75"/>
      <c r="K1283" s="5">
        <v>46239</v>
      </c>
      <c r="O1283" s="9"/>
      <c r="S1283" s="3"/>
    </row>
    <row r="1284" spans="1:19" ht="15" hidden="1" customHeight="1" x14ac:dyDescent="0.35">
      <c r="A1284" s="26" t="s">
        <v>2844</v>
      </c>
      <c r="B1284" s="32" t="s">
        <v>2799</v>
      </c>
      <c r="C1284" s="28"/>
      <c r="D1284" s="29" t="s">
        <v>2810</v>
      </c>
      <c r="E1284" s="76">
        <v>3945600</v>
      </c>
      <c r="F1284" s="77">
        <f t="shared" si="61"/>
        <v>315648</v>
      </c>
      <c r="G1284" s="96">
        <f t="shared" si="62"/>
        <v>4261248</v>
      </c>
      <c r="H1284" s="74">
        <v>4261248</v>
      </c>
      <c r="I1284" s="75">
        <f t="shared" si="63"/>
        <v>0</v>
      </c>
      <c r="J1284" s="75"/>
      <c r="L1284" s="5">
        <v>46239</v>
      </c>
      <c r="O1284" s="9"/>
      <c r="S1284" s="3"/>
    </row>
    <row r="1285" spans="1:19" ht="15" hidden="1" customHeight="1" x14ac:dyDescent="0.35">
      <c r="A1285" s="26" t="s">
        <v>2845</v>
      </c>
      <c r="B1285" s="32" t="s">
        <v>487</v>
      </c>
      <c r="C1285" s="28"/>
      <c r="D1285" s="29" t="s">
        <v>2810</v>
      </c>
      <c r="E1285" s="76">
        <v>3960000</v>
      </c>
      <c r="F1285" s="77">
        <f t="shared" si="61"/>
        <v>316800</v>
      </c>
      <c r="G1285" s="96">
        <f t="shared" si="62"/>
        <v>4276800</v>
      </c>
      <c r="H1285" s="74">
        <v>4276800</v>
      </c>
      <c r="I1285" s="75">
        <f t="shared" si="63"/>
        <v>0</v>
      </c>
      <c r="J1285" s="75"/>
      <c r="K1285" s="5">
        <v>46239</v>
      </c>
      <c r="O1285" s="9"/>
      <c r="S1285" s="3"/>
    </row>
    <row r="1286" spans="1:19" ht="15" hidden="1" customHeight="1" x14ac:dyDescent="0.35">
      <c r="A1286" s="26" t="s">
        <v>2846</v>
      </c>
      <c r="B1286" s="32" t="s">
        <v>488</v>
      </c>
      <c r="C1286" s="28"/>
      <c r="D1286" s="29" t="s">
        <v>2810</v>
      </c>
      <c r="E1286" s="76">
        <v>5765000</v>
      </c>
      <c r="F1286" s="77">
        <f t="shared" si="61"/>
        <v>461200</v>
      </c>
      <c r="G1286" s="96">
        <f t="shared" si="62"/>
        <v>6226200</v>
      </c>
      <c r="H1286" s="74">
        <v>6226200</v>
      </c>
      <c r="I1286" s="75">
        <f t="shared" si="63"/>
        <v>0</v>
      </c>
      <c r="J1286" s="75"/>
      <c r="K1286" s="5">
        <v>46239</v>
      </c>
      <c r="O1286" s="9"/>
      <c r="S1286" s="3"/>
    </row>
    <row r="1287" spans="1:19" ht="15" hidden="1" customHeight="1" x14ac:dyDescent="0.35">
      <c r="A1287" s="26" t="s">
        <v>2847</v>
      </c>
      <c r="B1287" s="32" t="s">
        <v>2800</v>
      </c>
      <c r="C1287" s="28"/>
      <c r="D1287" s="29" t="s">
        <v>2810</v>
      </c>
      <c r="E1287" s="76">
        <v>6980000</v>
      </c>
      <c r="F1287" s="77">
        <f t="shared" si="61"/>
        <v>558400</v>
      </c>
      <c r="G1287" s="96">
        <f t="shared" si="62"/>
        <v>7538400</v>
      </c>
      <c r="H1287" s="74">
        <v>7538400</v>
      </c>
      <c r="I1287" s="75">
        <f t="shared" si="63"/>
        <v>0</v>
      </c>
      <c r="J1287" s="75"/>
      <c r="K1287" s="5">
        <v>46239</v>
      </c>
      <c r="O1287" s="9"/>
      <c r="S1287" s="3"/>
    </row>
    <row r="1288" spans="1:19" ht="15" hidden="1" customHeight="1" x14ac:dyDescent="0.35">
      <c r="A1288" s="26" t="s">
        <v>2848</v>
      </c>
      <c r="B1288" s="32" t="s">
        <v>2801</v>
      </c>
      <c r="C1288" s="28"/>
      <c r="D1288" s="29" t="s">
        <v>2811</v>
      </c>
      <c r="E1288" s="76">
        <v>6645000</v>
      </c>
      <c r="F1288" s="77">
        <f t="shared" si="61"/>
        <v>531600</v>
      </c>
      <c r="G1288" s="96">
        <f t="shared" si="62"/>
        <v>7176600</v>
      </c>
      <c r="H1288" s="74">
        <v>7176600</v>
      </c>
      <c r="I1288" s="75">
        <f t="shared" si="63"/>
        <v>0</v>
      </c>
      <c r="J1288" s="75"/>
      <c r="K1288" s="5">
        <v>46239</v>
      </c>
      <c r="O1288" s="9"/>
      <c r="S1288" s="3"/>
    </row>
    <row r="1289" spans="1:19" ht="15" hidden="1" customHeight="1" x14ac:dyDescent="0.35">
      <c r="A1289" s="26" t="s">
        <v>2849</v>
      </c>
      <c r="B1289" s="32" t="s">
        <v>2802</v>
      </c>
      <c r="C1289" s="28"/>
      <c r="D1289" s="29" t="s">
        <v>2812</v>
      </c>
      <c r="E1289" s="76">
        <v>3045000</v>
      </c>
      <c r="F1289" s="77">
        <f t="shared" si="61"/>
        <v>243600</v>
      </c>
      <c r="G1289" s="96">
        <f t="shared" si="62"/>
        <v>3288600</v>
      </c>
      <c r="H1289" s="74">
        <v>3288600</v>
      </c>
      <c r="I1289" s="75">
        <f t="shared" si="63"/>
        <v>0</v>
      </c>
      <c r="J1289" s="75"/>
      <c r="K1289" s="5">
        <v>46239</v>
      </c>
      <c r="O1289" s="9"/>
      <c r="S1289" s="3"/>
    </row>
    <row r="1290" spans="1:19" ht="15" hidden="1" customHeight="1" x14ac:dyDescent="0.35">
      <c r="A1290" s="26" t="s">
        <v>2850</v>
      </c>
      <c r="B1290" s="32" t="s">
        <v>2803</v>
      </c>
      <c r="C1290" s="28"/>
      <c r="D1290" s="29" t="s">
        <v>2812</v>
      </c>
      <c r="E1290" s="76">
        <v>840000</v>
      </c>
      <c r="F1290" s="77">
        <f t="shared" si="61"/>
        <v>67200</v>
      </c>
      <c r="G1290" s="96">
        <f t="shared" si="62"/>
        <v>907200</v>
      </c>
      <c r="H1290" s="74">
        <v>907200</v>
      </c>
      <c r="I1290" s="75">
        <f t="shared" si="63"/>
        <v>0</v>
      </c>
      <c r="J1290" s="75"/>
      <c r="L1290" s="5">
        <v>46239</v>
      </c>
      <c r="O1290" s="9"/>
      <c r="S1290" s="3"/>
    </row>
    <row r="1291" spans="1:19" ht="15" hidden="1" customHeight="1" x14ac:dyDescent="0.35">
      <c r="A1291" s="26" t="s">
        <v>2851</v>
      </c>
      <c r="B1291" s="32" t="s">
        <v>2804</v>
      </c>
      <c r="C1291" s="28"/>
      <c r="D1291" s="29" t="s">
        <v>2813</v>
      </c>
      <c r="E1291" s="76">
        <v>3045000</v>
      </c>
      <c r="F1291" s="77">
        <f t="shared" si="61"/>
        <v>243600</v>
      </c>
      <c r="G1291" s="96">
        <f t="shared" si="62"/>
        <v>3288600</v>
      </c>
      <c r="H1291" s="74">
        <v>3288600</v>
      </c>
      <c r="I1291" s="75">
        <f t="shared" si="63"/>
        <v>0</v>
      </c>
      <c r="J1291" s="75"/>
      <c r="K1291" s="5">
        <v>46239</v>
      </c>
      <c r="O1291" s="9"/>
      <c r="S1291" s="3"/>
    </row>
    <row r="1292" spans="1:19" ht="15" hidden="1" customHeight="1" x14ac:dyDescent="0.35">
      <c r="A1292" s="26" t="s">
        <v>2852</v>
      </c>
      <c r="B1292" s="32" t="s">
        <v>2805</v>
      </c>
      <c r="C1292" s="28"/>
      <c r="D1292" s="29" t="s">
        <v>2813</v>
      </c>
      <c r="E1292" s="76">
        <v>840000</v>
      </c>
      <c r="F1292" s="77">
        <f t="shared" si="61"/>
        <v>67200</v>
      </c>
      <c r="G1292" s="96">
        <f t="shared" si="62"/>
        <v>907200</v>
      </c>
      <c r="H1292" s="74">
        <v>907200</v>
      </c>
      <c r="I1292" s="75">
        <f t="shared" si="63"/>
        <v>0</v>
      </c>
      <c r="J1292" s="75"/>
      <c r="L1292" s="5">
        <v>46239</v>
      </c>
      <c r="O1292" s="9"/>
      <c r="S1292" s="3"/>
    </row>
    <row r="1293" spans="1:19" ht="15" hidden="1" customHeight="1" x14ac:dyDescent="0.35">
      <c r="A1293" s="26" t="s">
        <v>2853</v>
      </c>
      <c r="B1293" s="32" t="s">
        <v>2806</v>
      </c>
      <c r="C1293" s="28"/>
      <c r="D1293" s="29" t="s">
        <v>2813</v>
      </c>
      <c r="E1293" s="76">
        <v>840000</v>
      </c>
      <c r="F1293" s="77">
        <f t="shared" si="61"/>
        <v>67200</v>
      </c>
      <c r="G1293" s="96">
        <f t="shared" si="62"/>
        <v>907200</v>
      </c>
      <c r="H1293" s="74">
        <v>907200</v>
      </c>
      <c r="I1293" s="75">
        <f t="shared" si="63"/>
        <v>0</v>
      </c>
      <c r="J1293" s="75"/>
      <c r="L1293" s="5">
        <v>46239</v>
      </c>
      <c r="O1293" s="9"/>
      <c r="S1293" s="3"/>
    </row>
    <row r="1294" spans="1:19" ht="15" hidden="1" customHeight="1" x14ac:dyDescent="0.35">
      <c r="A1294" s="26" t="s">
        <v>2854</v>
      </c>
      <c r="B1294" s="32" t="s">
        <v>2807</v>
      </c>
      <c r="C1294" s="28"/>
      <c r="D1294" s="29" t="s">
        <v>2813</v>
      </c>
      <c r="E1294" s="76">
        <v>1132800</v>
      </c>
      <c r="F1294" s="77">
        <f t="shared" si="61"/>
        <v>90624</v>
      </c>
      <c r="G1294" s="96">
        <f t="shared" si="62"/>
        <v>1223424</v>
      </c>
      <c r="H1294" s="74">
        <v>1223424</v>
      </c>
      <c r="I1294" s="75">
        <f t="shared" si="63"/>
        <v>0</v>
      </c>
      <c r="J1294" s="75"/>
      <c r="L1294" s="5">
        <v>46239</v>
      </c>
      <c r="O1294" s="9"/>
      <c r="S1294" s="3"/>
    </row>
    <row r="1295" spans="1:19" ht="15" hidden="1" customHeight="1" x14ac:dyDescent="0.35">
      <c r="A1295" s="26" t="s">
        <v>2855</v>
      </c>
      <c r="B1295" s="32" t="s">
        <v>2808</v>
      </c>
      <c r="C1295" s="28"/>
      <c r="D1295" s="29" t="s">
        <v>2813</v>
      </c>
      <c r="E1295" s="76">
        <v>1132800</v>
      </c>
      <c r="F1295" s="77">
        <f t="shared" si="61"/>
        <v>90624</v>
      </c>
      <c r="G1295" s="96">
        <f t="shared" si="62"/>
        <v>1223424</v>
      </c>
      <c r="H1295" s="74">
        <v>1223424</v>
      </c>
      <c r="I1295" s="75">
        <f t="shared" si="63"/>
        <v>0</v>
      </c>
      <c r="J1295" s="75"/>
      <c r="L1295" s="5">
        <v>46239</v>
      </c>
      <c r="O1295" s="9"/>
      <c r="S1295" s="3"/>
    </row>
    <row r="1296" spans="1:19" ht="15" hidden="1" customHeight="1" x14ac:dyDescent="0.35">
      <c r="A1296" s="26" t="s">
        <v>2856</v>
      </c>
      <c r="B1296" s="32" t="s">
        <v>2809</v>
      </c>
      <c r="C1296" s="28"/>
      <c r="D1296" s="29" t="s">
        <v>2813</v>
      </c>
      <c r="E1296" s="76">
        <v>1972800</v>
      </c>
      <c r="F1296" s="77">
        <f t="shared" si="61"/>
        <v>157824</v>
      </c>
      <c r="G1296" s="96">
        <f t="shared" si="62"/>
        <v>2130624</v>
      </c>
      <c r="H1296" s="74">
        <v>2130624</v>
      </c>
      <c r="I1296" s="75">
        <f t="shared" si="63"/>
        <v>0</v>
      </c>
      <c r="J1296" s="75"/>
      <c r="L1296" s="5">
        <v>46239</v>
      </c>
      <c r="O1296" s="9"/>
      <c r="S1296" s="3"/>
    </row>
    <row r="1297" spans="1:19" ht="15" hidden="1" customHeight="1" x14ac:dyDescent="0.35">
      <c r="A1297" s="26" t="s">
        <v>2857</v>
      </c>
      <c r="B1297" s="32" t="s">
        <v>489</v>
      </c>
      <c r="C1297" s="28"/>
      <c r="D1297" s="29" t="s">
        <v>2813</v>
      </c>
      <c r="E1297" s="76">
        <v>1132800</v>
      </c>
      <c r="F1297" s="77">
        <f t="shared" si="61"/>
        <v>90624</v>
      </c>
      <c r="G1297" s="96">
        <f t="shared" si="62"/>
        <v>1223424</v>
      </c>
      <c r="H1297" s="74">
        <v>1223424</v>
      </c>
      <c r="I1297" s="75">
        <f t="shared" si="63"/>
        <v>0</v>
      </c>
      <c r="J1297" s="75"/>
      <c r="L1297" s="5">
        <v>46239</v>
      </c>
      <c r="O1297" s="9"/>
      <c r="S1297" s="3"/>
    </row>
    <row r="1298" spans="1:19" ht="15" hidden="1" customHeight="1" x14ac:dyDescent="0.35">
      <c r="A1298" s="26" t="s">
        <v>2936</v>
      </c>
      <c r="B1298" s="32" t="s">
        <v>490</v>
      </c>
      <c r="C1298" s="28"/>
      <c r="D1298" s="29" t="s">
        <v>2930</v>
      </c>
      <c r="E1298" s="76">
        <v>840000</v>
      </c>
      <c r="F1298" s="77">
        <f t="shared" si="61"/>
        <v>67200</v>
      </c>
      <c r="G1298" s="96">
        <f t="shared" si="62"/>
        <v>907200</v>
      </c>
      <c r="H1298" s="74">
        <v>907200</v>
      </c>
      <c r="I1298" s="75">
        <f t="shared" si="63"/>
        <v>0</v>
      </c>
      <c r="J1298" s="75"/>
      <c r="L1298" s="5">
        <v>46239</v>
      </c>
      <c r="O1298" s="9"/>
      <c r="S1298" s="3"/>
    </row>
    <row r="1299" spans="1:19" ht="15" hidden="1" customHeight="1" x14ac:dyDescent="0.35">
      <c r="A1299" s="26" t="s">
        <v>2937</v>
      </c>
      <c r="B1299" s="32" t="s">
        <v>491</v>
      </c>
      <c r="C1299" s="28"/>
      <c r="D1299" s="29" t="s">
        <v>2930</v>
      </c>
      <c r="E1299" s="76">
        <v>1972800</v>
      </c>
      <c r="F1299" s="77">
        <f t="shared" si="61"/>
        <v>157824</v>
      </c>
      <c r="G1299" s="96">
        <f t="shared" si="62"/>
        <v>2130624</v>
      </c>
      <c r="H1299" s="74">
        <v>2130624</v>
      </c>
      <c r="I1299" s="75">
        <f t="shared" si="63"/>
        <v>0</v>
      </c>
      <c r="J1299" s="75"/>
      <c r="L1299" s="5">
        <v>46239</v>
      </c>
      <c r="O1299" s="9"/>
      <c r="S1299" s="3"/>
    </row>
    <row r="1300" spans="1:19" ht="15" hidden="1" customHeight="1" x14ac:dyDescent="0.35">
      <c r="A1300" s="26" t="s">
        <v>2938</v>
      </c>
      <c r="B1300" s="32" t="s">
        <v>492</v>
      </c>
      <c r="C1300" s="28"/>
      <c r="D1300" s="29" t="s">
        <v>2930</v>
      </c>
      <c r="E1300" s="76">
        <v>1132800</v>
      </c>
      <c r="F1300" s="77">
        <f t="shared" si="61"/>
        <v>90624</v>
      </c>
      <c r="G1300" s="96">
        <f t="shared" si="62"/>
        <v>1223424</v>
      </c>
      <c r="H1300" s="74">
        <v>1223424</v>
      </c>
      <c r="I1300" s="75">
        <f t="shared" si="63"/>
        <v>0</v>
      </c>
      <c r="J1300" s="75"/>
      <c r="L1300" s="5">
        <v>46239</v>
      </c>
      <c r="O1300" s="9"/>
      <c r="S1300" s="3"/>
    </row>
    <row r="1301" spans="1:19" ht="15" hidden="1" customHeight="1" x14ac:dyDescent="0.35">
      <c r="A1301" s="26" t="s">
        <v>2939</v>
      </c>
      <c r="B1301" s="32" t="s">
        <v>493</v>
      </c>
      <c r="C1301" s="28"/>
      <c r="D1301" s="29" t="s">
        <v>2930</v>
      </c>
      <c r="E1301" s="76">
        <v>1132800</v>
      </c>
      <c r="F1301" s="77">
        <f t="shared" si="61"/>
        <v>90624</v>
      </c>
      <c r="G1301" s="96">
        <f t="shared" si="62"/>
        <v>1223424</v>
      </c>
      <c r="H1301" s="74">
        <v>1223424</v>
      </c>
      <c r="I1301" s="75">
        <f t="shared" si="63"/>
        <v>0</v>
      </c>
      <c r="J1301" s="75"/>
      <c r="L1301" s="5">
        <v>46239</v>
      </c>
      <c r="O1301" s="9"/>
      <c r="S1301" s="3"/>
    </row>
    <row r="1302" spans="1:19" ht="15" hidden="1" customHeight="1" x14ac:dyDescent="0.35">
      <c r="A1302" s="26" t="s">
        <v>2940</v>
      </c>
      <c r="B1302" s="32" t="s">
        <v>494</v>
      </c>
      <c r="C1302" s="28"/>
      <c r="D1302" s="29" t="s">
        <v>2930</v>
      </c>
      <c r="E1302" s="76">
        <v>1132800</v>
      </c>
      <c r="F1302" s="77">
        <f t="shared" si="61"/>
        <v>90624</v>
      </c>
      <c r="G1302" s="96">
        <f t="shared" si="62"/>
        <v>1223424</v>
      </c>
      <c r="H1302" s="74">
        <v>1223424</v>
      </c>
      <c r="I1302" s="75">
        <f t="shared" si="63"/>
        <v>0</v>
      </c>
      <c r="J1302" s="75"/>
      <c r="L1302" s="5">
        <v>46239</v>
      </c>
      <c r="O1302" s="9"/>
      <c r="S1302" s="3"/>
    </row>
    <row r="1303" spans="1:19" ht="15" hidden="1" customHeight="1" x14ac:dyDescent="0.35">
      <c r="A1303" s="26" t="s">
        <v>2941</v>
      </c>
      <c r="B1303" s="32" t="s">
        <v>495</v>
      </c>
      <c r="C1303" s="28"/>
      <c r="D1303" s="29" t="s">
        <v>2930</v>
      </c>
      <c r="E1303" s="76">
        <v>1680000</v>
      </c>
      <c r="F1303" s="77">
        <f t="shared" si="61"/>
        <v>134400</v>
      </c>
      <c r="G1303" s="96">
        <f t="shared" si="62"/>
        <v>1814400</v>
      </c>
      <c r="H1303" s="74">
        <v>1814400</v>
      </c>
      <c r="I1303" s="75">
        <f t="shared" si="63"/>
        <v>0</v>
      </c>
      <c r="J1303" s="75"/>
      <c r="L1303" s="5">
        <v>46239</v>
      </c>
      <c r="O1303" s="9"/>
      <c r="S1303" s="3"/>
    </row>
    <row r="1304" spans="1:19" ht="15" hidden="1" customHeight="1" x14ac:dyDescent="0.35">
      <c r="A1304" s="26" t="s">
        <v>2942</v>
      </c>
      <c r="B1304" s="32" t="s">
        <v>496</v>
      </c>
      <c r="C1304" s="28"/>
      <c r="D1304" s="29" t="s">
        <v>2930</v>
      </c>
      <c r="E1304" s="76">
        <v>1132800</v>
      </c>
      <c r="F1304" s="77">
        <f t="shared" si="61"/>
        <v>90624</v>
      </c>
      <c r="G1304" s="96">
        <f t="shared" si="62"/>
        <v>1223424</v>
      </c>
      <c r="H1304" s="74">
        <v>1223424</v>
      </c>
      <c r="I1304" s="75">
        <f t="shared" si="63"/>
        <v>0</v>
      </c>
      <c r="J1304" s="75"/>
      <c r="L1304" s="5">
        <v>46239</v>
      </c>
      <c r="O1304" s="9"/>
      <c r="S1304" s="3"/>
    </row>
    <row r="1305" spans="1:19" ht="15" hidden="1" customHeight="1" x14ac:dyDescent="0.35">
      <c r="A1305" s="26" t="s">
        <v>2943</v>
      </c>
      <c r="B1305" s="32" t="s">
        <v>497</v>
      </c>
      <c r="C1305" s="28"/>
      <c r="D1305" s="29" t="s">
        <v>2930</v>
      </c>
      <c r="E1305" s="76">
        <v>840000</v>
      </c>
      <c r="F1305" s="77">
        <f t="shared" si="61"/>
        <v>67200</v>
      </c>
      <c r="G1305" s="96">
        <f t="shared" si="62"/>
        <v>907200</v>
      </c>
      <c r="H1305" s="74">
        <v>907200</v>
      </c>
      <c r="I1305" s="75">
        <f t="shared" si="63"/>
        <v>0</v>
      </c>
      <c r="J1305" s="75"/>
      <c r="L1305" s="5">
        <v>46239</v>
      </c>
      <c r="O1305" s="9"/>
      <c r="S1305" s="3"/>
    </row>
    <row r="1306" spans="1:19" ht="15" hidden="1" customHeight="1" x14ac:dyDescent="0.35">
      <c r="A1306" s="26" t="s">
        <v>2944</v>
      </c>
      <c r="B1306" s="32" t="s">
        <v>498</v>
      </c>
      <c r="C1306" s="28"/>
      <c r="D1306" s="29" t="s">
        <v>2930</v>
      </c>
      <c r="E1306" s="76">
        <v>840000</v>
      </c>
      <c r="F1306" s="77">
        <f t="shared" si="61"/>
        <v>67200</v>
      </c>
      <c r="G1306" s="96">
        <f t="shared" si="62"/>
        <v>907200</v>
      </c>
      <c r="H1306" s="95">
        <v>907200</v>
      </c>
      <c r="I1306" s="75">
        <f t="shared" si="63"/>
        <v>0</v>
      </c>
      <c r="J1306" s="75"/>
      <c r="L1306" s="5">
        <v>46239</v>
      </c>
      <c r="O1306" s="9"/>
      <c r="S1306" s="3"/>
    </row>
    <row r="1307" spans="1:19" ht="15" hidden="1" customHeight="1" x14ac:dyDescent="0.35">
      <c r="A1307" s="26" t="s">
        <v>2945</v>
      </c>
      <c r="B1307" s="32" t="s">
        <v>499</v>
      </c>
      <c r="C1307" s="28"/>
      <c r="D1307" s="29" t="s">
        <v>2930</v>
      </c>
      <c r="E1307" s="76">
        <v>2812800</v>
      </c>
      <c r="F1307" s="77">
        <f t="shared" si="61"/>
        <v>225024</v>
      </c>
      <c r="G1307" s="96">
        <f t="shared" si="62"/>
        <v>3037824</v>
      </c>
      <c r="H1307" s="74">
        <v>3037824</v>
      </c>
      <c r="I1307" s="75">
        <f t="shared" si="63"/>
        <v>0</v>
      </c>
      <c r="J1307" s="75"/>
      <c r="L1307" s="5">
        <v>46239</v>
      </c>
      <c r="O1307" s="9"/>
      <c r="S1307" s="3"/>
    </row>
    <row r="1308" spans="1:19" ht="15" hidden="1" customHeight="1" x14ac:dyDescent="0.35">
      <c r="A1308" s="26" t="s">
        <v>2946</v>
      </c>
      <c r="B1308" s="32" t="s">
        <v>500</v>
      </c>
      <c r="C1308" s="28"/>
      <c r="D1308" s="29" t="s">
        <v>2930</v>
      </c>
      <c r="E1308" s="76">
        <v>1972800</v>
      </c>
      <c r="F1308" s="77">
        <f t="shared" ref="F1308:F1371" si="64">+E1308*0.08</f>
        <v>157824</v>
      </c>
      <c r="G1308" s="96">
        <f t="shared" ref="G1308:G1371" si="65">+F1308+E1308</f>
        <v>2130624</v>
      </c>
      <c r="H1308" s="74">
        <v>2130624</v>
      </c>
      <c r="I1308" s="75">
        <f t="shared" ref="I1308:I1371" si="66">G1308-H1308</f>
        <v>0</v>
      </c>
      <c r="J1308" s="75"/>
      <c r="L1308" s="5">
        <v>46239</v>
      </c>
      <c r="O1308" s="9"/>
      <c r="S1308" s="3"/>
    </row>
    <row r="1309" spans="1:19" ht="15" hidden="1" customHeight="1" x14ac:dyDescent="0.35">
      <c r="A1309" s="26" t="s">
        <v>2947</v>
      </c>
      <c r="B1309" s="32" t="s">
        <v>501</v>
      </c>
      <c r="C1309" s="28"/>
      <c r="D1309" s="29" t="s">
        <v>2930</v>
      </c>
      <c r="E1309" s="76">
        <v>1132800</v>
      </c>
      <c r="F1309" s="77">
        <f t="shared" si="64"/>
        <v>90624</v>
      </c>
      <c r="G1309" s="96">
        <f t="shared" si="65"/>
        <v>1223424</v>
      </c>
      <c r="H1309" s="74">
        <v>1223424</v>
      </c>
      <c r="I1309" s="75">
        <f t="shared" si="66"/>
        <v>0</v>
      </c>
      <c r="J1309" s="75"/>
      <c r="L1309" s="5">
        <v>46239</v>
      </c>
      <c r="O1309" s="9"/>
      <c r="S1309" s="3"/>
    </row>
    <row r="1310" spans="1:19" ht="15" hidden="1" customHeight="1" x14ac:dyDescent="0.35">
      <c r="A1310" s="26" t="s">
        <v>2948</v>
      </c>
      <c r="B1310" s="32" t="s">
        <v>502</v>
      </c>
      <c r="C1310" s="28"/>
      <c r="D1310" s="29" t="s">
        <v>2930</v>
      </c>
      <c r="E1310" s="76">
        <v>840000</v>
      </c>
      <c r="F1310" s="77">
        <f t="shared" si="64"/>
        <v>67200</v>
      </c>
      <c r="G1310" s="96">
        <f t="shared" si="65"/>
        <v>907200</v>
      </c>
      <c r="H1310" s="74">
        <v>907200</v>
      </c>
      <c r="I1310" s="75">
        <f t="shared" si="66"/>
        <v>0</v>
      </c>
      <c r="J1310" s="75"/>
      <c r="L1310" s="5">
        <v>46239</v>
      </c>
      <c r="O1310" s="9"/>
      <c r="S1310" s="3"/>
    </row>
    <row r="1311" spans="1:19" ht="15" hidden="1" customHeight="1" x14ac:dyDescent="0.35">
      <c r="A1311" s="26" t="s">
        <v>2949</v>
      </c>
      <c r="B1311" s="32" t="s">
        <v>503</v>
      </c>
      <c r="C1311" s="28"/>
      <c r="D1311" s="29" t="s">
        <v>2930</v>
      </c>
      <c r="E1311" s="76">
        <v>840000</v>
      </c>
      <c r="F1311" s="77">
        <f t="shared" si="64"/>
        <v>67200</v>
      </c>
      <c r="G1311" s="96">
        <f t="shared" si="65"/>
        <v>907200</v>
      </c>
      <c r="H1311" s="74">
        <v>907200</v>
      </c>
      <c r="I1311" s="75">
        <f t="shared" si="66"/>
        <v>0</v>
      </c>
      <c r="J1311" s="75"/>
      <c r="L1311" s="5">
        <v>46239</v>
      </c>
      <c r="O1311" s="9"/>
      <c r="S1311" s="3"/>
    </row>
    <row r="1312" spans="1:19" ht="15" hidden="1" customHeight="1" x14ac:dyDescent="0.35">
      <c r="A1312" s="26" t="s">
        <v>2950</v>
      </c>
      <c r="B1312" s="32" t="s">
        <v>504</v>
      </c>
      <c r="C1312" s="28"/>
      <c r="D1312" s="29" t="s">
        <v>2930</v>
      </c>
      <c r="E1312" s="76">
        <v>1132800</v>
      </c>
      <c r="F1312" s="77">
        <f t="shared" si="64"/>
        <v>90624</v>
      </c>
      <c r="G1312" s="96">
        <f t="shared" si="65"/>
        <v>1223424</v>
      </c>
      <c r="H1312" s="74">
        <v>1223424</v>
      </c>
      <c r="I1312" s="75">
        <f t="shared" si="66"/>
        <v>0</v>
      </c>
      <c r="J1312" s="75"/>
      <c r="L1312" s="5">
        <v>46239</v>
      </c>
      <c r="O1312" s="9"/>
      <c r="S1312" s="3"/>
    </row>
    <row r="1313" spans="1:19" ht="15" hidden="1" customHeight="1" x14ac:dyDescent="0.35">
      <c r="A1313" s="26" t="s">
        <v>2951</v>
      </c>
      <c r="B1313" s="32" t="s">
        <v>505</v>
      </c>
      <c r="C1313" s="28"/>
      <c r="D1313" s="29" t="s">
        <v>2930</v>
      </c>
      <c r="E1313" s="76">
        <v>3945600</v>
      </c>
      <c r="F1313" s="77">
        <f t="shared" si="64"/>
        <v>315648</v>
      </c>
      <c r="G1313" s="96">
        <f t="shared" si="65"/>
        <v>4261248</v>
      </c>
      <c r="H1313" s="74">
        <v>4261248</v>
      </c>
      <c r="I1313" s="75">
        <f t="shared" si="66"/>
        <v>0</v>
      </c>
      <c r="J1313" s="75"/>
      <c r="L1313" s="5">
        <v>46239</v>
      </c>
      <c r="O1313" s="9"/>
      <c r="S1313" s="3"/>
    </row>
    <row r="1314" spans="1:19" ht="15" hidden="1" customHeight="1" x14ac:dyDescent="0.35">
      <c r="A1314" s="26" t="s">
        <v>2952</v>
      </c>
      <c r="B1314" s="32" t="s">
        <v>506</v>
      </c>
      <c r="C1314" s="28"/>
      <c r="D1314" s="29" t="s">
        <v>2930</v>
      </c>
      <c r="E1314" s="76">
        <v>10005000</v>
      </c>
      <c r="F1314" s="77">
        <f t="shared" si="64"/>
        <v>800400</v>
      </c>
      <c r="G1314" s="96">
        <f t="shared" si="65"/>
        <v>10805400</v>
      </c>
      <c r="H1314" s="74">
        <v>10805400</v>
      </c>
      <c r="I1314" s="75">
        <f t="shared" si="66"/>
        <v>0</v>
      </c>
      <c r="J1314" s="75"/>
      <c r="K1314" s="5">
        <v>46239</v>
      </c>
      <c r="O1314" s="9"/>
      <c r="S1314" s="3"/>
    </row>
    <row r="1315" spans="1:19" ht="15" hidden="1" customHeight="1" x14ac:dyDescent="0.35">
      <c r="A1315" s="26" t="s">
        <v>2953</v>
      </c>
      <c r="B1315" s="32" t="s">
        <v>2859</v>
      </c>
      <c r="C1315" s="28"/>
      <c r="D1315" s="29" t="s">
        <v>2930</v>
      </c>
      <c r="E1315" s="76">
        <v>1940000</v>
      </c>
      <c r="F1315" s="77">
        <f t="shared" si="64"/>
        <v>155200</v>
      </c>
      <c r="G1315" s="96">
        <f t="shared" si="65"/>
        <v>2095200</v>
      </c>
      <c r="H1315" s="74">
        <v>2095200</v>
      </c>
      <c r="I1315" s="75">
        <f t="shared" si="66"/>
        <v>0</v>
      </c>
      <c r="J1315" s="75"/>
      <c r="K1315" s="5">
        <v>46249</v>
      </c>
      <c r="O1315" s="9"/>
      <c r="S1315" s="3"/>
    </row>
    <row r="1316" spans="1:19" ht="15" hidden="1" customHeight="1" x14ac:dyDescent="0.35">
      <c r="A1316" s="26" t="s">
        <v>2954</v>
      </c>
      <c r="B1316" s="32" t="s">
        <v>2860</v>
      </c>
      <c r="C1316" s="28"/>
      <c r="D1316" s="29" t="s">
        <v>2930</v>
      </c>
      <c r="E1316" s="76">
        <v>11855000</v>
      </c>
      <c r="F1316" s="77">
        <f t="shared" si="64"/>
        <v>948400</v>
      </c>
      <c r="G1316" s="96">
        <f t="shared" si="65"/>
        <v>12803400</v>
      </c>
      <c r="H1316" s="74">
        <v>12803400</v>
      </c>
      <c r="I1316" s="75">
        <f t="shared" si="66"/>
        <v>0</v>
      </c>
      <c r="J1316" s="75"/>
      <c r="K1316" s="5">
        <v>46239</v>
      </c>
      <c r="O1316" s="9"/>
      <c r="S1316" s="3"/>
    </row>
    <row r="1317" spans="1:19" ht="15" hidden="1" customHeight="1" x14ac:dyDescent="0.35">
      <c r="A1317" s="26" t="s">
        <v>2955</v>
      </c>
      <c r="B1317" s="32" t="s">
        <v>2861</v>
      </c>
      <c r="C1317" s="28"/>
      <c r="D1317" s="29" t="s">
        <v>2930</v>
      </c>
      <c r="E1317" s="76">
        <v>2040000</v>
      </c>
      <c r="F1317" s="77">
        <f t="shared" si="64"/>
        <v>163200</v>
      </c>
      <c r="G1317" s="96">
        <f t="shared" si="65"/>
        <v>2203200</v>
      </c>
      <c r="H1317" s="74">
        <v>2203200</v>
      </c>
      <c r="I1317" s="75">
        <f t="shared" si="66"/>
        <v>0</v>
      </c>
      <c r="J1317" s="75"/>
      <c r="K1317" s="5">
        <v>46239</v>
      </c>
      <c r="O1317" s="9"/>
      <c r="S1317" s="3"/>
    </row>
    <row r="1318" spans="1:19" ht="15" hidden="1" customHeight="1" x14ac:dyDescent="0.35">
      <c r="A1318" s="26" t="s">
        <v>2956</v>
      </c>
      <c r="B1318" s="32" t="s">
        <v>2862</v>
      </c>
      <c r="C1318" s="28"/>
      <c r="D1318" s="29" t="s">
        <v>2930</v>
      </c>
      <c r="E1318" s="76">
        <v>1040000</v>
      </c>
      <c r="F1318" s="77">
        <f t="shared" si="64"/>
        <v>83200</v>
      </c>
      <c r="G1318" s="96">
        <f t="shared" si="65"/>
        <v>1123200</v>
      </c>
      <c r="H1318" s="74">
        <v>1123200</v>
      </c>
      <c r="I1318" s="75">
        <f t="shared" si="66"/>
        <v>0</v>
      </c>
      <c r="J1318" s="75"/>
      <c r="K1318" s="5">
        <v>46239</v>
      </c>
      <c r="O1318" s="9"/>
      <c r="S1318" s="3"/>
    </row>
    <row r="1319" spans="1:19" ht="15" hidden="1" customHeight="1" x14ac:dyDescent="0.35">
      <c r="A1319" s="26" t="s">
        <v>2957</v>
      </c>
      <c r="B1319" s="32" t="s">
        <v>2863</v>
      </c>
      <c r="C1319" s="28"/>
      <c r="D1319" s="29" t="s">
        <v>2930</v>
      </c>
      <c r="E1319" s="76">
        <v>2925000</v>
      </c>
      <c r="F1319" s="77">
        <f t="shared" si="64"/>
        <v>234000</v>
      </c>
      <c r="G1319" s="96">
        <f t="shared" si="65"/>
        <v>3159000</v>
      </c>
      <c r="H1319" s="74">
        <v>3159000</v>
      </c>
      <c r="I1319" s="75">
        <f t="shared" si="66"/>
        <v>0</v>
      </c>
      <c r="J1319" s="75"/>
      <c r="K1319" s="5">
        <v>46239</v>
      </c>
      <c r="O1319" s="9"/>
      <c r="S1319" s="3"/>
    </row>
    <row r="1320" spans="1:19" ht="15" hidden="1" customHeight="1" x14ac:dyDescent="0.35">
      <c r="A1320" s="26" t="s">
        <v>2958</v>
      </c>
      <c r="B1320" s="32" t="s">
        <v>507</v>
      </c>
      <c r="C1320" s="28">
        <v>5305</v>
      </c>
      <c r="D1320" s="29">
        <v>46202</v>
      </c>
      <c r="E1320" s="76">
        <v>2558000</v>
      </c>
      <c r="F1320" s="77">
        <f t="shared" si="64"/>
        <v>204640</v>
      </c>
      <c r="G1320" s="96">
        <f t="shared" si="65"/>
        <v>2762640</v>
      </c>
      <c r="H1320" s="74">
        <v>2762640</v>
      </c>
      <c r="I1320" s="75">
        <f t="shared" si="66"/>
        <v>0</v>
      </c>
      <c r="J1320" s="75"/>
      <c r="K1320" s="5">
        <v>46249</v>
      </c>
      <c r="O1320" s="9"/>
      <c r="S1320" s="3"/>
    </row>
    <row r="1321" spans="1:19" ht="15" hidden="1" customHeight="1" x14ac:dyDescent="0.35">
      <c r="A1321" s="26" t="s">
        <v>2959</v>
      </c>
      <c r="B1321" s="32" t="s">
        <v>2864</v>
      </c>
      <c r="C1321" s="28">
        <v>5306</v>
      </c>
      <c r="D1321" s="29">
        <v>46202</v>
      </c>
      <c r="E1321" s="76">
        <v>1720000</v>
      </c>
      <c r="F1321" s="77">
        <f t="shared" si="64"/>
        <v>137600</v>
      </c>
      <c r="G1321" s="96">
        <f t="shared" si="65"/>
        <v>1857600</v>
      </c>
      <c r="H1321" s="74">
        <v>1857600</v>
      </c>
      <c r="I1321" s="75">
        <f t="shared" si="66"/>
        <v>0</v>
      </c>
      <c r="J1321" s="75"/>
      <c r="K1321" s="5">
        <v>46249</v>
      </c>
      <c r="O1321" s="9"/>
      <c r="S1321" s="3"/>
    </row>
    <row r="1322" spans="1:19" ht="15" hidden="1" customHeight="1" x14ac:dyDescent="0.35">
      <c r="A1322" s="26" t="s">
        <v>2960</v>
      </c>
      <c r="B1322" s="27" t="s">
        <v>510</v>
      </c>
      <c r="C1322" s="33">
        <v>5164</v>
      </c>
      <c r="D1322" s="29">
        <v>46198</v>
      </c>
      <c r="E1322" s="76">
        <v>17087500</v>
      </c>
      <c r="F1322" s="77">
        <f t="shared" si="64"/>
        <v>1367000</v>
      </c>
      <c r="G1322" s="96">
        <f t="shared" si="65"/>
        <v>18454500</v>
      </c>
      <c r="H1322" s="74">
        <v>18454500</v>
      </c>
      <c r="I1322" s="75">
        <f t="shared" si="66"/>
        <v>0</v>
      </c>
      <c r="J1322" s="75"/>
      <c r="K1322" s="5">
        <v>46239</v>
      </c>
      <c r="O1322" s="9"/>
      <c r="S1322" s="3"/>
    </row>
    <row r="1323" spans="1:19" ht="15" hidden="1" customHeight="1" x14ac:dyDescent="0.35">
      <c r="A1323" s="26" t="s">
        <v>2961</v>
      </c>
      <c r="B1323" s="32" t="s">
        <v>2865</v>
      </c>
      <c r="C1323" s="28">
        <v>5303</v>
      </c>
      <c r="D1323" s="29">
        <v>46202</v>
      </c>
      <c r="E1323" s="76">
        <v>6794500</v>
      </c>
      <c r="F1323" s="77">
        <f t="shared" si="64"/>
        <v>543560</v>
      </c>
      <c r="G1323" s="96">
        <f t="shared" si="65"/>
        <v>7338060</v>
      </c>
      <c r="H1323" s="74">
        <v>7338060</v>
      </c>
      <c r="I1323" s="75">
        <f t="shared" si="66"/>
        <v>0</v>
      </c>
      <c r="J1323" s="75"/>
      <c r="K1323" s="5">
        <v>46249</v>
      </c>
      <c r="O1323" s="9"/>
      <c r="S1323" s="3"/>
    </row>
    <row r="1324" spans="1:19" ht="15" hidden="1" customHeight="1" x14ac:dyDescent="0.35">
      <c r="A1324" s="26" t="s">
        <v>2962</v>
      </c>
      <c r="B1324" s="32" t="s">
        <v>2866</v>
      </c>
      <c r="C1324" s="28"/>
      <c r="D1324" s="29" t="s">
        <v>2930</v>
      </c>
      <c r="E1324" s="76">
        <v>1920000</v>
      </c>
      <c r="F1324" s="77">
        <f t="shared" si="64"/>
        <v>153600</v>
      </c>
      <c r="G1324" s="96">
        <f t="shared" si="65"/>
        <v>2073600</v>
      </c>
      <c r="H1324" s="74">
        <v>2073600</v>
      </c>
      <c r="I1324" s="75">
        <f t="shared" si="66"/>
        <v>0</v>
      </c>
      <c r="J1324" s="75"/>
      <c r="K1324" s="5">
        <v>46239</v>
      </c>
      <c r="O1324" s="9"/>
      <c r="S1324" s="3"/>
    </row>
    <row r="1325" spans="1:19" ht="15" hidden="1" customHeight="1" x14ac:dyDescent="0.35">
      <c r="A1325" s="26" t="s">
        <v>2963</v>
      </c>
      <c r="B1325" s="32" t="s">
        <v>2867</v>
      </c>
      <c r="C1325" s="28"/>
      <c r="D1325" s="29" t="s">
        <v>2930</v>
      </c>
      <c r="E1325" s="76">
        <v>4635000</v>
      </c>
      <c r="F1325" s="77">
        <f t="shared" si="64"/>
        <v>370800</v>
      </c>
      <c r="G1325" s="96">
        <f t="shared" si="65"/>
        <v>5005800</v>
      </c>
      <c r="H1325" s="74">
        <v>5005800</v>
      </c>
      <c r="I1325" s="75">
        <f t="shared" si="66"/>
        <v>0</v>
      </c>
      <c r="J1325" s="75"/>
      <c r="K1325" s="5">
        <v>46239</v>
      </c>
      <c r="O1325" s="9"/>
      <c r="S1325" s="3"/>
    </row>
    <row r="1326" spans="1:19" ht="15" hidden="1" customHeight="1" x14ac:dyDescent="0.35">
      <c r="A1326" s="26" t="s">
        <v>2964</v>
      </c>
      <c r="B1326" s="32" t="s">
        <v>2868</v>
      </c>
      <c r="C1326" s="28"/>
      <c r="D1326" s="29" t="s">
        <v>2930</v>
      </c>
      <c r="E1326" s="76">
        <v>2010000</v>
      </c>
      <c r="F1326" s="77">
        <f t="shared" si="64"/>
        <v>160800</v>
      </c>
      <c r="G1326" s="96">
        <f t="shared" si="65"/>
        <v>2170800</v>
      </c>
      <c r="H1326" s="74">
        <v>2170800</v>
      </c>
      <c r="I1326" s="75">
        <f t="shared" si="66"/>
        <v>0</v>
      </c>
      <c r="J1326" s="75"/>
      <c r="K1326" s="5">
        <v>46239</v>
      </c>
      <c r="O1326" s="9"/>
      <c r="S1326" s="3"/>
    </row>
    <row r="1327" spans="1:19" ht="15" hidden="1" customHeight="1" x14ac:dyDescent="0.35">
      <c r="A1327" s="26" t="s">
        <v>2965</v>
      </c>
      <c r="B1327" s="32" t="s">
        <v>2869</v>
      </c>
      <c r="C1327" s="28"/>
      <c r="D1327" s="29" t="s">
        <v>2930</v>
      </c>
      <c r="E1327" s="76">
        <v>2040000</v>
      </c>
      <c r="F1327" s="77">
        <f t="shared" si="64"/>
        <v>163200</v>
      </c>
      <c r="G1327" s="96">
        <f t="shared" si="65"/>
        <v>2203200</v>
      </c>
      <c r="H1327" s="74">
        <v>2203200</v>
      </c>
      <c r="I1327" s="75">
        <f t="shared" si="66"/>
        <v>0</v>
      </c>
      <c r="J1327" s="75"/>
      <c r="K1327" s="5">
        <v>46239</v>
      </c>
      <c r="O1327" s="9"/>
      <c r="S1327" s="3"/>
    </row>
    <row r="1328" spans="1:19" ht="15" hidden="1" customHeight="1" x14ac:dyDescent="0.35">
      <c r="A1328" s="26" t="s">
        <v>2966</v>
      </c>
      <c r="B1328" s="32" t="s">
        <v>2870</v>
      </c>
      <c r="C1328" s="28"/>
      <c r="D1328" s="29" t="s">
        <v>2930</v>
      </c>
      <c r="E1328" s="76">
        <v>1005000</v>
      </c>
      <c r="F1328" s="77">
        <f t="shared" si="64"/>
        <v>80400</v>
      </c>
      <c r="G1328" s="96">
        <f t="shared" si="65"/>
        <v>1085400</v>
      </c>
      <c r="H1328" s="74">
        <v>1085400</v>
      </c>
      <c r="I1328" s="75">
        <f t="shared" si="66"/>
        <v>0</v>
      </c>
      <c r="J1328" s="75"/>
      <c r="K1328" s="5">
        <v>46239</v>
      </c>
      <c r="O1328" s="9"/>
      <c r="S1328" s="3"/>
    </row>
    <row r="1329" spans="1:19" ht="15" hidden="1" customHeight="1" x14ac:dyDescent="0.35">
      <c r="A1329" s="26" t="s">
        <v>2967</v>
      </c>
      <c r="B1329" s="32" t="s">
        <v>2871</v>
      </c>
      <c r="C1329" s="28"/>
      <c r="D1329" s="29" t="s">
        <v>2930</v>
      </c>
      <c r="E1329" s="76">
        <v>1965000</v>
      </c>
      <c r="F1329" s="77">
        <f t="shared" si="64"/>
        <v>157200</v>
      </c>
      <c r="G1329" s="96">
        <f t="shared" si="65"/>
        <v>2122200</v>
      </c>
      <c r="H1329" s="74">
        <v>2122200</v>
      </c>
      <c r="I1329" s="75">
        <f t="shared" si="66"/>
        <v>0</v>
      </c>
      <c r="J1329" s="75"/>
      <c r="K1329" s="5">
        <v>46239</v>
      </c>
      <c r="O1329" s="9"/>
      <c r="S1329" s="3"/>
    </row>
    <row r="1330" spans="1:19" ht="15" hidden="1" customHeight="1" x14ac:dyDescent="0.35">
      <c r="A1330" s="26" t="s">
        <v>2968</v>
      </c>
      <c r="B1330" s="32" t="s">
        <v>2872</v>
      </c>
      <c r="C1330" s="28"/>
      <c r="D1330" s="29" t="s">
        <v>2930</v>
      </c>
      <c r="E1330" s="76">
        <v>1005000</v>
      </c>
      <c r="F1330" s="77">
        <f t="shared" si="64"/>
        <v>80400</v>
      </c>
      <c r="G1330" s="96">
        <f t="shared" si="65"/>
        <v>1085400</v>
      </c>
      <c r="H1330" s="74">
        <v>1085400</v>
      </c>
      <c r="I1330" s="75">
        <f t="shared" si="66"/>
        <v>0</v>
      </c>
      <c r="J1330" s="75"/>
      <c r="K1330" s="5">
        <v>46239</v>
      </c>
      <c r="O1330" s="9"/>
      <c r="S1330" s="3"/>
    </row>
    <row r="1331" spans="1:19" ht="15" hidden="1" customHeight="1" x14ac:dyDescent="0.35">
      <c r="A1331" s="26" t="s">
        <v>2969</v>
      </c>
      <c r="B1331" s="32" t="s">
        <v>2873</v>
      </c>
      <c r="C1331" s="28"/>
      <c r="D1331" s="29" t="s">
        <v>2930</v>
      </c>
      <c r="E1331" s="76">
        <v>1005000</v>
      </c>
      <c r="F1331" s="77">
        <f t="shared" si="64"/>
        <v>80400</v>
      </c>
      <c r="G1331" s="96">
        <f t="shared" si="65"/>
        <v>1085400</v>
      </c>
      <c r="H1331" s="74">
        <v>1085400</v>
      </c>
      <c r="I1331" s="75">
        <f t="shared" si="66"/>
        <v>0</v>
      </c>
      <c r="J1331" s="75"/>
      <c r="K1331" s="5">
        <v>46239</v>
      </c>
      <c r="O1331" s="9"/>
      <c r="S1331" s="3"/>
    </row>
    <row r="1332" spans="1:19" ht="15" hidden="1" customHeight="1" x14ac:dyDescent="0.35">
      <c r="A1332" s="26" t="s">
        <v>2970</v>
      </c>
      <c r="B1332" s="32" t="s">
        <v>2874</v>
      </c>
      <c r="C1332" s="28"/>
      <c r="D1332" s="29" t="s">
        <v>2930</v>
      </c>
      <c r="E1332" s="76">
        <v>1770000</v>
      </c>
      <c r="F1332" s="77">
        <f t="shared" si="64"/>
        <v>141600</v>
      </c>
      <c r="G1332" s="96">
        <f t="shared" si="65"/>
        <v>1911600</v>
      </c>
      <c r="H1332" s="74">
        <v>1911600</v>
      </c>
      <c r="I1332" s="75">
        <f t="shared" si="66"/>
        <v>0</v>
      </c>
      <c r="J1332" s="75"/>
      <c r="K1332" s="5">
        <v>46249</v>
      </c>
      <c r="O1332" s="9"/>
      <c r="S1332" s="3"/>
    </row>
    <row r="1333" spans="1:19" ht="15" hidden="1" customHeight="1" x14ac:dyDescent="0.35">
      <c r="A1333" s="26" t="s">
        <v>2971</v>
      </c>
      <c r="B1333" s="32" t="s">
        <v>2875</v>
      </c>
      <c r="C1333" s="28"/>
      <c r="D1333" s="29" t="s">
        <v>2930</v>
      </c>
      <c r="E1333" s="76">
        <v>2730000</v>
      </c>
      <c r="F1333" s="77">
        <f t="shared" si="64"/>
        <v>218400</v>
      </c>
      <c r="G1333" s="96">
        <f t="shared" si="65"/>
        <v>2948400</v>
      </c>
      <c r="H1333" s="74">
        <v>2948400</v>
      </c>
      <c r="I1333" s="75">
        <f t="shared" si="66"/>
        <v>0</v>
      </c>
      <c r="J1333" s="75"/>
      <c r="K1333" s="5">
        <v>46239</v>
      </c>
      <c r="O1333" s="9"/>
      <c r="S1333" s="3"/>
    </row>
    <row r="1334" spans="1:19" ht="15" hidden="1" customHeight="1" x14ac:dyDescent="0.35">
      <c r="A1334" s="26" t="s">
        <v>2972</v>
      </c>
      <c r="B1334" s="32" t="s">
        <v>2876</v>
      </c>
      <c r="C1334" s="28"/>
      <c r="D1334" s="29" t="s">
        <v>2930</v>
      </c>
      <c r="E1334" s="76">
        <v>9540000</v>
      </c>
      <c r="F1334" s="77">
        <f t="shared" si="64"/>
        <v>763200</v>
      </c>
      <c r="G1334" s="96">
        <f t="shared" si="65"/>
        <v>10303200</v>
      </c>
      <c r="H1334" s="74">
        <v>10303200</v>
      </c>
      <c r="I1334" s="75">
        <f t="shared" si="66"/>
        <v>0</v>
      </c>
      <c r="J1334" s="75"/>
      <c r="K1334" s="5">
        <v>46239</v>
      </c>
      <c r="O1334" s="9"/>
      <c r="S1334" s="3"/>
    </row>
    <row r="1335" spans="1:19" ht="15" hidden="1" customHeight="1" x14ac:dyDescent="0.35">
      <c r="A1335" s="26" t="s">
        <v>2973</v>
      </c>
      <c r="B1335" s="32" t="s">
        <v>2877</v>
      </c>
      <c r="C1335" s="28"/>
      <c r="D1335" s="29" t="s">
        <v>2930</v>
      </c>
      <c r="E1335" s="76">
        <v>1005000</v>
      </c>
      <c r="F1335" s="77">
        <f t="shared" si="64"/>
        <v>80400</v>
      </c>
      <c r="G1335" s="96">
        <f t="shared" si="65"/>
        <v>1085400</v>
      </c>
      <c r="H1335" s="74">
        <v>1085400</v>
      </c>
      <c r="I1335" s="75">
        <f t="shared" si="66"/>
        <v>0</v>
      </c>
      <c r="J1335" s="75"/>
      <c r="K1335" s="5">
        <v>46239</v>
      </c>
      <c r="O1335" s="9"/>
      <c r="S1335" s="3"/>
    </row>
    <row r="1336" spans="1:19" ht="15" hidden="1" customHeight="1" x14ac:dyDescent="0.35">
      <c r="A1336" s="26" t="s">
        <v>2974</v>
      </c>
      <c r="B1336" s="32" t="s">
        <v>2878</v>
      </c>
      <c r="C1336" s="28"/>
      <c r="D1336" s="29" t="s">
        <v>2930</v>
      </c>
      <c r="E1336" s="76">
        <v>4565000</v>
      </c>
      <c r="F1336" s="77">
        <f t="shared" si="64"/>
        <v>365200</v>
      </c>
      <c r="G1336" s="96">
        <f t="shared" si="65"/>
        <v>4930200</v>
      </c>
      <c r="H1336" s="74">
        <v>4930200</v>
      </c>
      <c r="I1336" s="75">
        <f t="shared" si="66"/>
        <v>0</v>
      </c>
      <c r="J1336" s="75"/>
      <c r="K1336" s="5">
        <v>46239</v>
      </c>
      <c r="O1336" s="9"/>
      <c r="S1336" s="3"/>
    </row>
    <row r="1337" spans="1:19" ht="15" hidden="1" customHeight="1" x14ac:dyDescent="0.35">
      <c r="A1337" s="26" t="s">
        <v>2975</v>
      </c>
      <c r="B1337" s="32" t="s">
        <v>2879</v>
      </c>
      <c r="C1337" s="28"/>
      <c r="D1337" s="29" t="s">
        <v>2930</v>
      </c>
      <c r="E1337" s="76">
        <v>1645000</v>
      </c>
      <c r="F1337" s="77">
        <f t="shared" si="64"/>
        <v>131600</v>
      </c>
      <c r="G1337" s="96">
        <f t="shared" si="65"/>
        <v>1776600</v>
      </c>
      <c r="H1337" s="74">
        <v>1776600</v>
      </c>
      <c r="I1337" s="75">
        <f t="shared" si="66"/>
        <v>0</v>
      </c>
      <c r="J1337" s="75"/>
      <c r="K1337" s="5">
        <v>46239</v>
      </c>
      <c r="O1337" s="9"/>
      <c r="S1337" s="3"/>
    </row>
    <row r="1338" spans="1:19" ht="15" hidden="1" customHeight="1" x14ac:dyDescent="0.35">
      <c r="A1338" s="26" t="s">
        <v>2976</v>
      </c>
      <c r="B1338" s="32" t="s">
        <v>2880</v>
      </c>
      <c r="C1338" s="28"/>
      <c r="D1338" s="29" t="s">
        <v>2930</v>
      </c>
      <c r="E1338" s="76">
        <v>2730000</v>
      </c>
      <c r="F1338" s="77">
        <f t="shared" si="64"/>
        <v>218400</v>
      </c>
      <c r="G1338" s="96">
        <f t="shared" si="65"/>
        <v>2948400</v>
      </c>
      <c r="H1338" s="74">
        <v>2948400</v>
      </c>
      <c r="I1338" s="75">
        <f t="shared" si="66"/>
        <v>0</v>
      </c>
      <c r="J1338" s="75"/>
      <c r="K1338" s="5">
        <v>46239</v>
      </c>
      <c r="O1338" s="9"/>
      <c r="S1338" s="3"/>
    </row>
    <row r="1339" spans="1:19" ht="15" hidden="1" customHeight="1" x14ac:dyDescent="0.35">
      <c r="A1339" s="26" t="s">
        <v>2977</v>
      </c>
      <c r="B1339" s="32" t="s">
        <v>2881</v>
      </c>
      <c r="C1339" s="28"/>
      <c r="D1339" s="29" t="s">
        <v>2930</v>
      </c>
      <c r="E1339" s="76">
        <v>11200000</v>
      </c>
      <c r="F1339" s="77">
        <f t="shared" si="64"/>
        <v>896000</v>
      </c>
      <c r="G1339" s="96">
        <f t="shared" si="65"/>
        <v>12096000</v>
      </c>
      <c r="H1339" s="74">
        <v>12096000</v>
      </c>
      <c r="I1339" s="75">
        <f t="shared" si="66"/>
        <v>0</v>
      </c>
      <c r="J1339" s="75"/>
      <c r="K1339" s="5">
        <v>46239</v>
      </c>
      <c r="O1339" s="9"/>
      <c r="S1339" s="3"/>
    </row>
    <row r="1340" spans="1:19" ht="15" hidden="1" customHeight="1" x14ac:dyDescent="0.35">
      <c r="A1340" s="26" t="s">
        <v>2978</v>
      </c>
      <c r="B1340" s="32" t="s">
        <v>2882</v>
      </c>
      <c r="C1340" s="28"/>
      <c r="D1340" s="29" t="s">
        <v>2930</v>
      </c>
      <c r="E1340" s="76">
        <v>4760000</v>
      </c>
      <c r="F1340" s="77">
        <f t="shared" si="64"/>
        <v>380800</v>
      </c>
      <c r="G1340" s="96">
        <f t="shared" si="65"/>
        <v>5140800</v>
      </c>
      <c r="H1340" s="74">
        <v>5140800</v>
      </c>
      <c r="I1340" s="75">
        <f t="shared" si="66"/>
        <v>0</v>
      </c>
      <c r="J1340" s="75"/>
      <c r="K1340" s="5">
        <v>46239</v>
      </c>
      <c r="O1340" s="9"/>
      <c r="S1340" s="3"/>
    </row>
    <row r="1341" spans="1:19" ht="15" hidden="1" customHeight="1" x14ac:dyDescent="0.35">
      <c r="A1341" s="26" t="s">
        <v>2979</v>
      </c>
      <c r="B1341" s="32" t="s">
        <v>511</v>
      </c>
      <c r="C1341" s="28"/>
      <c r="D1341" s="29" t="s">
        <v>2930</v>
      </c>
      <c r="E1341" s="76">
        <v>9440000</v>
      </c>
      <c r="F1341" s="77">
        <f t="shared" si="64"/>
        <v>755200</v>
      </c>
      <c r="G1341" s="96">
        <f t="shared" si="65"/>
        <v>10195200</v>
      </c>
      <c r="H1341" s="74">
        <v>10195200</v>
      </c>
      <c r="I1341" s="75">
        <f t="shared" si="66"/>
        <v>0</v>
      </c>
      <c r="J1341" s="75"/>
      <c r="K1341" s="5">
        <v>46239</v>
      </c>
      <c r="O1341" s="9"/>
      <c r="S1341" s="3"/>
    </row>
    <row r="1342" spans="1:19" ht="15" hidden="1" customHeight="1" x14ac:dyDescent="0.35">
      <c r="A1342" s="26" t="s">
        <v>2980</v>
      </c>
      <c r="B1342" s="32" t="s">
        <v>2883</v>
      </c>
      <c r="C1342" s="28"/>
      <c r="D1342" s="29" t="s">
        <v>2930</v>
      </c>
      <c r="E1342" s="76">
        <v>2260000</v>
      </c>
      <c r="F1342" s="77">
        <f t="shared" si="64"/>
        <v>180800</v>
      </c>
      <c r="G1342" s="96">
        <f t="shared" si="65"/>
        <v>2440800</v>
      </c>
      <c r="H1342" s="74">
        <v>2440800</v>
      </c>
      <c r="I1342" s="75">
        <f t="shared" si="66"/>
        <v>0</v>
      </c>
      <c r="J1342" s="75"/>
      <c r="K1342" s="5">
        <v>46239</v>
      </c>
      <c r="O1342" s="9"/>
      <c r="S1342" s="3"/>
    </row>
    <row r="1343" spans="1:19" ht="15" hidden="1" customHeight="1" x14ac:dyDescent="0.35">
      <c r="A1343" s="26" t="s">
        <v>2981</v>
      </c>
      <c r="B1343" s="32" t="s">
        <v>2884</v>
      </c>
      <c r="C1343" s="28"/>
      <c r="D1343" s="29" t="s">
        <v>2930</v>
      </c>
      <c r="E1343" s="76">
        <v>7450000</v>
      </c>
      <c r="F1343" s="77">
        <f t="shared" si="64"/>
        <v>596000</v>
      </c>
      <c r="G1343" s="96">
        <f t="shared" si="65"/>
        <v>8046000</v>
      </c>
      <c r="H1343" s="74">
        <v>8046000</v>
      </c>
      <c r="I1343" s="75">
        <f t="shared" si="66"/>
        <v>0</v>
      </c>
      <c r="J1343" s="75"/>
      <c r="K1343" s="5">
        <v>46239</v>
      </c>
      <c r="O1343" s="9"/>
      <c r="S1343" s="3"/>
    </row>
    <row r="1344" spans="1:19" ht="15" hidden="1" customHeight="1" x14ac:dyDescent="0.35">
      <c r="A1344" s="26" t="s">
        <v>2982</v>
      </c>
      <c r="B1344" s="32" t="s">
        <v>2885</v>
      </c>
      <c r="C1344" s="28"/>
      <c r="D1344" s="29" t="s">
        <v>2930</v>
      </c>
      <c r="E1344" s="76">
        <v>2410000</v>
      </c>
      <c r="F1344" s="77">
        <f t="shared" si="64"/>
        <v>192800</v>
      </c>
      <c r="G1344" s="96">
        <f t="shared" si="65"/>
        <v>2602800</v>
      </c>
      <c r="H1344" s="74">
        <v>2602800</v>
      </c>
      <c r="I1344" s="75">
        <f t="shared" si="66"/>
        <v>0</v>
      </c>
      <c r="J1344" s="75"/>
      <c r="K1344" s="5">
        <v>46239</v>
      </c>
      <c r="O1344" s="9"/>
      <c r="S1344" s="3"/>
    </row>
    <row r="1345" spans="1:19" ht="15" hidden="1" customHeight="1" x14ac:dyDescent="0.35">
      <c r="A1345" s="26" t="s">
        <v>2983</v>
      </c>
      <c r="B1345" s="32" t="s">
        <v>2886</v>
      </c>
      <c r="C1345" s="28"/>
      <c r="D1345" s="29" t="s">
        <v>2930</v>
      </c>
      <c r="E1345" s="76">
        <v>3030000</v>
      </c>
      <c r="F1345" s="77">
        <f t="shared" si="64"/>
        <v>242400</v>
      </c>
      <c r="G1345" s="96">
        <f t="shared" si="65"/>
        <v>3272400</v>
      </c>
      <c r="H1345" s="74">
        <v>3272400</v>
      </c>
      <c r="I1345" s="75">
        <f t="shared" si="66"/>
        <v>0</v>
      </c>
      <c r="J1345" s="75"/>
      <c r="K1345" s="5">
        <v>46239</v>
      </c>
      <c r="O1345" s="9"/>
      <c r="S1345" s="3"/>
    </row>
    <row r="1346" spans="1:19" ht="15" hidden="1" customHeight="1" x14ac:dyDescent="0.35">
      <c r="A1346" s="26" t="s">
        <v>2984</v>
      </c>
      <c r="B1346" s="32" t="s">
        <v>2887</v>
      </c>
      <c r="C1346" s="28"/>
      <c r="D1346" s="29" t="s">
        <v>2930</v>
      </c>
      <c r="E1346" s="76">
        <v>7560000</v>
      </c>
      <c r="F1346" s="77">
        <f t="shared" si="64"/>
        <v>604800</v>
      </c>
      <c r="G1346" s="96">
        <f t="shared" si="65"/>
        <v>8164800</v>
      </c>
      <c r="H1346" s="74">
        <v>8164800</v>
      </c>
      <c r="I1346" s="75">
        <f t="shared" si="66"/>
        <v>0</v>
      </c>
      <c r="J1346" s="75"/>
      <c r="K1346" s="5">
        <v>46239</v>
      </c>
      <c r="O1346" s="9"/>
      <c r="S1346" s="3"/>
    </row>
    <row r="1347" spans="1:19" ht="15" hidden="1" customHeight="1" x14ac:dyDescent="0.35">
      <c r="A1347" s="26" t="s">
        <v>2985</v>
      </c>
      <c r="B1347" s="32" t="s">
        <v>2888</v>
      </c>
      <c r="C1347" s="28"/>
      <c r="D1347" s="29" t="s">
        <v>2930</v>
      </c>
      <c r="E1347" s="76">
        <v>3735000</v>
      </c>
      <c r="F1347" s="77">
        <f t="shared" si="64"/>
        <v>298800</v>
      </c>
      <c r="G1347" s="96">
        <f t="shared" si="65"/>
        <v>4033800</v>
      </c>
      <c r="H1347" s="74">
        <v>4033800</v>
      </c>
      <c r="I1347" s="75">
        <f t="shared" si="66"/>
        <v>0</v>
      </c>
      <c r="J1347" s="75"/>
      <c r="K1347" s="5">
        <v>46239</v>
      </c>
      <c r="O1347" s="9"/>
      <c r="S1347" s="3"/>
    </row>
    <row r="1348" spans="1:19" ht="15" hidden="1" customHeight="1" x14ac:dyDescent="0.35">
      <c r="A1348" s="26" t="s">
        <v>2986</v>
      </c>
      <c r="B1348" s="32" t="s">
        <v>2889</v>
      </c>
      <c r="C1348" s="28"/>
      <c r="D1348" s="29" t="s">
        <v>2930</v>
      </c>
      <c r="E1348" s="76">
        <v>1005000</v>
      </c>
      <c r="F1348" s="77">
        <f t="shared" si="64"/>
        <v>80400</v>
      </c>
      <c r="G1348" s="96">
        <f t="shared" si="65"/>
        <v>1085400</v>
      </c>
      <c r="H1348" s="74">
        <v>1085400</v>
      </c>
      <c r="I1348" s="75">
        <f t="shared" si="66"/>
        <v>0</v>
      </c>
      <c r="J1348" s="75"/>
      <c r="K1348" s="5">
        <v>46239</v>
      </c>
      <c r="O1348" s="9"/>
      <c r="S1348" s="3"/>
    </row>
    <row r="1349" spans="1:19" ht="15" hidden="1" customHeight="1" x14ac:dyDescent="0.35">
      <c r="A1349" s="26" t="s">
        <v>2987</v>
      </c>
      <c r="B1349" s="27" t="s">
        <v>2890</v>
      </c>
      <c r="C1349" s="28"/>
      <c r="D1349" s="29" t="s">
        <v>2930</v>
      </c>
      <c r="E1349" s="76">
        <v>8695000</v>
      </c>
      <c r="F1349" s="77">
        <f t="shared" si="64"/>
        <v>695600</v>
      </c>
      <c r="G1349" s="96">
        <f t="shared" si="65"/>
        <v>9390600</v>
      </c>
      <c r="H1349" s="74">
        <v>9390600</v>
      </c>
      <c r="I1349" s="75">
        <f t="shared" si="66"/>
        <v>0</v>
      </c>
      <c r="J1349" s="75"/>
      <c r="K1349" s="5">
        <v>46239</v>
      </c>
      <c r="O1349" s="9"/>
      <c r="S1349" s="3"/>
    </row>
    <row r="1350" spans="1:19" ht="15" hidden="1" customHeight="1" x14ac:dyDescent="0.35">
      <c r="A1350" s="26" t="s">
        <v>2988</v>
      </c>
      <c r="B1350" s="32" t="s">
        <v>2891</v>
      </c>
      <c r="C1350" s="28"/>
      <c r="D1350" s="29" t="s">
        <v>2930</v>
      </c>
      <c r="E1350" s="76">
        <v>3015000</v>
      </c>
      <c r="F1350" s="77">
        <f t="shared" si="64"/>
        <v>241200</v>
      </c>
      <c r="G1350" s="96">
        <f t="shared" si="65"/>
        <v>3256200</v>
      </c>
      <c r="H1350" s="74">
        <v>3256200</v>
      </c>
      <c r="I1350" s="75">
        <f t="shared" si="66"/>
        <v>0</v>
      </c>
      <c r="J1350" s="75"/>
      <c r="K1350" s="5">
        <v>46239</v>
      </c>
      <c r="O1350" s="9"/>
      <c r="S1350" s="3"/>
    </row>
    <row r="1351" spans="1:19" ht="15" hidden="1" customHeight="1" x14ac:dyDescent="0.35">
      <c r="A1351" s="26" t="s">
        <v>2989</v>
      </c>
      <c r="B1351" s="32" t="s">
        <v>2892</v>
      </c>
      <c r="C1351" s="28"/>
      <c r="D1351" s="29" t="s">
        <v>2930</v>
      </c>
      <c r="E1351" s="76">
        <v>5680000</v>
      </c>
      <c r="F1351" s="77">
        <f t="shared" si="64"/>
        <v>454400</v>
      </c>
      <c r="G1351" s="96">
        <f t="shared" si="65"/>
        <v>6134400</v>
      </c>
      <c r="H1351" s="74">
        <v>6134400</v>
      </c>
      <c r="I1351" s="75">
        <f t="shared" si="66"/>
        <v>0</v>
      </c>
      <c r="J1351" s="75"/>
      <c r="K1351" s="5">
        <v>46239</v>
      </c>
      <c r="O1351" s="9"/>
      <c r="S1351" s="3"/>
    </row>
    <row r="1352" spans="1:19" ht="15" hidden="1" customHeight="1" x14ac:dyDescent="0.35">
      <c r="A1352" s="26" t="s">
        <v>2990</v>
      </c>
      <c r="B1352" s="32" t="s">
        <v>2893</v>
      </c>
      <c r="C1352" s="28"/>
      <c r="D1352" s="29" t="s">
        <v>2930</v>
      </c>
      <c r="E1352" s="76">
        <v>8585000</v>
      </c>
      <c r="F1352" s="77">
        <f t="shared" si="64"/>
        <v>686800</v>
      </c>
      <c r="G1352" s="96">
        <f t="shared" si="65"/>
        <v>9271800</v>
      </c>
      <c r="H1352" s="74">
        <v>9271800</v>
      </c>
      <c r="I1352" s="75">
        <f t="shared" si="66"/>
        <v>0</v>
      </c>
      <c r="J1352" s="75"/>
      <c r="K1352" s="5">
        <v>46239</v>
      </c>
      <c r="O1352" s="9"/>
      <c r="S1352" s="3"/>
    </row>
    <row r="1353" spans="1:19" ht="15" hidden="1" customHeight="1" x14ac:dyDescent="0.35">
      <c r="A1353" s="26" t="s">
        <v>2991</v>
      </c>
      <c r="B1353" s="32" t="s">
        <v>2894</v>
      </c>
      <c r="C1353" s="28">
        <v>5246</v>
      </c>
      <c r="D1353" s="29">
        <v>46200</v>
      </c>
      <c r="E1353" s="76">
        <v>5834000</v>
      </c>
      <c r="F1353" s="77">
        <f t="shared" si="64"/>
        <v>466720</v>
      </c>
      <c r="G1353" s="96">
        <f t="shared" si="65"/>
        <v>6300720</v>
      </c>
      <c r="H1353" s="74">
        <v>6300720</v>
      </c>
      <c r="I1353" s="75">
        <f t="shared" si="66"/>
        <v>0</v>
      </c>
      <c r="J1353" s="75"/>
      <c r="K1353" s="5">
        <v>46249</v>
      </c>
      <c r="O1353" s="9"/>
      <c r="S1353" s="3"/>
    </row>
    <row r="1354" spans="1:19" ht="15" hidden="1" customHeight="1" x14ac:dyDescent="0.35">
      <c r="A1354" s="26" t="s">
        <v>2992</v>
      </c>
      <c r="B1354" s="32" t="s">
        <v>2895</v>
      </c>
      <c r="C1354" s="28"/>
      <c r="D1354" s="29" t="s">
        <v>2930</v>
      </c>
      <c r="E1354" s="76">
        <v>7395000</v>
      </c>
      <c r="F1354" s="77">
        <f t="shared" si="64"/>
        <v>591600</v>
      </c>
      <c r="G1354" s="96">
        <f t="shared" si="65"/>
        <v>7986600</v>
      </c>
      <c r="H1354" s="74">
        <v>7986600</v>
      </c>
      <c r="I1354" s="75">
        <f t="shared" si="66"/>
        <v>0</v>
      </c>
      <c r="J1354" s="75"/>
      <c r="K1354" s="5">
        <v>46239</v>
      </c>
      <c r="O1354" s="9"/>
      <c r="S1354" s="3"/>
    </row>
    <row r="1355" spans="1:19" ht="15" hidden="1" customHeight="1" x14ac:dyDescent="0.35">
      <c r="A1355" s="26" t="s">
        <v>2993</v>
      </c>
      <c r="B1355" s="32" t="s">
        <v>2896</v>
      </c>
      <c r="C1355" s="28">
        <v>5304</v>
      </c>
      <c r="D1355" s="29">
        <v>46202</v>
      </c>
      <c r="E1355" s="76">
        <v>11049500</v>
      </c>
      <c r="F1355" s="77">
        <f t="shared" si="64"/>
        <v>883960</v>
      </c>
      <c r="G1355" s="96">
        <f t="shared" si="65"/>
        <v>11933460</v>
      </c>
      <c r="H1355" s="74">
        <v>11933460</v>
      </c>
      <c r="I1355" s="75">
        <f t="shared" si="66"/>
        <v>0</v>
      </c>
      <c r="J1355" s="75"/>
      <c r="K1355" s="5">
        <v>46249</v>
      </c>
      <c r="O1355" s="9"/>
      <c r="S1355" s="3"/>
    </row>
    <row r="1356" spans="1:19" ht="15" hidden="1" customHeight="1" x14ac:dyDescent="0.35">
      <c r="A1356" s="26" t="s">
        <v>2994</v>
      </c>
      <c r="B1356" s="32" t="s">
        <v>2897</v>
      </c>
      <c r="C1356" s="28"/>
      <c r="D1356" s="29" t="s">
        <v>2930</v>
      </c>
      <c r="E1356" s="76">
        <v>2850000</v>
      </c>
      <c r="F1356" s="77">
        <f t="shared" si="64"/>
        <v>228000</v>
      </c>
      <c r="G1356" s="96">
        <f t="shared" si="65"/>
        <v>3078000</v>
      </c>
      <c r="H1356" s="74">
        <v>3078000</v>
      </c>
      <c r="I1356" s="75">
        <f t="shared" si="66"/>
        <v>0</v>
      </c>
      <c r="J1356" s="75"/>
      <c r="K1356" s="5">
        <v>46239</v>
      </c>
      <c r="O1356" s="9"/>
      <c r="S1356" s="3"/>
    </row>
    <row r="1357" spans="1:19" ht="15" hidden="1" customHeight="1" x14ac:dyDescent="0.35">
      <c r="A1357" s="26" t="s">
        <v>2995</v>
      </c>
      <c r="B1357" s="32" t="s">
        <v>2898</v>
      </c>
      <c r="C1357" s="28"/>
      <c r="D1357" s="29" t="s">
        <v>2930</v>
      </c>
      <c r="E1357" s="76">
        <v>5575000</v>
      </c>
      <c r="F1357" s="77">
        <f t="shared" si="64"/>
        <v>446000</v>
      </c>
      <c r="G1357" s="96">
        <f t="shared" si="65"/>
        <v>6021000</v>
      </c>
      <c r="H1357" s="74">
        <v>6021000</v>
      </c>
      <c r="I1357" s="75">
        <f t="shared" si="66"/>
        <v>0</v>
      </c>
      <c r="J1357" s="75"/>
      <c r="K1357" s="5">
        <v>46239</v>
      </c>
      <c r="O1357" s="9"/>
      <c r="S1357" s="3"/>
    </row>
    <row r="1358" spans="1:19" ht="15" hidden="1" customHeight="1" x14ac:dyDescent="0.35">
      <c r="A1358" s="26" t="s">
        <v>2996</v>
      </c>
      <c r="B1358" s="32" t="s">
        <v>2899</v>
      </c>
      <c r="C1358" s="28"/>
      <c r="D1358" s="29" t="s">
        <v>2930</v>
      </c>
      <c r="E1358" s="76">
        <v>27100000</v>
      </c>
      <c r="F1358" s="77">
        <f t="shared" si="64"/>
        <v>2168000</v>
      </c>
      <c r="G1358" s="96">
        <f t="shared" si="65"/>
        <v>29268000</v>
      </c>
      <c r="H1358" s="74">
        <v>29268000</v>
      </c>
      <c r="I1358" s="75">
        <f t="shared" si="66"/>
        <v>0</v>
      </c>
      <c r="J1358" s="75"/>
      <c r="K1358" s="5">
        <v>46239</v>
      </c>
      <c r="O1358" s="9"/>
      <c r="S1358" s="3"/>
    </row>
    <row r="1359" spans="1:19" ht="15" hidden="1" customHeight="1" x14ac:dyDescent="0.35">
      <c r="A1359" s="26" t="s">
        <v>2997</v>
      </c>
      <c r="B1359" s="32" t="s">
        <v>2900</v>
      </c>
      <c r="C1359" s="28"/>
      <c r="D1359" s="29" t="s">
        <v>2931</v>
      </c>
      <c r="E1359" s="76">
        <v>12960000</v>
      </c>
      <c r="F1359" s="77">
        <f t="shared" si="64"/>
        <v>1036800</v>
      </c>
      <c r="G1359" s="96">
        <f t="shared" si="65"/>
        <v>13996800</v>
      </c>
      <c r="H1359" s="74">
        <v>13996800</v>
      </c>
      <c r="I1359" s="75">
        <f t="shared" si="66"/>
        <v>0</v>
      </c>
      <c r="J1359" s="75"/>
      <c r="K1359" s="5">
        <v>46249</v>
      </c>
      <c r="O1359" s="9"/>
      <c r="S1359" s="3"/>
    </row>
    <row r="1360" spans="1:19" ht="15" hidden="1" customHeight="1" x14ac:dyDescent="0.35">
      <c r="A1360" s="26" t="s">
        <v>2998</v>
      </c>
      <c r="B1360" s="32" t="s">
        <v>2901</v>
      </c>
      <c r="C1360" s="28"/>
      <c r="D1360" s="29" t="s">
        <v>2931</v>
      </c>
      <c r="E1360" s="76">
        <v>1972800</v>
      </c>
      <c r="F1360" s="77">
        <f t="shared" si="64"/>
        <v>157824</v>
      </c>
      <c r="G1360" s="96">
        <f t="shared" si="65"/>
        <v>2130624</v>
      </c>
      <c r="H1360" s="74">
        <v>2130624</v>
      </c>
      <c r="I1360" s="75">
        <f t="shared" si="66"/>
        <v>0</v>
      </c>
      <c r="J1360" s="75"/>
      <c r="L1360" s="5">
        <v>46239</v>
      </c>
      <c r="O1360" s="9"/>
      <c r="S1360" s="3"/>
    </row>
    <row r="1361" spans="1:19" ht="15" hidden="1" customHeight="1" x14ac:dyDescent="0.35">
      <c r="A1361" s="26" t="s">
        <v>2999</v>
      </c>
      <c r="B1361" s="32" t="s">
        <v>512</v>
      </c>
      <c r="C1361" s="28"/>
      <c r="D1361" s="29" t="s">
        <v>2932</v>
      </c>
      <c r="E1361" s="76">
        <v>840000</v>
      </c>
      <c r="F1361" s="77">
        <f t="shared" si="64"/>
        <v>67200</v>
      </c>
      <c r="G1361" s="96">
        <f t="shared" si="65"/>
        <v>907200</v>
      </c>
      <c r="H1361" s="74">
        <v>907200</v>
      </c>
      <c r="I1361" s="75">
        <f t="shared" si="66"/>
        <v>0</v>
      </c>
      <c r="J1361" s="75"/>
      <c r="L1361" s="5">
        <v>46239</v>
      </c>
      <c r="O1361" s="9"/>
      <c r="S1361" s="3"/>
    </row>
    <row r="1362" spans="1:19" ht="15" hidden="1" customHeight="1" x14ac:dyDescent="0.35">
      <c r="A1362" s="26" t="s">
        <v>3000</v>
      </c>
      <c r="B1362" s="32" t="s">
        <v>513</v>
      </c>
      <c r="C1362" s="28"/>
      <c r="D1362" s="29" t="s">
        <v>2932</v>
      </c>
      <c r="E1362" s="76">
        <v>840000</v>
      </c>
      <c r="F1362" s="77">
        <f t="shared" si="64"/>
        <v>67200</v>
      </c>
      <c r="G1362" s="96">
        <f t="shared" si="65"/>
        <v>907200</v>
      </c>
      <c r="H1362" s="74">
        <v>907200</v>
      </c>
      <c r="I1362" s="75">
        <f t="shared" si="66"/>
        <v>0</v>
      </c>
      <c r="J1362" s="75"/>
      <c r="L1362" s="5">
        <v>46239</v>
      </c>
      <c r="O1362" s="9"/>
      <c r="S1362" s="3"/>
    </row>
    <row r="1363" spans="1:19" ht="15" hidden="1" customHeight="1" x14ac:dyDescent="0.35">
      <c r="A1363" s="26" t="s">
        <v>3001</v>
      </c>
      <c r="B1363" s="32" t="s">
        <v>514</v>
      </c>
      <c r="C1363" s="28"/>
      <c r="D1363" s="29" t="s">
        <v>2932</v>
      </c>
      <c r="E1363" s="76">
        <v>840000</v>
      </c>
      <c r="F1363" s="77">
        <f t="shared" si="64"/>
        <v>67200</v>
      </c>
      <c r="G1363" s="96">
        <f t="shared" si="65"/>
        <v>907200</v>
      </c>
      <c r="H1363" s="74">
        <v>907200</v>
      </c>
      <c r="I1363" s="75">
        <f t="shared" si="66"/>
        <v>0</v>
      </c>
      <c r="J1363" s="75"/>
      <c r="L1363" s="5">
        <v>46239</v>
      </c>
      <c r="O1363" s="9"/>
      <c r="S1363" s="3"/>
    </row>
    <row r="1364" spans="1:19" ht="15" hidden="1" customHeight="1" x14ac:dyDescent="0.35">
      <c r="A1364" s="26" t="s">
        <v>3002</v>
      </c>
      <c r="B1364" s="32" t="s">
        <v>515</v>
      </c>
      <c r="C1364" s="28"/>
      <c r="D1364" s="29" t="s">
        <v>2933</v>
      </c>
      <c r="E1364" s="76">
        <v>1972800</v>
      </c>
      <c r="F1364" s="77">
        <f t="shared" si="64"/>
        <v>157824</v>
      </c>
      <c r="G1364" s="96">
        <f t="shared" si="65"/>
        <v>2130624</v>
      </c>
      <c r="H1364" s="74">
        <v>2130624</v>
      </c>
      <c r="I1364" s="75">
        <f t="shared" si="66"/>
        <v>0</v>
      </c>
      <c r="J1364" s="75"/>
      <c r="L1364" s="5">
        <v>46239</v>
      </c>
      <c r="O1364" s="9"/>
      <c r="S1364" s="3"/>
    </row>
    <row r="1365" spans="1:19" ht="15" hidden="1" customHeight="1" x14ac:dyDescent="0.35">
      <c r="A1365" s="26" t="s">
        <v>3003</v>
      </c>
      <c r="B1365" s="32" t="s">
        <v>2902</v>
      </c>
      <c r="C1365" s="28"/>
      <c r="D1365" s="29" t="s">
        <v>2933</v>
      </c>
      <c r="E1365" s="76">
        <v>3398400</v>
      </c>
      <c r="F1365" s="77">
        <f t="shared" si="64"/>
        <v>271872</v>
      </c>
      <c r="G1365" s="96">
        <f t="shared" si="65"/>
        <v>3670272</v>
      </c>
      <c r="H1365" s="74">
        <v>3670272</v>
      </c>
      <c r="I1365" s="75">
        <f t="shared" si="66"/>
        <v>0</v>
      </c>
      <c r="J1365" s="75"/>
      <c r="L1365" s="5">
        <v>46239</v>
      </c>
      <c r="O1365" s="9"/>
      <c r="S1365" s="3"/>
    </row>
    <row r="1366" spans="1:19" ht="15" hidden="1" customHeight="1" x14ac:dyDescent="0.35">
      <c r="A1366" s="26" t="s">
        <v>3004</v>
      </c>
      <c r="B1366" s="32" t="s">
        <v>2903</v>
      </c>
      <c r="C1366" s="28"/>
      <c r="D1366" s="29" t="s">
        <v>2933</v>
      </c>
      <c r="E1366" s="76">
        <v>2812800</v>
      </c>
      <c r="F1366" s="77">
        <f t="shared" si="64"/>
        <v>225024</v>
      </c>
      <c r="G1366" s="96">
        <f t="shared" si="65"/>
        <v>3037824</v>
      </c>
      <c r="H1366" s="74">
        <v>3037824</v>
      </c>
      <c r="I1366" s="75">
        <f t="shared" si="66"/>
        <v>0</v>
      </c>
      <c r="J1366" s="75"/>
      <c r="L1366" s="5">
        <v>46239</v>
      </c>
      <c r="O1366" s="9"/>
      <c r="S1366" s="3"/>
    </row>
    <row r="1367" spans="1:19" ht="15" hidden="1" customHeight="1" x14ac:dyDescent="0.35">
      <c r="A1367" s="26" t="s">
        <v>3005</v>
      </c>
      <c r="B1367" s="32" t="s">
        <v>516</v>
      </c>
      <c r="C1367" s="28">
        <v>5659</v>
      </c>
      <c r="D1367" s="29">
        <v>46209</v>
      </c>
      <c r="E1367" s="76">
        <v>4947200</v>
      </c>
      <c r="F1367" s="77">
        <f t="shared" si="64"/>
        <v>395776</v>
      </c>
      <c r="G1367" s="96">
        <f t="shared" si="65"/>
        <v>5342976</v>
      </c>
      <c r="H1367" s="74">
        <v>5342976</v>
      </c>
      <c r="I1367" s="75">
        <f t="shared" si="66"/>
        <v>0</v>
      </c>
      <c r="J1367" s="75"/>
      <c r="L1367" s="5">
        <v>46239</v>
      </c>
      <c r="O1367" s="9"/>
      <c r="S1367" s="3"/>
    </row>
    <row r="1368" spans="1:19" ht="15" hidden="1" customHeight="1" x14ac:dyDescent="0.35">
      <c r="A1368" s="26" t="s">
        <v>3006</v>
      </c>
      <c r="B1368" s="32" t="s">
        <v>2904</v>
      </c>
      <c r="C1368" s="28"/>
      <c r="D1368" s="29" t="s">
        <v>2933</v>
      </c>
      <c r="E1368" s="76">
        <v>840000</v>
      </c>
      <c r="F1368" s="77">
        <f t="shared" si="64"/>
        <v>67200</v>
      </c>
      <c r="G1368" s="96">
        <f t="shared" si="65"/>
        <v>907200</v>
      </c>
      <c r="H1368" s="74">
        <v>907200</v>
      </c>
      <c r="I1368" s="75">
        <f t="shared" si="66"/>
        <v>0</v>
      </c>
      <c r="J1368" s="75"/>
      <c r="L1368" s="5">
        <v>46239</v>
      </c>
      <c r="O1368" s="9"/>
      <c r="S1368" s="3"/>
    </row>
    <row r="1369" spans="1:19" ht="15" hidden="1" customHeight="1" x14ac:dyDescent="0.35">
      <c r="A1369" s="26" t="s">
        <v>3007</v>
      </c>
      <c r="B1369" s="32" t="s">
        <v>2905</v>
      </c>
      <c r="C1369" s="28"/>
      <c r="D1369" s="29" t="s">
        <v>2933</v>
      </c>
      <c r="E1369" s="76">
        <v>1972800</v>
      </c>
      <c r="F1369" s="77">
        <f t="shared" si="64"/>
        <v>157824</v>
      </c>
      <c r="G1369" s="96">
        <f t="shared" si="65"/>
        <v>2130624</v>
      </c>
      <c r="H1369" s="74">
        <v>2130624</v>
      </c>
      <c r="I1369" s="75">
        <f t="shared" si="66"/>
        <v>0</v>
      </c>
      <c r="J1369" s="75"/>
      <c r="L1369" s="5">
        <v>46239</v>
      </c>
      <c r="O1369" s="9"/>
      <c r="S1369" s="3"/>
    </row>
    <row r="1370" spans="1:19" ht="15" hidden="1" customHeight="1" x14ac:dyDescent="0.35">
      <c r="A1370" s="26" t="s">
        <v>3008</v>
      </c>
      <c r="B1370" s="32" t="s">
        <v>2906</v>
      </c>
      <c r="C1370" s="28"/>
      <c r="D1370" s="29" t="s">
        <v>2933</v>
      </c>
      <c r="E1370" s="76">
        <v>840000</v>
      </c>
      <c r="F1370" s="77">
        <f t="shared" si="64"/>
        <v>67200</v>
      </c>
      <c r="G1370" s="96">
        <f t="shared" si="65"/>
        <v>907200</v>
      </c>
      <c r="H1370" s="74">
        <v>907200</v>
      </c>
      <c r="I1370" s="75">
        <f t="shared" si="66"/>
        <v>0</v>
      </c>
      <c r="J1370" s="75"/>
      <c r="L1370" s="5">
        <v>46239</v>
      </c>
      <c r="O1370" s="9"/>
      <c r="S1370" s="3"/>
    </row>
    <row r="1371" spans="1:19" ht="15" hidden="1" customHeight="1" x14ac:dyDescent="0.35">
      <c r="A1371" s="26" t="s">
        <v>3009</v>
      </c>
      <c r="B1371" s="32" t="s">
        <v>2907</v>
      </c>
      <c r="C1371" s="28"/>
      <c r="D1371" s="29" t="s">
        <v>2933</v>
      </c>
      <c r="E1371" s="76">
        <v>840000</v>
      </c>
      <c r="F1371" s="77">
        <f t="shared" si="64"/>
        <v>67200</v>
      </c>
      <c r="G1371" s="96">
        <f t="shared" si="65"/>
        <v>907200</v>
      </c>
      <c r="H1371" s="74">
        <v>907200</v>
      </c>
      <c r="I1371" s="75">
        <f t="shared" si="66"/>
        <v>0</v>
      </c>
      <c r="J1371" s="75"/>
      <c r="L1371" s="5">
        <v>46239</v>
      </c>
      <c r="O1371" s="9"/>
      <c r="S1371" s="3"/>
    </row>
    <row r="1372" spans="1:19" ht="15" hidden="1" customHeight="1" x14ac:dyDescent="0.35">
      <c r="A1372" s="26" t="s">
        <v>3010</v>
      </c>
      <c r="B1372" s="32" t="s">
        <v>2908</v>
      </c>
      <c r="C1372" s="28"/>
      <c r="D1372" s="29" t="s">
        <v>2933</v>
      </c>
      <c r="E1372" s="76">
        <v>2265600</v>
      </c>
      <c r="F1372" s="77">
        <f t="shared" ref="F1372:F1435" si="67">+E1372*0.08</f>
        <v>181248</v>
      </c>
      <c r="G1372" s="96">
        <f t="shared" ref="G1372:G1435" si="68">+F1372+E1372</f>
        <v>2446848</v>
      </c>
      <c r="H1372" s="74">
        <v>2446848</v>
      </c>
      <c r="I1372" s="75">
        <f t="shared" ref="I1372:I1435" si="69">G1372-H1372</f>
        <v>0</v>
      </c>
      <c r="J1372" s="75"/>
      <c r="L1372" s="5">
        <v>46239</v>
      </c>
      <c r="O1372" s="9"/>
      <c r="S1372" s="3"/>
    </row>
    <row r="1373" spans="1:19" ht="15" hidden="1" customHeight="1" x14ac:dyDescent="0.35">
      <c r="A1373" s="26" t="s">
        <v>3011</v>
      </c>
      <c r="B1373" s="32" t="s">
        <v>2909</v>
      </c>
      <c r="C1373" s="28"/>
      <c r="D1373" s="29" t="s">
        <v>2933</v>
      </c>
      <c r="E1373" s="76">
        <v>840000</v>
      </c>
      <c r="F1373" s="77">
        <f t="shared" si="67"/>
        <v>67200</v>
      </c>
      <c r="G1373" s="96">
        <f t="shared" si="68"/>
        <v>907200</v>
      </c>
      <c r="H1373" s="74">
        <v>907200</v>
      </c>
      <c r="I1373" s="75">
        <f t="shared" si="69"/>
        <v>0</v>
      </c>
      <c r="J1373" s="75"/>
      <c r="L1373" s="5">
        <v>46239</v>
      </c>
      <c r="O1373" s="9"/>
      <c r="S1373" s="3"/>
    </row>
    <row r="1374" spans="1:19" ht="15" hidden="1" customHeight="1" x14ac:dyDescent="0.35">
      <c r="A1374" s="26" t="s">
        <v>3012</v>
      </c>
      <c r="B1374" s="32" t="s">
        <v>2910</v>
      </c>
      <c r="C1374" s="28"/>
      <c r="D1374" s="29" t="s">
        <v>2933</v>
      </c>
      <c r="E1374" s="76">
        <v>840000</v>
      </c>
      <c r="F1374" s="77">
        <f t="shared" si="67"/>
        <v>67200</v>
      </c>
      <c r="G1374" s="96">
        <f t="shared" si="68"/>
        <v>907200</v>
      </c>
      <c r="H1374" s="74">
        <v>907200</v>
      </c>
      <c r="I1374" s="75">
        <f t="shared" si="69"/>
        <v>0</v>
      </c>
      <c r="J1374" s="75"/>
      <c r="L1374" s="5">
        <v>46239</v>
      </c>
      <c r="O1374" s="9"/>
      <c r="S1374" s="3"/>
    </row>
    <row r="1375" spans="1:19" ht="15" hidden="1" customHeight="1" x14ac:dyDescent="0.35">
      <c r="A1375" s="26" t="s">
        <v>3013</v>
      </c>
      <c r="B1375" s="32" t="s">
        <v>2911</v>
      </c>
      <c r="C1375" s="28"/>
      <c r="D1375" s="29" t="s">
        <v>2934</v>
      </c>
      <c r="E1375" s="76">
        <v>840000</v>
      </c>
      <c r="F1375" s="77">
        <f t="shared" si="67"/>
        <v>67200</v>
      </c>
      <c r="G1375" s="96">
        <f t="shared" si="68"/>
        <v>907200</v>
      </c>
      <c r="H1375" s="74">
        <v>907200</v>
      </c>
      <c r="I1375" s="75">
        <f t="shared" si="69"/>
        <v>0</v>
      </c>
      <c r="J1375" s="75"/>
      <c r="L1375" s="5">
        <v>46239</v>
      </c>
      <c r="O1375" s="9"/>
      <c r="S1375" s="3"/>
    </row>
    <row r="1376" spans="1:19" ht="15" hidden="1" customHeight="1" x14ac:dyDescent="0.35">
      <c r="A1376" s="26" t="s">
        <v>3014</v>
      </c>
      <c r="B1376" s="32" t="s">
        <v>2912</v>
      </c>
      <c r="C1376" s="28"/>
      <c r="D1376" s="29" t="s">
        <v>2934</v>
      </c>
      <c r="E1376" s="76">
        <v>6995000</v>
      </c>
      <c r="F1376" s="77">
        <f t="shared" si="67"/>
        <v>559600</v>
      </c>
      <c r="G1376" s="96">
        <f t="shared" si="68"/>
        <v>7554600</v>
      </c>
      <c r="H1376" s="74">
        <v>7554600</v>
      </c>
      <c r="I1376" s="75">
        <f t="shared" si="69"/>
        <v>0</v>
      </c>
      <c r="J1376" s="75"/>
      <c r="K1376" s="5">
        <v>46249</v>
      </c>
      <c r="O1376" s="9"/>
      <c r="S1376" s="3"/>
    </row>
    <row r="1377" spans="1:19" ht="15" hidden="1" customHeight="1" x14ac:dyDescent="0.35">
      <c r="A1377" s="26" t="s">
        <v>3015</v>
      </c>
      <c r="B1377" s="32" t="s">
        <v>2913</v>
      </c>
      <c r="C1377" s="28"/>
      <c r="D1377" s="29" t="s">
        <v>2935</v>
      </c>
      <c r="E1377" s="76">
        <v>3045000</v>
      </c>
      <c r="F1377" s="77">
        <f t="shared" si="67"/>
        <v>243600</v>
      </c>
      <c r="G1377" s="96">
        <f t="shared" si="68"/>
        <v>3288600</v>
      </c>
      <c r="H1377" s="74">
        <v>3288600</v>
      </c>
      <c r="I1377" s="75">
        <f t="shared" si="69"/>
        <v>0</v>
      </c>
      <c r="J1377" s="75"/>
      <c r="K1377" s="5">
        <v>46249</v>
      </c>
      <c r="O1377" s="9"/>
      <c r="S1377" s="3"/>
    </row>
    <row r="1378" spans="1:19" ht="15" hidden="1" customHeight="1" x14ac:dyDescent="0.35">
      <c r="A1378" s="26" t="s">
        <v>3016</v>
      </c>
      <c r="B1378" s="32" t="s">
        <v>517</v>
      </c>
      <c r="C1378" s="28"/>
      <c r="D1378" s="29" t="s">
        <v>2935</v>
      </c>
      <c r="E1378" s="76">
        <v>1005000</v>
      </c>
      <c r="F1378" s="77">
        <f t="shared" si="67"/>
        <v>80400</v>
      </c>
      <c r="G1378" s="96">
        <f t="shared" si="68"/>
        <v>1085400</v>
      </c>
      <c r="H1378" s="74">
        <v>1085400</v>
      </c>
      <c r="I1378" s="75">
        <f t="shared" si="69"/>
        <v>0</v>
      </c>
      <c r="J1378" s="75"/>
      <c r="K1378" s="5">
        <v>46249</v>
      </c>
      <c r="O1378" s="9"/>
      <c r="S1378" s="3"/>
    </row>
    <row r="1379" spans="1:19" ht="15" hidden="1" customHeight="1" x14ac:dyDescent="0.35">
      <c r="A1379" s="26" t="s">
        <v>3017</v>
      </c>
      <c r="B1379" s="32" t="s">
        <v>518</v>
      </c>
      <c r="C1379" s="28"/>
      <c r="D1379" s="29" t="s">
        <v>2935</v>
      </c>
      <c r="E1379" s="76">
        <v>9335000</v>
      </c>
      <c r="F1379" s="77">
        <f t="shared" si="67"/>
        <v>746800</v>
      </c>
      <c r="G1379" s="96">
        <f t="shared" si="68"/>
        <v>10081800</v>
      </c>
      <c r="H1379" s="74">
        <v>10081800</v>
      </c>
      <c r="I1379" s="75">
        <f t="shared" si="69"/>
        <v>0</v>
      </c>
      <c r="J1379" s="75"/>
      <c r="K1379" s="5">
        <v>46249</v>
      </c>
      <c r="O1379" s="9"/>
      <c r="S1379" s="3"/>
    </row>
    <row r="1380" spans="1:19" ht="15" hidden="1" customHeight="1" x14ac:dyDescent="0.35">
      <c r="A1380" s="26" t="s">
        <v>3018</v>
      </c>
      <c r="B1380" s="32" t="s">
        <v>519</v>
      </c>
      <c r="C1380" s="28"/>
      <c r="D1380" s="29" t="s">
        <v>2935</v>
      </c>
      <c r="E1380" s="76">
        <v>2940000</v>
      </c>
      <c r="F1380" s="77">
        <f t="shared" si="67"/>
        <v>235200</v>
      </c>
      <c r="G1380" s="96">
        <f t="shared" si="68"/>
        <v>3175200</v>
      </c>
      <c r="H1380" s="74">
        <v>3175200</v>
      </c>
      <c r="I1380" s="75">
        <f t="shared" si="69"/>
        <v>0</v>
      </c>
      <c r="J1380" s="75"/>
      <c r="K1380" s="5">
        <v>46249</v>
      </c>
      <c r="O1380" s="9"/>
      <c r="S1380" s="3"/>
    </row>
    <row r="1381" spans="1:19" ht="15" hidden="1" customHeight="1" x14ac:dyDescent="0.35">
      <c r="A1381" s="26" t="s">
        <v>3019</v>
      </c>
      <c r="B1381" s="32" t="s">
        <v>520</v>
      </c>
      <c r="C1381" s="28"/>
      <c r="D1381" s="29" t="s">
        <v>2935</v>
      </c>
      <c r="E1381" s="76">
        <v>1005000</v>
      </c>
      <c r="F1381" s="77">
        <f t="shared" si="67"/>
        <v>80400</v>
      </c>
      <c r="G1381" s="96">
        <f t="shared" si="68"/>
        <v>1085400</v>
      </c>
      <c r="H1381" s="74">
        <v>1085400</v>
      </c>
      <c r="I1381" s="75">
        <f t="shared" si="69"/>
        <v>0</v>
      </c>
      <c r="J1381" s="75"/>
      <c r="K1381" s="5">
        <v>46249</v>
      </c>
      <c r="O1381" s="9"/>
      <c r="S1381" s="3"/>
    </row>
    <row r="1382" spans="1:19" ht="15" hidden="1" customHeight="1" x14ac:dyDescent="0.35">
      <c r="A1382" s="26" t="s">
        <v>3020</v>
      </c>
      <c r="B1382" s="27" t="s">
        <v>521</v>
      </c>
      <c r="C1382" s="28"/>
      <c r="D1382" s="29" t="s">
        <v>2935</v>
      </c>
      <c r="E1382" s="76">
        <v>1850000</v>
      </c>
      <c r="F1382" s="77">
        <f t="shared" si="67"/>
        <v>148000</v>
      </c>
      <c r="G1382" s="96">
        <f t="shared" si="68"/>
        <v>1998000</v>
      </c>
      <c r="H1382" s="74">
        <v>1998000</v>
      </c>
      <c r="I1382" s="75">
        <f t="shared" si="69"/>
        <v>0</v>
      </c>
      <c r="J1382" s="75"/>
      <c r="K1382" s="5">
        <v>46249</v>
      </c>
      <c r="O1382" s="9"/>
      <c r="S1382" s="3"/>
    </row>
    <row r="1383" spans="1:19" ht="15" hidden="1" customHeight="1" x14ac:dyDescent="0.35">
      <c r="A1383" s="26" t="s">
        <v>3021</v>
      </c>
      <c r="B1383" s="32" t="s">
        <v>2914</v>
      </c>
      <c r="C1383" s="28"/>
      <c r="D1383" s="29" t="s">
        <v>2935</v>
      </c>
      <c r="E1383" s="76">
        <v>5085000</v>
      </c>
      <c r="F1383" s="77">
        <f t="shared" si="67"/>
        <v>406800</v>
      </c>
      <c r="G1383" s="96">
        <f t="shared" si="68"/>
        <v>5491800</v>
      </c>
      <c r="H1383" s="74">
        <v>5491800</v>
      </c>
      <c r="I1383" s="75">
        <f t="shared" si="69"/>
        <v>0</v>
      </c>
      <c r="J1383" s="75"/>
      <c r="K1383" s="5">
        <v>46249</v>
      </c>
      <c r="O1383" s="9"/>
      <c r="S1383" s="3"/>
    </row>
    <row r="1384" spans="1:19" ht="15" hidden="1" customHeight="1" x14ac:dyDescent="0.35">
      <c r="A1384" s="26" t="s">
        <v>3022</v>
      </c>
      <c r="B1384" s="32" t="s">
        <v>2915</v>
      </c>
      <c r="C1384" s="28"/>
      <c r="D1384" s="29" t="s">
        <v>2935</v>
      </c>
      <c r="E1384" s="76">
        <v>1755000</v>
      </c>
      <c r="F1384" s="77">
        <f t="shared" si="67"/>
        <v>140400</v>
      </c>
      <c r="G1384" s="96">
        <f t="shared" si="68"/>
        <v>1895400</v>
      </c>
      <c r="H1384" s="74">
        <v>1895400</v>
      </c>
      <c r="I1384" s="75">
        <f t="shared" si="69"/>
        <v>0</v>
      </c>
      <c r="J1384" s="75"/>
      <c r="K1384" s="5">
        <v>46249</v>
      </c>
      <c r="O1384" s="9"/>
      <c r="S1384" s="3"/>
    </row>
    <row r="1385" spans="1:19" ht="15" customHeight="1" x14ac:dyDescent="0.35">
      <c r="A1385" s="26" t="s">
        <v>3023</v>
      </c>
      <c r="B1385" s="32" t="s">
        <v>522</v>
      </c>
      <c r="C1385" s="28">
        <v>5753</v>
      </c>
      <c r="D1385" s="29">
        <v>46210</v>
      </c>
      <c r="E1385" s="76">
        <v>8607000</v>
      </c>
      <c r="F1385" s="77">
        <f t="shared" si="67"/>
        <v>688560</v>
      </c>
      <c r="G1385" s="96">
        <f t="shared" si="68"/>
        <v>9295560</v>
      </c>
      <c r="H1385" s="74"/>
      <c r="I1385" s="75">
        <f t="shared" si="69"/>
        <v>9295560</v>
      </c>
      <c r="J1385" s="75"/>
      <c r="O1385" s="9"/>
      <c r="S1385" s="3"/>
    </row>
    <row r="1386" spans="1:19" ht="15" hidden="1" customHeight="1" x14ac:dyDescent="0.35">
      <c r="A1386" s="26" t="s">
        <v>3024</v>
      </c>
      <c r="B1386" s="32" t="s">
        <v>523</v>
      </c>
      <c r="C1386" s="28"/>
      <c r="D1386" s="29" t="s">
        <v>2935</v>
      </c>
      <c r="E1386" s="76">
        <v>1005000</v>
      </c>
      <c r="F1386" s="77">
        <f t="shared" si="67"/>
        <v>80400</v>
      </c>
      <c r="G1386" s="96">
        <f t="shared" si="68"/>
        <v>1085400</v>
      </c>
      <c r="H1386" s="74">
        <v>1085400</v>
      </c>
      <c r="I1386" s="75">
        <f t="shared" si="69"/>
        <v>0</v>
      </c>
      <c r="J1386" s="75"/>
      <c r="K1386" s="5">
        <v>46249</v>
      </c>
      <c r="O1386" s="9"/>
      <c r="S1386" s="3"/>
    </row>
    <row r="1387" spans="1:19" ht="15" hidden="1" customHeight="1" x14ac:dyDescent="0.35">
      <c r="A1387" s="26" t="s">
        <v>3025</v>
      </c>
      <c r="B1387" s="32" t="s">
        <v>524</v>
      </c>
      <c r="C1387" s="28"/>
      <c r="D1387" s="29" t="s">
        <v>2935</v>
      </c>
      <c r="E1387" s="76">
        <v>9195000</v>
      </c>
      <c r="F1387" s="77">
        <f t="shared" si="67"/>
        <v>735600</v>
      </c>
      <c r="G1387" s="96">
        <f t="shared" si="68"/>
        <v>9930600</v>
      </c>
      <c r="H1387" s="74">
        <v>9930600</v>
      </c>
      <c r="I1387" s="75">
        <f t="shared" si="69"/>
        <v>0</v>
      </c>
      <c r="J1387" s="75"/>
      <c r="K1387" s="5">
        <v>46249</v>
      </c>
      <c r="O1387" s="9"/>
      <c r="S1387" s="3"/>
    </row>
    <row r="1388" spans="1:19" ht="15" customHeight="1" x14ac:dyDescent="0.35">
      <c r="A1388" s="26" t="s">
        <v>3026</v>
      </c>
      <c r="B1388" s="32" t="s">
        <v>525</v>
      </c>
      <c r="C1388" s="28">
        <v>5751</v>
      </c>
      <c r="D1388" s="29">
        <v>46210</v>
      </c>
      <c r="E1388" s="76">
        <v>2910000</v>
      </c>
      <c r="F1388" s="77">
        <f t="shared" si="67"/>
        <v>232800</v>
      </c>
      <c r="G1388" s="96">
        <f t="shared" si="68"/>
        <v>3142800</v>
      </c>
      <c r="H1388" s="74"/>
      <c r="I1388" s="75">
        <f t="shared" si="69"/>
        <v>3142800</v>
      </c>
      <c r="J1388" s="75"/>
      <c r="O1388" s="9"/>
      <c r="S1388" s="3"/>
    </row>
    <row r="1389" spans="1:19" ht="15" hidden="1" customHeight="1" x14ac:dyDescent="0.35">
      <c r="A1389" s="26" t="s">
        <v>3027</v>
      </c>
      <c r="B1389" s="32" t="s">
        <v>526</v>
      </c>
      <c r="C1389" s="28"/>
      <c r="D1389" s="29" t="s">
        <v>2935</v>
      </c>
      <c r="E1389" s="76">
        <v>960000</v>
      </c>
      <c r="F1389" s="77">
        <f t="shared" si="67"/>
        <v>76800</v>
      </c>
      <c r="G1389" s="96">
        <f t="shared" si="68"/>
        <v>1036800</v>
      </c>
      <c r="H1389" s="74">
        <v>1036800</v>
      </c>
      <c r="I1389" s="75">
        <f t="shared" si="69"/>
        <v>0</v>
      </c>
      <c r="J1389" s="75"/>
      <c r="K1389" s="5">
        <v>46249</v>
      </c>
      <c r="O1389" s="9"/>
      <c r="S1389" s="3"/>
    </row>
    <row r="1390" spans="1:19" ht="15" hidden="1" customHeight="1" x14ac:dyDescent="0.35">
      <c r="A1390" s="26" t="s">
        <v>3028</v>
      </c>
      <c r="B1390" s="27" t="s">
        <v>527</v>
      </c>
      <c r="C1390" s="28"/>
      <c r="D1390" s="29" t="s">
        <v>2935</v>
      </c>
      <c r="E1390" s="76">
        <v>1132800</v>
      </c>
      <c r="F1390" s="77">
        <f t="shared" si="67"/>
        <v>90624</v>
      </c>
      <c r="G1390" s="96">
        <f t="shared" si="68"/>
        <v>1223424</v>
      </c>
      <c r="H1390" s="74">
        <v>1223424</v>
      </c>
      <c r="I1390" s="75">
        <f t="shared" si="69"/>
        <v>0</v>
      </c>
      <c r="J1390" s="75"/>
      <c r="L1390" s="5">
        <v>46239</v>
      </c>
      <c r="O1390" s="9"/>
      <c r="S1390" s="3"/>
    </row>
    <row r="1391" spans="1:19" ht="15" customHeight="1" x14ac:dyDescent="0.35">
      <c r="A1391" s="26" t="s">
        <v>3029</v>
      </c>
      <c r="B1391" s="27" t="s">
        <v>2916</v>
      </c>
      <c r="C1391" s="28">
        <v>5752</v>
      </c>
      <c r="D1391" s="29">
        <v>46210</v>
      </c>
      <c r="E1391" s="76">
        <v>1303000</v>
      </c>
      <c r="F1391" s="77">
        <f t="shared" si="67"/>
        <v>104240</v>
      </c>
      <c r="G1391" s="96">
        <f t="shared" si="68"/>
        <v>1407240</v>
      </c>
      <c r="H1391" s="74"/>
      <c r="I1391" s="75">
        <f t="shared" si="69"/>
        <v>1407240</v>
      </c>
      <c r="J1391" s="75"/>
      <c r="O1391" s="9"/>
      <c r="S1391" s="3"/>
    </row>
    <row r="1392" spans="1:19" ht="15" hidden="1" customHeight="1" x14ac:dyDescent="0.35">
      <c r="A1392" s="26" t="s">
        <v>3030</v>
      </c>
      <c r="B1392" s="27" t="s">
        <v>2917</v>
      </c>
      <c r="C1392" s="28">
        <v>5658</v>
      </c>
      <c r="D1392" s="29">
        <v>46209</v>
      </c>
      <c r="E1392" s="76">
        <v>1587200</v>
      </c>
      <c r="F1392" s="77">
        <f t="shared" si="67"/>
        <v>126976</v>
      </c>
      <c r="G1392" s="96">
        <f t="shared" si="68"/>
        <v>1714176</v>
      </c>
      <c r="H1392" s="74">
        <v>1714176</v>
      </c>
      <c r="I1392" s="75">
        <f t="shared" si="69"/>
        <v>0</v>
      </c>
      <c r="J1392" s="75"/>
      <c r="L1392" s="5">
        <v>46239</v>
      </c>
      <c r="O1392" s="9"/>
      <c r="S1392" s="3"/>
    </row>
    <row r="1393" spans="1:19" ht="15" hidden="1" customHeight="1" x14ac:dyDescent="0.35">
      <c r="A1393" s="26" t="s">
        <v>3031</v>
      </c>
      <c r="B1393" s="32" t="s">
        <v>2918</v>
      </c>
      <c r="C1393" s="28"/>
      <c r="D1393" s="29" t="s">
        <v>2935</v>
      </c>
      <c r="E1393" s="76">
        <v>3030000</v>
      </c>
      <c r="F1393" s="77">
        <f t="shared" si="67"/>
        <v>242400</v>
      </c>
      <c r="G1393" s="96">
        <f t="shared" si="68"/>
        <v>3272400</v>
      </c>
      <c r="H1393" s="74">
        <v>3272400</v>
      </c>
      <c r="I1393" s="75">
        <f t="shared" si="69"/>
        <v>0</v>
      </c>
      <c r="J1393" s="75"/>
      <c r="K1393" s="5">
        <v>46249</v>
      </c>
      <c r="O1393" s="9"/>
      <c r="S1393" s="3"/>
    </row>
    <row r="1394" spans="1:19" ht="15" hidden="1" customHeight="1" x14ac:dyDescent="0.35">
      <c r="A1394" s="26" t="s">
        <v>3032</v>
      </c>
      <c r="B1394" s="32" t="s">
        <v>2919</v>
      </c>
      <c r="C1394" s="28"/>
      <c r="D1394" s="29" t="s">
        <v>2935</v>
      </c>
      <c r="E1394" s="76">
        <v>10190000</v>
      </c>
      <c r="F1394" s="77">
        <f t="shared" si="67"/>
        <v>815200</v>
      </c>
      <c r="G1394" s="96">
        <f t="shared" si="68"/>
        <v>11005200</v>
      </c>
      <c r="H1394" s="74">
        <v>11005200</v>
      </c>
      <c r="I1394" s="75">
        <f t="shared" si="69"/>
        <v>0</v>
      </c>
      <c r="J1394" s="75"/>
      <c r="K1394" s="5">
        <v>46249</v>
      </c>
      <c r="O1394" s="9"/>
      <c r="S1394" s="3"/>
    </row>
    <row r="1395" spans="1:19" ht="15" hidden="1" customHeight="1" x14ac:dyDescent="0.35">
      <c r="A1395" s="26" t="s">
        <v>3033</v>
      </c>
      <c r="B1395" s="32" t="s">
        <v>2920</v>
      </c>
      <c r="C1395" s="28"/>
      <c r="D1395" s="29" t="s">
        <v>2935</v>
      </c>
      <c r="E1395" s="76">
        <v>10200000</v>
      </c>
      <c r="F1395" s="77">
        <f t="shared" si="67"/>
        <v>816000</v>
      </c>
      <c r="G1395" s="96">
        <f t="shared" si="68"/>
        <v>11016000</v>
      </c>
      <c r="H1395" s="74">
        <v>11016000</v>
      </c>
      <c r="I1395" s="75">
        <f t="shared" si="69"/>
        <v>0</v>
      </c>
      <c r="J1395" s="75"/>
      <c r="K1395" s="5">
        <v>46249</v>
      </c>
      <c r="O1395" s="9"/>
      <c r="S1395" s="3"/>
    </row>
    <row r="1396" spans="1:19" ht="15" customHeight="1" x14ac:dyDescent="0.35">
      <c r="A1396" s="26" t="s">
        <v>3034</v>
      </c>
      <c r="B1396" s="32" t="s">
        <v>528</v>
      </c>
      <c r="C1396" s="28">
        <v>6021</v>
      </c>
      <c r="D1396" s="29">
        <v>46218</v>
      </c>
      <c r="E1396" s="76">
        <v>8666500</v>
      </c>
      <c r="F1396" s="77">
        <f t="shared" si="67"/>
        <v>693320</v>
      </c>
      <c r="G1396" s="96">
        <f t="shared" si="68"/>
        <v>9359820</v>
      </c>
      <c r="H1396" s="74"/>
      <c r="I1396" s="75">
        <f t="shared" si="69"/>
        <v>9359820</v>
      </c>
      <c r="J1396" s="75"/>
      <c r="O1396" s="9"/>
      <c r="S1396" s="3"/>
    </row>
    <row r="1397" spans="1:19" ht="15" hidden="1" customHeight="1" x14ac:dyDescent="0.35">
      <c r="A1397" s="26" t="s">
        <v>3035</v>
      </c>
      <c r="B1397" s="32" t="s">
        <v>529</v>
      </c>
      <c r="C1397" s="28"/>
      <c r="D1397" s="29" t="s">
        <v>2935</v>
      </c>
      <c r="E1397" s="76">
        <v>5280000</v>
      </c>
      <c r="F1397" s="77">
        <f t="shared" si="67"/>
        <v>422400</v>
      </c>
      <c r="G1397" s="96">
        <f t="shared" si="68"/>
        <v>5702400</v>
      </c>
      <c r="H1397" s="74">
        <v>5702400</v>
      </c>
      <c r="I1397" s="75">
        <f t="shared" si="69"/>
        <v>0</v>
      </c>
      <c r="J1397" s="75"/>
      <c r="K1397" s="5">
        <v>46249</v>
      </c>
      <c r="O1397" s="9"/>
      <c r="S1397" s="3"/>
    </row>
    <row r="1398" spans="1:19" ht="15" customHeight="1" x14ac:dyDescent="0.35">
      <c r="A1398" s="26" t="s">
        <v>3036</v>
      </c>
      <c r="B1398" s="32" t="s">
        <v>530</v>
      </c>
      <c r="C1398" s="28">
        <v>6475</v>
      </c>
      <c r="D1398" s="29">
        <v>46232</v>
      </c>
      <c r="E1398" s="76">
        <v>2171200</v>
      </c>
      <c r="F1398" s="77">
        <f t="shared" si="67"/>
        <v>173696</v>
      </c>
      <c r="G1398" s="96">
        <f t="shared" si="68"/>
        <v>2344896</v>
      </c>
      <c r="H1398" s="74"/>
      <c r="I1398" s="75">
        <f t="shared" si="69"/>
        <v>2344896</v>
      </c>
      <c r="J1398" s="75"/>
      <c r="O1398" s="9"/>
      <c r="S1398" s="3"/>
    </row>
    <row r="1399" spans="1:19" ht="15" customHeight="1" x14ac:dyDescent="0.35">
      <c r="A1399" s="26" t="s">
        <v>3037</v>
      </c>
      <c r="B1399" s="27" t="s">
        <v>531</v>
      </c>
      <c r="C1399" s="28">
        <v>6539</v>
      </c>
      <c r="D1399" s="29">
        <v>46234</v>
      </c>
      <c r="E1399" s="76">
        <v>3280400</v>
      </c>
      <c r="F1399" s="77">
        <f t="shared" si="67"/>
        <v>262432</v>
      </c>
      <c r="G1399" s="96">
        <f t="shared" si="68"/>
        <v>3542832</v>
      </c>
      <c r="H1399" s="74"/>
      <c r="I1399" s="75">
        <f t="shared" si="69"/>
        <v>3542832</v>
      </c>
      <c r="J1399" s="75"/>
      <c r="O1399" s="9"/>
      <c r="S1399" s="3"/>
    </row>
    <row r="1400" spans="1:19" ht="15" hidden="1" customHeight="1" x14ac:dyDescent="0.35">
      <c r="A1400" s="26" t="s">
        <v>3038</v>
      </c>
      <c r="B1400" s="32" t="s">
        <v>532</v>
      </c>
      <c r="C1400" s="28"/>
      <c r="D1400" s="29" t="s">
        <v>2935</v>
      </c>
      <c r="E1400" s="76">
        <v>960000</v>
      </c>
      <c r="F1400" s="77">
        <f t="shared" si="67"/>
        <v>76800</v>
      </c>
      <c r="G1400" s="96">
        <f t="shared" si="68"/>
        <v>1036800</v>
      </c>
      <c r="H1400" s="74">
        <v>1036800</v>
      </c>
      <c r="I1400" s="75">
        <f t="shared" si="69"/>
        <v>0</v>
      </c>
      <c r="J1400" s="75"/>
      <c r="K1400" s="5">
        <v>46249</v>
      </c>
      <c r="O1400" s="9"/>
      <c r="S1400" s="3"/>
    </row>
    <row r="1401" spans="1:19" ht="15" hidden="1" customHeight="1" x14ac:dyDescent="0.35">
      <c r="A1401" s="26" t="s">
        <v>3039</v>
      </c>
      <c r="B1401" s="32" t="s">
        <v>533</v>
      </c>
      <c r="C1401" s="28"/>
      <c r="D1401" s="29" t="s">
        <v>2935</v>
      </c>
      <c r="E1401" s="76">
        <v>2040000</v>
      </c>
      <c r="F1401" s="77">
        <f t="shared" si="67"/>
        <v>163200</v>
      </c>
      <c r="G1401" s="96">
        <f t="shared" si="68"/>
        <v>2203200</v>
      </c>
      <c r="H1401" s="74">
        <v>2203200</v>
      </c>
      <c r="I1401" s="75">
        <f t="shared" si="69"/>
        <v>0</v>
      </c>
      <c r="J1401" s="75"/>
      <c r="K1401" s="5">
        <v>46249</v>
      </c>
      <c r="O1401" s="9"/>
      <c r="S1401" s="3"/>
    </row>
    <row r="1402" spans="1:19" ht="15" hidden="1" customHeight="1" x14ac:dyDescent="0.35">
      <c r="A1402" s="26" t="s">
        <v>3040</v>
      </c>
      <c r="B1402" s="32" t="s">
        <v>534</v>
      </c>
      <c r="C1402" s="28"/>
      <c r="D1402" s="29" t="s">
        <v>2935</v>
      </c>
      <c r="E1402" s="76">
        <v>2010000</v>
      </c>
      <c r="F1402" s="77">
        <f t="shared" si="67"/>
        <v>160800</v>
      </c>
      <c r="G1402" s="96">
        <f t="shared" si="68"/>
        <v>2170800</v>
      </c>
      <c r="H1402" s="74">
        <v>2170800</v>
      </c>
      <c r="I1402" s="75">
        <f t="shared" si="69"/>
        <v>0</v>
      </c>
      <c r="J1402" s="75"/>
      <c r="K1402" s="5">
        <v>46249</v>
      </c>
      <c r="O1402" s="9"/>
      <c r="S1402" s="3"/>
    </row>
    <row r="1403" spans="1:19" ht="15" hidden="1" customHeight="1" x14ac:dyDescent="0.35">
      <c r="A1403" s="26" t="s">
        <v>3041</v>
      </c>
      <c r="B1403" s="32" t="s">
        <v>2921</v>
      </c>
      <c r="C1403" s="28"/>
      <c r="D1403" s="29" t="s">
        <v>2935</v>
      </c>
      <c r="E1403" s="76">
        <v>1005000</v>
      </c>
      <c r="F1403" s="77">
        <f t="shared" si="67"/>
        <v>80400</v>
      </c>
      <c r="G1403" s="96">
        <f t="shared" si="68"/>
        <v>1085400</v>
      </c>
      <c r="H1403" s="74">
        <v>1085400</v>
      </c>
      <c r="I1403" s="75">
        <f t="shared" si="69"/>
        <v>0</v>
      </c>
      <c r="J1403" s="75"/>
      <c r="K1403" s="5">
        <v>46249</v>
      </c>
      <c r="O1403" s="9"/>
      <c r="S1403" s="3"/>
    </row>
    <row r="1404" spans="1:19" ht="15" hidden="1" customHeight="1" x14ac:dyDescent="0.35">
      <c r="A1404" s="26" t="s">
        <v>3042</v>
      </c>
      <c r="B1404" s="32" t="s">
        <v>2922</v>
      </c>
      <c r="C1404" s="28"/>
      <c r="D1404" s="29" t="s">
        <v>2935</v>
      </c>
      <c r="E1404" s="76">
        <v>3720000</v>
      </c>
      <c r="F1404" s="77">
        <f t="shared" si="67"/>
        <v>297600</v>
      </c>
      <c r="G1404" s="96">
        <f t="shared" si="68"/>
        <v>4017600</v>
      </c>
      <c r="H1404" s="74">
        <v>4017600</v>
      </c>
      <c r="I1404" s="75">
        <f t="shared" si="69"/>
        <v>0</v>
      </c>
      <c r="J1404" s="75"/>
      <c r="K1404" s="5">
        <v>46249</v>
      </c>
      <c r="O1404" s="9"/>
      <c r="S1404" s="3"/>
    </row>
    <row r="1405" spans="1:19" ht="15" hidden="1" customHeight="1" x14ac:dyDescent="0.35">
      <c r="A1405" s="26" t="s">
        <v>3043</v>
      </c>
      <c r="B1405" s="32" t="s">
        <v>2923</v>
      </c>
      <c r="C1405" s="28"/>
      <c r="D1405" s="29" t="s">
        <v>2935</v>
      </c>
      <c r="E1405" s="76">
        <v>3045000</v>
      </c>
      <c r="F1405" s="77">
        <f t="shared" si="67"/>
        <v>243600</v>
      </c>
      <c r="G1405" s="96">
        <f t="shared" si="68"/>
        <v>3288600</v>
      </c>
      <c r="H1405" s="74">
        <v>3288600</v>
      </c>
      <c r="I1405" s="75">
        <f t="shared" si="69"/>
        <v>0</v>
      </c>
      <c r="J1405" s="75"/>
      <c r="K1405" s="5">
        <v>46249</v>
      </c>
      <c r="O1405" s="9"/>
      <c r="S1405" s="3"/>
    </row>
    <row r="1406" spans="1:19" ht="15" hidden="1" customHeight="1" x14ac:dyDescent="0.35">
      <c r="A1406" s="26" t="s">
        <v>3044</v>
      </c>
      <c r="B1406" s="32" t="s">
        <v>535</v>
      </c>
      <c r="C1406" s="28"/>
      <c r="D1406" s="29" t="s">
        <v>2935</v>
      </c>
      <c r="E1406" s="76">
        <v>1005000</v>
      </c>
      <c r="F1406" s="77">
        <f t="shared" si="67"/>
        <v>80400</v>
      </c>
      <c r="G1406" s="96">
        <f t="shared" si="68"/>
        <v>1085400</v>
      </c>
      <c r="H1406" s="74">
        <v>1085400</v>
      </c>
      <c r="I1406" s="75">
        <f t="shared" si="69"/>
        <v>0</v>
      </c>
      <c r="J1406" s="75"/>
      <c r="K1406" s="5">
        <v>46249</v>
      </c>
      <c r="O1406" s="9"/>
      <c r="S1406" s="3"/>
    </row>
    <row r="1407" spans="1:19" ht="15" hidden="1" customHeight="1" x14ac:dyDescent="0.35">
      <c r="A1407" s="26" t="s">
        <v>3045</v>
      </c>
      <c r="B1407" s="32" t="s">
        <v>2924</v>
      </c>
      <c r="C1407" s="28"/>
      <c r="D1407" s="29" t="s">
        <v>2935</v>
      </c>
      <c r="E1407" s="76">
        <v>4650000</v>
      </c>
      <c r="F1407" s="77">
        <f t="shared" si="67"/>
        <v>372000</v>
      </c>
      <c r="G1407" s="96">
        <f t="shared" si="68"/>
        <v>5022000</v>
      </c>
      <c r="H1407" s="74">
        <v>5022000</v>
      </c>
      <c r="I1407" s="75">
        <f t="shared" si="69"/>
        <v>0</v>
      </c>
      <c r="J1407" s="75"/>
      <c r="K1407" s="5">
        <v>46249</v>
      </c>
      <c r="O1407" s="9"/>
      <c r="S1407" s="3"/>
    </row>
    <row r="1408" spans="1:19" ht="15" hidden="1" customHeight="1" x14ac:dyDescent="0.35">
      <c r="A1408" s="26" t="s">
        <v>3046</v>
      </c>
      <c r="B1408" s="32" t="s">
        <v>2925</v>
      </c>
      <c r="C1408" s="28"/>
      <c r="D1408" s="29" t="s">
        <v>2935</v>
      </c>
      <c r="E1408" s="76">
        <v>2820000</v>
      </c>
      <c r="F1408" s="77">
        <f t="shared" si="67"/>
        <v>225600</v>
      </c>
      <c r="G1408" s="96">
        <f t="shared" si="68"/>
        <v>3045600</v>
      </c>
      <c r="H1408" s="74">
        <v>3045600</v>
      </c>
      <c r="I1408" s="75">
        <f t="shared" si="69"/>
        <v>0</v>
      </c>
      <c r="J1408" s="75"/>
      <c r="K1408" s="5">
        <v>46249</v>
      </c>
      <c r="O1408" s="9"/>
      <c r="S1408" s="3"/>
    </row>
    <row r="1409" spans="1:19" ht="15" hidden="1" customHeight="1" x14ac:dyDescent="0.35">
      <c r="A1409" s="26" t="s">
        <v>3047</v>
      </c>
      <c r="B1409" s="32" t="s">
        <v>2926</v>
      </c>
      <c r="C1409" s="28"/>
      <c r="D1409" s="29" t="s">
        <v>2935</v>
      </c>
      <c r="E1409" s="76">
        <v>1560000</v>
      </c>
      <c r="F1409" s="77">
        <f t="shared" si="67"/>
        <v>124800</v>
      </c>
      <c r="G1409" s="96">
        <f t="shared" si="68"/>
        <v>1684800</v>
      </c>
      <c r="H1409" s="74">
        <v>1684800</v>
      </c>
      <c r="I1409" s="75">
        <f t="shared" si="69"/>
        <v>0</v>
      </c>
      <c r="J1409" s="75"/>
      <c r="K1409" s="5">
        <v>46249</v>
      </c>
      <c r="O1409" s="9"/>
      <c r="S1409" s="3"/>
    </row>
    <row r="1410" spans="1:19" ht="15" hidden="1" customHeight="1" x14ac:dyDescent="0.35">
      <c r="A1410" s="26" t="s">
        <v>3048</v>
      </c>
      <c r="B1410" s="32" t="s">
        <v>2927</v>
      </c>
      <c r="C1410" s="28"/>
      <c r="D1410" s="29" t="s">
        <v>2935</v>
      </c>
      <c r="E1410" s="76">
        <v>1980000</v>
      </c>
      <c r="F1410" s="77">
        <f t="shared" si="67"/>
        <v>158400</v>
      </c>
      <c r="G1410" s="96">
        <f t="shared" si="68"/>
        <v>2138400</v>
      </c>
      <c r="H1410" s="74">
        <v>2138400</v>
      </c>
      <c r="I1410" s="75">
        <f t="shared" si="69"/>
        <v>0</v>
      </c>
      <c r="J1410" s="75"/>
      <c r="K1410" s="5">
        <v>46249</v>
      </c>
      <c r="O1410" s="9"/>
      <c r="S1410" s="3"/>
    </row>
    <row r="1411" spans="1:19" ht="15" hidden="1" customHeight="1" x14ac:dyDescent="0.35">
      <c r="A1411" s="26" t="s">
        <v>3049</v>
      </c>
      <c r="B1411" s="32" t="s">
        <v>2928</v>
      </c>
      <c r="C1411" s="28"/>
      <c r="D1411" s="29" t="s">
        <v>2935</v>
      </c>
      <c r="E1411" s="76">
        <v>2650000</v>
      </c>
      <c r="F1411" s="77">
        <f t="shared" si="67"/>
        <v>212000</v>
      </c>
      <c r="G1411" s="96">
        <f t="shared" si="68"/>
        <v>2862000</v>
      </c>
      <c r="H1411" s="74">
        <v>2862000</v>
      </c>
      <c r="I1411" s="75">
        <f t="shared" si="69"/>
        <v>0</v>
      </c>
      <c r="J1411" s="75"/>
      <c r="K1411" s="5">
        <v>46249</v>
      </c>
      <c r="O1411" s="9"/>
      <c r="S1411" s="3"/>
    </row>
    <row r="1412" spans="1:19" ht="15" hidden="1" customHeight="1" x14ac:dyDescent="0.35">
      <c r="A1412" s="26" t="s">
        <v>3050</v>
      </c>
      <c r="B1412" s="32" t="s">
        <v>2929</v>
      </c>
      <c r="C1412" s="28"/>
      <c r="D1412" s="29" t="s">
        <v>2935</v>
      </c>
      <c r="E1412" s="76">
        <v>6530000</v>
      </c>
      <c r="F1412" s="77">
        <f t="shared" si="67"/>
        <v>522400</v>
      </c>
      <c r="G1412" s="96">
        <f t="shared" si="68"/>
        <v>7052400</v>
      </c>
      <c r="H1412" s="74">
        <v>7052400</v>
      </c>
      <c r="I1412" s="75">
        <f t="shared" si="69"/>
        <v>0</v>
      </c>
      <c r="J1412" s="75"/>
      <c r="K1412" s="5">
        <v>46249</v>
      </c>
      <c r="O1412" s="9"/>
      <c r="S1412" s="3"/>
    </row>
    <row r="1413" spans="1:19" ht="15" hidden="1" customHeight="1" x14ac:dyDescent="0.35">
      <c r="A1413" s="26" t="s">
        <v>3051</v>
      </c>
      <c r="B1413" s="32" t="s">
        <v>536</v>
      </c>
      <c r="C1413" s="28"/>
      <c r="D1413" s="29" t="s">
        <v>2935</v>
      </c>
      <c r="E1413" s="76">
        <v>4970000</v>
      </c>
      <c r="F1413" s="77">
        <f t="shared" si="67"/>
        <v>397600</v>
      </c>
      <c r="G1413" s="96">
        <f t="shared" si="68"/>
        <v>5367600</v>
      </c>
      <c r="H1413" s="74">
        <v>5367600</v>
      </c>
      <c r="I1413" s="75">
        <f t="shared" si="69"/>
        <v>0</v>
      </c>
      <c r="J1413" s="75"/>
      <c r="K1413" s="5">
        <v>46249</v>
      </c>
      <c r="O1413" s="9"/>
      <c r="S1413" s="3"/>
    </row>
    <row r="1414" spans="1:19" ht="15" hidden="1" customHeight="1" x14ac:dyDescent="0.35">
      <c r="A1414" s="26" t="s">
        <v>3052</v>
      </c>
      <c r="B1414" s="32" t="s">
        <v>537</v>
      </c>
      <c r="C1414" s="28"/>
      <c r="D1414" s="29" t="s">
        <v>2935</v>
      </c>
      <c r="E1414" s="76">
        <v>12240000</v>
      </c>
      <c r="F1414" s="77">
        <f t="shared" si="67"/>
        <v>979200</v>
      </c>
      <c r="G1414" s="96">
        <f t="shared" si="68"/>
        <v>13219200</v>
      </c>
      <c r="H1414" s="74">
        <v>13219200</v>
      </c>
      <c r="I1414" s="75">
        <f t="shared" si="69"/>
        <v>0</v>
      </c>
      <c r="J1414" s="75"/>
      <c r="K1414" s="5">
        <v>46249</v>
      </c>
      <c r="O1414" s="9"/>
      <c r="S1414" s="3"/>
    </row>
    <row r="1415" spans="1:19" ht="15" hidden="1" customHeight="1" x14ac:dyDescent="0.35">
      <c r="A1415" s="26" t="s">
        <v>3053</v>
      </c>
      <c r="B1415" s="32" t="s">
        <v>538</v>
      </c>
      <c r="C1415" s="28">
        <v>5660</v>
      </c>
      <c r="D1415" s="29">
        <v>46209</v>
      </c>
      <c r="E1415" s="76">
        <v>2100400</v>
      </c>
      <c r="F1415" s="77">
        <f t="shared" si="67"/>
        <v>168032</v>
      </c>
      <c r="G1415" s="96">
        <f t="shared" si="68"/>
        <v>2268432</v>
      </c>
      <c r="H1415" s="74">
        <v>2268432</v>
      </c>
      <c r="I1415" s="75">
        <f t="shared" si="69"/>
        <v>0</v>
      </c>
      <c r="J1415" s="75"/>
      <c r="L1415" s="5">
        <v>46239</v>
      </c>
      <c r="O1415" s="9"/>
      <c r="S1415" s="3"/>
    </row>
    <row r="1416" spans="1:19" ht="15" hidden="1" customHeight="1" x14ac:dyDescent="0.35">
      <c r="A1416" s="26" t="s">
        <v>3054</v>
      </c>
      <c r="B1416" s="32" t="s">
        <v>539</v>
      </c>
      <c r="C1416" s="28"/>
      <c r="D1416" s="29" t="s">
        <v>2935</v>
      </c>
      <c r="E1416" s="76">
        <v>3105600</v>
      </c>
      <c r="F1416" s="77">
        <f t="shared" si="67"/>
        <v>248448</v>
      </c>
      <c r="G1416" s="96">
        <f t="shared" si="68"/>
        <v>3354048</v>
      </c>
      <c r="H1416" s="74">
        <v>3354048</v>
      </c>
      <c r="I1416" s="75">
        <f t="shared" si="69"/>
        <v>0</v>
      </c>
      <c r="J1416" s="75"/>
      <c r="L1416" s="5">
        <v>46239</v>
      </c>
      <c r="O1416" s="9"/>
      <c r="S1416" s="3"/>
    </row>
    <row r="1417" spans="1:19" ht="15" hidden="1" customHeight="1" x14ac:dyDescent="0.35">
      <c r="A1417" s="26" t="s">
        <v>3055</v>
      </c>
      <c r="B1417" s="32" t="s">
        <v>540</v>
      </c>
      <c r="C1417" s="28"/>
      <c r="D1417" s="29" t="s">
        <v>2935</v>
      </c>
      <c r="E1417" s="76">
        <v>1132800</v>
      </c>
      <c r="F1417" s="77">
        <f t="shared" si="67"/>
        <v>90624</v>
      </c>
      <c r="G1417" s="96">
        <f t="shared" si="68"/>
        <v>1223424</v>
      </c>
      <c r="H1417" s="74">
        <v>1223424</v>
      </c>
      <c r="I1417" s="75">
        <f t="shared" si="69"/>
        <v>0</v>
      </c>
      <c r="J1417" s="75"/>
      <c r="L1417" s="5">
        <v>46239</v>
      </c>
      <c r="O1417" s="9"/>
      <c r="S1417" s="3"/>
    </row>
    <row r="1418" spans="1:19" ht="15" hidden="1" customHeight="1" x14ac:dyDescent="0.35">
      <c r="A1418" s="26" t="s">
        <v>3056</v>
      </c>
      <c r="B1418" s="32" t="s">
        <v>541</v>
      </c>
      <c r="C1418" s="28"/>
      <c r="D1418" s="29" t="s">
        <v>2935</v>
      </c>
      <c r="E1418" s="76">
        <v>840000</v>
      </c>
      <c r="F1418" s="77">
        <f t="shared" si="67"/>
        <v>67200</v>
      </c>
      <c r="G1418" s="96">
        <f t="shared" si="68"/>
        <v>907200</v>
      </c>
      <c r="H1418" s="74">
        <v>907200</v>
      </c>
      <c r="I1418" s="75">
        <f t="shared" si="69"/>
        <v>0</v>
      </c>
      <c r="J1418" s="75"/>
      <c r="L1418" s="5">
        <v>46239</v>
      </c>
      <c r="O1418" s="9"/>
      <c r="S1418" s="3"/>
    </row>
    <row r="1419" spans="1:19" ht="15" customHeight="1" x14ac:dyDescent="0.35">
      <c r="A1419" s="26" t="s">
        <v>3057</v>
      </c>
      <c r="B1419" s="27" t="s">
        <v>542</v>
      </c>
      <c r="C1419" s="28">
        <v>5750</v>
      </c>
      <c r="D1419" s="29">
        <v>46210</v>
      </c>
      <c r="E1419" s="76">
        <v>9903500</v>
      </c>
      <c r="F1419" s="77">
        <f t="shared" si="67"/>
        <v>792280</v>
      </c>
      <c r="G1419" s="96">
        <f t="shared" si="68"/>
        <v>10695780</v>
      </c>
      <c r="H1419" s="74"/>
      <c r="I1419" s="75">
        <f t="shared" si="69"/>
        <v>10695780</v>
      </c>
      <c r="J1419" s="75"/>
      <c r="O1419" s="9"/>
      <c r="S1419" s="3"/>
    </row>
    <row r="1420" spans="1:19" ht="15" hidden="1" customHeight="1" x14ac:dyDescent="0.35">
      <c r="A1420" s="26" t="s">
        <v>3145</v>
      </c>
      <c r="B1420" s="32" t="s">
        <v>35</v>
      </c>
      <c r="C1420" s="28"/>
      <c r="D1420" s="29" t="s">
        <v>3135</v>
      </c>
      <c r="E1420" s="76">
        <v>5664000</v>
      </c>
      <c r="F1420" s="77">
        <f t="shared" si="67"/>
        <v>453120</v>
      </c>
      <c r="G1420" s="96">
        <f t="shared" si="68"/>
        <v>6117120</v>
      </c>
      <c r="H1420" s="74">
        <v>6117120</v>
      </c>
      <c r="I1420" s="75">
        <f t="shared" si="69"/>
        <v>0</v>
      </c>
      <c r="J1420" s="75"/>
      <c r="L1420" s="5">
        <v>46239</v>
      </c>
      <c r="O1420" s="9"/>
      <c r="S1420" s="3"/>
    </row>
    <row r="1421" spans="1:19" ht="15" hidden="1" customHeight="1" x14ac:dyDescent="0.35">
      <c r="A1421" s="26" t="s">
        <v>3146</v>
      </c>
      <c r="B1421" s="27" t="s">
        <v>3058</v>
      </c>
      <c r="C1421" s="28"/>
      <c r="D1421" s="29" t="s">
        <v>3135</v>
      </c>
      <c r="E1421" s="76">
        <v>1132800</v>
      </c>
      <c r="F1421" s="77">
        <f t="shared" si="67"/>
        <v>90624</v>
      </c>
      <c r="G1421" s="96">
        <f t="shared" si="68"/>
        <v>1223424</v>
      </c>
      <c r="H1421" s="74">
        <v>1223424</v>
      </c>
      <c r="I1421" s="75">
        <f t="shared" si="69"/>
        <v>0</v>
      </c>
      <c r="J1421" s="75"/>
      <c r="L1421" s="5">
        <v>46249</v>
      </c>
      <c r="O1421" s="9"/>
      <c r="S1421" s="3"/>
    </row>
    <row r="1422" spans="1:19" ht="15" hidden="1" customHeight="1" x14ac:dyDescent="0.35">
      <c r="A1422" s="26" t="s">
        <v>3147</v>
      </c>
      <c r="B1422" s="32" t="s">
        <v>3059</v>
      </c>
      <c r="C1422" s="28"/>
      <c r="D1422" s="29" t="s">
        <v>3135</v>
      </c>
      <c r="E1422" s="76">
        <v>1132800</v>
      </c>
      <c r="F1422" s="77">
        <f t="shared" si="67"/>
        <v>90624</v>
      </c>
      <c r="G1422" s="96">
        <f t="shared" si="68"/>
        <v>1223424</v>
      </c>
      <c r="H1422" s="74">
        <v>1223424</v>
      </c>
      <c r="I1422" s="75">
        <f t="shared" si="69"/>
        <v>0</v>
      </c>
      <c r="J1422" s="75"/>
      <c r="L1422" s="5">
        <v>46239</v>
      </c>
      <c r="O1422" s="9"/>
      <c r="S1422" s="3"/>
    </row>
    <row r="1423" spans="1:19" ht="15" hidden="1" customHeight="1" x14ac:dyDescent="0.35">
      <c r="A1423" s="26" t="s">
        <v>3148</v>
      </c>
      <c r="B1423" s="32" t="s">
        <v>3060</v>
      </c>
      <c r="C1423" s="28"/>
      <c r="D1423" s="29" t="s">
        <v>3135</v>
      </c>
      <c r="E1423" s="76">
        <v>1972800</v>
      </c>
      <c r="F1423" s="77">
        <f t="shared" si="67"/>
        <v>157824</v>
      </c>
      <c r="G1423" s="96">
        <f t="shared" si="68"/>
        <v>2130624</v>
      </c>
      <c r="H1423" s="74">
        <v>2130624</v>
      </c>
      <c r="I1423" s="75">
        <f t="shared" si="69"/>
        <v>0</v>
      </c>
      <c r="J1423" s="75"/>
      <c r="L1423" s="5">
        <v>46239</v>
      </c>
      <c r="O1423" s="9"/>
      <c r="S1423" s="3"/>
    </row>
    <row r="1424" spans="1:19" ht="15" hidden="1" customHeight="1" x14ac:dyDescent="0.35">
      <c r="A1424" s="26" t="s">
        <v>3149</v>
      </c>
      <c r="B1424" s="27" t="s">
        <v>3061</v>
      </c>
      <c r="C1424" s="28"/>
      <c r="D1424" s="29" t="s">
        <v>3135</v>
      </c>
      <c r="E1424" s="76">
        <v>3105600</v>
      </c>
      <c r="F1424" s="77">
        <f t="shared" si="67"/>
        <v>248448</v>
      </c>
      <c r="G1424" s="96">
        <f t="shared" si="68"/>
        <v>3354048</v>
      </c>
      <c r="H1424" s="74">
        <v>3354048</v>
      </c>
      <c r="I1424" s="75">
        <f t="shared" si="69"/>
        <v>0</v>
      </c>
      <c r="J1424" s="75"/>
      <c r="L1424" s="5">
        <v>46239</v>
      </c>
      <c r="O1424" s="9"/>
      <c r="S1424" s="3"/>
    </row>
    <row r="1425" spans="1:19" ht="15" customHeight="1" x14ac:dyDescent="0.35">
      <c r="A1425" s="26" t="s">
        <v>3150</v>
      </c>
      <c r="B1425" s="32" t="s">
        <v>3062</v>
      </c>
      <c r="C1425" s="28">
        <v>6538</v>
      </c>
      <c r="D1425" s="29">
        <v>46234</v>
      </c>
      <c r="E1425" s="76">
        <v>5286400</v>
      </c>
      <c r="F1425" s="77">
        <f t="shared" si="67"/>
        <v>422912</v>
      </c>
      <c r="G1425" s="96">
        <f t="shared" si="68"/>
        <v>5709312</v>
      </c>
      <c r="H1425" s="74"/>
      <c r="I1425" s="75">
        <f t="shared" si="69"/>
        <v>5709312</v>
      </c>
      <c r="J1425" s="75"/>
      <c r="O1425" s="9"/>
      <c r="S1425" s="3"/>
    </row>
    <row r="1426" spans="1:19" ht="15" hidden="1" customHeight="1" x14ac:dyDescent="0.35">
      <c r="A1426" s="26" t="s">
        <v>3151</v>
      </c>
      <c r="B1426" s="32" t="s">
        <v>3063</v>
      </c>
      <c r="C1426" s="28"/>
      <c r="D1426" s="29" t="s">
        <v>3135</v>
      </c>
      <c r="E1426" s="76">
        <v>1132800</v>
      </c>
      <c r="F1426" s="77">
        <f t="shared" si="67"/>
        <v>90624</v>
      </c>
      <c r="G1426" s="96">
        <f t="shared" si="68"/>
        <v>1223424</v>
      </c>
      <c r="H1426" s="74">
        <v>1223424</v>
      </c>
      <c r="I1426" s="75">
        <f t="shared" si="69"/>
        <v>0</v>
      </c>
      <c r="J1426" s="75"/>
      <c r="L1426" s="5">
        <v>46239</v>
      </c>
      <c r="O1426" s="9"/>
      <c r="S1426" s="3"/>
    </row>
    <row r="1427" spans="1:19" ht="15" hidden="1" customHeight="1" x14ac:dyDescent="0.35">
      <c r="A1427" s="26" t="s">
        <v>3152</v>
      </c>
      <c r="B1427" s="32" t="s">
        <v>3064</v>
      </c>
      <c r="C1427" s="28"/>
      <c r="D1427" s="29" t="s">
        <v>3135</v>
      </c>
      <c r="E1427" s="76">
        <v>2265600</v>
      </c>
      <c r="F1427" s="77">
        <f t="shared" si="67"/>
        <v>181248</v>
      </c>
      <c r="G1427" s="96">
        <f t="shared" si="68"/>
        <v>2446848</v>
      </c>
      <c r="H1427" s="74">
        <v>2446848</v>
      </c>
      <c r="I1427" s="75">
        <f t="shared" si="69"/>
        <v>0</v>
      </c>
      <c r="J1427" s="75"/>
      <c r="L1427" s="5">
        <v>46239</v>
      </c>
      <c r="O1427" s="9"/>
      <c r="S1427" s="3"/>
    </row>
    <row r="1428" spans="1:19" ht="15" hidden="1" customHeight="1" x14ac:dyDescent="0.35">
      <c r="A1428" s="26" t="s">
        <v>3153</v>
      </c>
      <c r="B1428" s="32" t="s">
        <v>3065</v>
      </c>
      <c r="C1428" s="28"/>
      <c r="D1428" s="29" t="s">
        <v>3135</v>
      </c>
      <c r="E1428" s="76">
        <v>1132800</v>
      </c>
      <c r="F1428" s="77">
        <f t="shared" si="67"/>
        <v>90624</v>
      </c>
      <c r="G1428" s="96">
        <f t="shared" si="68"/>
        <v>1223424</v>
      </c>
      <c r="H1428" s="74">
        <v>1223424</v>
      </c>
      <c r="I1428" s="75">
        <f t="shared" si="69"/>
        <v>0</v>
      </c>
      <c r="J1428" s="75"/>
      <c r="L1428" s="5">
        <v>46239</v>
      </c>
      <c r="O1428" s="9"/>
      <c r="S1428" s="3"/>
    </row>
    <row r="1429" spans="1:19" ht="15" hidden="1" customHeight="1" x14ac:dyDescent="0.35">
      <c r="A1429" s="26" t="s">
        <v>3154</v>
      </c>
      <c r="B1429" s="32" t="s">
        <v>3066</v>
      </c>
      <c r="C1429" s="28"/>
      <c r="D1429" s="29" t="s">
        <v>3135</v>
      </c>
      <c r="E1429" s="76">
        <v>1890000</v>
      </c>
      <c r="F1429" s="77">
        <f t="shared" si="67"/>
        <v>151200</v>
      </c>
      <c r="G1429" s="96">
        <f t="shared" si="68"/>
        <v>2041200</v>
      </c>
      <c r="H1429" s="74">
        <v>2041200</v>
      </c>
      <c r="I1429" s="75">
        <f t="shared" si="69"/>
        <v>0</v>
      </c>
      <c r="J1429" s="75"/>
      <c r="K1429" s="5">
        <v>46249</v>
      </c>
      <c r="O1429" s="9"/>
      <c r="S1429" s="3"/>
    </row>
    <row r="1430" spans="1:19" ht="15" customHeight="1" x14ac:dyDescent="0.35">
      <c r="A1430" s="26" t="s">
        <v>3155</v>
      </c>
      <c r="B1430" s="32" t="s">
        <v>3067</v>
      </c>
      <c r="C1430" s="28">
        <v>6196</v>
      </c>
      <c r="D1430" s="29">
        <v>46224</v>
      </c>
      <c r="E1430" s="76">
        <v>7374500</v>
      </c>
      <c r="F1430" s="77">
        <f t="shared" si="67"/>
        <v>589960</v>
      </c>
      <c r="G1430" s="96">
        <f t="shared" si="68"/>
        <v>7964460</v>
      </c>
      <c r="H1430" s="74"/>
      <c r="I1430" s="75">
        <f t="shared" si="69"/>
        <v>7964460</v>
      </c>
      <c r="J1430" s="75"/>
      <c r="O1430" s="9"/>
      <c r="S1430" s="3"/>
    </row>
    <row r="1431" spans="1:19" ht="15" hidden="1" customHeight="1" x14ac:dyDescent="0.35">
      <c r="A1431" s="26" t="s">
        <v>3156</v>
      </c>
      <c r="B1431" s="32" t="s">
        <v>543</v>
      </c>
      <c r="C1431" s="28"/>
      <c r="D1431" s="29" t="s">
        <v>3135</v>
      </c>
      <c r="E1431" s="76">
        <v>2265600</v>
      </c>
      <c r="F1431" s="77">
        <f t="shared" si="67"/>
        <v>181248</v>
      </c>
      <c r="G1431" s="96">
        <f t="shared" si="68"/>
        <v>2446848</v>
      </c>
      <c r="H1431" s="74">
        <v>2446848</v>
      </c>
      <c r="I1431" s="75">
        <f t="shared" si="69"/>
        <v>0</v>
      </c>
      <c r="J1431" s="75"/>
      <c r="L1431" s="5">
        <v>46239</v>
      </c>
      <c r="O1431" s="9"/>
      <c r="S1431" s="3"/>
    </row>
    <row r="1432" spans="1:19" ht="15" customHeight="1" x14ac:dyDescent="0.35">
      <c r="A1432" s="26" t="s">
        <v>3157</v>
      </c>
      <c r="B1432" s="32" t="s">
        <v>3068</v>
      </c>
      <c r="C1432" s="28">
        <v>6537</v>
      </c>
      <c r="D1432" s="29">
        <v>46234</v>
      </c>
      <c r="E1432" s="76">
        <v>4531200</v>
      </c>
      <c r="F1432" s="77">
        <f t="shared" si="67"/>
        <v>362496</v>
      </c>
      <c r="G1432" s="96">
        <f t="shared" si="68"/>
        <v>4893696</v>
      </c>
      <c r="H1432" s="74"/>
      <c r="I1432" s="75">
        <f t="shared" si="69"/>
        <v>4893696</v>
      </c>
      <c r="J1432" s="75"/>
      <c r="O1432" s="9"/>
      <c r="S1432" s="3"/>
    </row>
    <row r="1433" spans="1:19" ht="15" hidden="1" customHeight="1" x14ac:dyDescent="0.35">
      <c r="A1433" s="26" t="s">
        <v>3158</v>
      </c>
      <c r="B1433" s="32" t="s">
        <v>3069</v>
      </c>
      <c r="C1433" s="28"/>
      <c r="D1433" s="29" t="s">
        <v>3136</v>
      </c>
      <c r="E1433" s="76">
        <v>840000</v>
      </c>
      <c r="F1433" s="77">
        <f t="shared" si="67"/>
        <v>67200</v>
      </c>
      <c r="G1433" s="96">
        <f t="shared" si="68"/>
        <v>907200</v>
      </c>
      <c r="H1433" s="74">
        <v>907200</v>
      </c>
      <c r="I1433" s="75">
        <f t="shared" si="69"/>
        <v>0</v>
      </c>
      <c r="J1433" s="75"/>
      <c r="L1433" s="5">
        <v>46239</v>
      </c>
      <c r="O1433" s="9"/>
      <c r="S1433" s="3"/>
    </row>
    <row r="1434" spans="1:19" ht="15" hidden="1" customHeight="1" x14ac:dyDescent="0.35">
      <c r="A1434" s="26" t="s">
        <v>3159</v>
      </c>
      <c r="B1434" s="27" t="s">
        <v>36</v>
      </c>
      <c r="C1434" s="28"/>
      <c r="D1434" s="29" t="s">
        <v>3136</v>
      </c>
      <c r="E1434" s="76">
        <v>1132800</v>
      </c>
      <c r="F1434" s="77">
        <f t="shared" si="67"/>
        <v>90624</v>
      </c>
      <c r="G1434" s="96">
        <f t="shared" si="68"/>
        <v>1223424</v>
      </c>
      <c r="H1434" s="74">
        <v>1223424</v>
      </c>
      <c r="I1434" s="75">
        <f t="shared" si="69"/>
        <v>0</v>
      </c>
      <c r="J1434" s="75"/>
      <c r="L1434" s="5">
        <v>46239</v>
      </c>
      <c r="O1434" s="9"/>
      <c r="S1434" s="3"/>
    </row>
    <row r="1435" spans="1:19" ht="15" hidden="1" customHeight="1" x14ac:dyDescent="0.35">
      <c r="A1435" s="26" t="s">
        <v>3160</v>
      </c>
      <c r="B1435" s="32" t="s">
        <v>3070</v>
      </c>
      <c r="C1435" s="28"/>
      <c r="D1435" s="29" t="s">
        <v>3136</v>
      </c>
      <c r="E1435" s="76">
        <v>1132800</v>
      </c>
      <c r="F1435" s="77">
        <f t="shared" si="67"/>
        <v>90624</v>
      </c>
      <c r="G1435" s="96">
        <f t="shared" si="68"/>
        <v>1223424</v>
      </c>
      <c r="H1435" s="74">
        <v>1223424</v>
      </c>
      <c r="I1435" s="75">
        <f t="shared" si="69"/>
        <v>0</v>
      </c>
      <c r="J1435" s="75"/>
      <c r="L1435" s="5">
        <v>46249</v>
      </c>
      <c r="O1435" s="9"/>
      <c r="S1435" s="3"/>
    </row>
    <row r="1436" spans="1:19" ht="15" hidden="1" customHeight="1" x14ac:dyDescent="0.35">
      <c r="A1436" s="26" t="s">
        <v>3161</v>
      </c>
      <c r="B1436" s="32" t="s">
        <v>3071</v>
      </c>
      <c r="C1436" s="28"/>
      <c r="D1436" s="29" t="s">
        <v>3136</v>
      </c>
      <c r="E1436" s="76">
        <v>1132800</v>
      </c>
      <c r="F1436" s="77">
        <f t="shared" ref="F1436:F1499" si="70">+E1436*0.08</f>
        <v>90624</v>
      </c>
      <c r="G1436" s="96">
        <f t="shared" ref="G1436:G1499" si="71">+F1436+E1436</f>
        <v>1223424</v>
      </c>
      <c r="H1436" s="74">
        <v>1223424</v>
      </c>
      <c r="I1436" s="75">
        <f t="shared" ref="I1436:I1499" si="72">G1436-H1436</f>
        <v>0</v>
      </c>
      <c r="J1436" s="75"/>
      <c r="L1436" s="5">
        <v>46249</v>
      </c>
      <c r="O1436" s="9"/>
      <c r="S1436" s="3"/>
    </row>
    <row r="1437" spans="1:19" ht="15" hidden="1" customHeight="1" x14ac:dyDescent="0.35">
      <c r="A1437" s="26" t="s">
        <v>3162</v>
      </c>
      <c r="B1437" s="32" t="s">
        <v>37</v>
      </c>
      <c r="C1437" s="28"/>
      <c r="D1437" s="29" t="s">
        <v>3136</v>
      </c>
      <c r="E1437" s="76">
        <v>1132800</v>
      </c>
      <c r="F1437" s="77">
        <f t="shared" si="70"/>
        <v>90624</v>
      </c>
      <c r="G1437" s="96">
        <f t="shared" si="71"/>
        <v>1223424</v>
      </c>
      <c r="H1437" s="74">
        <v>1223424</v>
      </c>
      <c r="I1437" s="75">
        <f t="shared" si="72"/>
        <v>0</v>
      </c>
      <c r="J1437" s="75"/>
      <c r="L1437" s="5">
        <v>46239</v>
      </c>
      <c r="O1437" s="9"/>
      <c r="S1437" s="3"/>
    </row>
    <row r="1438" spans="1:19" ht="15" hidden="1" customHeight="1" x14ac:dyDescent="0.35">
      <c r="A1438" s="26" t="s">
        <v>3163</v>
      </c>
      <c r="B1438" s="32" t="s">
        <v>38</v>
      </c>
      <c r="C1438" s="28"/>
      <c r="D1438" s="29" t="s">
        <v>3136</v>
      </c>
      <c r="E1438" s="76">
        <v>1132800</v>
      </c>
      <c r="F1438" s="77">
        <f t="shared" si="70"/>
        <v>90624</v>
      </c>
      <c r="G1438" s="96">
        <f t="shared" si="71"/>
        <v>1223424</v>
      </c>
      <c r="H1438" s="74">
        <v>1223424</v>
      </c>
      <c r="I1438" s="75">
        <f t="shared" si="72"/>
        <v>0</v>
      </c>
      <c r="J1438" s="75"/>
      <c r="L1438" s="5">
        <v>46249</v>
      </c>
      <c r="O1438" s="9"/>
      <c r="S1438" s="3"/>
    </row>
    <row r="1439" spans="1:19" ht="15" hidden="1" customHeight="1" x14ac:dyDescent="0.35">
      <c r="A1439" s="26" t="s">
        <v>3164</v>
      </c>
      <c r="B1439" s="32" t="s">
        <v>39</v>
      </c>
      <c r="C1439" s="28"/>
      <c r="D1439" s="29" t="s">
        <v>3136</v>
      </c>
      <c r="E1439" s="76">
        <v>1132800</v>
      </c>
      <c r="F1439" s="77">
        <f t="shared" si="70"/>
        <v>90624</v>
      </c>
      <c r="G1439" s="96">
        <f t="shared" si="71"/>
        <v>1223424</v>
      </c>
      <c r="H1439" s="74">
        <v>1223424</v>
      </c>
      <c r="I1439" s="75">
        <f t="shared" si="72"/>
        <v>0</v>
      </c>
      <c r="J1439" s="75"/>
      <c r="L1439" s="5">
        <v>46249</v>
      </c>
      <c r="O1439" s="9"/>
      <c r="S1439" s="3"/>
    </row>
    <row r="1440" spans="1:19" ht="15" hidden="1" customHeight="1" x14ac:dyDescent="0.35">
      <c r="A1440" s="26" t="s">
        <v>3165</v>
      </c>
      <c r="B1440" s="32" t="s">
        <v>40</v>
      </c>
      <c r="C1440" s="28"/>
      <c r="D1440" s="29" t="s">
        <v>3136</v>
      </c>
      <c r="E1440" s="76">
        <v>1132800</v>
      </c>
      <c r="F1440" s="77">
        <f t="shared" si="70"/>
        <v>90624</v>
      </c>
      <c r="G1440" s="96">
        <f t="shared" si="71"/>
        <v>1223424</v>
      </c>
      <c r="H1440" s="74">
        <v>1223424</v>
      </c>
      <c r="I1440" s="75">
        <f t="shared" si="72"/>
        <v>0</v>
      </c>
      <c r="J1440" s="75"/>
      <c r="L1440" s="5">
        <v>46249</v>
      </c>
      <c r="O1440" s="9"/>
      <c r="S1440" s="3"/>
    </row>
    <row r="1441" spans="1:19" ht="15" hidden="1" customHeight="1" x14ac:dyDescent="0.35">
      <c r="A1441" s="26" t="s">
        <v>3166</v>
      </c>
      <c r="B1441" s="32" t="s">
        <v>41</v>
      </c>
      <c r="C1441" s="28"/>
      <c r="D1441" s="29" t="s">
        <v>3136</v>
      </c>
      <c r="E1441" s="76">
        <v>1132800</v>
      </c>
      <c r="F1441" s="77">
        <f t="shared" si="70"/>
        <v>90624</v>
      </c>
      <c r="G1441" s="96">
        <f t="shared" si="71"/>
        <v>1223424</v>
      </c>
      <c r="H1441" s="74">
        <v>1223424</v>
      </c>
      <c r="I1441" s="75">
        <f t="shared" si="72"/>
        <v>0</v>
      </c>
      <c r="J1441" s="75"/>
      <c r="L1441" s="5">
        <v>46249</v>
      </c>
      <c r="O1441" s="9"/>
      <c r="S1441" s="3"/>
    </row>
    <row r="1442" spans="1:19" ht="15" hidden="1" customHeight="1" x14ac:dyDescent="0.35">
      <c r="A1442" s="26" t="s">
        <v>3167</v>
      </c>
      <c r="B1442" s="32" t="s">
        <v>544</v>
      </c>
      <c r="C1442" s="28"/>
      <c r="D1442" s="29" t="s">
        <v>3136</v>
      </c>
      <c r="E1442" s="76">
        <v>1132800</v>
      </c>
      <c r="F1442" s="77">
        <f t="shared" si="70"/>
        <v>90624</v>
      </c>
      <c r="G1442" s="96">
        <f t="shared" si="71"/>
        <v>1223424</v>
      </c>
      <c r="H1442" s="74">
        <v>1223424</v>
      </c>
      <c r="I1442" s="75">
        <f t="shared" si="72"/>
        <v>0</v>
      </c>
      <c r="J1442" s="75"/>
      <c r="L1442" s="5">
        <v>46249</v>
      </c>
      <c r="O1442" s="9"/>
      <c r="S1442" s="3"/>
    </row>
    <row r="1443" spans="1:19" ht="15" hidden="1" customHeight="1" x14ac:dyDescent="0.35">
      <c r="A1443" s="26" t="s">
        <v>3168</v>
      </c>
      <c r="B1443" s="32" t="s">
        <v>545</v>
      </c>
      <c r="C1443" s="28"/>
      <c r="D1443" s="29" t="s">
        <v>3137</v>
      </c>
      <c r="E1443" s="76">
        <v>1132800</v>
      </c>
      <c r="F1443" s="77">
        <f t="shared" si="70"/>
        <v>90624</v>
      </c>
      <c r="G1443" s="96">
        <f t="shared" si="71"/>
        <v>1223424</v>
      </c>
      <c r="H1443" s="74">
        <v>1223424</v>
      </c>
      <c r="I1443" s="75">
        <f t="shared" si="72"/>
        <v>0</v>
      </c>
      <c r="J1443" s="75"/>
      <c r="L1443" s="5">
        <v>46239</v>
      </c>
      <c r="O1443" s="9"/>
      <c r="S1443" s="3"/>
    </row>
    <row r="1444" spans="1:19" ht="15" hidden="1" customHeight="1" x14ac:dyDescent="0.35">
      <c r="A1444" s="26" t="s">
        <v>3169</v>
      </c>
      <c r="B1444" s="32" t="s">
        <v>42</v>
      </c>
      <c r="C1444" s="28"/>
      <c r="D1444" s="29" t="s">
        <v>3137</v>
      </c>
      <c r="E1444" s="76">
        <v>840000</v>
      </c>
      <c r="F1444" s="77">
        <f t="shared" si="70"/>
        <v>67200</v>
      </c>
      <c r="G1444" s="96">
        <f t="shared" si="71"/>
        <v>907200</v>
      </c>
      <c r="H1444" s="74">
        <v>907200</v>
      </c>
      <c r="I1444" s="75">
        <f t="shared" si="72"/>
        <v>0</v>
      </c>
      <c r="J1444" s="75"/>
      <c r="L1444" s="5">
        <v>46249</v>
      </c>
      <c r="O1444" s="9"/>
      <c r="S1444" s="3"/>
    </row>
    <row r="1445" spans="1:19" ht="15" customHeight="1" x14ac:dyDescent="0.35">
      <c r="A1445" s="26" t="s">
        <v>3170</v>
      </c>
      <c r="B1445" s="32" t="s">
        <v>43</v>
      </c>
      <c r="C1445" s="28">
        <v>6540</v>
      </c>
      <c r="D1445" s="29">
        <v>46234</v>
      </c>
      <c r="E1445" s="76">
        <v>3638600</v>
      </c>
      <c r="F1445" s="77">
        <f t="shared" si="70"/>
        <v>291088</v>
      </c>
      <c r="G1445" s="96">
        <f t="shared" si="71"/>
        <v>3929688</v>
      </c>
      <c r="H1445" s="74"/>
      <c r="I1445" s="75">
        <f t="shared" si="72"/>
        <v>3929688</v>
      </c>
      <c r="J1445" s="75"/>
      <c r="O1445" s="9"/>
      <c r="S1445" s="3"/>
    </row>
    <row r="1446" spans="1:19" ht="15" customHeight="1" x14ac:dyDescent="0.35">
      <c r="A1446" s="26" t="s">
        <v>3171</v>
      </c>
      <c r="B1446" s="32" t="s">
        <v>44</v>
      </c>
      <c r="C1446" s="28"/>
      <c r="D1446" s="29" t="s">
        <v>3137</v>
      </c>
      <c r="E1446" s="76">
        <v>6090000</v>
      </c>
      <c r="F1446" s="77">
        <f t="shared" si="70"/>
        <v>487200</v>
      </c>
      <c r="G1446" s="96">
        <f t="shared" si="71"/>
        <v>6577200</v>
      </c>
      <c r="H1446" s="74"/>
      <c r="I1446" s="75">
        <f t="shared" si="72"/>
        <v>6577200</v>
      </c>
      <c r="J1446" s="75"/>
      <c r="O1446" s="9"/>
      <c r="S1446" s="3"/>
    </row>
    <row r="1447" spans="1:19" ht="15" hidden="1" customHeight="1" x14ac:dyDescent="0.35">
      <c r="A1447" s="26" t="s">
        <v>3172</v>
      </c>
      <c r="B1447" s="32" t="s">
        <v>546</v>
      </c>
      <c r="C1447" s="28"/>
      <c r="D1447" s="29" t="s">
        <v>3137</v>
      </c>
      <c r="E1447" s="76">
        <v>1132800</v>
      </c>
      <c r="F1447" s="77">
        <f t="shared" si="70"/>
        <v>90624</v>
      </c>
      <c r="G1447" s="96">
        <f t="shared" si="71"/>
        <v>1223424</v>
      </c>
      <c r="H1447" s="74">
        <v>1223424</v>
      </c>
      <c r="I1447" s="75">
        <f t="shared" si="72"/>
        <v>0</v>
      </c>
      <c r="J1447" s="75"/>
      <c r="L1447" s="5">
        <v>46239</v>
      </c>
      <c r="O1447" s="9"/>
      <c r="S1447" s="3"/>
    </row>
    <row r="1448" spans="1:19" ht="15" hidden="1" customHeight="1" x14ac:dyDescent="0.35">
      <c r="A1448" s="26" t="s">
        <v>3173</v>
      </c>
      <c r="B1448" s="32" t="s">
        <v>45</v>
      </c>
      <c r="C1448" s="28"/>
      <c r="D1448" s="29" t="s">
        <v>3137</v>
      </c>
      <c r="E1448" s="76">
        <v>840000</v>
      </c>
      <c r="F1448" s="77">
        <f t="shared" si="70"/>
        <v>67200</v>
      </c>
      <c r="G1448" s="96">
        <f t="shared" si="71"/>
        <v>907200</v>
      </c>
      <c r="H1448" s="74">
        <v>907200</v>
      </c>
      <c r="I1448" s="75">
        <f t="shared" si="72"/>
        <v>0</v>
      </c>
      <c r="J1448" s="75"/>
      <c r="L1448" s="5">
        <v>46239</v>
      </c>
      <c r="O1448" s="9"/>
      <c r="S1448" s="3"/>
    </row>
    <row r="1449" spans="1:19" ht="15" hidden="1" customHeight="1" x14ac:dyDescent="0.35">
      <c r="A1449" s="26" t="s">
        <v>3174</v>
      </c>
      <c r="B1449" s="32" t="s">
        <v>46</v>
      </c>
      <c r="C1449" s="28"/>
      <c r="D1449" s="29" t="s">
        <v>3137</v>
      </c>
      <c r="E1449" s="76">
        <v>840000</v>
      </c>
      <c r="F1449" s="77">
        <f t="shared" si="70"/>
        <v>67200</v>
      </c>
      <c r="G1449" s="96">
        <f t="shared" si="71"/>
        <v>907200</v>
      </c>
      <c r="H1449" s="74">
        <v>907200</v>
      </c>
      <c r="I1449" s="75">
        <f t="shared" si="72"/>
        <v>0</v>
      </c>
      <c r="J1449" s="75"/>
      <c r="L1449" s="5">
        <v>46239</v>
      </c>
      <c r="O1449" s="9"/>
      <c r="S1449" s="3"/>
    </row>
    <row r="1450" spans="1:19" ht="15" hidden="1" customHeight="1" x14ac:dyDescent="0.35">
      <c r="A1450" s="26" t="s">
        <v>3175</v>
      </c>
      <c r="B1450" s="32" t="s">
        <v>47</v>
      </c>
      <c r="C1450" s="28"/>
      <c r="D1450" s="29" t="s">
        <v>3137</v>
      </c>
      <c r="E1450" s="76">
        <v>5918400</v>
      </c>
      <c r="F1450" s="77">
        <f t="shared" si="70"/>
        <v>473472</v>
      </c>
      <c r="G1450" s="96">
        <f t="shared" si="71"/>
        <v>6391872</v>
      </c>
      <c r="H1450" s="74">
        <v>6391872</v>
      </c>
      <c r="I1450" s="75">
        <f t="shared" si="72"/>
        <v>0</v>
      </c>
      <c r="J1450" s="75"/>
      <c r="L1450" s="5">
        <v>46239</v>
      </c>
      <c r="O1450" s="9"/>
      <c r="S1450" s="3"/>
    </row>
    <row r="1451" spans="1:19" ht="15" hidden="1" customHeight="1" x14ac:dyDescent="0.35">
      <c r="A1451" s="26" t="s">
        <v>3176</v>
      </c>
      <c r="B1451" s="32" t="s">
        <v>547</v>
      </c>
      <c r="C1451" s="28"/>
      <c r="D1451" s="29" t="s">
        <v>3137</v>
      </c>
      <c r="E1451" s="76">
        <v>5664000</v>
      </c>
      <c r="F1451" s="77">
        <f t="shared" si="70"/>
        <v>453120</v>
      </c>
      <c r="G1451" s="96">
        <f t="shared" si="71"/>
        <v>6117120</v>
      </c>
      <c r="H1451" s="74">
        <v>6117120</v>
      </c>
      <c r="I1451" s="75">
        <f t="shared" si="72"/>
        <v>0</v>
      </c>
      <c r="J1451" s="75"/>
      <c r="L1451" s="5">
        <v>46249</v>
      </c>
      <c r="O1451" s="9"/>
      <c r="S1451" s="3"/>
    </row>
    <row r="1452" spans="1:19" ht="15" hidden="1" customHeight="1" x14ac:dyDescent="0.35">
      <c r="A1452" s="26" t="s">
        <v>3177</v>
      </c>
      <c r="B1452" s="32" t="s">
        <v>48</v>
      </c>
      <c r="C1452" s="28"/>
      <c r="D1452" s="29" t="s">
        <v>3137</v>
      </c>
      <c r="E1452" s="76">
        <v>1132800</v>
      </c>
      <c r="F1452" s="77">
        <f t="shared" si="70"/>
        <v>90624</v>
      </c>
      <c r="G1452" s="96">
        <f t="shared" si="71"/>
        <v>1223424</v>
      </c>
      <c r="H1452" s="74">
        <v>1223424</v>
      </c>
      <c r="I1452" s="75">
        <f t="shared" si="72"/>
        <v>0</v>
      </c>
      <c r="J1452" s="75"/>
      <c r="L1452" s="5">
        <v>46239</v>
      </c>
      <c r="O1452" s="9"/>
      <c r="S1452" s="3"/>
    </row>
    <row r="1453" spans="1:19" ht="15" hidden="1" customHeight="1" x14ac:dyDescent="0.35">
      <c r="A1453" s="26" t="s">
        <v>3178</v>
      </c>
      <c r="B1453" s="32" t="s">
        <v>49</v>
      </c>
      <c r="C1453" s="28"/>
      <c r="D1453" s="29" t="s">
        <v>3137</v>
      </c>
      <c r="E1453" s="76">
        <v>1972800</v>
      </c>
      <c r="F1453" s="77">
        <f t="shared" si="70"/>
        <v>157824</v>
      </c>
      <c r="G1453" s="96">
        <f t="shared" si="71"/>
        <v>2130624</v>
      </c>
      <c r="H1453" s="74">
        <v>2130624</v>
      </c>
      <c r="I1453" s="75">
        <f t="shared" si="72"/>
        <v>0</v>
      </c>
      <c r="J1453" s="75"/>
      <c r="L1453" s="5">
        <v>46249</v>
      </c>
      <c r="O1453" s="9"/>
      <c r="S1453" s="3"/>
    </row>
    <row r="1454" spans="1:19" ht="15" hidden="1" customHeight="1" x14ac:dyDescent="0.35">
      <c r="A1454" s="26" t="s">
        <v>3179</v>
      </c>
      <c r="B1454" s="32" t="s">
        <v>3072</v>
      </c>
      <c r="C1454" s="28"/>
      <c r="D1454" s="29" t="s">
        <v>3138</v>
      </c>
      <c r="E1454" s="76">
        <v>2010000</v>
      </c>
      <c r="F1454" s="77">
        <f t="shared" si="70"/>
        <v>160800</v>
      </c>
      <c r="G1454" s="96">
        <f t="shared" si="71"/>
        <v>2170800</v>
      </c>
      <c r="H1454" s="74">
        <v>2170800</v>
      </c>
      <c r="I1454" s="75">
        <f t="shared" si="72"/>
        <v>0</v>
      </c>
      <c r="J1454" s="75"/>
      <c r="K1454" s="5">
        <v>46249</v>
      </c>
      <c r="O1454" s="9"/>
      <c r="S1454" s="3"/>
    </row>
    <row r="1455" spans="1:19" ht="15" customHeight="1" x14ac:dyDescent="0.35">
      <c r="A1455" s="26" t="s">
        <v>3180</v>
      </c>
      <c r="B1455" s="32" t="s">
        <v>3073</v>
      </c>
      <c r="C1455" s="28"/>
      <c r="D1455" s="29" t="s">
        <v>3138</v>
      </c>
      <c r="E1455" s="76">
        <v>2990000</v>
      </c>
      <c r="F1455" s="77">
        <f t="shared" si="70"/>
        <v>239200</v>
      </c>
      <c r="G1455" s="96">
        <f t="shared" si="71"/>
        <v>3229200</v>
      </c>
      <c r="H1455" s="74"/>
      <c r="I1455" s="75">
        <f t="shared" si="72"/>
        <v>3229200</v>
      </c>
      <c r="J1455" s="75"/>
      <c r="O1455" s="9"/>
      <c r="S1455" s="3"/>
    </row>
    <row r="1456" spans="1:19" ht="15" customHeight="1" x14ac:dyDescent="0.35">
      <c r="A1456" s="26" t="s">
        <v>3181</v>
      </c>
      <c r="B1456" s="32" t="s">
        <v>3074</v>
      </c>
      <c r="C1456" s="28"/>
      <c r="D1456" s="29" t="s">
        <v>3138</v>
      </c>
      <c r="E1456" s="76">
        <v>5455000</v>
      </c>
      <c r="F1456" s="77">
        <f t="shared" si="70"/>
        <v>436400</v>
      </c>
      <c r="G1456" s="96">
        <f t="shared" si="71"/>
        <v>5891400</v>
      </c>
      <c r="H1456" s="74"/>
      <c r="I1456" s="75">
        <f t="shared" si="72"/>
        <v>5891400</v>
      </c>
      <c r="J1456" s="75"/>
      <c r="O1456" s="9"/>
      <c r="S1456" s="3"/>
    </row>
    <row r="1457" spans="1:19" ht="15" customHeight="1" x14ac:dyDescent="0.35">
      <c r="A1457" s="26" t="s">
        <v>3182</v>
      </c>
      <c r="B1457" s="32" t="s">
        <v>3075</v>
      </c>
      <c r="C1457" s="28"/>
      <c r="D1457" s="29" t="s">
        <v>3138</v>
      </c>
      <c r="E1457" s="76">
        <v>2840000</v>
      </c>
      <c r="F1457" s="77">
        <f t="shared" si="70"/>
        <v>227200</v>
      </c>
      <c r="G1457" s="96">
        <f t="shared" si="71"/>
        <v>3067200</v>
      </c>
      <c r="H1457" s="74"/>
      <c r="I1457" s="75">
        <f t="shared" si="72"/>
        <v>3067200</v>
      </c>
      <c r="J1457" s="75"/>
      <c r="O1457" s="9"/>
      <c r="S1457" s="3"/>
    </row>
    <row r="1458" spans="1:19" ht="15" customHeight="1" x14ac:dyDescent="0.35">
      <c r="A1458" s="26" t="s">
        <v>3183</v>
      </c>
      <c r="B1458" s="32" t="s">
        <v>3076</v>
      </c>
      <c r="C1458" s="28"/>
      <c r="D1458" s="29" t="s">
        <v>3138</v>
      </c>
      <c r="E1458" s="76">
        <v>5765000</v>
      </c>
      <c r="F1458" s="77">
        <f t="shared" si="70"/>
        <v>461200</v>
      </c>
      <c r="G1458" s="96">
        <f t="shared" si="71"/>
        <v>6226200</v>
      </c>
      <c r="H1458" s="74"/>
      <c r="I1458" s="75">
        <f t="shared" si="72"/>
        <v>6226200</v>
      </c>
      <c r="J1458" s="75"/>
      <c r="O1458" s="9"/>
      <c r="S1458" s="3"/>
    </row>
    <row r="1459" spans="1:19" ht="15" customHeight="1" x14ac:dyDescent="0.35">
      <c r="A1459" s="26" t="s">
        <v>3184</v>
      </c>
      <c r="B1459" s="32" t="s">
        <v>3077</v>
      </c>
      <c r="C1459" s="28"/>
      <c r="D1459" s="29" t="s">
        <v>3138</v>
      </c>
      <c r="E1459" s="76">
        <v>5125000</v>
      </c>
      <c r="F1459" s="77">
        <f t="shared" si="70"/>
        <v>410000</v>
      </c>
      <c r="G1459" s="96">
        <f t="shared" si="71"/>
        <v>5535000</v>
      </c>
      <c r="H1459" s="74"/>
      <c r="I1459" s="75">
        <f t="shared" si="72"/>
        <v>5535000</v>
      </c>
      <c r="J1459" s="75"/>
      <c r="O1459" s="9"/>
      <c r="S1459" s="3"/>
    </row>
    <row r="1460" spans="1:19" ht="15" customHeight="1" x14ac:dyDescent="0.35">
      <c r="A1460" s="26" t="s">
        <v>3185</v>
      </c>
      <c r="B1460" s="32" t="s">
        <v>3078</v>
      </c>
      <c r="C1460" s="28">
        <v>6018</v>
      </c>
      <c r="D1460" s="29">
        <v>46218</v>
      </c>
      <c r="E1460" s="76">
        <v>8888000</v>
      </c>
      <c r="F1460" s="77">
        <f t="shared" si="70"/>
        <v>711040</v>
      </c>
      <c r="G1460" s="96">
        <f t="shared" si="71"/>
        <v>9599040</v>
      </c>
      <c r="H1460" s="74"/>
      <c r="I1460" s="75">
        <f t="shared" si="72"/>
        <v>9599040</v>
      </c>
      <c r="J1460" s="75"/>
      <c r="O1460" s="9"/>
      <c r="S1460" s="3"/>
    </row>
    <row r="1461" spans="1:19" ht="15" hidden="1" customHeight="1" x14ac:dyDescent="0.35">
      <c r="A1461" s="26" t="s">
        <v>3186</v>
      </c>
      <c r="B1461" s="32" t="s">
        <v>3079</v>
      </c>
      <c r="C1461" s="28"/>
      <c r="D1461" s="29" t="s">
        <v>3138</v>
      </c>
      <c r="E1461" s="76">
        <v>7410000</v>
      </c>
      <c r="F1461" s="77">
        <f t="shared" si="70"/>
        <v>592800</v>
      </c>
      <c r="G1461" s="96">
        <f t="shared" si="71"/>
        <v>8002800</v>
      </c>
      <c r="H1461" s="74">
        <v>8002800</v>
      </c>
      <c r="I1461" s="75">
        <f t="shared" si="72"/>
        <v>0</v>
      </c>
      <c r="J1461" s="75"/>
      <c r="K1461" s="5">
        <v>46249</v>
      </c>
      <c r="O1461" s="9"/>
      <c r="S1461" s="3"/>
    </row>
    <row r="1462" spans="1:19" ht="15" customHeight="1" x14ac:dyDescent="0.35">
      <c r="A1462" s="26" t="s">
        <v>3187</v>
      </c>
      <c r="B1462" s="32" t="s">
        <v>3080</v>
      </c>
      <c r="C1462" s="28"/>
      <c r="D1462" s="29" t="s">
        <v>3138</v>
      </c>
      <c r="E1462" s="76">
        <v>640000</v>
      </c>
      <c r="F1462" s="77">
        <f t="shared" si="70"/>
        <v>51200</v>
      </c>
      <c r="G1462" s="96">
        <f t="shared" si="71"/>
        <v>691200</v>
      </c>
      <c r="H1462" s="74"/>
      <c r="I1462" s="75">
        <f t="shared" si="72"/>
        <v>691200</v>
      </c>
      <c r="J1462" s="75"/>
      <c r="O1462" s="9"/>
      <c r="S1462" s="3"/>
    </row>
    <row r="1463" spans="1:19" ht="15" customHeight="1" x14ac:dyDescent="0.35">
      <c r="A1463" s="26" t="s">
        <v>3188</v>
      </c>
      <c r="B1463" s="27" t="s">
        <v>3081</v>
      </c>
      <c r="C1463" s="28"/>
      <c r="D1463" s="29" t="s">
        <v>3138</v>
      </c>
      <c r="E1463" s="76">
        <v>23140000</v>
      </c>
      <c r="F1463" s="77">
        <f t="shared" si="70"/>
        <v>1851200</v>
      </c>
      <c r="G1463" s="96">
        <f t="shared" si="71"/>
        <v>24991200</v>
      </c>
      <c r="H1463" s="74"/>
      <c r="I1463" s="75">
        <f t="shared" si="72"/>
        <v>24991200</v>
      </c>
      <c r="J1463" s="75"/>
      <c r="O1463" s="9"/>
      <c r="S1463" s="3"/>
    </row>
    <row r="1464" spans="1:19" ht="15" customHeight="1" x14ac:dyDescent="0.35">
      <c r="A1464" s="26" t="s">
        <v>3189</v>
      </c>
      <c r="B1464" s="32" t="s">
        <v>3082</v>
      </c>
      <c r="C1464" s="28">
        <v>6017</v>
      </c>
      <c r="D1464" s="29">
        <v>46218</v>
      </c>
      <c r="E1464" s="76">
        <v>1005000</v>
      </c>
      <c r="F1464" s="77">
        <f t="shared" si="70"/>
        <v>80400</v>
      </c>
      <c r="G1464" s="96">
        <f t="shared" si="71"/>
        <v>1085400</v>
      </c>
      <c r="H1464" s="74"/>
      <c r="I1464" s="75">
        <f t="shared" si="72"/>
        <v>1085400</v>
      </c>
      <c r="J1464" s="75"/>
      <c r="O1464" s="9"/>
      <c r="S1464" s="3"/>
    </row>
    <row r="1465" spans="1:19" ht="15" hidden="1" customHeight="1" x14ac:dyDescent="0.35">
      <c r="A1465" s="26" t="s">
        <v>3190</v>
      </c>
      <c r="B1465" s="32" t="s">
        <v>3083</v>
      </c>
      <c r="C1465" s="28"/>
      <c r="D1465" s="29" t="s">
        <v>3138</v>
      </c>
      <c r="E1465" s="76">
        <v>5245000</v>
      </c>
      <c r="F1465" s="77">
        <f t="shared" si="70"/>
        <v>419600</v>
      </c>
      <c r="G1465" s="96">
        <f t="shared" si="71"/>
        <v>5664600</v>
      </c>
      <c r="H1465" s="74">
        <v>5664600</v>
      </c>
      <c r="I1465" s="75">
        <f t="shared" si="72"/>
        <v>0</v>
      </c>
      <c r="J1465" s="75"/>
      <c r="K1465" s="5">
        <v>46249</v>
      </c>
      <c r="O1465" s="9"/>
      <c r="S1465" s="3"/>
    </row>
    <row r="1466" spans="1:19" ht="15" customHeight="1" x14ac:dyDescent="0.35">
      <c r="A1466" s="26" t="s">
        <v>3191</v>
      </c>
      <c r="B1466" s="32" t="s">
        <v>3084</v>
      </c>
      <c r="C1466" s="28">
        <v>6019</v>
      </c>
      <c r="D1466" s="29">
        <v>46218</v>
      </c>
      <c r="E1466" s="76">
        <v>3523500</v>
      </c>
      <c r="F1466" s="77">
        <f t="shared" si="70"/>
        <v>281880</v>
      </c>
      <c r="G1466" s="96">
        <f t="shared" si="71"/>
        <v>3805380</v>
      </c>
      <c r="H1466" s="74"/>
      <c r="I1466" s="75">
        <f t="shared" si="72"/>
        <v>3805380</v>
      </c>
      <c r="J1466" s="75"/>
      <c r="O1466" s="9"/>
      <c r="S1466" s="3"/>
    </row>
    <row r="1467" spans="1:19" ht="15" customHeight="1" x14ac:dyDescent="0.35">
      <c r="A1467" s="26" t="s">
        <v>3192</v>
      </c>
      <c r="B1467" s="32" t="s">
        <v>3085</v>
      </c>
      <c r="C1467" s="28"/>
      <c r="D1467" s="29" t="s">
        <v>3138</v>
      </c>
      <c r="E1467" s="76">
        <v>7055000</v>
      </c>
      <c r="F1467" s="77">
        <f t="shared" si="70"/>
        <v>564400</v>
      </c>
      <c r="G1467" s="96">
        <f t="shared" si="71"/>
        <v>7619400</v>
      </c>
      <c r="H1467" s="74"/>
      <c r="I1467" s="75">
        <f t="shared" si="72"/>
        <v>7619400</v>
      </c>
      <c r="J1467" s="75"/>
      <c r="O1467" s="9"/>
      <c r="S1467" s="3"/>
    </row>
    <row r="1468" spans="1:19" ht="15" customHeight="1" x14ac:dyDescent="0.35">
      <c r="A1468" s="26" t="s">
        <v>3193</v>
      </c>
      <c r="B1468" s="32" t="s">
        <v>3086</v>
      </c>
      <c r="C1468" s="28">
        <v>6014</v>
      </c>
      <c r="D1468" s="29">
        <v>46218</v>
      </c>
      <c r="E1468" s="76">
        <v>3678500</v>
      </c>
      <c r="F1468" s="77">
        <f t="shared" si="70"/>
        <v>294280</v>
      </c>
      <c r="G1468" s="96">
        <f t="shared" si="71"/>
        <v>3972780</v>
      </c>
      <c r="H1468" s="74"/>
      <c r="I1468" s="75">
        <f t="shared" si="72"/>
        <v>3972780</v>
      </c>
      <c r="J1468" s="75"/>
      <c r="O1468" s="9"/>
      <c r="S1468" s="3"/>
    </row>
    <row r="1469" spans="1:19" ht="15" customHeight="1" x14ac:dyDescent="0.35">
      <c r="A1469" s="26" t="s">
        <v>3194</v>
      </c>
      <c r="B1469" s="32" t="s">
        <v>3087</v>
      </c>
      <c r="C1469" s="28"/>
      <c r="D1469" s="29" t="s">
        <v>3138</v>
      </c>
      <c r="E1469" s="76">
        <v>2850000</v>
      </c>
      <c r="F1469" s="77">
        <f t="shared" si="70"/>
        <v>228000</v>
      </c>
      <c r="G1469" s="96">
        <f t="shared" si="71"/>
        <v>3078000</v>
      </c>
      <c r="H1469" s="74"/>
      <c r="I1469" s="75">
        <f t="shared" si="72"/>
        <v>3078000</v>
      </c>
      <c r="J1469" s="75"/>
      <c r="O1469" s="9"/>
      <c r="S1469" s="3"/>
    </row>
    <row r="1470" spans="1:19" ht="15" hidden="1" customHeight="1" x14ac:dyDescent="0.35">
      <c r="A1470" s="26" t="s">
        <v>3195</v>
      </c>
      <c r="B1470" s="32" t="s">
        <v>3088</v>
      </c>
      <c r="C1470" s="28"/>
      <c r="D1470" s="29" t="s">
        <v>3138</v>
      </c>
      <c r="E1470" s="76">
        <v>8375000</v>
      </c>
      <c r="F1470" s="77">
        <f t="shared" si="70"/>
        <v>670000</v>
      </c>
      <c r="G1470" s="96">
        <f t="shared" si="71"/>
        <v>9045000</v>
      </c>
      <c r="H1470" s="74">
        <v>9045000</v>
      </c>
      <c r="I1470" s="75">
        <f t="shared" si="72"/>
        <v>0</v>
      </c>
      <c r="J1470" s="75"/>
      <c r="K1470" s="5">
        <v>46249</v>
      </c>
      <c r="O1470" s="9"/>
      <c r="S1470" s="3"/>
    </row>
    <row r="1471" spans="1:19" ht="15" customHeight="1" x14ac:dyDescent="0.35">
      <c r="A1471" s="26" t="s">
        <v>3196</v>
      </c>
      <c r="B1471" s="32" t="s">
        <v>3089</v>
      </c>
      <c r="C1471" s="28">
        <v>6020</v>
      </c>
      <c r="D1471" s="29">
        <v>46218</v>
      </c>
      <c r="E1471" s="76">
        <v>5616000</v>
      </c>
      <c r="F1471" s="77">
        <f t="shared" si="70"/>
        <v>449280</v>
      </c>
      <c r="G1471" s="96">
        <f t="shared" si="71"/>
        <v>6065280</v>
      </c>
      <c r="H1471" s="74"/>
      <c r="I1471" s="75">
        <f t="shared" si="72"/>
        <v>6065280</v>
      </c>
      <c r="J1471" s="75"/>
      <c r="O1471" s="9"/>
      <c r="S1471" s="3"/>
    </row>
    <row r="1472" spans="1:19" ht="15" hidden="1" customHeight="1" x14ac:dyDescent="0.35">
      <c r="A1472" s="26" t="s">
        <v>3197</v>
      </c>
      <c r="B1472" s="32" t="s">
        <v>3090</v>
      </c>
      <c r="C1472" s="28"/>
      <c r="D1472" s="29" t="s">
        <v>3138</v>
      </c>
      <c r="E1472" s="76">
        <v>5955000</v>
      </c>
      <c r="F1472" s="77">
        <f t="shared" si="70"/>
        <v>476400</v>
      </c>
      <c r="G1472" s="96">
        <f t="shared" si="71"/>
        <v>6431400</v>
      </c>
      <c r="H1472" s="74">
        <v>6431400</v>
      </c>
      <c r="I1472" s="75">
        <f t="shared" si="72"/>
        <v>0</v>
      </c>
      <c r="J1472" s="75"/>
      <c r="K1472" s="5">
        <v>46249</v>
      </c>
      <c r="O1472" s="9"/>
      <c r="S1472" s="3"/>
    </row>
    <row r="1473" spans="1:19" ht="15" customHeight="1" x14ac:dyDescent="0.35">
      <c r="A1473" s="26" t="s">
        <v>3198</v>
      </c>
      <c r="B1473" s="32" t="s">
        <v>3091</v>
      </c>
      <c r="C1473" s="28"/>
      <c r="D1473" s="29" t="s">
        <v>3138</v>
      </c>
      <c r="E1473" s="76">
        <v>750000</v>
      </c>
      <c r="F1473" s="77">
        <f t="shared" si="70"/>
        <v>60000</v>
      </c>
      <c r="G1473" s="96">
        <f t="shared" si="71"/>
        <v>810000</v>
      </c>
      <c r="H1473" s="74"/>
      <c r="I1473" s="75">
        <f t="shared" si="72"/>
        <v>810000</v>
      </c>
      <c r="J1473" s="75"/>
      <c r="O1473" s="9"/>
      <c r="S1473" s="3"/>
    </row>
    <row r="1474" spans="1:19" ht="15" customHeight="1" x14ac:dyDescent="0.35">
      <c r="A1474" s="26" t="s">
        <v>3199</v>
      </c>
      <c r="B1474" s="32" t="s">
        <v>3092</v>
      </c>
      <c r="C1474" s="28"/>
      <c r="D1474" s="29" t="s">
        <v>3138</v>
      </c>
      <c r="E1474" s="76">
        <v>4030000</v>
      </c>
      <c r="F1474" s="77">
        <f t="shared" si="70"/>
        <v>322400</v>
      </c>
      <c r="G1474" s="96">
        <f t="shared" si="71"/>
        <v>4352400</v>
      </c>
      <c r="H1474" s="74"/>
      <c r="I1474" s="75">
        <f t="shared" si="72"/>
        <v>4352400</v>
      </c>
      <c r="J1474" s="75"/>
      <c r="O1474" s="9"/>
      <c r="S1474" s="3"/>
    </row>
    <row r="1475" spans="1:19" ht="15" hidden="1" customHeight="1" x14ac:dyDescent="0.35">
      <c r="A1475" s="26" t="s">
        <v>3200</v>
      </c>
      <c r="B1475" s="32" t="s">
        <v>3093</v>
      </c>
      <c r="C1475" s="28"/>
      <c r="D1475" s="29" t="s">
        <v>3138</v>
      </c>
      <c r="E1475" s="76">
        <v>1680000</v>
      </c>
      <c r="F1475" s="77">
        <f t="shared" si="70"/>
        <v>134400</v>
      </c>
      <c r="G1475" s="96">
        <f t="shared" si="71"/>
        <v>1814400</v>
      </c>
      <c r="H1475" s="74">
        <v>1814400</v>
      </c>
      <c r="I1475" s="75">
        <f t="shared" si="72"/>
        <v>0</v>
      </c>
      <c r="J1475" s="75"/>
      <c r="K1475" s="5">
        <v>46249</v>
      </c>
      <c r="O1475" s="9"/>
      <c r="S1475" s="3"/>
    </row>
    <row r="1476" spans="1:19" ht="15" customHeight="1" x14ac:dyDescent="0.35">
      <c r="A1476" s="26" t="s">
        <v>3201</v>
      </c>
      <c r="B1476" s="32" t="s">
        <v>3094</v>
      </c>
      <c r="C1476" s="28"/>
      <c r="D1476" s="29" t="s">
        <v>3138</v>
      </c>
      <c r="E1476" s="76">
        <v>5670000</v>
      </c>
      <c r="F1476" s="77">
        <f t="shared" si="70"/>
        <v>453600</v>
      </c>
      <c r="G1476" s="96">
        <f t="shared" si="71"/>
        <v>6123600</v>
      </c>
      <c r="H1476" s="74"/>
      <c r="I1476" s="75">
        <f t="shared" si="72"/>
        <v>6123600</v>
      </c>
      <c r="J1476" s="75"/>
      <c r="O1476" s="9"/>
      <c r="S1476" s="3"/>
    </row>
    <row r="1477" spans="1:19" ht="15" customHeight="1" x14ac:dyDescent="0.35">
      <c r="A1477" s="26" t="s">
        <v>3202</v>
      </c>
      <c r="B1477" s="32" t="s">
        <v>3095</v>
      </c>
      <c r="C1477" s="28">
        <v>6016</v>
      </c>
      <c r="D1477" s="29">
        <v>46218</v>
      </c>
      <c r="E1477" s="76">
        <v>8782500</v>
      </c>
      <c r="F1477" s="77">
        <f t="shared" si="70"/>
        <v>702600</v>
      </c>
      <c r="G1477" s="96">
        <f t="shared" si="71"/>
        <v>9485100</v>
      </c>
      <c r="H1477" s="74"/>
      <c r="I1477" s="75">
        <f t="shared" si="72"/>
        <v>9485100</v>
      </c>
      <c r="J1477" s="75"/>
      <c r="O1477" s="9"/>
      <c r="S1477" s="3"/>
    </row>
    <row r="1478" spans="1:19" ht="15" hidden="1" customHeight="1" x14ac:dyDescent="0.35">
      <c r="A1478" s="26" t="s">
        <v>3203</v>
      </c>
      <c r="B1478" s="32" t="s">
        <v>3096</v>
      </c>
      <c r="C1478" s="28"/>
      <c r="D1478" s="29" t="s">
        <v>3138</v>
      </c>
      <c r="E1478" s="76">
        <v>4920000</v>
      </c>
      <c r="F1478" s="77">
        <f t="shared" si="70"/>
        <v>393600</v>
      </c>
      <c r="G1478" s="96">
        <f t="shared" si="71"/>
        <v>5313600</v>
      </c>
      <c r="H1478" s="74">
        <v>5313600</v>
      </c>
      <c r="I1478" s="75">
        <f t="shared" si="72"/>
        <v>0</v>
      </c>
      <c r="J1478" s="75"/>
      <c r="K1478" s="5">
        <v>46249</v>
      </c>
      <c r="O1478" s="9"/>
      <c r="S1478" s="3"/>
    </row>
    <row r="1479" spans="1:19" ht="15" customHeight="1" x14ac:dyDescent="0.35">
      <c r="A1479" s="26" t="s">
        <v>3204</v>
      </c>
      <c r="B1479" s="32" t="s">
        <v>3097</v>
      </c>
      <c r="C1479" s="28"/>
      <c r="D1479" s="29" t="s">
        <v>3138</v>
      </c>
      <c r="E1479" s="76">
        <v>1005000</v>
      </c>
      <c r="F1479" s="77">
        <f t="shared" si="70"/>
        <v>80400</v>
      </c>
      <c r="G1479" s="96">
        <f t="shared" si="71"/>
        <v>1085400</v>
      </c>
      <c r="H1479" s="74"/>
      <c r="I1479" s="75">
        <f t="shared" si="72"/>
        <v>1085400</v>
      </c>
      <c r="J1479" s="75"/>
      <c r="O1479" s="9"/>
      <c r="S1479" s="3"/>
    </row>
    <row r="1480" spans="1:19" ht="15" customHeight="1" x14ac:dyDescent="0.35">
      <c r="A1480" s="26" t="s">
        <v>3205</v>
      </c>
      <c r="B1480" s="32" t="s">
        <v>3098</v>
      </c>
      <c r="C1480" s="28"/>
      <c r="D1480" s="29" t="s">
        <v>3138</v>
      </c>
      <c r="E1480" s="76">
        <v>1755000</v>
      </c>
      <c r="F1480" s="77">
        <f t="shared" si="70"/>
        <v>140400</v>
      </c>
      <c r="G1480" s="96">
        <f t="shared" si="71"/>
        <v>1895400</v>
      </c>
      <c r="H1480" s="74"/>
      <c r="I1480" s="75">
        <f t="shared" si="72"/>
        <v>1895400</v>
      </c>
      <c r="J1480" s="75"/>
      <c r="O1480" s="9"/>
      <c r="S1480" s="3"/>
    </row>
    <row r="1481" spans="1:19" ht="15" customHeight="1" x14ac:dyDescent="0.35">
      <c r="A1481" s="26" t="s">
        <v>3206</v>
      </c>
      <c r="B1481" s="27" t="s">
        <v>3099</v>
      </c>
      <c r="C1481" s="28"/>
      <c r="D1481" s="29" t="s">
        <v>3138</v>
      </c>
      <c r="E1481" s="76">
        <v>14385000</v>
      </c>
      <c r="F1481" s="77">
        <f t="shared" si="70"/>
        <v>1150800</v>
      </c>
      <c r="G1481" s="96">
        <f t="shared" si="71"/>
        <v>15535800</v>
      </c>
      <c r="H1481" s="74"/>
      <c r="I1481" s="75">
        <f t="shared" si="72"/>
        <v>15535800</v>
      </c>
      <c r="J1481" s="75"/>
      <c r="O1481" s="9"/>
      <c r="S1481" s="3"/>
    </row>
    <row r="1482" spans="1:19" ht="15" customHeight="1" x14ac:dyDescent="0.35">
      <c r="A1482" s="26" t="s">
        <v>3207</v>
      </c>
      <c r="B1482" s="32" t="s">
        <v>3100</v>
      </c>
      <c r="C1482" s="28"/>
      <c r="D1482" s="29" t="s">
        <v>3138</v>
      </c>
      <c r="E1482" s="76">
        <v>9365000</v>
      </c>
      <c r="F1482" s="77">
        <f t="shared" si="70"/>
        <v>749200</v>
      </c>
      <c r="G1482" s="96">
        <f t="shared" si="71"/>
        <v>10114200</v>
      </c>
      <c r="H1482" s="74"/>
      <c r="I1482" s="75">
        <f t="shared" si="72"/>
        <v>10114200</v>
      </c>
      <c r="J1482" s="75"/>
      <c r="O1482" s="9"/>
      <c r="S1482" s="3"/>
    </row>
    <row r="1483" spans="1:19" ht="15" hidden="1" customHeight="1" x14ac:dyDescent="0.35">
      <c r="A1483" s="26" t="s">
        <v>3208</v>
      </c>
      <c r="B1483" s="32" t="s">
        <v>3101</v>
      </c>
      <c r="C1483" s="28"/>
      <c r="D1483" s="29" t="s">
        <v>3138</v>
      </c>
      <c r="E1483" s="76">
        <v>3930000</v>
      </c>
      <c r="F1483" s="77">
        <f t="shared" si="70"/>
        <v>314400</v>
      </c>
      <c r="G1483" s="96">
        <f t="shared" si="71"/>
        <v>4244400</v>
      </c>
      <c r="H1483" s="74">
        <v>4244400</v>
      </c>
      <c r="I1483" s="75">
        <f t="shared" si="72"/>
        <v>0</v>
      </c>
      <c r="J1483" s="75"/>
      <c r="K1483" s="5">
        <v>46249</v>
      </c>
      <c r="O1483" s="9"/>
      <c r="S1483" s="3"/>
    </row>
    <row r="1484" spans="1:19" ht="15" hidden="1" customHeight="1" x14ac:dyDescent="0.35">
      <c r="A1484" s="26" t="s">
        <v>3209</v>
      </c>
      <c r="B1484" s="32" t="s">
        <v>3102</v>
      </c>
      <c r="C1484" s="28"/>
      <c r="D1484" s="29" t="s">
        <v>3138</v>
      </c>
      <c r="E1484" s="76">
        <v>12760000</v>
      </c>
      <c r="F1484" s="77">
        <f t="shared" si="70"/>
        <v>1020800</v>
      </c>
      <c r="G1484" s="96">
        <f t="shared" si="71"/>
        <v>13780800</v>
      </c>
      <c r="H1484" s="74">
        <v>13780800</v>
      </c>
      <c r="I1484" s="75">
        <f t="shared" si="72"/>
        <v>0</v>
      </c>
      <c r="J1484" s="75"/>
      <c r="K1484" s="5">
        <v>46249</v>
      </c>
      <c r="O1484" s="9"/>
      <c r="S1484" s="3"/>
    </row>
    <row r="1485" spans="1:19" ht="15" customHeight="1" x14ac:dyDescent="0.35">
      <c r="A1485" s="26" t="s">
        <v>3210</v>
      </c>
      <c r="B1485" s="32" t="s">
        <v>3103</v>
      </c>
      <c r="C1485" s="28"/>
      <c r="D1485" s="29" t="s">
        <v>3138</v>
      </c>
      <c r="E1485" s="76">
        <v>1005000</v>
      </c>
      <c r="F1485" s="77">
        <f t="shared" si="70"/>
        <v>80400</v>
      </c>
      <c r="G1485" s="96">
        <f t="shared" si="71"/>
        <v>1085400</v>
      </c>
      <c r="H1485" s="74"/>
      <c r="I1485" s="75">
        <f t="shared" si="72"/>
        <v>1085400</v>
      </c>
      <c r="J1485" s="75"/>
      <c r="O1485" s="9"/>
      <c r="S1485" s="3"/>
    </row>
    <row r="1486" spans="1:19" ht="15" customHeight="1" x14ac:dyDescent="0.35">
      <c r="A1486" s="26" t="s">
        <v>3211</v>
      </c>
      <c r="B1486" s="32" t="s">
        <v>3104</v>
      </c>
      <c r="C1486" s="28">
        <v>6013</v>
      </c>
      <c r="D1486" s="29">
        <v>46218</v>
      </c>
      <c r="E1486" s="76">
        <v>4716000</v>
      </c>
      <c r="F1486" s="77">
        <f t="shared" si="70"/>
        <v>377280</v>
      </c>
      <c r="G1486" s="96">
        <f t="shared" si="71"/>
        <v>5093280</v>
      </c>
      <c r="H1486" s="74"/>
      <c r="I1486" s="75">
        <f t="shared" si="72"/>
        <v>5093280</v>
      </c>
      <c r="J1486" s="75"/>
      <c r="O1486" s="9"/>
      <c r="S1486" s="3"/>
    </row>
    <row r="1487" spans="1:19" ht="15" customHeight="1" x14ac:dyDescent="0.35">
      <c r="A1487" s="26" t="s">
        <v>3212</v>
      </c>
      <c r="B1487" s="32" t="s">
        <v>3105</v>
      </c>
      <c r="C1487" s="28"/>
      <c r="D1487" s="29" t="s">
        <v>3138</v>
      </c>
      <c r="E1487" s="76">
        <v>990000</v>
      </c>
      <c r="F1487" s="77">
        <f t="shared" si="70"/>
        <v>79200</v>
      </c>
      <c r="G1487" s="96">
        <f t="shared" si="71"/>
        <v>1069200</v>
      </c>
      <c r="H1487" s="74"/>
      <c r="I1487" s="75">
        <f t="shared" si="72"/>
        <v>1069200</v>
      </c>
      <c r="J1487" s="75"/>
      <c r="O1487" s="9"/>
      <c r="S1487" s="3"/>
    </row>
    <row r="1488" spans="1:19" ht="15" hidden="1" customHeight="1" x14ac:dyDescent="0.35">
      <c r="A1488" s="26" t="s">
        <v>3213</v>
      </c>
      <c r="B1488" s="32" t="s">
        <v>3106</v>
      </c>
      <c r="C1488" s="28"/>
      <c r="D1488" s="29" t="s">
        <v>3138</v>
      </c>
      <c r="E1488" s="76">
        <v>3615000</v>
      </c>
      <c r="F1488" s="77">
        <f t="shared" si="70"/>
        <v>289200</v>
      </c>
      <c r="G1488" s="96">
        <f t="shared" si="71"/>
        <v>3904200</v>
      </c>
      <c r="H1488" s="74">
        <v>3904200</v>
      </c>
      <c r="I1488" s="75">
        <f t="shared" si="72"/>
        <v>0</v>
      </c>
      <c r="J1488" s="75"/>
      <c r="K1488" s="5">
        <v>46249</v>
      </c>
      <c r="O1488" s="9"/>
      <c r="S1488" s="3"/>
    </row>
    <row r="1489" spans="1:19" ht="15" customHeight="1" x14ac:dyDescent="0.35">
      <c r="A1489" s="26" t="s">
        <v>3214</v>
      </c>
      <c r="B1489" s="32" t="s">
        <v>3107</v>
      </c>
      <c r="C1489" s="28"/>
      <c r="D1489" s="29" t="s">
        <v>3138</v>
      </c>
      <c r="E1489" s="76">
        <v>1040000</v>
      </c>
      <c r="F1489" s="77">
        <f t="shared" si="70"/>
        <v>83200</v>
      </c>
      <c r="G1489" s="96">
        <f t="shared" si="71"/>
        <v>1123200</v>
      </c>
      <c r="H1489" s="74"/>
      <c r="I1489" s="75">
        <f t="shared" si="72"/>
        <v>1123200</v>
      </c>
      <c r="J1489" s="75"/>
      <c r="K1489" s="3"/>
      <c r="O1489" s="9"/>
      <c r="S1489" s="3"/>
    </row>
    <row r="1490" spans="1:19" ht="15" customHeight="1" x14ac:dyDescent="0.35">
      <c r="A1490" s="26" t="s">
        <v>3215</v>
      </c>
      <c r="B1490" s="32" t="s">
        <v>3108</v>
      </c>
      <c r="C1490" s="28"/>
      <c r="D1490" s="29" t="s">
        <v>3138</v>
      </c>
      <c r="E1490" s="76">
        <v>750000</v>
      </c>
      <c r="F1490" s="77">
        <f t="shared" si="70"/>
        <v>60000</v>
      </c>
      <c r="G1490" s="96">
        <f t="shared" si="71"/>
        <v>810000</v>
      </c>
      <c r="H1490" s="74"/>
      <c r="I1490" s="75">
        <f t="shared" si="72"/>
        <v>810000</v>
      </c>
      <c r="J1490" s="75"/>
      <c r="K1490" s="3"/>
      <c r="O1490" s="9"/>
      <c r="S1490" s="3"/>
    </row>
    <row r="1491" spans="1:19" ht="15" customHeight="1" x14ac:dyDescent="0.35">
      <c r="A1491" s="26" t="s">
        <v>3216</v>
      </c>
      <c r="B1491" s="32" t="s">
        <v>3109</v>
      </c>
      <c r="C1491" s="28"/>
      <c r="D1491" s="29" t="s">
        <v>3138</v>
      </c>
      <c r="E1491" s="76">
        <v>1005000</v>
      </c>
      <c r="F1491" s="77">
        <f t="shared" si="70"/>
        <v>80400</v>
      </c>
      <c r="G1491" s="96">
        <f t="shared" si="71"/>
        <v>1085400</v>
      </c>
      <c r="H1491" s="74"/>
      <c r="I1491" s="75">
        <f t="shared" si="72"/>
        <v>1085400</v>
      </c>
      <c r="J1491" s="75"/>
      <c r="K1491" s="3"/>
      <c r="O1491" s="9"/>
      <c r="S1491" s="3"/>
    </row>
    <row r="1492" spans="1:19" ht="15" customHeight="1" x14ac:dyDescent="0.35">
      <c r="A1492" s="26" t="s">
        <v>3217</v>
      </c>
      <c r="B1492" s="32" t="s">
        <v>3110</v>
      </c>
      <c r="C1492" s="28"/>
      <c r="D1492" s="29" t="s">
        <v>3138</v>
      </c>
      <c r="E1492" s="76">
        <v>1005000</v>
      </c>
      <c r="F1492" s="77">
        <f t="shared" si="70"/>
        <v>80400</v>
      </c>
      <c r="G1492" s="96">
        <f t="shared" si="71"/>
        <v>1085400</v>
      </c>
      <c r="H1492" s="74"/>
      <c r="I1492" s="75">
        <f t="shared" si="72"/>
        <v>1085400</v>
      </c>
      <c r="J1492" s="75"/>
      <c r="K1492" s="3"/>
      <c r="O1492" s="9"/>
      <c r="S1492" s="3"/>
    </row>
    <row r="1493" spans="1:19" ht="15" customHeight="1" x14ac:dyDescent="0.35">
      <c r="A1493" s="26" t="s">
        <v>3218</v>
      </c>
      <c r="B1493" s="32" t="s">
        <v>3111</v>
      </c>
      <c r="C1493" s="28"/>
      <c r="D1493" s="29" t="s">
        <v>3138</v>
      </c>
      <c r="E1493" s="76">
        <v>3000000</v>
      </c>
      <c r="F1493" s="77">
        <f t="shared" si="70"/>
        <v>240000</v>
      </c>
      <c r="G1493" s="96">
        <f t="shared" si="71"/>
        <v>3240000</v>
      </c>
      <c r="H1493" s="74"/>
      <c r="I1493" s="75">
        <f t="shared" si="72"/>
        <v>3240000</v>
      </c>
      <c r="J1493" s="75"/>
      <c r="K1493" s="3"/>
      <c r="O1493" s="9"/>
      <c r="S1493" s="3"/>
    </row>
    <row r="1494" spans="1:19" ht="15" customHeight="1" x14ac:dyDescent="0.35">
      <c r="A1494" s="26" t="s">
        <v>3219</v>
      </c>
      <c r="B1494" s="32" t="s">
        <v>3112</v>
      </c>
      <c r="C1494" s="28"/>
      <c r="D1494" s="29" t="s">
        <v>3138</v>
      </c>
      <c r="E1494" s="76">
        <v>1005000</v>
      </c>
      <c r="F1494" s="77">
        <f t="shared" si="70"/>
        <v>80400</v>
      </c>
      <c r="G1494" s="96">
        <f t="shared" si="71"/>
        <v>1085400</v>
      </c>
      <c r="H1494" s="74"/>
      <c r="I1494" s="75">
        <f t="shared" si="72"/>
        <v>1085400</v>
      </c>
      <c r="J1494" s="75"/>
      <c r="K1494" s="3"/>
      <c r="O1494" s="9"/>
      <c r="S1494" s="3"/>
    </row>
    <row r="1495" spans="1:19" ht="15" customHeight="1" x14ac:dyDescent="0.35">
      <c r="A1495" s="26" t="s">
        <v>3220</v>
      </c>
      <c r="B1495" s="32" t="s">
        <v>3113</v>
      </c>
      <c r="C1495" s="28"/>
      <c r="D1495" s="29" t="s">
        <v>3138</v>
      </c>
      <c r="E1495" s="76">
        <v>960000</v>
      </c>
      <c r="F1495" s="77">
        <f t="shared" si="70"/>
        <v>76800</v>
      </c>
      <c r="G1495" s="96">
        <f t="shared" si="71"/>
        <v>1036800</v>
      </c>
      <c r="H1495" s="74"/>
      <c r="I1495" s="75">
        <f t="shared" si="72"/>
        <v>1036800</v>
      </c>
      <c r="J1495" s="75"/>
      <c r="K1495" s="3"/>
      <c r="O1495" s="9"/>
      <c r="S1495" s="3"/>
    </row>
    <row r="1496" spans="1:19" ht="15" customHeight="1" x14ac:dyDescent="0.35">
      <c r="A1496" s="26" t="s">
        <v>3221</v>
      </c>
      <c r="B1496" s="32" t="s">
        <v>3114</v>
      </c>
      <c r="C1496" s="28"/>
      <c r="D1496" s="29" t="s">
        <v>3138</v>
      </c>
      <c r="E1496" s="76">
        <v>1965000</v>
      </c>
      <c r="F1496" s="77">
        <f t="shared" si="70"/>
        <v>157200</v>
      </c>
      <c r="G1496" s="96">
        <f t="shared" si="71"/>
        <v>2122200</v>
      </c>
      <c r="H1496" s="74"/>
      <c r="I1496" s="75">
        <f t="shared" si="72"/>
        <v>2122200</v>
      </c>
      <c r="J1496" s="75"/>
      <c r="K1496" s="3"/>
      <c r="O1496" s="9"/>
      <c r="S1496" s="3"/>
    </row>
    <row r="1497" spans="1:19" ht="15" customHeight="1" x14ac:dyDescent="0.35">
      <c r="A1497" s="26" t="s">
        <v>3222</v>
      </c>
      <c r="B1497" s="32" t="s">
        <v>3115</v>
      </c>
      <c r="C1497" s="28"/>
      <c r="D1497" s="29" t="s">
        <v>3138</v>
      </c>
      <c r="E1497" s="76">
        <v>960000</v>
      </c>
      <c r="F1497" s="77">
        <f t="shared" si="70"/>
        <v>76800</v>
      </c>
      <c r="G1497" s="96">
        <f t="shared" si="71"/>
        <v>1036800</v>
      </c>
      <c r="H1497" s="74"/>
      <c r="I1497" s="75">
        <f t="shared" si="72"/>
        <v>1036800</v>
      </c>
      <c r="J1497" s="75"/>
      <c r="K1497" s="3"/>
      <c r="O1497" s="9"/>
      <c r="S1497" s="3"/>
    </row>
    <row r="1498" spans="1:19" ht="15" hidden="1" customHeight="1" x14ac:dyDescent="0.35">
      <c r="A1498" s="26" t="s">
        <v>3223</v>
      </c>
      <c r="B1498" s="32" t="s">
        <v>3116</v>
      </c>
      <c r="C1498" s="28"/>
      <c r="D1498" s="29" t="s">
        <v>3138</v>
      </c>
      <c r="E1498" s="76">
        <v>1132800</v>
      </c>
      <c r="F1498" s="77">
        <f t="shared" si="70"/>
        <v>90624</v>
      </c>
      <c r="G1498" s="96">
        <f t="shared" si="71"/>
        <v>1223424</v>
      </c>
      <c r="H1498" s="74">
        <v>1223424</v>
      </c>
      <c r="I1498" s="75">
        <f t="shared" si="72"/>
        <v>0</v>
      </c>
      <c r="J1498" s="75"/>
      <c r="K1498" s="3"/>
      <c r="L1498" s="5">
        <v>46249</v>
      </c>
      <c r="O1498" s="9"/>
      <c r="S1498" s="3"/>
    </row>
    <row r="1499" spans="1:19" ht="15" hidden="1" customHeight="1" x14ac:dyDescent="0.35">
      <c r="A1499" s="26" t="s">
        <v>3224</v>
      </c>
      <c r="B1499" s="32" t="s">
        <v>3117</v>
      </c>
      <c r="C1499" s="28"/>
      <c r="D1499" s="29" t="s">
        <v>3139</v>
      </c>
      <c r="E1499" s="76">
        <v>2265600</v>
      </c>
      <c r="F1499" s="77">
        <f t="shared" si="70"/>
        <v>181248</v>
      </c>
      <c r="G1499" s="96">
        <f t="shared" si="71"/>
        <v>2446848</v>
      </c>
      <c r="H1499" s="74">
        <v>2446848</v>
      </c>
      <c r="I1499" s="75">
        <f t="shared" si="72"/>
        <v>0</v>
      </c>
      <c r="J1499" s="75"/>
      <c r="K1499" s="3"/>
      <c r="L1499" s="5">
        <v>46249</v>
      </c>
      <c r="O1499" s="9"/>
      <c r="S1499" s="3"/>
    </row>
    <row r="1500" spans="1:19" ht="15" customHeight="1" x14ac:dyDescent="0.35">
      <c r="A1500" s="26" t="s">
        <v>3225</v>
      </c>
      <c r="B1500" s="32" t="s">
        <v>548</v>
      </c>
      <c r="C1500" s="28"/>
      <c r="D1500" s="29" t="s">
        <v>3140</v>
      </c>
      <c r="E1500" s="76">
        <v>2850000</v>
      </c>
      <c r="F1500" s="77">
        <f t="shared" ref="F1500:F1563" si="73">+E1500*0.08</f>
        <v>228000</v>
      </c>
      <c r="G1500" s="96">
        <f t="shared" ref="G1500:G1563" si="74">+F1500+E1500</f>
        <v>3078000</v>
      </c>
      <c r="H1500" s="74"/>
      <c r="I1500" s="75">
        <f t="shared" ref="I1500:I1563" si="75">G1500-H1500</f>
        <v>3078000</v>
      </c>
      <c r="J1500" s="75"/>
      <c r="K1500" s="3"/>
      <c r="O1500" s="9"/>
      <c r="S1500" s="3"/>
    </row>
    <row r="1501" spans="1:19" ht="15" hidden="1" customHeight="1" x14ac:dyDescent="0.35">
      <c r="A1501" s="26" t="s">
        <v>3226</v>
      </c>
      <c r="B1501" s="32" t="s">
        <v>3118</v>
      </c>
      <c r="C1501" s="28"/>
      <c r="D1501" s="29" t="s">
        <v>3140</v>
      </c>
      <c r="E1501" s="76">
        <v>1680000</v>
      </c>
      <c r="F1501" s="77">
        <f t="shared" si="73"/>
        <v>134400</v>
      </c>
      <c r="G1501" s="96">
        <f t="shared" si="74"/>
        <v>1814400</v>
      </c>
      <c r="H1501" s="74">
        <v>1814400</v>
      </c>
      <c r="I1501" s="75">
        <f t="shared" si="75"/>
        <v>0</v>
      </c>
      <c r="J1501" s="75"/>
      <c r="K1501" s="3"/>
      <c r="L1501" s="5">
        <v>46249</v>
      </c>
      <c r="O1501" s="9"/>
      <c r="S1501" s="3"/>
    </row>
    <row r="1502" spans="1:19" ht="15" hidden="1" customHeight="1" x14ac:dyDescent="0.35">
      <c r="A1502" s="26" t="s">
        <v>3227</v>
      </c>
      <c r="B1502" s="32" t="s">
        <v>549</v>
      </c>
      <c r="C1502" s="28"/>
      <c r="D1502" s="29" t="s">
        <v>3140</v>
      </c>
      <c r="E1502" s="76">
        <v>2812800</v>
      </c>
      <c r="F1502" s="77">
        <f t="shared" si="73"/>
        <v>225024</v>
      </c>
      <c r="G1502" s="96">
        <f t="shared" si="74"/>
        <v>3037824</v>
      </c>
      <c r="H1502" s="74">
        <v>3037824</v>
      </c>
      <c r="I1502" s="75">
        <f t="shared" si="75"/>
        <v>0</v>
      </c>
      <c r="J1502" s="75"/>
      <c r="K1502" s="3"/>
      <c r="L1502" s="5">
        <v>46249</v>
      </c>
      <c r="O1502" s="9"/>
      <c r="S1502" s="3"/>
    </row>
    <row r="1503" spans="1:19" ht="15" hidden="1" customHeight="1" x14ac:dyDescent="0.35">
      <c r="A1503" s="26" t="s">
        <v>3228</v>
      </c>
      <c r="B1503" s="32" t="s">
        <v>550</v>
      </c>
      <c r="C1503" s="28"/>
      <c r="D1503" s="29" t="s">
        <v>3140</v>
      </c>
      <c r="E1503" s="76">
        <v>1132800</v>
      </c>
      <c r="F1503" s="77">
        <f t="shared" si="73"/>
        <v>90624</v>
      </c>
      <c r="G1503" s="96">
        <f t="shared" si="74"/>
        <v>1223424</v>
      </c>
      <c r="H1503" s="74">
        <v>1223424</v>
      </c>
      <c r="I1503" s="75">
        <f t="shared" si="75"/>
        <v>0</v>
      </c>
      <c r="J1503" s="75"/>
      <c r="K1503" s="3"/>
      <c r="L1503" s="5">
        <v>46249</v>
      </c>
      <c r="O1503" s="9"/>
      <c r="S1503" s="3"/>
    </row>
    <row r="1504" spans="1:19" ht="15" hidden="1" customHeight="1" x14ac:dyDescent="0.35">
      <c r="A1504" s="26" t="s">
        <v>3229</v>
      </c>
      <c r="B1504" s="32" t="s">
        <v>551</v>
      </c>
      <c r="C1504" s="28"/>
      <c r="D1504" s="29" t="s">
        <v>3140</v>
      </c>
      <c r="E1504" s="76">
        <v>840000</v>
      </c>
      <c r="F1504" s="77">
        <f t="shared" si="73"/>
        <v>67200</v>
      </c>
      <c r="G1504" s="96">
        <f t="shared" si="74"/>
        <v>907200</v>
      </c>
      <c r="H1504" s="74">
        <v>907200</v>
      </c>
      <c r="I1504" s="75">
        <f t="shared" si="75"/>
        <v>0</v>
      </c>
      <c r="J1504" s="75"/>
      <c r="K1504" s="3"/>
      <c r="L1504" s="5">
        <v>46249</v>
      </c>
      <c r="O1504" s="9"/>
      <c r="S1504" s="3"/>
    </row>
    <row r="1505" spans="1:19" ht="15" hidden="1" customHeight="1" x14ac:dyDescent="0.35">
      <c r="A1505" s="26" t="s">
        <v>3230</v>
      </c>
      <c r="B1505" s="32" t="s">
        <v>552</v>
      </c>
      <c r="C1505" s="28"/>
      <c r="D1505" s="29" t="s">
        <v>3140</v>
      </c>
      <c r="E1505" s="76">
        <v>2265600</v>
      </c>
      <c r="F1505" s="77">
        <f t="shared" si="73"/>
        <v>181248</v>
      </c>
      <c r="G1505" s="96">
        <f t="shared" si="74"/>
        <v>2446848</v>
      </c>
      <c r="H1505" s="74">
        <v>2446848</v>
      </c>
      <c r="I1505" s="75">
        <f t="shared" si="75"/>
        <v>0</v>
      </c>
      <c r="J1505" s="75"/>
      <c r="K1505" s="3"/>
      <c r="L1505" s="5">
        <v>46249</v>
      </c>
      <c r="O1505" s="9"/>
      <c r="S1505" s="3"/>
    </row>
    <row r="1506" spans="1:19" ht="15" hidden="1" customHeight="1" x14ac:dyDescent="0.35">
      <c r="A1506" s="26" t="s">
        <v>3231</v>
      </c>
      <c r="B1506" s="32" t="s">
        <v>3119</v>
      </c>
      <c r="C1506" s="28"/>
      <c r="D1506" s="29" t="s">
        <v>3141</v>
      </c>
      <c r="E1506" s="76">
        <v>840000</v>
      </c>
      <c r="F1506" s="77">
        <f t="shared" si="73"/>
        <v>67200</v>
      </c>
      <c r="G1506" s="96">
        <f t="shared" si="74"/>
        <v>907200</v>
      </c>
      <c r="H1506" s="74">
        <v>907200</v>
      </c>
      <c r="I1506" s="75">
        <f t="shared" si="75"/>
        <v>0</v>
      </c>
      <c r="J1506" s="75"/>
      <c r="K1506" s="3"/>
      <c r="L1506" s="5">
        <v>46249</v>
      </c>
      <c r="O1506" s="9"/>
      <c r="S1506" s="3"/>
    </row>
    <row r="1507" spans="1:19" ht="15" hidden="1" customHeight="1" x14ac:dyDescent="0.35">
      <c r="A1507" s="26" t="s">
        <v>3232</v>
      </c>
      <c r="B1507" s="32" t="s">
        <v>3120</v>
      </c>
      <c r="C1507" s="28"/>
      <c r="D1507" s="29" t="s">
        <v>3141</v>
      </c>
      <c r="E1507" s="76">
        <v>840000</v>
      </c>
      <c r="F1507" s="77">
        <f t="shared" si="73"/>
        <v>67200</v>
      </c>
      <c r="G1507" s="96">
        <f t="shared" si="74"/>
        <v>907200</v>
      </c>
      <c r="H1507" s="74">
        <v>907200</v>
      </c>
      <c r="I1507" s="75">
        <f t="shared" si="75"/>
        <v>0</v>
      </c>
      <c r="J1507" s="75"/>
      <c r="K1507" s="3"/>
      <c r="L1507" s="5">
        <v>46249</v>
      </c>
      <c r="O1507" s="9"/>
      <c r="S1507" s="3"/>
    </row>
    <row r="1508" spans="1:19" ht="15" hidden="1" customHeight="1" x14ac:dyDescent="0.35">
      <c r="A1508" s="26" t="s">
        <v>3233</v>
      </c>
      <c r="B1508" s="32" t="s">
        <v>3121</v>
      </c>
      <c r="C1508" s="28"/>
      <c r="D1508" s="29" t="s">
        <v>3142</v>
      </c>
      <c r="E1508" s="76">
        <v>2265600</v>
      </c>
      <c r="F1508" s="77">
        <f t="shared" si="73"/>
        <v>181248</v>
      </c>
      <c r="G1508" s="96">
        <f t="shared" si="74"/>
        <v>2446848</v>
      </c>
      <c r="H1508" s="74">
        <v>2446848</v>
      </c>
      <c r="I1508" s="75">
        <f t="shared" si="75"/>
        <v>0</v>
      </c>
      <c r="J1508" s="75"/>
      <c r="K1508" s="3"/>
      <c r="L1508" s="5">
        <v>46249</v>
      </c>
      <c r="O1508" s="9"/>
      <c r="S1508" s="3"/>
    </row>
    <row r="1509" spans="1:19" ht="15" hidden="1" customHeight="1" x14ac:dyDescent="0.35">
      <c r="A1509" s="26" t="s">
        <v>3234</v>
      </c>
      <c r="B1509" s="32" t="s">
        <v>3122</v>
      </c>
      <c r="C1509" s="28"/>
      <c r="D1509" s="29" t="s">
        <v>3142</v>
      </c>
      <c r="E1509" s="76">
        <v>3398400</v>
      </c>
      <c r="F1509" s="77">
        <f t="shared" si="73"/>
        <v>271872</v>
      </c>
      <c r="G1509" s="96">
        <f t="shared" si="74"/>
        <v>3670272</v>
      </c>
      <c r="H1509" s="74">
        <v>3670272</v>
      </c>
      <c r="I1509" s="75">
        <f t="shared" si="75"/>
        <v>0</v>
      </c>
      <c r="J1509" s="75"/>
      <c r="K1509" s="3"/>
      <c r="L1509" s="5">
        <v>46249</v>
      </c>
      <c r="O1509" s="9"/>
      <c r="S1509" s="3"/>
    </row>
    <row r="1510" spans="1:19" ht="15" hidden="1" customHeight="1" x14ac:dyDescent="0.35">
      <c r="A1510" s="26" t="s">
        <v>3235</v>
      </c>
      <c r="B1510" s="32" t="s">
        <v>3123</v>
      </c>
      <c r="C1510" s="28"/>
      <c r="D1510" s="29" t="s">
        <v>3142</v>
      </c>
      <c r="E1510" s="76">
        <v>1132800</v>
      </c>
      <c r="F1510" s="77">
        <f t="shared" si="73"/>
        <v>90624</v>
      </c>
      <c r="G1510" s="96">
        <f t="shared" si="74"/>
        <v>1223424</v>
      </c>
      <c r="H1510" s="74">
        <v>1223424</v>
      </c>
      <c r="I1510" s="75">
        <f t="shared" si="75"/>
        <v>0</v>
      </c>
      <c r="J1510" s="75"/>
      <c r="K1510" s="3"/>
      <c r="L1510" s="5">
        <v>46249</v>
      </c>
      <c r="O1510" s="9"/>
      <c r="S1510" s="3"/>
    </row>
    <row r="1511" spans="1:19" ht="15" hidden="1" customHeight="1" x14ac:dyDescent="0.35">
      <c r="A1511" s="26" t="s">
        <v>3236</v>
      </c>
      <c r="B1511" s="32" t="s">
        <v>3124</v>
      </c>
      <c r="C1511" s="28"/>
      <c r="D1511" s="29" t="s">
        <v>3142</v>
      </c>
      <c r="E1511" s="76">
        <v>840000</v>
      </c>
      <c r="F1511" s="77">
        <f t="shared" si="73"/>
        <v>67200</v>
      </c>
      <c r="G1511" s="96">
        <f t="shared" si="74"/>
        <v>907200</v>
      </c>
      <c r="H1511" s="74">
        <v>907200</v>
      </c>
      <c r="I1511" s="75">
        <f t="shared" si="75"/>
        <v>0</v>
      </c>
      <c r="J1511" s="75"/>
      <c r="K1511" s="3"/>
      <c r="L1511" s="5">
        <v>46249</v>
      </c>
      <c r="O1511" s="9"/>
      <c r="S1511" s="3"/>
    </row>
    <row r="1512" spans="1:19" ht="15" hidden="1" customHeight="1" x14ac:dyDescent="0.35">
      <c r="A1512" s="26" t="s">
        <v>3237</v>
      </c>
      <c r="B1512" s="32" t="s">
        <v>3125</v>
      </c>
      <c r="C1512" s="28"/>
      <c r="D1512" s="29" t="s">
        <v>3142</v>
      </c>
      <c r="E1512" s="76">
        <v>840000</v>
      </c>
      <c r="F1512" s="77">
        <f t="shared" si="73"/>
        <v>67200</v>
      </c>
      <c r="G1512" s="96">
        <f t="shared" si="74"/>
        <v>907200</v>
      </c>
      <c r="H1512" s="74">
        <v>907200</v>
      </c>
      <c r="I1512" s="75">
        <f t="shared" si="75"/>
        <v>0</v>
      </c>
      <c r="J1512" s="75"/>
      <c r="K1512" s="3"/>
      <c r="L1512" s="5">
        <v>46249</v>
      </c>
      <c r="O1512" s="9"/>
      <c r="S1512" s="3"/>
    </row>
    <row r="1513" spans="1:19" ht="15" customHeight="1" x14ac:dyDescent="0.35">
      <c r="A1513" s="26" t="s">
        <v>3238</v>
      </c>
      <c r="B1513" s="32" t="s">
        <v>3126</v>
      </c>
      <c r="C1513" s="28"/>
      <c r="D1513" s="29" t="s">
        <v>3142</v>
      </c>
      <c r="E1513" s="76">
        <v>840000</v>
      </c>
      <c r="F1513" s="77">
        <f t="shared" si="73"/>
        <v>67200</v>
      </c>
      <c r="G1513" s="96">
        <f t="shared" si="74"/>
        <v>907200</v>
      </c>
      <c r="H1513" s="74"/>
      <c r="I1513" s="75">
        <f t="shared" si="75"/>
        <v>907200</v>
      </c>
      <c r="J1513" s="75"/>
      <c r="K1513" s="3"/>
      <c r="O1513" s="9"/>
      <c r="S1513" s="3"/>
    </row>
    <row r="1514" spans="1:19" ht="15" hidden="1" customHeight="1" x14ac:dyDescent="0.35">
      <c r="A1514" s="26" t="s">
        <v>3239</v>
      </c>
      <c r="B1514" s="32" t="s">
        <v>3127</v>
      </c>
      <c r="C1514" s="28"/>
      <c r="D1514" s="29" t="s">
        <v>3142</v>
      </c>
      <c r="E1514" s="76">
        <v>1132800</v>
      </c>
      <c r="F1514" s="77">
        <f t="shared" si="73"/>
        <v>90624</v>
      </c>
      <c r="G1514" s="96">
        <f t="shared" si="74"/>
        <v>1223424</v>
      </c>
      <c r="H1514" s="74">
        <v>1223424</v>
      </c>
      <c r="I1514" s="75">
        <f t="shared" si="75"/>
        <v>0</v>
      </c>
      <c r="J1514" s="75"/>
      <c r="K1514" s="3"/>
      <c r="L1514" s="5">
        <v>46249</v>
      </c>
      <c r="O1514" s="9"/>
      <c r="S1514" s="3"/>
    </row>
    <row r="1515" spans="1:19" ht="15" hidden="1" customHeight="1" x14ac:dyDescent="0.35">
      <c r="A1515" s="26" t="s">
        <v>3240</v>
      </c>
      <c r="B1515" s="32" t="s">
        <v>3128</v>
      </c>
      <c r="C1515" s="28"/>
      <c r="D1515" s="29" t="s">
        <v>3142</v>
      </c>
      <c r="E1515" s="76">
        <v>1972800</v>
      </c>
      <c r="F1515" s="77">
        <f t="shared" si="73"/>
        <v>157824</v>
      </c>
      <c r="G1515" s="96">
        <f t="shared" si="74"/>
        <v>2130624</v>
      </c>
      <c r="H1515" s="74">
        <v>2130624</v>
      </c>
      <c r="I1515" s="75">
        <f t="shared" si="75"/>
        <v>0</v>
      </c>
      <c r="J1515" s="75"/>
      <c r="K1515" s="3"/>
      <c r="L1515" s="5">
        <v>46249</v>
      </c>
      <c r="O1515" s="9"/>
      <c r="S1515" s="3"/>
    </row>
    <row r="1516" spans="1:19" ht="15" hidden="1" customHeight="1" x14ac:dyDescent="0.35">
      <c r="A1516" s="26" t="s">
        <v>3241</v>
      </c>
      <c r="B1516" s="32" t="s">
        <v>3129</v>
      </c>
      <c r="C1516" s="28"/>
      <c r="D1516" s="29" t="s">
        <v>3142</v>
      </c>
      <c r="E1516" s="76">
        <v>840000</v>
      </c>
      <c r="F1516" s="77">
        <f t="shared" si="73"/>
        <v>67200</v>
      </c>
      <c r="G1516" s="96">
        <f t="shared" si="74"/>
        <v>907200</v>
      </c>
      <c r="H1516" s="74">
        <v>907200</v>
      </c>
      <c r="I1516" s="75">
        <f t="shared" si="75"/>
        <v>0</v>
      </c>
      <c r="J1516" s="75"/>
      <c r="K1516" s="3"/>
      <c r="L1516" s="5">
        <v>46249</v>
      </c>
      <c r="O1516" s="9"/>
      <c r="S1516" s="3"/>
    </row>
    <row r="1517" spans="1:19" ht="15" customHeight="1" x14ac:dyDescent="0.35">
      <c r="A1517" s="26" t="s">
        <v>3242</v>
      </c>
      <c r="B1517" s="32" t="s">
        <v>3130</v>
      </c>
      <c r="C1517" s="28"/>
      <c r="D1517" s="29" t="s">
        <v>3143</v>
      </c>
      <c r="E1517" s="76">
        <v>17120000</v>
      </c>
      <c r="F1517" s="77">
        <f t="shared" si="73"/>
        <v>1369600</v>
      </c>
      <c r="G1517" s="96">
        <f t="shared" si="74"/>
        <v>18489600</v>
      </c>
      <c r="H1517" s="74"/>
      <c r="I1517" s="75">
        <f t="shared" si="75"/>
        <v>18489600</v>
      </c>
      <c r="J1517" s="75"/>
      <c r="K1517" s="3"/>
      <c r="O1517" s="9"/>
      <c r="S1517" s="3"/>
    </row>
    <row r="1518" spans="1:19" ht="15" customHeight="1" x14ac:dyDescent="0.35">
      <c r="A1518" s="26" t="s">
        <v>3243</v>
      </c>
      <c r="B1518" s="32" t="s">
        <v>3131</v>
      </c>
      <c r="C1518" s="28"/>
      <c r="D1518" s="29" t="s">
        <v>3143</v>
      </c>
      <c r="E1518" s="76">
        <v>810000</v>
      </c>
      <c r="F1518" s="77">
        <f t="shared" si="73"/>
        <v>64800</v>
      </c>
      <c r="G1518" s="96">
        <f t="shared" si="74"/>
        <v>874800</v>
      </c>
      <c r="H1518" s="74"/>
      <c r="I1518" s="75">
        <f t="shared" si="75"/>
        <v>874800</v>
      </c>
      <c r="J1518" s="75"/>
      <c r="K1518" s="3"/>
      <c r="O1518" s="9"/>
      <c r="S1518" s="3"/>
    </row>
    <row r="1519" spans="1:19" ht="15" customHeight="1" x14ac:dyDescent="0.35">
      <c r="A1519" s="26" t="s">
        <v>3244</v>
      </c>
      <c r="B1519" s="32" t="s">
        <v>553</v>
      </c>
      <c r="C1519" s="28"/>
      <c r="D1519" s="29" t="s">
        <v>3143</v>
      </c>
      <c r="E1519" s="76">
        <v>960000</v>
      </c>
      <c r="F1519" s="77">
        <f t="shared" si="73"/>
        <v>76800</v>
      </c>
      <c r="G1519" s="96">
        <f t="shared" si="74"/>
        <v>1036800</v>
      </c>
      <c r="H1519" s="74"/>
      <c r="I1519" s="75">
        <f t="shared" si="75"/>
        <v>1036800</v>
      </c>
      <c r="J1519" s="75"/>
      <c r="K1519" s="3"/>
      <c r="O1519" s="9"/>
      <c r="S1519" s="3"/>
    </row>
    <row r="1520" spans="1:19" ht="15" customHeight="1" x14ac:dyDescent="0.35">
      <c r="A1520" s="26" t="s">
        <v>3245</v>
      </c>
      <c r="B1520" s="32" t="s">
        <v>554</v>
      </c>
      <c r="C1520" s="28"/>
      <c r="D1520" s="29" t="s">
        <v>3143</v>
      </c>
      <c r="E1520" s="76">
        <v>1005000</v>
      </c>
      <c r="F1520" s="77">
        <f t="shared" si="73"/>
        <v>80400</v>
      </c>
      <c r="G1520" s="96">
        <f t="shared" si="74"/>
        <v>1085400</v>
      </c>
      <c r="H1520" s="74"/>
      <c r="I1520" s="75">
        <f t="shared" si="75"/>
        <v>1085400</v>
      </c>
      <c r="J1520" s="75"/>
      <c r="K1520" s="3"/>
      <c r="O1520" s="9"/>
      <c r="S1520" s="3"/>
    </row>
    <row r="1521" spans="1:19" ht="15" customHeight="1" x14ac:dyDescent="0.35">
      <c r="A1521" s="26" t="s">
        <v>3246</v>
      </c>
      <c r="B1521" s="32" t="s">
        <v>555</v>
      </c>
      <c r="C1521" s="28"/>
      <c r="D1521" s="29" t="s">
        <v>3143</v>
      </c>
      <c r="E1521" s="76">
        <v>1005000</v>
      </c>
      <c r="F1521" s="77">
        <f t="shared" si="73"/>
        <v>80400</v>
      </c>
      <c r="G1521" s="96">
        <f t="shared" si="74"/>
        <v>1085400</v>
      </c>
      <c r="H1521" s="74"/>
      <c r="I1521" s="75">
        <f t="shared" si="75"/>
        <v>1085400</v>
      </c>
      <c r="J1521" s="75"/>
      <c r="K1521" s="3"/>
      <c r="O1521" s="9"/>
      <c r="S1521" s="3"/>
    </row>
    <row r="1522" spans="1:19" ht="15" customHeight="1" x14ac:dyDescent="0.35">
      <c r="A1522" s="26" t="s">
        <v>3247</v>
      </c>
      <c r="B1522" s="32" t="s">
        <v>556</v>
      </c>
      <c r="C1522" s="28"/>
      <c r="D1522" s="29" t="s">
        <v>3143</v>
      </c>
      <c r="E1522" s="76">
        <v>960000</v>
      </c>
      <c r="F1522" s="77">
        <f t="shared" si="73"/>
        <v>76800</v>
      </c>
      <c r="G1522" s="96">
        <f t="shared" si="74"/>
        <v>1036800</v>
      </c>
      <c r="H1522" s="74"/>
      <c r="I1522" s="75">
        <f t="shared" si="75"/>
        <v>1036800</v>
      </c>
      <c r="J1522" s="75"/>
      <c r="K1522" s="3"/>
      <c r="O1522" s="9"/>
      <c r="S1522" s="3"/>
    </row>
    <row r="1523" spans="1:19" ht="15" customHeight="1" x14ac:dyDescent="0.35">
      <c r="A1523" s="26" t="s">
        <v>3248</v>
      </c>
      <c r="B1523" s="32" t="s">
        <v>557</v>
      </c>
      <c r="C1523" s="28"/>
      <c r="D1523" s="29" t="s">
        <v>3143</v>
      </c>
      <c r="E1523" s="76">
        <v>960000</v>
      </c>
      <c r="F1523" s="77">
        <f t="shared" si="73"/>
        <v>76800</v>
      </c>
      <c r="G1523" s="96">
        <f t="shared" si="74"/>
        <v>1036800</v>
      </c>
      <c r="H1523" s="74"/>
      <c r="I1523" s="75">
        <f t="shared" si="75"/>
        <v>1036800</v>
      </c>
      <c r="J1523" s="75"/>
      <c r="K1523" s="3"/>
      <c r="O1523" s="9"/>
      <c r="S1523" s="3"/>
    </row>
    <row r="1524" spans="1:19" ht="15" customHeight="1" x14ac:dyDescent="0.35">
      <c r="A1524" s="26" t="s">
        <v>3249</v>
      </c>
      <c r="B1524" s="32" t="s">
        <v>558</v>
      </c>
      <c r="C1524" s="28"/>
      <c r="D1524" s="29" t="s">
        <v>3143</v>
      </c>
      <c r="E1524" s="76">
        <v>1005000</v>
      </c>
      <c r="F1524" s="77">
        <f t="shared" si="73"/>
        <v>80400</v>
      </c>
      <c r="G1524" s="96">
        <f t="shared" si="74"/>
        <v>1085400</v>
      </c>
      <c r="H1524" s="74"/>
      <c r="I1524" s="75">
        <f t="shared" si="75"/>
        <v>1085400</v>
      </c>
      <c r="J1524" s="75"/>
      <c r="K1524" s="3"/>
      <c r="O1524" s="9"/>
      <c r="S1524" s="3"/>
    </row>
    <row r="1525" spans="1:19" ht="15" customHeight="1" x14ac:dyDescent="0.35">
      <c r="A1525" s="26" t="s">
        <v>3250</v>
      </c>
      <c r="B1525" s="32" t="s">
        <v>559</v>
      </c>
      <c r="C1525" s="28"/>
      <c r="D1525" s="29" t="s">
        <v>3143</v>
      </c>
      <c r="E1525" s="76">
        <v>1650000</v>
      </c>
      <c r="F1525" s="77">
        <f t="shared" si="73"/>
        <v>132000</v>
      </c>
      <c r="G1525" s="96">
        <f t="shared" si="74"/>
        <v>1782000</v>
      </c>
      <c r="H1525" s="74"/>
      <c r="I1525" s="75">
        <f t="shared" si="75"/>
        <v>1782000</v>
      </c>
      <c r="J1525" s="75"/>
      <c r="K1525" s="3"/>
      <c r="O1525" s="9"/>
      <c r="S1525" s="3"/>
    </row>
    <row r="1526" spans="1:19" ht="15" customHeight="1" x14ac:dyDescent="0.35">
      <c r="A1526" s="26" t="s">
        <v>3251</v>
      </c>
      <c r="B1526" s="32" t="s">
        <v>560</v>
      </c>
      <c r="C1526" s="28"/>
      <c r="D1526" s="29" t="s">
        <v>3143</v>
      </c>
      <c r="E1526" s="76">
        <v>960000</v>
      </c>
      <c r="F1526" s="77">
        <f t="shared" si="73"/>
        <v>76800</v>
      </c>
      <c r="G1526" s="96">
        <f t="shared" si="74"/>
        <v>1036800</v>
      </c>
      <c r="H1526" s="74"/>
      <c r="I1526" s="75">
        <f t="shared" si="75"/>
        <v>1036800</v>
      </c>
      <c r="J1526" s="75"/>
      <c r="K1526" s="3"/>
      <c r="O1526" s="9"/>
      <c r="S1526" s="3"/>
    </row>
    <row r="1527" spans="1:19" ht="15" customHeight="1" x14ac:dyDescent="0.35">
      <c r="A1527" s="26" t="s">
        <v>3252</v>
      </c>
      <c r="B1527" s="32" t="s">
        <v>561</v>
      </c>
      <c r="C1527" s="28"/>
      <c r="D1527" s="29" t="s">
        <v>3143</v>
      </c>
      <c r="E1527" s="76">
        <v>900000</v>
      </c>
      <c r="F1527" s="77">
        <f t="shared" si="73"/>
        <v>72000</v>
      </c>
      <c r="G1527" s="96">
        <f t="shared" si="74"/>
        <v>972000</v>
      </c>
      <c r="H1527" s="74"/>
      <c r="I1527" s="75">
        <f t="shared" si="75"/>
        <v>972000</v>
      </c>
      <c r="J1527" s="75"/>
      <c r="K1527" s="3"/>
      <c r="O1527" s="9"/>
      <c r="S1527" s="3"/>
    </row>
    <row r="1528" spans="1:19" ht="15" customHeight="1" x14ac:dyDescent="0.35">
      <c r="A1528" s="26" t="s">
        <v>3253</v>
      </c>
      <c r="B1528" s="32" t="s">
        <v>562</v>
      </c>
      <c r="C1528" s="28"/>
      <c r="D1528" s="29" t="s">
        <v>3143</v>
      </c>
      <c r="E1528" s="76">
        <v>8255000</v>
      </c>
      <c r="F1528" s="77">
        <f t="shared" si="73"/>
        <v>660400</v>
      </c>
      <c r="G1528" s="96">
        <f t="shared" si="74"/>
        <v>8915400</v>
      </c>
      <c r="H1528" s="74"/>
      <c r="I1528" s="75">
        <f t="shared" si="75"/>
        <v>8915400</v>
      </c>
      <c r="J1528" s="75"/>
      <c r="K1528" s="3"/>
      <c r="O1528" s="9"/>
      <c r="S1528" s="3"/>
    </row>
    <row r="1529" spans="1:19" ht="15" customHeight="1" x14ac:dyDescent="0.35">
      <c r="A1529" s="26" t="s">
        <v>3254</v>
      </c>
      <c r="B1529" s="32" t="s">
        <v>563</v>
      </c>
      <c r="C1529" s="28"/>
      <c r="D1529" s="29" t="s">
        <v>3143</v>
      </c>
      <c r="E1529" s="76">
        <v>1005000</v>
      </c>
      <c r="F1529" s="77">
        <f t="shared" si="73"/>
        <v>80400</v>
      </c>
      <c r="G1529" s="96">
        <f t="shared" si="74"/>
        <v>1085400</v>
      </c>
      <c r="H1529" s="74"/>
      <c r="I1529" s="75">
        <f t="shared" si="75"/>
        <v>1085400</v>
      </c>
      <c r="J1529" s="75"/>
      <c r="K1529" s="3"/>
      <c r="O1529" s="9"/>
      <c r="S1529" s="3"/>
    </row>
    <row r="1530" spans="1:19" ht="15" customHeight="1" x14ac:dyDescent="0.35">
      <c r="A1530" s="26" t="s">
        <v>3255</v>
      </c>
      <c r="B1530" s="32" t="s">
        <v>564</v>
      </c>
      <c r="C1530" s="28"/>
      <c r="D1530" s="29" t="s">
        <v>3143</v>
      </c>
      <c r="E1530" s="76">
        <v>990000</v>
      </c>
      <c r="F1530" s="77">
        <f t="shared" si="73"/>
        <v>79200</v>
      </c>
      <c r="G1530" s="96">
        <f t="shared" si="74"/>
        <v>1069200</v>
      </c>
      <c r="H1530" s="74"/>
      <c r="I1530" s="75">
        <f t="shared" si="75"/>
        <v>1069200</v>
      </c>
      <c r="J1530" s="75"/>
      <c r="K1530" s="3"/>
      <c r="O1530" s="9"/>
      <c r="S1530" s="3"/>
    </row>
    <row r="1531" spans="1:19" ht="15" customHeight="1" x14ac:dyDescent="0.35">
      <c r="A1531" s="26" t="s">
        <v>3256</v>
      </c>
      <c r="B1531" s="32" t="s">
        <v>565</v>
      </c>
      <c r="C1531" s="28"/>
      <c r="D1531" s="29" t="s">
        <v>3143</v>
      </c>
      <c r="E1531" s="76">
        <v>1800000</v>
      </c>
      <c r="F1531" s="77">
        <f t="shared" si="73"/>
        <v>144000</v>
      </c>
      <c r="G1531" s="96">
        <f t="shared" si="74"/>
        <v>1944000</v>
      </c>
      <c r="H1531" s="74"/>
      <c r="I1531" s="75">
        <f t="shared" si="75"/>
        <v>1944000</v>
      </c>
      <c r="J1531" s="75"/>
      <c r="K1531" s="3"/>
      <c r="O1531" s="9"/>
      <c r="S1531" s="3"/>
    </row>
    <row r="1532" spans="1:19" ht="15" customHeight="1" x14ac:dyDescent="0.35">
      <c r="A1532" s="26" t="s">
        <v>3257</v>
      </c>
      <c r="B1532" s="32" t="s">
        <v>566</v>
      </c>
      <c r="C1532" s="28"/>
      <c r="D1532" s="29" t="s">
        <v>3143</v>
      </c>
      <c r="E1532" s="76">
        <v>4740000</v>
      </c>
      <c r="F1532" s="77">
        <f t="shared" si="73"/>
        <v>379200</v>
      </c>
      <c r="G1532" s="96">
        <f t="shared" si="74"/>
        <v>5119200</v>
      </c>
      <c r="H1532" s="74"/>
      <c r="I1532" s="75">
        <f t="shared" si="75"/>
        <v>5119200</v>
      </c>
      <c r="J1532" s="75"/>
      <c r="K1532" s="3"/>
      <c r="O1532" s="9"/>
      <c r="S1532" s="3"/>
    </row>
    <row r="1533" spans="1:19" ht="15" customHeight="1" x14ac:dyDescent="0.35">
      <c r="A1533" s="26" t="s">
        <v>3258</v>
      </c>
      <c r="B1533" s="32" t="s">
        <v>567</v>
      </c>
      <c r="C1533" s="28">
        <v>6015</v>
      </c>
      <c r="D1533" s="29">
        <v>46218</v>
      </c>
      <c r="E1533" s="76">
        <v>10624500</v>
      </c>
      <c r="F1533" s="77">
        <f t="shared" si="73"/>
        <v>849960</v>
      </c>
      <c r="G1533" s="96">
        <f t="shared" si="74"/>
        <v>11474460</v>
      </c>
      <c r="H1533" s="74"/>
      <c r="I1533" s="75">
        <f t="shared" si="75"/>
        <v>11474460</v>
      </c>
      <c r="J1533" s="75"/>
      <c r="K1533" s="3"/>
      <c r="O1533" s="9"/>
      <c r="S1533" s="3"/>
    </row>
    <row r="1534" spans="1:19" ht="15" customHeight="1" x14ac:dyDescent="0.35">
      <c r="A1534" s="26" t="s">
        <v>3259</v>
      </c>
      <c r="B1534" s="27" t="s">
        <v>568</v>
      </c>
      <c r="C1534" s="28"/>
      <c r="D1534" s="29" t="s">
        <v>3143</v>
      </c>
      <c r="E1534" s="76">
        <v>4005000</v>
      </c>
      <c r="F1534" s="77">
        <f t="shared" si="73"/>
        <v>320400</v>
      </c>
      <c r="G1534" s="96">
        <f t="shared" si="74"/>
        <v>4325400</v>
      </c>
      <c r="H1534" s="74"/>
      <c r="I1534" s="75">
        <f t="shared" si="75"/>
        <v>4325400</v>
      </c>
      <c r="J1534" s="75"/>
      <c r="K1534" s="3"/>
      <c r="O1534" s="9"/>
      <c r="S1534" s="3"/>
    </row>
    <row r="1535" spans="1:19" ht="15" customHeight="1" x14ac:dyDescent="0.35">
      <c r="A1535" s="26" t="s">
        <v>3260</v>
      </c>
      <c r="B1535" s="32" t="s">
        <v>569</v>
      </c>
      <c r="C1535" s="28"/>
      <c r="D1535" s="29" t="s">
        <v>3143</v>
      </c>
      <c r="E1535" s="76">
        <v>8475000</v>
      </c>
      <c r="F1535" s="77">
        <f t="shared" si="73"/>
        <v>678000</v>
      </c>
      <c r="G1535" s="96">
        <f t="shared" si="74"/>
        <v>9153000</v>
      </c>
      <c r="H1535" s="74"/>
      <c r="I1535" s="75">
        <f t="shared" si="75"/>
        <v>9153000</v>
      </c>
      <c r="J1535" s="75"/>
      <c r="K1535" s="3"/>
      <c r="O1535" s="9"/>
      <c r="S1535" s="3"/>
    </row>
    <row r="1536" spans="1:19" ht="15" customHeight="1" x14ac:dyDescent="0.35">
      <c r="A1536" s="26" t="s">
        <v>3261</v>
      </c>
      <c r="B1536" s="32" t="s">
        <v>570</v>
      </c>
      <c r="C1536" s="28"/>
      <c r="D1536" s="29" t="s">
        <v>3143</v>
      </c>
      <c r="E1536" s="76">
        <v>1500000</v>
      </c>
      <c r="F1536" s="77">
        <f t="shared" si="73"/>
        <v>120000</v>
      </c>
      <c r="G1536" s="96">
        <f t="shared" si="74"/>
        <v>1620000</v>
      </c>
      <c r="H1536" s="74"/>
      <c r="I1536" s="75">
        <f t="shared" si="75"/>
        <v>1620000</v>
      </c>
      <c r="J1536" s="75"/>
      <c r="K1536" s="3"/>
      <c r="O1536" s="9"/>
      <c r="S1536" s="3"/>
    </row>
    <row r="1537" spans="1:19" ht="15" customHeight="1" x14ac:dyDescent="0.35">
      <c r="A1537" s="26" t="s">
        <v>3262</v>
      </c>
      <c r="B1537" s="32" t="s">
        <v>571</v>
      </c>
      <c r="C1537" s="28"/>
      <c r="D1537" s="29" t="s">
        <v>3143</v>
      </c>
      <c r="E1537" s="76">
        <v>2940000</v>
      </c>
      <c r="F1537" s="77">
        <f t="shared" si="73"/>
        <v>235200</v>
      </c>
      <c r="G1537" s="96">
        <f t="shared" si="74"/>
        <v>3175200</v>
      </c>
      <c r="H1537" s="74"/>
      <c r="I1537" s="75">
        <f t="shared" si="75"/>
        <v>3175200</v>
      </c>
      <c r="J1537" s="75"/>
      <c r="K1537" s="3"/>
      <c r="O1537" s="9"/>
      <c r="S1537" s="3"/>
    </row>
    <row r="1538" spans="1:19" ht="15" customHeight="1" x14ac:dyDescent="0.35">
      <c r="A1538" s="26" t="s">
        <v>3263</v>
      </c>
      <c r="B1538" s="32" t="s">
        <v>572</v>
      </c>
      <c r="C1538" s="28"/>
      <c r="D1538" s="29" t="s">
        <v>3143</v>
      </c>
      <c r="E1538" s="76">
        <v>990000</v>
      </c>
      <c r="F1538" s="77">
        <f t="shared" si="73"/>
        <v>79200</v>
      </c>
      <c r="G1538" s="96">
        <f t="shared" si="74"/>
        <v>1069200</v>
      </c>
      <c r="H1538" s="74"/>
      <c r="I1538" s="75">
        <f t="shared" si="75"/>
        <v>1069200</v>
      </c>
      <c r="J1538" s="75"/>
      <c r="K1538" s="3"/>
      <c r="O1538" s="9"/>
      <c r="S1538" s="3"/>
    </row>
    <row r="1539" spans="1:19" ht="15" customHeight="1" x14ac:dyDescent="0.35">
      <c r="A1539" s="26" t="s">
        <v>3264</v>
      </c>
      <c r="B1539" s="32" t="s">
        <v>573</v>
      </c>
      <c r="C1539" s="28"/>
      <c r="D1539" s="29" t="s">
        <v>3143</v>
      </c>
      <c r="E1539" s="76">
        <v>1920000</v>
      </c>
      <c r="F1539" s="77">
        <f t="shared" si="73"/>
        <v>153600</v>
      </c>
      <c r="G1539" s="96">
        <f t="shared" si="74"/>
        <v>2073600</v>
      </c>
      <c r="H1539" s="74"/>
      <c r="I1539" s="75">
        <f t="shared" si="75"/>
        <v>2073600</v>
      </c>
      <c r="J1539" s="75"/>
      <c r="K1539" s="3"/>
      <c r="O1539" s="9"/>
      <c r="S1539" s="3"/>
    </row>
    <row r="1540" spans="1:19" ht="15" customHeight="1" x14ac:dyDescent="0.35">
      <c r="A1540" s="26" t="s">
        <v>3265</v>
      </c>
      <c r="B1540" s="32" t="s">
        <v>574</v>
      </c>
      <c r="C1540" s="28"/>
      <c r="D1540" s="29" t="s">
        <v>3143</v>
      </c>
      <c r="E1540" s="76">
        <v>6750000</v>
      </c>
      <c r="F1540" s="77">
        <f t="shared" si="73"/>
        <v>540000</v>
      </c>
      <c r="G1540" s="96">
        <f t="shared" si="74"/>
        <v>7290000</v>
      </c>
      <c r="H1540" s="74"/>
      <c r="I1540" s="75">
        <f t="shared" si="75"/>
        <v>7290000</v>
      </c>
      <c r="J1540" s="75"/>
      <c r="K1540" s="3"/>
      <c r="O1540" s="9"/>
      <c r="S1540" s="3"/>
    </row>
    <row r="1541" spans="1:19" ht="15" customHeight="1" x14ac:dyDescent="0.35">
      <c r="A1541" s="26" t="s">
        <v>3266</v>
      </c>
      <c r="B1541" s="32" t="s">
        <v>575</v>
      </c>
      <c r="C1541" s="28"/>
      <c r="D1541" s="29" t="s">
        <v>3143</v>
      </c>
      <c r="E1541" s="76">
        <v>1005000</v>
      </c>
      <c r="F1541" s="77">
        <f t="shared" si="73"/>
        <v>80400</v>
      </c>
      <c r="G1541" s="96">
        <f t="shared" si="74"/>
        <v>1085400</v>
      </c>
      <c r="H1541" s="74"/>
      <c r="I1541" s="75">
        <f t="shared" si="75"/>
        <v>1085400</v>
      </c>
      <c r="J1541" s="75"/>
      <c r="K1541" s="3"/>
      <c r="O1541" s="9"/>
      <c r="S1541" s="3"/>
    </row>
    <row r="1542" spans="1:19" ht="15" customHeight="1" x14ac:dyDescent="0.35">
      <c r="A1542" s="26" t="s">
        <v>3267</v>
      </c>
      <c r="B1542" s="27" t="s">
        <v>576</v>
      </c>
      <c r="C1542" s="28">
        <v>6199</v>
      </c>
      <c r="D1542" s="29">
        <v>46224</v>
      </c>
      <c r="E1542" s="76">
        <v>4836000</v>
      </c>
      <c r="F1542" s="77">
        <f t="shared" si="73"/>
        <v>386880</v>
      </c>
      <c r="G1542" s="96">
        <f t="shared" si="74"/>
        <v>5222880</v>
      </c>
      <c r="H1542" s="74"/>
      <c r="I1542" s="75">
        <f t="shared" si="75"/>
        <v>5222880</v>
      </c>
      <c r="J1542" s="75"/>
      <c r="K1542" s="3"/>
      <c r="O1542" s="9"/>
      <c r="S1542" s="3"/>
    </row>
    <row r="1543" spans="1:19" ht="15" customHeight="1" x14ac:dyDescent="0.35">
      <c r="A1543" s="26" t="s">
        <v>3268</v>
      </c>
      <c r="B1543" s="32" t="s">
        <v>3132</v>
      </c>
      <c r="C1543" s="28">
        <v>6195</v>
      </c>
      <c r="D1543" s="29">
        <v>46224</v>
      </c>
      <c r="E1543" s="76">
        <v>4453000</v>
      </c>
      <c r="F1543" s="77">
        <f t="shared" si="73"/>
        <v>356240</v>
      </c>
      <c r="G1543" s="96">
        <f t="shared" si="74"/>
        <v>4809240</v>
      </c>
      <c r="H1543" s="74"/>
      <c r="I1543" s="75">
        <f t="shared" si="75"/>
        <v>4809240</v>
      </c>
      <c r="J1543" s="75"/>
      <c r="K1543" s="3"/>
      <c r="O1543" s="9"/>
      <c r="S1543" s="3"/>
    </row>
    <row r="1544" spans="1:19" ht="15" customHeight="1" x14ac:dyDescent="0.35">
      <c r="A1544" s="26" t="s">
        <v>3269</v>
      </c>
      <c r="B1544" s="32" t="s">
        <v>3133</v>
      </c>
      <c r="C1544" s="28"/>
      <c r="D1544" s="29" t="s">
        <v>3143</v>
      </c>
      <c r="E1544" s="76">
        <v>15700000</v>
      </c>
      <c r="F1544" s="77">
        <f t="shared" si="73"/>
        <v>1256000</v>
      </c>
      <c r="G1544" s="96">
        <f t="shared" si="74"/>
        <v>16956000</v>
      </c>
      <c r="H1544" s="74"/>
      <c r="I1544" s="75">
        <f t="shared" si="75"/>
        <v>16956000</v>
      </c>
      <c r="J1544" s="75"/>
      <c r="K1544" s="3"/>
      <c r="O1544" s="9"/>
      <c r="S1544" s="3"/>
    </row>
    <row r="1545" spans="1:19" ht="15" customHeight="1" x14ac:dyDescent="0.35">
      <c r="A1545" s="26" t="s">
        <v>3270</v>
      </c>
      <c r="B1545" s="32" t="s">
        <v>577</v>
      </c>
      <c r="C1545" s="28"/>
      <c r="D1545" s="29" t="s">
        <v>3143</v>
      </c>
      <c r="E1545" s="76">
        <v>1005000</v>
      </c>
      <c r="F1545" s="77">
        <f t="shared" si="73"/>
        <v>80400</v>
      </c>
      <c r="G1545" s="96">
        <f t="shared" si="74"/>
        <v>1085400</v>
      </c>
      <c r="H1545" s="74"/>
      <c r="I1545" s="75">
        <f t="shared" si="75"/>
        <v>1085400</v>
      </c>
      <c r="J1545" s="75"/>
      <c r="K1545" s="3"/>
      <c r="O1545" s="9"/>
      <c r="S1545" s="3"/>
    </row>
    <row r="1546" spans="1:19" ht="15" customHeight="1" x14ac:dyDescent="0.35">
      <c r="A1546" s="26" t="s">
        <v>3271</v>
      </c>
      <c r="B1546" s="32" t="s">
        <v>578</v>
      </c>
      <c r="C1546" s="28"/>
      <c r="D1546" s="29" t="s">
        <v>3143</v>
      </c>
      <c r="E1546" s="76">
        <v>1630000</v>
      </c>
      <c r="F1546" s="77">
        <f t="shared" si="73"/>
        <v>130400</v>
      </c>
      <c r="G1546" s="96">
        <f t="shared" si="74"/>
        <v>1760400</v>
      </c>
      <c r="H1546" s="74"/>
      <c r="I1546" s="75">
        <f t="shared" si="75"/>
        <v>1760400</v>
      </c>
      <c r="J1546" s="75"/>
      <c r="K1546" s="3"/>
      <c r="O1546" s="9"/>
      <c r="S1546" s="3"/>
    </row>
    <row r="1547" spans="1:19" ht="15" customHeight="1" x14ac:dyDescent="0.35">
      <c r="A1547" s="26" t="s">
        <v>3272</v>
      </c>
      <c r="B1547" s="32" t="s">
        <v>579</v>
      </c>
      <c r="C1547" s="28"/>
      <c r="D1547" s="29" t="s">
        <v>3143</v>
      </c>
      <c r="E1547" s="76">
        <v>2545000</v>
      </c>
      <c r="F1547" s="77">
        <f t="shared" si="73"/>
        <v>203600</v>
      </c>
      <c r="G1547" s="96">
        <f t="shared" si="74"/>
        <v>2748600</v>
      </c>
      <c r="H1547" s="74"/>
      <c r="I1547" s="75">
        <f t="shared" si="75"/>
        <v>2748600</v>
      </c>
      <c r="J1547" s="75"/>
      <c r="K1547" s="3"/>
      <c r="O1547" s="9"/>
      <c r="S1547" s="3"/>
    </row>
    <row r="1548" spans="1:19" ht="15" customHeight="1" x14ac:dyDescent="0.35">
      <c r="A1548" s="26" t="s">
        <v>3273</v>
      </c>
      <c r="B1548" s="32" t="s">
        <v>3134</v>
      </c>
      <c r="C1548" s="28"/>
      <c r="D1548" s="29" t="s">
        <v>3144</v>
      </c>
      <c r="E1548" s="76">
        <v>3105600</v>
      </c>
      <c r="F1548" s="77">
        <f t="shared" si="73"/>
        <v>248448</v>
      </c>
      <c r="G1548" s="96">
        <f t="shared" si="74"/>
        <v>3354048</v>
      </c>
      <c r="H1548" s="74"/>
      <c r="I1548" s="75">
        <f t="shared" si="75"/>
        <v>3354048</v>
      </c>
      <c r="J1548" s="75"/>
      <c r="K1548" s="3"/>
      <c r="O1548" s="9"/>
      <c r="S1548" s="3"/>
    </row>
    <row r="1549" spans="1:19" ht="15" hidden="1" customHeight="1" x14ac:dyDescent="0.35">
      <c r="A1549" s="26" t="s">
        <v>3275</v>
      </c>
      <c r="B1549" s="32" t="s">
        <v>580</v>
      </c>
      <c r="C1549" s="28"/>
      <c r="D1549" s="29" t="s">
        <v>3274</v>
      </c>
      <c r="E1549" s="76">
        <v>1132800</v>
      </c>
      <c r="F1549" s="77">
        <f t="shared" si="73"/>
        <v>90624</v>
      </c>
      <c r="G1549" s="96">
        <f t="shared" si="74"/>
        <v>1223424</v>
      </c>
      <c r="H1549" s="74">
        <v>1223424</v>
      </c>
      <c r="I1549" s="75">
        <f t="shared" si="75"/>
        <v>0</v>
      </c>
      <c r="J1549" s="75"/>
      <c r="K1549" s="3"/>
      <c r="L1549" s="5">
        <v>46249</v>
      </c>
      <c r="O1549" s="9"/>
      <c r="S1549" s="3"/>
    </row>
    <row r="1550" spans="1:19" ht="15" customHeight="1" x14ac:dyDescent="0.35">
      <c r="A1550" s="26" t="s">
        <v>3276</v>
      </c>
      <c r="B1550" s="32" t="s">
        <v>581</v>
      </c>
      <c r="C1550" s="28"/>
      <c r="D1550" s="29" t="s">
        <v>3274</v>
      </c>
      <c r="E1550" s="76">
        <v>840000</v>
      </c>
      <c r="F1550" s="77">
        <f t="shared" si="73"/>
        <v>67200</v>
      </c>
      <c r="G1550" s="96">
        <f t="shared" si="74"/>
        <v>907200</v>
      </c>
      <c r="H1550" s="74"/>
      <c r="I1550" s="75">
        <f t="shared" si="75"/>
        <v>907200</v>
      </c>
      <c r="J1550" s="75"/>
      <c r="K1550" s="3"/>
      <c r="O1550" s="9"/>
      <c r="S1550" s="3"/>
    </row>
    <row r="1551" spans="1:19" ht="15" customHeight="1" x14ac:dyDescent="0.35">
      <c r="A1551" s="26" t="s">
        <v>3277</v>
      </c>
      <c r="B1551" s="32" t="s">
        <v>582</v>
      </c>
      <c r="C1551" s="28"/>
      <c r="D1551" s="29" t="s">
        <v>3274</v>
      </c>
      <c r="E1551" s="76">
        <v>840000</v>
      </c>
      <c r="F1551" s="77">
        <f t="shared" si="73"/>
        <v>67200</v>
      </c>
      <c r="G1551" s="96">
        <f t="shared" si="74"/>
        <v>907200</v>
      </c>
      <c r="H1551" s="74"/>
      <c r="I1551" s="75">
        <f t="shared" si="75"/>
        <v>907200</v>
      </c>
      <c r="J1551" s="75"/>
      <c r="K1551" s="3"/>
      <c r="O1551" s="9"/>
      <c r="S1551" s="3"/>
    </row>
    <row r="1552" spans="1:19" ht="15" customHeight="1" x14ac:dyDescent="0.35">
      <c r="A1552" s="26" t="s">
        <v>3278</v>
      </c>
      <c r="B1552" s="32" t="s">
        <v>583</v>
      </c>
      <c r="C1552" s="28">
        <v>6385</v>
      </c>
      <c r="D1552" s="29">
        <v>46231</v>
      </c>
      <c r="E1552" s="76">
        <v>3691000</v>
      </c>
      <c r="F1552" s="77">
        <f t="shared" si="73"/>
        <v>295280</v>
      </c>
      <c r="G1552" s="96">
        <f t="shared" si="74"/>
        <v>3986280</v>
      </c>
      <c r="H1552" s="74"/>
      <c r="I1552" s="75">
        <f t="shared" si="75"/>
        <v>3986280</v>
      </c>
      <c r="J1552" s="75"/>
      <c r="K1552" s="3"/>
      <c r="O1552" s="9"/>
      <c r="S1552" s="3"/>
    </row>
    <row r="1553" spans="1:19" ht="15" customHeight="1" x14ac:dyDescent="0.35">
      <c r="A1553" s="26" t="s">
        <v>3279</v>
      </c>
      <c r="B1553" s="32" t="s">
        <v>584</v>
      </c>
      <c r="C1553" s="28">
        <v>6383</v>
      </c>
      <c r="D1553" s="29">
        <v>46231</v>
      </c>
      <c r="E1553" s="76">
        <v>9911500</v>
      </c>
      <c r="F1553" s="77">
        <f t="shared" si="73"/>
        <v>792920</v>
      </c>
      <c r="G1553" s="96">
        <f t="shared" si="74"/>
        <v>10704420</v>
      </c>
      <c r="H1553" s="74"/>
      <c r="I1553" s="75">
        <f t="shared" si="75"/>
        <v>10704420</v>
      </c>
      <c r="J1553" s="75"/>
      <c r="K1553" s="3"/>
      <c r="O1553" s="9"/>
      <c r="S1553" s="3"/>
    </row>
    <row r="1554" spans="1:19" ht="15" customHeight="1" x14ac:dyDescent="0.35">
      <c r="A1554" s="26" t="s">
        <v>3280</v>
      </c>
      <c r="B1554" s="32" t="s">
        <v>585</v>
      </c>
      <c r="C1554" s="28"/>
      <c r="D1554" s="29" t="s">
        <v>3274</v>
      </c>
      <c r="E1554" s="76">
        <v>7545000</v>
      </c>
      <c r="F1554" s="77">
        <f t="shared" si="73"/>
        <v>603600</v>
      </c>
      <c r="G1554" s="96">
        <f t="shared" si="74"/>
        <v>8148600</v>
      </c>
      <c r="H1554" s="74"/>
      <c r="I1554" s="75">
        <f t="shared" si="75"/>
        <v>8148600</v>
      </c>
      <c r="J1554" s="75"/>
      <c r="K1554" s="3"/>
      <c r="O1554" s="9"/>
      <c r="S1554" s="3"/>
    </row>
    <row r="1555" spans="1:19" ht="15" customHeight="1" x14ac:dyDescent="0.35">
      <c r="A1555" s="26" t="s">
        <v>3328</v>
      </c>
      <c r="B1555" s="27" t="s">
        <v>3281</v>
      </c>
      <c r="C1555" s="28"/>
      <c r="D1555" s="29" t="s">
        <v>3325</v>
      </c>
      <c r="E1555" s="76">
        <v>840000</v>
      </c>
      <c r="F1555" s="77">
        <f t="shared" si="73"/>
        <v>67200</v>
      </c>
      <c r="G1555" s="96">
        <f t="shared" si="74"/>
        <v>907200</v>
      </c>
      <c r="H1555" s="74"/>
      <c r="I1555" s="75">
        <f t="shared" si="75"/>
        <v>907200</v>
      </c>
      <c r="J1555" s="75"/>
      <c r="K1555" s="3"/>
      <c r="O1555" s="9"/>
      <c r="S1555" s="3"/>
    </row>
    <row r="1556" spans="1:19" ht="15" customHeight="1" x14ac:dyDescent="0.35">
      <c r="A1556" s="26" t="s">
        <v>3329</v>
      </c>
      <c r="B1556" s="32" t="s">
        <v>3282</v>
      </c>
      <c r="C1556" s="28"/>
      <c r="D1556" s="29" t="s">
        <v>3325</v>
      </c>
      <c r="E1556" s="76">
        <v>840000</v>
      </c>
      <c r="F1556" s="77">
        <f t="shared" si="73"/>
        <v>67200</v>
      </c>
      <c r="G1556" s="96">
        <f t="shared" si="74"/>
        <v>907200</v>
      </c>
      <c r="H1556" s="74"/>
      <c r="I1556" s="75">
        <f t="shared" si="75"/>
        <v>907200</v>
      </c>
      <c r="J1556" s="75"/>
      <c r="K1556" s="3"/>
      <c r="O1556" s="9"/>
      <c r="S1556" s="3"/>
    </row>
    <row r="1557" spans="1:19" ht="15" customHeight="1" x14ac:dyDescent="0.35">
      <c r="A1557" s="26" t="s">
        <v>3330</v>
      </c>
      <c r="B1557" s="32" t="s">
        <v>3283</v>
      </c>
      <c r="C1557" s="28"/>
      <c r="D1557" s="29" t="s">
        <v>3325</v>
      </c>
      <c r="E1557" s="76">
        <v>3685000</v>
      </c>
      <c r="F1557" s="77">
        <f t="shared" si="73"/>
        <v>294800</v>
      </c>
      <c r="G1557" s="96">
        <f t="shared" si="74"/>
        <v>3979800</v>
      </c>
      <c r="H1557" s="74"/>
      <c r="I1557" s="75">
        <f t="shared" si="75"/>
        <v>3979800</v>
      </c>
      <c r="J1557" s="75"/>
      <c r="K1557" s="3"/>
      <c r="O1557" s="9"/>
      <c r="S1557" s="3"/>
    </row>
    <row r="1558" spans="1:19" ht="15" customHeight="1" x14ac:dyDescent="0.35">
      <c r="A1558" s="26" t="s">
        <v>3331</v>
      </c>
      <c r="B1558" s="32" t="s">
        <v>3284</v>
      </c>
      <c r="C1558" s="28"/>
      <c r="D1558" s="29" t="s">
        <v>3325</v>
      </c>
      <c r="E1558" s="76">
        <v>840000</v>
      </c>
      <c r="F1558" s="77">
        <f t="shared" si="73"/>
        <v>67200</v>
      </c>
      <c r="G1558" s="96">
        <f t="shared" si="74"/>
        <v>907200</v>
      </c>
      <c r="H1558" s="74"/>
      <c r="I1558" s="75">
        <f t="shared" si="75"/>
        <v>907200</v>
      </c>
      <c r="J1558" s="75"/>
      <c r="K1558" s="3"/>
      <c r="O1558" s="9"/>
      <c r="S1558" s="3"/>
    </row>
    <row r="1559" spans="1:19" ht="15" customHeight="1" x14ac:dyDescent="0.35">
      <c r="A1559" s="26" t="s">
        <v>3332</v>
      </c>
      <c r="B1559" s="32" t="s">
        <v>3285</v>
      </c>
      <c r="C1559" s="28"/>
      <c r="D1559" s="29" t="s">
        <v>3325</v>
      </c>
      <c r="E1559" s="76">
        <v>840000</v>
      </c>
      <c r="F1559" s="77">
        <f t="shared" si="73"/>
        <v>67200</v>
      </c>
      <c r="G1559" s="96">
        <f t="shared" si="74"/>
        <v>907200</v>
      </c>
      <c r="H1559" s="74"/>
      <c r="I1559" s="75">
        <f t="shared" si="75"/>
        <v>907200</v>
      </c>
      <c r="J1559" s="75"/>
      <c r="K1559" s="3"/>
      <c r="O1559" s="9"/>
      <c r="S1559" s="3"/>
    </row>
    <row r="1560" spans="1:19" ht="15" customHeight="1" x14ac:dyDescent="0.35">
      <c r="A1560" s="26" t="s">
        <v>3333</v>
      </c>
      <c r="B1560" s="32" t="s">
        <v>586</v>
      </c>
      <c r="C1560" s="28"/>
      <c r="D1560" s="29" t="s">
        <v>3325</v>
      </c>
      <c r="E1560" s="76">
        <v>840000</v>
      </c>
      <c r="F1560" s="77">
        <f t="shared" si="73"/>
        <v>67200</v>
      </c>
      <c r="G1560" s="96">
        <f t="shared" si="74"/>
        <v>907200</v>
      </c>
      <c r="H1560" s="74"/>
      <c r="I1560" s="75">
        <f t="shared" si="75"/>
        <v>907200</v>
      </c>
      <c r="J1560" s="75"/>
      <c r="K1560" s="3"/>
      <c r="O1560" s="9"/>
      <c r="S1560" s="3"/>
    </row>
    <row r="1561" spans="1:19" ht="15" customHeight="1" x14ac:dyDescent="0.35">
      <c r="A1561" s="26" t="s">
        <v>3334</v>
      </c>
      <c r="B1561" s="32" t="s">
        <v>3286</v>
      </c>
      <c r="C1561" s="28"/>
      <c r="D1561" s="29" t="s">
        <v>3325</v>
      </c>
      <c r="E1561" s="76">
        <v>1680000</v>
      </c>
      <c r="F1561" s="77">
        <f t="shared" si="73"/>
        <v>134400</v>
      </c>
      <c r="G1561" s="96">
        <f t="shared" si="74"/>
        <v>1814400</v>
      </c>
      <c r="H1561" s="74"/>
      <c r="I1561" s="75">
        <f t="shared" si="75"/>
        <v>1814400</v>
      </c>
      <c r="J1561" s="75"/>
      <c r="K1561" s="3"/>
      <c r="O1561" s="9"/>
      <c r="S1561" s="3"/>
    </row>
    <row r="1562" spans="1:19" ht="15" customHeight="1" x14ac:dyDescent="0.35">
      <c r="A1562" s="26" t="s">
        <v>3335</v>
      </c>
      <c r="B1562" s="32" t="s">
        <v>3287</v>
      </c>
      <c r="C1562" s="28"/>
      <c r="D1562" s="29" t="s">
        <v>3325</v>
      </c>
      <c r="E1562" s="76">
        <v>4200000</v>
      </c>
      <c r="F1562" s="77">
        <f t="shared" si="73"/>
        <v>336000</v>
      </c>
      <c r="G1562" s="96">
        <f t="shared" si="74"/>
        <v>4536000</v>
      </c>
      <c r="H1562" s="74"/>
      <c r="I1562" s="75">
        <f t="shared" si="75"/>
        <v>4536000</v>
      </c>
      <c r="J1562" s="75"/>
      <c r="K1562" s="3"/>
      <c r="O1562" s="9"/>
      <c r="S1562" s="3"/>
    </row>
    <row r="1563" spans="1:19" ht="15" customHeight="1" x14ac:dyDescent="0.35">
      <c r="A1563" s="26" t="s">
        <v>3336</v>
      </c>
      <c r="B1563" s="32" t="s">
        <v>3288</v>
      </c>
      <c r="C1563" s="28"/>
      <c r="D1563" s="29" t="s">
        <v>3325</v>
      </c>
      <c r="E1563" s="76">
        <v>1132800</v>
      </c>
      <c r="F1563" s="77">
        <f t="shared" si="73"/>
        <v>90624</v>
      </c>
      <c r="G1563" s="96">
        <f t="shared" si="74"/>
        <v>1223424</v>
      </c>
      <c r="H1563" s="74"/>
      <c r="I1563" s="75">
        <f t="shared" si="75"/>
        <v>1223424</v>
      </c>
      <c r="J1563" s="75"/>
      <c r="K1563" s="3"/>
      <c r="O1563" s="9"/>
      <c r="S1563" s="3"/>
    </row>
    <row r="1564" spans="1:19" ht="15" customHeight="1" x14ac:dyDescent="0.35">
      <c r="A1564" s="26" t="s">
        <v>3337</v>
      </c>
      <c r="B1564" s="32" t="s">
        <v>3289</v>
      </c>
      <c r="C1564" s="28"/>
      <c r="D1564" s="29" t="s">
        <v>3325</v>
      </c>
      <c r="E1564" s="76">
        <v>840000</v>
      </c>
      <c r="F1564" s="77">
        <f t="shared" ref="F1564:F1627" si="76">+E1564*0.08</f>
        <v>67200</v>
      </c>
      <c r="G1564" s="96">
        <f t="shared" ref="G1564:G1627" si="77">+F1564+E1564</f>
        <v>907200</v>
      </c>
      <c r="H1564" s="74"/>
      <c r="I1564" s="75">
        <f t="shared" ref="I1564:I1627" si="78">G1564-H1564</f>
        <v>907200</v>
      </c>
      <c r="J1564" s="75"/>
      <c r="K1564" s="3"/>
      <c r="O1564" s="9"/>
      <c r="S1564" s="3"/>
    </row>
    <row r="1565" spans="1:19" ht="15" customHeight="1" x14ac:dyDescent="0.35">
      <c r="A1565" s="26" t="s">
        <v>3338</v>
      </c>
      <c r="B1565" s="32" t="s">
        <v>3290</v>
      </c>
      <c r="C1565" s="28"/>
      <c r="D1565" s="29" t="s">
        <v>3325</v>
      </c>
      <c r="E1565" s="76">
        <v>840000</v>
      </c>
      <c r="F1565" s="77">
        <f t="shared" si="76"/>
        <v>67200</v>
      </c>
      <c r="G1565" s="96">
        <f t="shared" si="77"/>
        <v>907200</v>
      </c>
      <c r="H1565" s="74"/>
      <c r="I1565" s="75">
        <f t="shared" si="78"/>
        <v>907200</v>
      </c>
      <c r="J1565" s="75"/>
      <c r="K1565" s="3"/>
      <c r="O1565" s="9"/>
      <c r="S1565" s="3"/>
    </row>
    <row r="1566" spans="1:19" ht="15" customHeight="1" x14ac:dyDescent="0.35">
      <c r="A1566" s="26" t="s">
        <v>3339</v>
      </c>
      <c r="B1566" s="32" t="s">
        <v>3291</v>
      </c>
      <c r="C1566" s="28"/>
      <c r="D1566" s="29" t="s">
        <v>3325</v>
      </c>
      <c r="E1566" s="76">
        <v>840000</v>
      </c>
      <c r="F1566" s="77">
        <f t="shared" si="76"/>
        <v>67200</v>
      </c>
      <c r="G1566" s="96">
        <f t="shared" si="77"/>
        <v>907200</v>
      </c>
      <c r="H1566" s="74"/>
      <c r="I1566" s="75">
        <f t="shared" si="78"/>
        <v>907200</v>
      </c>
      <c r="J1566" s="75"/>
      <c r="K1566" s="3"/>
      <c r="O1566" s="9"/>
      <c r="S1566" s="3"/>
    </row>
    <row r="1567" spans="1:19" ht="15" customHeight="1" x14ac:dyDescent="0.35">
      <c r="A1567" s="26" t="s">
        <v>3340</v>
      </c>
      <c r="B1567" s="32" t="s">
        <v>3292</v>
      </c>
      <c r="C1567" s="28"/>
      <c r="D1567" s="29" t="s">
        <v>3325</v>
      </c>
      <c r="E1567" s="76">
        <v>840000</v>
      </c>
      <c r="F1567" s="77">
        <f t="shared" si="76"/>
        <v>67200</v>
      </c>
      <c r="G1567" s="96">
        <f t="shared" si="77"/>
        <v>907200</v>
      </c>
      <c r="H1567" s="74"/>
      <c r="I1567" s="75">
        <f t="shared" si="78"/>
        <v>907200</v>
      </c>
      <c r="J1567" s="75"/>
      <c r="K1567" s="3"/>
      <c r="O1567" s="9"/>
      <c r="S1567" s="3"/>
    </row>
    <row r="1568" spans="1:19" ht="15" customHeight="1" x14ac:dyDescent="0.35">
      <c r="A1568" s="26" t="s">
        <v>3341</v>
      </c>
      <c r="B1568" s="32" t="s">
        <v>3293</v>
      </c>
      <c r="C1568" s="28"/>
      <c r="D1568" s="29" t="s">
        <v>3325</v>
      </c>
      <c r="E1568" s="76">
        <v>840000</v>
      </c>
      <c r="F1568" s="77">
        <f t="shared" si="76"/>
        <v>67200</v>
      </c>
      <c r="G1568" s="96">
        <f t="shared" si="77"/>
        <v>907200</v>
      </c>
      <c r="H1568" s="74"/>
      <c r="I1568" s="75">
        <f t="shared" si="78"/>
        <v>907200</v>
      </c>
      <c r="J1568" s="75"/>
      <c r="K1568" s="3"/>
      <c r="O1568" s="9"/>
      <c r="S1568" s="3"/>
    </row>
    <row r="1569" spans="1:19" ht="15" customHeight="1" x14ac:dyDescent="0.35">
      <c r="A1569" s="26" t="s">
        <v>3342</v>
      </c>
      <c r="B1569" s="32" t="s">
        <v>3294</v>
      </c>
      <c r="C1569" s="28"/>
      <c r="D1569" s="29" t="s">
        <v>3325</v>
      </c>
      <c r="E1569" s="76">
        <v>840000</v>
      </c>
      <c r="F1569" s="77">
        <f t="shared" si="76"/>
        <v>67200</v>
      </c>
      <c r="G1569" s="96">
        <f t="shared" si="77"/>
        <v>907200</v>
      </c>
      <c r="H1569" s="74"/>
      <c r="I1569" s="75">
        <f t="shared" si="78"/>
        <v>907200</v>
      </c>
      <c r="J1569" s="75"/>
      <c r="K1569" s="3"/>
      <c r="O1569" s="9"/>
      <c r="S1569" s="3"/>
    </row>
    <row r="1570" spans="1:19" ht="15" customHeight="1" x14ac:dyDescent="0.35">
      <c r="A1570" s="26" t="s">
        <v>3343</v>
      </c>
      <c r="B1570" s="32" t="s">
        <v>3295</v>
      </c>
      <c r="C1570" s="28"/>
      <c r="D1570" s="29" t="s">
        <v>3326</v>
      </c>
      <c r="E1570" s="76">
        <v>20185000</v>
      </c>
      <c r="F1570" s="77">
        <f t="shared" si="76"/>
        <v>1614800</v>
      </c>
      <c r="G1570" s="96">
        <f t="shared" si="77"/>
        <v>21799800</v>
      </c>
      <c r="H1570" s="74"/>
      <c r="I1570" s="75">
        <f t="shared" si="78"/>
        <v>21799800</v>
      </c>
      <c r="J1570" s="75"/>
      <c r="K1570" s="3"/>
      <c r="O1570" s="9"/>
      <c r="S1570" s="3"/>
    </row>
    <row r="1571" spans="1:19" ht="15" customHeight="1" x14ac:dyDescent="0.35">
      <c r="A1571" s="26" t="s">
        <v>3344</v>
      </c>
      <c r="B1571" s="32" t="s">
        <v>3296</v>
      </c>
      <c r="C1571" s="28"/>
      <c r="D1571" s="29" t="s">
        <v>3326</v>
      </c>
      <c r="E1571" s="76">
        <v>2880000</v>
      </c>
      <c r="F1571" s="77">
        <f t="shared" si="76"/>
        <v>230400</v>
      </c>
      <c r="G1571" s="96">
        <f t="shared" si="77"/>
        <v>3110400</v>
      </c>
      <c r="H1571" s="74"/>
      <c r="I1571" s="75">
        <f t="shared" si="78"/>
        <v>3110400</v>
      </c>
      <c r="J1571" s="75"/>
      <c r="K1571" s="3"/>
      <c r="O1571" s="9"/>
      <c r="S1571" s="3"/>
    </row>
    <row r="1572" spans="1:19" ht="15" customHeight="1" x14ac:dyDescent="0.35">
      <c r="A1572" s="26" t="s">
        <v>3345</v>
      </c>
      <c r="B1572" s="32" t="s">
        <v>3297</v>
      </c>
      <c r="C1572" s="28"/>
      <c r="D1572" s="29" t="s">
        <v>3326</v>
      </c>
      <c r="E1572" s="76">
        <v>5575000</v>
      </c>
      <c r="F1572" s="77">
        <f t="shared" si="76"/>
        <v>446000</v>
      </c>
      <c r="G1572" s="96">
        <f t="shared" si="77"/>
        <v>6021000</v>
      </c>
      <c r="H1572" s="74"/>
      <c r="I1572" s="75">
        <f t="shared" si="78"/>
        <v>6021000</v>
      </c>
      <c r="J1572" s="75"/>
      <c r="K1572" s="3"/>
      <c r="O1572" s="9"/>
      <c r="S1572" s="3"/>
    </row>
    <row r="1573" spans="1:19" ht="15" customHeight="1" x14ac:dyDescent="0.35">
      <c r="A1573" s="26" t="s">
        <v>3346</v>
      </c>
      <c r="B1573" s="32" t="s">
        <v>3298</v>
      </c>
      <c r="C1573" s="28">
        <v>6758</v>
      </c>
      <c r="D1573" s="29">
        <v>46241</v>
      </c>
      <c r="E1573" s="76">
        <v>4373000</v>
      </c>
      <c r="F1573" s="77">
        <f t="shared" si="76"/>
        <v>349840</v>
      </c>
      <c r="G1573" s="96">
        <f t="shared" si="77"/>
        <v>4722840</v>
      </c>
      <c r="H1573" s="74"/>
      <c r="I1573" s="75">
        <f t="shared" si="78"/>
        <v>4722840</v>
      </c>
      <c r="J1573" s="75"/>
      <c r="K1573" s="3"/>
      <c r="O1573" s="9"/>
      <c r="S1573" s="3"/>
    </row>
    <row r="1574" spans="1:19" ht="15" customHeight="1" x14ac:dyDescent="0.35">
      <c r="A1574" s="26" t="s">
        <v>3347</v>
      </c>
      <c r="B1574" s="32" t="s">
        <v>3299</v>
      </c>
      <c r="C1574" s="28"/>
      <c r="D1574" s="29" t="s">
        <v>3326</v>
      </c>
      <c r="E1574" s="76">
        <v>14185000</v>
      </c>
      <c r="F1574" s="77">
        <f t="shared" si="76"/>
        <v>1134800</v>
      </c>
      <c r="G1574" s="96">
        <f t="shared" si="77"/>
        <v>15319800</v>
      </c>
      <c r="H1574" s="74"/>
      <c r="I1574" s="75">
        <f t="shared" si="78"/>
        <v>15319800</v>
      </c>
      <c r="J1574" s="75"/>
      <c r="K1574" s="3"/>
      <c r="O1574" s="9"/>
      <c r="S1574" s="3"/>
    </row>
    <row r="1575" spans="1:19" ht="15" customHeight="1" x14ac:dyDescent="0.35">
      <c r="A1575" s="26" t="s">
        <v>3348</v>
      </c>
      <c r="B1575" s="32" t="s">
        <v>3300</v>
      </c>
      <c r="C1575" s="28"/>
      <c r="D1575" s="29" t="s">
        <v>3326</v>
      </c>
      <c r="E1575" s="76">
        <v>3460000</v>
      </c>
      <c r="F1575" s="77">
        <f t="shared" si="76"/>
        <v>276800</v>
      </c>
      <c r="G1575" s="96">
        <f t="shared" si="77"/>
        <v>3736800</v>
      </c>
      <c r="H1575" s="74"/>
      <c r="I1575" s="75">
        <f t="shared" si="78"/>
        <v>3736800</v>
      </c>
      <c r="J1575" s="75"/>
      <c r="K1575" s="3"/>
      <c r="O1575" s="9"/>
      <c r="S1575" s="3"/>
    </row>
    <row r="1576" spans="1:19" ht="15" customHeight="1" x14ac:dyDescent="0.35">
      <c r="A1576" s="26" t="s">
        <v>3349</v>
      </c>
      <c r="B1576" s="32" t="s">
        <v>3301</v>
      </c>
      <c r="C1576" s="28"/>
      <c r="D1576" s="29" t="s">
        <v>3326</v>
      </c>
      <c r="E1576" s="76">
        <v>960000</v>
      </c>
      <c r="F1576" s="77">
        <f t="shared" si="76"/>
        <v>76800</v>
      </c>
      <c r="G1576" s="96">
        <f t="shared" si="77"/>
        <v>1036800</v>
      </c>
      <c r="H1576" s="74"/>
      <c r="I1576" s="75">
        <f t="shared" si="78"/>
        <v>1036800</v>
      </c>
      <c r="J1576" s="75"/>
      <c r="K1576" s="3"/>
      <c r="O1576" s="9"/>
      <c r="S1576" s="3"/>
    </row>
    <row r="1577" spans="1:19" ht="15" customHeight="1" x14ac:dyDescent="0.35">
      <c r="A1577" s="26" t="s">
        <v>3350</v>
      </c>
      <c r="B1577" s="27" t="s">
        <v>3302</v>
      </c>
      <c r="C1577" s="28"/>
      <c r="D1577" s="29" t="s">
        <v>3326</v>
      </c>
      <c r="E1577" s="76">
        <v>3640000</v>
      </c>
      <c r="F1577" s="77">
        <f t="shared" si="76"/>
        <v>291200</v>
      </c>
      <c r="G1577" s="96">
        <f t="shared" si="77"/>
        <v>3931200</v>
      </c>
      <c r="H1577" s="74"/>
      <c r="I1577" s="75">
        <f t="shared" si="78"/>
        <v>3931200</v>
      </c>
      <c r="J1577" s="75"/>
      <c r="K1577" s="3"/>
      <c r="O1577" s="9"/>
      <c r="S1577" s="3"/>
    </row>
    <row r="1578" spans="1:19" ht="15" customHeight="1" x14ac:dyDescent="0.35">
      <c r="A1578" s="26" t="s">
        <v>3351</v>
      </c>
      <c r="B1578" s="32" t="s">
        <v>3303</v>
      </c>
      <c r="C1578" s="28"/>
      <c r="D1578" s="29" t="s">
        <v>3326</v>
      </c>
      <c r="E1578" s="76">
        <v>3840000</v>
      </c>
      <c r="F1578" s="77">
        <f t="shared" si="76"/>
        <v>307200</v>
      </c>
      <c r="G1578" s="96">
        <f t="shared" si="77"/>
        <v>4147200</v>
      </c>
      <c r="H1578" s="74"/>
      <c r="I1578" s="75">
        <f t="shared" si="78"/>
        <v>4147200</v>
      </c>
      <c r="J1578" s="75"/>
      <c r="K1578" s="3"/>
      <c r="O1578" s="9"/>
      <c r="S1578" s="3"/>
    </row>
    <row r="1579" spans="1:19" ht="15" customHeight="1" x14ac:dyDescent="0.35">
      <c r="A1579" s="26" t="s">
        <v>3352</v>
      </c>
      <c r="B1579" s="27" t="s">
        <v>3304</v>
      </c>
      <c r="C1579" s="28"/>
      <c r="D1579" s="29" t="s">
        <v>3326</v>
      </c>
      <c r="E1579" s="76">
        <v>7270000</v>
      </c>
      <c r="F1579" s="77">
        <f t="shared" si="76"/>
        <v>581600</v>
      </c>
      <c r="G1579" s="96">
        <f t="shared" si="77"/>
        <v>7851600</v>
      </c>
      <c r="H1579" s="74"/>
      <c r="I1579" s="75">
        <f t="shared" si="78"/>
        <v>7851600</v>
      </c>
      <c r="J1579" s="75"/>
      <c r="K1579" s="3"/>
      <c r="O1579" s="9"/>
      <c r="S1579" s="3"/>
    </row>
    <row r="1580" spans="1:19" ht="15" customHeight="1" x14ac:dyDescent="0.35">
      <c r="A1580" s="26" t="s">
        <v>3353</v>
      </c>
      <c r="B1580" s="32" t="s">
        <v>3305</v>
      </c>
      <c r="C1580" s="28">
        <v>6967</v>
      </c>
      <c r="D1580" s="29">
        <v>46248</v>
      </c>
      <c r="E1580" s="76">
        <v>12444500</v>
      </c>
      <c r="F1580" s="77">
        <f t="shared" si="76"/>
        <v>995560</v>
      </c>
      <c r="G1580" s="96">
        <f t="shared" si="77"/>
        <v>13440060</v>
      </c>
      <c r="H1580" s="74"/>
      <c r="I1580" s="75">
        <f t="shared" si="78"/>
        <v>13440060</v>
      </c>
      <c r="J1580" s="75"/>
      <c r="K1580" s="3"/>
      <c r="O1580" s="9"/>
      <c r="S1580" s="3"/>
    </row>
    <row r="1581" spans="1:19" ht="15" customHeight="1" x14ac:dyDescent="0.35">
      <c r="A1581" s="26" t="s">
        <v>3354</v>
      </c>
      <c r="B1581" s="32" t="s">
        <v>3306</v>
      </c>
      <c r="C1581" s="28"/>
      <c r="D1581" s="29" t="s">
        <v>3326</v>
      </c>
      <c r="E1581" s="76">
        <v>3840000</v>
      </c>
      <c r="F1581" s="77">
        <f t="shared" si="76"/>
        <v>307200</v>
      </c>
      <c r="G1581" s="96">
        <f t="shared" si="77"/>
        <v>4147200</v>
      </c>
      <c r="H1581" s="74"/>
      <c r="I1581" s="75">
        <f t="shared" si="78"/>
        <v>4147200</v>
      </c>
      <c r="J1581" s="75"/>
      <c r="K1581" s="3"/>
      <c r="O1581" s="9"/>
      <c r="S1581" s="3"/>
    </row>
    <row r="1582" spans="1:19" ht="15" customHeight="1" x14ac:dyDescent="0.35">
      <c r="A1582" s="26" t="s">
        <v>3355</v>
      </c>
      <c r="B1582" s="32" t="s">
        <v>3307</v>
      </c>
      <c r="C1582" s="28">
        <v>6384</v>
      </c>
      <c r="D1582" s="29">
        <v>46231</v>
      </c>
      <c r="E1582" s="76">
        <v>7331500</v>
      </c>
      <c r="F1582" s="77">
        <f t="shared" si="76"/>
        <v>586520</v>
      </c>
      <c r="G1582" s="96">
        <f t="shared" si="77"/>
        <v>7918020</v>
      </c>
      <c r="H1582" s="74"/>
      <c r="I1582" s="75">
        <f t="shared" si="78"/>
        <v>7918020</v>
      </c>
      <c r="J1582" s="75"/>
      <c r="K1582" s="3"/>
      <c r="O1582" s="9"/>
      <c r="S1582" s="3"/>
    </row>
    <row r="1583" spans="1:19" ht="15" customHeight="1" x14ac:dyDescent="0.35">
      <c r="A1583" s="26" t="s">
        <v>3356</v>
      </c>
      <c r="B1583" s="32" t="s">
        <v>3308</v>
      </c>
      <c r="C1583" s="28"/>
      <c r="D1583" s="29" t="s">
        <v>3326</v>
      </c>
      <c r="E1583" s="76">
        <v>7040000</v>
      </c>
      <c r="F1583" s="77">
        <f t="shared" si="76"/>
        <v>563200</v>
      </c>
      <c r="G1583" s="96">
        <f t="shared" si="77"/>
        <v>7603200</v>
      </c>
      <c r="H1583" s="74"/>
      <c r="I1583" s="75">
        <f t="shared" si="78"/>
        <v>7603200</v>
      </c>
      <c r="J1583" s="75"/>
      <c r="K1583" s="3"/>
      <c r="O1583" s="9"/>
      <c r="S1583" s="3"/>
    </row>
    <row r="1584" spans="1:19" ht="15" customHeight="1" x14ac:dyDescent="0.35">
      <c r="A1584" s="26" t="s">
        <v>3357</v>
      </c>
      <c r="B1584" s="32" t="s">
        <v>3309</v>
      </c>
      <c r="C1584" s="28">
        <v>6759</v>
      </c>
      <c r="D1584" s="29">
        <v>46241</v>
      </c>
      <c r="E1584" s="76">
        <v>5532000</v>
      </c>
      <c r="F1584" s="77">
        <f t="shared" si="76"/>
        <v>442560</v>
      </c>
      <c r="G1584" s="96">
        <f t="shared" si="77"/>
        <v>5974560</v>
      </c>
      <c r="H1584" s="74"/>
      <c r="I1584" s="75">
        <f t="shared" si="78"/>
        <v>5974560</v>
      </c>
      <c r="J1584" s="75"/>
      <c r="K1584" s="3"/>
      <c r="O1584" s="9"/>
      <c r="S1584" s="3"/>
    </row>
    <row r="1585" spans="1:19" ht="15" customHeight="1" x14ac:dyDescent="0.35">
      <c r="A1585" s="26" t="s">
        <v>3358</v>
      </c>
      <c r="B1585" s="32" t="s">
        <v>3310</v>
      </c>
      <c r="C1585" s="28"/>
      <c r="D1585" s="29" t="s">
        <v>3326</v>
      </c>
      <c r="E1585" s="76">
        <v>6445000</v>
      </c>
      <c r="F1585" s="77">
        <f t="shared" si="76"/>
        <v>515600</v>
      </c>
      <c r="G1585" s="96">
        <f t="shared" si="77"/>
        <v>6960600</v>
      </c>
      <c r="H1585" s="74"/>
      <c r="I1585" s="75">
        <f t="shared" si="78"/>
        <v>6960600</v>
      </c>
      <c r="J1585" s="75"/>
      <c r="K1585" s="3"/>
      <c r="O1585" s="9"/>
      <c r="S1585" s="3"/>
    </row>
    <row r="1586" spans="1:19" ht="15" customHeight="1" x14ac:dyDescent="0.35">
      <c r="A1586" s="26" t="s">
        <v>3359</v>
      </c>
      <c r="B1586" s="32" t="s">
        <v>3311</v>
      </c>
      <c r="C1586" s="28">
        <v>6387</v>
      </c>
      <c r="D1586" s="29">
        <v>46231</v>
      </c>
      <c r="E1586" s="76">
        <v>1800000</v>
      </c>
      <c r="F1586" s="77">
        <f t="shared" si="76"/>
        <v>144000</v>
      </c>
      <c r="G1586" s="96">
        <f t="shared" si="77"/>
        <v>1944000</v>
      </c>
      <c r="H1586" s="74"/>
      <c r="I1586" s="75">
        <f t="shared" si="78"/>
        <v>1944000</v>
      </c>
      <c r="J1586" s="75"/>
      <c r="K1586" s="3"/>
      <c r="O1586" s="9"/>
      <c r="S1586" s="3"/>
    </row>
    <row r="1587" spans="1:19" ht="15" customHeight="1" x14ac:dyDescent="0.35">
      <c r="A1587" s="26" t="s">
        <v>3360</v>
      </c>
      <c r="B1587" s="32" t="s">
        <v>587</v>
      </c>
      <c r="C1587" s="28"/>
      <c r="D1587" s="29" t="s">
        <v>3326</v>
      </c>
      <c r="E1587" s="76">
        <v>1005000</v>
      </c>
      <c r="F1587" s="77">
        <f t="shared" si="76"/>
        <v>80400</v>
      </c>
      <c r="G1587" s="96">
        <f t="shared" si="77"/>
        <v>1085400</v>
      </c>
      <c r="H1587" s="74"/>
      <c r="I1587" s="75">
        <f t="shared" si="78"/>
        <v>1085400</v>
      </c>
      <c r="J1587" s="75"/>
      <c r="K1587" s="3"/>
      <c r="O1587" s="9"/>
      <c r="S1587" s="3"/>
    </row>
    <row r="1588" spans="1:19" ht="15" customHeight="1" x14ac:dyDescent="0.35">
      <c r="A1588" s="26" t="s">
        <v>3361</v>
      </c>
      <c r="B1588" s="32" t="s">
        <v>588</v>
      </c>
      <c r="C1588" s="28"/>
      <c r="D1588" s="29" t="s">
        <v>3326</v>
      </c>
      <c r="E1588" s="76">
        <v>1005000</v>
      </c>
      <c r="F1588" s="77">
        <f t="shared" si="76"/>
        <v>80400</v>
      </c>
      <c r="G1588" s="96">
        <f t="shared" si="77"/>
        <v>1085400</v>
      </c>
      <c r="H1588" s="74"/>
      <c r="I1588" s="75">
        <f t="shared" si="78"/>
        <v>1085400</v>
      </c>
      <c r="J1588" s="75"/>
      <c r="K1588" s="3"/>
      <c r="O1588" s="9"/>
      <c r="S1588" s="3"/>
    </row>
    <row r="1589" spans="1:19" ht="15" customHeight="1" x14ac:dyDescent="0.35">
      <c r="A1589" s="26" t="s">
        <v>3362</v>
      </c>
      <c r="B1589" s="32" t="s">
        <v>589</v>
      </c>
      <c r="C1589" s="28">
        <v>6386</v>
      </c>
      <c r="D1589" s="29">
        <v>46231</v>
      </c>
      <c r="E1589" s="76">
        <v>2285000</v>
      </c>
      <c r="F1589" s="77">
        <f t="shared" si="76"/>
        <v>182800</v>
      </c>
      <c r="G1589" s="96">
        <f t="shared" si="77"/>
        <v>2467800</v>
      </c>
      <c r="H1589" s="74"/>
      <c r="I1589" s="75">
        <f t="shared" si="78"/>
        <v>2467800</v>
      </c>
      <c r="J1589" s="75"/>
      <c r="K1589" s="3"/>
      <c r="O1589" s="9"/>
      <c r="S1589" s="3"/>
    </row>
    <row r="1590" spans="1:19" ht="15" customHeight="1" x14ac:dyDescent="0.35">
      <c r="A1590" s="26" t="s">
        <v>3363</v>
      </c>
      <c r="B1590" s="32" t="s">
        <v>590</v>
      </c>
      <c r="C1590" s="28"/>
      <c r="D1590" s="29" t="s">
        <v>3326</v>
      </c>
      <c r="E1590" s="76">
        <v>2010000</v>
      </c>
      <c r="F1590" s="77">
        <f t="shared" si="76"/>
        <v>160800</v>
      </c>
      <c r="G1590" s="96">
        <f t="shared" si="77"/>
        <v>2170800</v>
      </c>
      <c r="H1590" s="74"/>
      <c r="I1590" s="75">
        <f t="shared" si="78"/>
        <v>2170800</v>
      </c>
      <c r="J1590" s="75"/>
      <c r="K1590" s="3"/>
      <c r="O1590" s="9"/>
      <c r="S1590" s="3"/>
    </row>
    <row r="1591" spans="1:19" ht="15" customHeight="1" x14ac:dyDescent="0.35">
      <c r="A1591" s="26" t="s">
        <v>3364</v>
      </c>
      <c r="B1591" s="32" t="s">
        <v>591</v>
      </c>
      <c r="C1591" s="28"/>
      <c r="D1591" s="29" t="s">
        <v>3326</v>
      </c>
      <c r="E1591" s="76">
        <v>2040000</v>
      </c>
      <c r="F1591" s="77">
        <f t="shared" si="76"/>
        <v>163200</v>
      </c>
      <c r="G1591" s="96">
        <f t="shared" si="77"/>
        <v>2203200</v>
      </c>
      <c r="H1591" s="74"/>
      <c r="I1591" s="75">
        <f t="shared" si="78"/>
        <v>2203200</v>
      </c>
      <c r="J1591" s="75"/>
      <c r="K1591" s="3"/>
      <c r="O1591" s="9"/>
      <c r="S1591" s="3"/>
    </row>
    <row r="1592" spans="1:19" ht="15" customHeight="1" x14ac:dyDescent="0.35">
      <c r="A1592" s="26" t="s">
        <v>3365</v>
      </c>
      <c r="B1592" s="32" t="s">
        <v>592</v>
      </c>
      <c r="C1592" s="28"/>
      <c r="D1592" s="29" t="s">
        <v>3326</v>
      </c>
      <c r="E1592" s="76">
        <v>1005000</v>
      </c>
      <c r="F1592" s="77">
        <f t="shared" si="76"/>
        <v>80400</v>
      </c>
      <c r="G1592" s="96">
        <f t="shared" si="77"/>
        <v>1085400</v>
      </c>
      <c r="H1592" s="74"/>
      <c r="I1592" s="75">
        <f t="shared" si="78"/>
        <v>1085400</v>
      </c>
      <c r="J1592" s="75"/>
      <c r="K1592" s="3"/>
      <c r="O1592" s="9"/>
      <c r="S1592" s="3"/>
    </row>
    <row r="1593" spans="1:19" ht="15" customHeight="1" x14ac:dyDescent="0.35">
      <c r="A1593" s="26" t="s">
        <v>3366</v>
      </c>
      <c r="B1593" s="32" t="s">
        <v>593</v>
      </c>
      <c r="C1593" s="28"/>
      <c r="D1593" s="29" t="s">
        <v>3326</v>
      </c>
      <c r="E1593" s="76">
        <v>1965000</v>
      </c>
      <c r="F1593" s="77">
        <f t="shared" si="76"/>
        <v>157200</v>
      </c>
      <c r="G1593" s="96">
        <f t="shared" si="77"/>
        <v>2122200</v>
      </c>
      <c r="H1593" s="74"/>
      <c r="I1593" s="75">
        <f t="shared" si="78"/>
        <v>2122200</v>
      </c>
      <c r="J1593" s="75"/>
      <c r="K1593" s="3"/>
      <c r="O1593" s="9"/>
      <c r="S1593" s="3"/>
    </row>
    <row r="1594" spans="1:19" ht="15" customHeight="1" x14ac:dyDescent="0.35">
      <c r="A1594" s="26" t="s">
        <v>3367</v>
      </c>
      <c r="B1594" s="32" t="s">
        <v>594</v>
      </c>
      <c r="C1594" s="28"/>
      <c r="D1594" s="29" t="s">
        <v>3326</v>
      </c>
      <c r="E1594" s="76">
        <v>2010000</v>
      </c>
      <c r="F1594" s="77">
        <f t="shared" si="76"/>
        <v>160800</v>
      </c>
      <c r="G1594" s="96">
        <f t="shared" si="77"/>
        <v>2170800</v>
      </c>
      <c r="H1594" s="74"/>
      <c r="I1594" s="75">
        <f t="shared" si="78"/>
        <v>2170800</v>
      </c>
      <c r="J1594" s="75"/>
      <c r="K1594" s="3"/>
      <c r="O1594" s="9"/>
      <c r="S1594" s="3"/>
    </row>
    <row r="1595" spans="1:19" ht="15" customHeight="1" x14ac:dyDescent="0.35">
      <c r="A1595" s="26" t="s">
        <v>3368</v>
      </c>
      <c r="B1595" s="32" t="s">
        <v>595</v>
      </c>
      <c r="C1595" s="28"/>
      <c r="D1595" s="29" t="s">
        <v>3326</v>
      </c>
      <c r="E1595" s="76">
        <v>2790000</v>
      </c>
      <c r="F1595" s="77">
        <f t="shared" si="76"/>
        <v>223200</v>
      </c>
      <c r="G1595" s="96">
        <f t="shared" si="77"/>
        <v>3013200</v>
      </c>
      <c r="H1595" s="74"/>
      <c r="I1595" s="75">
        <f t="shared" si="78"/>
        <v>3013200</v>
      </c>
      <c r="J1595" s="75"/>
      <c r="K1595" s="3"/>
      <c r="O1595" s="9"/>
      <c r="S1595" s="3"/>
    </row>
    <row r="1596" spans="1:19" ht="15" customHeight="1" x14ac:dyDescent="0.35">
      <c r="A1596" s="26" t="s">
        <v>3369</v>
      </c>
      <c r="B1596" s="32" t="s">
        <v>3312</v>
      </c>
      <c r="C1596" s="28">
        <v>6388</v>
      </c>
      <c r="D1596" s="29">
        <v>46231</v>
      </c>
      <c r="E1596" s="76">
        <v>5347500</v>
      </c>
      <c r="F1596" s="77">
        <f t="shared" si="76"/>
        <v>427800</v>
      </c>
      <c r="G1596" s="96">
        <f t="shared" si="77"/>
        <v>5775300</v>
      </c>
      <c r="H1596" s="74"/>
      <c r="I1596" s="75">
        <f t="shared" si="78"/>
        <v>5775300</v>
      </c>
      <c r="J1596" s="75"/>
      <c r="K1596" s="3"/>
      <c r="O1596" s="9"/>
      <c r="S1596" s="3"/>
    </row>
    <row r="1597" spans="1:19" ht="15" customHeight="1" x14ac:dyDescent="0.35">
      <c r="A1597" s="26" t="s">
        <v>3370</v>
      </c>
      <c r="B1597" s="32" t="s">
        <v>3313</v>
      </c>
      <c r="C1597" s="28"/>
      <c r="D1597" s="29" t="s">
        <v>3326</v>
      </c>
      <c r="E1597" s="76">
        <v>12360000</v>
      </c>
      <c r="F1597" s="77">
        <f t="shared" si="76"/>
        <v>988800</v>
      </c>
      <c r="G1597" s="96">
        <f t="shared" si="77"/>
        <v>13348800</v>
      </c>
      <c r="H1597" s="74"/>
      <c r="I1597" s="75">
        <f t="shared" si="78"/>
        <v>13348800</v>
      </c>
      <c r="J1597" s="75"/>
      <c r="K1597" s="3"/>
      <c r="O1597" s="9"/>
      <c r="S1597" s="3"/>
    </row>
    <row r="1598" spans="1:19" ht="15" customHeight="1" x14ac:dyDescent="0.35">
      <c r="A1598" s="26" t="s">
        <v>3371</v>
      </c>
      <c r="B1598" s="32" t="s">
        <v>3314</v>
      </c>
      <c r="C1598" s="28"/>
      <c r="D1598" s="29" t="s">
        <v>3326</v>
      </c>
      <c r="E1598" s="76">
        <v>1815000</v>
      </c>
      <c r="F1598" s="77">
        <f t="shared" si="76"/>
        <v>145200</v>
      </c>
      <c r="G1598" s="96">
        <f t="shared" si="77"/>
        <v>1960200</v>
      </c>
      <c r="H1598" s="74"/>
      <c r="I1598" s="75">
        <f t="shared" si="78"/>
        <v>1960200</v>
      </c>
      <c r="J1598" s="75"/>
      <c r="K1598" s="3"/>
      <c r="O1598" s="9"/>
      <c r="S1598" s="3"/>
    </row>
    <row r="1599" spans="1:19" ht="15" customHeight="1" x14ac:dyDescent="0.35">
      <c r="A1599" s="26" t="s">
        <v>3372</v>
      </c>
      <c r="B1599" s="32" t="s">
        <v>3315</v>
      </c>
      <c r="C1599" s="28"/>
      <c r="D1599" s="29" t="s">
        <v>3326</v>
      </c>
      <c r="E1599" s="76">
        <v>3960000</v>
      </c>
      <c r="F1599" s="77">
        <f t="shared" si="76"/>
        <v>316800</v>
      </c>
      <c r="G1599" s="96">
        <f t="shared" si="77"/>
        <v>4276800</v>
      </c>
      <c r="H1599" s="74"/>
      <c r="I1599" s="75">
        <f t="shared" si="78"/>
        <v>4276800</v>
      </c>
      <c r="J1599" s="75"/>
      <c r="K1599" s="3"/>
      <c r="O1599" s="9"/>
      <c r="S1599" s="3"/>
    </row>
    <row r="1600" spans="1:19" ht="15" customHeight="1" x14ac:dyDescent="0.35">
      <c r="A1600" s="26" t="s">
        <v>3373</v>
      </c>
      <c r="B1600" s="27" t="s">
        <v>3316</v>
      </c>
      <c r="C1600" s="28"/>
      <c r="D1600" s="29" t="s">
        <v>3326</v>
      </c>
      <c r="E1600" s="76">
        <v>6810000</v>
      </c>
      <c r="F1600" s="77">
        <f t="shared" si="76"/>
        <v>544800</v>
      </c>
      <c r="G1600" s="96">
        <f t="shared" si="77"/>
        <v>7354800</v>
      </c>
      <c r="H1600" s="74"/>
      <c r="I1600" s="75">
        <f t="shared" si="78"/>
        <v>7354800</v>
      </c>
      <c r="J1600" s="75"/>
      <c r="K1600" s="3"/>
      <c r="O1600" s="9"/>
      <c r="S1600" s="3"/>
    </row>
    <row r="1601" spans="1:19" ht="15" customHeight="1" x14ac:dyDescent="0.35">
      <c r="A1601" s="26" t="s">
        <v>3374</v>
      </c>
      <c r="B1601" s="27" t="s">
        <v>3317</v>
      </c>
      <c r="C1601" s="28"/>
      <c r="D1601" s="29" t="s">
        <v>3326</v>
      </c>
      <c r="E1601" s="76">
        <v>1815000</v>
      </c>
      <c r="F1601" s="77">
        <f t="shared" si="76"/>
        <v>145200</v>
      </c>
      <c r="G1601" s="96">
        <f t="shared" si="77"/>
        <v>1960200</v>
      </c>
      <c r="H1601" s="74"/>
      <c r="I1601" s="75">
        <f t="shared" si="78"/>
        <v>1960200</v>
      </c>
      <c r="J1601" s="75"/>
      <c r="K1601" s="3"/>
      <c r="O1601" s="9"/>
      <c r="S1601" s="3"/>
    </row>
    <row r="1602" spans="1:19" ht="15" customHeight="1" x14ac:dyDescent="0.35">
      <c r="A1602" s="26" t="s">
        <v>3375</v>
      </c>
      <c r="B1602" s="32" t="s">
        <v>3318</v>
      </c>
      <c r="C1602" s="28"/>
      <c r="D1602" s="29" t="s">
        <v>3326</v>
      </c>
      <c r="E1602" s="76">
        <v>5760000</v>
      </c>
      <c r="F1602" s="77">
        <f t="shared" si="76"/>
        <v>460800</v>
      </c>
      <c r="G1602" s="96">
        <f t="shared" si="77"/>
        <v>6220800</v>
      </c>
      <c r="H1602" s="74"/>
      <c r="I1602" s="75">
        <f t="shared" si="78"/>
        <v>6220800</v>
      </c>
      <c r="J1602" s="75"/>
      <c r="K1602" s="3"/>
      <c r="O1602" s="9"/>
      <c r="S1602" s="3"/>
    </row>
    <row r="1603" spans="1:19" ht="15" customHeight="1" x14ac:dyDescent="0.35">
      <c r="A1603" s="26" t="s">
        <v>3376</v>
      </c>
      <c r="B1603" s="32" t="s">
        <v>3319</v>
      </c>
      <c r="C1603" s="28"/>
      <c r="D1603" s="29" t="s">
        <v>3326</v>
      </c>
      <c r="E1603" s="76">
        <v>4005000</v>
      </c>
      <c r="F1603" s="77">
        <f t="shared" si="76"/>
        <v>320400</v>
      </c>
      <c r="G1603" s="96">
        <f t="shared" si="77"/>
        <v>4325400</v>
      </c>
      <c r="H1603" s="74"/>
      <c r="I1603" s="75">
        <f t="shared" si="78"/>
        <v>4325400</v>
      </c>
      <c r="J1603" s="75"/>
      <c r="K1603" s="3"/>
      <c r="O1603" s="9"/>
      <c r="S1603" s="3"/>
    </row>
    <row r="1604" spans="1:19" ht="15" customHeight="1" x14ac:dyDescent="0.35">
      <c r="A1604" s="26" t="s">
        <v>3377</v>
      </c>
      <c r="B1604" s="32" t="s">
        <v>3320</v>
      </c>
      <c r="C1604" s="28"/>
      <c r="D1604" s="29" t="s">
        <v>3326</v>
      </c>
      <c r="E1604" s="76">
        <v>3200000</v>
      </c>
      <c r="F1604" s="77">
        <f t="shared" si="76"/>
        <v>256000</v>
      </c>
      <c r="G1604" s="96">
        <f t="shared" si="77"/>
        <v>3456000</v>
      </c>
      <c r="H1604" s="74"/>
      <c r="I1604" s="75">
        <f t="shared" si="78"/>
        <v>3456000</v>
      </c>
      <c r="J1604" s="75"/>
      <c r="K1604" s="3"/>
      <c r="O1604" s="9"/>
      <c r="S1604" s="3"/>
    </row>
    <row r="1605" spans="1:19" ht="15" customHeight="1" x14ac:dyDescent="0.35">
      <c r="A1605" s="26" t="s">
        <v>3378</v>
      </c>
      <c r="B1605" s="32" t="s">
        <v>3321</v>
      </c>
      <c r="C1605" s="28"/>
      <c r="D1605" s="29" t="s">
        <v>3326</v>
      </c>
      <c r="E1605" s="76">
        <v>3795000</v>
      </c>
      <c r="F1605" s="77">
        <f t="shared" si="76"/>
        <v>303600</v>
      </c>
      <c r="G1605" s="96">
        <f t="shared" si="77"/>
        <v>4098600</v>
      </c>
      <c r="H1605" s="74"/>
      <c r="I1605" s="75">
        <f t="shared" si="78"/>
        <v>4098600</v>
      </c>
      <c r="J1605" s="75"/>
      <c r="K1605" s="3"/>
      <c r="O1605" s="9"/>
      <c r="S1605" s="3"/>
    </row>
    <row r="1606" spans="1:19" ht="15" customHeight="1" x14ac:dyDescent="0.35">
      <c r="A1606" s="26" t="s">
        <v>3379</v>
      </c>
      <c r="B1606" s="32" t="s">
        <v>3322</v>
      </c>
      <c r="C1606" s="28"/>
      <c r="D1606" s="29" t="s">
        <v>3326</v>
      </c>
      <c r="E1606" s="76">
        <v>6530000</v>
      </c>
      <c r="F1606" s="77">
        <f t="shared" si="76"/>
        <v>522400</v>
      </c>
      <c r="G1606" s="96">
        <f t="shared" si="77"/>
        <v>7052400</v>
      </c>
      <c r="H1606" s="74"/>
      <c r="I1606" s="75">
        <f t="shared" si="78"/>
        <v>7052400</v>
      </c>
      <c r="J1606" s="75"/>
      <c r="K1606" s="3"/>
      <c r="O1606" s="9"/>
      <c r="S1606" s="3"/>
    </row>
    <row r="1607" spans="1:19" ht="15" customHeight="1" x14ac:dyDescent="0.35">
      <c r="A1607" s="26" t="s">
        <v>3380</v>
      </c>
      <c r="B1607" s="32" t="s">
        <v>3323</v>
      </c>
      <c r="C1607" s="28"/>
      <c r="D1607" s="29" t="s">
        <v>3326</v>
      </c>
      <c r="E1607" s="76">
        <v>3045000</v>
      </c>
      <c r="F1607" s="77">
        <f t="shared" si="76"/>
        <v>243600</v>
      </c>
      <c r="G1607" s="96">
        <f t="shared" si="77"/>
        <v>3288600</v>
      </c>
      <c r="H1607" s="74"/>
      <c r="I1607" s="75">
        <f t="shared" si="78"/>
        <v>3288600</v>
      </c>
      <c r="J1607" s="75"/>
      <c r="K1607" s="3"/>
      <c r="O1607" s="9"/>
      <c r="S1607" s="3"/>
    </row>
    <row r="1608" spans="1:19" ht="15" customHeight="1" x14ac:dyDescent="0.35">
      <c r="A1608" s="26" t="s">
        <v>3381</v>
      </c>
      <c r="B1608" s="32" t="s">
        <v>596</v>
      </c>
      <c r="C1608" s="28"/>
      <c r="D1608" s="29" t="s">
        <v>3326</v>
      </c>
      <c r="E1608" s="76">
        <v>5510000</v>
      </c>
      <c r="F1608" s="77">
        <f t="shared" si="76"/>
        <v>440800</v>
      </c>
      <c r="G1608" s="96">
        <f t="shared" si="77"/>
        <v>5950800</v>
      </c>
      <c r="H1608" s="74"/>
      <c r="I1608" s="75">
        <f t="shared" si="78"/>
        <v>5950800</v>
      </c>
      <c r="J1608" s="75"/>
      <c r="K1608" s="3"/>
      <c r="O1608" s="9"/>
      <c r="S1608" s="3"/>
    </row>
    <row r="1609" spans="1:19" ht="15" customHeight="1" x14ac:dyDescent="0.35">
      <c r="A1609" s="26" t="s">
        <v>3382</v>
      </c>
      <c r="B1609" s="27" t="s">
        <v>3324</v>
      </c>
      <c r="C1609" s="28"/>
      <c r="D1609" s="29" t="s">
        <v>3326</v>
      </c>
      <c r="E1609" s="76">
        <v>2580000</v>
      </c>
      <c r="F1609" s="77">
        <f t="shared" si="76"/>
        <v>206400</v>
      </c>
      <c r="G1609" s="96">
        <f t="shared" si="77"/>
        <v>2786400</v>
      </c>
      <c r="H1609" s="74"/>
      <c r="I1609" s="75">
        <f t="shared" si="78"/>
        <v>2786400</v>
      </c>
      <c r="J1609" s="75"/>
      <c r="K1609" s="3"/>
      <c r="O1609" s="9"/>
      <c r="S1609" s="3"/>
    </row>
    <row r="1610" spans="1:19" ht="15" customHeight="1" x14ac:dyDescent="0.35">
      <c r="A1610" s="26" t="s">
        <v>3383</v>
      </c>
      <c r="B1610" s="27" t="s">
        <v>597</v>
      </c>
      <c r="C1610" s="28"/>
      <c r="D1610" s="29" t="s">
        <v>3327</v>
      </c>
      <c r="E1610" s="76">
        <v>4710000</v>
      </c>
      <c r="F1610" s="77">
        <f t="shared" si="76"/>
        <v>376800</v>
      </c>
      <c r="G1610" s="96">
        <f t="shared" si="77"/>
        <v>5086800</v>
      </c>
      <c r="H1610" s="74"/>
      <c r="I1610" s="75">
        <f t="shared" si="78"/>
        <v>5086800</v>
      </c>
      <c r="J1610" s="75"/>
      <c r="K1610" s="3"/>
      <c r="O1610" s="9"/>
      <c r="S1610" s="3"/>
    </row>
    <row r="1611" spans="1:19" ht="15" customHeight="1" x14ac:dyDescent="0.35">
      <c r="A1611" s="26" t="s">
        <v>3415</v>
      </c>
      <c r="B1611" s="32" t="s">
        <v>3384</v>
      </c>
      <c r="C1611" s="28"/>
      <c r="D1611" s="29" t="s">
        <v>3412</v>
      </c>
      <c r="E1611" s="76">
        <v>840000</v>
      </c>
      <c r="F1611" s="77">
        <f t="shared" si="76"/>
        <v>67200</v>
      </c>
      <c r="G1611" s="96">
        <f t="shared" si="77"/>
        <v>907200</v>
      </c>
      <c r="H1611" s="74"/>
      <c r="I1611" s="75">
        <f t="shared" si="78"/>
        <v>907200</v>
      </c>
      <c r="J1611" s="75"/>
      <c r="K1611" s="3"/>
      <c r="O1611" s="9"/>
      <c r="S1611" s="3"/>
    </row>
    <row r="1612" spans="1:19" ht="15" customHeight="1" x14ac:dyDescent="0.35">
      <c r="A1612" s="26" t="s">
        <v>3416</v>
      </c>
      <c r="B1612" s="32" t="s">
        <v>3385</v>
      </c>
      <c r="C1612" s="28"/>
      <c r="D1612" s="29" t="s">
        <v>3412</v>
      </c>
      <c r="E1612" s="76">
        <v>840000</v>
      </c>
      <c r="F1612" s="77">
        <f t="shared" si="76"/>
        <v>67200</v>
      </c>
      <c r="G1612" s="96">
        <f t="shared" si="77"/>
        <v>907200</v>
      </c>
      <c r="H1612" s="74"/>
      <c r="I1612" s="75">
        <f t="shared" si="78"/>
        <v>907200</v>
      </c>
      <c r="J1612" s="75"/>
      <c r="K1612" s="3"/>
      <c r="O1612" s="9"/>
      <c r="S1612" s="3"/>
    </row>
    <row r="1613" spans="1:19" ht="15" customHeight="1" x14ac:dyDescent="0.35">
      <c r="A1613" s="26" t="s">
        <v>3417</v>
      </c>
      <c r="B1613" s="32" t="s">
        <v>3386</v>
      </c>
      <c r="C1613" s="28"/>
      <c r="D1613" s="29" t="s">
        <v>3412</v>
      </c>
      <c r="E1613" s="76">
        <v>1972800</v>
      </c>
      <c r="F1613" s="77">
        <f t="shared" si="76"/>
        <v>157824</v>
      </c>
      <c r="G1613" s="96">
        <f t="shared" si="77"/>
        <v>2130624</v>
      </c>
      <c r="H1613" s="74"/>
      <c r="I1613" s="75">
        <f t="shared" si="78"/>
        <v>2130624</v>
      </c>
      <c r="J1613" s="75"/>
      <c r="K1613" s="3"/>
      <c r="O1613" s="9"/>
      <c r="S1613" s="3"/>
    </row>
    <row r="1614" spans="1:19" ht="15" customHeight="1" x14ac:dyDescent="0.35">
      <c r="A1614" s="26" t="s">
        <v>3418</v>
      </c>
      <c r="B1614" s="32" t="s">
        <v>3387</v>
      </c>
      <c r="C1614" s="28"/>
      <c r="D1614" s="29" t="s">
        <v>3412</v>
      </c>
      <c r="E1614" s="76">
        <v>840000</v>
      </c>
      <c r="F1614" s="77">
        <f t="shared" si="76"/>
        <v>67200</v>
      </c>
      <c r="G1614" s="96">
        <f t="shared" si="77"/>
        <v>907200</v>
      </c>
      <c r="H1614" s="74"/>
      <c r="I1614" s="75">
        <f t="shared" si="78"/>
        <v>907200</v>
      </c>
      <c r="J1614" s="75"/>
      <c r="K1614" s="3"/>
      <c r="O1614" s="9"/>
      <c r="S1614" s="3"/>
    </row>
    <row r="1615" spans="1:19" ht="15" customHeight="1" x14ac:dyDescent="0.35">
      <c r="A1615" s="26" t="s">
        <v>3419</v>
      </c>
      <c r="B1615" s="32" t="s">
        <v>3388</v>
      </c>
      <c r="C1615" s="28"/>
      <c r="D1615" s="29" t="s">
        <v>3412</v>
      </c>
      <c r="E1615" s="76">
        <v>840000</v>
      </c>
      <c r="F1615" s="77">
        <f t="shared" si="76"/>
        <v>67200</v>
      </c>
      <c r="G1615" s="96">
        <f t="shared" si="77"/>
        <v>907200</v>
      </c>
      <c r="H1615" s="74"/>
      <c r="I1615" s="75">
        <f t="shared" si="78"/>
        <v>907200</v>
      </c>
      <c r="J1615" s="75"/>
      <c r="K1615" s="3"/>
      <c r="O1615" s="9"/>
      <c r="S1615" s="3"/>
    </row>
    <row r="1616" spans="1:19" ht="15" customHeight="1" x14ac:dyDescent="0.35">
      <c r="A1616" s="26" t="s">
        <v>3420</v>
      </c>
      <c r="B1616" s="32" t="s">
        <v>3389</v>
      </c>
      <c r="C1616" s="28"/>
      <c r="D1616" s="29" t="s">
        <v>3412</v>
      </c>
      <c r="E1616" s="76">
        <v>840000</v>
      </c>
      <c r="F1616" s="77">
        <f t="shared" si="76"/>
        <v>67200</v>
      </c>
      <c r="G1616" s="96">
        <f t="shared" si="77"/>
        <v>907200</v>
      </c>
      <c r="H1616" s="74"/>
      <c r="I1616" s="75">
        <f t="shared" si="78"/>
        <v>907200</v>
      </c>
      <c r="J1616" s="75"/>
      <c r="K1616" s="3"/>
      <c r="O1616" s="9"/>
      <c r="S1616" s="3"/>
    </row>
    <row r="1617" spans="1:19" ht="15" customHeight="1" x14ac:dyDescent="0.35">
      <c r="A1617" s="26" t="s">
        <v>3421</v>
      </c>
      <c r="B1617" s="32" t="s">
        <v>3390</v>
      </c>
      <c r="C1617" s="28"/>
      <c r="D1617" s="29" t="s">
        <v>3412</v>
      </c>
      <c r="E1617" s="76">
        <v>840000</v>
      </c>
      <c r="F1617" s="77">
        <f t="shared" si="76"/>
        <v>67200</v>
      </c>
      <c r="G1617" s="96">
        <f t="shared" si="77"/>
        <v>907200</v>
      </c>
      <c r="H1617" s="74"/>
      <c r="I1617" s="75">
        <f t="shared" si="78"/>
        <v>907200</v>
      </c>
      <c r="J1617" s="75"/>
      <c r="K1617" s="3"/>
      <c r="O1617" s="9"/>
      <c r="S1617" s="3"/>
    </row>
    <row r="1618" spans="1:19" ht="15" customHeight="1" x14ac:dyDescent="0.35">
      <c r="A1618" s="26" t="s">
        <v>3422</v>
      </c>
      <c r="B1618" s="32" t="s">
        <v>3391</v>
      </c>
      <c r="C1618" s="28"/>
      <c r="D1618" s="29" t="s">
        <v>3412</v>
      </c>
      <c r="E1618" s="76">
        <v>840000</v>
      </c>
      <c r="F1618" s="77">
        <f t="shared" si="76"/>
        <v>67200</v>
      </c>
      <c r="G1618" s="96">
        <f t="shared" si="77"/>
        <v>907200</v>
      </c>
      <c r="H1618" s="74"/>
      <c r="I1618" s="75">
        <f t="shared" si="78"/>
        <v>907200</v>
      </c>
      <c r="J1618" s="75"/>
      <c r="K1618" s="3"/>
      <c r="O1618" s="9"/>
      <c r="S1618" s="3"/>
    </row>
    <row r="1619" spans="1:19" ht="15" customHeight="1" x14ac:dyDescent="0.35">
      <c r="A1619" s="26" t="s">
        <v>3423</v>
      </c>
      <c r="B1619" s="32" t="s">
        <v>598</v>
      </c>
      <c r="C1619" s="28"/>
      <c r="D1619" s="29" t="s">
        <v>3412</v>
      </c>
      <c r="E1619" s="76">
        <v>16790000</v>
      </c>
      <c r="F1619" s="77">
        <f t="shared" si="76"/>
        <v>1343200</v>
      </c>
      <c r="G1619" s="96">
        <f t="shared" si="77"/>
        <v>18133200</v>
      </c>
      <c r="H1619" s="74"/>
      <c r="I1619" s="75">
        <f t="shared" si="78"/>
        <v>18133200</v>
      </c>
      <c r="J1619" s="75"/>
      <c r="K1619" s="3"/>
      <c r="O1619" s="9"/>
      <c r="S1619" s="3"/>
    </row>
    <row r="1620" spans="1:19" ht="15" customHeight="1" x14ac:dyDescent="0.35">
      <c r="A1620" s="26" t="s">
        <v>3424</v>
      </c>
      <c r="B1620" s="32" t="s">
        <v>3392</v>
      </c>
      <c r="C1620" s="28"/>
      <c r="D1620" s="29" t="s">
        <v>3412</v>
      </c>
      <c r="E1620" s="76">
        <v>3945600</v>
      </c>
      <c r="F1620" s="77">
        <f t="shared" si="76"/>
        <v>315648</v>
      </c>
      <c r="G1620" s="96">
        <f t="shared" si="77"/>
        <v>4261248</v>
      </c>
      <c r="H1620" s="74"/>
      <c r="I1620" s="75">
        <f t="shared" si="78"/>
        <v>4261248</v>
      </c>
      <c r="J1620" s="75"/>
      <c r="K1620" s="3"/>
      <c r="O1620" s="9"/>
      <c r="S1620" s="3"/>
    </row>
    <row r="1621" spans="1:19" ht="15" customHeight="1" x14ac:dyDescent="0.35">
      <c r="A1621" s="26" t="s">
        <v>3425</v>
      </c>
      <c r="B1621" s="32" t="s">
        <v>3393</v>
      </c>
      <c r="C1621" s="28"/>
      <c r="D1621" s="29" t="s">
        <v>3412</v>
      </c>
      <c r="E1621" s="76">
        <v>5078400</v>
      </c>
      <c r="F1621" s="77">
        <f t="shared" si="76"/>
        <v>406272</v>
      </c>
      <c r="G1621" s="96">
        <f t="shared" si="77"/>
        <v>5484672</v>
      </c>
      <c r="H1621" s="74"/>
      <c r="I1621" s="75">
        <f t="shared" si="78"/>
        <v>5484672</v>
      </c>
      <c r="J1621" s="75"/>
      <c r="K1621" s="3"/>
      <c r="O1621" s="9"/>
      <c r="S1621" s="3"/>
    </row>
    <row r="1622" spans="1:19" ht="15" customHeight="1" x14ac:dyDescent="0.35">
      <c r="A1622" s="26" t="s">
        <v>3426</v>
      </c>
      <c r="B1622" s="32" t="s">
        <v>3394</v>
      </c>
      <c r="C1622" s="28"/>
      <c r="D1622" s="29" t="s">
        <v>3413</v>
      </c>
      <c r="E1622" s="76">
        <v>1755000</v>
      </c>
      <c r="F1622" s="77">
        <f t="shared" si="76"/>
        <v>140400</v>
      </c>
      <c r="G1622" s="96">
        <f t="shared" si="77"/>
        <v>1895400</v>
      </c>
      <c r="H1622" s="74"/>
      <c r="I1622" s="75">
        <f t="shared" si="78"/>
        <v>1895400</v>
      </c>
      <c r="J1622" s="75"/>
      <c r="K1622" s="3"/>
      <c r="O1622" s="9"/>
      <c r="S1622" s="3"/>
    </row>
    <row r="1623" spans="1:19" ht="15" customHeight="1" x14ac:dyDescent="0.35">
      <c r="A1623" s="26" t="s">
        <v>3427</v>
      </c>
      <c r="B1623" s="32" t="s">
        <v>3395</v>
      </c>
      <c r="C1623" s="28"/>
      <c r="D1623" s="29" t="s">
        <v>3413</v>
      </c>
      <c r="E1623" s="76">
        <v>2790000</v>
      </c>
      <c r="F1623" s="77">
        <f t="shared" si="76"/>
        <v>223200</v>
      </c>
      <c r="G1623" s="96">
        <f t="shared" si="77"/>
        <v>3013200</v>
      </c>
      <c r="H1623" s="74"/>
      <c r="I1623" s="75">
        <f t="shared" si="78"/>
        <v>3013200</v>
      </c>
      <c r="J1623" s="75"/>
      <c r="K1623" s="3"/>
      <c r="O1623" s="9"/>
      <c r="S1623" s="3"/>
    </row>
    <row r="1624" spans="1:19" ht="15" customHeight="1" x14ac:dyDescent="0.35">
      <c r="A1624" s="26" t="s">
        <v>3428</v>
      </c>
      <c r="B1624" s="32" t="s">
        <v>599</v>
      </c>
      <c r="C1624" s="28"/>
      <c r="D1624" s="29" t="s">
        <v>3413</v>
      </c>
      <c r="E1624" s="76">
        <v>2910000</v>
      </c>
      <c r="F1624" s="77">
        <f t="shared" si="76"/>
        <v>232800</v>
      </c>
      <c r="G1624" s="96">
        <f t="shared" si="77"/>
        <v>3142800</v>
      </c>
      <c r="H1624" s="74"/>
      <c r="I1624" s="75">
        <f t="shared" si="78"/>
        <v>3142800</v>
      </c>
      <c r="J1624" s="75"/>
      <c r="K1624" s="3"/>
      <c r="O1624" s="9"/>
      <c r="S1624" s="3"/>
    </row>
    <row r="1625" spans="1:19" ht="15" customHeight="1" x14ac:dyDescent="0.35">
      <c r="A1625" s="26" t="s">
        <v>3429</v>
      </c>
      <c r="B1625" s="32" t="s">
        <v>600</v>
      </c>
      <c r="C1625" s="28"/>
      <c r="D1625" s="29" t="s">
        <v>3413</v>
      </c>
      <c r="E1625" s="76">
        <v>1850000</v>
      </c>
      <c r="F1625" s="77">
        <f t="shared" si="76"/>
        <v>148000</v>
      </c>
      <c r="G1625" s="96">
        <f t="shared" si="77"/>
        <v>1998000</v>
      </c>
      <c r="H1625" s="74"/>
      <c r="I1625" s="75">
        <f t="shared" si="78"/>
        <v>1998000</v>
      </c>
      <c r="J1625" s="75"/>
      <c r="K1625" s="3"/>
      <c r="O1625" s="9"/>
      <c r="S1625" s="3"/>
    </row>
    <row r="1626" spans="1:19" ht="15" customHeight="1" x14ac:dyDescent="0.35">
      <c r="A1626" s="26" t="s">
        <v>3430</v>
      </c>
      <c r="B1626" s="32" t="s">
        <v>601</v>
      </c>
      <c r="C1626" s="28"/>
      <c r="D1626" s="29" t="s">
        <v>3413</v>
      </c>
      <c r="E1626" s="76">
        <v>3045000</v>
      </c>
      <c r="F1626" s="77">
        <f t="shared" si="76"/>
        <v>243600</v>
      </c>
      <c r="G1626" s="96">
        <f t="shared" si="77"/>
        <v>3288600</v>
      </c>
      <c r="H1626" s="74"/>
      <c r="I1626" s="75">
        <f t="shared" si="78"/>
        <v>3288600</v>
      </c>
      <c r="J1626" s="75"/>
      <c r="K1626" s="3"/>
      <c r="O1626" s="9"/>
      <c r="S1626" s="3"/>
    </row>
    <row r="1627" spans="1:19" ht="15" customHeight="1" x14ac:dyDescent="0.35">
      <c r="A1627" s="26" t="s">
        <v>3431</v>
      </c>
      <c r="B1627" s="32" t="s">
        <v>602</v>
      </c>
      <c r="C1627" s="28"/>
      <c r="D1627" s="29" t="s">
        <v>3413</v>
      </c>
      <c r="E1627" s="76">
        <v>1965000</v>
      </c>
      <c r="F1627" s="77">
        <f t="shared" si="76"/>
        <v>157200</v>
      </c>
      <c r="G1627" s="96">
        <f t="shared" si="77"/>
        <v>2122200</v>
      </c>
      <c r="H1627" s="74"/>
      <c r="I1627" s="75">
        <f t="shared" si="78"/>
        <v>2122200</v>
      </c>
      <c r="J1627" s="75"/>
      <c r="K1627" s="3"/>
      <c r="O1627" s="9"/>
      <c r="S1627" s="3"/>
    </row>
    <row r="1628" spans="1:19" ht="15" customHeight="1" x14ac:dyDescent="0.35">
      <c r="A1628" s="26" t="s">
        <v>3432</v>
      </c>
      <c r="B1628" s="32" t="s">
        <v>603</v>
      </c>
      <c r="C1628" s="28"/>
      <c r="D1628" s="29" t="s">
        <v>3413</v>
      </c>
      <c r="E1628" s="76">
        <v>2010000</v>
      </c>
      <c r="F1628" s="77">
        <f t="shared" ref="F1628:F1691" si="79">+E1628*0.08</f>
        <v>160800</v>
      </c>
      <c r="G1628" s="96">
        <f t="shared" ref="G1628:G1691" si="80">+F1628+E1628</f>
        <v>2170800</v>
      </c>
      <c r="H1628" s="74"/>
      <c r="I1628" s="75">
        <f t="shared" ref="I1628:I1691" si="81">G1628-H1628</f>
        <v>2170800</v>
      </c>
      <c r="J1628" s="75"/>
      <c r="K1628" s="3"/>
      <c r="O1628" s="9"/>
      <c r="S1628" s="3"/>
    </row>
    <row r="1629" spans="1:19" ht="15" customHeight="1" x14ac:dyDescent="0.35">
      <c r="A1629" s="26" t="s">
        <v>3433</v>
      </c>
      <c r="B1629" s="32" t="s">
        <v>604</v>
      </c>
      <c r="C1629" s="28"/>
      <c r="D1629" s="29" t="s">
        <v>3413</v>
      </c>
      <c r="E1629" s="76">
        <v>1755000</v>
      </c>
      <c r="F1629" s="77">
        <f t="shared" si="79"/>
        <v>140400</v>
      </c>
      <c r="G1629" s="96">
        <f t="shared" si="80"/>
        <v>1895400</v>
      </c>
      <c r="H1629" s="74"/>
      <c r="I1629" s="75">
        <f t="shared" si="81"/>
        <v>1895400</v>
      </c>
      <c r="J1629" s="75"/>
      <c r="K1629" s="3"/>
      <c r="O1629" s="9"/>
      <c r="S1629" s="3"/>
    </row>
    <row r="1630" spans="1:19" ht="15" customHeight="1" x14ac:dyDescent="0.35">
      <c r="A1630" s="26" t="s">
        <v>3434</v>
      </c>
      <c r="B1630" s="32" t="s">
        <v>605</v>
      </c>
      <c r="C1630" s="28"/>
      <c r="D1630" s="29" t="s">
        <v>3413</v>
      </c>
      <c r="E1630" s="76">
        <v>960000</v>
      </c>
      <c r="F1630" s="77">
        <f t="shared" si="79"/>
        <v>76800</v>
      </c>
      <c r="G1630" s="96">
        <f t="shared" si="80"/>
        <v>1036800</v>
      </c>
      <c r="H1630" s="74"/>
      <c r="I1630" s="75">
        <f t="shared" si="81"/>
        <v>1036800</v>
      </c>
      <c r="J1630" s="75"/>
      <c r="K1630" s="3"/>
      <c r="O1630" s="9"/>
      <c r="S1630" s="3"/>
    </row>
    <row r="1631" spans="1:19" ht="15" customHeight="1" x14ac:dyDescent="0.35">
      <c r="A1631" s="26" t="s">
        <v>3435</v>
      </c>
      <c r="B1631" s="32" t="s">
        <v>3396</v>
      </c>
      <c r="C1631" s="28"/>
      <c r="D1631" s="29" t="s">
        <v>3413</v>
      </c>
      <c r="E1631" s="76">
        <v>1005000</v>
      </c>
      <c r="F1631" s="77">
        <f t="shared" si="79"/>
        <v>80400</v>
      </c>
      <c r="G1631" s="96">
        <f t="shared" si="80"/>
        <v>1085400</v>
      </c>
      <c r="H1631" s="74"/>
      <c r="I1631" s="75">
        <f t="shared" si="81"/>
        <v>1085400</v>
      </c>
      <c r="J1631" s="75"/>
      <c r="K1631" s="3"/>
      <c r="O1631" s="9"/>
      <c r="S1631" s="3"/>
    </row>
    <row r="1632" spans="1:19" ht="15" customHeight="1" x14ac:dyDescent="0.35">
      <c r="A1632" s="26" t="s">
        <v>3436</v>
      </c>
      <c r="B1632" s="32" t="s">
        <v>3397</v>
      </c>
      <c r="C1632" s="28"/>
      <c r="D1632" s="29" t="s">
        <v>3413</v>
      </c>
      <c r="E1632" s="76">
        <v>6025000</v>
      </c>
      <c r="F1632" s="77">
        <f t="shared" si="79"/>
        <v>482000</v>
      </c>
      <c r="G1632" s="96">
        <f t="shared" si="80"/>
        <v>6507000</v>
      </c>
      <c r="H1632" s="74"/>
      <c r="I1632" s="75">
        <f t="shared" si="81"/>
        <v>6507000</v>
      </c>
      <c r="J1632" s="75"/>
      <c r="K1632" s="3"/>
      <c r="O1632" s="9"/>
      <c r="S1632" s="3"/>
    </row>
    <row r="1633" spans="1:19" ht="15" customHeight="1" x14ac:dyDescent="0.35">
      <c r="A1633" s="26" t="s">
        <v>3437</v>
      </c>
      <c r="B1633" s="32" t="s">
        <v>3398</v>
      </c>
      <c r="C1633" s="28"/>
      <c r="D1633" s="29" t="s">
        <v>3413</v>
      </c>
      <c r="E1633" s="76">
        <v>7020000</v>
      </c>
      <c r="F1633" s="77">
        <f t="shared" si="79"/>
        <v>561600</v>
      </c>
      <c r="G1633" s="96">
        <f t="shared" si="80"/>
        <v>7581600</v>
      </c>
      <c r="H1633" s="74"/>
      <c r="I1633" s="75">
        <f t="shared" si="81"/>
        <v>7581600</v>
      </c>
      <c r="J1633" s="75"/>
      <c r="K1633" s="3"/>
      <c r="O1633" s="9"/>
      <c r="S1633" s="3"/>
    </row>
    <row r="1634" spans="1:19" ht="15" customHeight="1" x14ac:dyDescent="0.35">
      <c r="A1634" s="26" t="s">
        <v>3438</v>
      </c>
      <c r="B1634" s="32" t="s">
        <v>3399</v>
      </c>
      <c r="C1634" s="28"/>
      <c r="D1634" s="29" t="s">
        <v>3413</v>
      </c>
      <c r="E1634" s="76">
        <v>1995000</v>
      </c>
      <c r="F1634" s="77">
        <f t="shared" si="79"/>
        <v>159600</v>
      </c>
      <c r="G1634" s="96">
        <f t="shared" si="80"/>
        <v>2154600</v>
      </c>
      <c r="H1634" s="74"/>
      <c r="I1634" s="75">
        <f t="shared" si="81"/>
        <v>2154600</v>
      </c>
      <c r="J1634" s="75"/>
      <c r="K1634" s="3"/>
      <c r="O1634" s="9"/>
      <c r="S1634" s="3"/>
    </row>
    <row r="1635" spans="1:19" ht="15" customHeight="1" x14ac:dyDescent="0.35">
      <c r="A1635" s="26" t="s">
        <v>3439</v>
      </c>
      <c r="B1635" s="32" t="s">
        <v>3400</v>
      </c>
      <c r="C1635" s="28"/>
      <c r="D1635" s="29" t="s">
        <v>3413</v>
      </c>
      <c r="E1635" s="76">
        <v>810000</v>
      </c>
      <c r="F1635" s="77">
        <f t="shared" si="79"/>
        <v>64800</v>
      </c>
      <c r="G1635" s="96">
        <f t="shared" si="80"/>
        <v>874800</v>
      </c>
      <c r="H1635" s="74"/>
      <c r="I1635" s="75">
        <f t="shared" si="81"/>
        <v>874800</v>
      </c>
      <c r="J1635" s="75"/>
      <c r="K1635" s="3"/>
      <c r="O1635" s="9"/>
      <c r="S1635" s="3"/>
    </row>
    <row r="1636" spans="1:19" ht="15" customHeight="1" x14ac:dyDescent="0.35">
      <c r="A1636" s="26" t="s">
        <v>3440</v>
      </c>
      <c r="B1636" s="27" t="s">
        <v>3401</v>
      </c>
      <c r="C1636" s="28"/>
      <c r="D1636" s="29" t="s">
        <v>3413</v>
      </c>
      <c r="E1636" s="76">
        <v>6645000</v>
      </c>
      <c r="F1636" s="77">
        <f t="shared" si="79"/>
        <v>531600</v>
      </c>
      <c r="G1636" s="96">
        <f t="shared" si="80"/>
        <v>7176600</v>
      </c>
      <c r="H1636" s="74"/>
      <c r="I1636" s="75">
        <f t="shared" si="81"/>
        <v>7176600</v>
      </c>
      <c r="J1636" s="75"/>
      <c r="K1636" s="3"/>
      <c r="O1636" s="9"/>
      <c r="S1636" s="3"/>
    </row>
    <row r="1637" spans="1:19" ht="15" customHeight="1" x14ac:dyDescent="0.35">
      <c r="A1637" s="26" t="s">
        <v>3441</v>
      </c>
      <c r="B1637" s="27" t="s">
        <v>3402</v>
      </c>
      <c r="C1637" s="28"/>
      <c r="D1637" s="29" t="s">
        <v>3413</v>
      </c>
      <c r="E1637" s="76">
        <v>4005000</v>
      </c>
      <c r="F1637" s="77">
        <f t="shared" si="79"/>
        <v>320400</v>
      </c>
      <c r="G1637" s="96">
        <f t="shared" si="80"/>
        <v>4325400</v>
      </c>
      <c r="H1637" s="74"/>
      <c r="I1637" s="75">
        <f t="shared" si="81"/>
        <v>4325400</v>
      </c>
      <c r="J1637" s="75"/>
      <c r="K1637" s="3"/>
      <c r="O1637" s="9"/>
      <c r="S1637" s="3"/>
    </row>
    <row r="1638" spans="1:19" ht="15" customHeight="1" x14ac:dyDescent="0.35">
      <c r="A1638" s="26" t="s">
        <v>3442</v>
      </c>
      <c r="B1638" s="32" t="s">
        <v>3403</v>
      </c>
      <c r="C1638" s="28"/>
      <c r="D1638" s="29" t="s">
        <v>3413</v>
      </c>
      <c r="E1638" s="76">
        <v>1800000</v>
      </c>
      <c r="F1638" s="77">
        <f t="shared" si="79"/>
        <v>144000</v>
      </c>
      <c r="G1638" s="96">
        <f t="shared" si="80"/>
        <v>1944000</v>
      </c>
      <c r="H1638" s="74"/>
      <c r="I1638" s="75">
        <f t="shared" si="81"/>
        <v>1944000</v>
      </c>
      <c r="J1638" s="75"/>
      <c r="K1638" s="3"/>
      <c r="O1638" s="9"/>
      <c r="S1638" s="3"/>
    </row>
    <row r="1639" spans="1:19" ht="15" customHeight="1" x14ac:dyDescent="0.35">
      <c r="A1639" s="26" t="s">
        <v>3443</v>
      </c>
      <c r="B1639" s="32" t="s">
        <v>3404</v>
      </c>
      <c r="C1639" s="28"/>
      <c r="D1639" s="29" t="s">
        <v>3413</v>
      </c>
      <c r="E1639" s="76">
        <v>12995000</v>
      </c>
      <c r="F1639" s="77">
        <f t="shared" si="79"/>
        <v>1039600</v>
      </c>
      <c r="G1639" s="96">
        <f t="shared" si="80"/>
        <v>14034600</v>
      </c>
      <c r="H1639" s="74"/>
      <c r="I1639" s="75">
        <f t="shared" si="81"/>
        <v>14034600</v>
      </c>
      <c r="J1639" s="75"/>
      <c r="K1639" s="3"/>
      <c r="O1639" s="9"/>
      <c r="S1639" s="3"/>
    </row>
    <row r="1640" spans="1:19" ht="15" customHeight="1" x14ac:dyDescent="0.35">
      <c r="A1640" s="26" t="s">
        <v>3444</v>
      </c>
      <c r="B1640" s="32" t="s">
        <v>3405</v>
      </c>
      <c r="C1640" s="28"/>
      <c r="D1640" s="29" t="s">
        <v>3413</v>
      </c>
      <c r="E1640" s="76">
        <v>4790000</v>
      </c>
      <c r="F1640" s="77">
        <f t="shared" si="79"/>
        <v>383200</v>
      </c>
      <c r="G1640" s="96">
        <f t="shared" si="80"/>
        <v>5173200</v>
      </c>
      <c r="H1640" s="74"/>
      <c r="I1640" s="75">
        <f t="shared" si="81"/>
        <v>5173200</v>
      </c>
      <c r="J1640" s="75"/>
      <c r="K1640" s="3"/>
      <c r="O1640" s="9"/>
      <c r="S1640" s="3"/>
    </row>
    <row r="1641" spans="1:19" ht="15" customHeight="1" x14ac:dyDescent="0.35">
      <c r="A1641" s="26" t="s">
        <v>3445</v>
      </c>
      <c r="B1641" s="32" t="s">
        <v>3406</v>
      </c>
      <c r="C1641" s="28"/>
      <c r="D1641" s="29" t="s">
        <v>3413</v>
      </c>
      <c r="E1641" s="76">
        <v>1920000</v>
      </c>
      <c r="F1641" s="77">
        <f t="shared" si="79"/>
        <v>153600</v>
      </c>
      <c r="G1641" s="96">
        <f t="shared" si="80"/>
        <v>2073600</v>
      </c>
      <c r="H1641" s="74"/>
      <c r="I1641" s="75">
        <f t="shared" si="81"/>
        <v>2073600</v>
      </c>
      <c r="J1641" s="75"/>
      <c r="K1641" s="3"/>
      <c r="O1641" s="9"/>
      <c r="S1641" s="3"/>
    </row>
    <row r="1642" spans="1:19" ht="15" customHeight="1" x14ac:dyDescent="0.35">
      <c r="A1642" s="26" t="s">
        <v>3446</v>
      </c>
      <c r="B1642" s="32" t="s">
        <v>3407</v>
      </c>
      <c r="C1642" s="28"/>
      <c r="D1642" s="29" t="s">
        <v>3413</v>
      </c>
      <c r="E1642" s="76">
        <v>1850000</v>
      </c>
      <c r="F1642" s="77">
        <f t="shared" si="79"/>
        <v>148000</v>
      </c>
      <c r="G1642" s="96">
        <f t="shared" si="80"/>
        <v>1998000</v>
      </c>
      <c r="H1642" s="74"/>
      <c r="I1642" s="75">
        <f t="shared" si="81"/>
        <v>1998000</v>
      </c>
      <c r="J1642" s="75"/>
      <c r="K1642" s="3"/>
      <c r="O1642" s="9"/>
      <c r="S1642" s="3"/>
    </row>
    <row r="1643" spans="1:19" ht="15" customHeight="1" x14ac:dyDescent="0.35">
      <c r="A1643" s="26" t="s">
        <v>3447</v>
      </c>
      <c r="B1643" s="32" t="s">
        <v>3408</v>
      </c>
      <c r="C1643" s="28"/>
      <c r="D1643" s="29" t="s">
        <v>3413</v>
      </c>
      <c r="E1643" s="76">
        <v>1920000</v>
      </c>
      <c r="F1643" s="77">
        <f t="shared" si="79"/>
        <v>153600</v>
      </c>
      <c r="G1643" s="96">
        <f t="shared" si="80"/>
        <v>2073600</v>
      </c>
      <c r="H1643" s="74"/>
      <c r="I1643" s="75">
        <f t="shared" si="81"/>
        <v>2073600</v>
      </c>
      <c r="J1643" s="75"/>
      <c r="K1643" s="3"/>
      <c r="O1643" s="9"/>
      <c r="S1643" s="3"/>
    </row>
    <row r="1644" spans="1:19" ht="15" customHeight="1" x14ac:dyDescent="0.35">
      <c r="A1644" s="26" t="s">
        <v>3448</v>
      </c>
      <c r="B1644" s="32" t="s">
        <v>3409</v>
      </c>
      <c r="C1644" s="28"/>
      <c r="D1644" s="29" t="s">
        <v>3413</v>
      </c>
      <c r="E1644" s="76">
        <v>990000</v>
      </c>
      <c r="F1644" s="77">
        <f t="shared" si="79"/>
        <v>79200</v>
      </c>
      <c r="G1644" s="96">
        <f t="shared" si="80"/>
        <v>1069200</v>
      </c>
      <c r="H1644" s="74"/>
      <c r="I1644" s="75">
        <f t="shared" si="81"/>
        <v>1069200</v>
      </c>
      <c r="J1644" s="75"/>
      <c r="K1644" s="3"/>
      <c r="O1644" s="9"/>
      <c r="S1644" s="3"/>
    </row>
    <row r="1645" spans="1:19" ht="15" customHeight="1" x14ac:dyDescent="0.35">
      <c r="A1645" s="26" t="s">
        <v>3449</v>
      </c>
      <c r="B1645" s="32" t="s">
        <v>606</v>
      </c>
      <c r="C1645" s="28"/>
      <c r="D1645" s="29" t="s">
        <v>3413</v>
      </c>
      <c r="E1645" s="76">
        <v>10445000</v>
      </c>
      <c r="F1645" s="77">
        <f t="shared" si="79"/>
        <v>835600</v>
      </c>
      <c r="G1645" s="96">
        <f t="shared" si="80"/>
        <v>11280600</v>
      </c>
      <c r="H1645" s="74"/>
      <c r="I1645" s="75">
        <f t="shared" si="81"/>
        <v>11280600</v>
      </c>
      <c r="J1645" s="75"/>
      <c r="K1645" s="3"/>
      <c r="O1645" s="9"/>
      <c r="S1645" s="3"/>
    </row>
    <row r="1646" spans="1:19" ht="15" customHeight="1" x14ac:dyDescent="0.35">
      <c r="A1646" s="26" t="s">
        <v>3450</v>
      </c>
      <c r="B1646" s="32" t="s">
        <v>607</v>
      </c>
      <c r="C1646" s="28"/>
      <c r="D1646" s="29" t="s">
        <v>3413</v>
      </c>
      <c r="E1646" s="76">
        <v>2730000</v>
      </c>
      <c r="F1646" s="77">
        <f t="shared" si="79"/>
        <v>218400</v>
      </c>
      <c r="G1646" s="96">
        <f t="shared" si="80"/>
        <v>2948400</v>
      </c>
      <c r="H1646" s="74"/>
      <c r="I1646" s="75">
        <f t="shared" si="81"/>
        <v>2948400</v>
      </c>
      <c r="J1646" s="75"/>
      <c r="K1646" s="3"/>
      <c r="O1646" s="9"/>
      <c r="S1646" s="3"/>
    </row>
    <row r="1647" spans="1:19" ht="15" customHeight="1" x14ac:dyDescent="0.35">
      <c r="A1647" s="26" t="s">
        <v>3451</v>
      </c>
      <c r="B1647" s="32" t="s">
        <v>3410</v>
      </c>
      <c r="C1647" s="28"/>
      <c r="D1647" s="29" t="s">
        <v>3414</v>
      </c>
      <c r="E1647" s="76">
        <v>4210000</v>
      </c>
      <c r="F1647" s="77">
        <f t="shared" si="79"/>
        <v>336800</v>
      </c>
      <c r="G1647" s="96">
        <f t="shared" si="80"/>
        <v>4546800</v>
      </c>
      <c r="H1647" s="74"/>
      <c r="I1647" s="75">
        <f t="shared" si="81"/>
        <v>4546800</v>
      </c>
      <c r="J1647" s="75"/>
      <c r="K1647" s="3"/>
      <c r="O1647" s="9"/>
      <c r="S1647" s="3"/>
    </row>
    <row r="1648" spans="1:19" ht="15" customHeight="1" x14ac:dyDescent="0.35">
      <c r="A1648" s="26" t="s">
        <v>3452</v>
      </c>
      <c r="B1648" s="32" t="s">
        <v>3411</v>
      </c>
      <c r="C1648" s="28"/>
      <c r="D1648" s="29" t="s">
        <v>3414</v>
      </c>
      <c r="E1648" s="76">
        <v>1680000</v>
      </c>
      <c r="F1648" s="77">
        <f t="shared" si="79"/>
        <v>134400</v>
      </c>
      <c r="G1648" s="96">
        <f t="shared" si="80"/>
        <v>1814400</v>
      </c>
      <c r="H1648" s="74"/>
      <c r="I1648" s="75">
        <f t="shared" si="81"/>
        <v>1814400</v>
      </c>
      <c r="J1648" s="75"/>
      <c r="K1648" s="3"/>
      <c r="O1648" s="9"/>
      <c r="S1648" s="3"/>
    </row>
    <row r="1649" spans="1:19" ht="15" customHeight="1" x14ac:dyDescent="0.35">
      <c r="A1649" s="26" t="s">
        <v>3507</v>
      </c>
      <c r="B1649" s="32" t="s">
        <v>3453</v>
      </c>
      <c r="C1649" s="28"/>
      <c r="D1649" s="29" t="s">
        <v>3505</v>
      </c>
      <c r="E1649" s="76">
        <v>1132800</v>
      </c>
      <c r="F1649" s="77">
        <f t="shared" si="79"/>
        <v>90624</v>
      </c>
      <c r="G1649" s="96">
        <f t="shared" si="80"/>
        <v>1223424</v>
      </c>
      <c r="H1649" s="74"/>
      <c r="I1649" s="75">
        <f t="shared" si="81"/>
        <v>1223424</v>
      </c>
      <c r="J1649" s="75"/>
      <c r="K1649" s="3"/>
      <c r="O1649" s="9"/>
      <c r="S1649" s="3"/>
    </row>
    <row r="1650" spans="1:19" ht="15" customHeight="1" x14ac:dyDescent="0.35">
      <c r="A1650" s="26" t="s">
        <v>3508</v>
      </c>
      <c r="B1650" s="32" t="s">
        <v>3454</v>
      </c>
      <c r="C1650" s="28"/>
      <c r="D1650" s="29" t="s">
        <v>3505</v>
      </c>
      <c r="E1650" s="76">
        <v>1132800</v>
      </c>
      <c r="F1650" s="77">
        <f t="shared" si="79"/>
        <v>90624</v>
      </c>
      <c r="G1650" s="96">
        <f t="shared" si="80"/>
        <v>1223424</v>
      </c>
      <c r="H1650" s="74"/>
      <c r="I1650" s="75">
        <f t="shared" si="81"/>
        <v>1223424</v>
      </c>
      <c r="J1650" s="75"/>
      <c r="K1650" s="3"/>
      <c r="O1650" s="9"/>
      <c r="S1650" s="3"/>
    </row>
    <row r="1651" spans="1:19" ht="15" customHeight="1" x14ac:dyDescent="0.35">
      <c r="A1651" s="26" t="s">
        <v>3509</v>
      </c>
      <c r="B1651" s="32" t="s">
        <v>3455</v>
      </c>
      <c r="C1651" s="28"/>
      <c r="D1651" s="29" t="s">
        <v>3505</v>
      </c>
      <c r="E1651" s="76">
        <v>840000</v>
      </c>
      <c r="F1651" s="77">
        <f t="shared" si="79"/>
        <v>67200</v>
      </c>
      <c r="G1651" s="96">
        <f t="shared" si="80"/>
        <v>907200</v>
      </c>
      <c r="H1651" s="74"/>
      <c r="I1651" s="75">
        <f t="shared" si="81"/>
        <v>907200</v>
      </c>
      <c r="J1651" s="75"/>
      <c r="K1651" s="3"/>
      <c r="O1651" s="9"/>
      <c r="S1651" s="3"/>
    </row>
    <row r="1652" spans="1:19" ht="15" customHeight="1" x14ac:dyDescent="0.35">
      <c r="A1652" s="26" t="s">
        <v>3510</v>
      </c>
      <c r="B1652" s="32" t="s">
        <v>3456</v>
      </c>
      <c r="C1652" s="28"/>
      <c r="D1652" s="29" t="s">
        <v>3505</v>
      </c>
      <c r="E1652" s="76">
        <v>840000</v>
      </c>
      <c r="F1652" s="77">
        <f t="shared" si="79"/>
        <v>67200</v>
      </c>
      <c r="G1652" s="96">
        <f t="shared" si="80"/>
        <v>907200</v>
      </c>
      <c r="H1652" s="74"/>
      <c r="I1652" s="75">
        <f t="shared" si="81"/>
        <v>907200</v>
      </c>
      <c r="J1652" s="75"/>
      <c r="K1652" s="3"/>
      <c r="O1652" s="9"/>
      <c r="S1652" s="3"/>
    </row>
    <row r="1653" spans="1:19" ht="15" customHeight="1" x14ac:dyDescent="0.35">
      <c r="A1653" s="26" t="s">
        <v>3511</v>
      </c>
      <c r="B1653" s="32" t="s">
        <v>3457</v>
      </c>
      <c r="C1653" s="28"/>
      <c r="D1653" s="29" t="s">
        <v>3505</v>
      </c>
      <c r="E1653" s="76">
        <v>1132800</v>
      </c>
      <c r="F1653" s="77">
        <f t="shared" si="79"/>
        <v>90624</v>
      </c>
      <c r="G1653" s="96">
        <f t="shared" si="80"/>
        <v>1223424</v>
      </c>
      <c r="H1653" s="74"/>
      <c r="I1653" s="75">
        <f t="shared" si="81"/>
        <v>1223424</v>
      </c>
      <c r="J1653" s="75"/>
      <c r="K1653" s="3"/>
      <c r="O1653" s="9"/>
      <c r="S1653" s="3"/>
    </row>
    <row r="1654" spans="1:19" ht="15" customHeight="1" x14ac:dyDescent="0.35">
      <c r="A1654" s="26" t="s">
        <v>3512</v>
      </c>
      <c r="B1654" s="32" t="s">
        <v>3458</v>
      </c>
      <c r="C1654" s="28"/>
      <c r="D1654" s="29" t="s">
        <v>3505</v>
      </c>
      <c r="E1654" s="76">
        <v>1972800</v>
      </c>
      <c r="F1654" s="77">
        <f t="shared" si="79"/>
        <v>157824</v>
      </c>
      <c r="G1654" s="96">
        <f t="shared" si="80"/>
        <v>2130624</v>
      </c>
      <c r="H1654" s="74"/>
      <c r="I1654" s="75">
        <f t="shared" si="81"/>
        <v>2130624</v>
      </c>
      <c r="J1654" s="75"/>
      <c r="K1654" s="3"/>
      <c r="O1654" s="9"/>
      <c r="S1654" s="3"/>
    </row>
    <row r="1655" spans="1:19" ht="15" customHeight="1" x14ac:dyDescent="0.35">
      <c r="A1655" s="26" t="s">
        <v>3513</v>
      </c>
      <c r="B1655" s="32" t="s">
        <v>3459</v>
      </c>
      <c r="C1655" s="28"/>
      <c r="D1655" s="29" t="s">
        <v>3505</v>
      </c>
      <c r="E1655" s="76">
        <v>1972800</v>
      </c>
      <c r="F1655" s="77">
        <f t="shared" si="79"/>
        <v>157824</v>
      </c>
      <c r="G1655" s="96">
        <f t="shared" si="80"/>
        <v>2130624</v>
      </c>
      <c r="H1655" s="74"/>
      <c r="I1655" s="75">
        <f t="shared" si="81"/>
        <v>2130624</v>
      </c>
      <c r="J1655" s="75"/>
      <c r="K1655" s="3"/>
      <c r="O1655" s="9"/>
      <c r="S1655" s="3"/>
    </row>
    <row r="1656" spans="1:19" ht="15" customHeight="1" x14ac:dyDescent="0.35">
      <c r="A1656" s="26" t="s">
        <v>3514</v>
      </c>
      <c r="B1656" s="32" t="s">
        <v>3460</v>
      </c>
      <c r="C1656" s="28"/>
      <c r="D1656" s="29" t="s">
        <v>3505</v>
      </c>
      <c r="E1656" s="76">
        <v>840000</v>
      </c>
      <c r="F1656" s="77">
        <f t="shared" si="79"/>
        <v>67200</v>
      </c>
      <c r="G1656" s="96">
        <f t="shared" si="80"/>
        <v>907200</v>
      </c>
      <c r="H1656" s="74"/>
      <c r="I1656" s="75">
        <f t="shared" si="81"/>
        <v>907200</v>
      </c>
      <c r="J1656" s="75"/>
      <c r="K1656" s="3"/>
      <c r="O1656" s="9"/>
      <c r="S1656" s="3"/>
    </row>
    <row r="1657" spans="1:19" ht="15" customHeight="1" x14ac:dyDescent="0.35">
      <c r="A1657" s="26" t="s">
        <v>3515</v>
      </c>
      <c r="B1657" s="32" t="s">
        <v>3461</v>
      </c>
      <c r="C1657" s="28"/>
      <c r="D1657" s="29" t="s">
        <v>3505</v>
      </c>
      <c r="E1657" s="76">
        <v>840000</v>
      </c>
      <c r="F1657" s="77">
        <f t="shared" si="79"/>
        <v>67200</v>
      </c>
      <c r="G1657" s="96">
        <f t="shared" si="80"/>
        <v>907200</v>
      </c>
      <c r="H1657" s="74"/>
      <c r="I1657" s="75">
        <f t="shared" si="81"/>
        <v>907200</v>
      </c>
      <c r="J1657" s="75"/>
      <c r="K1657" s="3"/>
      <c r="O1657" s="9"/>
      <c r="S1657" s="3"/>
    </row>
    <row r="1658" spans="1:19" ht="15" customHeight="1" x14ac:dyDescent="0.35">
      <c r="A1658" s="26" t="s">
        <v>3516</v>
      </c>
      <c r="B1658" s="32" t="s">
        <v>3462</v>
      </c>
      <c r="C1658" s="28"/>
      <c r="D1658" s="29" t="s">
        <v>3505</v>
      </c>
      <c r="E1658" s="76">
        <v>840000</v>
      </c>
      <c r="F1658" s="77">
        <f t="shared" si="79"/>
        <v>67200</v>
      </c>
      <c r="G1658" s="96">
        <f t="shared" si="80"/>
        <v>907200</v>
      </c>
      <c r="H1658" s="74"/>
      <c r="I1658" s="75">
        <f t="shared" si="81"/>
        <v>907200</v>
      </c>
      <c r="J1658" s="75"/>
      <c r="K1658" s="3"/>
      <c r="O1658" s="9"/>
      <c r="S1658" s="3"/>
    </row>
    <row r="1659" spans="1:19" ht="15" customHeight="1" x14ac:dyDescent="0.35">
      <c r="A1659" s="26" t="s">
        <v>3517</v>
      </c>
      <c r="B1659" s="27" t="s">
        <v>3463</v>
      </c>
      <c r="C1659" s="28"/>
      <c r="D1659" s="29" t="s">
        <v>3505</v>
      </c>
      <c r="E1659" s="76">
        <v>840000</v>
      </c>
      <c r="F1659" s="77">
        <f t="shared" si="79"/>
        <v>67200</v>
      </c>
      <c r="G1659" s="96">
        <f t="shared" si="80"/>
        <v>907200</v>
      </c>
      <c r="H1659" s="74"/>
      <c r="I1659" s="75">
        <f t="shared" si="81"/>
        <v>907200</v>
      </c>
      <c r="J1659" s="75"/>
      <c r="K1659" s="3"/>
      <c r="O1659" s="9"/>
      <c r="S1659" s="3"/>
    </row>
    <row r="1660" spans="1:19" ht="15" customHeight="1" x14ac:dyDescent="0.35">
      <c r="A1660" s="26" t="s">
        <v>3518</v>
      </c>
      <c r="B1660" s="32" t="s">
        <v>608</v>
      </c>
      <c r="C1660" s="28"/>
      <c r="D1660" s="29" t="s">
        <v>3505</v>
      </c>
      <c r="E1660" s="76">
        <v>840000</v>
      </c>
      <c r="F1660" s="77">
        <f t="shared" si="79"/>
        <v>67200</v>
      </c>
      <c r="G1660" s="96">
        <f t="shared" si="80"/>
        <v>907200</v>
      </c>
      <c r="H1660" s="74"/>
      <c r="I1660" s="75">
        <f t="shared" si="81"/>
        <v>907200</v>
      </c>
      <c r="J1660" s="75"/>
      <c r="K1660" s="3"/>
      <c r="O1660" s="9"/>
      <c r="S1660" s="3"/>
    </row>
    <row r="1661" spans="1:19" ht="15" customHeight="1" x14ac:dyDescent="0.35">
      <c r="A1661" s="26" t="s">
        <v>3519</v>
      </c>
      <c r="B1661" s="32" t="s">
        <v>3464</v>
      </c>
      <c r="C1661" s="28"/>
      <c r="D1661" s="29" t="s">
        <v>3505</v>
      </c>
      <c r="E1661" s="76">
        <v>840000</v>
      </c>
      <c r="F1661" s="77">
        <f t="shared" si="79"/>
        <v>67200</v>
      </c>
      <c r="G1661" s="96">
        <f t="shared" si="80"/>
        <v>907200</v>
      </c>
      <c r="H1661" s="74"/>
      <c r="I1661" s="75">
        <f t="shared" si="81"/>
        <v>907200</v>
      </c>
      <c r="J1661" s="75"/>
      <c r="K1661" s="3"/>
      <c r="O1661" s="9"/>
      <c r="S1661" s="3"/>
    </row>
    <row r="1662" spans="1:19" ht="15" customHeight="1" x14ac:dyDescent="0.35">
      <c r="A1662" s="26" t="s">
        <v>3520</v>
      </c>
      <c r="B1662" s="32" t="s">
        <v>609</v>
      </c>
      <c r="C1662" s="28">
        <v>6966</v>
      </c>
      <c r="D1662" s="29">
        <v>46248</v>
      </c>
      <c r="E1662" s="76">
        <v>777000</v>
      </c>
      <c r="F1662" s="77">
        <f t="shared" si="79"/>
        <v>62160</v>
      </c>
      <c r="G1662" s="96">
        <f t="shared" si="80"/>
        <v>839160</v>
      </c>
      <c r="H1662" s="74"/>
      <c r="I1662" s="75">
        <f t="shared" si="81"/>
        <v>839160</v>
      </c>
      <c r="J1662" s="75"/>
      <c r="K1662" s="3"/>
      <c r="O1662" s="9"/>
      <c r="S1662" s="3"/>
    </row>
    <row r="1663" spans="1:19" ht="15" customHeight="1" x14ac:dyDescent="0.35">
      <c r="A1663" s="26" t="s">
        <v>3521</v>
      </c>
      <c r="B1663" s="32" t="s">
        <v>3465</v>
      </c>
      <c r="C1663" s="28"/>
      <c r="D1663" s="29" t="s">
        <v>3505</v>
      </c>
      <c r="E1663" s="76">
        <v>840000</v>
      </c>
      <c r="F1663" s="77">
        <f t="shared" si="79"/>
        <v>67200</v>
      </c>
      <c r="G1663" s="96">
        <f t="shared" si="80"/>
        <v>907200</v>
      </c>
      <c r="H1663" s="74"/>
      <c r="I1663" s="75">
        <f t="shared" si="81"/>
        <v>907200</v>
      </c>
      <c r="J1663" s="75"/>
      <c r="K1663" s="3"/>
      <c r="O1663" s="9"/>
      <c r="S1663" s="3"/>
    </row>
    <row r="1664" spans="1:19" ht="15" customHeight="1" x14ac:dyDescent="0.35">
      <c r="A1664" s="26" t="s">
        <v>3522</v>
      </c>
      <c r="B1664" s="32" t="s">
        <v>610</v>
      </c>
      <c r="C1664" s="28"/>
      <c r="D1664" s="29" t="s">
        <v>3505</v>
      </c>
      <c r="E1664" s="76">
        <v>840000</v>
      </c>
      <c r="F1664" s="77">
        <f t="shared" si="79"/>
        <v>67200</v>
      </c>
      <c r="G1664" s="96">
        <f t="shared" si="80"/>
        <v>907200</v>
      </c>
      <c r="H1664" s="74"/>
      <c r="I1664" s="75">
        <f t="shared" si="81"/>
        <v>907200</v>
      </c>
      <c r="J1664" s="75"/>
      <c r="K1664" s="3"/>
      <c r="O1664" s="9"/>
      <c r="S1664" s="3"/>
    </row>
    <row r="1665" spans="1:19" ht="15" customHeight="1" x14ac:dyDescent="0.35">
      <c r="A1665" s="26" t="s">
        <v>3523</v>
      </c>
      <c r="B1665" s="32" t="s">
        <v>611</v>
      </c>
      <c r="C1665" s="28"/>
      <c r="D1665" s="29" t="s">
        <v>3505</v>
      </c>
      <c r="E1665" s="76">
        <v>1972800</v>
      </c>
      <c r="F1665" s="77">
        <f t="shared" si="79"/>
        <v>157824</v>
      </c>
      <c r="G1665" s="96">
        <f t="shared" si="80"/>
        <v>2130624</v>
      </c>
      <c r="H1665" s="74"/>
      <c r="I1665" s="75">
        <f t="shared" si="81"/>
        <v>2130624</v>
      </c>
      <c r="J1665" s="75"/>
      <c r="K1665" s="3"/>
      <c r="O1665" s="9"/>
      <c r="S1665" s="3"/>
    </row>
    <row r="1666" spans="1:19" ht="15" customHeight="1" x14ac:dyDescent="0.35">
      <c r="A1666" s="26" t="s">
        <v>3524</v>
      </c>
      <c r="B1666" s="32" t="s">
        <v>612</v>
      </c>
      <c r="C1666" s="28"/>
      <c r="D1666" s="29" t="s">
        <v>3505</v>
      </c>
      <c r="E1666" s="76">
        <v>1680000</v>
      </c>
      <c r="F1666" s="77">
        <f t="shared" si="79"/>
        <v>134400</v>
      </c>
      <c r="G1666" s="96">
        <f t="shared" si="80"/>
        <v>1814400</v>
      </c>
      <c r="H1666" s="74"/>
      <c r="I1666" s="75">
        <f t="shared" si="81"/>
        <v>1814400</v>
      </c>
      <c r="J1666" s="75"/>
      <c r="K1666" s="3"/>
      <c r="O1666" s="9"/>
      <c r="S1666" s="3"/>
    </row>
    <row r="1667" spans="1:19" ht="15" customHeight="1" x14ac:dyDescent="0.35">
      <c r="A1667" s="26" t="s">
        <v>3525</v>
      </c>
      <c r="B1667" s="32" t="s">
        <v>3466</v>
      </c>
      <c r="C1667" s="28"/>
      <c r="D1667" s="29" t="s">
        <v>3506</v>
      </c>
      <c r="E1667" s="76">
        <v>4660000</v>
      </c>
      <c r="F1667" s="77">
        <f t="shared" si="79"/>
        <v>372800</v>
      </c>
      <c r="G1667" s="96">
        <f t="shared" si="80"/>
        <v>5032800</v>
      </c>
      <c r="H1667" s="74"/>
      <c r="I1667" s="75">
        <f t="shared" si="81"/>
        <v>5032800</v>
      </c>
      <c r="J1667" s="75"/>
      <c r="K1667" s="3"/>
      <c r="O1667" s="9"/>
      <c r="S1667" s="3"/>
    </row>
    <row r="1668" spans="1:19" ht="15" customHeight="1" x14ac:dyDescent="0.35">
      <c r="A1668" s="26" t="s">
        <v>3526</v>
      </c>
      <c r="B1668" s="32" t="s">
        <v>3467</v>
      </c>
      <c r="C1668" s="28"/>
      <c r="D1668" s="29" t="s">
        <v>3506</v>
      </c>
      <c r="E1668" s="76">
        <v>11220000</v>
      </c>
      <c r="F1668" s="77">
        <f t="shared" si="79"/>
        <v>897600</v>
      </c>
      <c r="G1668" s="96">
        <f t="shared" si="80"/>
        <v>12117600</v>
      </c>
      <c r="H1668" s="74"/>
      <c r="I1668" s="75">
        <f t="shared" si="81"/>
        <v>12117600</v>
      </c>
      <c r="J1668" s="75"/>
      <c r="K1668" s="3"/>
      <c r="O1668" s="9"/>
      <c r="S1668" s="3"/>
    </row>
    <row r="1669" spans="1:19" ht="15" customHeight="1" x14ac:dyDescent="0.35">
      <c r="A1669" s="26" t="s">
        <v>3527</v>
      </c>
      <c r="B1669" s="32" t="s">
        <v>3468</v>
      </c>
      <c r="C1669" s="28">
        <v>6969</v>
      </c>
      <c r="D1669" s="29">
        <v>46248</v>
      </c>
      <c r="E1669" s="76">
        <v>10973500</v>
      </c>
      <c r="F1669" s="77">
        <f t="shared" si="79"/>
        <v>877880</v>
      </c>
      <c r="G1669" s="96">
        <f t="shared" si="80"/>
        <v>11851380</v>
      </c>
      <c r="H1669" s="74"/>
      <c r="I1669" s="75">
        <f t="shared" si="81"/>
        <v>11851380</v>
      </c>
      <c r="J1669" s="75"/>
      <c r="K1669" s="3"/>
      <c r="O1669" s="9"/>
      <c r="S1669" s="3"/>
    </row>
    <row r="1670" spans="1:19" ht="15" customHeight="1" x14ac:dyDescent="0.35">
      <c r="A1670" s="26" t="s">
        <v>3528</v>
      </c>
      <c r="B1670" s="32" t="s">
        <v>3469</v>
      </c>
      <c r="C1670" s="28"/>
      <c r="D1670" s="29" t="s">
        <v>3506</v>
      </c>
      <c r="E1670" s="76">
        <v>10405000</v>
      </c>
      <c r="F1670" s="77">
        <f t="shared" si="79"/>
        <v>832400</v>
      </c>
      <c r="G1670" s="96">
        <f t="shared" si="80"/>
        <v>11237400</v>
      </c>
      <c r="H1670" s="74"/>
      <c r="I1670" s="75">
        <f t="shared" si="81"/>
        <v>11237400</v>
      </c>
      <c r="J1670" s="75"/>
      <c r="K1670" s="3"/>
      <c r="O1670" s="9"/>
      <c r="S1670" s="3"/>
    </row>
    <row r="1671" spans="1:19" ht="15" customHeight="1" x14ac:dyDescent="0.35">
      <c r="A1671" s="26" t="s">
        <v>3529</v>
      </c>
      <c r="B1671" s="32" t="s">
        <v>3470</v>
      </c>
      <c r="C1671" s="28">
        <v>7229</v>
      </c>
      <c r="D1671" s="29">
        <v>46254</v>
      </c>
      <c r="E1671" s="76">
        <v>9174000</v>
      </c>
      <c r="F1671" s="77">
        <f t="shared" si="79"/>
        <v>733920</v>
      </c>
      <c r="G1671" s="96">
        <f t="shared" si="80"/>
        <v>9907920</v>
      </c>
      <c r="H1671" s="74"/>
      <c r="I1671" s="75">
        <f t="shared" si="81"/>
        <v>9907920</v>
      </c>
      <c r="J1671" s="75"/>
      <c r="K1671" s="3"/>
      <c r="O1671" s="9"/>
      <c r="S1671" s="3"/>
    </row>
    <row r="1672" spans="1:19" ht="15" customHeight="1" x14ac:dyDescent="0.35">
      <c r="A1672" s="26" t="s">
        <v>3530</v>
      </c>
      <c r="B1672" s="32" t="s">
        <v>3471</v>
      </c>
      <c r="C1672" s="28">
        <v>7228</v>
      </c>
      <c r="D1672" s="29">
        <v>46254</v>
      </c>
      <c r="E1672" s="76">
        <v>6118500</v>
      </c>
      <c r="F1672" s="77">
        <f t="shared" si="79"/>
        <v>489480</v>
      </c>
      <c r="G1672" s="96">
        <f t="shared" si="80"/>
        <v>6607980</v>
      </c>
      <c r="H1672" s="74"/>
      <c r="I1672" s="75">
        <f t="shared" si="81"/>
        <v>6607980</v>
      </c>
      <c r="J1672" s="75"/>
      <c r="K1672" s="3"/>
      <c r="O1672" s="9"/>
      <c r="S1672" s="3"/>
    </row>
    <row r="1673" spans="1:19" ht="15" customHeight="1" x14ac:dyDescent="0.35">
      <c r="A1673" s="26" t="s">
        <v>3531</v>
      </c>
      <c r="B1673" s="32" t="s">
        <v>3472</v>
      </c>
      <c r="C1673" s="28"/>
      <c r="D1673" s="29" t="s">
        <v>3506</v>
      </c>
      <c r="E1673" s="76">
        <v>28140000</v>
      </c>
      <c r="F1673" s="77">
        <f t="shared" si="79"/>
        <v>2251200</v>
      </c>
      <c r="G1673" s="96">
        <f t="shared" si="80"/>
        <v>30391200</v>
      </c>
      <c r="H1673" s="74"/>
      <c r="I1673" s="75">
        <f t="shared" si="81"/>
        <v>30391200</v>
      </c>
      <c r="J1673" s="75"/>
      <c r="K1673" s="3"/>
      <c r="O1673" s="9"/>
      <c r="S1673" s="3"/>
    </row>
    <row r="1674" spans="1:19" ht="15" customHeight="1" x14ac:dyDescent="0.35">
      <c r="A1674" s="26" t="s">
        <v>3532</v>
      </c>
      <c r="B1674" s="32" t="s">
        <v>3473</v>
      </c>
      <c r="C1674" s="28"/>
      <c r="D1674" s="29" t="s">
        <v>3506</v>
      </c>
      <c r="E1674" s="76">
        <v>2760000</v>
      </c>
      <c r="F1674" s="77">
        <f t="shared" si="79"/>
        <v>220800</v>
      </c>
      <c r="G1674" s="96">
        <f t="shared" si="80"/>
        <v>2980800</v>
      </c>
      <c r="H1674" s="74"/>
      <c r="I1674" s="75">
        <f t="shared" si="81"/>
        <v>2980800</v>
      </c>
      <c r="J1674" s="75"/>
      <c r="K1674" s="3"/>
      <c r="O1674" s="9"/>
      <c r="S1674" s="3"/>
    </row>
    <row r="1675" spans="1:19" ht="15" customHeight="1" x14ac:dyDescent="0.35">
      <c r="A1675" s="26" t="s">
        <v>3533</v>
      </c>
      <c r="B1675" s="27" t="s">
        <v>3474</v>
      </c>
      <c r="C1675" s="28"/>
      <c r="D1675" s="29" t="s">
        <v>3506</v>
      </c>
      <c r="E1675" s="76">
        <v>4395000</v>
      </c>
      <c r="F1675" s="77">
        <f t="shared" si="79"/>
        <v>351600</v>
      </c>
      <c r="G1675" s="96">
        <f t="shared" si="80"/>
        <v>4746600</v>
      </c>
      <c r="H1675" s="74"/>
      <c r="I1675" s="75">
        <f t="shared" si="81"/>
        <v>4746600</v>
      </c>
      <c r="J1675" s="75"/>
      <c r="K1675" s="3"/>
      <c r="O1675" s="9"/>
      <c r="S1675" s="3"/>
    </row>
    <row r="1676" spans="1:19" ht="15" customHeight="1" x14ac:dyDescent="0.35">
      <c r="A1676" s="26" t="s">
        <v>3534</v>
      </c>
      <c r="B1676" s="32" t="s">
        <v>3475</v>
      </c>
      <c r="C1676" s="28"/>
      <c r="D1676" s="29" t="s">
        <v>3506</v>
      </c>
      <c r="E1676" s="76">
        <v>810000</v>
      </c>
      <c r="F1676" s="77">
        <f t="shared" si="79"/>
        <v>64800</v>
      </c>
      <c r="G1676" s="96">
        <f t="shared" si="80"/>
        <v>874800</v>
      </c>
      <c r="H1676" s="74"/>
      <c r="I1676" s="75">
        <f t="shared" si="81"/>
        <v>874800</v>
      </c>
      <c r="J1676" s="75"/>
      <c r="K1676" s="3"/>
      <c r="O1676" s="9"/>
      <c r="S1676" s="3"/>
    </row>
    <row r="1677" spans="1:19" ht="15" customHeight="1" x14ac:dyDescent="0.35">
      <c r="A1677" s="26" t="s">
        <v>3535</v>
      </c>
      <c r="B1677" s="32" t="s">
        <v>3476</v>
      </c>
      <c r="C1677" s="28"/>
      <c r="D1677" s="29" t="s">
        <v>3506</v>
      </c>
      <c r="E1677" s="76">
        <v>1005000</v>
      </c>
      <c r="F1677" s="77">
        <f t="shared" si="79"/>
        <v>80400</v>
      </c>
      <c r="G1677" s="96">
        <f t="shared" si="80"/>
        <v>1085400</v>
      </c>
      <c r="H1677" s="74"/>
      <c r="I1677" s="75">
        <f t="shared" si="81"/>
        <v>1085400</v>
      </c>
      <c r="J1677" s="75"/>
      <c r="K1677" s="3"/>
      <c r="O1677" s="9"/>
      <c r="S1677" s="3"/>
    </row>
    <row r="1678" spans="1:19" ht="15" customHeight="1" x14ac:dyDescent="0.35">
      <c r="A1678" s="26" t="s">
        <v>3536</v>
      </c>
      <c r="B1678" s="32" t="s">
        <v>3477</v>
      </c>
      <c r="C1678" s="28"/>
      <c r="D1678" s="29" t="s">
        <v>3506</v>
      </c>
      <c r="E1678" s="76">
        <v>640000</v>
      </c>
      <c r="F1678" s="77">
        <f t="shared" si="79"/>
        <v>51200</v>
      </c>
      <c r="G1678" s="96">
        <f t="shared" si="80"/>
        <v>691200</v>
      </c>
      <c r="H1678" s="74"/>
      <c r="I1678" s="75">
        <f t="shared" si="81"/>
        <v>691200</v>
      </c>
      <c r="J1678" s="75"/>
      <c r="K1678" s="3"/>
      <c r="O1678" s="9"/>
      <c r="S1678" s="3"/>
    </row>
    <row r="1679" spans="1:19" ht="15" customHeight="1" x14ac:dyDescent="0.35">
      <c r="A1679" s="26" t="s">
        <v>3537</v>
      </c>
      <c r="B1679" s="32" t="s">
        <v>3478</v>
      </c>
      <c r="C1679" s="28"/>
      <c r="D1679" s="29" t="s">
        <v>3506</v>
      </c>
      <c r="E1679" s="76">
        <v>11460000</v>
      </c>
      <c r="F1679" s="77">
        <f t="shared" si="79"/>
        <v>916800</v>
      </c>
      <c r="G1679" s="96">
        <f t="shared" si="80"/>
        <v>12376800</v>
      </c>
      <c r="H1679" s="74"/>
      <c r="I1679" s="75">
        <f t="shared" si="81"/>
        <v>12376800</v>
      </c>
      <c r="J1679" s="75"/>
      <c r="K1679" s="3"/>
      <c r="O1679" s="9"/>
      <c r="S1679" s="3"/>
    </row>
    <row r="1680" spans="1:19" ht="15" customHeight="1" x14ac:dyDescent="0.35">
      <c r="A1680" s="26" t="s">
        <v>3538</v>
      </c>
      <c r="B1680" s="32" t="s">
        <v>3479</v>
      </c>
      <c r="C1680" s="28"/>
      <c r="D1680" s="29" t="s">
        <v>3506</v>
      </c>
      <c r="E1680" s="76">
        <v>1040000</v>
      </c>
      <c r="F1680" s="77">
        <f t="shared" si="79"/>
        <v>83200</v>
      </c>
      <c r="G1680" s="96">
        <f t="shared" si="80"/>
        <v>1123200</v>
      </c>
      <c r="H1680" s="74"/>
      <c r="I1680" s="75">
        <f t="shared" si="81"/>
        <v>1123200</v>
      </c>
      <c r="J1680" s="75"/>
      <c r="K1680" s="3"/>
      <c r="O1680" s="9"/>
      <c r="S1680" s="3"/>
    </row>
    <row r="1681" spans="1:19" ht="15" customHeight="1" x14ac:dyDescent="0.35">
      <c r="A1681" s="26" t="s">
        <v>3539</v>
      </c>
      <c r="B1681" s="32" t="s">
        <v>3480</v>
      </c>
      <c r="C1681" s="28"/>
      <c r="D1681" s="29" t="s">
        <v>3506</v>
      </c>
      <c r="E1681" s="76">
        <v>1710000</v>
      </c>
      <c r="F1681" s="77">
        <f t="shared" si="79"/>
        <v>136800</v>
      </c>
      <c r="G1681" s="96">
        <f t="shared" si="80"/>
        <v>1846800</v>
      </c>
      <c r="H1681" s="74"/>
      <c r="I1681" s="75">
        <f t="shared" si="81"/>
        <v>1846800</v>
      </c>
      <c r="J1681" s="75"/>
      <c r="K1681" s="3"/>
      <c r="O1681" s="9"/>
      <c r="S1681" s="3"/>
    </row>
    <row r="1682" spans="1:19" ht="15" customHeight="1" x14ac:dyDescent="0.35">
      <c r="A1682" s="26" t="s">
        <v>3540</v>
      </c>
      <c r="B1682" s="32" t="s">
        <v>3481</v>
      </c>
      <c r="C1682" s="28"/>
      <c r="D1682" s="29" t="s">
        <v>3506</v>
      </c>
      <c r="E1682" s="76">
        <v>1645000</v>
      </c>
      <c r="F1682" s="77">
        <f t="shared" si="79"/>
        <v>131600</v>
      </c>
      <c r="G1682" s="96">
        <f t="shared" si="80"/>
        <v>1776600</v>
      </c>
      <c r="H1682" s="74"/>
      <c r="I1682" s="75">
        <f t="shared" si="81"/>
        <v>1776600</v>
      </c>
      <c r="J1682" s="75"/>
      <c r="K1682" s="3"/>
      <c r="O1682" s="9"/>
      <c r="S1682" s="3"/>
    </row>
    <row r="1683" spans="1:19" ht="15" customHeight="1" x14ac:dyDescent="0.35">
      <c r="A1683" s="26" t="s">
        <v>3541</v>
      </c>
      <c r="B1683" s="32" t="s">
        <v>3482</v>
      </c>
      <c r="C1683" s="28"/>
      <c r="D1683" s="29" t="s">
        <v>3506</v>
      </c>
      <c r="E1683" s="76">
        <v>5160000</v>
      </c>
      <c r="F1683" s="77">
        <f t="shared" si="79"/>
        <v>412800</v>
      </c>
      <c r="G1683" s="96">
        <f t="shared" si="80"/>
        <v>5572800</v>
      </c>
      <c r="H1683" s="74"/>
      <c r="I1683" s="75">
        <f t="shared" si="81"/>
        <v>5572800</v>
      </c>
      <c r="J1683" s="75"/>
      <c r="K1683" s="3"/>
      <c r="O1683" s="9"/>
      <c r="S1683" s="3"/>
    </row>
    <row r="1684" spans="1:19" ht="15" customHeight="1" x14ac:dyDescent="0.35">
      <c r="A1684" s="26" t="s">
        <v>3542</v>
      </c>
      <c r="B1684" s="27" t="s">
        <v>613</v>
      </c>
      <c r="C1684" s="28"/>
      <c r="D1684" s="29" t="s">
        <v>3506</v>
      </c>
      <c r="E1684" s="76">
        <v>5970000</v>
      </c>
      <c r="F1684" s="77">
        <f t="shared" si="79"/>
        <v>477600</v>
      </c>
      <c r="G1684" s="96">
        <f t="shared" si="80"/>
        <v>6447600</v>
      </c>
      <c r="H1684" s="74"/>
      <c r="I1684" s="75">
        <f t="shared" si="81"/>
        <v>6447600</v>
      </c>
      <c r="J1684" s="75"/>
      <c r="K1684" s="3"/>
      <c r="O1684" s="9"/>
      <c r="S1684" s="3"/>
    </row>
    <row r="1685" spans="1:19" ht="15" customHeight="1" x14ac:dyDescent="0.35">
      <c r="A1685" s="26" t="s">
        <v>3543</v>
      </c>
      <c r="B1685" s="32" t="s">
        <v>3483</v>
      </c>
      <c r="C1685" s="28">
        <v>6756</v>
      </c>
      <c r="D1685" s="29">
        <v>46241</v>
      </c>
      <c r="E1685" s="76">
        <v>6874500</v>
      </c>
      <c r="F1685" s="77">
        <f t="shared" si="79"/>
        <v>549960</v>
      </c>
      <c r="G1685" s="96">
        <f t="shared" si="80"/>
        <v>7424460</v>
      </c>
      <c r="H1685" s="74"/>
      <c r="I1685" s="75">
        <f t="shared" si="81"/>
        <v>7424460</v>
      </c>
      <c r="J1685" s="75"/>
      <c r="K1685" s="3"/>
      <c r="O1685" s="9"/>
      <c r="S1685" s="3"/>
    </row>
    <row r="1686" spans="1:19" ht="15" customHeight="1" x14ac:dyDescent="0.35">
      <c r="A1686" s="26" t="s">
        <v>3544</v>
      </c>
      <c r="B1686" s="27" t="s">
        <v>3484</v>
      </c>
      <c r="C1686" s="28">
        <v>6970</v>
      </c>
      <c r="D1686" s="29">
        <v>46248</v>
      </c>
      <c r="E1686" s="76">
        <v>14721500</v>
      </c>
      <c r="F1686" s="77">
        <f t="shared" si="79"/>
        <v>1177720</v>
      </c>
      <c r="G1686" s="96">
        <f t="shared" si="80"/>
        <v>15899220</v>
      </c>
      <c r="H1686" s="74"/>
      <c r="I1686" s="75">
        <f t="shared" si="81"/>
        <v>15899220</v>
      </c>
      <c r="J1686" s="75"/>
      <c r="K1686" s="3"/>
      <c r="O1686" s="9"/>
      <c r="S1686" s="3"/>
    </row>
    <row r="1687" spans="1:19" ht="15" customHeight="1" x14ac:dyDescent="0.35">
      <c r="A1687" s="26" t="s">
        <v>3545</v>
      </c>
      <c r="B1687" s="32" t="s">
        <v>3485</v>
      </c>
      <c r="C1687" s="28">
        <v>6757</v>
      </c>
      <c r="D1687" s="29">
        <v>46241</v>
      </c>
      <c r="E1687" s="76">
        <v>5821000</v>
      </c>
      <c r="F1687" s="77">
        <f t="shared" si="79"/>
        <v>465680</v>
      </c>
      <c r="G1687" s="96">
        <f t="shared" si="80"/>
        <v>6286680</v>
      </c>
      <c r="H1687" s="74"/>
      <c r="I1687" s="75">
        <f t="shared" si="81"/>
        <v>6286680</v>
      </c>
      <c r="J1687" s="75"/>
      <c r="K1687" s="3"/>
      <c r="O1687" s="9"/>
      <c r="S1687" s="3"/>
    </row>
    <row r="1688" spans="1:19" ht="15" customHeight="1" x14ac:dyDescent="0.35">
      <c r="A1688" s="26" t="s">
        <v>3546</v>
      </c>
      <c r="B1688" s="27" t="s">
        <v>3486</v>
      </c>
      <c r="C1688" s="28"/>
      <c r="D1688" s="29" t="s">
        <v>3506</v>
      </c>
      <c r="E1688" s="76">
        <v>6405000</v>
      </c>
      <c r="F1688" s="77">
        <f t="shared" si="79"/>
        <v>512400</v>
      </c>
      <c r="G1688" s="96">
        <f t="shared" si="80"/>
        <v>6917400</v>
      </c>
      <c r="H1688" s="74"/>
      <c r="I1688" s="75">
        <f t="shared" si="81"/>
        <v>6917400</v>
      </c>
      <c r="J1688" s="75"/>
      <c r="K1688" s="3"/>
      <c r="O1688" s="9"/>
      <c r="S1688" s="3"/>
    </row>
    <row r="1689" spans="1:19" ht="15" customHeight="1" x14ac:dyDescent="0.35">
      <c r="A1689" s="26" t="s">
        <v>3547</v>
      </c>
      <c r="B1689" s="32" t="s">
        <v>614</v>
      </c>
      <c r="C1689" s="28"/>
      <c r="D1689" s="29" t="s">
        <v>3506</v>
      </c>
      <c r="E1689" s="76">
        <v>2045000</v>
      </c>
      <c r="F1689" s="77">
        <f t="shared" si="79"/>
        <v>163600</v>
      </c>
      <c r="G1689" s="96">
        <f t="shared" si="80"/>
        <v>2208600</v>
      </c>
      <c r="H1689" s="74"/>
      <c r="I1689" s="75">
        <f t="shared" si="81"/>
        <v>2208600</v>
      </c>
      <c r="J1689" s="75"/>
      <c r="K1689" s="3"/>
      <c r="O1689" s="9"/>
      <c r="S1689" s="3"/>
    </row>
    <row r="1690" spans="1:19" ht="15" customHeight="1" x14ac:dyDescent="0.35">
      <c r="A1690" s="26" t="s">
        <v>3548</v>
      </c>
      <c r="B1690" s="32" t="s">
        <v>615</v>
      </c>
      <c r="C1690" s="28"/>
      <c r="D1690" s="29" t="s">
        <v>3506</v>
      </c>
      <c r="E1690" s="76">
        <v>3045000</v>
      </c>
      <c r="F1690" s="77">
        <f t="shared" si="79"/>
        <v>243600</v>
      </c>
      <c r="G1690" s="96">
        <f t="shared" si="80"/>
        <v>3288600</v>
      </c>
      <c r="H1690" s="74"/>
      <c r="I1690" s="75">
        <f t="shared" si="81"/>
        <v>3288600</v>
      </c>
      <c r="J1690" s="75"/>
      <c r="K1690" s="3"/>
      <c r="O1690" s="9"/>
      <c r="S1690" s="3"/>
    </row>
    <row r="1691" spans="1:19" ht="15" customHeight="1" x14ac:dyDescent="0.35">
      <c r="A1691" s="26" t="s">
        <v>3549</v>
      </c>
      <c r="B1691" s="32" t="s">
        <v>3487</v>
      </c>
      <c r="C1691" s="28"/>
      <c r="D1691" s="29" t="s">
        <v>3506</v>
      </c>
      <c r="E1691" s="76">
        <v>3470000</v>
      </c>
      <c r="F1691" s="77">
        <f t="shared" si="79"/>
        <v>277600</v>
      </c>
      <c r="G1691" s="96">
        <f t="shared" si="80"/>
        <v>3747600</v>
      </c>
      <c r="H1691" s="74"/>
      <c r="I1691" s="75">
        <f t="shared" si="81"/>
        <v>3747600</v>
      </c>
      <c r="J1691" s="75"/>
      <c r="K1691" s="3"/>
      <c r="O1691" s="9"/>
      <c r="S1691" s="3"/>
    </row>
    <row r="1692" spans="1:19" ht="15" customHeight="1" x14ac:dyDescent="0.35">
      <c r="A1692" s="26" t="s">
        <v>3550</v>
      </c>
      <c r="B1692" s="32" t="s">
        <v>3488</v>
      </c>
      <c r="C1692" s="28"/>
      <c r="D1692" s="29" t="s">
        <v>3506</v>
      </c>
      <c r="E1692" s="76">
        <v>3710000</v>
      </c>
      <c r="F1692" s="77">
        <f t="shared" ref="F1692:F1755" si="82">+E1692*0.08</f>
        <v>296800</v>
      </c>
      <c r="G1692" s="96">
        <f t="shared" ref="G1692:G1755" si="83">+F1692+E1692</f>
        <v>4006800</v>
      </c>
      <c r="H1692" s="74"/>
      <c r="I1692" s="75">
        <f t="shared" ref="I1692:I1755" si="84">G1692-H1692</f>
        <v>4006800</v>
      </c>
      <c r="J1692" s="75"/>
      <c r="K1692" s="3"/>
      <c r="O1692" s="9"/>
      <c r="S1692" s="3"/>
    </row>
    <row r="1693" spans="1:19" ht="15" customHeight="1" x14ac:dyDescent="0.35">
      <c r="A1693" s="26" t="s">
        <v>3551</v>
      </c>
      <c r="B1693" s="32" t="s">
        <v>3489</v>
      </c>
      <c r="C1693" s="28"/>
      <c r="D1693" s="29" t="s">
        <v>3506</v>
      </c>
      <c r="E1693" s="76">
        <v>1940000</v>
      </c>
      <c r="F1693" s="77">
        <f t="shared" si="82"/>
        <v>155200</v>
      </c>
      <c r="G1693" s="96">
        <f t="shared" si="83"/>
        <v>2095200</v>
      </c>
      <c r="H1693" s="74"/>
      <c r="I1693" s="75">
        <f t="shared" si="84"/>
        <v>2095200</v>
      </c>
      <c r="J1693" s="75"/>
      <c r="K1693" s="3"/>
      <c r="O1693" s="9"/>
      <c r="S1693" s="3"/>
    </row>
    <row r="1694" spans="1:19" ht="15" customHeight="1" x14ac:dyDescent="0.35">
      <c r="A1694" s="26" t="s">
        <v>3552</v>
      </c>
      <c r="B1694" s="32" t="s">
        <v>3490</v>
      </c>
      <c r="C1694" s="28"/>
      <c r="D1694" s="29" t="s">
        <v>3506</v>
      </c>
      <c r="E1694" s="76">
        <v>16800000</v>
      </c>
      <c r="F1694" s="77">
        <f t="shared" si="82"/>
        <v>1344000</v>
      </c>
      <c r="G1694" s="96">
        <f t="shared" si="83"/>
        <v>18144000</v>
      </c>
      <c r="H1694" s="74"/>
      <c r="I1694" s="75">
        <f t="shared" si="84"/>
        <v>18144000</v>
      </c>
      <c r="J1694" s="75"/>
      <c r="K1694" s="3"/>
      <c r="O1694" s="9"/>
      <c r="S1694" s="3"/>
    </row>
    <row r="1695" spans="1:19" ht="15" customHeight="1" x14ac:dyDescent="0.35">
      <c r="A1695" s="26" t="s">
        <v>3553</v>
      </c>
      <c r="B1695" s="32" t="s">
        <v>3491</v>
      </c>
      <c r="C1695" s="28"/>
      <c r="D1695" s="29" t="s">
        <v>3506</v>
      </c>
      <c r="E1695" s="76">
        <v>6830000</v>
      </c>
      <c r="F1695" s="77">
        <f t="shared" si="82"/>
        <v>546400</v>
      </c>
      <c r="G1695" s="96">
        <f t="shared" si="83"/>
        <v>7376400</v>
      </c>
      <c r="H1695" s="74"/>
      <c r="I1695" s="75">
        <f t="shared" si="84"/>
        <v>7376400</v>
      </c>
      <c r="J1695" s="75"/>
      <c r="K1695" s="3"/>
      <c r="O1695" s="9"/>
      <c r="S1695" s="3"/>
    </row>
    <row r="1696" spans="1:19" ht="15" customHeight="1" x14ac:dyDescent="0.35">
      <c r="A1696" s="26" t="s">
        <v>3554</v>
      </c>
      <c r="B1696" s="32" t="s">
        <v>3492</v>
      </c>
      <c r="C1696" s="28"/>
      <c r="D1696" s="29" t="s">
        <v>3506</v>
      </c>
      <c r="E1696" s="76">
        <v>750000</v>
      </c>
      <c r="F1696" s="77">
        <f t="shared" si="82"/>
        <v>60000</v>
      </c>
      <c r="G1696" s="96">
        <f t="shared" si="83"/>
        <v>810000</v>
      </c>
      <c r="H1696" s="74"/>
      <c r="I1696" s="75">
        <f t="shared" si="84"/>
        <v>810000</v>
      </c>
      <c r="J1696" s="75"/>
      <c r="K1696" s="3"/>
      <c r="O1696" s="9"/>
      <c r="S1696" s="3"/>
    </row>
    <row r="1697" spans="1:19" ht="15" customHeight="1" x14ac:dyDescent="0.35">
      <c r="A1697" s="26" t="s">
        <v>3555</v>
      </c>
      <c r="B1697" s="27" t="s">
        <v>3493</v>
      </c>
      <c r="C1697" s="28">
        <v>7224</v>
      </c>
      <c r="D1697" s="29">
        <v>46254</v>
      </c>
      <c r="E1697" s="76">
        <v>3920000</v>
      </c>
      <c r="F1697" s="77">
        <f t="shared" si="82"/>
        <v>313600</v>
      </c>
      <c r="G1697" s="96">
        <f t="shared" si="83"/>
        <v>4233600</v>
      </c>
      <c r="H1697" s="74"/>
      <c r="I1697" s="75">
        <f t="shared" si="84"/>
        <v>4233600</v>
      </c>
      <c r="J1697" s="75"/>
      <c r="K1697" s="3"/>
      <c r="O1697" s="9"/>
      <c r="S1697" s="3"/>
    </row>
    <row r="1698" spans="1:19" ht="15" customHeight="1" x14ac:dyDescent="0.35">
      <c r="A1698" s="26" t="s">
        <v>3556</v>
      </c>
      <c r="B1698" s="32" t="s">
        <v>3494</v>
      </c>
      <c r="C1698" s="28"/>
      <c r="D1698" s="29" t="s">
        <v>3506</v>
      </c>
      <c r="E1698" s="76">
        <v>1005000</v>
      </c>
      <c r="F1698" s="77">
        <f t="shared" si="82"/>
        <v>80400</v>
      </c>
      <c r="G1698" s="96">
        <f t="shared" si="83"/>
        <v>1085400</v>
      </c>
      <c r="H1698" s="74"/>
      <c r="I1698" s="75">
        <f t="shared" si="84"/>
        <v>1085400</v>
      </c>
      <c r="J1698" s="75"/>
      <c r="K1698" s="3"/>
      <c r="O1698" s="9"/>
      <c r="S1698" s="3"/>
    </row>
    <row r="1699" spans="1:19" ht="15" customHeight="1" x14ac:dyDescent="0.35">
      <c r="A1699" s="26" t="s">
        <v>3557</v>
      </c>
      <c r="B1699" s="32" t="s">
        <v>3495</v>
      </c>
      <c r="C1699" s="28"/>
      <c r="D1699" s="29" t="s">
        <v>3506</v>
      </c>
      <c r="E1699" s="76">
        <v>1040000</v>
      </c>
      <c r="F1699" s="77">
        <f t="shared" si="82"/>
        <v>83200</v>
      </c>
      <c r="G1699" s="96">
        <f t="shared" si="83"/>
        <v>1123200</v>
      </c>
      <c r="H1699" s="74"/>
      <c r="I1699" s="75">
        <f t="shared" si="84"/>
        <v>1123200</v>
      </c>
      <c r="J1699" s="75"/>
      <c r="K1699" s="3"/>
      <c r="O1699" s="9"/>
      <c r="S1699" s="3"/>
    </row>
    <row r="1700" spans="1:19" ht="15" customHeight="1" x14ac:dyDescent="0.35">
      <c r="A1700" s="26" t="s">
        <v>3558</v>
      </c>
      <c r="B1700" s="32" t="s">
        <v>3496</v>
      </c>
      <c r="C1700" s="28"/>
      <c r="D1700" s="29" t="s">
        <v>3506</v>
      </c>
      <c r="E1700" s="76">
        <v>1005000</v>
      </c>
      <c r="F1700" s="77">
        <f t="shared" si="82"/>
        <v>80400</v>
      </c>
      <c r="G1700" s="96">
        <f t="shared" si="83"/>
        <v>1085400</v>
      </c>
      <c r="H1700" s="74"/>
      <c r="I1700" s="75">
        <f t="shared" si="84"/>
        <v>1085400</v>
      </c>
      <c r="J1700" s="75"/>
      <c r="K1700" s="3"/>
      <c r="O1700" s="9"/>
      <c r="S1700" s="3"/>
    </row>
    <row r="1701" spans="1:19" ht="15" customHeight="1" x14ac:dyDescent="0.35">
      <c r="A1701" s="26" t="s">
        <v>3559</v>
      </c>
      <c r="B1701" s="32" t="s">
        <v>3497</v>
      </c>
      <c r="C1701" s="28"/>
      <c r="D1701" s="29" t="s">
        <v>3506</v>
      </c>
      <c r="E1701" s="76">
        <v>2715000</v>
      </c>
      <c r="F1701" s="77">
        <f t="shared" si="82"/>
        <v>217200</v>
      </c>
      <c r="G1701" s="96">
        <f t="shared" si="83"/>
        <v>2932200</v>
      </c>
      <c r="H1701" s="74"/>
      <c r="I1701" s="75">
        <f t="shared" si="84"/>
        <v>2932200</v>
      </c>
      <c r="J1701" s="75"/>
      <c r="K1701" s="3"/>
      <c r="O1701" s="9"/>
      <c r="S1701" s="3"/>
    </row>
    <row r="1702" spans="1:19" ht="15" customHeight="1" x14ac:dyDescent="0.35">
      <c r="A1702" s="26" t="s">
        <v>3560</v>
      </c>
      <c r="B1702" s="27" t="s">
        <v>3498</v>
      </c>
      <c r="C1702" s="28"/>
      <c r="D1702" s="29" t="s">
        <v>3506</v>
      </c>
      <c r="E1702" s="76">
        <v>1005000</v>
      </c>
      <c r="F1702" s="77">
        <f t="shared" si="82"/>
        <v>80400</v>
      </c>
      <c r="G1702" s="96">
        <f t="shared" si="83"/>
        <v>1085400</v>
      </c>
      <c r="H1702" s="74"/>
      <c r="I1702" s="75">
        <f t="shared" si="84"/>
        <v>1085400</v>
      </c>
      <c r="J1702" s="75"/>
      <c r="K1702" s="3"/>
      <c r="O1702" s="9"/>
      <c r="S1702" s="3"/>
    </row>
    <row r="1703" spans="1:19" ht="15" customHeight="1" x14ac:dyDescent="0.35">
      <c r="A1703" s="26" t="s">
        <v>3561</v>
      </c>
      <c r="B1703" s="27" t="s">
        <v>3499</v>
      </c>
      <c r="C1703" s="28">
        <v>6968</v>
      </c>
      <c r="D1703" s="29">
        <v>46248</v>
      </c>
      <c r="E1703" s="76">
        <v>2434000</v>
      </c>
      <c r="F1703" s="77">
        <f t="shared" si="82"/>
        <v>194720</v>
      </c>
      <c r="G1703" s="96">
        <f t="shared" si="83"/>
        <v>2628720</v>
      </c>
      <c r="H1703" s="74"/>
      <c r="I1703" s="75">
        <f t="shared" si="84"/>
        <v>2628720</v>
      </c>
      <c r="J1703" s="75"/>
      <c r="K1703" s="3"/>
      <c r="O1703" s="9"/>
      <c r="S1703" s="3"/>
    </row>
    <row r="1704" spans="1:19" ht="15" customHeight="1" x14ac:dyDescent="0.35">
      <c r="A1704" s="26" t="s">
        <v>3562</v>
      </c>
      <c r="B1704" s="32" t="s">
        <v>3500</v>
      </c>
      <c r="C1704" s="28"/>
      <c r="D1704" s="29" t="s">
        <v>3506</v>
      </c>
      <c r="E1704" s="76">
        <v>1005000</v>
      </c>
      <c r="F1704" s="77">
        <f t="shared" si="82"/>
        <v>80400</v>
      </c>
      <c r="G1704" s="96">
        <f t="shared" si="83"/>
        <v>1085400</v>
      </c>
      <c r="H1704" s="74"/>
      <c r="I1704" s="75">
        <f t="shared" si="84"/>
        <v>1085400</v>
      </c>
      <c r="J1704" s="75"/>
      <c r="K1704" s="3"/>
      <c r="O1704" s="9"/>
      <c r="S1704" s="3"/>
    </row>
    <row r="1705" spans="1:19" ht="15" customHeight="1" x14ac:dyDescent="0.35">
      <c r="A1705" s="26" t="s">
        <v>3563</v>
      </c>
      <c r="B1705" s="27" t="s">
        <v>3501</v>
      </c>
      <c r="C1705" s="28"/>
      <c r="D1705" s="29" t="s">
        <v>3506</v>
      </c>
      <c r="E1705" s="76">
        <v>1005000</v>
      </c>
      <c r="F1705" s="77">
        <f t="shared" si="82"/>
        <v>80400</v>
      </c>
      <c r="G1705" s="96">
        <f t="shared" si="83"/>
        <v>1085400</v>
      </c>
      <c r="H1705" s="74"/>
      <c r="I1705" s="75">
        <f t="shared" si="84"/>
        <v>1085400</v>
      </c>
      <c r="J1705" s="75"/>
      <c r="K1705" s="3"/>
      <c r="O1705" s="9"/>
      <c r="S1705" s="3"/>
    </row>
    <row r="1706" spans="1:19" ht="15" customHeight="1" x14ac:dyDescent="0.35">
      <c r="A1706" s="26" t="s">
        <v>3564</v>
      </c>
      <c r="B1706" s="32" t="s">
        <v>3502</v>
      </c>
      <c r="C1706" s="28"/>
      <c r="D1706" s="29" t="s">
        <v>3506</v>
      </c>
      <c r="E1706" s="76">
        <v>3945600</v>
      </c>
      <c r="F1706" s="77">
        <f t="shared" si="82"/>
        <v>315648</v>
      </c>
      <c r="G1706" s="96">
        <f t="shared" si="83"/>
        <v>4261248</v>
      </c>
      <c r="H1706" s="74"/>
      <c r="I1706" s="75">
        <f t="shared" si="84"/>
        <v>4261248</v>
      </c>
      <c r="J1706" s="75"/>
      <c r="K1706" s="3"/>
      <c r="O1706" s="9"/>
      <c r="S1706" s="3"/>
    </row>
    <row r="1707" spans="1:19" ht="15" customHeight="1" x14ac:dyDescent="0.35">
      <c r="A1707" s="26" t="s">
        <v>3565</v>
      </c>
      <c r="B1707" s="27" t="s">
        <v>3503</v>
      </c>
      <c r="C1707" s="28"/>
      <c r="D1707" s="29" t="s">
        <v>3506</v>
      </c>
      <c r="E1707" s="76">
        <v>1005000</v>
      </c>
      <c r="F1707" s="77">
        <f t="shared" si="82"/>
        <v>80400</v>
      </c>
      <c r="G1707" s="96">
        <f t="shared" si="83"/>
        <v>1085400</v>
      </c>
      <c r="H1707" s="74"/>
      <c r="I1707" s="75">
        <f t="shared" si="84"/>
        <v>1085400</v>
      </c>
      <c r="J1707" s="75"/>
      <c r="K1707" s="3"/>
      <c r="O1707" s="9"/>
      <c r="S1707" s="3"/>
    </row>
    <row r="1708" spans="1:19" ht="15" customHeight="1" x14ac:dyDescent="0.35">
      <c r="A1708" s="26" t="s">
        <v>3566</v>
      </c>
      <c r="B1708" s="27" t="s">
        <v>3504</v>
      </c>
      <c r="C1708" s="28"/>
      <c r="D1708" s="29" t="s">
        <v>3506</v>
      </c>
      <c r="E1708" s="76">
        <v>3855000</v>
      </c>
      <c r="F1708" s="77">
        <f t="shared" si="82"/>
        <v>308400</v>
      </c>
      <c r="G1708" s="96">
        <f t="shared" si="83"/>
        <v>4163400</v>
      </c>
      <c r="H1708" s="74"/>
      <c r="I1708" s="75">
        <f t="shared" si="84"/>
        <v>4163400</v>
      </c>
      <c r="J1708" s="75"/>
      <c r="K1708" s="3"/>
      <c r="O1708" s="9"/>
      <c r="S1708" s="3"/>
    </row>
    <row r="1709" spans="1:19" ht="15" customHeight="1" x14ac:dyDescent="0.35">
      <c r="A1709" s="26" t="s">
        <v>3571</v>
      </c>
      <c r="B1709" s="27" t="s">
        <v>616</v>
      </c>
      <c r="C1709" s="28"/>
      <c r="D1709" s="29" t="s">
        <v>3568</v>
      </c>
      <c r="E1709" s="76">
        <v>2925000</v>
      </c>
      <c r="F1709" s="77">
        <f t="shared" si="82"/>
        <v>234000</v>
      </c>
      <c r="G1709" s="96">
        <f t="shared" si="83"/>
        <v>3159000</v>
      </c>
      <c r="H1709" s="74"/>
      <c r="I1709" s="75">
        <f t="shared" si="84"/>
        <v>3159000</v>
      </c>
      <c r="J1709" s="75"/>
      <c r="K1709" s="3"/>
      <c r="O1709" s="9"/>
      <c r="S1709" s="3"/>
    </row>
    <row r="1710" spans="1:19" ht="15" customHeight="1" x14ac:dyDescent="0.35">
      <c r="A1710" s="26" t="s">
        <v>3572</v>
      </c>
      <c r="B1710" s="27" t="s">
        <v>617</v>
      </c>
      <c r="C1710" s="28">
        <v>7231</v>
      </c>
      <c r="D1710" s="29">
        <v>46254</v>
      </c>
      <c r="E1710" s="76">
        <v>4374000</v>
      </c>
      <c r="F1710" s="77">
        <f t="shared" si="82"/>
        <v>349920</v>
      </c>
      <c r="G1710" s="96">
        <f t="shared" si="83"/>
        <v>4723920</v>
      </c>
      <c r="H1710" s="74"/>
      <c r="I1710" s="75">
        <f t="shared" si="84"/>
        <v>4723920</v>
      </c>
      <c r="J1710" s="75"/>
      <c r="K1710" s="3"/>
      <c r="O1710" s="9"/>
      <c r="S1710" s="3"/>
    </row>
    <row r="1711" spans="1:19" ht="15" customHeight="1" x14ac:dyDescent="0.35">
      <c r="A1711" s="26" t="s">
        <v>3573</v>
      </c>
      <c r="B1711" s="27" t="s">
        <v>618</v>
      </c>
      <c r="C1711" s="28">
        <v>7235</v>
      </c>
      <c r="D1711" s="29">
        <v>46254</v>
      </c>
      <c r="E1711" s="76">
        <v>32147500</v>
      </c>
      <c r="F1711" s="77">
        <f t="shared" si="82"/>
        <v>2571800</v>
      </c>
      <c r="G1711" s="96">
        <f t="shared" si="83"/>
        <v>34719300</v>
      </c>
      <c r="H1711" s="74"/>
      <c r="I1711" s="75">
        <f t="shared" si="84"/>
        <v>34719300</v>
      </c>
      <c r="J1711" s="75"/>
      <c r="K1711" s="3"/>
      <c r="O1711" s="9"/>
      <c r="S1711" s="3"/>
    </row>
    <row r="1712" spans="1:19" ht="15" customHeight="1" x14ac:dyDescent="0.35">
      <c r="A1712" s="26" t="s">
        <v>3574</v>
      </c>
      <c r="B1712" s="27" t="s">
        <v>619</v>
      </c>
      <c r="C1712" s="28"/>
      <c r="D1712" s="29" t="s">
        <v>3569</v>
      </c>
      <c r="E1712" s="76">
        <v>1612800</v>
      </c>
      <c r="F1712" s="77">
        <f t="shared" si="82"/>
        <v>129024</v>
      </c>
      <c r="G1712" s="96">
        <f t="shared" si="83"/>
        <v>1741824</v>
      </c>
      <c r="H1712" s="74"/>
      <c r="I1712" s="75">
        <f t="shared" si="84"/>
        <v>1741824</v>
      </c>
      <c r="J1712" s="75"/>
      <c r="K1712" s="3"/>
      <c r="O1712" s="9"/>
      <c r="S1712" s="3"/>
    </row>
    <row r="1713" spans="1:19" ht="15" customHeight="1" x14ac:dyDescent="0.35">
      <c r="A1713" s="26" t="s">
        <v>3575</v>
      </c>
      <c r="B1713" s="32" t="s">
        <v>620</v>
      </c>
      <c r="C1713" s="28"/>
      <c r="D1713" s="29" t="s">
        <v>3569</v>
      </c>
      <c r="E1713" s="76">
        <v>1680000</v>
      </c>
      <c r="F1713" s="77">
        <f t="shared" si="82"/>
        <v>134400</v>
      </c>
      <c r="G1713" s="96">
        <f t="shared" si="83"/>
        <v>1814400</v>
      </c>
      <c r="H1713" s="74"/>
      <c r="I1713" s="75">
        <f t="shared" si="84"/>
        <v>1814400</v>
      </c>
      <c r="J1713" s="75"/>
      <c r="K1713" s="3"/>
      <c r="O1713" s="9"/>
      <c r="S1713" s="3"/>
    </row>
    <row r="1714" spans="1:19" ht="15" customHeight="1" x14ac:dyDescent="0.35">
      <c r="A1714" s="26" t="s">
        <v>3576</v>
      </c>
      <c r="B1714" s="27" t="s">
        <v>621</v>
      </c>
      <c r="C1714" s="28"/>
      <c r="D1714" s="29" t="s">
        <v>3569</v>
      </c>
      <c r="E1714" s="76">
        <v>2452800</v>
      </c>
      <c r="F1714" s="77">
        <f t="shared" si="82"/>
        <v>196224</v>
      </c>
      <c r="G1714" s="96">
        <f t="shared" si="83"/>
        <v>2649024</v>
      </c>
      <c r="H1714" s="74"/>
      <c r="I1714" s="75">
        <f t="shared" si="84"/>
        <v>2649024</v>
      </c>
      <c r="J1714" s="75"/>
      <c r="K1714" s="3"/>
      <c r="O1714" s="9"/>
      <c r="S1714" s="3"/>
    </row>
    <row r="1715" spans="1:19" ht="15" customHeight="1" x14ac:dyDescent="0.35">
      <c r="A1715" s="26" t="s">
        <v>3577</v>
      </c>
      <c r="B1715" s="32" t="s">
        <v>622</v>
      </c>
      <c r="C1715" s="28"/>
      <c r="D1715" s="29" t="s">
        <v>3569</v>
      </c>
      <c r="E1715" s="76">
        <v>840000</v>
      </c>
      <c r="F1715" s="77">
        <f t="shared" si="82"/>
        <v>67200</v>
      </c>
      <c r="G1715" s="96">
        <f t="shared" si="83"/>
        <v>907200</v>
      </c>
      <c r="H1715" s="74"/>
      <c r="I1715" s="75">
        <f t="shared" si="84"/>
        <v>907200</v>
      </c>
      <c r="J1715" s="75"/>
      <c r="K1715" s="3"/>
      <c r="O1715" s="9"/>
      <c r="S1715" s="3"/>
    </row>
    <row r="1716" spans="1:19" ht="15" customHeight="1" x14ac:dyDescent="0.35">
      <c r="A1716" s="26" t="s">
        <v>3578</v>
      </c>
      <c r="B1716" s="32" t="s">
        <v>623</v>
      </c>
      <c r="C1716" s="28"/>
      <c r="D1716" s="29" t="s">
        <v>3569</v>
      </c>
      <c r="E1716" s="76">
        <v>840000</v>
      </c>
      <c r="F1716" s="77">
        <f t="shared" si="82"/>
        <v>67200</v>
      </c>
      <c r="G1716" s="96">
        <f t="shared" si="83"/>
        <v>907200</v>
      </c>
      <c r="H1716" s="74"/>
      <c r="I1716" s="75">
        <f t="shared" si="84"/>
        <v>907200</v>
      </c>
      <c r="J1716" s="75"/>
      <c r="K1716" s="3"/>
      <c r="O1716" s="9"/>
      <c r="S1716" s="3"/>
    </row>
    <row r="1717" spans="1:19" ht="15" customHeight="1" x14ac:dyDescent="0.35">
      <c r="A1717" s="26" t="s">
        <v>3579</v>
      </c>
      <c r="B1717" s="27" t="s">
        <v>624</v>
      </c>
      <c r="C1717" s="28"/>
      <c r="D1717" s="29" t="s">
        <v>3569</v>
      </c>
      <c r="E1717" s="76">
        <v>840000</v>
      </c>
      <c r="F1717" s="77">
        <f t="shared" si="82"/>
        <v>67200</v>
      </c>
      <c r="G1717" s="96">
        <f t="shared" si="83"/>
        <v>907200</v>
      </c>
      <c r="H1717" s="74"/>
      <c r="I1717" s="75">
        <f t="shared" si="84"/>
        <v>907200</v>
      </c>
      <c r="J1717" s="75"/>
      <c r="K1717" s="3"/>
      <c r="O1717" s="9"/>
      <c r="S1717" s="3"/>
    </row>
    <row r="1718" spans="1:19" ht="15" customHeight="1" x14ac:dyDescent="0.35">
      <c r="A1718" s="26" t="s">
        <v>3580</v>
      </c>
      <c r="B1718" s="27" t="s">
        <v>625</v>
      </c>
      <c r="C1718" s="28"/>
      <c r="D1718" s="29" t="s">
        <v>3569</v>
      </c>
      <c r="E1718" s="76">
        <v>840000</v>
      </c>
      <c r="F1718" s="77">
        <f t="shared" si="82"/>
        <v>67200</v>
      </c>
      <c r="G1718" s="96">
        <f t="shared" si="83"/>
        <v>907200</v>
      </c>
      <c r="H1718" s="74"/>
      <c r="I1718" s="75">
        <f t="shared" si="84"/>
        <v>907200</v>
      </c>
      <c r="J1718" s="75"/>
      <c r="K1718" s="3"/>
      <c r="O1718" s="9"/>
      <c r="S1718" s="3"/>
    </row>
    <row r="1719" spans="1:19" ht="15" customHeight="1" x14ac:dyDescent="0.35">
      <c r="A1719" s="26" t="s">
        <v>3581</v>
      </c>
      <c r="B1719" s="27" t="s">
        <v>626</v>
      </c>
      <c r="C1719" s="28"/>
      <c r="D1719" s="29" t="s">
        <v>3569</v>
      </c>
      <c r="E1719" s="76">
        <v>2452800</v>
      </c>
      <c r="F1719" s="77">
        <f t="shared" si="82"/>
        <v>196224</v>
      </c>
      <c r="G1719" s="96">
        <f t="shared" si="83"/>
        <v>2649024</v>
      </c>
      <c r="H1719" s="74"/>
      <c r="I1719" s="75">
        <f t="shared" si="84"/>
        <v>2649024</v>
      </c>
      <c r="J1719" s="75"/>
      <c r="K1719" s="3"/>
      <c r="O1719" s="9"/>
      <c r="S1719" s="3"/>
    </row>
    <row r="1720" spans="1:19" ht="15" customHeight="1" x14ac:dyDescent="0.35">
      <c r="A1720" s="26" t="s">
        <v>3582</v>
      </c>
      <c r="B1720" s="27" t="s">
        <v>627</v>
      </c>
      <c r="C1720" s="28"/>
      <c r="D1720" s="29" t="s">
        <v>3569</v>
      </c>
      <c r="E1720" s="76">
        <v>1612800</v>
      </c>
      <c r="F1720" s="77">
        <f t="shared" si="82"/>
        <v>129024</v>
      </c>
      <c r="G1720" s="96">
        <f t="shared" si="83"/>
        <v>1741824</v>
      </c>
      <c r="H1720" s="74"/>
      <c r="I1720" s="75">
        <f t="shared" si="84"/>
        <v>1741824</v>
      </c>
      <c r="J1720" s="75"/>
      <c r="K1720" s="3"/>
      <c r="O1720" s="9"/>
      <c r="S1720" s="3"/>
    </row>
    <row r="1721" spans="1:19" ht="15" customHeight="1" x14ac:dyDescent="0.35">
      <c r="A1721" s="26" t="s">
        <v>3583</v>
      </c>
      <c r="B1721" s="32" t="s">
        <v>628</v>
      </c>
      <c r="C1721" s="28"/>
      <c r="D1721" s="29" t="s">
        <v>3569</v>
      </c>
      <c r="E1721" s="76">
        <v>840000</v>
      </c>
      <c r="F1721" s="77">
        <f t="shared" si="82"/>
        <v>67200</v>
      </c>
      <c r="G1721" s="96">
        <f t="shared" si="83"/>
        <v>907200</v>
      </c>
      <c r="H1721" s="74"/>
      <c r="I1721" s="75">
        <f t="shared" si="84"/>
        <v>907200</v>
      </c>
      <c r="J1721" s="75"/>
      <c r="K1721" s="3"/>
      <c r="O1721" s="9"/>
      <c r="S1721" s="3"/>
    </row>
    <row r="1722" spans="1:19" ht="15" customHeight="1" x14ac:dyDescent="0.35">
      <c r="A1722" s="26" t="s">
        <v>3584</v>
      </c>
      <c r="B1722" s="32" t="s">
        <v>629</v>
      </c>
      <c r="C1722" s="28"/>
      <c r="D1722" s="29" t="s">
        <v>3569</v>
      </c>
      <c r="E1722" s="76">
        <v>840000</v>
      </c>
      <c r="F1722" s="77">
        <f t="shared" si="82"/>
        <v>67200</v>
      </c>
      <c r="G1722" s="96">
        <f t="shared" si="83"/>
        <v>907200</v>
      </c>
      <c r="H1722" s="74"/>
      <c r="I1722" s="75">
        <f t="shared" si="84"/>
        <v>907200</v>
      </c>
      <c r="J1722" s="75"/>
      <c r="K1722" s="3"/>
      <c r="O1722" s="9"/>
      <c r="S1722" s="3"/>
    </row>
    <row r="1723" spans="1:19" ht="15" customHeight="1" x14ac:dyDescent="0.35">
      <c r="A1723" s="26" t="s">
        <v>3585</v>
      </c>
      <c r="B1723" s="32" t="s">
        <v>630</v>
      </c>
      <c r="C1723" s="28"/>
      <c r="D1723" s="29" t="s">
        <v>3569</v>
      </c>
      <c r="E1723" s="76">
        <v>1680000</v>
      </c>
      <c r="F1723" s="77">
        <f t="shared" si="82"/>
        <v>134400</v>
      </c>
      <c r="G1723" s="96">
        <f t="shared" si="83"/>
        <v>1814400</v>
      </c>
      <c r="H1723" s="74"/>
      <c r="I1723" s="75">
        <f t="shared" si="84"/>
        <v>1814400</v>
      </c>
      <c r="J1723" s="75"/>
      <c r="K1723" s="3"/>
      <c r="O1723" s="9"/>
      <c r="S1723" s="3"/>
    </row>
    <row r="1724" spans="1:19" ht="15" customHeight="1" x14ac:dyDescent="0.35">
      <c r="A1724" s="26" t="s">
        <v>3586</v>
      </c>
      <c r="B1724" s="27" t="s">
        <v>3567</v>
      </c>
      <c r="C1724" s="28"/>
      <c r="D1724" s="29" t="s">
        <v>3570</v>
      </c>
      <c r="E1724" s="76">
        <v>840000</v>
      </c>
      <c r="F1724" s="77">
        <f t="shared" si="82"/>
        <v>67200</v>
      </c>
      <c r="G1724" s="96">
        <f t="shared" si="83"/>
        <v>907200</v>
      </c>
      <c r="H1724" s="74"/>
      <c r="I1724" s="75">
        <f t="shared" si="84"/>
        <v>907200</v>
      </c>
      <c r="J1724" s="75"/>
      <c r="K1724" s="3"/>
      <c r="O1724" s="9"/>
      <c r="S1724" s="3"/>
    </row>
    <row r="1725" spans="1:19" ht="15" customHeight="1" x14ac:dyDescent="0.35">
      <c r="A1725" s="26" t="s">
        <v>3638</v>
      </c>
      <c r="B1725" s="27" t="s">
        <v>3588</v>
      </c>
      <c r="C1725" s="28"/>
      <c r="D1725" s="29" t="s">
        <v>3635</v>
      </c>
      <c r="E1725" s="76">
        <v>840000</v>
      </c>
      <c r="F1725" s="77">
        <f t="shared" si="82"/>
        <v>67200</v>
      </c>
      <c r="G1725" s="96">
        <f t="shared" si="83"/>
        <v>907200</v>
      </c>
      <c r="H1725" s="74"/>
      <c r="I1725" s="75">
        <f t="shared" si="84"/>
        <v>907200</v>
      </c>
      <c r="J1725" s="75"/>
      <c r="K1725" s="3"/>
      <c r="O1725" s="9"/>
      <c r="S1725" s="3"/>
    </row>
    <row r="1726" spans="1:19" ht="15" customHeight="1" x14ac:dyDescent="0.35">
      <c r="A1726" s="26" t="s">
        <v>3639</v>
      </c>
      <c r="B1726" s="27" t="s">
        <v>3589</v>
      </c>
      <c r="C1726" s="28"/>
      <c r="D1726" s="29" t="s">
        <v>3635</v>
      </c>
      <c r="E1726" s="76">
        <v>1005000</v>
      </c>
      <c r="F1726" s="77">
        <f t="shared" si="82"/>
        <v>80400</v>
      </c>
      <c r="G1726" s="96">
        <f t="shared" si="83"/>
        <v>1085400</v>
      </c>
      <c r="H1726" s="74"/>
      <c r="I1726" s="75">
        <f t="shared" si="84"/>
        <v>1085400</v>
      </c>
      <c r="J1726" s="75"/>
      <c r="K1726" s="3"/>
      <c r="O1726" s="9"/>
      <c r="S1726" s="3"/>
    </row>
    <row r="1727" spans="1:19" ht="15" customHeight="1" x14ac:dyDescent="0.35">
      <c r="A1727" s="26" t="s">
        <v>3640</v>
      </c>
      <c r="B1727" s="27" t="s">
        <v>3590</v>
      </c>
      <c r="C1727" s="28"/>
      <c r="D1727" s="29" t="s">
        <v>3635</v>
      </c>
      <c r="E1727" s="76">
        <v>1755000</v>
      </c>
      <c r="F1727" s="77">
        <f t="shared" si="82"/>
        <v>140400</v>
      </c>
      <c r="G1727" s="96">
        <f t="shared" si="83"/>
        <v>1895400</v>
      </c>
      <c r="H1727" s="74"/>
      <c r="I1727" s="75">
        <f t="shared" si="84"/>
        <v>1895400</v>
      </c>
      <c r="J1727" s="75"/>
      <c r="K1727" s="3"/>
      <c r="O1727" s="9"/>
      <c r="S1727" s="3"/>
    </row>
    <row r="1728" spans="1:19" ht="15" customHeight="1" x14ac:dyDescent="0.35">
      <c r="A1728" s="26" t="s">
        <v>3641</v>
      </c>
      <c r="B1728" s="27" t="s">
        <v>3591</v>
      </c>
      <c r="C1728" s="28"/>
      <c r="D1728" s="29" t="s">
        <v>3635</v>
      </c>
      <c r="E1728" s="76">
        <v>1005000</v>
      </c>
      <c r="F1728" s="77">
        <f t="shared" si="82"/>
        <v>80400</v>
      </c>
      <c r="G1728" s="96">
        <f t="shared" si="83"/>
        <v>1085400</v>
      </c>
      <c r="H1728" s="74"/>
      <c r="I1728" s="75">
        <f t="shared" si="84"/>
        <v>1085400</v>
      </c>
      <c r="J1728" s="75"/>
      <c r="K1728" s="3"/>
      <c r="O1728" s="9"/>
      <c r="S1728" s="3"/>
    </row>
    <row r="1729" spans="1:19" ht="15" customHeight="1" x14ac:dyDescent="0.35">
      <c r="A1729" s="26" t="s">
        <v>3642</v>
      </c>
      <c r="B1729" s="27" t="s">
        <v>3592</v>
      </c>
      <c r="C1729" s="28"/>
      <c r="D1729" s="29" t="s">
        <v>3635</v>
      </c>
      <c r="E1729" s="76">
        <v>1995000</v>
      </c>
      <c r="F1729" s="77">
        <f t="shared" si="82"/>
        <v>159600</v>
      </c>
      <c r="G1729" s="96">
        <f t="shared" si="83"/>
        <v>2154600</v>
      </c>
      <c r="H1729" s="74"/>
      <c r="I1729" s="75">
        <f t="shared" si="84"/>
        <v>2154600</v>
      </c>
      <c r="J1729" s="75"/>
      <c r="K1729" s="3"/>
      <c r="O1729" s="9"/>
      <c r="S1729" s="3"/>
    </row>
    <row r="1730" spans="1:19" ht="15" customHeight="1" x14ac:dyDescent="0.35">
      <c r="A1730" s="26" t="s">
        <v>3643</v>
      </c>
      <c r="B1730" s="27" t="s">
        <v>3593</v>
      </c>
      <c r="C1730" s="28"/>
      <c r="D1730" s="29" t="s">
        <v>3635</v>
      </c>
      <c r="E1730" s="76">
        <v>4510000</v>
      </c>
      <c r="F1730" s="77">
        <f t="shared" si="82"/>
        <v>360800</v>
      </c>
      <c r="G1730" s="96">
        <f t="shared" si="83"/>
        <v>4870800</v>
      </c>
      <c r="H1730" s="74"/>
      <c r="I1730" s="75">
        <f t="shared" si="84"/>
        <v>4870800</v>
      </c>
      <c r="J1730" s="75"/>
      <c r="K1730" s="3"/>
      <c r="O1730" s="9"/>
      <c r="S1730" s="3"/>
    </row>
    <row r="1731" spans="1:19" ht="15" customHeight="1" x14ac:dyDescent="0.35">
      <c r="A1731" s="26" t="s">
        <v>3644</v>
      </c>
      <c r="B1731" s="27" t="s">
        <v>3594</v>
      </c>
      <c r="C1731" s="28"/>
      <c r="D1731" s="29" t="s">
        <v>3635</v>
      </c>
      <c r="E1731" s="76">
        <v>4635000</v>
      </c>
      <c r="F1731" s="77">
        <f t="shared" si="82"/>
        <v>370800</v>
      </c>
      <c r="G1731" s="96">
        <f t="shared" si="83"/>
        <v>5005800</v>
      </c>
      <c r="H1731" s="74"/>
      <c r="I1731" s="75">
        <f t="shared" si="84"/>
        <v>5005800</v>
      </c>
      <c r="J1731" s="75"/>
      <c r="K1731" s="3"/>
      <c r="O1731" s="9"/>
      <c r="S1731" s="3"/>
    </row>
    <row r="1732" spans="1:19" ht="15" customHeight="1" x14ac:dyDescent="0.35">
      <c r="A1732" s="26" t="s">
        <v>3645</v>
      </c>
      <c r="B1732" s="27" t="s">
        <v>3595</v>
      </c>
      <c r="C1732" s="28">
        <v>7233</v>
      </c>
      <c r="D1732" s="29">
        <v>46254</v>
      </c>
      <c r="E1732" s="76">
        <v>2774000</v>
      </c>
      <c r="F1732" s="77">
        <f t="shared" si="82"/>
        <v>221920</v>
      </c>
      <c r="G1732" s="96">
        <f t="shared" si="83"/>
        <v>2995920</v>
      </c>
      <c r="H1732" s="74"/>
      <c r="I1732" s="75">
        <f t="shared" si="84"/>
        <v>2995920</v>
      </c>
      <c r="J1732" s="75"/>
      <c r="K1732" s="3"/>
      <c r="O1732" s="9"/>
      <c r="S1732" s="3"/>
    </row>
    <row r="1733" spans="1:19" ht="15" customHeight="1" x14ac:dyDescent="0.35">
      <c r="A1733" s="26" t="s">
        <v>3646</v>
      </c>
      <c r="B1733" s="27" t="s">
        <v>3596</v>
      </c>
      <c r="C1733" s="28">
        <v>7234</v>
      </c>
      <c r="D1733" s="29">
        <v>46254</v>
      </c>
      <c r="E1733" s="76">
        <v>1861000</v>
      </c>
      <c r="F1733" s="77">
        <f t="shared" si="82"/>
        <v>148880</v>
      </c>
      <c r="G1733" s="96">
        <f t="shared" si="83"/>
        <v>2009880</v>
      </c>
      <c r="H1733" s="74"/>
      <c r="I1733" s="75">
        <f t="shared" si="84"/>
        <v>2009880</v>
      </c>
      <c r="J1733" s="75"/>
      <c r="K1733" s="3"/>
      <c r="O1733" s="9"/>
      <c r="S1733" s="3"/>
    </row>
    <row r="1734" spans="1:19" ht="15" customHeight="1" x14ac:dyDescent="0.35">
      <c r="A1734" s="26" t="s">
        <v>3647</v>
      </c>
      <c r="B1734" s="27" t="s">
        <v>3597</v>
      </c>
      <c r="C1734" s="28"/>
      <c r="D1734" s="29" t="s">
        <v>3635</v>
      </c>
      <c r="E1734" s="76">
        <v>960000</v>
      </c>
      <c r="F1734" s="77">
        <f t="shared" si="82"/>
        <v>76800</v>
      </c>
      <c r="G1734" s="96">
        <f t="shared" si="83"/>
        <v>1036800</v>
      </c>
      <c r="H1734" s="74"/>
      <c r="I1734" s="75">
        <f t="shared" si="84"/>
        <v>1036800</v>
      </c>
      <c r="J1734" s="75"/>
      <c r="K1734" s="3"/>
      <c r="O1734" s="9"/>
      <c r="S1734" s="3"/>
    </row>
    <row r="1735" spans="1:19" ht="15" customHeight="1" x14ac:dyDescent="0.35">
      <c r="A1735" s="26" t="s">
        <v>3648</v>
      </c>
      <c r="B1735" s="32" t="s">
        <v>3598</v>
      </c>
      <c r="C1735" s="28"/>
      <c r="D1735" s="29" t="s">
        <v>3635</v>
      </c>
      <c r="E1735" s="76">
        <v>3400000</v>
      </c>
      <c r="F1735" s="77">
        <f t="shared" si="82"/>
        <v>272000</v>
      </c>
      <c r="G1735" s="96">
        <f t="shared" si="83"/>
        <v>3672000</v>
      </c>
      <c r="H1735" s="74"/>
      <c r="I1735" s="75">
        <f t="shared" si="84"/>
        <v>3672000</v>
      </c>
      <c r="J1735" s="75"/>
      <c r="K1735" s="3"/>
      <c r="O1735" s="9"/>
      <c r="S1735" s="3"/>
    </row>
    <row r="1736" spans="1:19" ht="15" customHeight="1" x14ac:dyDescent="0.35">
      <c r="A1736" s="26" t="s">
        <v>3649</v>
      </c>
      <c r="B1736" s="32" t="s">
        <v>3599</v>
      </c>
      <c r="C1736" s="28"/>
      <c r="D1736" s="29" t="s">
        <v>3635</v>
      </c>
      <c r="E1736" s="76">
        <v>4845000</v>
      </c>
      <c r="F1736" s="77">
        <f t="shared" si="82"/>
        <v>387600</v>
      </c>
      <c r="G1736" s="96">
        <f t="shared" si="83"/>
        <v>5232600</v>
      </c>
      <c r="H1736" s="74"/>
      <c r="I1736" s="75">
        <f t="shared" si="84"/>
        <v>5232600</v>
      </c>
      <c r="J1736" s="75"/>
      <c r="K1736" s="3"/>
      <c r="O1736" s="9"/>
      <c r="S1736" s="3"/>
    </row>
    <row r="1737" spans="1:19" ht="15" customHeight="1" x14ac:dyDescent="0.35">
      <c r="A1737" s="26" t="s">
        <v>3650</v>
      </c>
      <c r="B1737" s="27" t="s">
        <v>3600</v>
      </c>
      <c r="C1737" s="28"/>
      <c r="D1737" s="29" t="s">
        <v>3635</v>
      </c>
      <c r="E1737" s="76">
        <v>11555000</v>
      </c>
      <c r="F1737" s="77">
        <f t="shared" si="82"/>
        <v>924400</v>
      </c>
      <c r="G1737" s="96">
        <f t="shared" si="83"/>
        <v>12479400</v>
      </c>
      <c r="H1737" s="74"/>
      <c r="I1737" s="75">
        <f t="shared" si="84"/>
        <v>12479400</v>
      </c>
      <c r="J1737" s="75"/>
      <c r="K1737" s="3"/>
      <c r="O1737" s="9"/>
      <c r="S1737" s="3"/>
    </row>
    <row r="1738" spans="1:19" ht="15" customHeight="1" x14ac:dyDescent="0.35">
      <c r="A1738" s="26" t="s">
        <v>3651</v>
      </c>
      <c r="B1738" s="27" t="s">
        <v>3601</v>
      </c>
      <c r="C1738" s="28"/>
      <c r="D1738" s="29" t="s">
        <v>3635</v>
      </c>
      <c r="E1738" s="76">
        <v>3810000</v>
      </c>
      <c r="F1738" s="77">
        <f t="shared" si="82"/>
        <v>304800</v>
      </c>
      <c r="G1738" s="96">
        <f t="shared" si="83"/>
        <v>4114800</v>
      </c>
      <c r="H1738" s="74"/>
      <c r="I1738" s="75">
        <f t="shared" si="84"/>
        <v>4114800</v>
      </c>
      <c r="J1738" s="75"/>
      <c r="K1738" s="3"/>
      <c r="O1738" s="9"/>
      <c r="S1738" s="3"/>
    </row>
    <row r="1739" spans="1:19" ht="15" customHeight="1" x14ac:dyDescent="0.35">
      <c r="A1739" s="26" t="s">
        <v>3652</v>
      </c>
      <c r="B1739" s="32" t="s">
        <v>3602</v>
      </c>
      <c r="C1739" s="28"/>
      <c r="D1739" s="29" t="s">
        <v>3635</v>
      </c>
      <c r="E1739" s="76">
        <v>1940000</v>
      </c>
      <c r="F1739" s="77">
        <f t="shared" si="82"/>
        <v>155200</v>
      </c>
      <c r="G1739" s="96">
        <f t="shared" si="83"/>
        <v>2095200</v>
      </c>
      <c r="H1739" s="74"/>
      <c r="I1739" s="75">
        <f t="shared" si="84"/>
        <v>2095200</v>
      </c>
      <c r="J1739" s="75"/>
      <c r="K1739" s="3"/>
      <c r="O1739" s="9"/>
      <c r="S1739" s="3"/>
    </row>
    <row r="1740" spans="1:19" ht="15" customHeight="1" x14ac:dyDescent="0.35">
      <c r="A1740" s="26" t="s">
        <v>3653</v>
      </c>
      <c r="B1740" s="27" t="s">
        <v>3603</v>
      </c>
      <c r="C1740" s="28"/>
      <c r="D1740" s="29" t="s">
        <v>3635</v>
      </c>
      <c r="E1740" s="76">
        <v>9225000</v>
      </c>
      <c r="F1740" s="77">
        <f t="shared" si="82"/>
        <v>738000</v>
      </c>
      <c r="G1740" s="96">
        <f t="shared" si="83"/>
        <v>9963000</v>
      </c>
      <c r="H1740" s="74"/>
      <c r="I1740" s="75">
        <f t="shared" si="84"/>
        <v>9963000</v>
      </c>
      <c r="J1740" s="75"/>
      <c r="K1740" s="3"/>
      <c r="O1740" s="9"/>
      <c r="S1740" s="3"/>
    </row>
    <row r="1741" spans="1:19" ht="15" customHeight="1" x14ac:dyDescent="0.35">
      <c r="A1741" s="26" t="s">
        <v>3654</v>
      </c>
      <c r="B1741" s="27" t="s">
        <v>3604</v>
      </c>
      <c r="C1741" s="28"/>
      <c r="D1741" s="29" t="s">
        <v>3635</v>
      </c>
      <c r="E1741" s="76">
        <v>960000</v>
      </c>
      <c r="F1741" s="77">
        <f t="shared" si="82"/>
        <v>76800</v>
      </c>
      <c r="G1741" s="96">
        <f t="shared" si="83"/>
        <v>1036800</v>
      </c>
      <c r="H1741" s="74"/>
      <c r="I1741" s="75">
        <f t="shared" si="84"/>
        <v>1036800</v>
      </c>
      <c r="J1741" s="75"/>
      <c r="K1741" s="3"/>
      <c r="O1741" s="9"/>
      <c r="S1741" s="3"/>
    </row>
    <row r="1742" spans="1:19" ht="15" customHeight="1" x14ac:dyDescent="0.35">
      <c r="A1742" s="26" t="s">
        <v>3655</v>
      </c>
      <c r="B1742" s="27" t="s">
        <v>3605</v>
      </c>
      <c r="C1742" s="28"/>
      <c r="D1742" s="29" t="s">
        <v>3635</v>
      </c>
      <c r="E1742" s="76">
        <v>1005000</v>
      </c>
      <c r="F1742" s="77">
        <f t="shared" si="82"/>
        <v>80400</v>
      </c>
      <c r="G1742" s="96">
        <f t="shared" si="83"/>
        <v>1085400</v>
      </c>
      <c r="H1742" s="74"/>
      <c r="I1742" s="75">
        <f t="shared" si="84"/>
        <v>1085400</v>
      </c>
      <c r="J1742" s="75"/>
      <c r="K1742" s="3"/>
      <c r="O1742" s="9"/>
      <c r="S1742" s="3"/>
    </row>
    <row r="1743" spans="1:19" ht="15" customHeight="1" x14ac:dyDescent="0.35">
      <c r="A1743" s="26" t="s">
        <v>3656</v>
      </c>
      <c r="B1743" s="27" t="s">
        <v>3606</v>
      </c>
      <c r="C1743" s="28"/>
      <c r="D1743" s="29" t="s">
        <v>3635</v>
      </c>
      <c r="E1743" s="76">
        <v>1005000</v>
      </c>
      <c r="F1743" s="77">
        <f t="shared" si="82"/>
        <v>80400</v>
      </c>
      <c r="G1743" s="96">
        <f t="shared" si="83"/>
        <v>1085400</v>
      </c>
      <c r="H1743" s="74"/>
      <c r="I1743" s="75">
        <f t="shared" si="84"/>
        <v>1085400</v>
      </c>
      <c r="J1743" s="75"/>
      <c r="K1743" s="3"/>
      <c r="O1743" s="9"/>
      <c r="S1743" s="3"/>
    </row>
    <row r="1744" spans="1:19" ht="15" customHeight="1" x14ac:dyDescent="0.35">
      <c r="A1744" s="26" t="s">
        <v>3657</v>
      </c>
      <c r="B1744" s="27" t="s">
        <v>3607</v>
      </c>
      <c r="C1744" s="28"/>
      <c r="D1744" s="29" t="s">
        <v>3635</v>
      </c>
      <c r="E1744" s="76">
        <v>1005000</v>
      </c>
      <c r="F1744" s="77">
        <f t="shared" si="82"/>
        <v>80400</v>
      </c>
      <c r="G1744" s="96">
        <f t="shared" si="83"/>
        <v>1085400</v>
      </c>
      <c r="H1744" s="74"/>
      <c r="I1744" s="75">
        <f t="shared" si="84"/>
        <v>1085400</v>
      </c>
      <c r="J1744" s="75"/>
      <c r="K1744" s="3"/>
      <c r="O1744" s="9"/>
      <c r="S1744" s="3"/>
    </row>
    <row r="1745" spans="1:19" ht="15" customHeight="1" x14ac:dyDescent="0.35">
      <c r="A1745" s="26" t="s">
        <v>3658</v>
      </c>
      <c r="B1745" s="27" t="s">
        <v>3608</v>
      </c>
      <c r="C1745" s="28"/>
      <c r="D1745" s="29" t="s">
        <v>3635</v>
      </c>
      <c r="E1745" s="76">
        <v>1005000</v>
      </c>
      <c r="F1745" s="77">
        <f t="shared" si="82"/>
        <v>80400</v>
      </c>
      <c r="G1745" s="96">
        <f t="shared" si="83"/>
        <v>1085400</v>
      </c>
      <c r="H1745" s="74"/>
      <c r="I1745" s="75">
        <f t="shared" si="84"/>
        <v>1085400</v>
      </c>
      <c r="J1745" s="75"/>
      <c r="K1745" s="3"/>
      <c r="O1745" s="9"/>
      <c r="S1745" s="3"/>
    </row>
    <row r="1746" spans="1:19" ht="15" customHeight="1" x14ac:dyDescent="0.35">
      <c r="A1746" s="26" t="s">
        <v>3659</v>
      </c>
      <c r="B1746" s="27" t="s">
        <v>3609</v>
      </c>
      <c r="C1746" s="28"/>
      <c r="D1746" s="29" t="s">
        <v>3635</v>
      </c>
      <c r="E1746" s="76">
        <v>10590000</v>
      </c>
      <c r="F1746" s="77">
        <f t="shared" si="82"/>
        <v>847200</v>
      </c>
      <c r="G1746" s="96">
        <f t="shared" si="83"/>
        <v>11437200</v>
      </c>
      <c r="H1746" s="74"/>
      <c r="I1746" s="75">
        <f t="shared" si="84"/>
        <v>11437200</v>
      </c>
      <c r="J1746" s="75"/>
      <c r="K1746" s="3"/>
      <c r="O1746" s="9"/>
      <c r="S1746" s="3"/>
    </row>
    <row r="1747" spans="1:19" ht="15" customHeight="1" x14ac:dyDescent="0.35">
      <c r="A1747" s="26" t="s">
        <v>3660</v>
      </c>
      <c r="B1747" s="27" t="s">
        <v>3610</v>
      </c>
      <c r="C1747" s="28"/>
      <c r="D1747" s="29" t="s">
        <v>3635</v>
      </c>
      <c r="E1747" s="76">
        <v>990000</v>
      </c>
      <c r="F1747" s="77">
        <f t="shared" si="82"/>
        <v>79200</v>
      </c>
      <c r="G1747" s="96">
        <f t="shared" si="83"/>
        <v>1069200</v>
      </c>
      <c r="H1747" s="74"/>
      <c r="I1747" s="75">
        <f t="shared" si="84"/>
        <v>1069200</v>
      </c>
      <c r="J1747" s="75"/>
      <c r="K1747" s="3"/>
      <c r="O1747" s="9"/>
      <c r="S1747" s="3"/>
    </row>
    <row r="1748" spans="1:19" ht="15" customHeight="1" x14ac:dyDescent="0.35">
      <c r="A1748" s="26" t="s">
        <v>3661</v>
      </c>
      <c r="B1748" s="32" t="s">
        <v>3611</v>
      </c>
      <c r="C1748" s="28"/>
      <c r="D1748" s="29" t="s">
        <v>3635</v>
      </c>
      <c r="E1748" s="76">
        <v>6925000</v>
      </c>
      <c r="F1748" s="77">
        <f t="shared" si="82"/>
        <v>554000</v>
      </c>
      <c r="G1748" s="96">
        <f t="shared" si="83"/>
        <v>7479000</v>
      </c>
      <c r="H1748" s="74"/>
      <c r="I1748" s="75">
        <f t="shared" si="84"/>
        <v>7479000</v>
      </c>
      <c r="J1748" s="75"/>
      <c r="K1748" s="3"/>
      <c r="O1748" s="9"/>
      <c r="S1748" s="3"/>
    </row>
    <row r="1749" spans="1:19" ht="15" customHeight="1" x14ac:dyDescent="0.35">
      <c r="A1749" s="26" t="s">
        <v>3662</v>
      </c>
      <c r="B1749" s="27" t="s">
        <v>3612</v>
      </c>
      <c r="C1749" s="28"/>
      <c r="D1749" s="29" t="s">
        <v>3635</v>
      </c>
      <c r="E1749" s="76">
        <v>990000</v>
      </c>
      <c r="F1749" s="77">
        <f t="shared" si="82"/>
        <v>79200</v>
      </c>
      <c r="G1749" s="96">
        <f t="shared" si="83"/>
        <v>1069200</v>
      </c>
      <c r="H1749" s="74"/>
      <c r="I1749" s="75">
        <f t="shared" si="84"/>
        <v>1069200</v>
      </c>
      <c r="J1749" s="75"/>
      <c r="K1749" s="3"/>
      <c r="O1749" s="9"/>
      <c r="S1749" s="3"/>
    </row>
    <row r="1750" spans="1:19" ht="15" customHeight="1" x14ac:dyDescent="0.35">
      <c r="A1750" s="26" t="s">
        <v>3663</v>
      </c>
      <c r="B1750" s="32" t="s">
        <v>3613</v>
      </c>
      <c r="C1750" s="28"/>
      <c r="D1750" s="29" t="s">
        <v>3635</v>
      </c>
      <c r="E1750" s="76">
        <v>1540000</v>
      </c>
      <c r="F1750" s="77">
        <f t="shared" si="82"/>
        <v>123200</v>
      </c>
      <c r="G1750" s="96">
        <f t="shared" si="83"/>
        <v>1663200</v>
      </c>
      <c r="H1750" s="74"/>
      <c r="I1750" s="75">
        <f t="shared" si="84"/>
        <v>1663200</v>
      </c>
      <c r="J1750" s="75"/>
      <c r="K1750" s="3"/>
      <c r="O1750" s="9"/>
      <c r="S1750" s="3"/>
    </row>
    <row r="1751" spans="1:19" ht="15" customHeight="1" x14ac:dyDescent="0.35">
      <c r="A1751" s="26" t="s">
        <v>3664</v>
      </c>
      <c r="B1751" s="27" t="s">
        <v>3614</v>
      </c>
      <c r="C1751" s="28"/>
      <c r="D1751" s="29" t="s">
        <v>3635</v>
      </c>
      <c r="E1751" s="76">
        <v>1920000</v>
      </c>
      <c r="F1751" s="77">
        <f t="shared" si="82"/>
        <v>153600</v>
      </c>
      <c r="G1751" s="96">
        <f t="shared" si="83"/>
        <v>2073600</v>
      </c>
      <c r="H1751" s="74"/>
      <c r="I1751" s="75">
        <f t="shared" si="84"/>
        <v>2073600</v>
      </c>
      <c r="J1751" s="75"/>
      <c r="K1751" s="3"/>
      <c r="O1751" s="9"/>
      <c r="S1751" s="3"/>
    </row>
    <row r="1752" spans="1:19" ht="15" customHeight="1" x14ac:dyDescent="0.35">
      <c r="A1752" s="26" t="s">
        <v>3665</v>
      </c>
      <c r="B1752" s="32" t="s">
        <v>3615</v>
      </c>
      <c r="C1752" s="28"/>
      <c r="D1752" s="29" t="s">
        <v>3635</v>
      </c>
      <c r="E1752" s="76">
        <v>7905000</v>
      </c>
      <c r="F1752" s="77">
        <f t="shared" si="82"/>
        <v>632400</v>
      </c>
      <c r="G1752" s="96">
        <f t="shared" si="83"/>
        <v>8537400</v>
      </c>
      <c r="H1752" s="74"/>
      <c r="I1752" s="75">
        <f t="shared" si="84"/>
        <v>8537400</v>
      </c>
      <c r="J1752" s="75"/>
      <c r="K1752" s="3"/>
      <c r="O1752" s="9"/>
      <c r="S1752" s="3"/>
    </row>
    <row r="1753" spans="1:19" ht="15" customHeight="1" x14ac:dyDescent="0.35">
      <c r="A1753" s="26" t="s">
        <v>3666</v>
      </c>
      <c r="B1753" s="27" t="s">
        <v>3616</v>
      </c>
      <c r="C1753" s="28"/>
      <c r="D1753" s="29" t="s">
        <v>3635</v>
      </c>
      <c r="E1753" s="76">
        <v>4995000</v>
      </c>
      <c r="F1753" s="77">
        <f t="shared" si="82"/>
        <v>399600</v>
      </c>
      <c r="G1753" s="96">
        <f t="shared" si="83"/>
        <v>5394600</v>
      </c>
      <c r="H1753" s="74"/>
      <c r="I1753" s="75">
        <f t="shared" si="84"/>
        <v>5394600</v>
      </c>
      <c r="J1753" s="75"/>
      <c r="K1753" s="3"/>
      <c r="O1753" s="9"/>
      <c r="S1753" s="3"/>
    </row>
    <row r="1754" spans="1:19" ht="15" customHeight="1" x14ac:dyDescent="0.35">
      <c r="A1754" s="26" t="s">
        <v>3667</v>
      </c>
      <c r="B1754" s="27" t="s">
        <v>3617</v>
      </c>
      <c r="C1754" s="28">
        <v>7225</v>
      </c>
      <c r="D1754" s="29">
        <v>46254</v>
      </c>
      <c r="E1754" s="76">
        <v>6896500</v>
      </c>
      <c r="F1754" s="77">
        <f t="shared" si="82"/>
        <v>551720</v>
      </c>
      <c r="G1754" s="96">
        <f t="shared" si="83"/>
        <v>7448220</v>
      </c>
      <c r="H1754" s="74"/>
      <c r="I1754" s="75">
        <f t="shared" si="84"/>
        <v>7448220</v>
      </c>
      <c r="J1754" s="75"/>
      <c r="K1754" s="3"/>
      <c r="O1754" s="9"/>
      <c r="S1754" s="3"/>
    </row>
    <row r="1755" spans="1:19" ht="15" customHeight="1" x14ac:dyDescent="0.35">
      <c r="A1755" s="26" t="s">
        <v>3668</v>
      </c>
      <c r="B1755" s="32" t="s">
        <v>3618</v>
      </c>
      <c r="C1755" s="28"/>
      <c r="D1755" s="29" t="s">
        <v>3635</v>
      </c>
      <c r="E1755" s="76">
        <v>2700000</v>
      </c>
      <c r="F1755" s="77">
        <f t="shared" si="82"/>
        <v>216000</v>
      </c>
      <c r="G1755" s="96">
        <f t="shared" si="83"/>
        <v>2916000</v>
      </c>
      <c r="H1755" s="74"/>
      <c r="I1755" s="75">
        <f t="shared" si="84"/>
        <v>2916000</v>
      </c>
      <c r="J1755" s="75"/>
      <c r="K1755" s="3"/>
      <c r="O1755" s="9"/>
      <c r="S1755" s="3"/>
    </row>
    <row r="1756" spans="1:19" ht="15" customHeight="1" x14ac:dyDescent="0.35">
      <c r="A1756" s="26" t="s">
        <v>3669</v>
      </c>
      <c r="B1756" s="27" t="s">
        <v>3619</v>
      </c>
      <c r="C1756" s="28"/>
      <c r="D1756" s="29" t="s">
        <v>3635</v>
      </c>
      <c r="E1756" s="76">
        <v>990000</v>
      </c>
      <c r="F1756" s="77">
        <f t="shared" ref="F1756:F1819" si="85">+E1756*0.08</f>
        <v>79200</v>
      </c>
      <c r="G1756" s="96">
        <f t="shared" ref="G1756:G1819" si="86">+F1756+E1756</f>
        <v>1069200</v>
      </c>
      <c r="H1756" s="74"/>
      <c r="I1756" s="75">
        <f t="shared" ref="I1756:I1819" si="87">G1756-H1756</f>
        <v>1069200</v>
      </c>
      <c r="J1756" s="75"/>
      <c r="K1756" s="3"/>
      <c r="O1756" s="9"/>
      <c r="S1756" s="3"/>
    </row>
    <row r="1757" spans="1:19" ht="15" customHeight="1" x14ac:dyDescent="0.35">
      <c r="A1757" s="26" t="s">
        <v>3670</v>
      </c>
      <c r="B1757" s="27" t="s">
        <v>3620</v>
      </c>
      <c r="C1757" s="28"/>
      <c r="D1757" s="29" t="s">
        <v>3635</v>
      </c>
      <c r="E1757" s="76">
        <v>1005000</v>
      </c>
      <c r="F1757" s="77">
        <f t="shared" si="85"/>
        <v>80400</v>
      </c>
      <c r="G1757" s="96">
        <f t="shared" si="86"/>
        <v>1085400</v>
      </c>
      <c r="H1757" s="74"/>
      <c r="I1757" s="75">
        <f t="shared" si="87"/>
        <v>1085400</v>
      </c>
      <c r="J1757" s="75"/>
      <c r="K1757" s="3"/>
      <c r="O1757" s="9"/>
      <c r="S1757" s="3"/>
    </row>
    <row r="1758" spans="1:19" ht="15" customHeight="1" x14ac:dyDescent="0.35">
      <c r="A1758" s="26" t="s">
        <v>3671</v>
      </c>
      <c r="B1758" s="27" t="s">
        <v>3621</v>
      </c>
      <c r="C1758" s="28"/>
      <c r="D1758" s="29" t="s">
        <v>3635</v>
      </c>
      <c r="E1758" s="76">
        <v>1710000</v>
      </c>
      <c r="F1758" s="77">
        <f t="shared" si="85"/>
        <v>136800</v>
      </c>
      <c r="G1758" s="96">
        <f t="shared" si="86"/>
        <v>1846800</v>
      </c>
      <c r="H1758" s="74"/>
      <c r="I1758" s="75">
        <f t="shared" si="87"/>
        <v>1846800</v>
      </c>
      <c r="J1758" s="75"/>
      <c r="K1758" s="3"/>
      <c r="O1758" s="9"/>
      <c r="S1758" s="3"/>
    </row>
    <row r="1759" spans="1:19" ht="15" customHeight="1" x14ac:dyDescent="0.35">
      <c r="A1759" s="26" t="s">
        <v>3672</v>
      </c>
      <c r="B1759" s="32" t="s">
        <v>3622</v>
      </c>
      <c r="C1759" s="28"/>
      <c r="D1759" s="29" t="s">
        <v>3635</v>
      </c>
      <c r="E1759" s="76">
        <v>11215000</v>
      </c>
      <c r="F1759" s="77">
        <f t="shared" si="85"/>
        <v>897200</v>
      </c>
      <c r="G1759" s="96">
        <f t="shared" si="86"/>
        <v>12112200</v>
      </c>
      <c r="H1759" s="74"/>
      <c r="I1759" s="75">
        <f t="shared" si="87"/>
        <v>12112200</v>
      </c>
      <c r="J1759" s="75"/>
      <c r="K1759" s="3"/>
      <c r="O1759" s="9"/>
      <c r="S1759" s="3"/>
    </row>
    <row r="1760" spans="1:19" ht="15" customHeight="1" x14ac:dyDescent="0.35">
      <c r="A1760" s="26" t="s">
        <v>3673</v>
      </c>
      <c r="B1760" s="27" t="s">
        <v>3623</v>
      </c>
      <c r="C1760" s="28">
        <v>7230</v>
      </c>
      <c r="D1760" s="29">
        <v>46254</v>
      </c>
      <c r="E1760" s="76">
        <v>3660000</v>
      </c>
      <c r="F1760" s="77">
        <f t="shared" si="85"/>
        <v>292800</v>
      </c>
      <c r="G1760" s="96">
        <f t="shared" si="86"/>
        <v>3952800</v>
      </c>
      <c r="H1760" s="74"/>
      <c r="I1760" s="75">
        <f t="shared" si="87"/>
        <v>3952800</v>
      </c>
      <c r="J1760" s="75"/>
      <c r="K1760" s="3"/>
      <c r="O1760" s="9"/>
      <c r="S1760" s="3"/>
    </row>
    <row r="1761" spans="1:19" ht="15" customHeight="1" x14ac:dyDescent="0.35">
      <c r="A1761" s="26" t="s">
        <v>3674</v>
      </c>
      <c r="B1761" s="27" t="s">
        <v>3624</v>
      </c>
      <c r="C1761" s="28"/>
      <c r="D1761" s="29" t="s">
        <v>3635</v>
      </c>
      <c r="E1761" s="76">
        <v>990000</v>
      </c>
      <c r="F1761" s="77">
        <f t="shared" si="85"/>
        <v>79200</v>
      </c>
      <c r="G1761" s="96">
        <f t="shared" si="86"/>
        <v>1069200</v>
      </c>
      <c r="H1761" s="74"/>
      <c r="I1761" s="75">
        <f t="shared" si="87"/>
        <v>1069200</v>
      </c>
      <c r="J1761" s="75"/>
      <c r="K1761" s="3"/>
      <c r="O1761" s="9"/>
      <c r="S1761" s="3"/>
    </row>
    <row r="1762" spans="1:19" ht="15" customHeight="1" x14ac:dyDescent="0.35">
      <c r="A1762" s="26" t="s">
        <v>3675</v>
      </c>
      <c r="B1762" s="27" t="s">
        <v>3625</v>
      </c>
      <c r="C1762" s="28"/>
      <c r="D1762" s="29" t="s">
        <v>3636</v>
      </c>
      <c r="E1762" s="76">
        <v>840000</v>
      </c>
      <c r="F1762" s="77">
        <f t="shared" si="85"/>
        <v>67200</v>
      </c>
      <c r="G1762" s="96">
        <f t="shared" si="86"/>
        <v>907200</v>
      </c>
      <c r="H1762" s="74"/>
      <c r="I1762" s="75">
        <f t="shared" si="87"/>
        <v>907200</v>
      </c>
      <c r="J1762" s="75"/>
      <c r="K1762" s="3"/>
      <c r="O1762" s="9"/>
      <c r="S1762" s="3"/>
    </row>
    <row r="1763" spans="1:19" ht="15" customHeight="1" x14ac:dyDescent="0.35">
      <c r="A1763" s="26" t="s">
        <v>3676</v>
      </c>
      <c r="B1763" s="27" t="s">
        <v>3626</v>
      </c>
      <c r="C1763" s="28"/>
      <c r="D1763" s="29" t="s">
        <v>3637</v>
      </c>
      <c r="E1763" s="76">
        <v>900000</v>
      </c>
      <c r="F1763" s="77">
        <f t="shared" si="85"/>
        <v>72000</v>
      </c>
      <c r="G1763" s="96">
        <f t="shared" si="86"/>
        <v>972000</v>
      </c>
      <c r="H1763" s="74"/>
      <c r="I1763" s="75">
        <f t="shared" si="87"/>
        <v>972000</v>
      </c>
      <c r="J1763" s="75"/>
      <c r="K1763" s="3"/>
      <c r="O1763" s="9"/>
      <c r="S1763" s="3"/>
    </row>
    <row r="1764" spans="1:19" ht="15" customHeight="1" x14ac:dyDescent="0.35">
      <c r="A1764" s="26" t="s">
        <v>3677</v>
      </c>
      <c r="B1764" s="27" t="s">
        <v>3627</v>
      </c>
      <c r="C1764" s="28">
        <v>7232</v>
      </c>
      <c r="D1764" s="29">
        <v>46254</v>
      </c>
      <c r="E1764" s="76">
        <v>2700000</v>
      </c>
      <c r="F1764" s="77">
        <f t="shared" si="85"/>
        <v>216000</v>
      </c>
      <c r="G1764" s="96">
        <f t="shared" si="86"/>
        <v>2916000</v>
      </c>
      <c r="H1764" s="74"/>
      <c r="I1764" s="75">
        <f t="shared" si="87"/>
        <v>2916000</v>
      </c>
      <c r="J1764" s="75"/>
      <c r="K1764" s="3"/>
      <c r="O1764" s="9"/>
      <c r="S1764" s="3"/>
    </row>
    <row r="1765" spans="1:19" ht="15" customHeight="1" x14ac:dyDescent="0.35">
      <c r="A1765" s="26" t="s">
        <v>3678</v>
      </c>
      <c r="B1765" s="27" t="s">
        <v>3628</v>
      </c>
      <c r="C1765" s="28"/>
      <c r="D1765" s="29" t="s">
        <v>3637</v>
      </c>
      <c r="E1765" s="76">
        <v>3045000</v>
      </c>
      <c r="F1765" s="77">
        <f t="shared" si="85"/>
        <v>243600</v>
      </c>
      <c r="G1765" s="96">
        <f t="shared" si="86"/>
        <v>3288600</v>
      </c>
      <c r="H1765" s="74"/>
      <c r="I1765" s="75">
        <f t="shared" si="87"/>
        <v>3288600</v>
      </c>
      <c r="J1765" s="75"/>
      <c r="K1765" s="3"/>
      <c r="O1765" s="9"/>
      <c r="S1765" s="3"/>
    </row>
    <row r="1766" spans="1:19" ht="15" customHeight="1" x14ac:dyDescent="0.35">
      <c r="A1766" s="26" t="s">
        <v>3679</v>
      </c>
      <c r="B1766" s="27" t="s">
        <v>3629</v>
      </c>
      <c r="C1766" s="28"/>
      <c r="D1766" s="29" t="s">
        <v>3637</v>
      </c>
      <c r="E1766" s="76">
        <v>2452800</v>
      </c>
      <c r="F1766" s="77">
        <f t="shared" si="85"/>
        <v>196224</v>
      </c>
      <c r="G1766" s="96">
        <f t="shared" si="86"/>
        <v>2649024</v>
      </c>
      <c r="H1766" s="74"/>
      <c r="I1766" s="75">
        <f t="shared" si="87"/>
        <v>2649024</v>
      </c>
      <c r="J1766" s="75"/>
      <c r="K1766" s="3"/>
      <c r="O1766" s="9"/>
      <c r="S1766" s="3"/>
    </row>
    <row r="1767" spans="1:19" ht="15" customHeight="1" x14ac:dyDescent="0.35">
      <c r="A1767" s="26" t="s">
        <v>3680</v>
      </c>
      <c r="B1767" s="27" t="s">
        <v>3630</v>
      </c>
      <c r="C1767" s="28"/>
      <c r="D1767" s="29" t="s">
        <v>3637</v>
      </c>
      <c r="E1767" s="76">
        <v>840000</v>
      </c>
      <c r="F1767" s="77">
        <f t="shared" si="85"/>
        <v>67200</v>
      </c>
      <c r="G1767" s="96">
        <f t="shared" si="86"/>
        <v>907200</v>
      </c>
      <c r="H1767" s="74"/>
      <c r="I1767" s="75">
        <f t="shared" si="87"/>
        <v>907200</v>
      </c>
      <c r="J1767" s="75"/>
      <c r="K1767" s="3"/>
      <c r="O1767" s="9"/>
      <c r="S1767" s="3"/>
    </row>
    <row r="1768" spans="1:19" ht="15" customHeight="1" x14ac:dyDescent="0.35">
      <c r="A1768" s="26" t="s">
        <v>3681</v>
      </c>
      <c r="B1768" s="27" t="s">
        <v>3631</v>
      </c>
      <c r="C1768" s="28"/>
      <c r="D1768" s="29" t="s">
        <v>3637</v>
      </c>
      <c r="E1768" s="76">
        <v>2452800</v>
      </c>
      <c r="F1768" s="77">
        <f t="shared" si="85"/>
        <v>196224</v>
      </c>
      <c r="G1768" s="96">
        <f t="shared" si="86"/>
        <v>2649024</v>
      </c>
      <c r="H1768" s="74"/>
      <c r="I1768" s="75">
        <f t="shared" si="87"/>
        <v>2649024</v>
      </c>
      <c r="J1768" s="75"/>
      <c r="K1768" s="3"/>
      <c r="O1768" s="9"/>
      <c r="S1768" s="3"/>
    </row>
    <row r="1769" spans="1:19" ht="15" customHeight="1" x14ac:dyDescent="0.35">
      <c r="A1769" s="26" t="s">
        <v>3682</v>
      </c>
      <c r="B1769" s="27" t="s">
        <v>3632</v>
      </c>
      <c r="C1769" s="28"/>
      <c r="D1769" s="29" t="s">
        <v>3637</v>
      </c>
      <c r="E1769" s="76">
        <v>840000</v>
      </c>
      <c r="F1769" s="77">
        <f t="shared" si="85"/>
        <v>67200</v>
      </c>
      <c r="G1769" s="96">
        <f t="shared" si="86"/>
        <v>907200</v>
      </c>
      <c r="H1769" s="74"/>
      <c r="I1769" s="75">
        <f t="shared" si="87"/>
        <v>907200</v>
      </c>
      <c r="J1769" s="75"/>
      <c r="K1769" s="3"/>
      <c r="O1769" s="9"/>
      <c r="S1769" s="3"/>
    </row>
    <row r="1770" spans="1:19" ht="15" customHeight="1" x14ac:dyDescent="0.35">
      <c r="A1770" s="26" t="s">
        <v>3683</v>
      </c>
      <c r="B1770" s="27" t="s">
        <v>3633</v>
      </c>
      <c r="C1770" s="28"/>
      <c r="D1770" s="29" t="s">
        <v>3637</v>
      </c>
      <c r="E1770" s="76">
        <v>840000</v>
      </c>
      <c r="F1770" s="77">
        <f t="shared" si="85"/>
        <v>67200</v>
      </c>
      <c r="G1770" s="96">
        <f t="shared" si="86"/>
        <v>907200</v>
      </c>
      <c r="H1770" s="74"/>
      <c r="I1770" s="75">
        <f t="shared" si="87"/>
        <v>907200</v>
      </c>
      <c r="J1770" s="75"/>
      <c r="K1770" s="3"/>
      <c r="O1770" s="9"/>
      <c r="S1770" s="3"/>
    </row>
    <row r="1771" spans="1:19" ht="15" customHeight="1" x14ac:dyDescent="0.35">
      <c r="A1771" s="26" t="s">
        <v>3684</v>
      </c>
      <c r="B1771" s="27" t="s">
        <v>3634</v>
      </c>
      <c r="C1771" s="28"/>
      <c r="D1771" s="29" t="s">
        <v>3637</v>
      </c>
      <c r="E1771" s="76">
        <v>2452800</v>
      </c>
      <c r="F1771" s="77">
        <f t="shared" si="85"/>
        <v>196224</v>
      </c>
      <c r="G1771" s="96">
        <f t="shared" si="86"/>
        <v>2649024</v>
      </c>
      <c r="H1771" s="74"/>
      <c r="I1771" s="75">
        <f t="shared" si="87"/>
        <v>2649024</v>
      </c>
      <c r="J1771" s="75"/>
      <c r="K1771" s="3"/>
      <c r="O1771" s="9"/>
      <c r="S1771" s="3"/>
    </row>
    <row r="1772" spans="1:19" ht="15" customHeight="1" x14ac:dyDescent="0.35">
      <c r="A1772" s="26" t="s">
        <v>3750</v>
      </c>
      <c r="B1772" s="27" t="s">
        <v>3695</v>
      </c>
      <c r="C1772" s="28"/>
      <c r="D1772" s="29" t="s">
        <v>3748</v>
      </c>
      <c r="E1772" s="76">
        <v>840000</v>
      </c>
      <c r="F1772" s="77">
        <f t="shared" si="85"/>
        <v>67200</v>
      </c>
      <c r="G1772" s="96">
        <f t="shared" si="86"/>
        <v>907200</v>
      </c>
      <c r="H1772" s="74"/>
      <c r="I1772" s="75">
        <f t="shared" si="87"/>
        <v>907200</v>
      </c>
      <c r="J1772" s="75"/>
      <c r="K1772" s="3"/>
      <c r="O1772" s="9"/>
      <c r="S1772" s="3"/>
    </row>
    <row r="1773" spans="1:19" ht="15" customHeight="1" x14ac:dyDescent="0.35">
      <c r="A1773" s="26" t="s">
        <v>3751</v>
      </c>
      <c r="B1773" s="27" t="s">
        <v>3696</v>
      </c>
      <c r="C1773" s="28"/>
      <c r="D1773" s="29" t="s">
        <v>3748</v>
      </c>
      <c r="E1773" s="76">
        <v>1612800</v>
      </c>
      <c r="F1773" s="77">
        <f t="shared" si="85"/>
        <v>129024</v>
      </c>
      <c r="G1773" s="96">
        <f t="shared" si="86"/>
        <v>1741824</v>
      </c>
      <c r="H1773" s="74"/>
      <c r="I1773" s="75">
        <f t="shared" si="87"/>
        <v>1741824</v>
      </c>
      <c r="J1773" s="75"/>
      <c r="K1773" s="3"/>
      <c r="O1773" s="9"/>
      <c r="S1773" s="3"/>
    </row>
    <row r="1774" spans="1:19" ht="15" customHeight="1" x14ac:dyDescent="0.35">
      <c r="A1774" s="26" t="s">
        <v>3752</v>
      </c>
      <c r="B1774" s="27" t="s">
        <v>3697</v>
      </c>
      <c r="C1774" s="28"/>
      <c r="D1774" s="29" t="s">
        <v>3748</v>
      </c>
      <c r="E1774" s="76">
        <v>840000</v>
      </c>
      <c r="F1774" s="77">
        <f t="shared" si="85"/>
        <v>67200</v>
      </c>
      <c r="G1774" s="96">
        <f t="shared" si="86"/>
        <v>907200</v>
      </c>
      <c r="H1774" s="74"/>
      <c r="I1774" s="75">
        <f t="shared" si="87"/>
        <v>907200</v>
      </c>
      <c r="J1774" s="75"/>
      <c r="K1774" s="3"/>
      <c r="O1774" s="9"/>
      <c r="S1774" s="3"/>
    </row>
    <row r="1775" spans="1:19" ht="15" customHeight="1" x14ac:dyDescent="0.35">
      <c r="A1775" s="26" t="s">
        <v>3753</v>
      </c>
      <c r="B1775" s="27" t="s">
        <v>3698</v>
      </c>
      <c r="C1775" s="28"/>
      <c r="D1775" s="29" t="s">
        <v>3748</v>
      </c>
      <c r="E1775" s="76">
        <v>840000</v>
      </c>
      <c r="F1775" s="77">
        <f t="shared" si="85"/>
        <v>67200</v>
      </c>
      <c r="G1775" s="96">
        <f t="shared" si="86"/>
        <v>907200</v>
      </c>
      <c r="H1775" s="74"/>
      <c r="I1775" s="75">
        <f t="shared" si="87"/>
        <v>907200</v>
      </c>
      <c r="J1775" s="75"/>
      <c r="K1775" s="3"/>
      <c r="O1775" s="9"/>
      <c r="S1775" s="3"/>
    </row>
    <row r="1776" spans="1:19" ht="15" customHeight="1" x14ac:dyDescent="0.35">
      <c r="A1776" s="26" t="s">
        <v>3754</v>
      </c>
      <c r="B1776" s="27" t="s">
        <v>3699</v>
      </c>
      <c r="C1776" s="28"/>
      <c r="D1776" s="29" t="s">
        <v>3748</v>
      </c>
      <c r="E1776" s="76">
        <v>840000</v>
      </c>
      <c r="F1776" s="77">
        <f t="shared" si="85"/>
        <v>67200</v>
      </c>
      <c r="G1776" s="96">
        <f t="shared" si="86"/>
        <v>907200</v>
      </c>
      <c r="H1776" s="74"/>
      <c r="I1776" s="75">
        <f t="shared" si="87"/>
        <v>907200</v>
      </c>
      <c r="J1776" s="75"/>
      <c r="K1776" s="3"/>
      <c r="O1776" s="9"/>
      <c r="S1776" s="3"/>
    </row>
    <row r="1777" spans="1:19" ht="15" customHeight="1" x14ac:dyDescent="0.35">
      <c r="A1777" s="26" t="s">
        <v>3755</v>
      </c>
      <c r="B1777" s="27" t="s">
        <v>3700</v>
      </c>
      <c r="C1777" s="28"/>
      <c r="D1777" s="29" t="s">
        <v>3748</v>
      </c>
      <c r="E1777" s="76">
        <v>2452800</v>
      </c>
      <c r="F1777" s="77">
        <f t="shared" si="85"/>
        <v>196224</v>
      </c>
      <c r="G1777" s="96">
        <f t="shared" si="86"/>
        <v>2649024</v>
      </c>
      <c r="H1777" s="74"/>
      <c r="I1777" s="75">
        <f t="shared" si="87"/>
        <v>2649024</v>
      </c>
      <c r="J1777" s="75"/>
      <c r="K1777" s="3"/>
      <c r="O1777" s="9"/>
      <c r="S1777" s="3"/>
    </row>
    <row r="1778" spans="1:19" ht="15" customHeight="1" x14ac:dyDescent="0.35">
      <c r="A1778" s="26" t="s">
        <v>3756</v>
      </c>
      <c r="B1778" s="27" t="s">
        <v>3701</v>
      </c>
      <c r="C1778" s="28"/>
      <c r="D1778" s="29" t="s">
        <v>3748</v>
      </c>
      <c r="E1778" s="76">
        <v>1612800</v>
      </c>
      <c r="F1778" s="77">
        <f t="shared" si="85"/>
        <v>129024</v>
      </c>
      <c r="G1778" s="96">
        <f t="shared" si="86"/>
        <v>1741824</v>
      </c>
      <c r="H1778" s="74"/>
      <c r="I1778" s="75">
        <f t="shared" si="87"/>
        <v>1741824</v>
      </c>
      <c r="J1778" s="75"/>
      <c r="K1778" s="3"/>
      <c r="O1778" s="9"/>
      <c r="S1778" s="3"/>
    </row>
    <row r="1779" spans="1:19" ht="15" customHeight="1" x14ac:dyDescent="0.35">
      <c r="A1779" s="26" t="s">
        <v>3757</v>
      </c>
      <c r="B1779" s="27" t="s">
        <v>3702</v>
      </c>
      <c r="C1779" s="28"/>
      <c r="D1779" s="29" t="s">
        <v>3748</v>
      </c>
      <c r="E1779" s="76">
        <v>3225600</v>
      </c>
      <c r="F1779" s="77">
        <f t="shared" si="85"/>
        <v>258048</v>
      </c>
      <c r="G1779" s="96">
        <f t="shared" si="86"/>
        <v>3483648</v>
      </c>
      <c r="H1779" s="74"/>
      <c r="I1779" s="75">
        <f t="shared" si="87"/>
        <v>3483648</v>
      </c>
      <c r="J1779" s="75"/>
      <c r="K1779" s="3"/>
      <c r="O1779" s="9"/>
      <c r="S1779" s="3"/>
    </row>
    <row r="1780" spans="1:19" ht="15" customHeight="1" x14ac:dyDescent="0.35">
      <c r="A1780" s="26" t="s">
        <v>3758</v>
      </c>
      <c r="B1780" s="27" t="s">
        <v>3703</v>
      </c>
      <c r="C1780" s="28"/>
      <c r="D1780" s="29" t="s">
        <v>3748</v>
      </c>
      <c r="E1780" s="76">
        <v>5678400</v>
      </c>
      <c r="F1780" s="77">
        <f t="shared" si="85"/>
        <v>454272</v>
      </c>
      <c r="G1780" s="96">
        <f t="shared" si="86"/>
        <v>6132672</v>
      </c>
      <c r="H1780" s="74"/>
      <c r="I1780" s="75">
        <f t="shared" si="87"/>
        <v>6132672</v>
      </c>
      <c r="J1780" s="75"/>
      <c r="K1780" s="3"/>
      <c r="O1780" s="9"/>
      <c r="S1780" s="3"/>
    </row>
    <row r="1781" spans="1:19" ht="15" customHeight="1" x14ac:dyDescent="0.35">
      <c r="A1781" s="26" t="s">
        <v>3759</v>
      </c>
      <c r="B1781" s="27" t="s">
        <v>3704</v>
      </c>
      <c r="C1781" s="28"/>
      <c r="D1781" s="29" t="s">
        <v>3748</v>
      </c>
      <c r="E1781" s="76">
        <v>840000</v>
      </c>
      <c r="F1781" s="77">
        <f t="shared" si="85"/>
        <v>67200</v>
      </c>
      <c r="G1781" s="96">
        <f t="shared" si="86"/>
        <v>907200</v>
      </c>
      <c r="H1781" s="74"/>
      <c r="I1781" s="75">
        <f t="shared" si="87"/>
        <v>907200</v>
      </c>
      <c r="J1781" s="75"/>
      <c r="K1781" s="3"/>
      <c r="O1781" s="9"/>
      <c r="S1781" s="3"/>
    </row>
    <row r="1782" spans="1:19" ht="15" customHeight="1" x14ac:dyDescent="0.35">
      <c r="A1782" s="26" t="s">
        <v>3760</v>
      </c>
      <c r="B1782" s="27" t="s">
        <v>3705</v>
      </c>
      <c r="C1782" s="28"/>
      <c r="D1782" s="29" t="s">
        <v>3748</v>
      </c>
      <c r="E1782" s="76">
        <v>1612800</v>
      </c>
      <c r="F1782" s="77">
        <f t="shared" si="85"/>
        <v>129024</v>
      </c>
      <c r="G1782" s="96">
        <f t="shared" si="86"/>
        <v>1741824</v>
      </c>
      <c r="H1782" s="74"/>
      <c r="I1782" s="75">
        <f t="shared" si="87"/>
        <v>1741824</v>
      </c>
      <c r="J1782" s="75"/>
      <c r="K1782" s="3"/>
      <c r="O1782" s="9"/>
      <c r="S1782" s="3"/>
    </row>
    <row r="1783" spans="1:19" ht="15" customHeight="1" x14ac:dyDescent="0.35">
      <c r="A1783" s="26" t="s">
        <v>3761</v>
      </c>
      <c r="B1783" s="27" t="s">
        <v>3706</v>
      </c>
      <c r="C1783" s="28"/>
      <c r="D1783" s="29" t="s">
        <v>3748</v>
      </c>
      <c r="E1783" s="76">
        <v>840000</v>
      </c>
      <c r="F1783" s="77">
        <f t="shared" si="85"/>
        <v>67200</v>
      </c>
      <c r="G1783" s="96">
        <f t="shared" si="86"/>
        <v>907200</v>
      </c>
      <c r="H1783" s="74"/>
      <c r="I1783" s="75">
        <f t="shared" si="87"/>
        <v>907200</v>
      </c>
      <c r="J1783" s="75"/>
      <c r="K1783" s="3"/>
      <c r="O1783" s="9"/>
      <c r="S1783" s="3"/>
    </row>
    <row r="1784" spans="1:19" ht="15" customHeight="1" x14ac:dyDescent="0.35">
      <c r="A1784" s="26" t="s">
        <v>3762</v>
      </c>
      <c r="B1784" s="27" t="s">
        <v>3707</v>
      </c>
      <c r="C1784" s="28"/>
      <c r="D1784" s="29" t="s">
        <v>3749</v>
      </c>
      <c r="E1784" s="76">
        <v>3000000</v>
      </c>
      <c r="F1784" s="77">
        <f t="shared" si="85"/>
        <v>240000</v>
      </c>
      <c r="G1784" s="96">
        <f t="shared" si="86"/>
        <v>3240000</v>
      </c>
      <c r="H1784" s="74"/>
      <c r="I1784" s="75">
        <f t="shared" si="87"/>
        <v>3240000</v>
      </c>
      <c r="J1784" s="75"/>
      <c r="K1784" s="3"/>
      <c r="O1784" s="9"/>
      <c r="S1784" s="3"/>
    </row>
    <row r="1785" spans="1:19" ht="15" customHeight="1" x14ac:dyDescent="0.35">
      <c r="A1785" s="26" t="s">
        <v>3763</v>
      </c>
      <c r="B1785" s="27" t="s">
        <v>3708</v>
      </c>
      <c r="C1785" s="28"/>
      <c r="D1785" s="29" t="s">
        <v>3749</v>
      </c>
      <c r="E1785" s="76">
        <v>7240000</v>
      </c>
      <c r="F1785" s="77">
        <f t="shared" si="85"/>
        <v>579200</v>
      </c>
      <c r="G1785" s="96">
        <f t="shared" si="86"/>
        <v>7819200</v>
      </c>
      <c r="H1785" s="74"/>
      <c r="I1785" s="75">
        <f t="shared" si="87"/>
        <v>7819200</v>
      </c>
      <c r="J1785" s="75"/>
      <c r="K1785" s="3"/>
      <c r="O1785" s="9"/>
      <c r="S1785" s="3"/>
    </row>
    <row r="1786" spans="1:19" ht="15" customHeight="1" x14ac:dyDescent="0.35">
      <c r="A1786" s="26" t="s">
        <v>3764</v>
      </c>
      <c r="B1786" s="27" t="s">
        <v>3709</v>
      </c>
      <c r="C1786" s="28"/>
      <c r="D1786" s="29" t="s">
        <v>3749</v>
      </c>
      <c r="E1786" s="76">
        <v>10230000</v>
      </c>
      <c r="F1786" s="77">
        <f t="shared" si="85"/>
        <v>818400</v>
      </c>
      <c r="G1786" s="96">
        <f t="shared" si="86"/>
        <v>11048400</v>
      </c>
      <c r="H1786" s="74"/>
      <c r="I1786" s="75">
        <f t="shared" si="87"/>
        <v>11048400</v>
      </c>
      <c r="J1786" s="75"/>
      <c r="K1786" s="3"/>
      <c r="O1786" s="9"/>
      <c r="S1786" s="3"/>
    </row>
    <row r="1787" spans="1:19" ht="15" customHeight="1" x14ac:dyDescent="0.35">
      <c r="A1787" s="26" t="s">
        <v>3765</v>
      </c>
      <c r="B1787" s="27" t="s">
        <v>3710</v>
      </c>
      <c r="C1787" s="28"/>
      <c r="D1787" s="29" t="s">
        <v>3749</v>
      </c>
      <c r="E1787" s="76">
        <v>25525000</v>
      </c>
      <c r="F1787" s="77">
        <f t="shared" si="85"/>
        <v>2042000</v>
      </c>
      <c r="G1787" s="96">
        <f t="shared" si="86"/>
        <v>27567000</v>
      </c>
      <c r="H1787" s="74"/>
      <c r="I1787" s="75">
        <f t="shared" si="87"/>
        <v>27567000</v>
      </c>
      <c r="J1787" s="75"/>
      <c r="K1787" s="3"/>
      <c r="O1787" s="9"/>
      <c r="S1787" s="3"/>
    </row>
    <row r="1788" spans="1:19" ht="15" customHeight="1" x14ac:dyDescent="0.35">
      <c r="A1788" s="26" t="s">
        <v>3766</v>
      </c>
      <c r="B1788" s="27" t="s">
        <v>3711</v>
      </c>
      <c r="C1788" s="28">
        <v>7226</v>
      </c>
      <c r="D1788" s="29">
        <v>46254</v>
      </c>
      <c r="E1788" s="76">
        <v>22380000</v>
      </c>
      <c r="F1788" s="77">
        <f t="shared" si="85"/>
        <v>1790400</v>
      </c>
      <c r="G1788" s="96">
        <f t="shared" si="86"/>
        <v>24170400</v>
      </c>
      <c r="H1788" s="74"/>
      <c r="I1788" s="75">
        <f t="shared" si="87"/>
        <v>24170400</v>
      </c>
      <c r="J1788" s="75"/>
      <c r="K1788" s="3"/>
      <c r="O1788" s="9"/>
      <c r="S1788" s="3"/>
    </row>
    <row r="1789" spans="1:19" ht="15" customHeight="1" x14ac:dyDescent="0.35">
      <c r="A1789" s="26" t="s">
        <v>3767</v>
      </c>
      <c r="B1789" s="27" t="s">
        <v>3712</v>
      </c>
      <c r="C1789" s="28"/>
      <c r="D1789" s="29" t="s">
        <v>3749</v>
      </c>
      <c r="E1789" s="76">
        <v>4655000</v>
      </c>
      <c r="F1789" s="77">
        <f t="shared" si="85"/>
        <v>372400</v>
      </c>
      <c r="G1789" s="96">
        <f t="shared" si="86"/>
        <v>5027400</v>
      </c>
      <c r="H1789" s="74"/>
      <c r="I1789" s="75">
        <f t="shared" si="87"/>
        <v>5027400</v>
      </c>
      <c r="J1789" s="75"/>
      <c r="K1789" s="3"/>
      <c r="O1789" s="9"/>
      <c r="S1789" s="3"/>
    </row>
    <row r="1790" spans="1:19" ht="15" customHeight="1" x14ac:dyDescent="0.35">
      <c r="A1790" s="26" t="s">
        <v>3768</v>
      </c>
      <c r="B1790" s="27" t="s">
        <v>3713</v>
      </c>
      <c r="C1790" s="28"/>
      <c r="D1790" s="29" t="s">
        <v>3749</v>
      </c>
      <c r="E1790" s="76">
        <v>10695000</v>
      </c>
      <c r="F1790" s="77">
        <f t="shared" si="85"/>
        <v>855600</v>
      </c>
      <c r="G1790" s="96">
        <f t="shared" si="86"/>
        <v>11550600</v>
      </c>
      <c r="H1790" s="74"/>
      <c r="I1790" s="75">
        <f t="shared" si="87"/>
        <v>11550600</v>
      </c>
      <c r="J1790" s="75"/>
      <c r="K1790" s="3"/>
      <c r="O1790" s="9"/>
      <c r="S1790" s="3"/>
    </row>
    <row r="1791" spans="1:19" ht="15" customHeight="1" x14ac:dyDescent="0.35">
      <c r="A1791" s="26" t="s">
        <v>3769</v>
      </c>
      <c r="B1791" s="27" t="s">
        <v>3714</v>
      </c>
      <c r="C1791" s="28"/>
      <c r="D1791" s="29" t="s">
        <v>3749</v>
      </c>
      <c r="E1791" s="76">
        <v>1005000</v>
      </c>
      <c r="F1791" s="77">
        <f t="shared" si="85"/>
        <v>80400</v>
      </c>
      <c r="G1791" s="96">
        <f t="shared" si="86"/>
        <v>1085400</v>
      </c>
      <c r="H1791" s="74"/>
      <c r="I1791" s="75">
        <f t="shared" si="87"/>
        <v>1085400</v>
      </c>
      <c r="J1791" s="75"/>
      <c r="K1791" s="3"/>
      <c r="O1791" s="9"/>
      <c r="S1791" s="3"/>
    </row>
    <row r="1792" spans="1:19" ht="15" customHeight="1" x14ac:dyDescent="0.35">
      <c r="A1792" s="26" t="s">
        <v>3770</v>
      </c>
      <c r="B1792" s="27" t="s">
        <v>3715</v>
      </c>
      <c r="C1792" s="28"/>
      <c r="D1792" s="29" t="s">
        <v>3749</v>
      </c>
      <c r="E1792" s="76">
        <v>4020000</v>
      </c>
      <c r="F1792" s="77">
        <f t="shared" si="85"/>
        <v>321600</v>
      </c>
      <c r="G1792" s="96">
        <f t="shared" si="86"/>
        <v>4341600</v>
      </c>
      <c r="H1792" s="74"/>
      <c r="I1792" s="75">
        <f t="shared" si="87"/>
        <v>4341600</v>
      </c>
      <c r="J1792" s="75"/>
      <c r="K1792" s="3"/>
      <c r="O1792" s="9"/>
      <c r="S1792" s="3"/>
    </row>
    <row r="1793" spans="1:19" ht="15" customHeight="1" x14ac:dyDescent="0.35">
      <c r="A1793" s="26" t="s">
        <v>3771</v>
      </c>
      <c r="B1793" s="27" t="s">
        <v>3716</v>
      </c>
      <c r="C1793" s="28"/>
      <c r="D1793" s="29" t="s">
        <v>3749</v>
      </c>
      <c r="E1793" s="76">
        <v>3045000</v>
      </c>
      <c r="F1793" s="77">
        <f t="shared" si="85"/>
        <v>243600</v>
      </c>
      <c r="G1793" s="96">
        <f t="shared" si="86"/>
        <v>3288600</v>
      </c>
      <c r="H1793" s="74"/>
      <c r="I1793" s="75">
        <f t="shared" si="87"/>
        <v>3288600</v>
      </c>
      <c r="J1793" s="75"/>
      <c r="K1793" s="3"/>
      <c r="O1793" s="9"/>
      <c r="S1793" s="3"/>
    </row>
    <row r="1794" spans="1:19" ht="15" customHeight="1" x14ac:dyDescent="0.35">
      <c r="A1794" s="26" t="s">
        <v>3772</v>
      </c>
      <c r="B1794" s="27" t="s">
        <v>3717</v>
      </c>
      <c r="C1794" s="28"/>
      <c r="D1794" s="29" t="s">
        <v>3749</v>
      </c>
      <c r="E1794" s="76">
        <v>1905000</v>
      </c>
      <c r="F1794" s="77">
        <f t="shared" si="85"/>
        <v>152400</v>
      </c>
      <c r="G1794" s="96">
        <f t="shared" si="86"/>
        <v>2057400</v>
      </c>
      <c r="H1794" s="74"/>
      <c r="I1794" s="75">
        <f t="shared" si="87"/>
        <v>2057400</v>
      </c>
      <c r="J1794" s="75"/>
      <c r="K1794" s="3"/>
      <c r="O1794" s="9"/>
      <c r="S1794" s="3"/>
    </row>
    <row r="1795" spans="1:19" ht="15" customHeight="1" x14ac:dyDescent="0.35">
      <c r="A1795" s="26" t="s">
        <v>3773</v>
      </c>
      <c r="B1795" s="27" t="s">
        <v>3718</v>
      </c>
      <c r="C1795" s="28"/>
      <c r="D1795" s="29" t="s">
        <v>3749</v>
      </c>
      <c r="E1795" s="76">
        <v>47025000</v>
      </c>
      <c r="F1795" s="77">
        <f t="shared" si="85"/>
        <v>3762000</v>
      </c>
      <c r="G1795" s="96">
        <f t="shared" si="86"/>
        <v>50787000</v>
      </c>
      <c r="H1795" s="74"/>
      <c r="I1795" s="75">
        <f t="shared" si="87"/>
        <v>50787000</v>
      </c>
      <c r="J1795" s="75"/>
      <c r="K1795" s="3"/>
      <c r="O1795" s="9"/>
      <c r="S1795" s="3"/>
    </row>
    <row r="1796" spans="1:19" ht="15" customHeight="1" x14ac:dyDescent="0.35">
      <c r="A1796" s="26" t="s">
        <v>3774</v>
      </c>
      <c r="B1796" s="27" t="s">
        <v>3719</v>
      </c>
      <c r="C1796" s="28"/>
      <c r="D1796" s="29" t="s">
        <v>3749</v>
      </c>
      <c r="E1796" s="76">
        <v>3460000</v>
      </c>
      <c r="F1796" s="77">
        <f t="shared" si="85"/>
        <v>276800</v>
      </c>
      <c r="G1796" s="96">
        <f t="shared" si="86"/>
        <v>3736800</v>
      </c>
      <c r="H1796" s="74"/>
      <c r="I1796" s="75">
        <f t="shared" si="87"/>
        <v>3736800</v>
      </c>
      <c r="J1796" s="75"/>
      <c r="K1796" s="3"/>
      <c r="O1796" s="9"/>
      <c r="S1796" s="3"/>
    </row>
    <row r="1797" spans="1:19" ht="15" customHeight="1" x14ac:dyDescent="0.35">
      <c r="A1797" s="26" t="s">
        <v>3775</v>
      </c>
      <c r="B1797" s="27" t="s">
        <v>3720</v>
      </c>
      <c r="C1797" s="28"/>
      <c r="D1797" s="29" t="s">
        <v>3749</v>
      </c>
      <c r="E1797" s="76">
        <v>6890000</v>
      </c>
      <c r="F1797" s="77">
        <f t="shared" si="85"/>
        <v>551200</v>
      </c>
      <c r="G1797" s="96">
        <f t="shared" si="86"/>
        <v>7441200</v>
      </c>
      <c r="H1797" s="74"/>
      <c r="I1797" s="75">
        <f t="shared" si="87"/>
        <v>7441200</v>
      </c>
      <c r="J1797" s="75"/>
      <c r="K1797" s="3"/>
      <c r="O1797" s="9"/>
      <c r="S1797" s="3"/>
    </row>
    <row r="1798" spans="1:19" ht="15" customHeight="1" x14ac:dyDescent="0.35">
      <c r="A1798" s="26" t="s">
        <v>3776</v>
      </c>
      <c r="B1798" s="27" t="s">
        <v>3721</v>
      </c>
      <c r="C1798" s="28"/>
      <c r="D1798" s="29" t="s">
        <v>3749</v>
      </c>
      <c r="E1798" s="76">
        <v>22975000</v>
      </c>
      <c r="F1798" s="77">
        <f t="shared" si="85"/>
        <v>1838000</v>
      </c>
      <c r="G1798" s="96">
        <f t="shared" si="86"/>
        <v>24813000</v>
      </c>
      <c r="H1798" s="74"/>
      <c r="I1798" s="75">
        <f t="shared" si="87"/>
        <v>24813000</v>
      </c>
      <c r="J1798" s="75"/>
      <c r="K1798" s="3"/>
      <c r="O1798" s="9"/>
      <c r="S1798" s="3"/>
    </row>
    <row r="1799" spans="1:19" ht="15" customHeight="1" x14ac:dyDescent="0.35">
      <c r="A1799" s="26" t="s">
        <v>3777</v>
      </c>
      <c r="B1799" s="27" t="s">
        <v>3722</v>
      </c>
      <c r="C1799" s="28"/>
      <c r="D1799" s="29" t="s">
        <v>3749</v>
      </c>
      <c r="E1799" s="76">
        <v>8335000</v>
      </c>
      <c r="F1799" s="77">
        <f t="shared" si="85"/>
        <v>666800</v>
      </c>
      <c r="G1799" s="96">
        <f t="shared" si="86"/>
        <v>9001800</v>
      </c>
      <c r="H1799" s="74"/>
      <c r="I1799" s="75">
        <f t="shared" si="87"/>
        <v>9001800</v>
      </c>
      <c r="J1799" s="75"/>
      <c r="K1799" s="3"/>
      <c r="O1799" s="9"/>
      <c r="S1799" s="3"/>
    </row>
    <row r="1800" spans="1:19" ht="15" customHeight="1" x14ac:dyDescent="0.35">
      <c r="A1800" s="26" t="s">
        <v>3778</v>
      </c>
      <c r="B1800" s="27" t="s">
        <v>3723</v>
      </c>
      <c r="C1800" s="28"/>
      <c r="D1800" s="29" t="s">
        <v>3749</v>
      </c>
      <c r="E1800" s="76">
        <v>5490000</v>
      </c>
      <c r="F1800" s="77">
        <f t="shared" si="85"/>
        <v>439200</v>
      </c>
      <c r="G1800" s="96">
        <f t="shared" si="86"/>
        <v>5929200</v>
      </c>
      <c r="H1800" s="74"/>
      <c r="I1800" s="75">
        <f t="shared" si="87"/>
        <v>5929200</v>
      </c>
      <c r="J1800" s="75"/>
      <c r="K1800" s="3"/>
      <c r="O1800" s="9"/>
      <c r="S1800" s="3"/>
    </row>
    <row r="1801" spans="1:19" ht="15" customHeight="1" x14ac:dyDescent="0.35">
      <c r="A1801" s="26" t="s">
        <v>3779</v>
      </c>
      <c r="B1801" s="27" t="s">
        <v>3724</v>
      </c>
      <c r="C1801" s="28"/>
      <c r="D1801" s="29" t="s">
        <v>3749</v>
      </c>
      <c r="E1801" s="76">
        <v>2000000</v>
      </c>
      <c r="F1801" s="77">
        <f t="shared" si="85"/>
        <v>160000</v>
      </c>
      <c r="G1801" s="96">
        <f t="shared" si="86"/>
        <v>2160000</v>
      </c>
      <c r="H1801" s="74"/>
      <c r="I1801" s="75">
        <f t="shared" si="87"/>
        <v>2160000</v>
      </c>
      <c r="J1801" s="75"/>
      <c r="K1801" s="3"/>
      <c r="O1801" s="9"/>
      <c r="S1801" s="3"/>
    </row>
    <row r="1802" spans="1:19" ht="15" customHeight="1" x14ac:dyDescent="0.35">
      <c r="A1802" s="26" t="s">
        <v>3780</v>
      </c>
      <c r="B1802" s="32" t="s">
        <v>3725</v>
      </c>
      <c r="C1802" s="28"/>
      <c r="D1802" s="29" t="s">
        <v>3749</v>
      </c>
      <c r="E1802" s="76">
        <v>8450000</v>
      </c>
      <c r="F1802" s="77">
        <f t="shared" si="85"/>
        <v>676000</v>
      </c>
      <c r="G1802" s="96">
        <f t="shared" si="86"/>
        <v>9126000</v>
      </c>
      <c r="H1802" s="74"/>
      <c r="I1802" s="75">
        <f t="shared" si="87"/>
        <v>9126000</v>
      </c>
      <c r="J1802" s="75"/>
      <c r="K1802" s="3"/>
      <c r="O1802" s="9"/>
      <c r="S1802" s="3"/>
    </row>
    <row r="1803" spans="1:19" ht="15" customHeight="1" x14ac:dyDescent="0.35">
      <c r="A1803" s="26" t="s">
        <v>3781</v>
      </c>
      <c r="B1803" s="27" t="s">
        <v>3726</v>
      </c>
      <c r="C1803" s="28"/>
      <c r="D1803" s="29" t="s">
        <v>3749</v>
      </c>
      <c r="E1803" s="76">
        <v>1630000</v>
      </c>
      <c r="F1803" s="77">
        <f t="shared" si="85"/>
        <v>130400</v>
      </c>
      <c r="G1803" s="96">
        <f t="shared" si="86"/>
        <v>1760400</v>
      </c>
      <c r="H1803" s="74"/>
      <c r="I1803" s="75">
        <f t="shared" si="87"/>
        <v>1760400</v>
      </c>
      <c r="J1803" s="75"/>
      <c r="K1803" s="3"/>
      <c r="O1803" s="9"/>
      <c r="S1803" s="3"/>
    </row>
    <row r="1804" spans="1:19" ht="15" customHeight="1" x14ac:dyDescent="0.35">
      <c r="A1804" s="26" t="s">
        <v>3782</v>
      </c>
      <c r="B1804" s="27" t="s">
        <v>3727</v>
      </c>
      <c r="C1804" s="28"/>
      <c r="D1804" s="29" t="s">
        <v>3749</v>
      </c>
      <c r="E1804" s="76">
        <v>5050000</v>
      </c>
      <c r="F1804" s="77">
        <f t="shared" si="85"/>
        <v>404000</v>
      </c>
      <c r="G1804" s="96">
        <f t="shared" si="86"/>
        <v>5454000</v>
      </c>
      <c r="H1804" s="74"/>
      <c r="I1804" s="75">
        <f t="shared" si="87"/>
        <v>5454000</v>
      </c>
      <c r="J1804" s="75"/>
      <c r="K1804" s="3"/>
      <c r="O1804" s="9"/>
      <c r="S1804" s="3"/>
    </row>
    <row r="1805" spans="1:19" ht="15" customHeight="1" x14ac:dyDescent="0.35">
      <c r="A1805" s="26" t="s">
        <v>3783</v>
      </c>
      <c r="B1805" s="27" t="s">
        <v>3728</v>
      </c>
      <c r="C1805" s="28"/>
      <c r="D1805" s="29" t="s">
        <v>3749</v>
      </c>
      <c r="E1805" s="76">
        <v>6680000</v>
      </c>
      <c r="F1805" s="77">
        <f t="shared" si="85"/>
        <v>534400</v>
      </c>
      <c r="G1805" s="96">
        <f t="shared" si="86"/>
        <v>7214400</v>
      </c>
      <c r="H1805" s="74"/>
      <c r="I1805" s="75">
        <f t="shared" si="87"/>
        <v>7214400</v>
      </c>
      <c r="J1805" s="75"/>
      <c r="K1805" s="3"/>
      <c r="O1805" s="9"/>
      <c r="S1805" s="3"/>
    </row>
    <row r="1806" spans="1:19" ht="15" customHeight="1" x14ac:dyDescent="0.35">
      <c r="A1806" s="26" t="s">
        <v>3784</v>
      </c>
      <c r="B1806" s="27" t="s">
        <v>3729</v>
      </c>
      <c r="C1806" s="28"/>
      <c r="D1806" s="29" t="s">
        <v>3749</v>
      </c>
      <c r="E1806" s="76">
        <v>3950000</v>
      </c>
      <c r="F1806" s="77">
        <f t="shared" si="85"/>
        <v>316000</v>
      </c>
      <c r="G1806" s="96">
        <f t="shared" si="86"/>
        <v>4266000</v>
      </c>
      <c r="H1806" s="74"/>
      <c r="I1806" s="75">
        <f t="shared" si="87"/>
        <v>4266000</v>
      </c>
      <c r="J1806" s="75"/>
      <c r="K1806" s="3"/>
      <c r="O1806" s="9"/>
      <c r="S1806" s="3"/>
    </row>
    <row r="1807" spans="1:19" ht="15" customHeight="1" x14ac:dyDescent="0.35">
      <c r="A1807" s="26" t="s">
        <v>3785</v>
      </c>
      <c r="B1807" s="27" t="s">
        <v>3730</v>
      </c>
      <c r="C1807" s="28"/>
      <c r="D1807" s="29" t="s">
        <v>3749</v>
      </c>
      <c r="E1807" s="76">
        <v>1005000</v>
      </c>
      <c r="F1807" s="77">
        <f t="shared" si="85"/>
        <v>80400</v>
      </c>
      <c r="G1807" s="96">
        <f t="shared" si="86"/>
        <v>1085400</v>
      </c>
      <c r="H1807" s="74"/>
      <c r="I1807" s="75">
        <f t="shared" si="87"/>
        <v>1085400</v>
      </c>
      <c r="J1807" s="75"/>
      <c r="K1807" s="3"/>
      <c r="O1807" s="9"/>
      <c r="S1807" s="3"/>
    </row>
    <row r="1808" spans="1:19" ht="15" customHeight="1" x14ac:dyDescent="0.35">
      <c r="A1808" s="26" t="s">
        <v>3786</v>
      </c>
      <c r="B1808" s="27" t="s">
        <v>3731</v>
      </c>
      <c r="C1808" s="28"/>
      <c r="D1808" s="29" t="s">
        <v>3749</v>
      </c>
      <c r="E1808" s="76">
        <v>20655000</v>
      </c>
      <c r="F1808" s="77">
        <f t="shared" si="85"/>
        <v>1652400</v>
      </c>
      <c r="G1808" s="96">
        <f t="shared" si="86"/>
        <v>22307400</v>
      </c>
      <c r="H1808" s="74"/>
      <c r="I1808" s="75">
        <f t="shared" si="87"/>
        <v>22307400</v>
      </c>
      <c r="J1808" s="75"/>
      <c r="K1808" s="3"/>
      <c r="O1808" s="9"/>
      <c r="S1808" s="3"/>
    </row>
    <row r="1809" spans="1:19" ht="15" customHeight="1" x14ac:dyDescent="0.35">
      <c r="A1809" s="26" t="s">
        <v>3787</v>
      </c>
      <c r="B1809" s="27" t="s">
        <v>3732</v>
      </c>
      <c r="C1809" s="28"/>
      <c r="D1809" s="29" t="s">
        <v>3749</v>
      </c>
      <c r="E1809" s="76">
        <v>1920000</v>
      </c>
      <c r="F1809" s="77">
        <f t="shared" si="85"/>
        <v>153600</v>
      </c>
      <c r="G1809" s="96">
        <f t="shared" si="86"/>
        <v>2073600</v>
      </c>
      <c r="H1809" s="74"/>
      <c r="I1809" s="75">
        <f t="shared" si="87"/>
        <v>2073600</v>
      </c>
      <c r="J1809" s="75"/>
      <c r="K1809" s="3"/>
      <c r="O1809" s="9"/>
      <c r="S1809" s="3"/>
    </row>
    <row r="1810" spans="1:19" ht="15" customHeight="1" x14ac:dyDescent="0.35">
      <c r="A1810" s="26" t="s">
        <v>3788</v>
      </c>
      <c r="B1810" s="27" t="s">
        <v>3733</v>
      </c>
      <c r="C1810" s="28"/>
      <c r="D1810" s="29" t="s">
        <v>3749</v>
      </c>
      <c r="E1810" s="76">
        <v>2760000</v>
      </c>
      <c r="F1810" s="77">
        <f t="shared" si="85"/>
        <v>220800</v>
      </c>
      <c r="G1810" s="96">
        <f t="shared" si="86"/>
        <v>2980800</v>
      </c>
      <c r="H1810" s="74"/>
      <c r="I1810" s="75">
        <f t="shared" si="87"/>
        <v>2980800</v>
      </c>
      <c r="J1810" s="75"/>
      <c r="K1810" s="3"/>
      <c r="O1810" s="9"/>
      <c r="S1810" s="3"/>
    </row>
    <row r="1811" spans="1:19" ht="15" customHeight="1" x14ac:dyDescent="0.35">
      <c r="A1811" s="26" t="s">
        <v>3789</v>
      </c>
      <c r="B1811" s="27" t="s">
        <v>3734</v>
      </c>
      <c r="C1811" s="28"/>
      <c r="D1811" s="29" t="s">
        <v>3749</v>
      </c>
      <c r="E1811" s="76">
        <v>11115000</v>
      </c>
      <c r="F1811" s="77">
        <f t="shared" si="85"/>
        <v>889200</v>
      </c>
      <c r="G1811" s="96">
        <f t="shared" si="86"/>
        <v>12004200</v>
      </c>
      <c r="H1811" s="74"/>
      <c r="I1811" s="75">
        <f t="shared" si="87"/>
        <v>12004200</v>
      </c>
      <c r="J1811" s="75"/>
      <c r="K1811" s="3"/>
      <c r="O1811" s="9"/>
      <c r="S1811" s="3"/>
    </row>
    <row r="1812" spans="1:19" ht="15" customHeight="1" x14ac:dyDescent="0.35">
      <c r="A1812" s="26" t="s">
        <v>3790</v>
      </c>
      <c r="B1812" s="27" t="s">
        <v>3735</v>
      </c>
      <c r="C1812" s="28"/>
      <c r="D1812" s="29" t="s">
        <v>3749</v>
      </c>
      <c r="E1812" s="76">
        <v>2590000</v>
      </c>
      <c r="F1812" s="77">
        <f t="shared" si="85"/>
        <v>207200</v>
      </c>
      <c r="G1812" s="96">
        <f t="shared" si="86"/>
        <v>2797200</v>
      </c>
      <c r="H1812" s="74"/>
      <c r="I1812" s="75">
        <f t="shared" si="87"/>
        <v>2797200</v>
      </c>
      <c r="J1812" s="75"/>
      <c r="K1812" s="3"/>
      <c r="O1812" s="9"/>
      <c r="S1812" s="3"/>
    </row>
    <row r="1813" spans="1:19" ht="15" customHeight="1" x14ac:dyDescent="0.35">
      <c r="A1813" s="26" t="s">
        <v>3791</v>
      </c>
      <c r="B1813" s="27" t="s">
        <v>3736</v>
      </c>
      <c r="C1813" s="28"/>
      <c r="D1813" s="29" t="s">
        <v>3749</v>
      </c>
      <c r="E1813" s="76">
        <v>13740000</v>
      </c>
      <c r="F1813" s="77">
        <f t="shared" si="85"/>
        <v>1099200</v>
      </c>
      <c r="G1813" s="96">
        <f t="shared" si="86"/>
        <v>14839200</v>
      </c>
      <c r="H1813" s="74"/>
      <c r="I1813" s="75">
        <f t="shared" si="87"/>
        <v>14839200</v>
      </c>
      <c r="J1813" s="75"/>
      <c r="K1813" s="3"/>
      <c r="O1813" s="9"/>
      <c r="S1813" s="3"/>
    </row>
    <row r="1814" spans="1:19" ht="15" customHeight="1" x14ac:dyDescent="0.35">
      <c r="A1814" s="26" t="s">
        <v>3792</v>
      </c>
      <c r="B1814" s="27" t="s">
        <v>3737</v>
      </c>
      <c r="C1814" s="28"/>
      <c r="D1814" s="29" t="s">
        <v>3749</v>
      </c>
      <c r="E1814" s="76">
        <v>1965000</v>
      </c>
      <c r="F1814" s="77">
        <f t="shared" si="85"/>
        <v>157200</v>
      </c>
      <c r="G1814" s="96">
        <f t="shared" si="86"/>
        <v>2122200</v>
      </c>
      <c r="H1814" s="74"/>
      <c r="I1814" s="75">
        <f t="shared" si="87"/>
        <v>2122200</v>
      </c>
      <c r="J1814" s="75"/>
      <c r="K1814" s="3"/>
      <c r="O1814" s="9"/>
      <c r="S1814" s="3"/>
    </row>
    <row r="1815" spans="1:19" ht="15" customHeight="1" x14ac:dyDescent="0.35">
      <c r="A1815" s="26" t="s">
        <v>3793</v>
      </c>
      <c r="B1815" s="27" t="s">
        <v>3738</v>
      </c>
      <c r="C1815" s="28"/>
      <c r="D1815" s="29" t="s">
        <v>3749</v>
      </c>
      <c r="E1815" s="76">
        <v>6255000</v>
      </c>
      <c r="F1815" s="77">
        <f t="shared" si="85"/>
        <v>500400</v>
      </c>
      <c r="G1815" s="96">
        <f t="shared" si="86"/>
        <v>6755400</v>
      </c>
      <c r="H1815" s="74"/>
      <c r="I1815" s="75">
        <f t="shared" si="87"/>
        <v>6755400</v>
      </c>
      <c r="J1815" s="75"/>
      <c r="K1815" s="3"/>
      <c r="O1815" s="9"/>
      <c r="S1815" s="3"/>
    </row>
    <row r="1816" spans="1:19" ht="15" customHeight="1" x14ac:dyDescent="0.35">
      <c r="A1816" s="26" t="s">
        <v>3794</v>
      </c>
      <c r="B1816" s="27" t="s">
        <v>3739</v>
      </c>
      <c r="C1816" s="28"/>
      <c r="D1816" s="29" t="s">
        <v>3749</v>
      </c>
      <c r="E1816" s="76">
        <v>1965000</v>
      </c>
      <c r="F1816" s="77">
        <f t="shared" si="85"/>
        <v>157200</v>
      </c>
      <c r="G1816" s="96">
        <f t="shared" si="86"/>
        <v>2122200</v>
      </c>
      <c r="H1816" s="74"/>
      <c r="I1816" s="75">
        <f t="shared" si="87"/>
        <v>2122200</v>
      </c>
      <c r="J1816" s="75"/>
      <c r="K1816" s="3"/>
      <c r="O1816" s="9"/>
      <c r="S1816" s="3"/>
    </row>
    <row r="1817" spans="1:19" ht="15" customHeight="1" x14ac:dyDescent="0.35">
      <c r="A1817" s="26" t="s">
        <v>3795</v>
      </c>
      <c r="B1817" s="27" t="s">
        <v>3740</v>
      </c>
      <c r="C1817" s="28"/>
      <c r="D1817" s="29" t="s">
        <v>3749</v>
      </c>
      <c r="E1817" s="76">
        <v>4970000</v>
      </c>
      <c r="F1817" s="77">
        <f t="shared" si="85"/>
        <v>397600</v>
      </c>
      <c r="G1817" s="96">
        <f t="shared" si="86"/>
        <v>5367600</v>
      </c>
      <c r="H1817" s="74"/>
      <c r="I1817" s="75">
        <f t="shared" si="87"/>
        <v>5367600</v>
      </c>
      <c r="J1817" s="75"/>
      <c r="K1817" s="3"/>
      <c r="O1817" s="9"/>
      <c r="S1817" s="3"/>
    </row>
    <row r="1818" spans="1:19" ht="15" customHeight="1" x14ac:dyDescent="0.35">
      <c r="A1818" s="26" t="s">
        <v>3796</v>
      </c>
      <c r="B1818" s="27" t="s">
        <v>3741</v>
      </c>
      <c r="C1818" s="28"/>
      <c r="D1818" s="29" t="s">
        <v>3749</v>
      </c>
      <c r="E1818" s="76">
        <v>7980000</v>
      </c>
      <c r="F1818" s="77">
        <f t="shared" si="85"/>
        <v>638400</v>
      </c>
      <c r="G1818" s="96">
        <f t="shared" si="86"/>
        <v>8618400</v>
      </c>
      <c r="H1818" s="74"/>
      <c r="I1818" s="75">
        <f t="shared" si="87"/>
        <v>8618400</v>
      </c>
      <c r="J1818" s="75"/>
      <c r="K1818" s="3"/>
      <c r="O1818" s="9"/>
      <c r="S1818" s="3"/>
    </row>
    <row r="1819" spans="1:19" ht="15" customHeight="1" x14ac:dyDescent="0.35">
      <c r="A1819" s="26" t="s">
        <v>3797</v>
      </c>
      <c r="B1819" s="27" t="s">
        <v>3742</v>
      </c>
      <c r="C1819" s="28">
        <v>7227</v>
      </c>
      <c r="D1819" s="29">
        <v>46254</v>
      </c>
      <c r="E1819" s="76">
        <v>4735000</v>
      </c>
      <c r="F1819" s="77">
        <f t="shared" si="85"/>
        <v>378800</v>
      </c>
      <c r="G1819" s="96">
        <f t="shared" si="86"/>
        <v>5113800</v>
      </c>
      <c r="H1819" s="74"/>
      <c r="I1819" s="75">
        <f t="shared" si="87"/>
        <v>5113800</v>
      </c>
      <c r="J1819" s="75"/>
      <c r="K1819" s="3"/>
      <c r="O1819" s="9"/>
      <c r="S1819" s="3"/>
    </row>
    <row r="1820" spans="1:19" ht="15" customHeight="1" x14ac:dyDescent="0.35">
      <c r="A1820" s="26" t="s">
        <v>3798</v>
      </c>
      <c r="B1820" s="27" t="s">
        <v>3743</v>
      </c>
      <c r="C1820" s="28"/>
      <c r="D1820" s="29" t="s">
        <v>3749</v>
      </c>
      <c r="E1820" s="76">
        <v>5630000</v>
      </c>
      <c r="F1820" s="77">
        <f t="shared" ref="F1820:F1883" si="88">+E1820*0.08</f>
        <v>450400</v>
      </c>
      <c r="G1820" s="96">
        <f t="shared" ref="G1820:G1883" si="89">+F1820+E1820</f>
        <v>6080400</v>
      </c>
      <c r="H1820" s="74"/>
      <c r="I1820" s="75">
        <f t="shared" ref="I1820:I1883" si="90">G1820-H1820</f>
        <v>6080400</v>
      </c>
      <c r="J1820" s="75"/>
      <c r="K1820" s="3"/>
      <c r="O1820" s="9"/>
      <c r="S1820" s="3"/>
    </row>
    <row r="1821" spans="1:19" ht="15" customHeight="1" x14ac:dyDescent="0.35">
      <c r="A1821" s="26" t="s">
        <v>3799</v>
      </c>
      <c r="B1821" s="27" t="s">
        <v>3744</v>
      </c>
      <c r="C1821" s="28"/>
      <c r="D1821" s="29" t="s">
        <v>3749</v>
      </c>
      <c r="E1821" s="76">
        <v>3000000</v>
      </c>
      <c r="F1821" s="77">
        <f t="shared" si="88"/>
        <v>240000</v>
      </c>
      <c r="G1821" s="96">
        <f t="shared" si="89"/>
        <v>3240000</v>
      </c>
      <c r="H1821" s="74"/>
      <c r="I1821" s="75">
        <f t="shared" si="90"/>
        <v>3240000</v>
      </c>
      <c r="J1821" s="75"/>
      <c r="K1821" s="3"/>
      <c r="O1821" s="9"/>
      <c r="S1821" s="3"/>
    </row>
    <row r="1822" spans="1:19" ht="15" customHeight="1" x14ac:dyDescent="0.35">
      <c r="A1822" s="26" t="s">
        <v>3800</v>
      </c>
      <c r="B1822" s="27" t="s">
        <v>3745</v>
      </c>
      <c r="C1822" s="28"/>
      <c r="D1822" s="29" t="s">
        <v>3749</v>
      </c>
      <c r="E1822" s="76">
        <v>4940000</v>
      </c>
      <c r="F1822" s="77">
        <f t="shared" si="88"/>
        <v>395200</v>
      </c>
      <c r="G1822" s="96">
        <f t="shared" si="89"/>
        <v>5335200</v>
      </c>
      <c r="H1822" s="74"/>
      <c r="I1822" s="75">
        <f t="shared" si="90"/>
        <v>5335200</v>
      </c>
      <c r="J1822" s="75"/>
      <c r="K1822" s="3"/>
      <c r="O1822" s="9"/>
      <c r="S1822" s="3"/>
    </row>
    <row r="1823" spans="1:19" ht="15" customHeight="1" x14ac:dyDescent="0.35">
      <c r="A1823" s="26" t="s">
        <v>3801</v>
      </c>
      <c r="B1823" s="27" t="s">
        <v>3746</v>
      </c>
      <c r="C1823" s="28"/>
      <c r="D1823" s="29" t="s">
        <v>3749</v>
      </c>
      <c r="E1823" s="76">
        <v>1005000</v>
      </c>
      <c r="F1823" s="77">
        <f t="shared" si="88"/>
        <v>80400</v>
      </c>
      <c r="G1823" s="96">
        <f t="shared" si="89"/>
        <v>1085400</v>
      </c>
      <c r="H1823" s="74"/>
      <c r="I1823" s="75">
        <f t="shared" si="90"/>
        <v>1085400</v>
      </c>
      <c r="J1823" s="75"/>
      <c r="K1823" s="3"/>
      <c r="O1823" s="9"/>
      <c r="S1823" s="3"/>
    </row>
    <row r="1824" spans="1:19" ht="15" customHeight="1" x14ac:dyDescent="0.35">
      <c r="A1824" s="26" t="s">
        <v>3802</v>
      </c>
      <c r="B1824" s="27" t="s">
        <v>3747</v>
      </c>
      <c r="C1824" s="28"/>
      <c r="D1824" s="29" t="s">
        <v>3749</v>
      </c>
      <c r="E1824" s="76">
        <v>2452800</v>
      </c>
      <c r="F1824" s="77">
        <f t="shared" si="88"/>
        <v>196224</v>
      </c>
      <c r="G1824" s="96">
        <f t="shared" si="89"/>
        <v>2649024</v>
      </c>
      <c r="H1824" s="74"/>
      <c r="I1824" s="75">
        <f t="shared" si="90"/>
        <v>2649024</v>
      </c>
      <c r="J1824" s="75"/>
      <c r="K1824" s="3"/>
      <c r="O1824" s="9"/>
      <c r="S1824" s="3"/>
    </row>
    <row r="1825" spans="1:19" ht="15" customHeight="1" x14ac:dyDescent="0.35">
      <c r="A1825" s="26" t="s">
        <v>3816</v>
      </c>
      <c r="B1825" s="27" t="s">
        <v>3805</v>
      </c>
      <c r="C1825" s="28"/>
      <c r="D1825" s="29" t="s">
        <v>3827</v>
      </c>
      <c r="E1825" s="76">
        <v>1005000</v>
      </c>
      <c r="F1825" s="77">
        <f t="shared" si="88"/>
        <v>80400</v>
      </c>
      <c r="G1825" s="96">
        <f t="shared" si="89"/>
        <v>1085400</v>
      </c>
      <c r="H1825" s="74"/>
      <c r="I1825" s="75">
        <f t="shared" si="90"/>
        <v>1085400</v>
      </c>
      <c r="J1825" s="75"/>
      <c r="K1825" s="3"/>
      <c r="O1825" s="9"/>
      <c r="S1825" s="3"/>
    </row>
    <row r="1826" spans="1:19" ht="15" customHeight="1" x14ac:dyDescent="0.35">
      <c r="A1826" s="26" t="s">
        <v>3817</v>
      </c>
      <c r="B1826" s="27" t="s">
        <v>3806</v>
      </c>
      <c r="C1826" s="28"/>
      <c r="D1826" s="29" t="s">
        <v>3827</v>
      </c>
      <c r="E1826" s="76">
        <v>6765000</v>
      </c>
      <c r="F1826" s="77">
        <f t="shared" si="88"/>
        <v>541200</v>
      </c>
      <c r="G1826" s="96">
        <f t="shared" si="89"/>
        <v>7306200</v>
      </c>
      <c r="H1826" s="74"/>
      <c r="I1826" s="75">
        <f t="shared" si="90"/>
        <v>7306200</v>
      </c>
      <c r="J1826" s="75"/>
      <c r="K1826" s="3"/>
      <c r="O1826" s="9"/>
      <c r="S1826" s="3"/>
    </row>
    <row r="1827" spans="1:19" ht="15" customHeight="1" x14ac:dyDescent="0.35">
      <c r="A1827" s="26" t="s">
        <v>3818</v>
      </c>
      <c r="B1827" s="27" t="s">
        <v>3807</v>
      </c>
      <c r="C1827" s="28"/>
      <c r="D1827" s="29" t="s">
        <v>3827</v>
      </c>
      <c r="E1827" s="76">
        <v>6965000</v>
      </c>
      <c r="F1827" s="77">
        <f t="shared" si="88"/>
        <v>557200</v>
      </c>
      <c r="G1827" s="96">
        <f t="shared" si="89"/>
        <v>7522200</v>
      </c>
      <c r="H1827" s="74"/>
      <c r="I1827" s="75">
        <f t="shared" si="90"/>
        <v>7522200</v>
      </c>
      <c r="J1827" s="75"/>
      <c r="K1827" s="3"/>
      <c r="O1827" s="9"/>
      <c r="S1827" s="3"/>
    </row>
    <row r="1828" spans="1:19" ht="15" customHeight="1" x14ac:dyDescent="0.35">
      <c r="A1828" s="26" t="s">
        <v>3819</v>
      </c>
      <c r="B1828" s="27" t="s">
        <v>3808</v>
      </c>
      <c r="C1828" s="28"/>
      <c r="D1828" s="29" t="s">
        <v>3827</v>
      </c>
      <c r="E1828" s="76">
        <v>14960000</v>
      </c>
      <c r="F1828" s="77">
        <f t="shared" si="88"/>
        <v>1196800</v>
      </c>
      <c r="G1828" s="96">
        <f t="shared" si="89"/>
        <v>16156800</v>
      </c>
      <c r="H1828" s="74"/>
      <c r="I1828" s="75">
        <f t="shared" si="90"/>
        <v>16156800</v>
      </c>
      <c r="J1828" s="75"/>
      <c r="K1828" s="3"/>
      <c r="O1828" s="9"/>
      <c r="S1828" s="3"/>
    </row>
    <row r="1829" spans="1:19" ht="15" customHeight="1" x14ac:dyDescent="0.35">
      <c r="A1829" s="26" t="s">
        <v>3820</v>
      </c>
      <c r="B1829" s="27" t="s">
        <v>3809</v>
      </c>
      <c r="C1829" s="28"/>
      <c r="D1829" s="29" t="s">
        <v>3828</v>
      </c>
      <c r="E1829" s="76">
        <v>840000</v>
      </c>
      <c r="F1829" s="77">
        <f t="shared" si="88"/>
        <v>67200</v>
      </c>
      <c r="G1829" s="96">
        <f t="shared" si="89"/>
        <v>907200</v>
      </c>
      <c r="H1829" s="74"/>
      <c r="I1829" s="75">
        <f t="shared" si="90"/>
        <v>907200</v>
      </c>
      <c r="J1829" s="75"/>
      <c r="K1829" s="3"/>
      <c r="O1829" s="9"/>
      <c r="S1829" s="3"/>
    </row>
    <row r="1830" spans="1:19" ht="15" customHeight="1" x14ac:dyDescent="0.35">
      <c r="A1830" s="26" t="s">
        <v>3821</v>
      </c>
      <c r="B1830" s="27" t="s">
        <v>3810</v>
      </c>
      <c r="C1830" s="28"/>
      <c r="D1830" s="29" t="s">
        <v>3828</v>
      </c>
      <c r="E1830" s="76">
        <v>1680000</v>
      </c>
      <c r="F1830" s="77">
        <f t="shared" si="88"/>
        <v>134400</v>
      </c>
      <c r="G1830" s="96">
        <f t="shared" si="89"/>
        <v>1814400</v>
      </c>
      <c r="H1830" s="74"/>
      <c r="I1830" s="75">
        <f t="shared" si="90"/>
        <v>1814400</v>
      </c>
      <c r="J1830" s="75"/>
      <c r="K1830" s="3"/>
      <c r="O1830" s="9"/>
      <c r="S1830" s="3"/>
    </row>
    <row r="1831" spans="1:19" ht="15" customHeight="1" x14ac:dyDescent="0.35">
      <c r="A1831" s="26" t="s">
        <v>3822</v>
      </c>
      <c r="B1831" s="27" t="s">
        <v>3811</v>
      </c>
      <c r="C1831" s="28"/>
      <c r="D1831" s="29" t="s">
        <v>3828</v>
      </c>
      <c r="E1831" s="76">
        <v>840000</v>
      </c>
      <c r="F1831" s="77">
        <f t="shared" si="88"/>
        <v>67200</v>
      </c>
      <c r="G1831" s="96">
        <f t="shared" si="89"/>
        <v>907200</v>
      </c>
      <c r="H1831" s="74"/>
      <c r="I1831" s="75">
        <f t="shared" si="90"/>
        <v>907200</v>
      </c>
      <c r="J1831" s="75"/>
      <c r="K1831" s="3"/>
      <c r="O1831" s="9"/>
      <c r="S1831" s="3"/>
    </row>
    <row r="1832" spans="1:19" ht="15" customHeight="1" x14ac:dyDescent="0.35">
      <c r="A1832" s="26" t="s">
        <v>3823</v>
      </c>
      <c r="B1832" s="27" t="s">
        <v>3812</v>
      </c>
      <c r="C1832" s="28"/>
      <c r="D1832" s="29" t="s">
        <v>3828</v>
      </c>
      <c r="E1832" s="76">
        <v>840000</v>
      </c>
      <c r="F1832" s="77">
        <f t="shared" si="88"/>
        <v>67200</v>
      </c>
      <c r="G1832" s="96">
        <f t="shared" si="89"/>
        <v>907200</v>
      </c>
      <c r="H1832" s="74"/>
      <c r="I1832" s="75">
        <f t="shared" si="90"/>
        <v>907200</v>
      </c>
      <c r="J1832" s="75"/>
      <c r="K1832" s="3"/>
      <c r="O1832" s="9"/>
      <c r="S1832" s="3"/>
    </row>
    <row r="1833" spans="1:19" ht="15" customHeight="1" x14ac:dyDescent="0.35">
      <c r="A1833" s="26" t="s">
        <v>3824</v>
      </c>
      <c r="B1833" s="27" t="s">
        <v>3813</v>
      </c>
      <c r="C1833" s="28"/>
      <c r="D1833" s="29" t="s">
        <v>3828</v>
      </c>
      <c r="E1833" s="76">
        <v>840000</v>
      </c>
      <c r="F1833" s="77">
        <f t="shared" si="88"/>
        <v>67200</v>
      </c>
      <c r="G1833" s="96">
        <f t="shared" si="89"/>
        <v>907200</v>
      </c>
      <c r="H1833" s="74"/>
      <c r="I1833" s="75">
        <f t="shared" si="90"/>
        <v>907200</v>
      </c>
      <c r="J1833" s="75"/>
      <c r="K1833" s="3"/>
      <c r="O1833" s="9"/>
      <c r="S1833" s="3"/>
    </row>
    <row r="1834" spans="1:19" ht="15" customHeight="1" x14ac:dyDescent="0.35">
      <c r="A1834" s="26" t="s">
        <v>3825</v>
      </c>
      <c r="B1834" s="27" t="s">
        <v>3814</v>
      </c>
      <c r="C1834" s="28"/>
      <c r="D1834" s="29" t="s">
        <v>3828</v>
      </c>
      <c r="E1834" s="76">
        <v>10730000</v>
      </c>
      <c r="F1834" s="77">
        <f t="shared" si="88"/>
        <v>858400</v>
      </c>
      <c r="G1834" s="96">
        <f t="shared" si="89"/>
        <v>11588400</v>
      </c>
      <c r="H1834" s="74"/>
      <c r="I1834" s="75">
        <f t="shared" si="90"/>
        <v>11588400</v>
      </c>
      <c r="J1834" s="75"/>
      <c r="K1834" s="3"/>
      <c r="O1834" s="9"/>
      <c r="S1834" s="3"/>
    </row>
    <row r="1835" spans="1:19" ht="15" customHeight="1" x14ac:dyDescent="0.35">
      <c r="A1835" s="26" t="s">
        <v>3826</v>
      </c>
      <c r="B1835" s="27" t="s">
        <v>3815</v>
      </c>
      <c r="C1835" s="28"/>
      <c r="D1835" s="29" t="s">
        <v>3828</v>
      </c>
      <c r="E1835" s="76">
        <v>900000</v>
      </c>
      <c r="F1835" s="77">
        <f t="shared" si="88"/>
        <v>72000</v>
      </c>
      <c r="G1835" s="96">
        <f t="shared" si="89"/>
        <v>972000</v>
      </c>
      <c r="H1835" s="74"/>
      <c r="I1835" s="75">
        <f t="shared" si="90"/>
        <v>972000</v>
      </c>
      <c r="J1835" s="75"/>
      <c r="K1835" s="3"/>
      <c r="O1835" s="9"/>
      <c r="S1835" s="3"/>
    </row>
    <row r="1836" spans="1:19" ht="15" customHeight="1" x14ac:dyDescent="0.35">
      <c r="A1836" s="26"/>
      <c r="B1836" s="27"/>
      <c r="C1836" s="28"/>
      <c r="D1836" s="29"/>
      <c r="E1836" s="76"/>
      <c r="F1836" s="77">
        <f t="shared" si="88"/>
        <v>0</v>
      </c>
      <c r="G1836" s="96">
        <f t="shared" si="89"/>
        <v>0</v>
      </c>
      <c r="H1836" s="74"/>
      <c r="I1836" s="75">
        <f t="shared" si="90"/>
        <v>0</v>
      </c>
      <c r="J1836" s="75"/>
      <c r="K1836" s="3"/>
      <c r="O1836" s="9"/>
      <c r="S1836" s="3"/>
    </row>
    <row r="1837" spans="1:19" ht="15" customHeight="1" x14ac:dyDescent="0.35">
      <c r="A1837" s="26"/>
      <c r="B1837" s="27"/>
      <c r="C1837" s="28"/>
      <c r="D1837" s="29"/>
      <c r="E1837" s="76"/>
      <c r="F1837" s="77">
        <f t="shared" si="88"/>
        <v>0</v>
      </c>
      <c r="G1837" s="96">
        <f t="shared" si="89"/>
        <v>0</v>
      </c>
      <c r="H1837" s="74"/>
      <c r="I1837" s="75">
        <f t="shared" si="90"/>
        <v>0</v>
      </c>
      <c r="J1837" s="75"/>
      <c r="K1837" s="3"/>
      <c r="O1837" s="9"/>
      <c r="S1837" s="3"/>
    </row>
    <row r="1838" spans="1:19" ht="15" customHeight="1" x14ac:dyDescent="0.35">
      <c r="A1838" s="26"/>
      <c r="B1838" s="27"/>
      <c r="C1838" s="28"/>
      <c r="D1838" s="29"/>
      <c r="E1838" s="76"/>
      <c r="F1838" s="77">
        <f t="shared" si="88"/>
        <v>0</v>
      </c>
      <c r="G1838" s="96">
        <f t="shared" si="89"/>
        <v>0</v>
      </c>
      <c r="H1838" s="74"/>
      <c r="I1838" s="75">
        <f t="shared" si="90"/>
        <v>0</v>
      </c>
      <c r="J1838" s="75"/>
      <c r="K1838" s="3"/>
      <c r="O1838" s="9"/>
      <c r="S1838" s="3"/>
    </row>
    <row r="1839" spans="1:19" ht="15" customHeight="1" x14ac:dyDescent="0.35">
      <c r="A1839" s="26"/>
      <c r="B1839" s="27"/>
      <c r="C1839" s="28"/>
      <c r="D1839" s="29"/>
      <c r="E1839" s="76"/>
      <c r="F1839" s="77">
        <f t="shared" si="88"/>
        <v>0</v>
      </c>
      <c r="G1839" s="96">
        <f t="shared" si="89"/>
        <v>0</v>
      </c>
      <c r="H1839" s="74"/>
      <c r="I1839" s="75">
        <f t="shared" si="90"/>
        <v>0</v>
      </c>
      <c r="J1839" s="75"/>
      <c r="K1839" s="3"/>
      <c r="O1839" s="9"/>
      <c r="S1839" s="3"/>
    </row>
    <row r="1840" spans="1:19" ht="15" customHeight="1" x14ac:dyDescent="0.35">
      <c r="A1840" s="26"/>
      <c r="B1840" s="27"/>
      <c r="C1840" s="28"/>
      <c r="D1840" s="29"/>
      <c r="E1840" s="76"/>
      <c r="F1840" s="77">
        <f t="shared" si="88"/>
        <v>0</v>
      </c>
      <c r="G1840" s="96">
        <f t="shared" si="89"/>
        <v>0</v>
      </c>
      <c r="H1840" s="74"/>
      <c r="I1840" s="75">
        <f t="shared" si="90"/>
        <v>0</v>
      </c>
      <c r="J1840" s="75"/>
      <c r="K1840" s="3"/>
      <c r="O1840" s="9"/>
      <c r="S1840" s="3"/>
    </row>
    <row r="1841" spans="1:19" ht="15" customHeight="1" x14ac:dyDescent="0.35">
      <c r="A1841" s="26"/>
      <c r="B1841" s="27"/>
      <c r="C1841" s="28"/>
      <c r="D1841" s="29"/>
      <c r="E1841" s="76"/>
      <c r="F1841" s="77">
        <f t="shared" si="88"/>
        <v>0</v>
      </c>
      <c r="G1841" s="96">
        <f t="shared" si="89"/>
        <v>0</v>
      </c>
      <c r="H1841" s="74"/>
      <c r="I1841" s="75">
        <f t="shared" si="90"/>
        <v>0</v>
      </c>
      <c r="J1841" s="75"/>
      <c r="K1841" s="3"/>
      <c r="O1841" s="9"/>
      <c r="S1841" s="3"/>
    </row>
    <row r="1842" spans="1:19" ht="15" customHeight="1" x14ac:dyDescent="0.35">
      <c r="A1842" s="26"/>
      <c r="B1842" s="27"/>
      <c r="C1842" s="28"/>
      <c r="D1842" s="29"/>
      <c r="E1842" s="76"/>
      <c r="F1842" s="77">
        <f t="shared" si="88"/>
        <v>0</v>
      </c>
      <c r="G1842" s="96">
        <f t="shared" si="89"/>
        <v>0</v>
      </c>
      <c r="H1842" s="74"/>
      <c r="I1842" s="75">
        <f t="shared" si="90"/>
        <v>0</v>
      </c>
      <c r="J1842" s="75"/>
      <c r="K1842" s="3"/>
      <c r="O1842" s="9"/>
      <c r="S1842" s="3"/>
    </row>
    <row r="1843" spans="1:19" ht="15" customHeight="1" x14ac:dyDescent="0.35">
      <c r="A1843" s="26"/>
      <c r="B1843" s="27"/>
      <c r="C1843" s="28"/>
      <c r="D1843" s="29"/>
      <c r="E1843" s="76"/>
      <c r="F1843" s="77">
        <f t="shared" si="88"/>
        <v>0</v>
      </c>
      <c r="G1843" s="96">
        <f t="shared" si="89"/>
        <v>0</v>
      </c>
      <c r="H1843" s="74"/>
      <c r="I1843" s="75">
        <f t="shared" si="90"/>
        <v>0</v>
      </c>
      <c r="J1843" s="75"/>
      <c r="K1843" s="3"/>
      <c r="O1843" s="9"/>
      <c r="S1843" s="3"/>
    </row>
    <row r="1844" spans="1:19" ht="15" customHeight="1" x14ac:dyDescent="0.35">
      <c r="A1844" s="26"/>
      <c r="B1844" s="27"/>
      <c r="C1844" s="28"/>
      <c r="D1844" s="29"/>
      <c r="E1844" s="76"/>
      <c r="F1844" s="77">
        <f t="shared" si="88"/>
        <v>0</v>
      </c>
      <c r="G1844" s="96">
        <f t="shared" si="89"/>
        <v>0</v>
      </c>
      <c r="H1844" s="74"/>
      <c r="I1844" s="75">
        <f t="shared" si="90"/>
        <v>0</v>
      </c>
      <c r="J1844" s="75"/>
      <c r="K1844" s="3"/>
      <c r="O1844" s="9"/>
      <c r="S1844" s="3"/>
    </row>
    <row r="1845" spans="1:19" ht="15" customHeight="1" x14ac:dyDescent="0.35">
      <c r="A1845" s="26"/>
      <c r="B1845" s="27"/>
      <c r="C1845" s="28"/>
      <c r="D1845" s="29"/>
      <c r="E1845" s="76"/>
      <c r="F1845" s="77">
        <f t="shared" si="88"/>
        <v>0</v>
      </c>
      <c r="G1845" s="96">
        <f t="shared" si="89"/>
        <v>0</v>
      </c>
      <c r="H1845" s="74"/>
      <c r="I1845" s="75">
        <f t="shared" si="90"/>
        <v>0</v>
      </c>
      <c r="J1845" s="75"/>
      <c r="K1845" s="3"/>
      <c r="O1845" s="9"/>
      <c r="S1845" s="3"/>
    </row>
    <row r="1846" spans="1:19" ht="15" customHeight="1" x14ac:dyDescent="0.35">
      <c r="A1846" s="26"/>
      <c r="B1846" s="27"/>
      <c r="C1846" s="28"/>
      <c r="D1846" s="29"/>
      <c r="E1846" s="76"/>
      <c r="F1846" s="77">
        <f t="shared" si="88"/>
        <v>0</v>
      </c>
      <c r="G1846" s="96">
        <f t="shared" si="89"/>
        <v>0</v>
      </c>
      <c r="H1846" s="74"/>
      <c r="I1846" s="75">
        <f t="shared" si="90"/>
        <v>0</v>
      </c>
      <c r="J1846" s="75"/>
      <c r="K1846" s="3"/>
      <c r="O1846" s="9"/>
      <c r="S1846" s="3"/>
    </row>
    <row r="1847" spans="1:19" ht="15" customHeight="1" x14ac:dyDescent="0.35">
      <c r="A1847" s="26"/>
      <c r="B1847" s="27"/>
      <c r="C1847" s="28"/>
      <c r="D1847" s="29"/>
      <c r="E1847" s="76"/>
      <c r="F1847" s="77">
        <f t="shared" si="88"/>
        <v>0</v>
      </c>
      <c r="G1847" s="96">
        <f t="shared" si="89"/>
        <v>0</v>
      </c>
      <c r="H1847" s="74"/>
      <c r="I1847" s="75">
        <f t="shared" si="90"/>
        <v>0</v>
      </c>
      <c r="J1847" s="75"/>
      <c r="K1847" s="3"/>
      <c r="O1847" s="9"/>
      <c r="S1847" s="3"/>
    </row>
    <row r="1848" spans="1:19" ht="15" customHeight="1" x14ac:dyDescent="0.35">
      <c r="A1848" s="26"/>
      <c r="B1848" s="27"/>
      <c r="C1848" s="28"/>
      <c r="D1848" s="29"/>
      <c r="E1848" s="76"/>
      <c r="F1848" s="77">
        <f t="shared" si="88"/>
        <v>0</v>
      </c>
      <c r="G1848" s="96">
        <f t="shared" si="89"/>
        <v>0</v>
      </c>
      <c r="H1848" s="74"/>
      <c r="I1848" s="75">
        <f t="shared" si="90"/>
        <v>0</v>
      </c>
      <c r="J1848" s="75"/>
      <c r="K1848" s="3"/>
      <c r="O1848" s="9"/>
      <c r="S1848" s="3"/>
    </row>
    <row r="1849" spans="1:19" ht="15" customHeight="1" x14ac:dyDescent="0.35">
      <c r="A1849" s="26"/>
      <c r="B1849" s="27"/>
      <c r="C1849" s="28"/>
      <c r="D1849" s="29"/>
      <c r="E1849" s="76"/>
      <c r="F1849" s="77">
        <f t="shared" si="88"/>
        <v>0</v>
      </c>
      <c r="G1849" s="96">
        <f t="shared" si="89"/>
        <v>0</v>
      </c>
      <c r="H1849" s="74"/>
      <c r="I1849" s="75">
        <f t="shared" si="90"/>
        <v>0</v>
      </c>
      <c r="J1849" s="75"/>
      <c r="K1849" s="3"/>
      <c r="O1849" s="9"/>
      <c r="S1849" s="3"/>
    </row>
    <row r="1850" spans="1:19" ht="15" customHeight="1" x14ac:dyDescent="0.35">
      <c r="A1850" s="26"/>
      <c r="B1850" s="27"/>
      <c r="C1850" s="28"/>
      <c r="D1850" s="29"/>
      <c r="E1850" s="76"/>
      <c r="F1850" s="77">
        <f t="shared" si="88"/>
        <v>0</v>
      </c>
      <c r="G1850" s="96">
        <f t="shared" si="89"/>
        <v>0</v>
      </c>
      <c r="H1850" s="74"/>
      <c r="I1850" s="75">
        <f t="shared" si="90"/>
        <v>0</v>
      </c>
      <c r="J1850" s="75"/>
      <c r="K1850" s="3"/>
      <c r="O1850" s="9"/>
      <c r="S1850" s="3"/>
    </row>
    <row r="1851" spans="1:19" ht="15" customHeight="1" x14ac:dyDescent="0.35">
      <c r="A1851" s="26"/>
      <c r="B1851" s="27"/>
      <c r="C1851" s="28"/>
      <c r="D1851" s="29"/>
      <c r="E1851" s="76"/>
      <c r="F1851" s="77">
        <f t="shared" si="88"/>
        <v>0</v>
      </c>
      <c r="G1851" s="96">
        <f t="shared" si="89"/>
        <v>0</v>
      </c>
      <c r="H1851" s="74"/>
      <c r="I1851" s="75">
        <f t="shared" si="90"/>
        <v>0</v>
      </c>
      <c r="J1851" s="75"/>
      <c r="K1851" s="3"/>
      <c r="O1851" s="9"/>
      <c r="S1851" s="3"/>
    </row>
    <row r="1852" spans="1:19" ht="15" customHeight="1" x14ac:dyDescent="0.35">
      <c r="A1852" s="26"/>
      <c r="B1852" s="27"/>
      <c r="C1852" s="28"/>
      <c r="D1852" s="29"/>
      <c r="E1852" s="76"/>
      <c r="F1852" s="77">
        <f t="shared" si="88"/>
        <v>0</v>
      </c>
      <c r="G1852" s="96">
        <f t="shared" si="89"/>
        <v>0</v>
      </c>
      <c r="H1852" s="74"/>
      <c r="I1852" s="75">
        <f t="shared" si="90"/>
        <v>0</v>
      </c>
      <c r="J1852" s="75"/>
      <c r="K1852" s="3"/>
      <c r="O1852" s="9"/>
      <c r="S1852" s="3"/>
    </row>
    <row r="1853" spans="1:19" ht="15" customHeight="1" x14ac:dyDescent="0.35">
      <c r="A1853" s="26"/>
      <c r="B1853" s="27"/>
      <c r="C1853" s="28"/>
      <c r="D1853" s="29"/>
      <c r="E1853" s="76"/>
      <c r="F1853" s="77">
        <f t="shared" si="88"/>
        <v>0</v>
      </c>
      <c r="G1853" s="96">
        <f t="shared" si="89"/>
        <v>0</v>
      </c>
      <c r="H1853" s="74"/>
      <c r="I1853" s="75">
        <f t="shared" si="90"/>
        <v>0</v>
      </c>
      <c r="J1853" s="75"/>
      <c r="K1853" s="3"/>
      <c r="O1853" s="9"/>
      <c r="S1853" s="3"/>
    </row>
    <row r="1854" spans="1:19" ht="15" customHeight="1" x14ac:dyDescent="0.35">
      <c r="A1854" s="26"/>
      <c r="B1854" s="27"/>
      <c r="C1854" s="28"/>
      <c r="D1854" s="29"/>
      <c r="E1854" s="76"/>
      <c r="F1854" s="77">
        <f t="shared" si="88"/>
        <v>0</v>
      </c>
      <c r="G1854" s="96">
        <f t="shared" si="89"/>
        <v>0</v>
      </c>
      <c r="H1854" s="74"/>
      <c r="I1854" s="75">
        <f t="shared" si="90"/>
        <v>0</v>
      </c>
      <c r="J1854" s="75"/>
      <c r="K1854" s="3"/>
      <c r="O1854" s="9"/>
      <c r="S1854" s="3"/>
    </row>
    <row r="1855" spans="1:19" ht="15" customHeight="1" x14ac:dyDescent="0.35">
      <c r="A1855" s="26"/>
      <c r="B1855" s="27"/>
      <c r="C1855" s="28"/>
      <c r="D1855" s="29"/>
      <c r="E1855" s="76"/>
      <c r="F1855" s="77">
        <f t="shared" si="88"/>
        <v>0</v>
      </c>
      <c r="G1855" s="96">
        <f t="shared" si="89"/>
        <v>0</v>
      </c>
      <c r="H1855" s="74"/>
      <c r="I1855" s="75">
        <f t="shared" si="90"/>
        <v>0</v>
      </c>
      <c r="J1855" s="75"/>
      <c r="K1855" s="3"/>
      <c r="O1855" s="9"/>
      <c r="S1855" s="3"/>
    </row>
    <row r="1856" spans="1:19" ht="15" customHeight="1" x14ac:dyDescent="0.35">
      <c r="A1856" s="26"/>
      <c r="B1856" s="27"/>
      <c r="C1856" s="28"/>
      <c r="D1856" s="29"/>
      <c r="E1856" s="76"/>
      <c r="F1856" s="77">
        <f t="shared" si="88"/>
        <v>0</v>
      </c>
      <c r="G1856" s="96">
        <f t="shared" si="89"/>
        <v>0</v>
      </c>
      <c r="H1856" s="74"/>
      <c r="I1856" s="75">
        <f t="shared" si="90"/>
        <v>0</v>
      </c>
      <c r="J1856" s="75"/>
      <c r="K1856" s="3"/>
      <c r="O1856" s="9"/>
      <c r="S1856" s="3"/>
    </row>
    <row r="1857" spans="1:19" ht="15" customHeight="1" x14ac:dyDescent="0.35">
      <c r="A1857" s="26"/>
      <c r="B1857" s="27"/>
      <c r="C1857" s="28"/>
      <c r="D1857" s="29"/>
      <c r="E1857" s="76"/>
      <c r="F1857" s="77">
        <f t="shared" si="88"/>
        <v>0</v>
      </c>
      <c r="G1857" s="96">
        <f t="shared" si="89"/>
        <v>0</v>
      </c>
      <c r="H1857" s="74"/>
      <c r="I1857" s="75">
        <f t="shared" si="90"/>
        <v>0</v>
      </c>
      <c r="J1857" s="75"/>
      <c r="K1857" s="3"/>
      <c r="O1857" s="9"/>
      <c r="S1857" s="3"/>
    </row>
    <row r="1858" spans="1:19" ht="15" customHeight="1" x14ac:dyDescent="0.35">
      <c r="A1858" s="26"/>
      <c r="B1858" s="27"/>
      <c r="C1858" s="28"/>
      <c r="D1858" s="29"/>
      <c r="E1858" s="76"/>
      <c r="F1858" s="77">
        <f t="shared" si="88"/>
        <v>0</v>
      </c>
      <c r="G1858" s="96">
        <f t="shared" si="89"/>
        <v>0</v>
      </c>
      <c r="H1858" s="74"/>
      <c r="I1858" s="75">
        <f t="shared" si="90"/>
        <v>0</v>
      </c>
      <c r="J1858" s="75"/>
      <c r="K1858" s="3"/>
      <c r="O1858" s="9"/>
      <c r="S1858" s="3"/>
    </row>
    <row r="1859" spans="1:19" ht="15" customHeight="1" x14ac:dyDescent="0.35">
      <c r="A1859" s="26"/>
      <c r="B1859" s="27"/>
      <c r="C1859" s="28"/>
      <c r="D1859" s="29"/>
      <c r="E1859" s="76"/>
      <c r="F1859" s="77">
        <f t="shared" si="88"/>
        <v>0</v>
      </c>
      <c r="G1859" s="96">
        <f t="shared" si="89"/>
        <v>0</v>
      </c>
      <c r="H1859" s="74"/>
      <c r="I1859" s="75">
        <f t="shared" si="90"/>
        <v>0</v>
      </c>
      <c r="J1859" s="75"/>
      <c r="K1859" s="3"/>
      <c r="O1859" s="9"/>
      <c r="S1859" s="3"/>
    </row>
    <row r="1860" spans="1:19" ht="15" customHeight="1" x14ac:dyDescent="0.35">
      <c r="A1860" s="26"/>
      <c r="B1860" s="27"/>
      <c r="C1860" s="28"/>
      <c r="D1860" s="29"/>
      <c r="E1860" s="76"/>
      <c r="F1860" s="77">
        <f t="shared" si="88"/>
        <v>0</v>
      </c>
      <c r="G1860" s="96">
        <f t="shared" si="89"/>
        <v>0</v>
      </c>
      <c r="H1860" s="74"/>
      <c r="I1860" s="75">
        <f t="shared" si="90"/>
        <v>0</v>
      </c>
      <c r="J1860" s="75"/>
      <c r="K1860" s="3"/>
      <c r="O1860" s="9"/>
      <c r="S1860" s="3"/>
    </row>
    <row r="1861" spans="1:19" ht="15" customHeight="1" x14ac:dyDescent="0.35">
      <c r="A1861" s="26"/>
      <c r="B1861" s="27"/>
      <c r="C1861" s="28"/>
      <c r="D1861" s="29"/>
      <c r="E1861" s="76"/>
      <c r="F1861" s="77">
        <f t="shared" si="88"/>
        <v>0</v>
      </c>
      <c r="G1861" s="96">
        <f t="shared" si="89"/>
        <v>0</v>
      </c>
      <c r="H1861" s="74"/>
      <c r="I1861" s="75">
        <f t="shared" si="90"/>
        <v>0</v>
      </c>
      <c r="J1861" s="75"/>
      <c r="K1861" s="3"/>
      <c r="O1861" s="9"/>
      <c r="S1861" s="3"/>
    </row>
    <row r="1862" spans="1:19" ht="15" customHeight="1" x14ac:dyDescent="0.35">
      <c r="A1862" s="26"/>
      <c r="B1862" s="27"/>
      <c r="C1862" s="28"/>
      <c r="D1862" s="29"/>
      <c r="E1862" s="76"/>
      <c r="F1862" s="77">
        <f t="shared" si="88"/>
        <v>0</v>
      </c>
      <c r="G1862" s="96">
        <f t="shared" si="89"/>
        <v>0</v>
      </c>
      <c r="H1862" s="74"/>
      <c r="I1862" s="75">
        <f t="shared" si="90"/>
        <v>0</v>
      </c>
      <c r="J1862" s="75"/>
      <c r="K1862" s="3"/>
      <c r="O1862" s="9"/>
      <c r="S1862" s="3"/>
    </row>
    <row r="1863" spans="1:19" ht="15" customHeight="1" x14ac:dyDescent="0.35">
      <c r="A1863" s="26"/>
      <c r="B1863" s="27"/>
      <c r="C1863" s="28"/>
      <c r="D1863" s="29"/>
      <c r="E1863" s="76"/>
      <c r="F1863" s="77">
        <f t="shared" si="88"/>
        <v>0</v>
      </c>
      <c r="G1863" s="96">
        <f t="shared" si="89"/>
        <v>0</v>
      </c>
      <c r="H1863" s="74"/>
      <c r="I1863" s="75">
        <f t="shared" si="90"/>
        <v>0</v>
      </c>
      <c r="J1863" s="75"/>
      <c r="K1863" s="3"/>
      <c r="O1863" s="9"/>
      <c r="S1863" s="3"/>
    </row>
    <row r="1864" spans="1:19" ht="15" customHeight="1" x14ac:dyDescent="0.35">
      <c r="A1864" s="26"/>
      <c r="B1864" s="27"/>
      <c r="C1864" s="28"/>
      <c r="D1864" s="29"/>
      <c r="E1864" s="76"/>
      <c r="F1864" s="77">
        <f t="shared" si="88"/>
        <v>0</v>
      </c>
      <c r="G1864" s="96">
        <f t="shared" si="89"/>
        <v>0</v>
      </c>
      <c r="H1864" s="74"/>
      <c r="I1864" s="75">
        <f t="shared" si="90"/>
        <v>0</v>
      </c>
      <c r="J1864" s="75"/>
      <c r="K1864" s="3"/>
      <c r="O1864" s="9"/>
      <c r="S1864" s="3"/>
    </row>
    <row r="1865" spans="1:19" ht="15" customHeight="1" x14ac:dyDescent="0.35">
      <c r="A1865" s="26"/>
      <c r="B1865" s="27"/>
      <c r="C1865" s="28"/>
      <c r="D1865" s="29"/>
      <c r="E1865" s="76"/>
      <c r="F1865" s="77">
        <f t="shared" si="88"/>
        <v>0</v>
      </c>
      <c r="G1865" s="96">
        <f t="shared" si="89"/>
        <v>0</v>
      </c>
      <c r="H1865" s="74"/>
      <c r="I1865" s="75">
        <f t="shared" si="90"/>
        <v>0</v>
      </c>
      <c r="J1865" s="75"/>
      <c r="K1865" s="3"/>
      <c r="O1865" s="9"/>
      <c r="S1865" s="3"/>
    </row>
    <row r="1866" spans="1:19" ht="15" customHeight="1" x14ac:dyDescent="0.35">
      <c r="A1866" s="26"/>
      <c r="B1866" s="27"/>
      <c r="C1866" s="28"/>
      <c r="D1866" s="29"/>
      <c r="E1866" s="76"/>
      <c r="F1866" s="77">
        <f t="shared" si="88"/>
        <v>0</v>
      </c>
      <c r="G1866" s="96">
        <f t="shared" si="89"/>
        <v>0</v>
      </c>
      <c r="H1866" s="74"/>
      <c r="I1866" s="75">
        <f t="shared" si="90"/>
        <v>0</v>
      </c>
      <c r="J1866" s="75"/>
      <c r="K1866" s="3"/>
      <c r="O1866" s="9"/>
      <c r="S1866" s="3"/>
    </row>
    <row r="1867" spans="1:19" ht="15" customHeight="1" x14ac:dyDescent="0.35">
      <c r="A1867" s="26"/>
      <c r="B1867" s="27"/>
      <c r="C1867" s="28"/>
      <c r="D1867" s="29"/>
      <c r="E1867" s="76"/>
      <c r="F1867" s="77">
        <f t="shared" si="88"/>
        <v>0</v>
      </c>
      <c r="G1867" s="96">
        <f t="shared" si="89"/>
        <v>0</v>
      </c>
      <c r="H1867" s="74"/>
      <c r="I1867" s="75">
        <f t="shared" si="90"/>
        <v>0</v>
      </c>
      <c r="J1867" s="75"/>
      <c r="K1867" s="3"/>
      <c r="O1867" s="9"/>
      <c r="S1867" s="3"/>
    </row>
    <row r="1868" spans="1:19" ht="15" customHeight="1" x14ac:dyDescent="0.35">
      <c r="A1868" s="26"/>
      <c r="B1868" s="27"/>
      <c r="C1868" s="28"/>
      <c r="D1868" s="29"/>
      <c r="E1868" s="76"/>
      <c r="F1868" s="77">
        <f t="shared" si="88"/>
        <v>0</v>
      </c>
      <c r="G1868" s="96">
        <f t="shared" si="89"/>
        <v>0</v>
      </c>
      <c r="H1868" s="74"/>
      <c r="I1868" s="75">
        <f t="shared" si="90"/>
        <v>0</v>
      </c>
      <c r="J1868" s="75"/>
      <c r="K1868" s="3"/>
      <c r="O1868" s="9"/>
      <c r="S1868" s="3"/>
    </row>
    <row r="1869" spans="1:19" ht="15" customHeight="1" x14ac:dyDescent="0.35">
      <c r="A1869" s="26"/>
      <c r="B1869" s="27"/>
      <c r="C1869" s="28"/>
      <c r="D1869" s="29"/>
      <c r="E1869" s="76"/>
      <c r="F1869" s="77">
        <f t="shared" si="88"/>
        <v>0</v>
      </c>
      <c r="G1869" s="96">
        <f t="shared" si="89"/>
        <v>0</v>
      </c>
      <c r="H1869" s="74"/>
      <c r="I1869" s="75">
        <f t="shared" si="90"/>
        <v>0</v>
      </c>
      <c r="J1869" s="75"/>
      <c r="K1869" s="3"/>
      <c r="O1869" s="9"/>
      <c r="S1869" s="3"/>
    </row>
    <row r="1870" spans="1:19" ht="15" customHeight="1" x14ac:dyDescent="0.35">
      <c r="A1870" s="26"/>
      <c r="B1870" s="27"/>
      <c r="C1870" s="28"/>
      <c r="D1870" s="29"/>
      <c r="E1870" s="76"/>
      <c r="F1870" s="77">
        <f t="shared" si="88"/>
        <v>0</v>
      </c>
      <c r="G1870" s="96">
        <f t="shared" si="89"/>
        <v>0</v>
      </c>
      <c r="H1870" s="74"/>
      <c r="I1870" s="75">
        <f t="shared" si="90"/>
        <v>0</v>
      </c>
      <c r="J1870" s="75"/>
      <c r="K1870" s="3"/>
      <c r="O1870" s="9"/>
      <c r="S1870" s="3"/>
    </row>
    <row r="1871" spans="1:19" ht="15" customHeight="1" x14ac:dyDescent="0.35">
      <c r="A1871" s="26"/>
      <c r="B1871" s="27"/>
      <c r="C1871" s="28"/>
      <c r="D1871" s="29"/>
      <c r="E1871" s="76"/>
      <c r="F1871" s="77">
        <f t="shared" si="88"/>
        <v>0</v>
      </c>
      <c r="G1871" s="96">
        <f t="shared" si="89"/>
        <v>0</v>
      </c>
      <c r="H1871" s="74"/>
      <c r="I1871" s="75">
        <f t="shared" si="90"/>
        <v>0</v>
      </c>
      <c r="J1871" s="75"/>
      <c r="K1871" s="3"/>
      <c r="O1871" s="9"/>
      <c r="S1871" s="3"/>
    </row>
    <row r="1872" spans="1:19" ht="15" customHeight="1" x14ac:dyDescent="0.35">
      <c r="A1872" s="26"/>
      <c r="B1872" s="27"/>
      <c r="C1872" s="28"/>
      <c r="D1872" s="29"/>
      <c r="E1872" s="76"/>
      <c r="F1872" s="77">
        <f t="shared" si="88"/>
        <v>0</v>
      </c>
      <c r="G1872" s="96">
        <f t="shared" si="89"/>
        <v>0</v>
      </c>
      <c r="H1872" s="74"/>
      <c r="I1872" s="75">
        <f t="shared" si="90"/>
        <v>0</v>
      </c>
      <c r="J1872" s="75"/>
      <c r="K1872" s="3"/>
      <c r="O1872" s="9"/>
      <c r="S1872" s="3"/>
    </row>
    <row r="1873" spans="1:19" ht="15" customHeight="1" x14ac:dyDescent="0.35">
      <c r="A1873" s="26"/>
      <c r="B1873" s="27"/>
      <c r="C1873" s="28"/>
      <c r="D1873" s="29"/>
      <c r="E1873" s="76"/>
      <c r="F1873" s="77">
        <f t="shared" si="88"/>
        <v>0</v>
      </c>
      <c r="G1873" s="96">
        <f t="shared" si="89"/>
        <v>0</v>
      </c>
      <c r="H1873" s="74"/>
      <c r="I1873" s="75">
        <f t="shared" si="90"/>
        <v>0</v>
      </c>
      <c r="J1873" s="75"/>
      <c r="K1873" s="3"/>
      <c r="O1873" s="9"/>
      <c r="S1873" s="3"/>
    </row>
    <row r="1874" spans="1:19" ht="15" customHeight="1" x14ac:dyDescent="0.35">
      <c r="A1874" s="26"/>
      <c r="B1874" s="27"/>
      <c r="C1874" s="28"/>
      <c r="D1874" s="29"/>
      <c r="E1874" s="76"/>
      <c r="F1874" s="77">
        <f t="shared" si="88"/>
        <v>0</v>
      </c>
      <c r="G1874" s="96">
        <f t="shared" si="89"/>
        <v>0</v>
      </c>
      <c r="H1874" s="74"/>
      <c r="I1874" s="75">
        <f t="shared" si="90"/>
        <v>0</v>
      </c>
      <c r="J1874" s="75"/>
      <c r="K1874" s="3"/>
      <c r="O1874" s="9"/>
      <c r="S1874" s="3"/>
    </row>
    <row r="1875" spans="1:19" ht="15" customHeight="1" x14ac:dyDescent="0.35">
      <c r="A1875" s="26"/>
      <c r="B1875" s="27"/>
      <c r="C1875" s="28"/>
      <c r="D1875" s="29"/>
      <c r="E1875" s="76"/>
      <c r="F1875" s="77">
        <f t="shared" si="88"/>
        <v>0</v>
      </c>
      <c r="G1875" s="96">
        <f t="shared" si="89"/>
        <v>0</v>
      </c>
      <c r="H1875" s="74"/>
      <c r="I1875" s="75">
        <f t="shared" si="90"/>
        <v>0</v>
      </c>
      <c r="J1875" s="75"/>
      <c r="K1875" s="3"/>
      <c r="O1875" s="9"/>
      <c r="S1875" s="3"/>
    </row>
    <row r="1876" spans="1:19" ht="15" customHeight="1" x14ac:dyDescent="0.35">
      <c r="A1876" s="26"/>
      <c r="B1876" s="27"/>
      <c r="C1876" s="28"/>
      <c r="D1876" s="29"/>
      <c r="E1876" s="76"/>
      <c r="F1876" s="77">
        <f t="shared" si="88"/>
        <v>0</v>
      </c>
      <c r="G1876" s="96">
        <f t="shared" si="89"/>
        <v>0</v>
      </c>
      <c r="H1876" s="74"/>
      <c r="I1876" s="75">
        <f t="shared" si="90"/>
        <v>0</v>
      </c>
      <c r="J1876" s="75"/>
      <c r="K1876" s="3"/>
      <c r="O1876" s="9"/>
      <c r="S1876" s="3"/>
    </row>
    <row r="1877" spans="1:19" ht="15" customHeight="1" x14ac:dyDescent="0.35">
      <c r="A1877" s="26"/>
      <c r="B1877" s="27"/>
      <c r="C1877" s="28"/>
      <c r="D1877" s="29"/>
      <c r="E1877" s="76"/>
      <c r="F1877" s="77">
        <f t="shared" si="88"/>
        <v>0</v>
      </c>
      <c r="G1877" s="96">
        <f t="shared" si="89"/>
        <v>0</v>
      </c>
      <c r="H1877" s="74"/>
      <c r="I1877" s="75">
        <f t="shared" si="90"/>
        <v>0</v>
      </c>
      <c r="J1877" s="75"/>
      <c r="K1877" s="3"/>
      <c r="O1877" s="9"/>
      <c r="S1877" s="3"/>
    </row>
    <row r="1878" spans="1:19" ht="15" customHeight="1" x14ac:dyDescent="0.35">
      <c r="A1878" s="26"/>
      <c r="B1878" s="27"/>
      <c r="C1878" s="28"/>
      <c r="D1878" s="29"/>
      <c r="E1878" s="76"/>
      <c r="F1878" s="77">
        <f t="shared" si="88"/>
        <v>0</v>
      </c>
      <c r="G1878" s="96">
        <f t="shared" si="89"/>
        <v>0</v>
      </c>
      <c r="H1878" s="74"/>
      <c r="I1878" s="75">
        <f t="shared" si="90"/>
        <v>0</v>
      </c>
      <c r="J1878" s="75"/>
      <c r="K1878" s="3"/>
      <c r="O1878" s="9"/>
      <c r="S1878" s="3"/>
    </row>
    <row r="1879" spans="1:19" ht="15" customHeight="1" x14ac:dyDescent="0.35">
      <c r="A1879" s="26"/>
      <c r="B1879" s="27"/>
      <c r="C1879" s="28"/>
      <c r="D1879" s="29"/>
      <c r="E1879" s="76"/>
      <c r="F1879" s="77">
        <f t="shared" si="88"/>
        <v>0</v>
      </c>
      <c r="G1879" s="96">
        <f t="shared" si="89"/>
        <v>0</v>
      </c>
      <c r="H1879" s="74"/>
      <c r="I1879" s="75">
        <f t="shared" si="90"/>
        <v>0</v>
      </c>
      <c r="J1879" s="75"/>
      <c r="K1879" s="3"/>
      <c r="O1879" s="9"/>
      <c r="S1879" s="3"/>
    </row>
    <row r="1880" spans="1:19" ht="15" customHeight="1" x14ac:dyDescent="0.35">
      <c r="A1880" s="26"/>
      <c r="B1880" s="27"/>
      <c r="C1880" s="28"/>
      <c r="D1880" s="29"/>
      <c r="E1880" s="76"/>
      <c r="F1880" s="77">
        <f t="shared" si="88"/>
        <v>0</v>
      </c>
      <c r="G1880" s="96">
        <f t="shared" si="89"/>
        <v>0</v>
      </c>
      <c r="H1880" s="74"/>
      <c r="I1880" s="75">
        <f t="shared" si="90"/>
        <v>0</v>
      </c>
      <c r="J1880" s="75"/>
      <c r="K1880" s="3"/>
      <c r="O1880" s="9"/>
      <c r="S1880" s="3"/>
    </row>
    <row r="1881" spans="1:19" ht="15" customHeight="1" x14ac:dyDescent="0.35">
      <c r="A1881" s="26"/>
      <c r="B1881" s="27"/>
      <c r="C1881" s="28"/>
      <c r="D1881" s="29"/>
      <c r="E1881" s="76"/>
      <c r="F1881" s="77">
        <f t="shared" si="88"/>
        <v>0</v>
      </c>
      <c r="G1881" s="96">
        <f t="shared" si="89"/>
        <v>0</v>
      </c>
      <c r="H1881" s="74"/>
      <c r="I1881" s="75">
        <f t="shared" si="90"/>
        <v>0</v>
      </c>
      <c r="J1881" s="75"/>
      <c r="K1881" s="3"/>
      <c r="O1881" s="9"/>
      <c r="S1881" s="3"/>
    </row>
    <row r="1882" spans="1:19" ht="15" customHeight="1" x14ac:dyDescent="0.35">
      <c r="A1882" s="26"/>
      <c r="B1882" s="27"/>
      <c r="C1882" s="28"/>
      <c r="D1882" s="29"/>
      <c r="E1882" s="76"/>
      <c r="F1882" s="77">
        <f t="shared" si="88"/>
        <v>0</v>
      </c>
      <c r="G1882" s="96">
        <f t="shared" si="89"/>
        <v>0</v>
      </c>
      <c r="H1882" s="74"/>
      <c r="I1882" s="75">
        <f t="shared" si="90"/>
        <v>0</v>
      </c>
      <c r="J1882" s="75"/>
      <c r="K1882" s="3"/>
      <c r="O1882" s="9"/>
      <c r="S1882" s="3"/>
    </row>
    <row r="1883" spans="1:19" ht="15" customHeight="1" x14ac:dyDescent="0.35">
      <c r="A1883" s="26"/>
      <c r="B1883" s="27"/>
      <c r="C1883" s="28"/>
      <c r="D1883" s="29"/>
      <c r="E1883" s="76"/>
      <c r="F1883" s="77">
        <f t="shared" si="88"/>
        <v>0</v>
      </c>
      <c r="G1883" s="96">
        <f t="shared" si="89"/>
        <v>0</v>
      </c>
      <c r="H1883" s="74"/>
      <c r="I1883" s="75">
        <f t="shared" si="90"/>
        <v>0</v>
      </c>
      <c r="J1883" s="75"/>
      <c r="K1883" s="3"/>
      <c r="O1883" s="9"/>
      <c r="S1883" s="3"/>
    </row>
    <row r="1884" spans="1:19" ht="15" customHeight="1" x14ac:dyDescent="0.35">
      <c r="A1884" s="26"/>
      <c r="B1884" s="27"/>
      <c r="C1884" s="28"/>
      <c r="D1884" s="29"/>
      <c r="E1884" s="76"/>
      <c r="F1884" s="77">
        <f t="shared" ref="F1884:F1947" si="91">+E1884*0.08</f>
        <v>0</v>
      </c>
      <c r="G1884" s="96">
        <f t="shared" ref="G1884:G1947" si="92">+F1884+E1884</f>
        <v>0</v>
      </c>
      <c r="H1884" s="74"/>
      <c r="I1884" s="75">
        <f t="shared" ref="I1884:I1947" si="93">G1884-H1884</f>
        <v>0</v>
      </c>
      <c r="J1884" s="75"/>
      <c r="K1884" s="3"/>
      <c r="O1884" s="9"/>
      <c r="S1884" s="3"/>
    </row>
    <row r="1885" spans="1:19" ht="15" customHeight="1" x14ac:dyDescent="0.35">
      <c r="A1885" s="26"/>
      <c r="B1885" s="27"/>
      <c r="C1885" s="28"/>
      <c r="D1885" s="29"/>
      <c r="E1885" s="76"/>
      <c r="F1885" s="77">
        <f t="shared" si="91"/>
        <v>0</v>
      </c>
      <c r="G1885" s="96">
        <f t="shared" si="92"/>
        <v>0</v>
      </c>
      <c r="H1885" s="74"/>
      <c r="I1885" s="75">
        <f t="shared" si="93"/>
        <v>0</v>
      </c>
      <c r="J1885" s="75"/>
      <c r="K1885" s="3"/>
      <c r="O1885" s="9"/>
      <c r="S1885" s="3"/>
    </row>
    <row r="1886" spans="1:19" ht="15" customHeight="1" x14ac:dyDescent="0.35">
      <c r="A1886" s="26"/>
      <c r="B1886" s="27"/>
      <c r="C1886" s="28"/>
      <c r="D1886" s="29"/>
      <c r="E1886" s="76"/>
      <c r="F1886" s="77">
        <f t="shared" si="91"/>
        <v>0</v>
      </c>
      <c r="G1886" s="96">
        <f t="shared" si="92"/>
        <v>0</v>
      </c>
      <c r="H1886" s="74"/>
      <c r="I1886" s="75">
        <f t="shared" si="93"/>
        <v>0</v>
      </c>
      <c r="J1886" s="75"/>
      <c r="K1886" s="3"/>
      <c r="O1886" s="9"/>
      <c r="S1886" s="3"/>
    </row>
    <row r="1887" spans="1:19" ht="15" customHeight="1" x14ac:dyDescent="0.35">
      <c r="A1887" s="26"/>
      <c r="B1887" s="27"/>
      <c r="C1887" s="28"/>
      <c r="D1887" s="29"/>
      <c r="E1887" s="76"/>
      <c r="F1887" s="77">
        <f t="shared" si="91"/>
        <v>0</v>
      </c>
      <c r="G1887" s="96">
        <f t="shared" si="92"/>
        <v>0</v>
      </c>
      <c r="H1887" s="74"/>
      <c r="I1887" s="75">
        <f t="shared" si="93"/>
        <v>0</v>
      </c>
      <c r="J1887" s="75"/>
      <c r="K1887" s="3"/>
      <c r="O1887" s="9"/>
      <c r="S1887" s="3"/>
    </row>
    <row r="1888" spans="1:19" ht="15" customHeight="1" x14ac:dyDescent="0.35">
      <c r="A1888" s="26"/>
      <c r="B1888" s="27"/>
      <c r="C1888" s="28"/>
      <c r="D1888" s="29"/>
      <c r="E1888" s="76"/>
      <c r="F1888" s="77">
        <f t="shared" si="91"/>
        <v>0</v>
      </c>
      <c r="G1888" s="96">
        <f t="shared" si="92"/>
        <v>0</v>
      </c>
      <c r="H1888" s="74"/>
      <c r="I1888" s="75">
        <f t="shared" si="93"/>
        <v>0</v>
      </c>
      <c r="J1888" s="75"/>
      <c r="K1888" s="3"/>
      <c r="O1888" s="9"/>
      <c r="S1888" s="3"/>
    </row>
    <row r="1889" spans="1:19" ht="15" customHeight="1" x14ac:dyDescent="0.35">
      <c r="A1889" s="26"/>
      <c r="B1889" s="27"/>
      <c r="C1889" s="28"/>
      <c r="D1889" s="29"/>
      <c r="E1889" s="76"/>
      <c r="F1889" s="77">
        <f t="shared" si="91"/>
        <v>0</v>
      </c>
      <c r="G1889" s="96">
        <f t="shared" si="92"/>
        <v>0</v>
      </c>
      <c r="H1889" s="74"/>
      <c r="I1889" s="75">
        <f t="shared" si="93"/>
        <v>0</v>
      </c>
      <c r="J1889" s="75"/>
      <c r="K1889" s="3"/>
      <c r="O1889" s="9"/>
      <c r="S1889" s="3"/>
    </row>
    <row r="1890" spans="1:19" ht="15" customHeight="1" x14ac:dyDescent="0.35">
      <c r="A1890" s="26"/>
      <c r="B1890" s="27"/>
      <c r="C1890" s="28"/>
      <c r="D1890" s="29"/>
      <c r="E1890" s="76"/>
      <c r="F1890" s="77">
        <f t="shared" si="91"/>
        <v>0</v>
      </c>
      <c r="G1890" s="96">
        <f t="shared" si="92"/>
        <v>0</v>
      </c>
      <c r="H1890" s="74"/>
      <c r="I1890" s="75">
        <f t="shared" si="93"/>
        <v>0</v>
      </c>
      <c r="J1890" s="75"/>
      <c r="K1890" s="3"/>
      <c r="O1890" s="9"/>
      <c r="S1890" s="3"/>
    </row>
    <row r="1891" spans="1:19" ht="15" customHeight="1" x14ac:dyDescent="0.35">
      <c r="A1891" s="26"/>
      <c r="B1891" s="27"/>
      <c r="C1891" s="28"/>
      <c r="D1891" s="29"/>
      <c r="E1891" s="76"/>
      <c r="F1891" s="77">
        <f t="shared" si="91"/>
        <v>0</v>
      </c>
      <c r="G1891" s="96">
        <f t="shared" si="92"/>
        <v>0</v>
      </c>
      <c r="H1891" s="74"/>
      <c r="I1891" s="75">
        <f t="shared" si="93"/>
        <v>0</v>
      </c>
      <c r="J1891" s="75"/>
      <c r="K1891" s="3"/>
      <c r="O1891" s="9"/>
      <c r="S1891" s="3"/>
    </row>
    <row r="1892" spans="1:19" ht="15" customHeight="1" x14ac:dyDescent="0.35">
      <c r="A1892" s="26"/>
      <c r="B1892" s="27"/>
      <c r="C1892" s="28"/>
      <c r="D1892" s="29"/>
      <c r="E1892" s="76"/>
      <c r="F1892" s="77">
        <f t="shared" si="91"/>
        <v>0</v>
      </c>
      <c r="G1892" s="96">
        <f t="shared" si="92"/>
        <v>0</v>
      </c>
      <c r="H1892" s="74"/>
      <c r="I1892" s="75">
        <f t="shared" si="93"/>
        <v>0</v>
      </c>
      <c r="J1892" s="75"/>
      <c r="K1892" s="3"/>
      <c r="O1892" s="9"/>
      <c r="S1892" s="3"/>
    </row>
    <row r="1893" spans="1:19" ht="15" customHeight="1" x14ac:dyDescent="0.35">
      <c r="A1893" s="26"/>
      <c r="B1893" s="27"/>
      <c r="C1893" s="28"/>
      <c r="D1893" s="29"/>
      <c r="E1893" s="76"/>
      <c r="F1893" s="77">
        <f t="shared" si="91"/>
        <v>0</v>
      </c>
      <c r="G1893" s="96">
        <f t="shared" si="92"/>
        <v>0</v>
      </c>
      <c r="H1893" s="74"/>
      <c r="I1893" s="75">
        <f t="shared" si="93"/>
        <v>0</v>
      </c>
      <c r="J1893" s="75"/>
      <c r="K1893" s="3"/>
      <c r="O1893" s="9"/>
      <c r="S1893" s="3"/>
    </row>
    <row r="1894" spans="1:19" ht="15" customHeight="1" x14ac:dyDescent="0.35">
      <c r="A1894" s="26"/>
      <c r="B1894" s="27"/>
      <c r="C1894" s="28"/>
      <c r="D1894" s="29"/>
      <c r="E1894" s="76"/>
      <c r="F1894" s="77">
        <f t="shared" si="91"/>
        <v>0</v>
      </c>
      <c r="G1894" s="96">
        <f t="shared" si="92"/>
        <v>0</v>
      </c>
      <c r="H1894" s="74"/>
      <c r="I1894" s="75">
        <f t="shared" si="93"/>
        <v>0</v>
      </c>
      <c r="J1894" s="75"/>
      <c r="K1894" s="3"/>
      <c r="O1894" s="9"/>
      <c r="S1894" s="3"/>
    </row>
    <row r="1895" spans="1:19" ht="15" customHeight="1" x14ac:dyDescent="0.35">
      <c r="A1895" s="26"/>
      <c r="B1895" s="27"/>
      <c r="C1895" s="28"/>
      <c r="D1895" s="29"/>
      <c r="E1895" s="76"/>
      <c r="F1895" s="77">
        <f t="shared" si="91"/>
        <v>0</v>
      </c>
      <c r="G1895" s="96">
        <f t="shared" si="92"/>
        <v>0</v>
      </c>
      <c r="H1895" s="74"/>
      <c r="I1895" s="75">
        <f t="shared" si="93"/>
        <v>0</v>
      </c>
      <c r="J1895" s="75"/>
      <c r="K1895" s="3"/>
      <c r="O1895" s="9"/>
      <c r="S1895" s="3"/>
    </row>
    <row r="1896" spans="1:19" ht="15" customHeight="1" x14ac:dyDescent="0.35">
      <c r="A1896" s="26"/>
      <c r="B1896" s="27"/>
      <c r="C1896" s="28"/>
      <c r="D1896" s="29"/>
      <c r="E1896" s="76"/>
      <c r="F1896" s="77">
        <f t="shared" si="91"/>
        <v>0</v>
      </c>
      <c r="G1896" s="96">
        <f t="shared" si="92"/>
        <v>0</v>
      </c>
      <c r="H1896" s="74"/>
      <c r="I1896" s="75">
        <f t="shared" si="93"/>
        <v>0</v>
      </c>
      <c r="J1896" s="75"/>
      <c r="K1896" s="3"/>
      <c r="O1896" s="9"/>
      <c r="S1896" s="3"/>
    </row>
    <row r="1897" spans="1:19" ht="15" customHeight="1" x14ac:dyDescent="0.35">
      <c r="A1897" s="26"/>
      <c r="B1897" s="27"/>
      <c r="C1897" s="28"/>
      <c r="D1897" s="29"/>
      <c r="E1897" s="76"/>
      <c r="F1897" s="77">
        <f t="shared" si="91"/>
        <v>0</v>
      </c>
      <c r="G1897" s="96">
        <f t="shared" si="92"/>
        <v>0</v>
      </c>
      <c r="H1897" s="74"/>
      <c r="I1897" s="75">
        <f t="shared" si="93"/>
        <v>0</v>
      </c>
      <c r="J1897" s="75"/>
      <c r="K1897" s="3"/>
      <c r="O1897" s="9"/>
      <c r="S1897" s="3"/>
    </row>
    <row r="1898" spans="1:19" ht="15" customHeight="1" x14ac:dyDescent="0.35">
      <c r="A1898" s="26"/>
      <c r="B1898" s="27"/>
      <c r="C1898" s="28"/>
      <c r="D1898" s="29"/>
      <c r="E1898" s="76"/>
      <c r="F1898" s="77">
        <f t="shared" si="91"/>
        <v>0</v>
      </c>
      <c r="G1898" s="96">
        <f t="shared" si="92"/>
        <v>0</v>
      </c>
      <c r="H1898" s="74"/>
      <c r="I1898" s="75">
        <f t="shared" si="93"/>
        <v>0</v>
      </c>
      <c r="J1898" s="75"/>
      <c r="K1898" s="3"/>
      <c r="O1898" s="9"/>
      <c r="S1898" s="3"/>
    </row>
    <row r="1899" spans="1:19" ht="15" customHeight="1" x14ac:dyDescent="0.35">
      <c r="A1899" s="26"/>
      <c r="B1899" s="27"/>
      <c r="C1899" s="28"/>
      <c r="D1899" s="29"/>
      <c r="E1899" s="76"/>
      <c r="F1899" s="77">
        <f t="shared" si="91"/>
        <v>0</v>
      </c>
      <c r="G1899" s="96">
        <f t="shared" si="92"/>
        <v>0</v>
      </c>
      <c r="H1899" s="74"/>
      <c r="I1899" s="75">
        <f t="shared" si="93"/>
        <v>0</v>
      </c>
      <c r="J1899" s="75"/>
      <c r="K1899" s="3"/>
      <c r="O1899" s="9"/>
      <c r="S1899" s="3"/>
    </row>
    <row r="1900" spans="1:19" ht="15" customHeight="1" x14ac:dyDescent="0.35">
      <c r="A1900" s="26"/>
      <c r="B1900" s="27"/>
      <c r="C1900" s="28"/>
      <c r="D1900" s="29"/>
      <c r="E1900" s="76"/>
      <c r="F1900" s="77">
        <f t="shared" si="91"/>
        <v>0</v>
      </c>
      <c r="G1900" s="96">
        <f t="shared" si="92"/>
        <v>0</v>
      </c>
      <c r="H1900" s="74"/>
      <c r="I1900" s="75">
        <f t="shared" si="93"/>
        <v>0</v>
      </c>
      <c r="J1900" s="75"/>
      <c r="K1900" s="3"/>
      <c r="O1900" s="9"/>
      <c r="S1900" s="3"/>
    </row>
    <row r="1901" spans="1:19" ht="15" customHeight="1" x14ac:dyDescent="0.35">
      <c r="A1901" s="26"/>
      <c r="B1901" s="27"/>
      <c r="C1901" s="28"/>
      <c r="D1901" s="29"/>
      <c r="E1901" s="76"/>
      <c r="F1901" s="77">
        <f t="shared" si="91"/>
        <v>0</v>
      </c>
      <c r="G1901" s="96">
        <f t="shared" si="92"/>
        <v>0</v>
      </c>
      <c r="H1901" s="74"/>
      <c r="I1901" s="75">
        <f t="shared" si="93"/>
        <v>0</v>
      </c>
      <c r="J1901" s="75"/>
      <c r="K1901" s="3"/>
      <c r="O1901" s="9"/>
      <c r="S1901" s="3"/>
    </row>
    <row r="1902" spans="1:19" ht="15" customHeight="1" x14ac:dyDescent="0.35">
      <c r="A1902" s="26"/>
      <c r="B1902" s="27"/>
      <c r="C1902" s="28"/>
      <c r="D1902" s="29"/>
      <c r="E1902" s="76"/>
      <c r="F1902" s="77">
        <f t="shared" si="91"/>
        <v>0</v>
      </c>
      <c r="G1902" s="96">
        <f t="shared" si="92"/>
        <v>0</v>
      </c>
      <c r="H1902" s="74"/>
      <c r="I1902" s="75">
        <f t="shared" si="93"/>
        <v>0</v>
      </c>
      <c r="J1902" s="75"/>
      <c r="K1902" s="3"/>
      <c r="O1902" s="9"/>
      <c r="S1902" s="3"/>
    </row>
    <row r="1903" spans="1:19" ht="15" customHeight="1" x14ac:dyDescent="0.35">
      <c r="A1903" s="26"/>
      <c r="B1903" s="27"/>
      <c r="C1903" s="28"/>
      <c r="D1903" s="29"/>
      <c r="E1903" s="76"/>
      <c r="F1903" s="77">
        <f t="shared" si="91"/>
        <v>0</v>
      </c>
      <c r="G1903" s="96">
        <f t="shared" si="92"/>
        <v>0</v>
      </c>
      <c r="H1903" s="74"/>
      <c r="I1903" s="75">
        <f t="shared" si="93"/>
        <v>0</v>
      </c>
      <c r="J1903" s="75"/>
      <c r="K1903" s="3"/>
      <c r="O1903" s="9"/>
      <c r="S1903" s="3"/>
    </row>
    <row r="1904" spans="1:19" ht="15" customHeight="1" x14ac:dyDescent="0.35">
      <c r="A1904" s="26"/>
      <c r="B1904" s="27"/>
      <c r="C1904" s="28"/>
      <c r="D1904" s="29"/>
      <c r="E1904" s="76"/>
      <c r="F1904" s="77">
        <f t="shared" si="91"/>
        <v>0</v>
      </c>
      <c r="G1904" s="96">
        <f t="shared" si="92"/>
        <v>0</v>
      </c>
      <c r="H1904" s="74"/>
      <c r="I1904" s="75">
        <f t="shared" si="93"/>
        <v>0</v>
      </c>
      <c r="J1904" s="75"/>
      <c r="K1904" s="3"/>
      <c r="O1904" s="9"/>
      <c r="S1904" s="3"/>
    </row>
    <row r="1905" spans="1:19" ht="15" customHeight="1" x14ac:dyDescent="0.35">
      <c r="A1905" s="26"/>
      <c r="B1905" s="27"/>
      <c r="C1905" s="28"/>
      <c r="D1905" s="29"/>
      <c r="E1905" s="76"/>
      <c r="F1905" s="77">
        <f t="shared" si="91"/>
        <v>0</v>
      </c>
      <c r="G1905" s="96">
        <f t="shared" si="92"/>
        <v>0</v>
      </c>
      <c r="H1905" s="74"/>
      <c r="I1905" s="75">
        <f t="shared" si="93"/>
        <v>0</v>
      </c>
      <c r="J1905" s="75"/>
      <c r="K1905" s="3"/>
      <c r="O1905" s="9"/>
      <c r="S1905" s="3"/>
    </row>
    <row r="1906" spans="1:19" ht="15" customHeight="1" x14ac:dyDescent="0.35">
      <c r="A1906" s="26"/>
      <c r="B1906" s="27"/>
      <c r="C1906" s="28"/>
      <c r="D1906" s="29"/>
      <c r="E1906" s="76"/>
      <c r="F1906" s="77">
        <f t="shared" si="91"/>
        <v>0</v>
      </c>
      <c r="G1906" s="96">
        <f t="shared" si="92"/>
        <v>0</v>
      </c>
      <c r="H1906" s="74"/>
      <c r="I1906" s="75">
        <f t="shared" si="93"/>
        <v>0</v>
      </c>
      <c r="J1906" s="75"/>
      <c r="K1906" s="3"/>
      <c r="O1906" s="9"/>
      <c r="S1906" s="3"/>
    </row>
    <row r="1907" spans="1:19" ht="15" customHeight="1" x14ac:dyDescent="0.35">
      <c r="A1907" s="26"/>
      <c r="B1907" s="27"/>
      <c r="C1907" s="28"/>
      <c r="D1907" s="29"/>
      <c r="E1907" s="76"/>
      <c r="F1907" s="77">
        <f t="shared" si="91"/>
        <v>0</v>
      </c>
      <c r="G1907" s="96">
        <f t="shared" si="92"/>
        <v>0</v>
      </c>
      <c r="H1907" s="74"/>
      <c r="I1907" s="75">
        <f t="shared" si="93"/>
        <v>0</v>
      </c>
      <c r="J1907" s="75"/>
      <c r="K1907" s="3"/>
      <c r="O1907" s="9"/>
      <c r="S1907" s="3"/>
    </row>
    <row r="1908" spans="1:19" ht="15" customHeight="1" x14ac:dyDescent="0.35">
      <c r="A1908" s="26"/>
      <c r="B1908" s="27"/>
      <c r="C1908" s="28"/>
      <c r="D1908" s="29"/>
      <c r="E1908" s="76"/>
      <c r="F1908" s="77">
        <f t="shared" si="91"/>
        <v>0</v>
      </c>
      <c r="G1908" s="96">
        <f t="shared" si="92"/>
        <v>0</v>
      </c>
      <c r="H1908" s="74"/>
      <c r="I1908" s="75">
        <f t="shared" si="93"/>
        <v>0</v>
      </c>
      <c r="J1908" s="75"/>
      <c r="K1908" s="3"/>
      <c r="O1908" s="9"/>
      <c r="S1908" s="3"/>
    </row>
    <row r="1909" spans="1:19" ht="15" customHeight="1" x14ac:dyDescent="0.35">
      <c r="A1909" s="26"/>
      <c r="B1909" s="27"/>
      <c r="C1909" s="28"/>
      <c r="D1909" s="29"/>
      <c r="E1909" s="76"/>
      <c r="F1909" s="77">
        <f t="shared" si="91"/>
        <v>0</v>
      </c>
      <c r="G1909" s="96">
        <f t="shared" si="92"/>
        <v>0</v>
      </c>
      <c r="H1909" s="74"/>
      <c r="I1909" s="75">
        <f t="shared" si="93"/>
        <v>0</v>
      </c>
      <c r="J1909" s="75"/>
      <c r="K1909" s="3"/>
      <c r="O1909" s="9"/>
      <c r="S1909" s="3"/>
    </row>
    <row r="1910" spans="1:19" ht="15" customHeight="1" x14ac:dyDescent="0.35">
      <c r="A1910" s="26"/>
      <c r="B1910" s="27"/>
      <c r="C1910" s="28"/>
      <c r="D1910" s="29"/>
      <c r="E1910" s="76"/>
      <c r="F1910" s="77">
        <f t="shared" si="91"/>
        <v>0</v>
      </c>
      <c r="G1910" s="96">
        <f t="shared" si="92"/>
        <v>0</v>
      </c>
      <c r="H1910" s="74"/>
      <c r="I1910" s="75">
        <f t="shared" si="93"/>
        <v>0</v>
      </c>
      <c r="J1910" s="75"/>
      <c r="K1910" s="3"/>
      <c r="O1910" s="9"/>
      <c r="S1910" s="3"/>
    </row>
    <row r="1911" spans="1:19" ht="15" customHeight="1" x14ac:dyDescent="0.35">
      <c r="A1911" s="26"/>
      <c r="B1911" s="27"/>
      <c r="C1911" s="28"/>
      <c r="D1911" s="29"/>
      <c r="E1911" s="76"/>
      <c r="F1911" s="77">
        <f t="shared" si="91"/>
        <v>0</v>
      </c>
      <c r="G1911" s="96">
        <f t="shared" si="92"/>
        <v>0</v>
      </c>
      <c r="H1911" s="74"/>
      <c r="I1911" s="75">
        <f t="shared" si="93"/>
        <v>0</v>
      </c>
      <c r="J1911" s="75"/>
      <c r="K1911" s="3"/>
      <c r="O1911" s="9"/>
      <c r="S1911" s="3"/>
    </row>
    <row r="1912" spans="1:19" ht="15" customHeight="1" x14ac:dyDescent="0.35">
      <c r="A1912" s="26"/>
      <c r="B1912" s="27"/>
      <c r="C1912" s="28"/>
      <c r="D1912" s="29"/>
      <c r="E1912" s="76"/>
      <c r="F1912" s="77">
        <f t="shared" si="91"/>
        <v>0</v>
      </c>
      <c r="G1912" s="96">
        <f t="shared" si="92"/>
        <v>0</v>
      </c>
      <c r="H1912" s="74"/>
      <c r="I1912" s="75">
        <f t="shared" si="93"/>
        <v>0</v>
      </c>
      <c r="J1912" s="75"/>
      <c r="K1912" s="3"/>
      <c r="O1912" s="9"/>
      <c r="S1912" s="3"/>
    </row>
    <row r="1913" spans="1:19" ht="15" customHeight="1" x14ac:dyDescent="0.35">
      <c r="A1913" s="26"/>
      <c r="B1913" s="27"/>
      <c r="C1913" s="28"/>
      <c r="D1913" s="29"/>
      <c r="E1913" s="76"/>
      <c r="F1913" s="77">
        <f t="shared" si="91"/>
        <v>0</v>
      </c>
      <c r="G1913" s="96">
        <f t="shared" si="92"/>
        <v>0</v>
      </c>
      <c r="H1913" s="74"/>
      <c r="I1913" s="75">
        <f t="shared" si="93"/>
        <v>0</v>
      </c>
      <c r="J1913" s="75"/>
      <c r="K1913" s="3"/>
      <c r="O1913" s="9"/>
      <c r="S1913" s="3"/>
    </row>
    <row r="1914" spans="1:19" ht="15" customHeight="1" x14ac:dyDescent="0.35">
      <c r="A1914" s="26"/>
      <c r="B1914" s="27"/>
      <c r="C1914" s="28"/>
      <c r="D1914" s="29"/>
      <c r="E1914" s="76"/>
      <c r="F1914" s="77">
        <f t="shared" si="91"/>
        <v>0</v>
      </c>
      <c r="G1914" s="96">
        <f t="shared" si="92"/>
        <v>0</v>
      </c>
      <c r="H1914" s="74"/>
      <c r="I1914" s="75">
        <f t="shared" si="93"/>
        <v>0</v>
      </c>
      <c r="J1914" s="75"/>
      <c r="K1914" s="3"/>
      <c r="O1914" s="9"/>
      <c r="S1914" s="3"/>
    </row>
    <row r="1915" spans="1:19" ht="15" customHeight="1" x14ac:dyDescent="0.35">
      <c r="A1915" s="26"/>
      <c r="B1915" s="27"/>
      <c r="C1915" s="28"/>
      <c r="D1915" s="29"/>
      <c r="E1915" s="76"/>
      <c r="F1915" s="77">
        <f t="shared" si="91"/>
        <v>0</v>
      </c>
      <c r="G1915" s="96">
        <f t="shared" si="92"/>
        <v>0</v>
      </c>
      <c r="H1915" s="74"/>
      <c r="I1915" s="75">
        <f t="shared" si="93"/>
        <v>0</v>
      </c>
      <c r="J1915" s="75"/>
      <c r="K1915" s="3"/>
      <c r="O1915" s="9"/>
      <c r="S1915" s="3"/>
    </row>
    <row r="1916" spans="1:19" ht="15" customHeight="1" x14ac:dyDescent="0.35">
      <c r="A1916" s="26"/>
      <c r="B1916" s="27"/>
      <c r="C1916" s="28"/>
      <c r="D1916" s="29"/>
      <c r="E1916" s="76"/>
      <c r="F1916" s="77">
        <f t="shared" si="91"/>
        <v>0</v>
      </c>
      <c r="G1916" s="96">
        <f t="shared" si="92"/>
        <v>0</v>
      </c>
      <c r="H1916" s="74"/>
      <c r="I1916" s="75">
        <f t="shared" si="93"/>
        <v>0</v>
      </c>
      <c r="J1916" s="75"/>
      <c r="K1916" s="3"/>
      <c r="O1916" s="9"/>
      <c r="S1916" s="3"/>
    </row>
    <row r="1917" spans="1:19" ht="15" customHeight="1" x14ac:dyDescent="0.35">
      <c r="A1917" s="26"/>
      <c r="B1917" s="27"/>
      <c r="C1917" s="28"/>
      <c r="D1917" s="29"/>
      <c r="E1917" s="76"/>
      <c r="F1917" s="77">
        <f t="shared" si="91"/>
        <v>0</v>
      </c>
      <c r="G1917" s="96">
        <f t="shared" si="92"/>
        <v>0</v>
      </c>
      <c r="H1917" s="74"/>
      <c r="I1917" s="75">
        <f t="shared" si="93"/>
        <v>0</v>
      </c>
      <c r="J1917" s="75"/>
      <c r="K1917" s="3"/>
      <c r="O1917" s="9"/>
      <c r="S1917" s="3"/>
    </row>
    <row r="1918" spans="1:19" ht="15" customHeight="1" x14ac:dyDescent="0.35">
      <c r="A1918" s="26"/>
      <c r="B1918" s="27"/>
      <c r="C1918" s="28"/>
      <c r="D1918" s="29"/>
      <c r="E1918" s="76"/>
      <c r="F1918" s="77">
        <f t="shared" si="91"/>
        <v>0</v>
      </c>
      <c r="G1918" s="96">
        <f t="shared" si="92"/>
        <v>0</v>
      </c>
      <c r="H1918" s="74"/>
      <c r="I1918" s="75">
        <f t="shared" si="93"/>
        <v>0</v>
      </c>
      <c r="J1918" s="75"/>
      <c r="K1918" s="3"/>
      <c r="O1918" s="9"/>
      <c r="S1918" s="3"/>
    </row>
    <row r="1919" spans="1:19" ht="15" customHeight="1" x14ac:dyDescent="0.35">
      <c r="A1919" s="26"/>
      <c r="B1919" s="27"/>
      <c r="C1919" s="28"/>
      <c r="D1919" s="29"/>
      <c r="E1919" s="76"/>
      <c r="F1919" s="77">
        <f t="shared" si="91"/>
        <v>0</v>
      </c>
      <c r="G1919" s="96">
        <f t="shared" si="92"/>
        <v>0</v>
      </c>
      <c r="H1919" s="74"/>
      <c r="I1919" s="75">
        <f t="shared" si="93"/>
        <v>0</v>
      </c>
      <c r="J1919" s="75"/>
      <c r="K1919" s="3"/>
      <c r="O1919" s="9"/>
      <c r="S1919" s="3"/>
    </row>
    <row r="1920" spans="1:19" ht="15" customHeight="1" x14ac:dyDescent="0.35">
      <c r="A1920" s="26"/>
      <c r="B1920" s="27"/>
      <c r="C1920" s="28"/>
      <c r="D1920" s="29"/>
      <c r="E1920" s="76"/>
      <c r="F1920" s="77">
        <f t="shared" si="91"/>
        <v>0</v>
      </c>
      <c r="G1920" s="96">
        <f t="shared" si="92"/>
        <v>0</v>
      </c>
      <c r="H1920" s="74"/>
      <c r="I1920" s="75">
        <f t="shared" si="93"/>
        <v>0</v>
      </c>
      <c r="J1920" s="75"/>
      <c r="K1920" s="3"/>
      <c r="O1920" s="9"/>
      <c r="S1920" s="3"/>
    </row>
    <row r="1921" spans="1:19" ht="15" customHeight="1" x14ac:dyDescent="0.35">
      <c r="A1921" s="26"/>
      <c r="B1921" s="27"/>
      <c r="C1921" s="28"/>
      <c r="D1921" s="29"/>
      <c r="E1921" s="76"/>
      <c r="F1921" s="77">
        <f t="shared" si="91"/>
        <v>0</v>
      </c>
      <c r="G1921" s="96">
        <f t="shared" si="92"/>
        <v>0</v>
      </c>
      <c r="H1921" s="74"/>
      <c r="I1921" s="75">
        <f t="shared" si="93"/>
        <v>0</v>
      </c>
      <c r="J1921" s="75"/>
      <c r="K1921" s="3"/>
      <c r="O1921" s="9"/>
      <c r="S1921" s="3"/>
    </row>
    <row r="1922" spans="1:19" ht="15" customHeight="1" x14ac:dyDescent="0.35">
      <c r="A1922" s="26"/>
      <c r="B1922" s="27"/>
      <c r="C1922" s="28"/>
      <c r="D1922" s="29"/>
      <c r="E1922" s="76"/>
      <c r="F1922" s="77">
        <f t="shared" si="91"/>
        <v>0</v>
      </c>
      <c r="G1922" s="96">
        <f t="shared" si="92"/>
        <v>0</v>
      </c>
      <c r="H1922" s="74"/>
      <c r="I1922" s="75">
        <f t="shared" si="93"/>
        <v>0</v>
      </c>
      <c r="J1922" s="75"/>
      <c r="K1922" s="3"/>
      <c r="O1922" s="9"/>
      <c r="S1922" s="3"/>
    </row>
    <row r="1923" spans="1:19" ht="15" customHeight="1" x14ac:dyDescent="0.35">
      <c r="A1923" s="26"/>
      <c r="B1923" s="27"/>
      <c r="C1923" s="28"/>
      <c r="D1923" s="29"/>
      <c r="E1923" s="76"/>
      <c r="F1923" s="77">
        <f t="shared" si="91"/>
        <v>0</v>
      </c>
      <c r="G1923" s="96">
        <f t="shared" si="92"/>
        <v>0</v>
      </c>
      <c r="H1923" s="74"/>
      <c r="I1923" s="75">
        <f t="shared" si="93"/>
        <v>0</v>
      </c>
      <c r="J1923" s="75"/>
      <c r="K1923" s="3"/>
      <c r="O1923" s="9"/>
      <c r="S1923" s="3"/>
    </row>
    <row r="1924" spans="1:19" ht="15" customHeight="1" x14ac:dyDescent="0.35">
      <c r="A1924" s="26"/>
      <c r="B1924" s="27"/>
      <c r="C1924" s="28"/>
      <c r="D1924" s="29"/>
      <c r="E1924" s="76"/>
      <c r="F1924" s="77">
        <f t="shared" si="91"/>
        <v>0</v>
      </c>
      <c r="G1924" s="96">
        <f t="shared" si="92"/>
        <v>0</v>
      </c>
      <c r="H1924" s="74"/>
      <c r="I1924" s="75">
        <f t="shared" si="93"/>
        <v>0</v>
      </c>
      <c r="J1924" s="75"/>
      <c r="K1924" s="3"/>
      <c r="O1924" s="9"/>
      <c r="S1924" s="3"/>
    </row>
    <row r="1925" spans="1:19" ht="15" customHeight="1" x14ac:dyDescent="0.35">
      <c r="A1925" s="26"/>
      <c r="B1925" s="27"/>
      <c r="C1925" s="28"/>
      <c r="D1925" s="29"/>
      <c r="E1925" s="76"/>
      <c r="F1925" s="77">
        <f t="shared" si="91"/>
        <v>0</v>
      </c>
      <c r="G1925" s="96">
        <f t="shared" si="92"/>
        <v>0</v>
      </c>
      <c r="H1925" s="74"/>
      <c r="I1925" s="75">
        <f t="shared" si="93"/>
        <v>0</v>
      </c>
      <c r="J1925" s="75"/>
      <c r="K1925" s="3"/>
      <c r="O1925" s="9"/>
      <c r="S1925" s="3"/>
    </row>
    <row r="1926" spans="1:19" ht="15" customHeight="1" x14ac:dyDescent="0.35">
      <c r="A1926" s="26"/>
      <c r="B1926" s="27"/>
      <c r="C1926" s="28"/>
      <c r="D1926" s="29"/>
      <c r="E1926" s="76"/>
      <c r="F1926" s="77">
        <f t="shared" si="91"/>
        <v>0</v>
      </c>
      <c r="G1926" s="96">
        <f t="shared" si="92"/>
        <v>0</v>
      </c>
      <c r="H1926" s="74"/>
      <c r="I1926" s="75">
        <f t="shared" si="93"/>
        <v>0</v>
      </c>
      <c r="J1926" s="75"/>
      <c r="K1926" s="3"/>
      <c r="O1926" s="9"/>
      <c r="S1926" s="3"/>
    </row>
    <row r="1927" spans="1:19" ht="15" customHeight="1" x14ac:dyDescent="0.35">
      <c r="A1927" s="26"/>
      <c r="B1927" s="27"/>
      <c r="C1927" s="28"/>
      <c r="D1927" s="29"/>
      <c r="E1927" s="76"/>
      <c r="F1927" s="77">
        <f t="shared" si="91"/>
        <v>0</v>
      </c>
      <c r="G1927" s="96">
        <f t="shared" si="92"/>
        <v>0</v>
      </c>
      <c r="H1927" s="74"/>
      <c r="I1927" s="75">
        <f t="shared" si="93"/>
        <v>0</v>
      </c>
      <c r="J1927" s="75"/>
      <c r="K1927" s="3"/>
      <c r="O1927" s="9"/>
      <c r="S1927" s="3"/>
    </row>
    <row r="1928" spans="1:19" ht="15" customHeight="1" x14ac:dyDescent="0.35">
      <c r="A1928" s="26"/>
      <c r="B1928" s="27"/>
      <c r="C1928" s="28"/>
      <c r="D1928" s="29"/>
      <c r="E1928" s="76"/>
      <c r="F1928" s="77">
        <f t="shared" si="91"/>
        <v>0</v>
      </c>
      <c r="G1928" s="96">
        <f t="shared" si="92"/>
        <v>0</v>
      </c>
      <c r="H1928" s="74"/>
      <c r="I1928" s="75">
        <f t="shared" si="93"/>
        <v>0</v>
      </c>
      <c r="J1928" s="75"/>
      <c r="K1928" s="3"/>
      <c r="O1928" s="9"/>
      <c r="S1928" s="3"/>
    </row>
    <row r="1929" spans="1:19" ht="15" customHeight="1" x14ac:dyDescent="0.35">
      <c r="A1929" s="26"/>
      <c r="B1929" s="27"/>
      <c r="C1929" s="28"/>
      <c r="D1929" s="29"/>
      <c r="E1929" s="76"/>
      <c r="F1929" s="77">
        <f t="shared" si="91"/>
        <v>0</v>
      </c>
      <c r="G1929" s="96">
        <f t="shared" si="92"/>
        <v>0</v>
      </c>
      <c r="H1929" s="74"/>
      <c r="I1929" s="75">
        <f t="shared" si="93"/>
        <v>0</v>
      </c>
      <c r="J1929" s="75"/>
      <c r="K1929" s="3"/>
      <c r="O1929" s="9"/>
      <c r="S1929" s="3"/>
    </row>
    <row r="1930" spans="1:19" ht="15" customHeight="1" x14ac:dyDescent="0.35">
      <c r="A1930" s="26"/>
      <c r="B1930" s="27"/>
      <c r="C1930" s="28"/>
      <c r="D1930" s="29"/>
      <c r="E1930" s="76"/>
      <c r="F1930" s="77">
        <f t="shared" si="91"/>
        <v>0</v>
      </c>
      <c r="G1930" s="96">
        <f t="shared" si="92"/>
        <v>0</v>
      </c>
      <c r="H1930" s="74"/>
      <c r="I1930" s="75">
        <f t="shared" si="93"/>
        <v>0</v>
      </c>
      <c r="J1930" s="75"/>
      <c r="K1930" s="3"/>
      <c r="O1930" s="9"/>
      <c r="S1930" s="3"/>
    </row>
    <row r="1931" spans="1:19" ht="15" customHeight="1" x14ac:dyDescent="0.35">
      <c r="A1931" s="26"/>
      <c r="B1931" s="27"/>
      <c r="C1931" s="28"/>
      <c r="D1931" s="29"/>
      <c r="E1931" s="76"/>
      <c r="F1931" s="77">
        <f t="shared" si="91"/>
        <v>0</v>
      </c>
      <c r="G1931" s="96">
        <f t="shared" si="92"/>
        <v>0</v>
      </c>
      <c r="H1931" s="74"/>
      <c r="I1931" s="75">
        <f t="shared" si="93"/>
        <v>0</v>
      </c>
      <c r="J1931" s="75"/>
      <c r="K1931" s="3"/>
      <c r="O1931" s="9"/>
      <c r="S1931" s="3"/>
    </row>
    <row r="1932" spans="1:19" ht="15" customHeight="1" x14ac:dyDescent="0.35">
      <c r="A1932" s="26"/>
      <c r="B1932" s="27"/>
      <c r="C1932" s="28"/>
      <c r="D1932" s="29"/>
      <c r="E1932" s="76"/>
      <c r="F1932" s="77">
        <f t="shared" si="91"/>
        <v>0</v>
      </c>
      <c r="G1932" s="96">
        <f t="shared" si="92"/>
        <v>0</v>
      </c>
      <c r="H1932" s="74"/>
      <c r="I1932" s="75">
        <f t="shared" si="93"/>
        <v>0</v>
      </c>
      <c r="J1932" s="75"/>
      <c r="K1932" s="3"/>
      <c r="O1932" s="9"/>
      <c r="S1932" s="3"/>
    </row>
    <row r="1933" spans="1:19" ht="15" customHeight="1" x14ac:dyDescent="0.35">
      <c r="A1933" s="26"/>
      <c r="B1933" s="27"/>
      <c r="C1933" s="28"/>
      <c r="D1933" s="29"/>
      <c r="E1933" s="76"/>
      <c r="F1933" s="77">
        <f t="shared" si="91"/>
        <v>0</v>
      </c>
      <c r="G1933" s="96">
        <f t="shared" si="92"/>
        <v>0</v>
      </c>
      <c r="H1933" s="74"/>
      <c r="I1933" s="75">
        <f t="shared" si="93"/>
        <v>0</v>
      </c>
      <c r="J1933" s="75"/>
      <c r="K1933" s="3"/>
      <c r="O1933" s="9"/>
      <c r="S1933" s="3"/>
    </row>
    <row r="1934" spans="1:19" ht="15" customHeight="1" x14ac:dyDescent="0.35">
      <c r="A1934" s="26"/>
      <c r="B1934" s="27"/>
      <c r="C1934" s="28"/>
      <c r="D1934" s="29"/>
      <c r="E1934" s="76"/>
      <c r="F1934" s="77">
        <f t="shared" si="91"/>
        <v>0</v>
      </c>
      <c r="G1934" s="96">
        <f t="shared" si="92"/>
        <v>0</v>
      </c>
      <c r="H1934" s="74"/>
      <c r="I1934" s="75">
        <f t="shared" si="93"/>
        <v>0</v>
      </c>
      <c r="J1934" s="75"/>
      <c r="K1934" s="3"/>
      <c r="O1934" s="9"/>
      <c r="S1934" s="3"/>
    </row>
    <row r="1935" spans="1:19" ht="15" customHeight="1" x14ac:dyDescent="0.35">
      <c r="A1935" s="26"/>
      <c r="B1935" s="27"/>
      <c r="C1935" s="28"/>
      <c r="D1935" s="29"/>
      <c r="E1935" s="76"/>
      <c r="F1935" s="77">
        <f t="shared" si="91"/>
        <v>0</v>
      </c>
      <c r="G1935" s="96">
        <f t="shared" si="92"/>
        <v>0</v>
      </c>
      <c r="H1935" s="74"/>
      <c r="I1935" s="75">
        <f t="shared" si="93"/>
        <v>0</v>
      </c>
      <c r="J1935" s="75"/>
      <c r="K1935" s="3"/>
      <c r="O1935" s="9"/>
      <c r="S1935" s="3"/>
    </row>
    <row r="1936" spans="1:19" ht="15" customHeight="1" x14ac:dyDescent="0.35">
      <c r="A1936" s="26"/>
      <c r="B1936" s="27"/>
      <c r="C1936" s="28"/>
      <c r="D1936" s="29"/>
      <c r="E1936" s="76"/>
      <c r="F1936" s="77">
        <f t="shared" si="91"/>
        <v>0</v>
      </c>
      <c r="G1936" s="96">
        <f t="shared" si="92"/>
        <v>0</v>
      </c>
      <c r="H1936" s="74"/>
      <c r="I1936" s="75">
        <f t="shared" si="93"/>
        <v>0</v>
      </c>
      <c r="J1936" s="75"/>
      <c r="K1936" s="3"/>
      <c r="O1936" s="9"/>
      <c r="S1936" s="3"/>
    </row>
    <row r="1937" spans="1:19" ht="15" customHeight="1" x14ac:dyDescent="0.35">
      <c r="A1937" s="26"/>
      <c r="B1937" s="27"/>
      <c r="C1937" s="28"/>
      <c r="D1937" s="29"/>
      <c r="E1937" s="76"/>
      <c r="F1937" s="77">
        <f t="shared" si="91"/>
        <v>0</v>
      </c>
      <c r="G1937" s="96">
        <f t="shared" si="92"/>
        <v>0</v>
      </c>
      <c r="H1937" s="74"/>
      <c r="I1937" s="75">
        <f t="shared" si="93"/>
        <v>0</v>
      </c>
      <c r="J1937" s="75"/>
      <c r="K1937" s="3"/>
      <c r="O1937" s="9"/>
      <c r="S1937" s="3"/>
    </row>
    <row r="1938" spans="1:19" ht="15" customHeight="1" x14ac:dyDescent="0.35">
      <c r="A1938" s="26"/>
      <c r="B1938" s="27"/>
      <c r="C1938" s="28"/>
      <c r="D1938" s="29"/>
      <c r="E1938" s="76"/>
      <c r="F1938" s="77">
        <f t="shared" si="91"/>
        <v>0</v>
      </c>
      <c r="G1938" s="96">
        <f t="shared" si="92"/>
        <v>0</v>
      </c>
      <c r="H1938" s="74"/>
      <c r="I1938" s="75">
        <f t="shared" si="93"/>
        <v>0</v>
      </c>
      <c r="J1938" s="75"/>
      <c r="K1938" s="3"/>
      <c r="O1938" s="9"/>
      <c r="S1938" s="3"/>
    </row>
    <row r="1939" spans="1:19" ht="15" customHeight="1" x14ac:dyDescent="0.35">
      <c r="A1939" s="26"/>
      <c r="B1939" s="27"/>
      <c r="C1939" s="28"/>
      <c r="D1939" s="29"/>
      <c r="E1939" s="76"/>
      <c r="F1939" s="77">
        <f t="shared" si="91"/>
        <v>0</v>
      </c>
      <c r="G1939" s="96">
        <f t="shared" si="92"/>
        <v>0</v>
      </c>
      <c r="H1939" s="74"/>
      <c r="I1939" s="75">
        <f t="shared" si="93"/>
        <v>0</v>
      </c>
      <c r="J1939" s="75"/>
      <c r="K1939" s="3"/>
      <c r="O1939" s="9"/>
      <c r="S1939" s="3"/>
    </row>
    <row r="1940" spans="1:19" ht="15" customHeight="1" x14ac:dyDescent="0.35">
      <c r="A1940" s="26"/>
      <c r="B1940" s="27"/>
      <c r="C1940" s="28"/>
      <c r="D1940" s="29"/>
      <c r="E1940" s="76"/>
      <c r="F1940" s="77">
        <f t="shared" si="91"/>
        <v>0</v>
      </c>
      <c r="G1940" s="96">
        <f t="shared" si="92"/>
        <v>0</v>
      </c>
      <c r="H1940" s="74"/>
      <c r="I1940" s="75">
        <f t="shared" si="93"/>
        <v>0</v>
      </c>
      <c r="J1940" s="75"/>
      <c r="K1940" s="3"/>
      <c r="O1940" s="9"/>
      <c r="S1940" s="3"/>
    </row>
    <row r="1941" spans="1:19" ht="15" customHeight="1" x14ac:dyDescent="0.35">
      <c r="A1941" s="26"/>
      <c r="B1941" s="27"/>
      <c r="C1941" s="28"/>
      <c r="D1941" s="29"/>
      <c r="E1941" s="76"/>
      <c r="F1941" s="77">
        <f t="shared" si="91"/>
        <v>0</v>
      </c>
      <c r="G1941" s="96">
        <f t="shared" si="92"/>
        <v>0</v>
      </c>
      <c r="H1941" s="74"/>
      <c r="I1941" s="75">
        <f t="shared" si="93"/>
        <v>0</v>
      </c>
      <c r="J1941" s="75"/>
      <c r="K1941" s="3"/>
      <c r="O1941" s="9"/>
      <c r="S1941" s="3"/>
    </row>
    <row r="1942" spans="1:19" ht="15" customHeight="1" x14ac:dyDescent="0.35">
      <c r="A1942" s="26"/>
      <c r="B1942" s="27"/>
      <c r="C1942" s="28"/>
      <c r="D1942" s="29"/>
      <c r="E1942" s="76"/>
      <c r="F1942" s="77">
        <f t="shared" si="91"/>
        <v>0</v>
      </c>
      <c r="G1942" s="96">
        <f t="shared" si="92"/>
        <v>0</v>
      </c>
      <c r="H1942" s="74"/>
      <c r="I1942" s="75">
        <f t="shared" si="93"/>
        <v>0</v>
      </c>
      <c r="J1942" s="75"/>
      <c r="K1942" s="3"/>
      <c r="O1942" s="9"/>
      <c r="S1942" s="3"/>
    </row>
    <row r="1943" spans="1:19" ht="15" customHeight="1" x14ac:dyDescent="0.35">
      <c r="A1943" s="26"/>
      <c r="B1943" s="27"/>
      <c r="C1943" s="28"/>
      <c r="D1943" s="29"/>
      <c r="E1943" s="76"/>
      <c r="F1943" s="77">
        <f t="shared" si="91"/>
        <v>0</v>
      </c>
      <c r="G1943" s="96">
        <f t="shared" si="92"/>
        <v>0</v>
      </c>
      <c r="H1943" s="74"/>
      <c r="I1943" s="75">
        <f t="shared" si="93"/>
        <v>0</v>
      </c>
      <c r="J1943" s="75"/>
      <c r="K1943" s="3"/>
      <c r="O1943" s="9"/>
      <c r="S1943" s="3"/>
    </row>
    <row r="1944" spans="1:19" ht="15" customHeight="1" x14ac:dyDescent="0.35">
      <c r="A1944" s="26"/>
      <c r="B1944" s="27"/>
      <c r="C1944" s="28"/>
      <c r="D1944" s="29"/>
      <c r="E1944" s="76"/>
      <c r="F1944" s="77">
        <f t="shared" si="91"/>
        <v>0</v>
      </c>
      <c r="G1944" s="96">
        <f t="shared" si="92"/>
        <v>0</v>
      </c>
      <c r="H1944" s="74"/>
      <c r="I1944" s="75">
        <f t="shared" si="93"/>
        <v>0</v>
      </c>
      <c r="J1944" s="75"/>
      <c r="K1944" s="3"/>
      <c r="O1944" s="9"/>
      <c r="S1944" s="3"/>
    </row>
    <row r="1945" spans="1:19" ht="15" customHeight="1" x14ac:dyDescent="0.35">
      <c r="A1945" s="26"/>
      <c r="B1945" s="27"/>
      <c r="C1945" s="28"/>
      <c r="D1945" s="29"/>
      <c r="E1945" s="76"/>
      <c r="F1945" s="77">
        <f t="shared" si="91"/>
        <v>0</v>
      </c>
      <c r="G1945" s="96">
        <f t="shared" si="92"/>
        <v>0</v>
      </c>
      <c r="H1945" s="74"/>
      <c r="I1945" s="75">
        <f t="shared" si="93"/>
        <v>0</v>
      </c>
      <c r="J1945" s="75"/>
      <c r="K1945" s="3"/>
      <c r="O1945" s="9"/>
      <c r="S1945" s="3"/>
    </row>
    <row r="1946" spans="1:19" ht="15" customHeight="1" x14ac:dyDescent="0.35">
      <c r="A1946" s="26"/>
      <c r="B1946" s="27"/>
      <c r="C1946" s="28"/>
      <c r="D1946" s="29"/>
      <c r="E1946" s="76"/>
      <c r="F1946" s="77">
        <f t="shared" si="91"/>
        <v>0</v>
      </c>
      <c r="G1946" s="96">
        <f t="shared" si="92"/>
        <v>0</v>
      </c>
      <c r="H1946" s="74"/>
      <c r="I1946" s="75">
        <f t="shared" si="93"/>
        <v>0</v>
      </c>
      <c r="J1946" s="75"/>
      <c r="K1946" s="3"/>
      <c r="O1946" s="9"/>
      <c r="S1946" s="3"/>
    </row>
    <row r="1947" spans="1:19" ht="15" customHeight="1" x14ac:dyDescent="0.35">
      <c r="A1947" s="26"/>
      <c r="B1947" s="27"/>
      <c r="C1947" s="28"/>
      <c r="D1947" s="29"/>
      <c r="E1947" s="76"/>
      <c r="F1947" s="77">
        <f t="shared" si="91"/>
        <v>0</v>
      </c>
      <c r="G1947" s="96">
        <f t="shared" si="92"/>
        <v>0</v>
      </c>
      <c r="H1947" s="74"/>
      <c r="I1947" s="75">
        <f t="shared" si="93"/>
        <v>0</v>
      </c>
      <c r="J1947" s="75"/>
      <c r="K1947" s="3"/>
      <c r="O1947" s="9"/>
      <c r="S1947" s="3"/>
    </row>
    <row r="1948" spans="1:19" ht="15" customHeight="1" x14ac:dyDescent="0.35">
      <c r="A1948" s="26"/>
      <c r="B1948" s="27"/>
      <c r="C1948" s="28"/>
      <c r="D1948" s="29"/>
      <c r="E1948" s="76"/>
      <c r="F1948" s="77">
        <f t="shared" ref="F1948:F1950" si="94">+E1948*0.08</f>
        <v>0</v>
      </c>
      <c r="G1948" s="96">
        <f t="shared" ref="G1948:G1956" si="95">+F1948+E1948</f>
        <v>0</v>
      </c>
      <c r="H1948" s="74"/>
      <c r="I1948" s="75">
        <f t="shared" ref="I1948:I1954" si="96">G1948-H1948</f>
        <v>0</v>
      </c>
      <c r="J1948" s="75"/>
      <c r="K1948" s="3"/>
      <c r="O1948" s="9"/>
      <c r="S1948" s="3"/>
    </row>
    <row r="1949" spans="1:19" ht="15" customHeight="1" x14ac:dyDescent="0.35">
      <c r="A1949" s="26"/>
      <c r="B1949" s="27"/>
      <c r="C1949" s="28"/>
      <c r="D1949" s="29"/>
      <c r="E1949" s="76"/>
      <c r="F1949" s="77">
        <f t="shared" si="94"/>
        <v>0</v>
      </c>
      <c r="G1949" s="96">
        <f t="shared" si="95"/>
        <v>0</v>
      </c>
      <c r="H1949" s="74"/>
      <c r="I1949" s="75">
        <f t="shared" si="96"/>
        <v>0</v>
      </c>
      <c r="J1949" s="75"/>
      <c r="K1949" s="3"/>
      <c r="O1949" s="9"/>
      <c r="S1949" s="3"/>
    </row>
    <row r="1950" spans="1:19" ht="15" customHeight="1" x14ac:dyDescent="0.35">
      <c r="A1950" s="26"/>
      <c r="B1950" s="27"/>
      <c r="C1950" s="28"/>
      <c r="D1950" s="29"/>
      <c r="E1950" s="76"/>
      <c r="F1950" s="77">
        <f t="shared" si="94"/>
        <v>0</v>
      </c>
      <c r="G1950" s="96">
        <f t="shared" si="95"/>
        <v>0</v>
      </c>
      <c r="H1950" s="74"/>
      <c r="I1950" s="75">
        <f t="shared" si="96"/>
        <v>0</v>
      </c>
      <c r="J1950" s="75"/>
      <c r="K1950" s="3"/>
      <c r="O1950" s="9"/>
      <c r="S1950" s="3"/>
    </row>
    <row r="1951" spans="1:19" ht="15" customHeight="1" x14ac:dyDescent="0.35">
      <c r="A1951" s="26"/>
      <c r="B1951" s="27"/>
      <c r="C1951" s="28"/>
      <c r="D1951" s="29"/>
      <c r="E1951" s="76"/>
      <c r="F1951" s="77"/>
      <c r="G1951" s="96">
        <f t="shared" si="95"/>
        <v>0</v>
      </c>
      <c r="H1951" s="74"/>
      <c r="I1951" s="75">
        <f t="shared" si="96"/>
        <v>0</v>
      </c>
      <c r="J1951" s="75"/>
      <c r="K1951" s="3"/>
      <c r="O1951" s="9"/>
      <c r="S1951" s="3"/>
    </row>
    <row r="1952" spans="1:19" ht="15" customHeight="1" x14ac:dyDescent="0.35">
      <c r="A1952" s="26"/>
      <c r="B1952" s="27"/>
      <c r="C1952" s="28"/>
      <c r="D1952" s="29"/>
      <c r="E1952" s="76"/>
      <c r="F1952" s="77"/>
      <c r="G1952" s="96">
        <f t="shared" si="95"/>
        <v>0</v>
      </c>
      <c r="H1952" s="74"/>
      <c r="I1952" s="75">
        <f t="shared" si="96"/>
        <v>0</v>
      </c>
      <c r="J1952" s="75"/>
      <c r="K1952" s="3"/>
      <c r="O1952" s="9"/>
      <c r="S1952" s="3"/>
    </row>
    <row r="1953" spans="1:19" ht="15" customHeight="1" x14ac:dyDescent="0.35">
      <c r="A1953" s="26"/>
      <c r="B1953" s="27"/>
      <c r="C1953" s="28"/>
      <c r="D1953" s="29"/>
      <c r="E1953" s="76"/>
      <c r="F1953" s="77"/>
      <c r="G1953" s="96">
        <f t="shared" si="95"/>
        <v>0</v>
      </c>
      <c r="H1953" s="74"/>
      <c r="I1953" s="75">
        <f t="shared" si="96"/>
        <v>0</v>
      </c>
      <c r="J1953" s="75"/>
      <c r="K1953" s="3"/>
      <c r="O1953" s="9"/>
      <c r="S1953" s="3"/>
    </row>
    <row r="1954" spans="1:19" ht="15" customHeight="1" x14ac:dyDescent="0.35">
      <c r="A1954" s="26"/>
      <c r="B1954" s="27"/>
      <c r="C1954" s="28"/>
      <c r="D1954" s="29"/>
      <c r="E1954" s="76"/>
      <c r="F1954" s="77"/>
      <c r="G1954" s="96">
        <f t="shared" si="95"/>
        <v>0</v>
      </c>
      <c r="H1954" s="74"/>
      <c r="I1954" s="75">
        <f t="shared" si="96"/>
        <v>0</v>
      </c>
      <c r="J1954" s="75"/>
      <c r="K1954" s="3"/>
      <c r="O1954" s="9"/>
      <c r="S1954" s="3"/>
    </row>
    <row r="1955" spans="1:19" ht="15" customHeight="1" x14ac:dyDescent="0.35">
      <c r="A1955" s="26"/>
      <c r="B1955" s="27"/>
      <c r="C1955" s="28"/>
      <c r="D1955" s="29"/>
      <c r="E1955" s="76"/>
      <c r="F1955" s="77"/>
      <c r="G1955" s="96">
        <f t="shared" si="95"/>
        <v>0</v>
      </c>
      <c r="H1955" s="74"/>
      <c r="I1955" s="75"/>
      <c r="J1955" s="75"/>
      <c r="K1955" s="3"/>
      <c r="O1955" s="9"/>
      <c r="S1955" s="3"/>
    </row>
    <row r="1956" spans="1:19" ht="15" customHeight="1" x14ac:dyDescent="0.35">
      <c r="A1956" s="26"/>
      <c r="B1956" s="27"/>
      <c r="C1956" s="28"/>
      <c r="D1956" s="29"/>
      <c r="E1956" s="76"/>
      <c r="F1956" s="77"/>
      <c r="G1956" s="96">
        <f t="shared" si="95"/>
        <v>0</v>
      </c>
      <c r="H1956" s="74"/>
      <c r="I1956" s="75"/>
      <c r="J1956" s="75"/>
      <c r="K1956" s="3"/>
      <c r="O1956" s="9"/>
      <c r="S1956" s="3"/>
    </row>
    <row r="1957" spans="1:19" ht="15" customHeight="1" x14ac:dyDescent="0.35">
      <c r="A1957" s="26"/>
      <c r="B1957" s="27"/>
      <c r="C1957" s="28"/>
      <c r="D1957" s="29"/>
      <c r="E1957" s="76"/>
      <c r="F1957" s="77"/>
      <c r="G1957" s="96"/>
      <c r="H1957" s="74"/>
      <c r="I1957" s="75"/>
      <c r="J1957" s="75"/>
      <c r="K1957" s="3"/>
      <c r="O1957" s="9"/>
      <c r="S1957" s="3"/>
    </row>
    <row r="1958" spans="1:19" ht="15" customHeight="1" x14ac:dyDescent="0.35">
      <c r="A1958" s="26"/>
      <c r="B1958" s="27"/>
      <c r="C1958" s="28"/>
      <c r="D1958" s="29"/>
      <c r="E1958" s="76"/>
      <c r="F1958" s="77"/>
      <c r="G1958" s="96"/>
      <c r="H1958" s="74"/>
      <c r="I1958" s="75"/>
      <c r="J1958" s="75"/>
      <c r="K1958" s="3"/>
      <c r="O1958" s="9"/>
      <c r="S1958" s="3"/>
    </row>
    <row r="1959" spans="1:19" ht="15" customHeight="1" x14ac:dyDescent="0.35">
      <c r="A1959" s="26"/>
      <c r="B1959" s="27"/>
      <c r="C1959" s="28"/>
      <c r="D1959" s="29"/>
      <c r="E1959" s="76"/>
      <c r="F1959" s="77"/>
      <c r="G1959" s="31"/>
      <c r="H1959" s="74"/>
      <c r="I1959" s="75"/>
      <c r="J1959" s="75"/>
      <c r="K1959" s="3"/>
      <c r="O1959" s="9"/>
      <c r="S1959" s="3"/>
    </row>
    <row r="1960" spans="1:19" ht="15" customHeight="1" x14ac:dyDescent="0.35">
      <c r="A1960" s="26"/>
      <c r="B1960" s="27"/>
      <c r="C1960" s="28"/>
      <c r="D1960" s="29"/>
      <c r="E1960" s="76"/>
      <c r="F1960" s="77"/>
      <c r="G1960" s="31"/>
      <c r="H1960" s="74"/>
      <c r="I1960" s="75"/>
      <c r="J1960" s="75"/>
      <c r="K1960" s="3"/>
      <c r="O1960" s="9"/>
      <c r="S1960" s="3"/>
    </row>
    <row r="1961" spans="1:19" ht="15" customHeight="1" x14ac:dyDescent="0.35">
      <c r="A1961" s="26"/>
      <c r="B1961" s="27"/>
      <c r="C1961" s="28"/>
      <c r="D1961" s="29"/>
      <c r="E1961" s="76"/>
      <c r="F1961" s="77"/>
      <c r="G1961" s="31"/>
      <c r="H1961" s="74"/>
      <c r="I1961" s="75"/>
      <c r="J1961" s="75"/>
      <c r="K1961" s="3"/>
      <c r="O1961" s="9"/>
      <c r="S1961" s="3"/>
    </row>
    <row r="1962" spans="1:19" ht="15" customHeight="1" x14ac:dyDescent="0.35">
      <c r="A1962" s="26"/>
      <c r="B1962" s="27"/>
      <c r="C1962" s="28"/>
      <c r="D1962" s="29"/>
      <c r="E1962" s="76"/>
      <c r="F1962" s="77"/>
      <c r="G1962" s="31"/>
      <c r="H1962" s="74"/>
      <c r="I1962" s="75"/>
      <c r="J1962" s="75"/>
      <c r="K1962" s="3"/>
      <c r="O1962" s="9"/>
      <c r="S1962" s="3"/>
    </row>
    <row r="1963" spans="1:19" ht="15" customHeight="1" x14ac:dyDescent="0.35">
      <c r="A1963" s="26"/>
      <c r="B1963" s="27"/>
      <c r="C1963" s="28"/>
      <c r="D1963" s="29"/>
      <c r="E1963" s="76"/>
      <c r="F1963" s="77"/>
      <c r="G1963" s="31"/>
      <c r="H1963" s="74"/>
      <c r="I1963" s="75"/>
      <c r="J1963" s="75"/>
      <c r="K1963" s="3"/>
      <c r="O1963" s="9"/>
      <c r="S1963" s="3"/>
    </row>
    <row r="1964" spans="1:19" ht="15" customHeight="1" x14ac:dyDescent="0.35">
      <c r="A1964" s="26"/>
      <c r="B1964" s="27"/>
      <c r="C1964" s="28"/>
      <c r="D1964" s="29"/>
      <c r="E1964" s="76"/>
      <c r="F1964" s="77"/>
      <c r="G1964" s="31"/>
      <c r="H1964" s="74"/>
      <c r="I1964" s="75"/>
      <c r="J1964" s="75"/>
      <c r="K1964" s="3"/>
      <c r="O1964" s="9"/>
      <c r="S1964" s="3"/>
    </row>
    <row r="1965" spans="1:19" ht="15" customHeight="1" x14ac:dyDescent="0.35">
      <c r="A1965" s="26"/>
      <c r="B1965" s="27"/>
      <c r="C1965" s="28"/>
      <c r="D1965" s="29"/>
      <c r="E1965" s="76"/>
      <c r="F1965" s="77"/>
      <c r="G1965" s="31"/>
      <c r="H1965" s="74"/>
      <c r="I1965" s="75"/>
      <c r="J1965" s="75"/>
      <c r="K1965" s="3"/>
      <c r="O1965" s="9"/>
      <c r="S1965" s="3"/>
    </row>
    <row r="1966" spans="1:19" ht="15" customHeight="1" x14ac:dyDescent="0.35">
      <c r="A1966" s="26"/>
      <c r="B1966" s="27"/>
      <c r="C1966" s="28"/>
      <c r="D1966" s="29"/>
      <c r="E1966" s="76"/>
      <c r="F1966" s="77"/>
      <c r="G1966" s="31"/>
      <c r="H1966" s="74"/>
      <c r="I1966" s="75"/>
      <c r="J1966" s="75"/>
      <c r="K1966" s="3"/>
      <c r="O1966" s="9"/>
      <c r="S1966" s="3"/>
    </row>
    <row r="1967" spans="1:19" ht="15" customHeight="1" x14ac:dyDescent="0.35">
      <c r="A1967" s="26"/>
      <c r="B1967" s="27"/>
      <c r="C1967" s="28"/>
      <c r="D1967" s="29"/>
      <c r="E1967" s="76"/>
      <c r="F1967" s="77"/>
      <c r="G1967" s="31"/>
      <c r="H1967" s="74"/>
      <c r="I1967" s="75"/>
      <c r="J1967" s="75"/>
      <c r="K1967" s="3"/>
      <c r="O1967" s="9"/>
      <c r="S1967" s="3"/>
    </row>
    <row r="1968" spans="1:19" ht="15" customHeight="1" x14ac:dyDescent="0.35">
      <c r="A1968" s="26"/>
      <c r="B1968" s="27"/>
      <c r="C1968" s="28"/>
      <c r="D1968" s="29"/>
      <c r="E1968" s="76"/>
      <c r="F1968" s="77"/>
      <c r="G1968" s="31"/>
      <c r="H1968" s="74"/>
      <c r="I1968" s="75"/>
      <c r="J1968" s="75"/>
      <c r="K1968" s="3"/>
      <c r="O1968" s="9"/>
      <c r="S1968" s="3"/>
    </row>
    <row r="1969" spans="1:19" ht="15" customHeight="1" x14ac:dyDescent="0.35">
      <c r="A1969" s="26"/>
      <c r="B1969" s="27"/>
      <c r="C1969" s="28"/>
      <c r="D1969" s="29"/>
      <c r="E1969" s="76"/>
      <c r="F1969" s="77"/>
      <c r="G1969" s="31"/>
      <c r="H1969" s="74"/>
      <c r="I1969" s="75"/>
      <c r="J1969" s="75"/>
      <c r="K1969" s="3"/>
      <c r="O1969" s="9"/>
      <c r="S1969" s="3"/>
    </row>
    <row r="1970" spans="1:19" ht="15" customHeight="1" x14ac:dyDescent="0.35">
      <c r="A1970" s="26"/>
      <c r="B1970" s="27"/>
      <c r="C1970" s="28"/>
      <c r="D1970" s="29"/>
      <c r="E1970" s="76"/>
      <c r="F1970" s="77"/>
      <c r="G1970" s="31"/>
      <c r="H1970" s="74"/>
      <c r="I1970" s="75"/>
      <c r="J1970" s="75"/>
      <c r="K1970" s="3"/>
      <c r="O1970" s="9"/>
      <c r="S1970" s="3"/>
    </row>
    <row r="1971" spans="1:19" ht="15" customHeight="1" x14ac:dyDescent="0.35">
      <c r="A1971" s="26"/>
      <c r="B1971" s="27"/>
      <c r="C1971" s="28"/>
      <c r="D1971" s="29"/>
      <c r="E1971" s="76"/>
      <c r="F1971" s="77"/>
      <c r="G1971" s="31"/>
      <c r="H1971" s="74"/>
      <c r="I1971" s="75"/>
      <c r="J1971" s="75"/>
      <c r="K1971" s="3"/>
      <c r="O1971" s="9"/>
      <c r="S1971" s="3"/>
    </row>
    <row r="1972" spans="1:19" ht="15" customHeight="1" x14ac:dyDescent="0.35">
      <c r="A1972" s="26"/>
      <c r="B1972" s="27"/>
      <c r="C1972" s="28"/>
      <c r="D1972" s="29"/>
      <c r="E1972" s="76"/>
      <c r="F1972" s="77"/>
      <c r="G1972" s="31"/>
      <c r="H1972" s="74"/>
      <c r="I1972" s="75"/>
      <c r="J1972" s="75"/>
      <c r="K1972" s="3"/>
      <c r="O1972" s="9"/>
      <c r="S1972" s="3"/>
    </row>
    <row r="1973" spans="1:19" ht="15" customHeight="1" x14ac:dyDescent="0.35">
      <c r="A1973" s="26"/>
      <c r="B1973" s="27"/>
      <c r="C1973" s="28"/>
      <c r="D1973" s="29"/>
      <c r="E1973" s="76"/>
      <c r="F1973" s="77"/>
      <c r="G1973" s="31"/>
      <c r="H1973" s="74"/>
      <c r="I1973" s="75"/>
      <c r="J1973" s="75"/>
      <c r="K1973" s="3"/>
      <c r="O1973" s="9"/>
      <c r="S1973" s="3"/>
    </row>
    <row r="1974" spans="1:19" ht="15" customHeight="1" x14ac:dyDescent="0.35">
      <c r="A1974" s="26"/>
      <c r="B1974" s="27"/>
      <c r="C1974" s="28"/>
      <c r="D1974" s="29"/>
      <c r="E1974" s="76"/>
      <c r="F1974" s="77"/>
      <c r="G1974" s="31"/>
      <c r="H1974" s="74"/>
      <c r="I1974" s="75"/>
      <c r="J1974" s="75"/>
      <c r="K1974" s="3"/>
      <c r="O1974" s="9"/>
      <c r="S1974" s="3"/>
    </row>
    <row r="1975" spans="1:19" ht="15" customHeight="1" x14ac:dyDescent="0.35">
      <c r="A1975" s="26"/>
      <c r="B1975" s="27"/>
      <c r="C1975" s="28"/>
      <c r="D1975" s="29"/>
      <c r="E1975" s="76"/>
      <c r="F1975" s="77"/>
      <c r="G1975" s="31"/>
      <c r="H1975" s="74"/>
      <c r="I1975" s="75"/>
      <c r="J1975" s="75"/>
      <c r="K1975" s="3"/>
      <c r="O1975" s="9"/>
      <c r="S1975" s="3"/>
    </row>
    <row r="1976" spans="1:19" ht="15" customHeight="1" x14ac:dyDescent="0.35">
      <c r="A1976" s="26"/>
      <c r="B1976" s="27"/>
      <c r="C1976" s="28"/>
      <c r="D1976" s="29"/>
      <c r="E1976" s="76"/>
      <c r="F1976" s="77"/>
      <c r="G1976" s="31"/>
      <c r="H1976" s="74"/>
      <c r="I1976" s="75"/>
      <c r="J1976" s="75"/>
      <c r="K1976" s="3"/>
      <c r="O1976" s="9"/>
      <c r="S1976" s="3"/>
    </row>
    <row r="1977" spans="1:19" ht="15" customHeight="1" x14ac:dyDescent="0.35">
      <c r="A1977" s="26"/>
      <c r="B1977" s="27"/>
      <c r="C1977" s="28"/>
      <c r="D1977" s="29"/>
      <c r="E1977" s="76"/>
      <c r="F1977" s="77"/>
      <c r="G1977" s="31"/>
      <c r="H1977" s="74"/>
      <c r="I1977" s="75"/>
      <c r="J1977" s="75"/>
      <c r="K1977" s="3"/>
      <c r="O1977" s="9"/>
      <c r="S1977" s="3"/>
    </row>
    <row r="1978" spans="1:19" ht="15" customHeight="1" x14ac:dyDescent="0.35">
      <c r="A1978" s="26"/>
      <c r="B1978" s="27"/>
      <c r="C1978" s="28"/>
      <c r="D1978" s="29"/>
      <c r="E1978" s="76"/>
      <c r="F1978" s="77"/>
      <c r="G1978" s="31"/>
      <c r="H1978" s="74"/>
      <c r="I1978" s="75"/>
      <c r="J1978" s="75"/>
      <c r="K1978" s="3"/>
      <c r="O1978" s="9"/>
      <c r="S1978" s="3"/>
    </row>
    <row r="1979" spans="1:19" ht="15" customHeight="1" x14ac:dyDescent="0.35">
      <c r="A1979" s="26"/>
      <c r="B1979" s="27"/>
      <c r="C1979" s="28"/>
      <c r="D1979" s="29"/>
      <c r="E1979" s="76"/>
      <c r="F1979" s="77"/>
      <c r="G1979" s="31"/>
      <c r="H1979" s="74"/>
      <c r="I1979" s="75"/>
      <c r="J1979" s="75"/>
      <c r="K1979" s="3"/>
      <c r="O1979" s="9"/>
      <c r="S1979" s="3"/>
    </row>
    <row r="1980" spans="1:19" ht="15" customHeight="1" x14ac:dyDescent="0.35">
      <c r="A1980" s="26"/>
      <c r="B1980" s="27"/>
      <c r="C1980" s="28"/>
      <c r="D1980" s="29"/>
      <c r="E1980" s="76"/>
      <c r="F1980" s="77"/>
      <c r="G1980" s="31"/>
      <c r="H1980" s="74"/>
      <c r="I1980" s="75"/>
      <c r="J1980" s="75"/>
      <c r="K1980" s="3"/>
      <c r="O1980" s="9"/>
      <c r="S1980" s="3"/>
    </row>
    <row r="1981" spans="1:19" ht="15" customHeight="1" x14ac:dyDescent="0.35">
      <c r="A1981" s="26"/>
      <c r="B1981" s="27"/>
      <c r="C1981" s="28"/>
      <c r="D1981" s="29"/>
      <c r="E1981" s="76"/>
      <c r="F1981" s="77"/>
      <c r="G1981" s="31"/>
      <c r="H1981" s="74"/>
      <c r="I1981" s="75"/>
      <c r="J1981" s="75"/>
      <c r="K1981" s="3"/>
      <c r="O1981" s="9"/>
      <c r="S1981" s="3"/>
    </row>
    <row r="1982" spans="1:19" ht="15" customHeight="1" x14ac:dyDescent="0.35">
      <c r="A1982" s="26"/>
      <c r="B1982" s="27"/>
      <c r="C1982" s="28"/>
      <c r="D1982" s="29"/>
      <c r="E1982" s="76"/>
      <c r="F1982" s="77"/>
      <c r="G1982" s="31"/>
      <c r="H1982" s="74"/>
      <c r="I1982" s="75"/>
      <c r="J1982" s="75"/>
      <c r="K1982" s="3"/>
      <c r="O1982" s="9"/>
      <c r="S1982" s="3"/>
    </row>
    <row r="1983" spans="1:19" ht="15" customHeight="1" x14ac:dyDescent="0.35">
      <c r="A1983" s="26"/>
      <c r="B1983" s="27"/>
      <c r="C1983" s="28"/>
      <c r="D1983" s="29"/>
      <c r="E1983" s="76"/>
      <c r="F1983" s="77"/>
      <c r="G1983" s="31"/>
      <c r="H1983" s="74"/>
      <c r="I1983" s="75"/>
      <c r="J1983" s="75"/>
      <c r="K1983" s="3"/>
      <c r="O1983" s="9"/>
      <c r="S1983" s="3"/>
    </row>
    <row r="1984" spans="1:19" ht="15" customHeight="1" x14ac:dyDescent="0.35">
      <c r="A1984" s="26"/>
      <c r="B1984" s="27"/>
      <c r="C1984" s="28"/>
      <c r="D1984" s="29"/>
      <c r="E1984" s="76"/>
      <c r="F1984" s="77"/>
      <c r="G1984" s="31"/>
      <c r="H1984" s="74"/>
      <c r="I1984" s="75"/>
      <c r="J1984" s="75"/>
      <c r="K1984" s="3"/>
      <c r="O1984" s="9"/>
      <c r="S1984" s="3"/>
    </row>
    <row r="1985" spans="1:19" ht="15" customHeight="1" x14ac:dyDescent="0.35">
      <c r="A1985" s="26"/>
      <c r="B1985" s="27"/>
      <c r="C1985" s="28"/>
      <c r="D1985" s="29"/>
      <c r="E1985" s="76"/>
      <c r="F1985" s="77"/>
      <c r="G1985" s="31"/>
      <c r="H1985" s="74"/>
      <c r="I1985" s="75"/>
      <c r="J1985" s="75"/>
      <c r="K1985" s="3"/>
      <c r="O1985" s="9"/>
      <c r="S1985" s="3"/>
    </row>
    <row r="1986" spans="1:19" ht="15" customHeight="1" x14ac:dyDescent="0.35">
      <c r="A1986" s="26"/>
      <c r="B1986" s="27"/>
      <c r="C1986" s="28"/>
      <c r="D1986" s="29"/>
      <c r="E1986" s="76"/>
      <c r="F1986" s="77"/>
      <c r="G1986" s="31"/>
      <c r="H1986" s="74"/>
      <c r="I1986" s="75"/>
      <c r="J1986" s="75"/>
      <c r="K1986" s="3"/>
      <c r="O1986" s="9"/>
      <c r="S1986" s="3"/>
    </row>
    <row r="1987" spans="1:19" ht="15" customHeight="1" x14ac:dyDescent="0.35">
      <c r="A1987" s="26"/>
      <c r="B1987" s="27"/>
      <c r="C1987" s="28"/>
      <c r="D1987" s="29"/>
      <c r="E1987" s="76"/>
      <c r="F1987" s="77"/>
      <c r="G1987" s="31"/>
      <c r="H1987" s="74"/>
      <c r="I1987" s="75"/>
      <c r="J1987" s="75"/>
      <c r="K1987" s="3"/>
      <c r="O1987" s="9"/>
      <c r="S1987" s="3"/>
    </row>
    <row r="1988" spans="1:19" ht="15" customHeight="1" x14ac:dyDescent="0.35">
      <c r="A1988" s="26"/>
      <c r="B1988" s="27"/>
      <c r="C1988" s="28"/>
      <c r="D1988" s="29"/>
      <c r="E1988" s="76"/>
      <c r="F1988" s="77"/>
      <c r="G1988" s="31"/>
      <c r="H1988" s="74"/>
      <c r="I1988" s="75"/>
      <c r="J1988" s="75"/>
      <c r="K1988" s="3"/>
      <c r="O1988" s="9"/>
      <c r="S1988" s="3"/>
    </row>
    <row r="1989" spans="1:19" ht="15" customHeight="1" x14ac:dyDescent="0.35">
      <c r="A1989" s="26"/>
      <c r="B1989" s="27"/>
      <c r="C1989" s="28"/>
      <c r="D1989" s="29"/>
      <c r="E1989" s="76"/>
      <c r="F1989" s="77"/>
      <c r="G1989" s="31"/>
      <c r="H1989" s="74"/>
      <c r="I1989" s="75"/>
      <c r="J1989" s="75"/>
      <c r="K1989" s="3"/>
      <c r="O1989" s="9"/>
      <c r="S1989" s="3"/>
    </row>
    <row r="1990" spans="1:19" ht="15" customHeight="1" x14ac:dyDescent="0.35">
      <c r="A1990" s="26"/>
      <c r="B1990" s="27"/>
      <c r="C1990" s="28"/>
      <c r="D1990" s="29"/>
      <c r="E1990" s="76"/>
      <c r="F1990" s="77"/>
      <c r="G1990" s="31"/>
      <c r="H1990" s="74"/>
      <c r="I1990" s="75"/>
      <c r="J1990" s="75"/>
      <c r="K1990" s="3"/>
      <c r="O1990" s="9"/>
      <c r="S1990" s="3"/>
    </row>
    <row r="1991" spans="1:19" ht="15" customHeight="1" x14ac:dyDescent="0.35">
      <c r="A1991" s="26"/>
      <c r="B1991" s="27"/>
      <c r="C1991" s="28"/>
      <c r="D1991" s="29"/>
      <c r="E1991" s="76"/>
      <c r="F1991" s="77"/>
      <c r="G1991" s="31"/>
      <c r="H1991" s="74"/>
      <c r="I1991" s="75"/>
      <c r="J1991" s="75"/>
      <c r="K1991" s="3"/>
      <c r="O1991" s="9"/>
      <c r="S1991" s="3"/>
    </row>
    <row r="1992" spans="1:19" ht="15" customHeight="1" x14ac:dyDescent="0.35">
      <c r="A1992" s="26"/>
      <c r="B1992" s="27"/>
      <c r="C1992" s="28"/>
      <c r="D1992" s="29"/>
      <c r="E1992" s="76"/>
      <c r="F1992" s="77"/>
      <c r="G1992" s="31"/>
      <c r="H1992" s="74"/>
      <c r="I1992" s="75"/>
      <c r="J1992" s="75"/>
      <c r="K1992" s="3"/>
      <c r="O1992" s="9"/>
      <c r="S1992" s="3"/>
    </row>
    <row r="1993" spans="1:19" ht="15" customHeight="1" x14ac:dyDescent="0.35">
      <c r="A1993" s="26"/>
      <c r="B1993" s="27"/>
      <c r="C1993" s="28"/>
      <c r="D1993" s="29"/>
      <c r="E1993" s="76"/>
      <c r="F1993" s="77"/>
      <c r="G1993" s="31"/>
      <c r="H1993" s="74"/>
      <c r="I1993" s="75"/>
      <c r="J1993" s="75"/>
      <c r="K1993" s="3"/>
      <c r="O1993" s="9"/>
      <c r="S1993" s="3"/>
    </row>
    <row r="1994" spans="1:19" ht="15" customHeight="1" x14ac:dyDescent="0.35">
      <c r="A1994" s="26"/>
      <c r="B1994" s="27"/>
      <c r="C1994" s="28"/>
      <c r="D1994" s="29"/>
      <c r="E1994" s="76"/>
      <c r="F1994" s="77"/>
      <c r="G1994" s="31"/>
      <c r="H1994" s="74"/>
      <c r="I1994" s="75"/>
      <c r="J1994" s="75"/>
      <c r="K1994" s="3"/>
      <c r="O1994" s="9"/>
      <c r="S1994" s="3"/>
    </row>
    <row r="1995" spans="1:19" ht="15" customHeight="1" x14ac:dyDescent="0.35">
      <c r="A1995" s="26"/>
      <c r="B1995" s="27"/>
      <c r="C1995" s="28"/>
      <c r="D1995" s="29"/>
      <c r="E1995" s="76"/>
      <c r="F1995" s="77"/>
      <c r="G1995" s="31"/>
      <c r="H1995" s="74"/>
      <c r="I1995" s="75"/>
      <c r="J1995" s="75"/>
      <c r="K1995" s="3"/>
      <c r="O1995" s="9"/>
      <c r="S1995" s="3"/>
    </row>
    <row r="1996" spans="1:19" ht="15" customHeight="1" x14ac:dyDescent="0.35">
      <c r="A1996" s="26"/>
      <c r="B1996" s="27"/>
      <c r="C1996" s="28"/>
      <c r="D1996" s="29"/>
      <c r="E1996" s="76"/>
      <c r="F1996" s="77"/>
      <c r="G1996" s="31"/>
      <c r="H1996" s="74"/>
      <c r="I1996" s="75"/>
      <c r="J1996" s="75"/>
      <c r="K1996" s="3"/>
      <c r="O1996" s="9"/>
      <c r="S1996" s="3"/>
    </row>
    <row r="1997" spans="1:19" ht="15" customHeight="1" x14ac:dyDescent="0.35">
      <c r="A1997" s="26"/>
      <c r="B1997" s="27"/>
      <c r="C1997" s="28"/>
      <c r="D1997" s="29"/>
      <c r="E1997" s="76"/>
      <c r="F1997" s="77"/>
      <c r="G1997" s="31"/>
      <c r="H1997" s="74"/>
      <c r="I1997" s="75"/>
      <c r="J1997" s="75"/>
      <c r="K1997" s="3"/>
      <c r="O1997" s="9"/>
      <c r="S1997" s="3"/>
    </row>
    <row r="1998" spans="1:19" ht="15" customHeight="1" x14ac:dyDescent="0.35">
      <c r="A1998" s="26"/>
      <c r="B1998" s="27"/>
      <c r="C1998" s="28"/>
      <c r="D1998" s="29"/>
      <c r="E1998" s="76"/>
      <c r="F1998" s="77"/>
      <c r="G1998" s="31"/>
      <c r="H1998" s="74"/>
      <c r="I1998" s="75"/>
      <c r="J1998" s="75"/>
      <c r="K1998" s="3"/>
      <c r="O1998" s="9"/>
      <c r="S1998" s="3"/>
    </row>
    <row r="1999" spans="1:19" ht="15" customHeight="1" x14ac:dyDescent="0.35">
      <c r="A1999" s="26"/>
      <c r="B1999" s="27"/>
      <c r="C1999" s="28"/>
      <c r="D1999" s="29"/>
      <c r="E1999" s="76"/>
      <c r="F1999" s="77"/>
      <c r="G1999" s="31"/>
      <c r="H1999" s="74"/>
      <c r="I1999" s="75"/>
      <c r="J1999" s="75"/>
      <c r="K1999" s="3"/>
      <c r="O1999" s="9"/>
      <c r="S1999" s="3"/>
    </row>
    <row r="2000" spans="1:19" ht="15" customHeight="1" x14ac:dyDescent="0.35">
      <c r="A2000" s="26"/>
      <c r="B2000" s="27"/>
      <c r="C2000" s="28"/>
      <c r="D2000" s="29"/>
      <c r="E2000" s="76"/>
      <c r="F2000" s="77"/>
      <c r="G2000" s="31"/>
      <c r="H2000" s="74"/>
      <c r="I2000" s="75"/>
      <c r="J2000" s="75"/>
      <c r="K2000" s="3"/>
      <c r="O2000" s="9"/>
      <c r="S2000" s="3"/>
    </row>
    <row r="2001" spans="1:19" ht="15" customHeight="1" x14ac:dyDescent="0.35">
      <c r="A2001" s="26"/>
      <c r="B2001" s="27"/>
      <c r="C2001" s="28"/>
      <c r="D2001" s="29"/>
      <c r="E2001" s="76"/>
      <c r="F2001" s="77"/>
      <c r="G2001" s="31"/>
      <c r="H2001" s="74"/>
      <c r="I2001" s="75"/>
      <c r="J2001" s="75"/>
      <c r="K2001" s="3"/>
      <c r="O2001" s="9"/>
      <c r="S2001" s="3"/>
    </row>
    <row r="2002" spans="1:19" ht="15" customHeight="1" x14ac:dyDescent="0.35">
      <c r="A2002" s="26"/>
      <c r="B2002" s="27"/>
      <c r="C2002" s="28"/>
      <c r="D2002" s="29"/>
      <c r="E2002" s="76"/>
      <c r="F2002" s="77"/>
      <c r="G2002" s="31"/>
      <c r="H2002" s="74"/>
      <c r="I2002" s="75"/>
      <c r="J2002" s="75"/>
      <c r="K2002" s="3"/>
      <c r="O2002" s="9"/>
      <c r="S2002" s="3"/>
    </row>
    <row r="2003" spans="1:19" ht="15" customHeight="1" x14ac:dyDescent="0.35">
      <c r="A2003" s="26"/>
      <c r="B2003" s="27"/>
      <c r="C2003" s="28"/>
      <c r="D2003" s="29"/>
      <c r="E2003" s="76"/>
      <c r="F2003" s="77"/>
      <c r="G2003" s="31"/>
      <c r="H2003" s="74"/>
      <c r="I2003" s="75"/>
      <c r="J2003" s="75"/>
      <c r="K2003" s="3"/>
      <c r="O2003" s="9"/>
      <c r="S2003" s="3"/>
    </row>
    <row r="2004" spans="1:19" ht="15" customHeight="1" x14ac:dyDescent="0.35">
      <c r="A2004" s="26"/>
      <c r="B2004" s="27"/>
      <c r="C2004" s="28"/>
      <c r="D2004" s="29"/>
      <c r="E2004" s="76"/>
      <c r="F2004" s="77"/>
      <c r="G2004" s="31"/>
      <c r="H2004" s="74"/>
      <c r="I2004" s="75"/>
      <c r="J2004" s="75"/>
      <c r="K2004" s="3"/>
      <c r="O2004" s="9"/>
      <c r="S2004" s="3"/>
    </row>
    <row r="2005" spans="1:19" ht="15" customHeight="1" x14ac:dyDescent="0.35">
      <c r="A2005" s="26"/>
      <c r="B2005" s="27"/>
      <c r="C2005" s="28"/>
      <c r="D2005" s="29"/>
      <c r="E2005" s="76"/>
      <c r="F2005" s="77"/>
      <c r="G2005" s="31"/>
      <c r="H2005" s="74"/>
      <c r="I2005" s="75"/>
      <c r="J2005" s="75"/>
      <c r="K2005" s="3"/>
      <c r="O2005" s="9"/>
      <c r="S2005" s="3"/>
    </row>
    <row r="2006" spans="1:19" ht="15" customHeight="1" x14ac:dyDescent="0.35">
      <c r="A2006" s="26"/>
      <c r="B2006" s="27"/>
      <c r="C2006" s="28"/>
      <c r="D2006" s="29"/>
      <c r="E2006" s="76"/>
      <c r="F2006" s="77"/>
      <c r="G2006" s="31"/>
      <c r="H2006" s="74"/>
      <c r="I2006" s="75"/>
      <c r="J2006" s="75"/>
      <c r="K2006" s="3"/>
      <c r="O2006" s="9"/>
      <c r="S2006" s="3"/>
    </row>
    <row r="2007" spans="1:19" ht="15" customHeight="1" x14ac:dyDescent="0.35">
      <c r="A2007" s="26"/>
      <c r="B2007" s="27"/>
      <c r="C2007" s="28"/>
      <c r="D2007" s="29"/>
      <c r="E2007" s="76"/>
      <c r="F2007" s="77"/>
      <c r="G2007" s="31"/>
      <c r="H2007" s="74"/>
      <c r="I2007" s="75"/>
      <c r="J2007" s="75"/>
      <c r="K2007" s="3"/>
      <c r="O2007" s="9"/>
      <c r="S2007" s="3"/>
    </row>
    <row r="2008" spans="1:19" ht="15" customHeight="1" x14ac:dyDescent="0.35">
      <c r="A2008" s="26"/>
      <c r="B2008" s="27"/>
      <c r="C2008" s="28"/>
      <c r="D2008" s="29"/>
      <c r="E2008" s="76"/>
      <c r="F2008" s="77"/>
      <c r="G2008" s="31"/>
      <c r="H2008" s="74"/>
      <c r="I2008" s="75"/>
      <c r="J2008" s="75"/>
      <c r="K2008" s="3"/>
      <c r="O2008" s="9"/>
      <c r="S2008" s="3"/>
    </row>
    <row r="2009" spans="1:19" ht="15" customHeight="1" x14ac:dyDescent="0.35">
      <c r="A2009" s="26"/>
      <c r="B2009" s="27"/>
      <c r="C2009" s="28"/>
      <c r="D2009" s="29"/>
      <c r="E2009" s="76"/>
      <c r="F2009" s="77"/>
      <c r="G2009" s="31"/>
      <c r="H2009" s="74"/>
      <c r="I2009" s="75"/>
      <c r="J2009" s="75"/>
      <c r="K2009" s="3"/>
      <c r="O2009" s="9"/>
      <c r="S2009" s="3"/>
    </row>
    <row r="2010" spans="1:19" ht="15" customHeight="1" x14ac:dyDescent="0.35">
      <c r="A2010" s="26"/>
      <c r="B2010" s="27"/>
      <c r="C2010" s="28"/>
      <c r="D2010" s="29"/>
      <c r="E2010" s="76"/>
      <c r="F2010" s="77"/>
      <c r="G2010" s="31"/>
      <c r="H2010" s="74"/>
      <c r="I2010" s="75"/>
      <c r="J2010" s="75"/>
      <c r="K2010" s="3"/>
      <c r="O2010" s="9"/>
      <c r="S2010" s="3"/>
    </row>
    <row r="2011" spans="1:19" ht="15" customHeight="1" x14ac:dyDescent="0.35">
      <c r="A2011" s="26"/>
      <c r="B2011" s="27"/>
      <c r="C2011" s="28"/>
      <c r="D2011" s="29"/>
      <c r="E2011" s="76"/>
      <c r="F2011" s="77"/>
      <c r="G2011" s="31"/>
      <c r="H2011" s="74"/>
      <c r="I2011" s="75"/>
      <c r="J2011" s="75"/>
      <c r="K2011" s="3"/>
      <c r="O2011" s="9"/>
      <c r="S2011" s="3"/>
    </row>
    <row r="2012" spans="1:19" ht="15" customHeight="1" x14ac:dyDescent="0.35">
      <c r="A2012" s="26"/>
      <c r="B2012" s="27"/>
      <c r="C2012" s="28"/>
      <c r="D2012" s="29"/>
      <c r="E2012" s="76"/>
      <c r="F2012" s="77"/>
      <c r="G2012" s="31"/>
      <c r="H2012" s="74"/>
      <c r="I2012" s="75"/>
      <c r="J2012" s="75"/>
      <c r="K2012" s="3"/>
      <c r="O2012" s="9"/>
      <c r="S2012" s="3"/>
    </row>
    <row r="2013" spans="1:19" ht="15" customHeight="1" x14ac:dyDescent="0.35">
      <c r="A2013" s="26"/>
      <c r="B2013" s="27"/>
      <c r="C2013" s="28"/>
      <c r="D2013" s="29"/>
      <c r="E2013" s="76"/>
      <c r="F2013" s="77"/>
      <c r="G2013" s="31"/>
      <c r="H2013" s="74"/>
      <c r="I2013" s="75"/>
      <c r="J2013" s="75"/>
      <c r="K2013" s="3"/>
      <c r="O2013" s="9"/>
      <c r="S2013" s="3"/>
    </row>
    <row r="2014" spans="1:19" ht="15" customHeight="1" x14ac:dyDescent="0.35">
      <c r="A2014" s="26"/>
      <c r="B2014" s="27"/>
      <c r="C2014" s="28"/>
      <c r="D2014" s="29"/>
      <c r="E2014" s="76"/>
      <c r="F2014" s="77"/>
      <c r="G2014" s="31"/>
      <c r="H2014" s="74"/>
      <c r="I2014" s="75"/>
      <c r="J2014" s="75"/>
      <c r="K2014" s="3"/>
      <c r="O2014" s="9"/>
      <c r="S2014" s="3"/>
    </row>
    <row r="2015" spans="1:19" ht="15" customHeight="1" x14ac:dyDescent="0.35">
      <c r="A2015" s="26"/>
      <c r="B2015" s="27"/>
      <c r="C2015" s="28"/>
      <c r="D2015" s="29"/>
      <c r="E2015" s="76"/>
      <c r="F2015" s="77"/>
      <c r="G2015" s="31"/>
      <c r="H2015" s="74"/>
      <c r="I2015" s="75"/>
      <c r="J2015" s="75"/>
      <c r="K2015" s="3"/>
      <c r="O2015" s="9"/>
      <c r="S2015" s="3"/>
    </row>
    <row r="2016" spans="1:19" ht="15" customHeight="1" x14ac:dyDescent="0.35">
      <c r="A2016" s="26"/>
      <c r="B2016" s="27"/>
      <c r="C2016" s="28"/>
      <c r="D2016" s="29"/>
      <c r="E2016" s="76"/>
      <c r="F2016" s="77"/>
      <c r="G2016" s="31"/>
      <c r="H2016" s="74"/>
      <c r="I2016" s="75"/>
      <c r="J2016" s="75"/>
      <c r="K2016" s="3"/>
      <c r="O2016" s="9"/>
      <c r="S2016" s="3"/>
    </row>
    <row r="2017" spans="1:19" ht="15" customHeight="1" x14ac:dyDescent="0.35">
      <c r="A2017" s="26"/>
      <c r="B2017" s="27"/>
      <c r="C2017" s="28"/>
      <c r="D2017" s="29"/>
      <c r="E2017" s="76"/>
      <c r="F2017" s="77"/>
      <c r="G2017" s="31"/>
      <c r="H2017" s="74"/>
      <c r="I2017" s="75"/>
      <c r="J2017" s="75"/>
      <c r="K2017" s="3"/>
      <c r="O2017" s="9"/>
      <c r="S2017" s="3"/>
    </row>
    <row r="2018" spans="1:19" ht="15" customHeight="1" x14ac:dyDescent="0.35">
      <c r="A2018" s="26"/>
      <c r="B2018" s="27"/>
      <c r="C2018" s="28"/>
      <c r="D2018" s="29"/>
      <c r="E2018" s="76"/>
      <c r="F2018" s="77"/>
      <c r="G2018" s="31"/>
      <c r="H2018" s="74"/>
      <c r="I2018" s="75"/>
      <c r="J2018" s="75"/>
      <c r="K2018" s="3"/>
      <c r="O2018" s="9"/>
      <c r="S2018" s="3"/>
    </row>
    <row r="2019" spans="1:19" ht="15" customHeight="1" x14ac:dyDescent="0.35">
      <c r="A2019" s="26"/>
      <c r="B2019" s="27"/>
      <c r="C2019" s="28"/>
      <c r="D2019" s="29"/>
      <c r="E2019" s="76"/>
      <c r="F2019" s="77"/>
      <c r="G2019" s="31"/>
      <c r="H2019" s="74"/>
      <c r="I2019" s="75"/>
      <c r="J2019" s="75"/>
      <c r="K2019" s="3"/>
      <c r="O2019" s="9"/>
      <c r="S2019" s="3"/>
    </row>
    <row r="2020" spans="1:19" ht="15" customHeight="1" x14ac:dyDescent="0.35">
      <c r="A2020" s="26"/>
      <c r="B2020" s="27"/>
      <c r="C2020" s="28"/>
      <c r="D2020" s="29"/>
      <c r="E2020" s="76"/>
      <c r="F2020" s="77"/>
      <c r="G2020" s="31"/>
      <c r="H2020" s="74"/>
      <c r="I2020" s="75"/>
      <c r="J2020" s="75"/>
      <c r="K2020" s="3"/>
      <c r="O2020" s="9"/>
      <c r="S2020" s="3"/>
    </row>
    <row r="2021" spans="1:19" ht="15" customHeight="1" x14ac:dyDescent="0.35">
      <c r="A2021" s="26"/>
      <c r="B2021" s="27"/>
      <c r="C2021" s="28"/>
      <c r="D2021" s="29"/>
      <c r="E2021" s="76"/>
      <c r="F2021" s="77"/>
      <c r="G2021" s="31"/>
      <c r="H2021" s="74"/>
      <c r="I2021" s="75"/>
      <c r="J2021" s="75"/>
      <c r="K2021" s="3"/>
      <c r="O2021" s="9"/>
      <c r="S2021" s="3"/>
    </row>
    <row r="2022" spans="1:19" ht="15" customHeight="1" x14ac:dyDescent="0.35">
      <c r="A2022" s="26"/>
      <c r="B2022" s="27"/>
      <c r="C2022" s="28"/>
      <c r="D2022" s="29"/>
      <c r="E2022" s="76"/>
      <c r="F2022" s="77"/>
      <c r="G2022" s="31"/>
      <c r="H2022" s="74"/>
      <c r="I2022" s="75"/>
      <c r="J2022" s="75"/>
      <c r="K2022" s="3"/>
      <c r="O2022" s="9"/>
      <c r="S2022" s="3"/>
    </row>
    <row r="2023" spans="1:19" ht="15" customHeight="1" x14ac:dyDescent="0.35">
      <c r="A2023" s="26"/>
      <c r="B2023" s="27"/>
      <c r="C2023" s="28"/>
      <c r="D2023" s="29"/>
      <c r="E2023" s="76"/>
      <c r="F2023" s="77"/>
      <c r="G2023" s="31"/>
      <c r="H2023" s="74"/>
      <c r="I2023" s="75"/>
      <c r="J2023" s="75"/>
      <c r="K2023" s="3"/>
      <c r="O2023" s="9"/>
      <c r="S2023" s="3"/>
    </row>
    <row r="2024" spans="1:19" ht="15" customHeight="1" x14ac:dyDescent="0.35">
      <c r="A2024" s="26"/>
      <c r="B2024" s="27"/>
      <c r="C2024" s="28"/>
      <c r="D2024" s="29"/>
      <c r="E2024" s="76"/>
      <c r="F2024" s="77"/>
      <c r="G2024" s="31"/>
      <c r="H2024" s="74"/>
      <c r="I2024" s="75"/>
      <c r="J2024" s="75"/>
      <c r="K2024" s="3"/>
      <c r="O2024" s="9"/>
      <c r="S2024" s="3"/>
    </row>
    <row r="2025" spans="1:19" ht="15" customHeight="1" x14ac:dyDescent="0.35">
      <c r="A2025" s="26"/>
      <c r="B2025" s="27"/>
      <c r="C2025" s="28"/>
      <c r="D2025" s="29"/>
      <c r="E2025" s="76"/>
      <c r="F2025" s="77"/>
      <c r="G2025" s="31"/>
      <c r="H2025" s="74"/>
      <c r="I2025" s="75"/>
      <c r="J2025" s="75"/>
      <c r="K2025" s="3"/>
      <c r="O2025" s="9"/>
      <c r="S2025" s="3"/>
    </row>
    <row r="2026" spans="1:19" ht="15" customHeight="1" x14ac:dyDescent="0.35">
      <c r="A2026" s="26"/>
      <c r="B2026" s="27"/>
      <c r="C2026" s="28"/>
      <c r="D2026" s="29"/>
      <c r="E2026" s="76"/>
      <c r="F2026" s="77"/>
      <c r="G2026" s="31"/>
      <c r="H2026" s="74"/>
      <c r="I2026" s="75"/>
      <c r="J2026" s="75"/>
      <c r="K2026" s="3"/>
      <c r="O2026" s="9"/>
      <c r="S2026" s="3"/>
    </row>
    <row r="2027" spans="1:19" ht="15" customHeight="1" x14ac:dyDescent="0.35">
      <c r="A2027" s="26"/>
      <c r="B2027" s="27"/>
      <c r="C2027" s="28"/>
      <c r="D2027" s="29"/>
      <c r="E2027" s="76"/>
      <c r="F2027" s="77"/>
      <c r="G2027" s="31"/>
      <c r="H2027" s="74"/>
      <c r="I2027" s="75"/>
      <c r="J2027" s="75"/>
      <c r="K2027" s="3"/>
      <c r="O2027" s="9"/>
      <c r="S2027" s="3"/>
    </row>
    <row r="2028" spans="1:19" ht="15" customHeight="1" x14ac:dyDescent="0.35">
      <c r="A2028" s="26"/>
      <c r="B2028" s="27"/>
      <c r="C2028" s="28"/>
      <c r="D2028" s="29"/>
      <c r="E2028" s="76"/>
      <c r="F2028" s="77"/>
      <c r="G2028" s="31"/>
      <c r="H2028" s="74"/>
      <c r="I2028" s="75"/>
      <c r="J2028" s="75"/>
      <c r="K2028" s="3"/>
      <c r="O2028" s="9"/>
      <c r="S2028" s="3"/>
    </row>
    <row r="2029" spans="1:19" ht="15" customHeight="1" x14ac:dyDescent="0.35">
      <c r="A2029" s="26"/>
      <c r="B2029" s="27"/>
      <c r="C2029" s="28"/>
      <c r="D2029" s="29"/>
      <c r="E2029" s="76"/>
      <c r="F2029" s="77"/>
      <c r="G2029" s="31"/>
      <c r="H2029" s="74"/>
      <c r="I2029" s="75"/>
      <c r="J2029" s="75"/>
      <c r="K2029" s="3"/>
      <c r="O2029" s="9"/>
      <c r="S2029" s="3"/>
    </row>
    <row r="2030" spans="1:19" ht="15" customHeight="1" x14ac:dyDescent="0.35">
      <c r="A2030" s="26"/>
      <c r="B2030" s="27"/>
      <c r="C2030" s="28"/>
      <c r="D2030" s="29"/>
      <c r="E2030" s="76"/>
      <c r="F2030" s="77"/>
      <c r="G2030" s="31"/>
      <c r="H2030" s="74"/>
      <c r="I2030" s="75"/>
      <c r="J2030" s="75"/>
      <c r="K2030" s="3"/>
      <c r="O2030" s="9"/>
      <c r="S2030" s="3"/>
    </row>
    <row r="2031" spans="1:19" ht="15" customHeight="1" x14ac:dyDescent="0.35">
      <c r="A2031" s="26"/>
      <c r="B2031" s="27"/>
      <c r="C2031" s="28"/>
      <c r="D2031" s="29"/>
      <c r="E2031" s="76"/>
      <c r="F2031" s="77"/>
      <c r="G2031" s="31"/>
      <c r="H2031" s="74"/>
      <c r="I2031" s="75"/>
      <c r="J2031" s="75"/>
      <c r="K2031" s="3"/>
      <c r="O2031" s="9"/>
      <c r="S2031" s="3"/>
    </row>
    <row r="2032" spans="1:19" ht="15" customHeight="1" x14ac:dyDescent="0.35">
      <c r="A2032" s="26"/>
      <c r="B2032" s="27"/>
      <c r="C2032" s="28"/>
      <c r="D2032" s="29"/>
      <c r="E2032" s="76"/>
      <c r="F2032" s="77"/>
      <c r="G2032" s="31"/>
      <c r="H2032" s="74"/>
      <c r="I2032" s="75"/>
      <c r="J2032" s="75"/>
      <c r="K2032" s="3"/>
      <c r="O2032" s="9"/>
      <c r="S2032" s="3"/>
    </row>
    <row r="2033" spans="1:19" ht="15" customHeight="1" x14ac:dyDescent="0.35">
      <c r="A2033" s="26"/>
      <c r="B2033" s="27"/>
      <c r="C2033" s="28"/>
      <c r="D2033" s="29"/>
      <c r="E2033" s="76"/>
      <c r="F2033" s="77"/>
      <c r="G2033" s="31"/>
      <c r="H2033" s="74"/>
      <c r="I2033" s="75"/>
      <c r="J2033" s="75"/>
      <c r="K2033" s="3"/>
      <c r="O2033" s="9"/>
      <c r="S2033" s="3"/>
    </row>
    <row r="2034" spans="1:19" ht="15" customHeight="1" x14ac:dyDescent="0.35">
      <c r="A2034" s="26"/>
      <c r="B2034" s="27"/>
      <c r="C2034" s="28"/>
      <c r="D2034" s="29"/>
      <c r="E2034" s="76"/>
      <c r="F2034" s="77"/>
      <c r="G2034" s="31"/>
      <c r="H2034" s="74"/>
      <c r="I2034" s="75"/>
      <c r="J2034" s="75"/>
      <c r="K2034" s="3"/>
      <c r="O2034" s="9"/>
      <c r="S2034" s="3"/>
    </row>
    <row r="2035" spans="1:19" ht="15" customHeight="1" x14ac:dyDescent="0.35">
      <c r="A2035" s="26"/>
      <c r="B2035" s="27"/>
      <c r="C2035" s="28"/>
      <c r="D2035" s="29"/>
      <c r="E2035" s="76"/>
      <c r="F2035" s="77"/>
      <c r="G2035" s="31"/>
      <c r="H2035" s="74"/>
      <c r="I2035" s="75"/>
      <c r="J2035" s="75"/>
      <c r="K2035" s="3"/>
      <c r="O2035" s="9"/>
      <c r="S2035" s="3"/>
    </row>
    <row r="2036" spans="1:19" ht="15" customHeight="1" x14ac:dyDescent="0.35">
      <c r="A2036" s="26"/>
      <c r="B2036" s="27"/>
      <c r="C2036" s="28"/>
      <c r="D2036" s="29"/>
      <c r="E2036" s="76"/>
      <c r="F2036" s="77"/>
      <c r="G2036" s="31"/>
      <c r="H2036" s="74"/>
      <c r="I2036" s="75"/>
      <c r="J2036" s="75"/>
      <c r="K2036" s="3"/>
      <c r="O2036" s="9"/>
      <c r="S2036" s="3"/>
    </row>
    <row r="2037" spans="1:19" ht="15" customHeight="1" x14ac:dyDescent="0.35">
      <c r="A2037" s="26"/>
      <c r="B2037" s="27"/>
      <c r="C2037" s="28"/>
      <c r="D2037" s="29"/>
      <c r="E2037" s="76"/>
      <c r="F2037" s="77"/>
      <c r="G2037" s="31"/>
      <c r="H2037" s="74"/>
      <c r="I2037" s="75"/>
      <c r="J2037" s="75"/>
      <c r="K2037" s="3"/>
      <c r="O2037" s="9"/>
      <c r="S2037" s="3"/>
    </row>
    <row r="2038" spans="1:19" ht="15" customHeight="1" x14ac:dyDescent="0.35">
      <c r="A2038" s="26"/>
      <c r="B2038" s="27"/>
      <c r="C2038" s="28"/>
      <c r="D2038" s="29"/>
      <c r="E2038" s="76"/>
      <c r="F2038" s="77"/>
      <c r="G2038" s="31"/>
      <c r="H2038" s="74"/>
      <c r="I2038" s="75"/>
      <c r="J2038" s="75"/>
      <c r="K2038" s="3"/>
      <c r="O2038" s="9"/>
      <c r="S2038" s="3"/>
    </row>
    <row r="2039" spans="1:19" ht="15" customHeight="1" x14ac:dyDescent="0.35">
      <c r="A2039" s="26"/>
      <c r="B2039" s="27"/>
      <c r="C2039" s="28"/>
      <c r="D2039" s="29"/>
      <c r="E2039" s="76"/>
      <c r="F2039" s="77"/>
      <c r="G2039" s="31"/>
      <c r="H2039" s="74"/>
      <c r="I2039" s="75"/>
      <c r="J2039" s="75"/>
      <c r="K2039" s="3"/>
      <c r="O2039" s="9"/>
      <c r="S2039" s="3"/>
    </row>
    <row r="2040" spans="1:19" ht="15" customHeight="1" x14ac:dyDescent="0.35">
      <c r="A2040" s="26"/>
      <c r="B2040" s="27"/>
      <c r="C2040" s="28"/>
      <c r="D2040" s="29"/>
      <c r="E2040" s="76"/>
      <c r="F2040" s="77"/>
      <c r="G2040" s="31"/>
      <c r="H2040" s="74"/>
      <c r="I2040" s="75"/>
      <c r="J2040" s="75"/>
      <c r="K2040" s="3"/>
      <c r="O2040" s="9"/>
      <c r="S2040" s="3"/>
    </row>
    <row r="2041" spans="1:19" ht="15" customHeight="1" x14ac:dyDescent="0.35">
      <c r="A2041" s="26"/>
      <c r="B2041" s="27"/>
      <c r="C2041" s="28"/>
      <c r="D2041" s="29"/>
      <c r="E2041" s="76"/>
      <c r="F2041" s="77"/>
      <c r="G2041" s="31"/>
      <c r="H2041" s="74"/>
      <c r="I2041" s="75"/>
      <c r="J2041" s="75"/>
      <c r="K2041" s="3"/>
      <c r="O2041" s="9"/>
      <c r="S2041" s="3"/>
    </row>
    <row r="2042" spans="1:19" ht="15" customHeight="1" x14ac:dyDescent="0.35">
      <c r="A2042" s="26"/>
      <c r="B2042" s="27"/>
      <c r="C2042" s="28"/>
      <c r="D2042" s="29"/>
      <c r="E2042" s="76"/>
      <c r="F2042" s="77"/>
      <c r="G2042" s="31"/>
      <c r="H2042" s="74"/>
      <c r="I2042" s="75"/>
      <c r="J2042" s="75"/>
      <c r="K2042" s="3"/>
      <c r="O2042" s="9"/>
      <c r="S2042" s="3"/>
    </row>
    <row r="2043" spans="1:19" ht="15" customHeight="1" x14ac:dyDescent="0.35">
      <c r="A2043" s="26"/>
      <c r="B2043" s="27"/>
      <c r="C2043" s="28"/>
      <c r="D2043" s="29"/>
      <c r="E2043" s="76"/>
      <c r="F2043" s="77"/>
      <c r="G2043" s="31"/>
      <c r="H2043" s="74"/>
      <c r="I2043" s="75"/>
      <c r="J2043" s="75"/>
      <c r="K2043" s="3"/>
      <c r="O2043" s="9"/>
      <c r="S2043" s="3"/>
    </row>
    <row r="2044" spans="1:19" ht="15" customHeight="1" x14ac:dyDescent="0.35">
      <c r="A2044" s="26"/>
      <c r="B2044" s="27"/>
      <c r="C2044" s="28"/>
      <c r="D2044" s="29"/>
      <c r="E2044" s="76"/>
      <c r="F2044" s="77"/>
      <c r="G2044" s="31"/>
      <c r="H2044" s="74"/>
      <c r="I2044" s="75"/>
      <c r="J2044" s="75"/>
      <c r="K2044" s="3"/>
      <c r="O2044" s="9"/>
      <c r="S2044" s="3"/>
    </row>
    <row r="2045" spans="1:19" ht="15" customHeight="1" x14ac:dyDescent="0.35">
      <c r="A2045" s="26"/>
      <c r="B2045" s="27"/>
      <c r="C2045" s="28"/>
      <c r="D2045" s="29"/>
      <c r="E2045" s="76"/>
      <c r="F2045" s="77"/>
      <c r="G2045" s="31"/>
      <c r="H2045" s="74"/>
      <c r="I2045" s="75"/>
      <c r="J2045" s="75"/>
      <c r="K2045" s="3"/>
      <c r="O2045" s="9"/>
      <c r="S2045" s="3"/>
    </row>
    <row r="2046" spans="1:19" ht="15" customHeight="1" x14ac:dyDescent="0.35">
      <c r="A2046" s="26"/>
      <c r="B2046" s="27"/>
      <c r="C2046" s="28"/>
      <c r="D2046" s="29"/>
      <c r="E2046" s="76"/>
      <c r="F2046" s="77"/>
      <c r="G2046" s="31"/>
      <c r="H2046" s="74"/>
      <c r="I2046" s="75"/>
      <c r="J2046" s="75"/>
      <c r="K2046" s="3"/>
      <c r="O2046" s="9"/>
      <c r="S2046" s="3"/>
    </row>
    <row r="2047" spans="1:19" ht="15" customHeight="1" x14ac:dyDescent="0.35">
      <c r="A2047" s="26"/>
      <c r="B2047" s="27"/>
      <c r="C2047" s="28"/>
      <c r="D2047" s="29"/>
      <c r="E2047" s="76"/>
      <c r="F2047" s="77"/>
      <c r="G2047" s="31"/>
      <c r="H2047" s="74"/>
      <c r="I2047" s="75"/>
      <c r="J2047" s="75"/>
      <c r="K2047" s="3"/>
      <c r="O2047" s="9"/>
      <c r="S2047" s="3"/>
    </row>
    <row r="2048" spans="1:19" ht="15" customHeight="1" x14ac:dyDescent="0.35">
      <c r="A2048" s="26"/>
      <c r="B2048" s="27"/>
      <c r="C2048" s="28"/>
      <c r="D2048" s="29"/>
      <c r="E2048" s="76"/>
      <c r="F2048" s="77"/>
      <c r="G2048" s="31"/>
      <c r="H2048" s="74"/>
      <c r="I2048" s="75"/>
      <c r="J2048" s="75"/>
      <c r="K2048" s="3"/>
      <c r="O2048" s="9"/>
      <c r="S2048" s="3"/>
    </row>
    <row r="2049" spans="1:19" ht="15" customHeight="1" x14ac:dyDescent="0.35">
      <c r="A2049" s="26"/>
      <c r="B2049" s="27"/>
      <c r="C2049" s="28"/>
      <c r="D2049" s="29"/>
      <c r="E2049" s="76"/>
      <c r="F2049" s="77"/>
      <c r="G2049" s="31"/>
      <c r="H2049" s="74"/>
      <c r="I2049" s="75"/>
      <c r="J2049" s="75"/>
      <c r="K2049" s="3"/>
      <c r="O2049" s="9"/>
      <c r="S2049" s="3"/>
    </row>
    <row r="2050" spans="1:19" ht="15" customHeight="1" x14ac:dyDescent="0.35">
      <c r="A2050" s="26"/>
      <c r="B2050" s="27"/>
      <c r="C2050" s="28"/>
      <c r="D2050" s="29"/>
      <c r="E2050" s="76"/>
      <c r="F2050" s="77"/>
      <c r="G2050" s="31"/>
      <c r="H2050" s="74"/>
      <c r="I2050" s="75"/>
      <c r="J2050" s="75"/>
      <c r="K2050" s="3"/>
      <c r="O2050" s="9"/>
      <c r="S2050" s="3"/>
    </row>
    <row r="2051" spans="1:19" ht="15" customHeight="1" x14ac:dyDescent="0.35">
      <c r="A2051" s="26"/>
      <c r="B2051" s="27"/>
      <c r="C2051" s="28"/>
      <c r="D2051" s="29"/>
      <c r="E2051" s="76"/>
      <c r="F2051" s="77"/>
      <c r="G2051" s="31"/>
      <c r="H2051" s="74"/>
      <c r="I2051" s="75"/>
      <c r="J2051" s="75"/>
      <c r="K2051" s="3"/>
      <c r="O2051" s="9"/>
      <c r="S2051" s="3"/>
    </row>
    <row r="2052" spans="1:19" ht="15" customHeight="1" x14ac:dyDescent="0.35">
      <c r="A2052" s="26"/>
      <c r="B2052" s="27"/>
      <c r="C2052" s="28"/>
      <c r="D2052" s="29"/>
      <c r="E2052" s="76"/>
      <c r="F2052" s="77"/>
      <c r="G2052" s="31"/>
      <c r="H2052" s="74"/>
      <c r="I2052" s="75"/>
      <c r="J2052" s="75"/>
      <c r="K2052" s="3"/>
      <c r="O2052" s="9"/>
      <c r="S2052" s="3"/>
    </row>
    <row r="2053" spans="1:19" ht="15" customHeight="1" x14ac:dyDescent="0.35">
      <c r="A2053" s="26"/>
      <c r="B2053" s="27"/>
      <c r="C2053" s="28"/>
      <c r="D2053" s="29"/>
      <c r="E2053" s="76"/>
      <c r="F2053" s="77"/>
      <c r="G2053" s="31"/>
      <c r="H2053" s="74"/>
      <c r="I2053" s="75"/>
      <c r="J2053" s="75"/>
      <c r="K2053" s="3"/>
      <c r="O2053" s="9"/>
      <c r="S2053" s="3"/>
    </row>
    <row r="2054" spans="1:19" ht="15" customHeight="1" x14ac:dyDescent="0.35">
      <c r="A2054" s="26"/>
      <c r="B2054" s="27"/>
      <c r="C2054" s="28"/>
      <c r="D2054" s="29"/>
      <c r="E2054" s="76"/>
      <c r="F2054" s="77"/>
      <c r="G2054" s="31"/>
      <c r="H2054" s="74"/>
      <c r="I2054" s="75"/>
      <c r="J2054" s="75"/>
      <c r="K2054" s="3"/>
      <c r="O2054" s="9"/>
      <c r="S2054" s="3"/>
    </row>
    <row r="2055" spans="1:19" ht="15" customHeight="1" x14ac:dyDescent="0.35">
      <c r="A2055" s="26"/>
      <c r="B2055" s="27"/>
      <c r="C2055" s="28"/>
      <c r="D2055" s="29"/>
      <c r="E2055" s="76"/>
      <c r="F2055" s="77"/>
      <c r="G2055" s="31"/>
      <c r="H2055" s="74"/>
      <c r="I2055" s="75"/>
      <c r="J2055" s="75"/>
      <c r="K2055" s="3"/>
      <c r="O2055" s="9"/>
      <c r="S2055" s="3"/>
    </row>
    <row r="2056" spans="1:19" ht="15" customHeight="1" x14ac:dyDescent="0.35">
      <c r="A2056" s="26"/>
      <c r="B2056" s="27"/>
      <c r="C2056" s="28"/>
      <c r="D2056" s="29"/>
      <c r="E2056" s="76"/>
      <c r="F2056" s="77"/>
      <c r="G2056" s="31"/>
      <c r="H2056" s="74"/>
      <c r="I2056" s="75"/>
      <c r="J2056" s="75"/>
      <c r="K2056" s="3"/>
      <c r="O2056" s="9"/>
      <c r="S2056" s="3"/>
    </row>
    <row r="2057" spans="1:19" ht="15" customHeight="1" x14ac:dyDescent="0.35">
      <c r="A2057" s="26"/>
      <c r="B2057" s="27"/>
      <c r="C2057" s="28"/>
      <c r="D2057" s="29"/>
      <c r="E2057" s="76"/>
      <c r="F2057" s="77"/>
      <c r="G2057" s="31"/>
      <c r="H2057" s="74"/>
      <c r="I2057" s="75"/>
      <c r="J2057" s="75"/>
      <c r="K2057" s="3"/>
      <c r="O2057" s="9"/>
      <c r="S2057" s="3"/>
    </row>
    <row r="2058" spans="1:19" ht="15" customHeight="1" x14ac:dyDescent="0.35">
      <c r="A2058" s="26"/>
      <c r="B2058" s="27"/>
      <c r="C2058" s="28"/>
      <c r="D2058" s="29"/>
      <c r="E2058" s="76"/>
      <c r="F2058" s="77"/>
      <c r="G2058" s="31"/>
      <c r="H2058" s="74"/>
      <c r="I2058" s="75"/>
      <c r="J2058" s="75"/>
      <c r="K2058" s="3"/>
      <c r="O2058" s="9"/>
      <c r="S2058" s="3"/>
    </row>
    <row r="2059" spans="1:19" ht="15" customHeight="1" x14ac:dyDescent="0.35">
      <c r="A2059" s="26"/>
      <c r="B2059" s="27"/>
      <c r="C2059" s="28"/>
      <c r="D2059" s="29"/>
      <c r="E2059" s="76"/>
      <c r="F2059" s="77"/>
      <c r="G2059" s="31"/>
      <c r="H2059" s="74"/>
      <c r="I2059" s="75"/>
      <c r="J2059" s="75"/>
      <c r="K2059" s="3"/>
      <c r="O2059" s="9"/>
      <c r="S2059" s="3"/>
    </row>
    <row r="2060" spans="1:19" ht="15" customHeight="1" x14ac:dyDescent="0.35">
      <c r="A2060" s="26"/>
      <c r="B2060" s="27"/>
      <c r="C2060" s="28"/>
      <c r="D2060" s="29"/>
      <c r="E2060" s="76"/>
      <c r="F2060" s="77"/>
      <c r="G2060" s="31"/>
      <c r="H2060" s="74"/>
      <c r="I2060" s="75"/>
      <c r="J2060" s="75"/>
      <c r="K2060" s="3"/>
      <c r="O2060" s="9"/>
      <c r="S2060" s="3"/>
    </row>
    <row r="2061" spans="1:19" ht="15" customHeight="1" x14ac:dyDescent="0.35">
      <c r="A2061" s="26"/>
      <c r="B2061" s="27"/>
      <c r="C2061" s="28"/>
      <c r="D2061" s="29"/>
      <c r="E2061" s="76"/>
      <c r="F2061" s="77"/>
      <c r="G2061" s="31"/>
      <c r="H2061" s="74"/>
      <c r="I2061" s="75"/>
      <c r="J2061" s="75"/>
      <c r="K2061" s="3"/>
      <c r="O2061" s="9"/>
      <c r="S2061" s="3"/>
    </row>
    <row r="2062" spans="1:19" ht="15" customHeight="1" x14ac:dyDescent="0.35">
      <c r="A2062" s="26"/>
      <c r="B2062" s="27"/>
      <c r="C2062" s="28"/>
      <c r="D2062" s="29"/>
      <c r="E2062" s="76"/>
      <c r="F2062" s="77"/>
      <c r="G2062" s="31"/>
      <c r="H2062" s="74"/>
      <c r="I2062" s="75"/>
      <c r="J2062" s="75"/>
      <c r="K2062" s="3"/>
      <c r="O2062" s="9"/>
      <c r="S2062" s="3"/>
    </row>
    <row r="2063" spans="1:19" ht="15" customHeight="1" x14ac:dyDescent="0.35">
      <c r="A2063" s="26"/>
      <c r="B2063" s="27"/>
      <c r="C2063" s="28"/>
      <c r="D2063" s="29"/>
      <c r="E2063" s="76"/>
      <c r="F2063" s="77"/>
      <c r="G2063" s="31"/>
      <c r="H2063" s="74"/>
      <c r="I2063" s="75"/>
      <c r="J2063" s="75"/>
      <c r="K2063" s="3"/>
      <c r="O2063" s="9"/>
      <c r="S2063" s="3"/>
    </row>
    <row r="2064" spans="1:19" ht="15" customHeight="1" x14ac:dyDescent="0.35">
      <c r="A2064" s="26"/>
      <c r="B2064" s="27"/>
      <c r="C2064" s="28"/>
      <c r="D2064" s="29"/>
      <c r="E2064" s="76"/>
      <c r="F2064" s="77"/>
      <c r="G2064" s="31"/>
      <c r="H2064" s="74"/>
      <c r="I2064" s="75"/>
      <c r="J2064" s="75"/>
      <c r="K2064" s="3"/>
      <c r="O2064" s="9"/>
      <c r="S2064" s="3"/>
    </row>
    <row r="2065" spans="1:19" ht="15" customHeight="1" x14ac:dyDescent="0.35">
      <c r="A2065" s="26"/>
      <c r="B2065" s="27"/>
      <c r="C2065" s="28"/>
      <c r="D2065" s="29"/>
      <c r="E2065" s="76"/>
      <c r="F2065" s="77"/>
      <c r="G2065" s="31"/>
      <c r="H2065" s="74"/>
      <c r="I2065" s="75"/>
      <c r="J2065" s="75"/>
      <c r="K2065" s="3"/>
      <c r="O2065" s="9"/>
      <c r="S2065" s="3"/>
    </row>
    <row r="2066" spans="1:19" ht="15" customHeight="1" x14ac:dyDescent="0.35">
      <c r="A2066" s="26"/>
      <c r="B2066" s="27"/>
      <c r="C2066" s="28"/>
      <c r="D2066" s="29"/>
      <c r="E2066" s="76"/>
      <c r="F2066" s="77"/>
      <c r="G2066" s="31"/>
      <c r="H2066" s="74"/>
      <c r="I2066" s="75"/>
      <c r="J2066" s="75"/>
      <c r="K2066" s="3"/>
      <c r="O2066" s="9"/>
      <c r="S2066" s="3"/>
    </row>
    <row r="2067" spans="1:19" ht="15" customHeight="1" x14ac:dyDescent="0.35">
      <c r="A2067" s="26"/>
      <c r="B2067" s="27"/>
      <c r="C2067" s="28"/>
      <c r="D2067" s="29"/>
      <c r="E2067" s="76"/>
      <c r="F2067" s="77"/>
      <c r="G2067" s="31"/>
      <c r="H2067" s="74"/>
      <c r="I2067" s="75"/>
      <c r="J2067" s="75"/>
      <c r="K2067" s="3"/>
      <c r="O2067" s="9"/>
      <c r="S2067" s="3"/>
    </row>
    <row r="2068" spans="1:19" ht="15" customHeight="1" x14ac:dyDescent="0.35">
      <c r="A2068" s="26"/>
      <c r="B2068" s="27"/>
      <c r="C2068" s="28"/>
      <c r="D2068" s="29"/>
      <c r="E2068" s="76"/>
      <c r="F2068" s="77"/>
      <c r="G2068" s="31"/>
      <c r="H2068" s="74"/>
      <c r="I2068" s="75"/>
      <c r="J2068" s="75"/>
      <c r="K2068" s="3"/>
      <c r="O2068" s="9"/>
      <c r="S2068" s="3"/>
    </row>
    <row r="2069" spans="1:19" ht="15" customHeight="1" x14ac:dyDescent="0.35">
      <c r="A2069" s="26"/>
      <c r="B2069" s="27"/>
      <c r="C2069" s="28"/>
      <c r="D2069" s="29"/>
      <c r="E2069" s="76"/>
      <c r="F2069" s="77"/>
      <c r="G2069" s="31"/>
      <c r="H2069" s="74"/>
      <c r="I2069" s="75"/>
      <c r="J2069" s="75"/>
      <c r="K2069" s="3"/>
      <c r="O2069" s="9"/>
      <c r="S2069" s="3"/>
    </row>
    <row r="2070" spans="1:19" ht="15" customHeight="1" x14ac:dyDescent="0.35">
      <c r="A2070" s="26"/>
      <c r="B2070" s="27"/>
      <c r="C2070" s="28"/>
      <c r="D2070" s="29"/>
      <c r="E2070" s="76"/>
      <c r="F2070" s="77"/>
      <c r="G2070" s="31"/>
      <c r="H2070" s="74"/>
      <c r="I2070" s="75"/>
      <c r="J2070" s="75"/>
      <c r="K2070" s="3"/>
      <c r="O2070" s="9"/>
      <c r="S2070" s="3"/>
    </row>
    <row r="2071" spans="1:19" ht="15" customHeight="1" x14ac:dyDescent="0.35">
      <c r="A2071" s="26"/>
      <c r="B2071" s="27"/>
      <c r="C2071" s="28"/>
      <c r="D2071" s="29"/>
      <c r="E2071" s="76"/>
      <c r="F2071" s="77"/>
      <c r="G2071" s="31"/>
      <c r="H2071" s="74"/>
      <c r="I2071" s="75"/>
      <c r="J2071" s="75"/>
      <c r="K2071" s="3"/>
      <c r="O2071" s="9"/>
      <c r="S2071" s="3"/>
    </row>
    <row r="2072" spans="1:19" ht="15" customHeight="1" x14ac:dyDescent="0.35">
      <c r="A2072" s="26"/>
      <c r="B2072" s="27"/>
      <c r="C2072" s="28"/>
      <c r="D2072" s="29"/>
      <c r="E2072" s="76"/>
      <c r="F2072" s="77"/>
      <c r="G2072" s="31"/>
      <c r="H2072" s="74"/>
      <c r="I2072" s="75"/>
      <c r="J2072" s="75"/>
      <c r="K2072" s="3"/>
      <c r="O2072" s="9"/>
      <c r="S2072" s="3"/>
    </row>
    <row r="2073" spans="1:19" ht="15" customHeight="1" x14ac:dyDescent="0.35">
      <c r="A2073" s="26"/>
      <c r="B2073" s="27"/>
      <c r="C2073" s="28"/>
      <c r="D2073" s="29"/>
      <c r="E2073" s="76"/>
      <c r="F2073" s="77"/>
      <c r="G2073" s="31"/>
      <c r="H2073" s="74"/>
      <c r="I2073" s="75"/>
      <c r="J2073" s="75"/>
      <c r="K2073" s="3"/>
      <c r="O2073" s="9"/>
      <c r="S2073" s="3"/>
    </row>
    <row r="2074" spans="1:19" ht="15" customHeight="1" x14ac:dyDescent="0.35">
      <c r="A2074" s="26"/>
      <c r="B2074" s="27"/>
      <c r="C2074" s="28"/>
      <c r="D2074" s="29"/>
      <c r="E2074" s="76"/>
      <c r="F2074" s="77"/>
      <c r="G2074" s="31"/>
      <c r="H2074" s="74"/>
      <c r="I2074" s="75"/>
      <c r="J2074" s="75"/>
      <c r="K2074" s="3"/>
      <c r="O2074" s="9"/>
      <c r="S2074" s="3"/>
    </row>
    <row r="2075" spans="1:19" ht="15" customHeight="1" x14ac:dyDescent="0.35">
      <c r="A2075" s="26"/>
      <c r="B2075" s="27"/>
      <c r="C2075" s="28"/>
      <c r="D2075" s="29"/>
      <c r="E2075" s="76"/>
      <c r="F2075" s="77"/>
      <c r="G2075" s="31"/>
      <c r="H2075" s="74"/>
      <c r="I2075" s="75"/>
      <c r="J2075" s="75"/>
      <c r="K2075" s="3"/>
      <c r="O2075" s="9"/>
      <c r="S2075" s="3"/>
    </row>
    <row r="2076" spans="1:19" ht="15" customHeight="1" x14ac:dyDescent="0.35">
      <c r="A2076" s="26"/>
      <c r="B2076" s="27"/>
      <c r="C2076" s="28"/>
      <c r="D2076" s="29"/>
      <c r="E2076" s="76"/>
      <c r="F2076" s="77"/>
      <c r="G2076" s="31"/>
      <c r="H2076" s="74"/>
      <c r="I2076" s="75"/>
      <c r="J2076" s="75"/>
      <c r="K2076" s="3"/>
      <c r="O2076" s="9"/>
      <c r="S2076" s="3"/>
    </row>
    <row r="2077" spans="1:19" ht="15" customHeight="1" x14ac:dyDescent="0.35">
      <c r="A2077" s="26"/>
      <c r="B2077" s="27"/>
      <c r="C2077" s="28"/>
      <c r="D2077" s="29"/>
      <c r="E2077" s="76"/>
      <c r="F2077" s="77"/>
      <c r="G2077" s="31"/>
      <c r="H2077" s="74"/>
      <c r="I2077" s="75"/>
      <c r="J2077" s="75"/>
      <c r="K2077" s="3"/>
      <c r="O2077" s="9"/>
      <c r="S2077" s="3"/>
    </row>
    <row r="2078" spans="1:19" ht="15" customHeight="1" x14ac:dyDescent="0.35">
      <c r="A2078" s="26"/>
      <c r="B2078" s="27"/>
      <c r="C2078" s="28"/>
      <c r="D2078" s="29"/>
      <c r="E2078" s="76"/>
      <c r="F2078" s="77"/>
      <c r="G2078" s="31"/>
      <c r="H2078" s="74"/>
      <c r="I2078" s="75"/>
      <c r="J2078" s="75"/>
      <c r="K2078" s="3"/>
      <c r="O2078" s="9"/>
      <c r="S2078" s="3"/>
    </row>
    <row r="2079" spans="1:19" ht="15" customHeight="1" x14ac:dyDescent="0.35">
      <c r="A2079" s="26"/>
      <c r="B2079" s="27"/>
      <c r="C2079" s="28"/>
      <c r="D2079" s="29"/>
      <c r="E2079" s="76"/>
      <c r="F2079" s="77"/>
      <c r="G2079" s="31"/>
      <c r="H2079" s="74"/>
      <c r="I2079" s="75"/>
      <c r="J2079" s="75"/>
      <c r="K2079" s="3"/>
      <c r="O2079" s="9"/>
      <c r="S2079" s="3"/>
    </row>
    <row r="2080" spans="1:19" ht="15" customHeight="1" x14ac:dyDescent="0.35">
      <c r="A2080" s="26"/>
      <c r="B2080" s="27"/>
      <c r="C2080" s="28"/>
      <c r="D2080" s="29"/>
      <c r="E2080" s="76"/>
      <c r="F2080" s="77"/>
      <c r="G2080" s="31"/>
      <c r="H2080" s="74"/>
      <c r="I2080" s="75"/>
      <c r="J2080" s="75"/>
      <c r="K2080" s="3"/>
      <c r="O2080" s="9"/>
      <c r="S2080" s="3"/>
    </row>
    <row r="2081" spans="1:19" ht="15" customHeight="1" x14ac:dyDescent="0.35">
      <c r="A2081" s="26"/>
      <c r="B2081" s="27"/>
      <c r="C2081" s="28"/>
      <c r="D2081" s="29"/>
      <c r="E2081" s="76"/>
      <c r="F2081" s="77"/>
      <c r="G2081" s="31"/>
      <c r="H2081" s="74"/>
      <c r="I2081" s="75"/>
      <c r="J2081" s="75"/>
      <c r="K2081" s="3"/>
      <c r="O2081" s="9"/>
      <c r="S2081" s="3"/>
    </row>
    <row r="2082" spans="1:19" ht="15" customHeight="1" x14ac:dyDescent="0.35">
      <c r="A2082" s="26"/>
      <c r="B2082" s="27"/>
      <c r="C2082" s="28"/>
      <c r="D2082" s="29"/>
      <c r="E2082" s="76"/>
      <c r="F2082" s="77"/>
      <c r="G2082" s="31"/>
      <c r="H2082" s="74"/>
      <c r="I2082" s="75"/>
      <c r="J2082" s="75"/>
      <c r="K2082" s="3"/>
      <c r="O2082" s="9"/>
      <c r="S2082" s="3"/>
    </row>
    <row r="2083" spans="1:19" ht="15" customHeight="1" x14ac:dyDescent="0.35">
      <c r="A2083" s="26"/>
      <c r="B2083" s="27"/>
      <c r="C2083" s="28"/>
      <c r="D2083" s="29"/>
      <c r="E2083" s="76"/>
      <c r="F2083" s="77"/>
      <c r="G2083" s="31"/>
      <c r="H2083" s="74"/>
      <c r="I2083" s="75"/>
      <c r="J2083" s="75"/>
      <c r="K2083" s="3"/>
      <c r="O2083" s="9"/>
      <c r="S2083" s="3"/>
    </row>
    <row r="2084" spans="1:19" ht="15" customHeight="1" x14ac:dyDescent="0.35">
      <c r="A2084" s="26"/>
      <c r="B2084" s="27"/>
      <c r="C2084" s="28"/>
      <c r="D2084" s="29"/>
      <c r="E2084" s="76"/>
      <c r="F2084" s="77"/>
      <c r="G2084" s="31"/>
      <c r="H2084" s="74"/>
      <c r="I2084" s="75"/>
      <c r="J2084" s="75"/>
      <c r="K2084" s="3"/>
      <c r="O2084" s="9"/>
      <c r="S2084" s="3"/>
    </row>
    <row r="2085" spans="1:19" ht="15" customHeight="1" x14ac:dyDescent="0.35">
      <c r="A2085" s="26"/>
      <c r="B2085" s="27"/>
      <c r="C2085" s="28"/>
      <c r="D2085" s="29"/>
      <c r="E2085" s="76"/>
      <c r="F2085" s="77"/>
      <c r="G2085" s="31"/>
      <c r="H2085" s="74"/>
      <c r="I2085" s="75"/>
      <c r="J2085" s="75"/>
      <c r="K2085" s="3"/>
      <c r="O2085" s="9"/>
      <c r="S2085" s="3"/>
    </row>
    <row r="2086" spans="1:19" ht="15" customHeight="1" x14ac:dyDescent="0.35">
      <c r="A2086" s="26"/>
      <c r="B2086" s="27"/>
      <c r="C2086" s="28"/>
      <c r="D2086" s="29"/>
      <c r="E2086" s="76"/>
      <c r="F2086" s="77"/>
      <c r="G2086" s="31"/>
      <c r="H2086" s="74"/>
      <c r="I2086" s="75"/>
      <c r="J2086" s="75"/>
      <c r="K2086" s="3"/>
      <c r="O2086" s="9"/>
      <c r="S2086" s="3"/>
    </row>
    <row r="2087" spans="1:19" ht="15" customHeight="1" x14ac:dyDescent="0.35">
      <c r="A2087" s="26"/>
      <c r="B2087" s="27"/>
      <c r="C2087" s="28"/>
      <c r="D2087" s="29"/>
      <c r="E2087" s="76"/>
      <c r="F2087" s="77"/>
      <c r="G2087" s="31"/>
      <c r="H2087" s="74"/>
      <c r="I2087" s="75"/>
      <c r="J2087" s="75"/>
      <c r="K2087" s="3"/>
      <c r="O2087" s="9"/>
      <c r="S2087" s="3"/>
    </row>
    <row r="2088" spans="1:19" ht="15" customHeight="1" x14ac:dyDescent="0.35">
      <c r="A2088" s="26"/>
      <c r="B2088" s="27"/>
      <c r="C2088" s="28"/>
      <c r="D2088" s="29"/>
      <c r="E2088" s="76"/>
      <c r="F2088" s="77"/>
      <c r="G2088" s="31"/>
      <c r="H2088" s="74"/>
      <c r="I2088" s="75"/>
      <c r="J2088" s="75"/>
      <c r="K2088" s="3"/>
      <c r="O2088" s="9"/>
      <c r="S2088" s="3"/>
    </row>
    <row r="2089" spans="1:19" ht="15" customHeight="1" x14ac:dyDescent="0.35">
      <c r="A2089" s="26"/>
      <c r="B2089" s="27"/>
      <c r="C2089" s="28"/>
      <c r="D2089" s="29"/>
      <c r="E2089" s="76"/>
      <c r="F2089" s="77"/>
      <c r="G2089" s="31"/>
      <c r="H2089" s="74"/>
      <c r="I2089" s="75"/>
      <c r="J2089" s="75"/>
      <c r="K2089" s="3"/>
      <c r="O2089" s="9"/>
      <c r="S2089" s="3"/>
    </row>
    <row r="2090" spans="1:19" ht="15" customHeight="1" x14ac:dyDescent="0.35">
      <c r="A2090" s="26"/>
      <c r="B2090" s="27"/>
      <c r="C2090" s="28"/>
      <c r="D2090" s="29"/>
      <c r="E2090" s="76"/>
      <c r="F2090" s="77"/>
      <c r="G2090" s="31"/>
      <c r="H2090" s="74"/>
      <c r="I2090" s="75"/>
      <c r="J2090" s="75"/>
      <c r="K2090" s="3"/>
      <c r="O2090" s="9"/>
      <c r="S2090" s="3"/>
    </row>
    <row r="2091" spans="1:19" ht="15" customHeight="1" x14ac:dyDescent="0.35">
      <c r="A2091" s="26"/>
      <c r="B2091" s="27"/>
      <c r="C2091" s="28"/>
      <c r="D2091" s="29"/>
      <c r="E2091" s="76"/>
      <c r="F2091" s="77"/>
      <c r="G2091" s="31"/>
      <c r="H2091" s="74"/>
      <c r="I2091" s="75"/>
      <c r="J2091" s="75"/>
      <c r="K2091" s="3"/>
      <c r="O2091" s="9"/>
      <c r="S2091" s="3"/>
    </row>
    <row r="2092" spans="1:19" ht="15" customHeight="1" x14ac:dyDescent="0.35">
      <c r="A2092" s="26"/>
      <c r="B2092" s="27"/>
      <c r="C2092" s="28"/>
      <c r="D2092" s="29"/>
      <c r="E2092" s="76"/>
      <c r="F2092" s="77"/>
      <c r="G2092" s="31"/>
      <c r="H2092" s="74"/>
      <c r="I2092" s="75"/>
      <c r="J2092" s="75"/>
      <c r="K2092" s="3"/>
      <c r="O2092" s="9"/>
      <c r="S2092" s="3"/>
    </row>
    <row r="2093" spans="1:19" ht="15" customHeight="1" x14ac:dyDescent="0.35">
      <c r="A2093" s="26"/>
      <c r="B2093" s="27"/>
      <c r="C2093" s="28"/>
      <c r="D2093" s="29"/>
      <c r="E2093" s="76"/>
      <c r="F2093" s="77"/>
      <c r="G2093" s="31"/>
      <c r="H2093" s="74"/>
      <c r="I2093" s="75"/>
      <c r="J2093" s="75"/>
      <c r="K2093" s="3"/>
      <c r="O2093" s="9"/>
      <c r="S2093" s="3"/>
    </row>
    <row r="2094" spans="1:19" ht="15" customHeight="1" x14ac:dyDescent="0.35">
      <c r="A2094" s="26"/>
      <c r="B2094" s="27"/>
      <c r="C2094" s="28"/>
      <c r="D2094" s="29"/>
      <c r="E2094" s="76"/>
      <c r="F2094" s="77"/>
      <c r="G2094" s="31"/>
      <c r="H2094" s="74"/>
      <c r="I2094" s="75"/>
      <c r="J2094" s="75"/>
      <c r="K2094" s="3"/>
      <c r="O2094" s="9"/>
      <c r="S2094" s="3"/>
    </row>
    <row r="2095" spans="1:19" ht="15" customHeight="1" x14ac:dyDescent="0.35">
      <c r="A2095" s="26"/>
      <c r="B2095" s="27"/>
      <c r="C2095" s="28"/>
      <c r="D2095" s="29"/>
      <c r="E2095" s="76"/>
      <c r="F2095" s="77"/>
      <c r="G2095" s="31"/>
      <c r="H2095" s="74"/>
      <c r="I2095" s="75"/>
      <c r="J2095" s="75"/>
      <c r="K2095" s="3"/>
      <c r="O2095" s="9"/>
      <c r="S2095" s="3"/>
    </row>
    <row r="2096" spans="1:19" ht="15" customHeight="1" x14ac:dyDescent="0.35">
      <c r="A2096" s="26"/>
      <c r="B2096" s="27"/>
      <c r="C2096" s="28"/>
      <c r="D2096" s="29"/>
      <c r="E2096" s="76"/>
      <c r="F2096" s="77"/>
      <c r="G2096" s="31"/>
      <c r="H2096" s="74"/>
      <c r="I2096" s="75"/>
      <c r="J2096" s="75"/>
      <c r="K2096" s="3"/>
      <c r="O2096" s="9"/>
      <c r="S2096" s="3"/>
    </row>
    <row r="2097" spans="1:19" ht="15" customHeight="1" x14ac:dyDescent="0.35">
      <c r="A2097" s="26"/>
      <c r="B2097" s="27"/>
      <c r="C2097" s="28"/>
      <c r="D2097" s="29"/>
      <c r="E2097" s="76"/>
      <c r="F2097" s="77"/>
      <c r="G2097" s="31"/>
      <c r="H2097" s="74"/>
      <c r="I2097" s="75"/>
      <c r="J2097" s="75"/>
      <c r="K2097" s="3"/>
      <c r="O2097" s="9"/>
      <c r="S2097" s="3"/>
    </row>
    <row r="2098" spans="1:19" ht="15" customHeight="1" x14ac:dyDescent="0.35">
      <c r="A2098" s="26"/>
      <c r="B2098" s="27"/>
      <c r="C2098" s="28"/>
      <c r="D2098" s="29"/>
      <c r="E2098" s="76"/>
      <c r="F2098" s="77"/>
      <c r="G2098" s="31"/>
      <c r="H2098" s="74"/>
      <c r="I2098" s="75"/>
      <c r="J2098" s="75"/>
      <c r="K2098" s="3"/>
      <c r="O2098" s="9"/>
      <c r="S2098" s="3"/>
    </row>
    <row r="2099" spans="1:19" ht="15" customHeight="1" x14ac:dyDescent="0.35">
      <c r="A2099" s="26"/>
      <c r="B2099" s="27"/>
      <c r="C2099" s="28"/>
      <c r="D2099" s="29"/>
      <c r="E2099" s="76"/>
      <c r="F2099" s="77"/>
      <c r="G2099" s="31"/>
      <c r="H2099" s="74"/>
      <c r="I2099" s="75"/>
      <c r="J2099" s="75"/>
      <c r="K2099" s="3"/>
      <c r="O2099" s="9"/>
      <c r="S2099" s="3"/>
    </row>
    <row r="2100" spans="1:19" ht="15" customHeight="1" x14ac:dyDescent="0.35">
      <c r="A2100" s="26"/>
      <c r="B2100" s="27"/>
      <c r="C2100" s="28"/>
      <c r="D2100" s="29"/>
      <c r="E2100" s="76"/>
      <c r="F2100" s="77"/>
      <c r="G2100" s="31"/>
      <c r="H2100" s="74"/>
      <c r="I2100" s="75"/>
      <c r="J2100" s="75"/>
      <c r="K2100" s="3"/>
      <c r="O2100" s="9"/>
      <c r="S2100" s="3"/>
    </row>
    <row r="2101" spans="1:19" ht="15" customHeight="1" x14ac:dyDescent="0.35">
      <c r="A2101" s="26"/>
      <c r="B2101" s="27"/>
      <c r="C2101" s="28"/>
      <c r="D2101" s="29"/>
      <c r="E2101" s="76"/>
      <c r="F2101" s="77"/>
      <c r="G2101" s="31"/>
      <c r="H2101" s="74"/>
      <c r="I2101" s="75"/>
      <c r="J2101" s="75"/>
      <c r="K2101" s="3"/>
      <c r="O2101" s="9"/>
      <c r="S2101" s="3"/>
    </row>
    <row r="2102" spans="1:19" ht="15" customHeight="1" x14ac:dyDescent="0.35">
      <c r="A2102" s="26"/>
      <c r="B2102" s="27"/>
      <c r="C2102" s="28"/>
      <c r="D2102" s="29"/>
      <c r="E2102" s="76"/>
      <c r="F2102" s="77"/>
      <c r="G2102" s="31"/>
      <c r="H2102" s="74"/>
      <c r="I2102" s="75"/>
      <c r="J2102" s="75"/>
      <c r="K2102" s="3"/>
      <c r="O2102" s="9"/>
      <c r="S2102" s="3"/>
    </row>
    <row r="2103" spans="1:19" ht="15" customHeight="1" x14ac:dyDescent="0.35">
      <c r="A2103" s="26"/>
      <c r="B2103" s="27"/>
      <c r="C2103" s="28"/>
      <c r="D2103" s="29"/>
      <c r="E2103" s="76"/>
      <c r="F2103" s="77"/>
      <c r="G2103" s="31"/>
      <c r="H2103" s="74"/>
      <c r="I2103" s="75"/>
      <c r="J2103" s="75"/>
      <c r="K2103" s="3"/>
      <c r="O2103" s="9"/>
      <c r="S2103" s="3"/>
    </row>
    <row r="2104" spans="1:19" ht="15" customHeight="1" x14ac:dyDescent="0.35">
      <c r="A2104" s="26"/>
      <c r="B2104" s="27"/>
      <c r="C2104" s="28"/>
      <c r="D2104" s="29"/>
      <c r="E2104" s="76"/>
      <c r="F2104" s="77"/>
      <c r="G2104" s="31"/>
      <c r="H2104" s="74"/>
      <c r="I2104" s="75"/>
      <c r="J2104" s="75"/>
      <c r="K2104" s="3"/>
      <c r="O2104" s="9"/>
      <c r="S2104" s="3"/>
    </row>
    <row r="2105" spans="1:19" ht="15" customHeight="1" x14ac:dyDescent="0.35">
      <c r="A2105" s="26"/>
      <c r="B2105" s="27"/>
      <c r="C2105" s="28"/>
      <c r="D2105" s="29"/>
      <c r="E2105" s="76"/>
      <c r="F2105" s="77"/>
      <c r="G2105" s="31"/>
      <c r="H2105" s="74"/>
      <c r="I2105" s="75"/>
      <c r="J2105" s="75"/>
      <c r="K2105" s="3"/>
      <c r="O2105" s="9"/>
      <c r="S2105" s="3"/>
    </row>
    <row r="2106" spans="1:19" ht="15" customHeight="1" x14ac:dyDescent="0.35">
      <c r="A2106" s="26"/>
      <c r="B2106" s="27"/>
      <c r="C2106" s="28"/>
      <c r="D2106" s="29"/>
      <c r="E2106" s="76"/>
      <c r="F2106" s="77"/>
      <c r="G2106" s="31"/>
      <c r="H2106" s="74"/>
      <c r="I2106" s="75"/>
      <c r="J2106" s="75"/>
      <c r="K2106" s="3"/>
      <c r="O2106" s="9"/>
      <c r="S2106" s="3"/>
    </row>
    <row r="2107" spans="1:19" ht="15" customHeight="1" x14ac:dyDescent="0.35">
      <c r="A2107" s="26"/>
      <c r="B2107" s="27"/>
      <c r="C2107" s="28"/>
      <c r="D2107" s="29"/>
      <c r="E2107" s="76"/>
      <c r="F2107" s="77"/>
      <c r="G2107" s="31"/>
      <c r="H2107" s="74"/>
      <c r="I2107" s="75"/>
      <c r="J2107" s="75"/>
      <c r="K2107" s="3"/>
      <c r="O2107" s="9"/>
      <c r="S2107" s="3"/>
    </row>
    <row r="2108" spans="1:19" ht="15" customHeight="1" x14ac:dyDescent="0.35">
      <c r="A2108" s="26"/>
      <c r="B2108" s="27"/>
      <c r="C2108" s="28"/>
      <c r="D2108" s="29"/>
      <c r="E2108" s="76"/>
      <c r="F2108" s="77"/>
      <c r="G2108" s="31"/>
      <c r="H2108" s="74"/>
      <c r="I2108" s="75"/>
      <c r="J2108" s="75"/>
      <c r="K2108" s="3"/>
      <c r="O2108" s="9"/>
      <c r="S2108" s="3"/>
    </row>
    <row r="2109" spans="1:19" ht="15" customHeight="1" x14ac:dyDescent="0.35">
      <c r="A2109" s="26"/>
      <c r="B2109" s="27"/>
      <c r="C2109" s="28"/>
      <c r="D2109" s="29"/>
      <c r="E2109" s="76"/>
      <c r="F2109" s="77"/>
      <c r="G2109" s="31"/>
      <c r="H2109" s="74"/>
      <c r="I2109" s="75"/>
      <c r="J2109" s="75"/>
      <c r="K2109" s="3"/>
      <c r="O2109" s="9"/>
      <c r="S2109" s="3"/>
    </row>
    <row r="2110" spans="1:19" ht="15" customHeight="1" x14ac:dyDescent="0.35">
      <c r="A2110" s="26"/>
      <c r="B2110" s="27"/>
      <c r="C2110" s="28"/>
      <c r="D2110" s="29"/>
      <c r="E2110" s="76"/>
      <c r="F2110" s="77"/>
      <c r="G2110" s="31"/>
      <c r="H2110" s="74"/>
      <c r="I2110" s="75"/>
      <c r="J2110" s="75"/>
      <c r="K2110" s="3"/>
      <c r="O2110" s="9"/>
      <c r="S2110" s="3"/>
    </row>
    <row r="2111" spans="1:19" ht="15" customHeight="1" x14ac:dyDescent="0.35">
      <c r="A2111" s="26"/>
      <c r="B2111" s="27"/>
      <c r="C2111" s="28"/>
      <c r="D2111" s="29"/>
      <c r="E2111" s="76"/>
      <c r="F2111" s="77"/>
      <c r="G2111" s="31"/>
      <c r="H2111" s="74"/>
      <c r="I2111" s="75"/>
      <c r="J2111" s="75"/>
      <c r="K2111" s="3"/>
      <c r="O2111" s="9"/>
      <c r="S2111" s="3"/>
    </row>
    <row r="2112" spans="1:19" ht="15" customHeight="1" x14ac:dyDescent="0.35">
      <c r="A2112" s="26"/>
      <c r="B2112" s="27"/>
      <c r="C2112" s="28"/>
      <c r="D2112" s="29"/>
      <c r="E2112" s="76"/>
      <c r="F2112" s="77"/>
      <c r="G2112" s="31"/>
      <c r="H2112" s="74"/>
      <c r="I2112" s="75"/>
      <c r="J2112" s="75"/>
      <c r="K2112" s="3"/>
      <c r="O2112" s="9"/>
      <c r="S2112" s="3"/>
    </row>
    <row r="2113" spans="1:19" ht="15" customHeight="1" x14ac:dyDescent="0.35">
      <c r="A2113" s="26"/>
      <c r="B2113" s="27"/>
      <c r="C2113" s="28"/>
      <c r="D2113" s="29"/>
      <c r="E2113" s="76"/>
      <c r="F2113" s="77"/>
      <c r="G2113" s="31"/>
      <c r="H2113" s="74"/>
      <c r="I2113" s="75"/>
      <c r="J2113" s="75"/>
      <c r="K2113" s="3"/>
      <c r="O2113" s="9"/>
      <c r="S2113" s="3"/>
    </row>
    <row r="2114" spans="1:19" ht="15" customHeight="1" x14ac:dyDescent="0.35">
      <c r="A2114" s="26"/>
      <c r="B2114" s="27"/>
      <c r="C2114" s="28"/>
      <c r="D2114" s="29"/>
      <c r="E2114" s="76"/>
      <c r="F2114" s="77"/>
      <c r="G2114" s="31"/>
      <c r="H2114" s="74"/>
      <c r="I2114" s="75"/>
      <c r="J2114" s="75"/>
      <c r="K2114" s="3"/>
      <c r="O2114" s="9"/>
      <c r="S2114" s="3"/>
    </row>
    <row r="2115" spans="1:19" ht="15" customHeight="1" x14ac:dyDescent="0.35">
      <c r="A2115" s="26"/>
      <c r="B2115" s="27"/>
      <c r="C2115" s="28"/>
      <c r="D2115" s="29"/>
      <c r="E2115" s="76"/>
      <c r="F2115" s="77"/>
      <c r="G2115" s="31"/>
      <c r="H2115" s="74"/>
      <c r="I2115" s="75"/>
      <c r="J2115" s="75"/>
      <c r="K2115" s="3"/>
      <c r="O2115" s="9"/>
      <c r="S2115" s="3"/>
    </row>
    <row r="2116" spans="1:19" ht="15" customHeight="1" x14ac:dyDescent="0.35">
      <c r="A2116" s="26"/>
      <c r="B2116" s="27"/>
      <c r="C2116" s="28"/>
      <c r="D2116" s="29"/>
      <c r="E2116" s="76"/>
      <c r="F2116" s="77"/>
      <c r="G2116" s="31"/>
      <c r="H2116" s="74"/>
      <c r="I2116" s="75"/>
      <c r="J2116" s="75"/>
      <c r="K2116" s="3"/>
      <c r="O2116" s="9"/>
      <c r="S2116" s="3"/>
    </row>
    <row r="2117" spans="1:19" ht="15" customHeight="1" x14ac:dyDescent="0.35">
      <c r="A2117" s="26"/>
      <c r="B2117" s="27"/>
      <c r="C2117" s="28"/>
      <c r="D2117" s="29"/>
      <c r="E2117" s="76"/>
      <c r="F2117" s="77"/>
      <c r="G2117" s="31"/>
      <c r="H2117" s="74"/>
      <c r="I2117" s="75"/>
      <c r="J2117" s="75"/>
      <c r="K2117" s="3"/>
      <c r="O2117" s="9"/>
      <c r="S2117" s="3"/>
    </row>
    <row r="2118" spans="1:19" ht="15" customHeight="1" x14ac:dyDescent="0.35">
      <c r="A2118" s="26"/>
      <c r="B2118" s="27"/>
      <c r="C2118" s="28"/>
      <c r="D2118" s="29"/>
      <c r="E2118" s="76"/>
      <c r="F2118" s="77"/>
      <c r="G2118" s="31"/>
      <c r="H2118" s="74"/>
      <c r="I2118" s="75"/>
      <c r="J2118" s="75"/>
      <c r="K2118" s="3"/>
      <c r="O2118" s="9"/>
      <c r="S2118" s="3"/>
    </row>
    <row r="2119" spans="1:19" ht="15" customHeight="1" x14ac:dyDescent="0.35">
      <c r="A2119" s="26"/>
      <c r="B2119" s="27"/>
      <c r="C2119" s="28"/>
      <c r="D2119" s="29"/>
      <c r="E2119" s="76"/>
      <c r="F2119" s="77"/>
      <c r="G2119" s="31"/>
      <c r="H2119" s="74"/>
      <c r="I2119" s="75"/>
      <c r="J2119" s="75"/>
      <c r="K2119" s="3"/>
      <c r="O2119" s="9"/>
      <c r="S2119" s="3"/>
    </row>
    <row r="2120" spans="1:19" ht="15" customHeight="1" x14ac:dyDescent="0.35">
      <c r="A2120" s="26"/>
      <c r="B2120" s="27"/>
      <c r="C2120" s="28"/>
      <c r="D2120" s="29"/>
      <c r="E2120" s="76"/>
      <c r="F2120" s="77"/>
      <c r="G2120" s="31"/>
      <c r="H2120" s="74"/>
      <c r="I2120" s="75"/>
      <c r="J2120" s="75"/>
      <c r="K2120" s="3"/>
      <c r="O2120" s="9"/>
      <c r="S2120" s="3"/>
    </row>
    <row r="2121" spans="1:19" ht="15" customHeight="1" x14ac:dyDescent="0.35">
      <c r="A2121" s="26"/>
      <c r="B2121" s="27"/>
      <c r="C2121" s="28"/>
      <c r="D2121" s="29"/>
      <c r="E2121" s="76"/>
      <c r="F2121" s="77"/>
      <c r="G2121" s="31"/>
      <c r="H2121" s="74"/>
      <c r="I2121" s="75"/>
      <c r="J2121" s="75"/>
      <c r="K2121" s="3"/>
      <c r="O2121" s="9"/>
      <c r="S2121" s="3"/>
    </row>
    <row r="2122" spans="1:19" ht="15" customHeight="1" x14ac:dyDescent="0.35">
      <c r="A2122" s="26"/>
      <c r="B2122" s="27"/>
      <c r="C2122" s="28"/>
      <c r="D2122" s="29"/>
      <c r="E2122" s="76"/>
      <c r="F2122" s="77"/>
      <c r="G2122" s="31"/>
      <c r="H2122" s="74"/>
      <c r="I2122" s="75"/>
      <c r="J2122" s="75"/>
      <c r="K2122" s="3"/>
      <c r="O2122" s="9"/>
      <c r="S2122" s="3"/>
    </row>
    <row r="2123" spans="1:19" ht="15" customHeight="1" x14ac:dyDescent="0.35">
      <c r="A2123" s="26"/>
      <c r="B2123" s="27"/>
      <c r="C2123" s="28"/>
      <c r="D2123" s="29"/>
      <c r="E2123" s="76"/>
      <c r="F2123" s="77"/>
      <c r="G2123" s="31"/>
      <c r="H2123" s="74"/>
      <c r="I2123" s="75"/>
      <c r="J2123" s="75"/>
      <c r="K2123" s="3"/>
      <c r="O2123" s="9"/>
      <c r="S2123" s="3"/>
    </row>
    <row r="2124" spans="1:19" ht="15" customHeight="1" x14ac:dyDescent="0.35">
      <c r="A2124" s="26"/>
      <c r="B2124" s="27"/>
      <c r="C2124" s="28"/>
      <c r="D2124" s="29"/>
      <c r="E2124" s="76"/>
      <c r="F2124" s="77"/>
      <c r="G2124" s="31"/>
      <c r="H2124" s="74"/>
      <c r="I2124" s="75"/>
      <c r="J2124" s="75"/>
      <c r="K2124" s="3"/>
      <c r="O2124" s="9"/>
      <c r="S2124" s="3"/>
    </row>
    <row r="2125" spans="1:19" ht="15" customHeight="1" x14ac:dyDescent="0.35">
      <c r="A2125" s="26"/>
      <c r="B2125" s="27"/>
      <c r="C2125" s="28"/>
      <c r="D2125" s="29"/>
      <c r="E2125" s="76"/>
      <c r="F2125" s="77"/>
      <c r="G2125" s="31"/>
      <c r="H2125" s="74"/>
      <c r="I2125" s="75"/>
      <c r="J2125" s="75"/>
      <c r="K2125" s="3"/>
      <c r="O2125" s="9"/>
      <c r="S2125" s="3"/>
    </row>
    <row r="2126" spans="1:19" ht="15" customHeight="1" x14ac:dyDescent="0.35">
      <c r="A2126" s="26"/>
      <c r="B2126" s="27"/>
      <c r="C2126" s="28"/>
      <c r="D2126" s="29"/>
      <c r="E2126" s="76"/>
      <c r="F2126" s="77"/>
      <c r="G2126" s="31"/>
      <c r="H2126" s="74"/>
      <c r="I2126" s="75"/>
      <c r="J2126" s="75"/>
      <c r="K2126" s="3"/>
      <c r="O2126" s="9"/>
      <c r="S2126" s="3"/>
    </row>
    <row r="2127" spans="1:19" ht="15" customHeight="1" x14ac:dyDescent="0.35">
      <c r="A2127" s="26"/>
      <c r="B2127" s="27"/>
      <c r="C2127" s="28"/>
      <c r="D2127" s="29"/>
      <c r="E2127" s="76"/>
      <c r="F2127" s="77"/>
      <c r="G2127" s="31"/>
      <c r="H2127" s="74"/>
      <c r="I2127" s="75"/>
      <c r="J2127" s="75"/>
      <c r="K2127" s="3"/>
      <c r="O2127" s="9"/>
      <c r="S2127" s="3"/>
    </row>
    <row r="2128" spans="1:19" ht="15" customHeight="1" x14ac:dyDescent="0.35">
      <c r="A2128" s="26"/>
      <c r="B2128" s="27"/>
      <c r="C2128" s="28"/>
      <c r="D2128" s="29"/>
      <c r="E2128" s="76"/>
      <c r="F2128" s="77"/>
      <c r="G2128" s="31"/>
      <c r="H2128" s="74"/>
      <c r="I2128" s="75"/>
      <c r="J2128" s="75"/>
      <c r="K2128" s="3"/>
      <c r="O2128" s="9"/>
      <c r="S2128" s="3"/>
    </row>
    <row r="2129" spans="1:19" ht="15" customHeight="1" x14ac:dyDescent="0.35">
      <c r="A2129" s="26"/>
      <c r="B2129" s="27"/>
      <c r="C2129" s="28"/>
      <c r="D2129" s="29"/>
      <c r="E2129" s="76"/>
      <c r="F2129" s="77"/>
      <c r="G2129" s="31"/>
      <c r="H2129" s="74"/>
      <c r="I2129" s="75"/>
      <c r="J2129" s="75"/>
      <c r="K2129" s="3"/>
      <c r="O2129" s="9"/>
      <c r="S2129" s="3"/>
    </row>
    <row r="2130" spans="1:19" ht="15" customHeight="1" x14ac:dyDescent="0.35">
      <c r="A2130" s="26"/>
      <c r="B2130" s="27"/>
      <c r="C2130" s="28"/>
      <c r="D2130" s="29"/>
      <c r="E2130" s="76"/>
      <c r="F2130" s="77"/>
      <c r="G2130" s="31"/>
      <c r="H2130" s="74"/>
      <c r="I2130" s="75"/>
      <c r="J2130" s="75"/>
      <c r="K2130" s="3"/>
      <c r="O2130" s="9"/>
      <c r="S2130" s="3"/>
    </row>
    <row r="2131" spans="1:19" ht="15" customHeight="1" x14ac:dyDescent="0.35">
      <c r="A2131" s="26"/>
      <c r="B2131" s="27"/>
      <c r="C2131" s="28"/>
      <c r="D2131" s="29"/>
      <c r="E2131" s="76"/>
      <c r="F2131" s="77"/>
      <c r="G2131" s="31"/>
      <c r="H2131" s="74"/>
      <c r="I2131" s="75"/>
      <c r="J2131" s="75"/>
      <c r="K2131" s="3"/>
      <c r="O2131" s="9"/>
      <c r="S2131" s="3"/>
    </row>
    <row r="2132" spans="1:19" ht="15" customHeight="1" x14ac:dyDescent="0.35">
      <c r="A2132" s="26"/>
      <c r="B2132" s="27"/>
      <c r="C2132" s="28"/>
      <c r="D2132" s="29"/>
      <c r="E2132" s="76"/>
      <c r="F2132" s="77"/>
      <c r="G2132" s="31"/>
      <c r="H2132" s="74"/>
      <c r="I2132" s="75"/>
      <c r="J2132" s="75"/>
      <c r="K2132" s="3"/>
      <c r="O2132" s="9"/>
      <c r="S2132" s="3"/>
    </row>
    <row r="2133" spans="1:19" ht="15" customHeight="1" x14ac:dyDescent="0.35">
      <c r="A2133" s="26"/>
      <c r="B2133" s="27"/>
      <c r="C2133" s="28"/>
      <c r="D2133" s="29"/>
      <c r="E2133" s="76"/>
      <c r="F2133" s="77"/>
      <c r="G2133" s="31"/>
      <c r="H2133" s="74"/>
      <c r="I2133" s="75"/>
      <c r="J2133" s="75"/>
      <c r="K2133" s="3"/>
      <c r="O2133" s="9"/>
      <c r="S2133" s="3"/>
    </row>
    <row r="2134" spans="1:19" ht="15" customHeight="1" x14ac:dyDescent="0.35">
      <c r="A2134" s="26"/>
      <c r="B2134" s="27"/>
      <c r="C2134" s="28"/>
      <c r="D2134" s="29"/>
      <c r="E2134" s="76"/>
      <c r="F2134" s="77"/>
      <c r="G2134" s="31"/>
      <c r="H2134" s="74"/>
      <c r="I2134" s="75"/>
      <c r="J2134" s="75"/>
      <c r="K2134" s="3"/>
      <c r="O2134" s="9"/>
      <c r="S2134" s="3"/>
    </row>
    <row r="2135" spans="1:19" ht="15" customHeight="1" x14ac:dyDescent="0.35">
      <c r="A2135" s="26"/>
      <c r="B2135" s="27"/>
      <c r="C2135" s="28"/>
      <c r="D2135" s="29"/>
      <c r="E2135" s="76"/>
      <c r="F2135" s="77"/>
      <c r="G2135" s="31"/>
      <c r="H2135" s="74"/>
      <c r="I2135" s="75"/>
      <c r="J2135" s="75"/>
      <c r="K2135" s="3"/>
      <c r="O2135" s="9"/>
      <c r="S2135" s="3"/>
    </row>
    <row r="2136" spans="1:19" ht="15" customHeight="1" x14ac:dyDescent="0.35">
      <c r="A2136" s="26"/>
      <c r="B2136" s="27"/>
      <c r="C2136" s="28"/>
      <c r="D2136" s="29"/>
      <c r="E2136" s="76"/>
      <c r="F2136" s="77"/>
      <c r="G2136" s="31"/>
      <c r="H2136" s="74"/>
      <c r="I2136" s="75"/>
      <c r="J2136" s="75"/>
      <c r="K2136" s="3"/>
      <c r="O2136" s="9"/>
      <c r="S2136" s="3"/>
    </row>
    <row r="2137" spans="1:19" ht="15" customHeight="1" x14ac:dyDescent="0.35">
      <c r="A2137" s="26"/>
      <c r="B2137" s="27"/>
      <c r="C2137" s="28"/>
      <c r="D2137" s="29"/>
      <c r="E2137" s="76"/>
      <c r="F2137" s="77"/>
      <c r="G2137" s="31"/>
      <c r="H2137" s="74"/>
      <c r="I2137" s="75"/>
      <c r="J2137" s="75"/>
      <c r="K2137" s="3"/>
      <c r="O2137" s="9"/>
      <c r="S2137" s="3"/>
    </row>
    <row r="2138" spans="1:19" ht="15" customHeight="1" x14ac:dyDescent="0.35">
      <c r="A2138" s="26"/>
      <c r="B2138" s="27"/>
      <c r="C2138" s="28"/>
      <c r="D2138" s="29"/>
      <c r="E2138" s="76"/>
      <c r="F2138" s="77"/>
      <c r="G2138" s="31"/>
      <c r="H2138" s="74"/>
      <c r="I2138" s="75"/>
      <c r="J2138" s="75"/>
      <c r="K2138" s="3"/>
      <c r="O2138" s="9"/>
      <c r="S2138" s="3"/>
    </row>
    <row r="2139" spans="1:19" ht="15" customHeight="1" x14ac:dyDescent="0.35">
      <c r="A2139" s="26"/>
      <c r="B2139" s="27"/>
      <c r="C2139" s="28"/>
      <c r="D2139" s="29"/>
      <c r="E2139" s="76"/>
      <c r="F2139" s="77"/>
      <c r="G2139" s="31"/>
      <c r="H2139" s="74"/>
      <c r="I2139" s="75"/>
      <c r="J2139" s="75"/>
      <c r="K2139" s="3"/>
      <c r="O2139" s="9"/>
      <c r="S2139" s="3"/>
    </row>
    <row r="2140" spans="1:19" ht="15" customHeight="1" x14ac:dyDescent="0.35">
      <c r="A2140" s="26"/>
      <c r="B2140" s="27"/>
      <c r="C2140" s="28"/>
      <c r="D2140" s="29"/>
      <c r="E2140" s="76"/>
      <c r="F2140" s="77"/>
      <c r="G2140" s="31"/>
      <c r="H2140" s="74"/>
      <c r="I2140" s="75"/>
      <c r="J2140" s="75"/>
      <c r="K2140" s="3"/>
      <c r="O2140" s="9"/>
      <c r="S2140" s="3"/>
    </row>
    <row r="2141" spans="1:19" ht="15" customHeight="1" x14ac:dyDescent="0.35">
      <c r="A2141" s="26"/>
      <c r="B2141" s="27"/>
      <c r="C2141" s="28"/>
      <c r="D2141" s="29"/>
      <c r="E2141" s="76"/>
      <c r="F2141" s="77"/>
      <c r="G2141" s="31"/>
      <c r="H2141" s="74"/>
      <c r="I2141" s="75"/>
      <c r="J2141" s="75"/>
      <c r="K2141" s="3"/>
      <c r="O2141" s="9"/>
      <c r="S2141" s="3"/>
    </row>
    <row r="2142" spans="1:19" ht="15" customHeight="1" x14ac:dyDescent="0.35">
      <c r="A2142" s="26"/>
      <c r="B2142" s="27"/>
      <c r="C2142" s="28"/>
      <c r="D2142" s="29"/>
      <c r="E2142" s="76"/>
      <c r="F2142" s="77"/>
      <c r="G2142" s="31"/>
      <c r="H2142" s="74"/>
      <c r="I2142" s="75"/>
      <c r="J2142" s="75"/>
      <c r="K2142" s="3"/>
      <c r="O2142" s="9"/>
      <c r="S2142" s="3"/>
    </row>
    <row r="2143" spans="1:19" ht="15" customHeight="1" x14ac:dyDescent="0.35">
      <c r="A2143" s="26"/>
      <c r="B2143" s="27"/>
      <c r="C2143" s="28"/>
      <c r="D2143" s="29"/>
      <c r="E2143" s="76"/>
      <c r="F2143" s="77"/>
      <c r="G2143" s="31"/>
      <c r="H2143" s="74"/>
      <c r="I2143" s="75"/>
      <c r="J2143" s="75"/>
      <c r="K2143" s="3"/>
      <c r="O2143" s="9"/>
      <c r="S2143" s="3"/>
    </row>
    <row r="2144" spans="1:19" ht="15" customHeight="1" x14ac:dyDescent="0.35">
      <c r="A2144" s="26"/>
      <c r="B2144" s="27"/>
      <c r="C2144" s="28"/>
      <c r="D2144" s="29"/>
      <c r="E2144" s="76"/>
      <c r="F2144" s="77"/>
      <c r="G2144" s="31"/>
      <c r="H2144" s="74"/>
      <c r="I2144" s="75"/>
      <c r="J2144" s="75"/>
      <c r="K2144" s="3"/>
      <c r="O2144" s="9"/>
      <c r="S2144" s="3"/>
    </row>
    <row r="2145" spans="1:19" ht="15" customHeight="1" x14ac:dyDescent="0.35">
      <c r="A2145" s="26"/>
      <c r="B2145" s="27"/>
      <c r="C2145" s="28"/>
      <c r="D2145" s="29"/>
      <c r="E2145" s="76"/>
      <c r="F2145" s="77"/>
      <c r="G2145" s="31"/>
      <c r="H2145" s="74"/>
      <c r="I2145" s="75"/>
      <c r="J2145" s="75"/>
      <c r="K2145" s="3"/>
      <c r="O2145" s="9"/>
      <c r="S2145" s="3"/>
    </row>
    <row r="2146" spans="1:19" ht="15" customHeight="1" x14ac:dyDescent="0.35">
      <c r="A2146" s="26"/>
      <c r="B2146" s="27"/>
      <c r="C2146" s="28"/>
      <c r="D2146" s="29"/>
      <c r="E2146" s="76"/>
      <c r="F2146" s="77"/>
      <c r="G2146" s="31"/>
      <c r="H2146" s="74"/>
      <c r="I2146" s="75"/>
      <c r="J2146" s="75"/>
      <c r="K2146" s="3"/>
      <c r="O2146" s="9"/>
      <c r="S2146" s="3"/>
    </row>
    <row r="2147" spans="1:19" ht="15" customHeight="1" x14ac:dyDescent="0.35">
      <c r="A2147" s="26"/>
      <c r="B2147" s="27"/>
      <c r="C2147" s="28"/>
      <c r="D2147" s="29"/>
      <c r="E2147" s="76"/>
      <c r="F2147" s="77"/>
      <c r="G2147" s="31"/>
      <c r="H2147" s="74"/>
      <c r="I2147" s="75"/>
      <c r="J2147" s="75"/>
      <c r="K2147" s="3"/>
      <c r="O2147" s="9"/>
      <c r="S2147" s="3"/>
    </row>
    <row r="2148" spans="1:19" ht="15" customHeight="1" x14ac:dyDescent="0.35">
      <c r="A2148" s="26"/>
      <c r="B2148" s="27"/>
      <c r="C2148" s="28"/>
      <c r="D2148" s="29"/>
      <c r="E2148" s="76"/>
      <c r="F2148" s="77"/>
      <c r="G2148" s="31"/>
      <c r="H2148" s="74"/>
      <c r="I2148" s="75"/>
      <c r="J2148" s="75"/>
      <c r="K2148" s="3"/>
      <c r="O2148" s="9"/>
      <c r="S2148" s="3"/>
    </row>
    <row r="2149" spans="1:19" ht="15" customHeight="1" x14ac:dyDescent="0.35">
      <c r="A2149" s="26"/>
      <c r="B2149" s="27"/>
      <c r="C2149" s="28"/>
      <c r="D2149" s="29"/>
      <c r="E2149" s="76"/>
      <c r="F2149" s="77"/>
      <c r="G2149" s="31"/>
      <c r="H2149" s="74"/>
      <c r="I2149" s="75"/>
      <c r="J2149" s="75"/>
      <c r="K2149" s="3"/>
      <c r="O2149" s="9"/>
      <c r="S2149" s="3"/>
    </row>
    <row r="2150" spans="1:19" ht="15" customHeight="1" x14ac:dyDescent="0.35">
      <c r="A2150" s="26"/>
      <c r="B2150" s="27"/>
      <c r="C2150" s="28"/>
      <c r="D2150" s="29"/>
      <c r="E2150" s="76"/>
      <c r="F2150" s="77"/>
      <c r="G2150" s="31"/>
      <c r="H2150" s="74"/>
      <c r="I2150" s="75"/>
      <c r="J2150" s="75"/>
      <c r="K2150" s="3"/>
      <c r="O2150" s="9"/>
      <c r="S2150" s="3"/>
    </row>
  </sheetData>
  <autoFilter ref="A9:W1956" xr:uid="{8DD5864E-A1F9-4964-9224-7C8B54D9FD3D}">
    <filterColumn colId="7">
      <filters blank="1"/>
    </filterColumn>
  </autoFilter>
  <mergeCells count="12">
    <mergeCell ref="A7:D7"/>
    <mergeCell ref="A2:K2"/>
    <mergeCell ref="A3:K3"/>
    <mergeCell ref="K4:L4"/>
    <mergeCell ref="A5:A6"/>
    <mergeCell ref="B5:B6"/>
    <mergeCell ref="C5:C6"/>
    <mergeCell ref="D5:D6"/>
    <mergeCell ref="E5:I5"/>
    <mergeCell ref="K5:K6"/>
    <mergeCell ref="L5:L6"/>
    <mergeCell ref="J5:J7"/>
  </mergeCells>
  <conditionalFormatting sqref="A9">
    <cfRule type="duplicateValues" dxfId="27" priority="1942"/>
    <cfRule type="duplicateValues" dxfId="26" priority="1943"/>
  </conditionalFormatting>
  <conditionalFormatting sqref="A10:A506">
    <cfRule type="duplicateValues" dxfId="25" priority="2014"/>
    <cfRule type="duplicateValues" dxfId="24" priority="2015"/>
  </conditionalFormatting>
  <conditionalFormatting sqref="A507:A642">
    <cfRule type="duplicateValues" dxfId="23" priority="1984"/>
    <cfRule type="duplicateValues" dxfId="22" priority="1985"/>
  </conditionalFormatting>
  <conditionalFormatting sqref="A643:A856">
    <cfRule type="duplicateValues" dxfId="21" priority="1982"/>
    <cfRule type="duplicateValues" dxfId="20" priority="1983"/>
  </conditionalFormatting>
  <conditionalFormatting sqref="A857">
    <cfRule type="duplicateValues" dxfId="19" priority="3"/>
    <cfRule type="duplicateValues" dxfId="18" priority="4"/>
  </conditionalFormatting>
  <conditionalFormatting sqref="A858:A2150">
    <cfRule type="duplicateValues" dxfId="17" priority="2022"/>
    <cfRule type="duplicateValues" dxfId="16" priority="2023"/>
  </conditionalFormatting>
  <conditionalFormatting sqref="A2151:A1048576 A1:A8">
    <cfRule type="duplicateValues" dxfId="15" priority="1221"/>
    <cfRule type="duplicateValues" dxfId="14" priority="1222"/>
  </conditionalFormatting>
  <conditionalFormatting sqref="A2151:A1048576">
    <cfRule type="duplicateValues" dxfId="13" priority="1227"/>
    <cfRule type="duplicateValues" dxfId="12" priority="1228"/>
  </conditionalFormatting>
  <hyperlinks>
    <hyperlink ref="O4" r:id="rId1" xr:uid="{7D241A12-B1AC-4EDC-A97E-70D466C26C69}"/>
    <hyperlink ref="N5" r:id="rId2" xr:uid="{5EE9A5FB-13B3-4E87-BF2A-F5D363243887}"/>
  </hyperlinks>
  <pageMargins left="0.25" right="0.25" top="0.75" bottom="0.75" header="0" footer="0"/>
  <pageSetup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ED04-6904-439E-BEC7-F33784249FF7}">
  <sheetPr filterMode="1">
    <outlinePr summaryBelow="0" summaryRight="0"/>
  </sheetPr>
  <dimension ref="A1:N451"/>
  <sheetViews>
    <sheetView tabSelected="1" topLeftCell="B1" zoomScale="110" zoomScaleNormal="110" workbookViewId="0">
      <selection activeCell="H3" sqref="H3"/>
    </sheetView>
  </sheetViews>
  <sheetFormatPr defaultColWidth="14.44140625" defaultRowHeight="15" customHeight="1" x14ac:dyDescent="0.3"/>
  <cols>
    <col min="1" max="1" width="50.77734375" style="2" customWidth="1"/>
    <col min="2" max="2" width="15.6640625" style="36" customWidth="1"/>
    <col min="3" max="3" width="21.6640625" style="37" customWidth="1"/>
    <col min="4" max="4" width="16.6640625" style="3" customWidth="1"/>
    <col min="5" max="5" width="15.33203125" style="3" customWidth="1"/>
    <col min="6" max="6" width="21.44140625" style="3" customWidth="1"/>
    <col min="7" max="7" width="27.88671875" style="3" customWidth="1"/>
    <col min="8" max="8" width="20.5546875" style="3" customWidth="1"/>
    <col min="9" max="9" width="17.109375" style="5" customWidth="1"/>
    <col min="10" max="10" width="15" style="5" customWidth="1"/>
    <col min="11" max="12" width="8" style="3" customWidth="1"/>
    <col min="13" max="13" width="17.33203125" style="40" customWidth="1"/>
    <col min="14" max="14" width="14.44140625" style="3"/>
    <col min="15" max="15" width="16.109375" style="3" bestFit="1" customWidth="1"/>
    <col min="16" max="16384" width="14.44140625" style="3"/>
  </cols>
  <sheetData>
    <row r="1" spans="1:14" ht="78" customHeight="1" x14ac:dyDescent="0.3">
      <c r="A1" s="35"/>
      <c r="D1" s="38"/>
      <c r="E1" s="39"/>
      <c r="F1" s="39"/>
      <c r="G1" s="39"/>
      <c r="H1" s="39"/>
      <c r="I1" s="3"/>
    </row>
    <row r="2" spans="1:14" ht="29.25" customHeight="1" x14ac:dyDescent="0.3">
      <c r="A2" s="123" t="s">
        <v>3804</v>
      </c>
      <c r="B2" s="123"/>
      <c r="C2" s="123"/>
      <c r="D2" s="123"/>
      <c r="E2" s="123"/>
      <c r="F2" s="123"/>
      <c r="G2" s="41">
        <f>+'NĂM 2022 -misa'!I7-'hd ghi giam'!H6</f>
        <v>1631913105.24</v>
      </c>
      <c r="H2" s="131" t="s">
        <v>3829</v>
      </c>
      <c r="I2" s="42"/>
      <c r="K2" s="43" t="s">
        <v>27</v>
      </c>
    </row>
    <row r="3" spans="1:14" ht="15.75" customHeight="1" x14ac:dyDescent="0.3">
      <c r="A3" s="123"/>
      <c r="B3" s="123"/>
      <c r="C3" s="123"/>
      <c r="D3" s="123"/>
      <c r="E3" s="123"/>
      <c r="F3" s="123"/>
      <c r="G3" s="44"/>
      <c r="H3" s="45"/>
      <c r="I3" s="46"/>
      <c r="K3" s="43" t="s">
        <v>27</v>
      </c>
    </row>
    <row r="4" spans="1:14" ht="18" customHeight="1" x14ac:dyDescent="0.3">
      <c r="A4" s="124" t="s">
        <v>8</v>
      </c>
      <c r="B4" s="124" t="s">
        <v>28</v>
      </c>
      <c r="C4" s="126" t="s">
        <v>29</v>
      </c>
      <c r="D4" s="128" t="s">
        <v>30</v>
      </c>
      <c r="E4" s="129" t="s">
        <v>31</v>
      </c>
      <c r="F4" s="130" t="s">
        <v>16</v>
      </c>
      <c r="G4" s="132"/>
      <c r="H4" s="132"/>
      <c r="I4" s="121"/>
      <c r="K4" s="43" t="s">
        <v>27</v>
      </c>
    </row>
    <row r="5" spans="1:14" ht="27.75" customHeight="1" x14ac:dyDescent="0.3">
      <c r="A5" s="125"/>
      <c r="B5" s="125"/>
      <c r="C5" s="127"/>
      <c r="D5" s="125"/>
      <c r="E5" s="125"/>
      <c r="F5" s="125"/>
      <c r="G5" s="130"/>
      <c r="H5" s="130"/>
      <c r="I5" s="122"/>
      <c r="K5" s="43" t="s">
        <v>27</v>
      </c>
    </row>
    <row r="6" spans="1:14" ht="28.5" customHeight="1" x14ac:dyDescent="0.3">
      <c r="A6" s="47"/>
      <c r="B6" s="48"/>
      <c r="C6" s="49"/>
      <c r="D6" s="50">
        <f>SUM(D7:D187)</f>
        <v>104189001</v>
      </c>
      <c r="E6" s="51">
        <f>SUM(E7:E187)</f>
        <v>9242252.4199999999</v>
      </c>
      <c r="F6" s="51">
        <f>SUM(F7:F187)</f>
        <v>113431253.41999997</v>
      </c>
      <c r="G6" s="51">
        <f>SUM(G7:G2187)</f>
        <v>112478318.65999998</v>
      </c>
      <c r="H6" s="51">
        <f>+F6-G6</f>
        <v>952934.75999999046</v>
      </c>
      <c r="I6" s="48" t="s">
        <v>32</v>
      </c>
      <c r="K6" s="43" t="s">
        <v>27</v>
      </c>
    </row>
    <row r="7" spans="1:14" ht="21.75" hidden="1" customHeight="1" x14ac:dyDescent="0.35">
      <c r="A7" s="55" t="s">
        <v>1858</v>
      </c>
      <c r="B7" s="56">
        <v>46219</v>
      </c>
      <c r="C7" s="57">
        <v>21246</v>
      </c>
      <c r="D7" s="58">
        <v>4454250</v>
      </c>
      <c r="E7" s="60">
        <f t="shared" ref="E7:E70" si="0">+D7*0.08</f>
        <v>356340</v>
      </c>
      <c r="F7" s="30">
        <f t="shared" ref="F7:F70" si="1">+E7+D7</f>
        <v>4810590</v>
      </c>
      <c r="G7" s="54">
        <v>4810590</v>
      </c>
      <c r="H7" s="53">
        <f t="shared" ref="H7:H70" si="2">+F7-G7</f>
        <v>0</v>
      </c>
      <c r="I7" s="59">
        <v>46239</v>
      </c>
      <c r="M7" s="52"/>
      <c r="N7" s="43"/>
    </row>
    <row r="8" spans="1:14" ht="21.75" hidden="1" customHeight="1" x14ac:dyDescent="0.35">
      <c r="A8" s="55" t="s">
        <v>33</v>
      </c>
      <c r="B8" s="56">
        <v>46226</v>
      </c>
      <c r="C8" s="57">
        <v>21900</v>
      </c>
      <c r="D8" s="58">
        <v>286125</v>
      </c>
      <c r="E8" s="60">
        <f t="shared" si="0"/>
        <v>22890</v>
      </c>
      <c r="F8" s="30">
        <f t="shared" si="1"/>
        <v>309015</v>
      </c>
      <c r="G8" s="54">
        <v>309015</v>
      </c>
      <c r="H8" s="53">
        <f t="shared" si="2"/>
        <v>0</v>
      </c>
      <c r="I8" s="59">
        <v>46239</v>
      </c>
      <c r="M8" s="52"/>
      <c r="N8" s="43"/>
    </row>
    <row r="9" spans="1:14" ht="21.75" hidden="1" customHeight="1" x14ac:dyDescent="0.35">
      <c r="A9" s="55" t="s">
        <v>3690</v>
      </c>
      <c r="B9" s="56">
        <v>46235</v>
      </c>
      <c r="C9" s="57">
        <v>74986</v>
      </c>
      <c r="D9" s="58">
        <v>7559436</v>
      </c>
      <c r="E9" s="60">
        <f t="shared" si="0"/>
        <v>604754.88</v>
      </c>
      <c r="F9" s="30">
        <f t="shared" si="1"/>
        <v>8164190.8799999999</v>
      </c>
      <c r="G9" s="54">
        <v>8164190.8799999999</v>
      </c>
      <c r="H9" s="53">
        <f t="shared" si="2"/>
        <v>0</v>
      </c>
      <c r="I9" s="59">
        <v>46239</v>
      </c>
      <c r="M9" s="52"/>
      <c r="N9" s="43"/>
    </row>
    <row r="10" spans="1:14" ht="21.75" hidden="1" customHeight="1" x14ac:dyDescent="0.35">
      <c r="A10" s="55" t="s">
        <v>3689</v>
      </c>
      <c r="B10" s="56">
        <v>46235</v>
      </c>
      <c r="C10" s="57">
        <v>74079</v>
      </c>
      <c r="D10" s="58">
        <v>17008763</v>
      </c>
      <c r="E10" s="60">
        <f t="shared" si="0"/>
        <v>1360701.04</v>
      </c>
      <c r="F10" s="30">
        <f t="shared" si="1"/>
        <v>18369464.039999999</v>
      </c>
      <c r="G10" s="54">
        <v>18369464.039999999</v>
      </c>
      <c r="H10" s="53">
        <f t="shared" si="2"/>
        <v>0</v>
      </c>
      <c r="I10" s="59">
        <v>46239</v>
      </c>
      <c r="M10" s="52"/>
      <c r="N10" s="43"/>
    </row>
    <row r="11" spans="1:14" ht="21.75" hidden="1" customHeight="1" x14ac:dyDescent="0.35">
      <c r="A11" s="55" t="s">
        <v>3688</v>
      </c>
      <c r="B11" s="56">
        <v>46235</v>
      </c>
      <c r="C11" s="57">
        <v>74079</v>
      </c>
      <c r="D11" s="58">
        <v>45356617</v>
      </c>
      <c r="E11" s="60">
        <f>+D11*0.1</f>
        <v>4535661.7</v>
      </c>
      <c r="F11" s="30">
        <f t="shared" si="1"/>
        <v>49892278.700000003</v>
      </c>
      <c r="G11" s="54">
        <v>49892278.700000003</v>
      </c>
      <c r="H11" s="53">
        <f t="shared" si="2"/>
        <v>0</v>
      </c>
      <c r="I11" s="59">
        <v>46239</v>
      </c>
      <c r="M11" s="52"/>
      <c r="N11" s="43"/>
    </row>
    <row r="12" spans="1:14" ht="21.75" hidden="1" customHeight="1" x14ac:dyDescent="0.35">
      <c r="A12" s="55" t="s">
        <v>3687</v>
      </c>
      <c r="B12" s="56">
        <v>46235</v>
      </c>
      <c r="C12" s="57">
        <v>75947</v>
      </c>
      <c r="D12" s="58">
        <v>4519836</v>
      </c>
      <c r="E12" s="60">
        <f t="shared" si="0"/>
        <v>361586.88</v>
      </c>
      <c r="F12" s="30">
        <f t="shared" si="1"/>
        <v>4881422.88</v>
      </c>
      <c r="G12" s="54">
        <v>4881422.88</v>
      </c>
      <c r="H12" s="53">
        <f t="shared" si="2"/>
        <v>0</v>
      </c>
      <c r="I12" s="59">
        <v>46239</v>
      </c>
      <c r="M12" s="52"/>
      <c r="N12" s="43"/>
    </row>
    <row r="13" spans="1:14" ht="21.75" hidden="1" customHeight="1" x14ac:dyDescent="0.35">
      <c r="A13" s="55" t="s">
        <v>3686</v>
      </c>
      <c r="B13" s="56">
        <v>46235</v>
      </c>
      <c r="C13" s="57">
        <v>75230</v>
      </c>
      <c r="D13" s="58">
        <v>29859815</v>
      </c>
      <c r="E13" s="60">
        <f t="shared" si="0"/>
        <v>2388785.2000000002</v>
      </c>
      <c r="F13" s="30">
        <f t="shared" si="1"/>
        <v>32248600.199999999</v>
      </c>
      <c r="G13" s="54">
        <v>32248600.199999999</v>
      </c>
      <c r="H13" s="53">
        <f t="shared" si="2"/>
        <v>0</v>
      </c>
      <c r="I13" s="59">
        <v>46239</v>
      </c>
      <c r="M13" s="52"/>
      <c r="N13" s="43"/>
    </row>
    <row r="14" spans="1:14" ht="21.75" hidden="1" customHeight="1" x14ac:dyDescent="0.35">
      <c r="A14" s="55" t="s">
        <v>3685</v>
      </c>
      <c r="B14" s="56">
        <v>46235</v>
      </c>
      <c r="C14" s="57">
        <v>76869</v>
      </c>
      <c r="D14" s="58">
        <v>16572732</v>
      </c>
      <c r="E14" s="60">
        <f t="shared" si="0"/>
        <v>1325818.56</v>
      </c>
      <c r="F14" s="30">
        <f t="shared" si="1"/>
        <v>17898550.559999999</v>
      </c>
      <c r="G14" s="54">
        <v>17898550.559999999</v>
      </c>
      <c r="H14" s="53">
        <f t="shared" si="2"/>
        <v>0</v>
      </c>
      <c r="I14" s="59">
        <v>46239</v>
      </c>
      <c r="M14" s="52"/>
      <c r="N14" s="43"/>
    </row>
    <row r="15" spans="1:14" ht="21.75" customHeight="1" x14ac:dyDescent="0.35">
      <c r="A15" s="55" t="s">
        <v>3691</v>
      </c>
      <c r="B15" s="56">
        <v>46244</v>
      </c>
      <c r="C15" s="57">
        <v>23145</v>
      </c>
      <c r="D15" s="58">
        <v>240000</v>
      </c>
      <c r="E15" s="60">
        <f t="shared" si="0"/>
        <v>19200</v>
      </c>
      <c r="F15" s="30">
        <f t="shared" si="1"/>
        <v>259200</v>
      </c>
      <c r="G15" s="54"/>
      <c r="H15" s="53">
        <f t="shared" si="2"/>
        <v>259200</v>
      </c>
      <c r="I15" s="59">
        <v>46239</v>
      </c>
      <c r="M15" s="52"/>
      <c r="N15" s="43"/>
    </row>
    <row r="16" spans="1:14" ht="21.75" customHeight="1" x14ac:dyDescent="0.35">
      <c r="A16" s="55" t="s">
        <v>3691</v>
      </c>
      <c r="B16" s="56">
        <v>46244</v>
      </c>
      <c r="C16" s="57">
        <v>23144</v>
      </c>
      <c r="D16" s="58">
        <v>68000</v>
      </c>
      <c r="E16" s="60">
        <f t="shared" si="0"/>
        <v>5440</v>
      </c>
      <c r="F16" s="30">
        <f t="shared" si="1"/>
        <v>73440</v>
      </c>
      <c r="G16" s="54"/>
      <c r="H16" s="53">
        <f t="shared" si="2"/>
        <v>73440</v>
      </c>
      <c r="I16" s="59"/>
      <c r="M16" s="52"/>
      <c r="N16" s="43"/>
    </row>
    <row r="17" spans="1:14" ht="21.75" hidden="1" customHeight="1" x14ac:dyDescent="0.35">
      <c r="A17" s="55" t="s">
        <v>3692</v>
      </c>
      <c r="B17" s="56">
        <v>46235</v>
      </c>
      <c r="C17" s="57">
        <v>76678</v>
      </c>
      <c r="D17" s="58">
        <v>3013224</v>
      </c>
      <c r="E17" s="60">
        <f t="shared" si="0"/>
        <v>241057.92000000001</v>
      </c>
      <c r="F17" s="30">
        <f t="shared" si="1"/>
        <v>3254281.92</v>
      </c>
      <c r="G17" s="54">
        <v>3254281.92</v>
      </c>
      <c r="H17" s="53">
        <f t="shared" si="2"/>
        <v>0</v>
      </c>
      <c r="I17" s="59"/>
      <c r="M17" s="52"/>
      <c r="N17" s="43"/>
    </row>
    <row r="18" spans="1:14" ht="21.75" customHeight="1" x14ac:dyDescent="0.35">
      <c r="A18" s="55" t="s">
        <v>3693</v>
      </c>
      <c r="B18" s="56">
        <v>46246</v>
      </c>
      <c r="C18" s="57">
        <v>23403</v>
      </c>
      <c r="D18" s="58">
        <v>574347</v>
      </c>
      <c r="E18" s="60">
        <f t="shared" si="0"/>
        <v>45947.76</v>
      </c>
      <c r="F18" s="30">
        <f t="shared" si="1"/>
        <v>620294.76</v>
      </c>
      <c r="G18" s="54"/>
      <c r="H18" s="53">
        <f t="shared" si="2"/>
        <v>620294.76</v>
      </c>
      <c r="I18" s="59"/>
      <c r="M18" s="52"/>
      <c r="N18" s="43"/>
    </row>
    <row r="19" spans="1:14" ht="21.75" hidden="1" customHeight="1" x14ac:dyDescent="0.35">
      <c r="A19" s="55" t="s">
        <v>3694</v>
      </c>
      <c r="B19" s="56">
        <v>46246</v>
      </c>
      <c r="C19" s="57">
        <v>6904</v>
      </c>
      <c r="D19" s="58">
        <v>-25324144</v>
      </c>
      <c r="E19" s="60">
        <f t="shared" si="0"/>
        <v>-2025931.52</v>
      </c>
      <c r="F19" s="30">
        <f t="shared" si="1"/>
        <v>-27350075.52</v>
      </c>
      <c r="G19" s="54">
        <v>-27350075.52</v>
      </c>
      <c r="H19" s="53">
        <f t="shared" si="2"/>
        <v>0</v>
      </c>
      <c r="I19" s="59" t="s">
        <v>3803</v>
      </c>
      <c r="M19" s="52"/>
      <c r="N19" s="43"/>
    </row>
    <row r="20" spans="1:14" ht="21.75" customHeight="1" x14ac:dyDescent="0.35">
      <c r="A20" s="55"/>
      <c r="B20" s="56"/>
      <c r="C20" s="57"/>
      <c r="D20" s="58"/>
      <c r="E20" s="60">
        <f t="shared" si="0"/>
        <v>0</v>
      </c>
      <c r="F20" s="30">
        <f t="shared" si="1"/>
        <v>0</v>
      </c>
      <c r="G20" s="54"/>
      <c r="H20" s="53">
        <f t="shared" si="2"/>
        <v>0</v>
      </c>
      <c r="I20" s="59"/>
      <c r="M20" s="52"/>
      <c r="N20" s="43"/>
    </row>
    <row r="21" spans="1:14" ht="21.75" customHeight="1" x14ac:dyDescent="0.35">
      <c r="A21" s="55"/>
      <c r="B21" s="56"/>
      <c r="C21" s="57"/>
      <c r="D21" s="58"/>
      <c r="E21" s="60">
        <f t="shared" si="0"/>
        <v>0</v>
      </c>
      <c r="F21" s="30">
        <f t="shared" si="1"/>
        <v>0</v>
      </c>
      <c r="G21" s="54"/>
      <c r="H21" s="53">
        <f t="shared" si="2"/>
        <v>0</v>
      </c>
      <c r="I21" s="59"/>
      <c r="M21" s="52"/>
      <c r="N21" s="43"/>
    </row>
    <row r="22" spans="1:14" ht="21.75" customHeight="1" x14ac:dyDescent="0.35">
      <c r="A22" s="55"/>
      <c r="B22" s="56"/>
      <c r="C22" s="57"/>
      <c r="D22" s="58"/>
      <c r="E22" s="60">
        <f t="shared" si="0"/>
        <v>0</v>
      </c>
      <c r="F22" s="30">
        <f t="shared" si="1"/>
        <v>0</v>
      </c>
      <c r="G22" s="54"/>
      <c r="H22" s="53">
        <f t="shared" si="2"/>
        <v>0</v>
      </c>
      <c r="I22" s="59"/>
      <c r="M22" s="52"/>
      <c r="N22" s="43"/>
    </row>
    <row r="23" spans="1:14" ht="21.75" customHeight="1" x14ac:dyDescent="0.35">
      <c r="A23" s="55"/>
      <c r="B23" s="56"/>
      <c r="C23" s="57"/>
      <c r="D23" s="58"/>
      <c r="E23" s="60">
        <f t="shared" si="0"/>
        <v>0</v>
      </c>
      <c r="F23" s="30">
        <f t="shared" si="1"/>
        <v>0</v>
      </c>
      <c r="G23" s="54"/>
      <c r="H23" s="53">
        <f t="shared" si="2"/>
        <v>0</v>
      </c>
      <c r="I23" s="59"/>
      <c r="M23" s="52"/>
      <c r="N23" s="43"/>
    </row>
    <row r="24" spans="1:14" ht="21.75" customHeight="1" x14ac:dyDescent="0.35">
      <c r="A24" s="55"/>
      <c r="B24" s="56"/>
      <c r="C24" s="57"/>
      <c r="D24" s="58"/>
      <c r="E24" s="60">
        <f t="shared" si="0"/>
        <v>0</v>
      </c>
      <c r="F24" s="30">
        <f t="shared" si="1"/>
        <v>0</v>
      </c>
      <c r="G24" s="54"/>
      <c r="H24" s="53">
        <f t="shared" si="2"/>
        <v>0</v>
      </c>
      <c r="I24" s="59"/>
      <c r="M24" s="52"/>
      <c r="N24" s="43"/>
    </row>
    <row r="25" spans="1:14" ht="21.75" customHeight="1" x14ac:dyDescent="0.35">
      <c r="A25" s="55"/>
      <c r="B25" s="56"/>
      <c r="C25" s="57"/>
      <c r="D25" s="58"/>
      <c r="E25" s="60">
        <f t="shared" si="0"/>
        <v>0</v>
      </c>
      <c r="F25" s="30">
        <f t="shared" si="1"/>
        <v>0</v>
      </c>
      <c r="G25" s="54"/>
      <c r="H25" s="53">
        <f t="shared" si="2"/>
        <v>0</v>
      </c>
      <c r="I25" s="59"/>
      <c r="M25" s="52"/>
      <c r="N25" s="43"/>
    </row>
    <row r="26" spans="1:14" ht="21.75" customHeight="1" x14ac:dyDescent="0.35">
      <c r="A26" s="55"/>
      <c r="B26" s="56"/>
      <c r="C26" s="57"/>
      <c r="D26" s="58"/>
      <c r="E26" s="60">
        <f t="shared" si="0"/>
        <v>0</v>
      </c>
      <c r="F26" s="30">
        <f t="shared" si="1"/>
        <v>0</v>
      </c>
      <c r="G26" s="54"/>
      <c r="H26" s="53">
        <f t="shared" si="2"/>
        <v>0</v>
      </c>
      <c r="I26" s="59"/>
      <c r="M26" s="52"/>
      <c r="N26" s="43"/>
    </row>
    <row r="27" spans="1:14" ht="21.75" customHeight="1" x14ac:dyDescent="0.35">
      <c r="A27" s="55"/>
      <c r="B27" s="56"/>
      <c r="C27" s="57"/>
      <c r="D27" s="58"/>
      <c r="E27" s="60">
        <f t="shared" si="0"/>
        <v>0</v>
      </c>
      <c r="F27" s="30">
        <f t="shared" si="1"/>
        <v>0</v>
      </c>
      <c r="G27" s="54"/>
      <c r="H27" s="53">
        <f t="shared" si="2"/>
        <v>0</v>
      </c>
      <c r="I27" s="59"/>
      <c r="M27" s="52"/>
      <c r="N27" s="43"/>
    </row>
    <row r="28" spans="1:14" ht="21.75" customHeight="1" x14ac:dyDescent="0.35">
      <c r="A28" s="55"/>
      <c r="B28" s="56"/>
      <c r="C28" s="57"/>
      <c r="D28" s="58"/>
      <c r="E28" s="60">
        <f t="shared" si="0"/>
        <v>0</v>
      </c>
      <c r="F28" s="30">
        <f t="shared" si="1"/>
        <v>0</v>
      </c>
      <c r="G28" s="54"/>
      <c r="H28" s="53">
        <f t="shared" si="2"/>
        <v>0</v>
      </c>
      <c r="I28" s="59"/>
      <c r="M28" s="52"/>
      <c r="N28" s="43"/>
    </row>
    <row r="29" spans="1:14" ht="21.75" customHeight="1" x14ac:dyDescent="0.35">
      <c r="A29" s="55"/>
      <c r="B29" s="56"/>
      <c r="C29" s="57"/>
      <c r="D29" s="58"/>
      <c r="E29" s="60">
        <f t="shared" si="0"/>
        <v>0</v>
      </c>
      <c r="F29" s="30">
        <f t="shared" si="1"/>
        <v>0</v>
      </c>
      <c r="G29" s="54"/>
      <c r="H29" s="53">
        <f t="shared" si="2"/>
        <v>0</v>
      </c>
      <c r="I29" s="59"/>
      <c r="M29" s="52"/>
      <c r="N29" s="43"/>
    </row>
    <row r="30" spans="1:14" ht="21.75" customHeight="1" x14ac:dyDescent="0.35">
      <c r="A30" s="55"/>
      <c r="B30" s="56"/>
      <c r="C30" s="57"/>
      <c r="D30" s="58"/>
      <c r="E30" s="60">
        <f t="shared" si="0"/>
        <v>0</v>
      </c>
      <c r="F30" s="30">
        <f t="shared" si="1"/>
        <v>0</v>
      </c>
      <c r="G30" s="54"/>
      <c r="H30" s="53">
        <f t="shared" si="2"/>
        <v>0</v>
      </c>
      <c r="I30" s="59"/>
      <c r="M30" s="52"/>
      <c r="N30" s="43"/>
    </row>
    <row r="31" spans="1:14" ht="21.75" customHeight="1" x14ac:dyDescent="0.35">
      <c r="A31" s="55"/>
      <c r="B31" s="56"/>
      <c r="C31" s="57"/>
      <c r="D31" s="58"/>
      <c r="E31" s="60">
        <f t="shared" si="0"/>
        <v>0</v>
      </c>
      <c r="F31" s="30">
        <f t="shared" si="1"/>
        <v>0</v>
      </c>
      <c r="G31" s="54"/>
      <c r="H31" s="53">
        <f t="shared" si="2"/>
        <v>0</v>
      </c>
      <c r="I31" s="59"/>
      <c r="M31" s="52"/>
      <c r="N31" s="43"/>
    </row>
    <row r="32" spans="1:14" ht="21.75" customHeight="1" x14ac:dyDescent="0.35">
      <c r="A32" s="55"/>
      <c r="B32" s="56"/>
      <c r="C32" s="57"/>
      <c r="D32" s="58"/>
      <c r="E32" s="60">
        <f t="shared" si="0"/>
        <v>0</v>
      </c>
      <c r="F32" s="30">
        <f t="shared" si="1"/>
        <v>0</v>
      </c>
      <c r="G32" s="54"/>
      <c r="H32" s="53">
        <f t="shared" si="2"/>
        <v>0</v>
      </c>
      <c r="I32" s="59"/>
      <c r="M32" s="52"/>
      <c r="N32" s="43"/>
    </row>
    <row r="33" spans="1:14" ht="21.75" customHeight="1" x14ac:dyDescent="0.35">
      <c r="A33" s="55"/>
      <c r="B33" s="56"/>
      <c r="C33" s="57"/>
      <c r="D33" s="58"/>
      <c r="E33" s="60">
        <f t="shared" si="0"/>
        <v>0</v>
      </c>
      <c r="F33" s="30">
        <f t="shared" si="1"/>
        <v>0</v>
      </c>
      <c r="G33" s="54"/>
      <c r="H33" s="53">
        <f t="shared" si="2"/>
        <v>0</v>
      </c>
      <c r="I33" s="59"/>
      <c r="M33" s="52"/>
      <c r="N33" s="43"/>
    </row>
    <row r="34" spans="1:14" ht="21.75" customHeight="1" x14ac:dyDescent="0.35">
      <c r="A34" s="55"/>
      <c r="B34" s="56"/>
      <c r="C34" s="57"/>
      <c r="D34" s="58"/>
      <c r="E34" s="60">
        <f t="shared" si="0"/>
        <v>0</v>
      </c>
      <c r="F34" s="30">
        <f t="shared" si="1"/>
        <v>0</v>
      </c>
      <c r="G34" s="54"/>
      <c r="H34" s="53">
        <f t="shared" si="2"/>
        <v>0</v>
      </c>
      <c r="I34" s="59"/>
      <c r="M34" s="52"/>
      <c r="N34" s="43"/>
    </row>
    <row r="35" spans="1:14" ht="21.75" customHeight="1" x14ac:dyDescent="0.35">
      <c r="A35" s="55"/>
      <c r="B35" s="56"/>
      <c r="C35" s="57"/>
      <c r="D35" s="58"/>
      <c r="E35" s="60">
        <f t="shared" si="0"/>
        <v>0</v>
      </c>
      <c r="F35" s="30">
        <f t="shared" si="1"/>
        <v>0</v>
      </c>
      <c r="G35" s="54"/>
      <c r="H35" s="53">
        <f t="shared" si="2"/>
        <v>0</v>
      </c>
      <c r="I35" s="59"/>
      <c r="M35" s="52"/>
      <c r="N35" s="43"/>
    </row>
    <row r="36" spans="1:14" ht="21.75" customHeight="1" x14ac:dyDescent="0.35">
      <c r="A36" s="55"/>
      <c r="B36" s="56"/>
      <c r="C36" s="57"/>
      <c r="D36" s="58"/>
      <c r="E36" s="60">
        <f t="shared" si="0"/>
        <v>0</v>
      </c>
      <c r="F36" s="30">
        <f t="shared" si="1"/>
        <v>0</v>
      </c>
      <c r="G36" s="54"/>
      <c r="H36" s="53">
        <f t="shared" si="2"/>
        <v>0</v>
      </c>
      <c r="I36" s="59"/>
      <c r="M36" s="52"/>
      <c r="N36" s="43"/>
    </row>
    <row r="37" spans="1:14" ht="21.75" customHeight="1" x14ac:dyDescent="0.35">
      <c r="A37" s="55"/>
      <c r="B37" s="56"/>
      <c r="C37" s="57"/>
      <c r="D37" s="58"/>
      <c r="E37" s="60">
        <f t="shared" si="0"/>
        <v>0</v>
      </c>
      <c r="F37" s="30">
        <f t="shared" si="1"/>
        <v>0</v>
      </c>
      <c r="G37" s="54"/>
      <c r="H37" s="53">
        <f t="shared" si="2"/>
        <v>0</v>
      </c>
      <c r="I37" s="59"/>
      <c r="M37" s="52"/>
      <c r="N37" s="43"/>
    </row>
    <row r="38" spans="1:14" ht="21.75" customHeight="1" x14ac:dyDescent="0.35">
      <c r="A38" s="55"/>
      <c r="B38" s="56"/>
      <c r="C38" s="57"/>
      <c r="D38" s="58"/>
      <c r="E38" s="60">
        <f t="shared" si="0"/>
        <v>0</v>
      </c>
      <c r="F38" s="30">
        <f t="shared" si="1"/>
        <v>0</v>
      </c>
      <c r="G38" s="54"/>
      <c r="H38" s="53">
        <f t="shared" si="2"/>
        <v>0</v>
      </c>
      <c r="I38" s="59"/>
      <c r="M38" s="52"/>
      <c r="N38" s="43"/>
    </row>
    <row r="39" spans="1:14" ht="21.75" customHeight="1" x14ac:dyDescent="0.35">
      <c r="A39" s="55"/>
      <c r="B39" s="56"/>
      <c r="C39" s="57"/>
      <c r="D39" s="58"/>
      <c r="E39" s="60">
        <f t="shared" si="0"/>
        <v>0</v>
      </c>
      <c r="F39" s="30">
        <f t="shared" si="1"/>
        <v>0</v>
      </c>
      <c r="G39" s="54"/>
      <c r="H39" s="53">
        <f t="shared" si="2"/>
        <v>0</v>
      </c>
      <c r="I39" s="59"/>
      <c r="M39" s="52"/>
      <c r="N39" s="43"/>
    </row>
    <row r="40" spans="1:14" ht="21.75" customHeight="1" x14ac:dyDescent="0.35">
      <c r="A40" s="55"/>
      <c r="B40" s="56"/>
      <c r="C40" s="57"/>
      <c r="D40" s="58"/>
      <c r="E40" s="60">
        <f t="shared" si="0"/>
        <v>0</v>
      </c>
      <c r="F40" s="30">
        <f t="shared" si="1"/>
        <v>0</v>
      </c>
      <c r="G40" s="54"/>
      <c r="H40" s="53">
        <f t="shared" si="2"/>
        <v>0</v>
      </c>
      <c r="I40" s="59"/>
      <c r="M40" s="52"/>
      <c r="N40" s="43"/>
    </row>
    <row r="41" spans="1:14" ht="21.75" customHeight="1" x14ac:dyDescent="0.35">
      <c r="A41" s="55"/>
      <c r="B41" s="56"/>
      <c r="C41" s="57"/>
      <c r="D41" s="58"/>
      <c r="E41" s="60">
        <f t="shared" si="0"/>
        <v>0</v>
      </c>
      <c r="F41" s="30">
        <f t="shared" si="1"/>
        <v>0</v>
      </c>
      <c r="G41" s="54"/>
      <c r="H41" s="53">
        <f t="shared" si="2"/>
        <v>0</v>
      </c>
      <c r="I41" s="59"/>
      <c r="M41" s="52"/>
      <c r="N41" s="43"/>
    </row>
    <row r="42" spans="1:14" ht="21.75" customHeight="1" x14ac:dyDescent="0.35">
      <c r="A42" s="55"/>
      <c r="B42" s="56"/>
      <c r="C42" s="57"/>
      <c r="D42" s="58"/>
      <c r="E42" s="60">
        <f t="shared" si="0"/>
        <v>0</v>
      </c>
      <c r="F42" s="30">
        <f t="shared" si="1"/>
        <v>0</v>
      </c>
      <c r="G42" s="54"/>
      <c r="H42" s="53">
        <f t="shared" si="2"/>
        <v>0</v>
      </c>
      <c r="I42" s="59"/>
      <c r="M42" s="52"/>
      <c r="N42" s="43"/>
    </row>
    <row r="43" spans="1:14" ht="21.75" customHeight="1" x14ac:dyDescent="0.35">
      <c r="A43" s="55"/>
      <c r="B43" s="56"/>
      <c r="C43" s="57"/>
      <c r="D43" s="58"/>
      <c r="E43" s="60">
        <f t="shared" si="0"/>
        <v>0</v>
      </c>
      <c r="F43" s="30">
        <f t="shared" si="1"/>
        <v>0</v>
      </c>
      <c r="G43" s="54"/>
      <c r="H43" s="53">
        <f t="shared" si="2"/>
        <v>0</v>
      </c>
      <c r="I43" s="59"/>
      <c r="M43" s="52"/>
      <c r="N43" s="43"/>
    </row>
    <row r="44" spans="1:14" ht="21.75" customHeight="1" x14ac:dyDescent="0.35">
      <c r="A44" s="55"/>
      <c r="B44" s="56"/>
      <c r="C44" s="57"/>
      <c r="D44" s="58"/>
      <c r="E44" s="60">
        <f t="shared" si="0"/>
        <v>0</v>
      </c>
      <c r="F44" s="30">
        <f t="shared" si="1"/>
        <v>0</v>
      </c>
      <c r="G44" s="54"/>
      <c r="H44" s="53">
        <f t="shared" si="2"/>
        <v>0</v>
      </c>
      <c r="I44" s="59"/>
      <c r="M44" s="52"/>
      <c r="N44" s="43"/>
    </row>
    <row r="45" spans="1:14" ht="21.75" customHeight="1" x14ac:dyDescent="0.35">
      <c r="A45" s="55"/>
      <c r="B45" s="56"/>
      <c r="C45" s="57"/>
      <c r="D45" s="58"/>
      <c r="E45" s="60">
        <f t="shared" si="0"/>
        <v>0</v>
      </c>
      <c r="F45" s="30">
        <f t="shared" si="1"/>
        <v>0</v>
      </c>
      <c r="G45" s="54"/>
      <c r="H45" s="53">
        <f t="shared" si="2"/>
        <v>0</v>
      </c>
      <c r="I45" s="59"/>
      <c r="M45" s="52"/>
      <c r="N45" s="43"/>
    </row>
    <row r="46" spans="1:14" ht="21.75" customHeight="1" x14ac:dyDescent="0.35">
      <c r="A46" s="55"/>
      <c r="B46" s="56"/>
      <c r="C46" s="57"/>
      <c r="D46" s="58"/>
      <c r="E46" s="60">
        <f t="shared" si="0"/>
        <v>0</v>
      </c>
      <c r="F46" s="30">
        <f t="shared" si="1"/>
        <v>0</v>
      </c>
      <c r="G46" s="54"/>
      <c r="H46" s="53">
        <f t="shared" si="2"/>
        <v>0</v>
      </c>
      <c r="I46" s="59"/>
      <c r="M46" s="52"/>
      <c r="N46" s="43"/>
    </row>
    <row r="47" spans="1:14" ht="21.75" customHeight="1" x14ac:dyDescent="0.35">
      <c r="A47" s="55"/>
      <c r="B47" s="56"/>
      <c r="C47" s="57"/>
      <c r="D47" s="58"/>
      <c r="E47" s="60">
        <f t="shared" si="0"/>
        <v>0</v>
      </c>
      <c r="F47" s="30">
        <f t="shared" si="1"/>
        <v>0</v>
      </c>
      <c r="G47" s="54"/>
      <c r="H47" s="53">
        <f t="shared" si="2"/>
        <v>0</v>
      </c>
      <c r="I47" s="59"/>
      <c r="M47" s="52"/>
      <c r="N47" s="43"/>
    </row>
    <row r="48" spans="1:14" ht="21.75" customHeight="1" x14ac:dyDescent="0.35">
      <c r="A48" s="55"/>
      <c r="B48" s="56"/>
      <c r="C48" s="57"/>
      <c r="D48" s="58"/>
      <c r="E48" s="60">
        <f t="shared" si="0"/>
        <v>0</v>
      </c>
      <c r="F48" s="30">
        <f t="shared" si="1"/>
        <v>0</v>
      </c>
      <c r="G48" s="54"/>
      <c r="H48" s="53">
        <f t="shared" si="2"/>
        <v>0</v>
      </c>
      <c r="I48" s="59"/>
      <c r="M48" s="52"/>
      <c r="N48" s="43"/>
    </row>
    <row r="49" spans="1:14" ht="21.75" customHeight="1" x14ac:dyDescent="0.35">
      <c r="A49" s="55"/>
      <c r="B49" s="56"/>
      <c r="C49" s="57"/>
      <c r="D49" s="58"/>
      <c r="E49" s="60">
        <f t="shared" si="0"/>
        <v>0</v>
      </c>
      <c r="F49" s="30">
        <f t="shared" si="1"/>
        <v>0</v>
      </c>
      <c r="G49" s="54"/>
      <c r="H49" s="53">
        <f t="shared" si="2"/>
        <v>0</v>
      </c>
      <c r="I49" s="59"/>
      <c r="M49" s="52"/>
      <c r="N49" s="43"/>
    </row>
    <row r="50" spans="1:14" ht="21.75" customHeight="1" x14ac:dyDescent="0.35">
      <c r="A50" s="55"/>
      <c r="B50" s="56"/>
      <c r="C50" s="57"/>
      <c r="D50" s="58"/>
      <c r="E50" s="60">
        <f t="shared" si="0"/>
        <v>0</v>
      </c>
      <c r="F50" s="30">
        <f t="shared" si="1"/>
        <v>0</v>
      </c>
      <c r="G50" s="54"/>
      <c r="H50" s="53">
        <f t="shared" si="2"/>
        <v>0</v>
      </c>
      <c r="I50" s="59"/>
      <c r="M50" s="52"/>
      <c r="N50" s="43"/>
    </row>
    <row r="51" spans="1:14" ht="21.75" customHeight="1" x14ac:dyDescent="0.35">
      <c r="A51" s="55"/>
      <c r="B51" s="56"/>
      <c r="C51" s="57"/>
      <c r="D51" s="58"/>
      <c r="E51" s="60">
        <f t="shared" si="0"/>
        <v>0</v>
      </c>
      <c r="F51" s="30">
        <f t="shared" si="1"/>
        <v>0</v>
      </c>
      <c r="G51" s="54"/>
      <c r="H51" s="53">
        <f t="shared" si="2"/>
        <v>0</v>
      </c>
      <c r="I51" s="59"/>
      <c r="M51" s="52"/>
      <c r="N51" s="43"/>
    </row>
    <row r="52" spans="1:14" ht="21.75" customHeight="1" x14ac:dyDescent="0.35">
      <c r="A52" s="55"/>
      <c r="B52" s="56"/>
      <c r="C52" s="57"/>
      <c r="D52" s="58"/>
      <c r="E52" s="60">
        <f t="shared" si="0"/>
        <v>0</v>
      </c>
      <c r="F52" s="30">
        <f t="shared" si="1"/>
        <v>0</v>
      </c>
      <c r="G52" s="54"/>
      <c r="H52" s="53">
        <f t="shared" si="2"/>
        <v>0</v>
      </c>
      <c r="I52" s="59"/>
      <c r="M52" s="52"/>
      <c r="N52" s="43"/>
    </row>
    <row r="53" spans="1:14" ht="21.75" customHeight="1" x14ac:dyDescent="0.35">
      <c r="A53" s="55"/>
      <c r="B53" s="56"/>
      <c r="C53" s="57"/>
      <c r="D53" s="58"/>
      <c r="E53" s="60">
        <f t="shared" si="0"/>
        <v>0</v>
      </c>
      <c r="F53" s="30">
        <f t="shared" si="1"/>
        <v>0</v>
      </c>
      <c r="G53" s="54"/>
      <c r="H53" s="53">
        <f t="shared" si="2"/>
        <v>0</v>
      </c>
      <c r="I53" s="59"/>
      <c r="M53" s="52"/>
      <c r="N53" s="43"/>
    </row>
    <row r="54" spans="1:14" ht="21.75" customHeight="1" x14ac:dyDescent="0.35">
      <c r="A54" s="55"/>
      <c r="B54" s="56"/>
      <c r="C54" s="57"/>
      <c r="D54" s="58"/>
      <c r="E54" s="60">
        <f t="shared" si="0"/>
        <v>0</v>
      </c>
      <c r="F54" s="30">
        <f t="shared" si="1"/>
        <v>0</v>
      </c>
      <c r="G54" s="54"/>
      <c r="H54" s="53">
        <f t="shared" si="2"/>
        <v>0</v>
      </c>
      <c r="I54" s="59"/>
      <c r="M54" s="52"/>
      <c r="N54" s="43"/>
    </row>
    <row r="55" spans="1:14" ht="21.75" customHeight="1" x14ac:dyDescent="0.35">
      <c r="A55" s="55"/>
      <c r="B55" s="56"/>
      <c r="C55" s="57"/>
      <c r="D55" s="58"/>
      <c r="E55" s="60">
        <f t="shared" si="0"/>
        <v>0</v>
      </c>
      <c r="F55" s="30">
        <f t="shared" si="1"/>
        <v>0</v>
      </c>
      <c r="G55" s="54"/>
      <c r="H55" s="53">
        <f t="shared" si="2"/>
        <v>0</v>
      </c>
      <c r="I55" s="59"/>
      <c r="M55" s="52"/>
      <c r="N55" s="43"/>
    </row>
    <row r="56" spans="1:14" ht="21.75" customHeight="1" x14ac:dyDescent="0.35">
      <c r="A56" s="55"/>
      <c r="B56" s="56"/>
      <c r="C56" s="57"/>
      <c r="D56" s="58"/>
      <c r="E56" s="60">
        <f t="shared" si="0"/>
        <v>0</v>
      </c>
      <c r="F56" s="30">
        <f t="shared" si="1"/>
        <v>0</v>
      </c>
      <c r="G56" s="54"/>
      <c r="H56" s="53">
        <f t="shared" si="2"/>
        <v>0</v>
      </c>
      <c r="I56" s="59"/>
      <c r="M56" s="52"/>
      <c r="N56" s="43"/>
    </row>
    <row r="57" spans="1:14" ht="21.75" customHeight="1" x14ac:dyDescent="0.35">
      <c r="A57" s="55"/>
      <c r="B57" s="56"/>
      <c r="C57" s="57"/>
      <c r="D57" s="58"/>
      <c r="E57" s="60">
        <f t="shared" si="0"/>
        <v>0</v>
      </c>
      <c r="F57" s="30">
        <f t="shared" si="1"/>
        <v>0</v>
      </c>
      <c r="G57" s="54"/>
      <c r="H57" s="53">
        <f t="shared" si="2"/>
        <v>0</v>
      </c>
      <c r="I57" s="59"/>
      <c r="M57" s="52"/>
      <c r="N57" s="43"/>
    </row>
    <row r="58" spans="1:14" ht="21.75" customHeight="1" x14ac:dyDescent="0.35">
      <c r="A58" s="55"/>
      <c r="B58" s="56"/>
      <c r="C58" s="57"/>
      <c r="D58" s="58"/>
      <c r="E58" s="60">
        <f t="shared" si="0"/>
        <v>0</v>
      </c>
      <c r="F58" s="30">
        <f t="shared" si="1"/>
        <v>0</v>
      </c>
      <c r="G58" s="54"/>
      <c r="H58" s="53">
        <f t="shared" si="2"/>
        <v>0</v>
      </c>
      <c r="I58" s="59"/>
      <c r="M58" s="52"/>
      <c r="N58" s="43"/>
    </row>
    <row r="59" spans="1:14" ht="21.75" customHeight="1" x14ac:dyDescent="0.35">
      <c r="A59" s="55"/>
      <c r="B59" s="56"/>
      <c r="C59" s="57"/>
      <c r="D59" s="58"/>
      <c r="E59" s="60">
        <f t="shared" si="0"/>
        <v>0</v>
      </c>
      <c r="F59" s="30">
        <f t="shared" si="1"/>
        <v>0</v>
      </c>
      <c r="G59" s="54"/>
      <c r="H59" s="53">
        <f t="shared" si="2"/>
        <v>0</v>
      </c>
      <c r="I59" s="59"/>
      <c r="M59" s="52"/>
      <c r="N59" s="43"/>
    </row>
    <row r="60" spans="1:14" ht="21.75" customHeight="1" x14ac:dyDescent="0.35">
      <c r="A60" s="55"/>
      <c r="B60" s="56"/>
      <c r="C60" s="57"/>
      <c r="D60" s="58"/>
      <c r="E60" s="60">
        <f t="shared" si="0"/>
        <v>0</v>
      </c>
      <c r="F60" s="30">
        <f t="shared" si="1"/>
        <v>0</v>
      </c>
      <c r="G60" s="54"/>
      <c r="H60" s="53">
        <f t="shared" si="2"/>
        <v>0</v>
      </c>
      <c r="I60" s="59"/>
      <c r="M60" s="52"/>
      <c r="N60" s="43"/>
    </row>
    <row r="61" spans="1:14" ht="21.75" customHeight="1" x14ac:dyDescent="0.35">
      <c r="A61" s="55"/>
      <c r="B61" s="56"/>
      <c r="C61" s="57"/>
      <c r="D61" s="58"/>
      <c r="E61" s="60">
        <f t="shared" si="0"/>
        <v>0</v>
      </c>
      <c r="F61" s="30">
        <f t="shared" si="1"/>
        <v>0</v>
      </c>
      <c r="G61" s="54"/>
      <c r="H61" s="53">
        <f t="shared" si="2"/>
        <v>0</v>
      </c>
      <c r="I61" s="59"/>
      <c r="M61" s="52"/>
      <c r="N61" s="43"/>
    </row>
    <row r="62" spans="1:14" ht="21.75" customHeight="1" x14ac:dyDescent="0.35">
      <c r="A62" s="55"/>
      <c r="B62" s="56"/>
      <c r="C62" s="57"/>
      <c r="D62" s="58"/>
      <c r="E62" s="60">
        <f t="shared" si="0"/>
        <v>0</v>
      </c>
      <c r="F62" s="30">
        <f t="shared" si="1"/>
        <v>0</v>
      </c>
      <c r="G62" s="54"/>
      <c r="H62" s="53">
        <f t="shared" si="2"/>
        <v>0</v>
      </c>
      <c r="I62" s="59"/>
      <c r="M62" s="52"/>
      <c r="N62" s="43"/>
    </row>
    <row r="63" spans="1:14" ht="21.75" customHeight="1" x14ac:dyDescent="0.35">
      <c r="A63" s="55"/>
      <c r="B63" s="56"/>
      <c r="C63" s="57"/>
      <c r="D63" s="58"/>
      <c r="E63" s="60">
        <f t="shared" si="0"/>
        <v>0</v>
      </c>
      <c r="F63" s="30">
        <f t="shared" si="1"/>
        <v>0</v>
      </c>
      <c r="G63" s="54"/>
      <c r="H63" s="53">
        <f t="shared" si="2"/>
        <v>0</v>
      </c>
      <c r="I63" s="59"/>
      <c r="M63" s="52"/>
      <c r="N63" s="43"/>
    </row>
    <row r="64" spans="1:14" ht="21.75" customHeight="1" x14ac:dyDescent="0.35">
      <c r="A64" s="55"/>
      <c r="B64" s="56"/>
      <c r="C64" s="57"/>
      <c r="D64" s="58"/>
      <c r="E64" s="60">
        <f t="shared" si="0"/>
        <v>0</v>
      </c>
      <c r="F64" s="30">
        <f t="shared" si="1"/>
        <v>0</v>
      </c>
      <c r="G64" s="54"/>
      <c r="H64" s="53">
        <f t="shared" si="2"/>
        <v>0</v>
      </c>
      <c r="I64" s="59"/>
      <c r="M64" s="52"/>
      <c r="N64" s="43"/>
    </row>
    <row r="65" spans="1:14" ht="21.75" customHeight="1" x14ac:dyDescent="0.35">
      <c r="A65" s="55"/>
      <c r="B65" s="56"/>
      <c r="C65" s="57"/>
      <c r="D65" s="58"/>
      <c r="E65" s="60">
        <f t="shared" si="0"/>
        <v>0</v>
      </c>
      <c r="F65" s="30">
        <f t="shared" si="1"/>
        <v>0</v>
      </c>
      <c r="G65" s="54"/>
      <c r="H65" s="53">
        <f t="shared" si="2"/>
        <v>0</v>
      </c>
      <c r="I65" s="59"/>
      <c r="M65" s="52"/>
      <c r="N65" s="43"/>
    </row>
    <row r="66" spans="1:14" ht="21.75" customHeight="1" x14ac:dyDescent="0.35">
      <c r="A66" s="55"/>
      <c r="B66" s="56"/>
      <c r="C66" s="57"/>
      <c r="D66" s="58"/>
      <c r="E66" s="60">
        <f t="shared" si="0"/>
        <v>0</v>
      </c>
      <c r="F66" s="30">
        <f t="shared" si="1"/>
        <v>0</v>
      </c>
      <c r="G66" s="54"/>
      <c r="H66" s="53">
        <f t="shared" si="2"/>
        <v>0</v>
      </c>
      <c r="I66" s="59"/>
      <c r="M66" s="52"/>
      <c r="N66" s="43"/>
    </row>
    <row r="67" spans="1:14" ht="21.75" customHeight="1" x14ac:dyDescent="0.35">
      <c r="A67" s="55"/>
      <c r="B67" s="56"/>
      <c r="C67" s="57"/>
      <c r="D67" s="58"/>
      <c r="E67" s="60">
        <f t="shared" si="0"/>
        <v>0</v>
      </c>
      <c r="F67" s="30">
        <f t="shared" si="1"/>
        <v>0</v>
      </c>
      <c r="G67" s="54"/>
      <c r="H67" s="53">
        <f t="shared" si="2"/>
        <v>0</v>
      </c>
      <c r="I67" s="59"/>
      <c r="M67" s="52"/>
      <c r="N67" s="43"/>
    </row>
    <row r="68" spans="1:14" ht="21.75" customHeight="1" x14ac:dyDescent="0.35">
      <c r="A68" s="55"/>
      <c r="B68" s="56"/>
      <c r="C68" s="57"/>
      <c r="D68" s="58"/>
      <c r="E68" s="60">
        <f t="shared" si="0"/>
        <v>0</v>
      </c>
      <c r="F68" s="30">
        <f t="shared" si="1"/>
        <v>0</v>
      </c>
      <c r="G68" s="54"/>
      <c r="H68" s="53">
        <f t="shared" si="2"/>
        <v>0</v>
      </c>
      <c r="I68" s="59"/>
      <c r="M68" s="52"/>
      <c r="N68" s="43"/>
    </row>
    <row r="69" spans="1:14" ht="21.75" customHeight="1" x14ac:dyDescent="0.35">
      <c r="A69" s="55"/>
      <c r="B69" s="56"/>
      <c r="C69" s="57"/>
      <c r="D69" s="58"/>
      <c r="E69" s="60">
        <f t="shared" si="0"/>
        <v>0</v>
      </c>
      <c r="F69" s="30">
        <f t="shared" si="1"/>
        <v>0</v>
      </c>
      <c r="G69" s="54"/>
      <c r="H69" s="53">
        <f t="shared" si="2"/>
        <v>0</v>
      </c>
      <c r="I69" s="59"/>
      <c r="M69" s="52"/>
      <c r="N69" s="43"/>
    </row>
    <row r="70" spans="1:14" ht="21.75" customHeight="1" x14ac:dyDescent="0.35">
      <c r="A70" s="55"/>
      <c r="B70" s="56"/>
      <c r="C70" s="57"/>
      <c r="D70" s="58"/>
      <c r="E70" s="60">
        <f t="shared" si="0"/>
        <v>0</v>
      </c>
      <c r="F70" s="30">
        <f t="shared" si="1"/>
        <v>0</v>
      </c>
      <c r="G70" s="54"/>
      <c r="H70" s="53">
        <f t="shared" si="2"/>
        <v>0</v>
      </c>
      <c r="I70" s="59"/>
      <c r="M70" s="52"/>
      <c r="N70" s="43"/>
    </row>
    <row r="71" spans="1:14" ht="21.75" customHeight="1" x14ac:dyDescent="0.35">
      <c r="A71" s="55"/>
      <c r="B71" s="56"/>
      <c r="C71" s="57"/>
      <c r="D71" s="58"/>
      <c r="E71" s="60">
        <f t="shared" ref="E71:E134" si="3">+D71*0.08</f>
        <v>0</v>
      </c>
      <c r="F71" s="30">
        <f t="shared" ref="F71:F134" si="4">+E71+D71</f>
        <v>0</v>
      </c>
      <c r="G71" s="54"/>
      <c r="H71" s="53">
        <f t="shared" ref="H71:H134" si="5">+F71-G71</f>
        <v>0</v>
      </c>
      <c r="I71" s="59"/>
      <c r="M71" s="52"/>
      <c r="N71" s="43"/>
    </row>
    <row r="72" spans="1:14" ht="21.75" customHeight="1" x14ac:dyDescent="0.35">
      <c r="A72" s="55"/>
      <c r="B72" s="56"/>
      <c r="C72" s="57"/>
      <c r="D72" s="58"/>
      <c r="E72" s="60">
        <f t="shared" si="3"/>
        <v>0</v>
      </c>
      <c r="F72" s="30">
        <f t="shared" si="4"/>
        <v>0</v>
      </c>
      <c r="G72" s="54"/>
      <c r="H72" s="53">
        <f t="shared" si="5"/>
        <v>0</v>
      </c>
      <c r="I72" s="59"/>
      <c r="M72" s="52"/>
      <c r="N72" s="43"/>
    </row>
    <row r="73" spans="1:14" ht="21.75" customHeight="1" x14ac:dyDescent="0.35">
      <c r="A73" s="55"/>
      <c r="B73" s="56"/>
      <c r="C73" s="57"/>
      <c r="D73" s="58"/>
      <c r="E73" s="60">
        <f t="shared" si="3"/>
        <v>0</v>
      </c>
      <c r="F73" s="30">
        <f t="shared" si="4"/>
        <v>0</v>
      </c>
      <c r="G73" s="54"/>
      <c r="H73" s="53">
        <f t="shared" si="5"/>
        <v>0</v>
      </c>
      <c r="I73" s="59"/>
      <c r="M73" s="52"/>
      <c r="N73" s="43"/>
    </row>
    <row r="74" spans="1:14" ht="21.75" customHeight="1" x14ac:dyDescent="0.35">
      <c r="A74" s="55"/>
      <c r="B74" s="56"/>
      <c r="C74" s="57"/>
      <c r="D74" s="58"/>
      <c r="E74" s="60">
        <f t="shared" si="3"/>
        <v>0</v>
      </c>
      <c r="F74" s="30">
        <f t="shared" si="4"/>
        <v>0</v>
      </c>
      <c r="G74" s="54"/>
      <c r="H74" s="53">
        <f t="shared" si="5"/>
        <v>0</v>
      </c>
      <c r="I74" s="59"/>
      <c r="M74" s="52"/>
      <c r="N74" s="43"/>
    </row>
    <row r="75" spans="1:14" ht="21.75" customHeight="1" x14ac:dyDescent="0.35">
      <c r="A75" s="55"/>
      <c r="B75" s="56"/>
      <c r="C75" s="57"/>
      <c r="D75" s="58"/>
      <c r="E75" s="60">
        <f t="shared" si="3"/>
        <v>0</v>
      </c>
      <c r="F75" s="30">
        <f t="shared" si="4"/>
        <v>0</v>
      </c>
      <c r="G75" s="54"/>
      <c r="H75" s="53">
        <f t="shared" si="5"/>
        <v>0</v>
      </c>
      <c r="I75" s="59"/>
      <c r="M75" s="52"/>
      <c r="N75" s="43"/>
    </row>
    <row r="76" spans="1:14" ht="21.75" customHeight="1" x14ac:dyDescent="0.35">
      <c r="A76" s="55"/>
      <c r="B76" s="56"/>
      <c r="C76" s="57"/>
      <c r="D76" s="58"/>
      <c r="E76" s="60">
        <f t="shared" si="3"/>
        <v>0</v>
      </c>
      <c r="F76" s="30">
        <f t="shared" si="4"/>
        <v>0</v>
      </c>
      <c r="G76" s="54"/>
      <c r="H76" s="53">
        <f t="shared" si="5"/>
        <v>0</v>
      </c>
      <c r="I76" s="59"/>
      <c r="M76" s="52"/>
      <c r="N76" s="43"/>
    </row>
    <row r="77" spans="1:14" ht="21.75" customHeight="1" x14ac:dyDescent="0.35">
      <c r="A77" s="55"/>
      <c r="B77" s="56"/>
      <c r="C77" s="57"/>
      <c r="D77" s="58"/>
      <c r="E77" s="60">
        <f t="shared" si="3"/>
        <v>0</v>
      </c>
      <c r="F77" s="30">
        <f t="shared" si="4"/>
        <v>0</v>
      </c>
      <c r="G77" s="54"/>
      <c r="H77" s="53">
        <f t="shared" si="5"/>
        <v>0</v>
      </c>
      <c r="I77" s="59"/>
      <c r="M77" s="52"/>
      <c r="N77" s="43"/>
    </row>
    <row r="78" spans="1:14" ht="21.75" customHeight="1" x14ac:dyDescent="0.35">
      <c r="A78" s="55"/>
      <c r="B78" s="56"/>
      <c r="C78" s="57"/>
      <c r="D78" s="58"/>
      <c r="E78" s="60">
        <f t="shared" si="3"/>
        <v>0</v>
      </c>
      <c r="F78" s="30">
        <f t="shared" si="4"/>
        <v>0</v>
      </c>
      <c r="G78" s="54"/>
      <c r="H78" s="53">
        <f t="shared" si="5"/>
        <v>0</v>
      </c>
      <c r="I78" s="59"/>
      <c r="M78" s="52"/>
      <c r="N78" s="43"/>
    </row>
    <row r="79" spans="1:14" ht="21.75" customHeight="1" x14ac:dyDescent="0.35">
      <c r="A79" s="55"/>
      <c r="B79" s="56"/>
      <c r="C79" s="57"/>
      <c r="D79" s="58"/>
      <c r="E79" s="60">
        <f t="shared" si="3"/>
        <v>0</v>
      </c>
      <c r="F79" s="30">
        <f t="shared" si="4"/>
        <v>0</v>
      </c>
      <c r="G79" s="54"/>
      <c r="H79" s="53">
        <f t="shared" si="5"/>
        <v>0</v>
      </c>
      <c r="I79" s="59"/>
      <c r="M79" s="52"/>
      <c r="N79" s="43"/>
    </row>
    <row r="80" spans="1:14" ht="21.75" customHeight="1" x14ac:dyDescent="0.35">
      <c r="A80" s="55"/>
      <c r="B80" s="56"/>
      <c r="C80" s="57"/>
      <c r="D80" s="58"/>
      <c r="E80" s="60">
        <f t="shared" si="3"/>
        <v>0</v>
      </c>
      <c r="F80" s="30">
        <f t="shared" si="4"/>
        <v>0</v>
      </c>
      <c r="G80" s="54"/>
      <c r="H80" s="53">
        <f t="shared" si="5"/>
        <v>0</v>
      </c>
      <c r="I80" s="59"/>
      <c r="M80" s="52"/>
      <c r="N80" s="43"/>
    </row>
    <row r="81" spans="1:14" ht="21.75" customHeight="1" x14ac:dyDescent="0.35">
      <c r="A81" s="55"/>
      <c r="B81" s="56"/>
      <c r="C81" s="57"/>
      <c r="D81" s="58"/>
      <c r="E81" s="60">
        <f t="shared" si="3"/>
        <v>0</v>
      </c>
      <c r="F81" s="30">
        <f t="shared" si="4"/>
        <v>0</v>
      </c>
      <c r="G81" s="54"/>
      <c r="H81" s="53">
        <f t="shared" si="5"/>
        <v>0</v>
      </c>
      <c r="I81" s="59"/>
      <c r="M81" s="52"/>
      <c r="N81" s="43"/>
    </row>
    <row r="82" spans="1:14" ht="21.75" customHeight="1" x14ac:dyDescent="0.35">
      <c r="A82" s="55"/>
      <c r="B82" s="56"/>
      <c r="C82" s="57"/>
      <c r="D82" s="58"/>
      <c r="E82" s="60">
        <f t="shared" si="3"/>
        <v>0</v>
      </c>
      <c r="F82" s="30">
        <f t="shared" si="4"/>
        <v>0</v>
      </c>
      <c r="G82" s="54"/>
      <c r="H82" s="53">
        <f t="shared" si="5"/>
        <v>0</v>
      </c>
      <c r="I82" s="59"/>
      <c r="M82" s="52"/>
      <c r="N82" s="43"/>
    </row>
    <row r="83" spans="1:14" ht="21.75" customHeight="1" x14ac:dyDescent="0.35">
      <c r="A83" s="55"/>
      <c r="B83" s="56"/>
      <c r="C83" s="57"/>
      <c r="D83" s="58"/>
      <c r="E83" s="60">
        <f t="shared" si="3"/>
        <v>0</v>
      </c>
      <c r="F83" s="30">
        <f t="shared" si="4"/>
        <v>0</v>
      </c>
      <c r="G83" s="54"/>
      <c r="H83" s="53">
        <f t="shared" si="5"/>
        <v>0</v>
      </c>
      <c r="I83" s="59"/>
      <c r="M83" s="52"/>
      <c r="N83" s="43"/>
    </row>
    <row r="84" spans="1:14" ht="21.75" customHeight="1" x14ac:dyDescent="0.35">
      <c r="A84" s="55"/>
      <c r="B84" s="56"/>
      <c r="C84" s="57"/>
      <c r="D84" s="58"/>
      <c r="E84" s="60">
        <f t="shared" si="3"/>
        <v>0</v>
      </c>
      <c r="F84" s="30">
        <f t="shared" si="4"/>
        <v>0</v>
      </c>
      <c r="G84" s="54"/>
      <c r="H84" s="53">
        <f t="shared" si="5"/>
        <v>0</v>
      </c>
      <c r="I84" s="59"/>
      <c r="M84" s="52"/>
      <c r="N84" s="43"/>
    </row>
    <row r="85" spans="1:14" ht="21.75" customHeight="1" x14ac:dyDescent="0.35">
      <c r="A85" s="55"/>
      <c r="B85" s="56"/>
      <c r="C85" s="57"/>
      <c r="D85" s="58"/>
      <c r="E85" s="60">
        <f t="shared" si="3"/>
        <v>0</v>
      </c>
      <c r="F85" s="30">
        <f t="shared" si="4"/>
        <v>0</v>
      </c>
      <c r="G85" s="54"/>
      <c r="H85" s="53">
        <f t="shared" si="5"/>
        <v>0</v>
      </c>
      <c r="I85" s="59"/>
      <c r="M85" s="52"/>
      <c r="N85" s="43"/>
    </row>
    <row r="86" spans="1:14" ht="21.75" customHeight="1" x14ac:dyDescent="0.35">
      <c r="A86" s="55"/>
      <c r="B86" s="56"/>
      <c r="C86" s="57"/>
      <c r="D86" s="58"/>
      <c r="E86" s="60">
        <f t="shared" si="3"/>
        <v>0</v>
      </c>
      <c r="F86" s="30">
        <f t="shared" si="4"/>
        <v>0</v>
      </c>
      <c r="G86" s="54"/>
      <c r="H86" s="53">
        <f t="shared" si="5"/>
        <v>0</v>
      </c>
      <c r="I86" s="59"/>
      <c r="M86" s="52"/>
      <c r="N86" s="43"/>
    </row>
    <row r="87" spans="1:14" ht="21.75" customHeight="1" x14ac:dyDescent="0.35">
      <c r="A87" s="55"/>
      <c r="B87" s="56"/>
      <c r="C87" s="57"/>
      <c r="D87" s="58"/>
      <c r="E87" s="60">
        <f t="shared" si="3"/>
        <v>0</v>
      </c>
      <c r="F87" s="30">
        <f t="shared" si="4"/>
        <v>0</v>
      </c>
      <c r="G87" s="54"/>
      <c r="H87" s="53">
        <f t="shared" si="5"/>
        <v>0</v>
      </c>
      <c r="I87" s="59"/>
      <c r="M87" s="52"/>
      <c r="N87" s="43"/>
    </row>
    <row r="88" spans="1:14" ht="21.75" customHeight="1" x14ac:dyDescent="0.35">
      <c r="A88" s="55"/>
      <c r="B88" s="56"/>
      <c r="C88" s="57"/>
      <c r="D88" s="58"/>
      <c r="E88" s="60">
        <f t="shared" si="3"/>
        <v>0</v>
      </c>
      <c r="F88" s="30">
        <f t="shared" si="4"/>
        <v>0</v>
      </c>
      <c r="G88" s="54"/>
      <c r="H88" s="53">
        <f t="shared" si="5"/>
        <v>0</v>
      </c>
      <c r="I88" s="59"/>
      <c r="M88" s="52"/>
      <c r="N88" s="43"/>
    </row>
    <row r="89" spans="1:14" ht="21.75" customHeight="1" x14ac:dyDescent="0.35">
      <c r="A89" s="55"/>
      <c r="B89" s="56"/>
      <c r="C89" s="57"/>
      <c r="D89" s="58"/>
      <c r="E89" s="60">
        <f t="shared" si="3"/>
        <v>0</v>
      </c>
      <c r="F89" s="30">
        <f t="shared" si="4"/>
        <v>0</v>
      </c>
      <c r="G89" s="54"/>
      <c r="H89" s="53">
        <f t="shared" si="5"/>
        <v>0</v>
      </c>
      <c r="I89" s="59"/>
      <c r="M89" s="52"/>
      <c r="N89" s="43"/>
    </row>
    <row r="90" spans="1:14" ht="21.75" customHeight="1" x14ac:dyDescent="0.35">
      <c r="A90" s="55"/>
      <c r="B90" s="56"/>
      <c r="C90" s="57"/>
      <c r="D90" s="58"/>
      <c r="E90" s="60">
        <f t="shared" si="3"/>
        <v>0</v>
      </c>
      <c r="F90" s="30">
        <f t="shared" si="4"/>
        <v>0</v>
      </c>
      <c r="G90" s="54"/>
      <c r="H90" s="53">
        <f t="shared" si="5"/>
        <v>0</v>
      </c>
      <c r="I90" s="59"/>
      <c r="M90" s="52"/>
      <c r="N90" s="43"/>
    </row>
    <row r="91" spans="1:14" ht="21.75" customHeight="1" x14ac:dyDescent="0.35">
      <c r="A91" s="55"/>
      <c r="B91" s="56"/>
      <c r="C91" s="57"/>
      <c r="D91" s="58"/>
      <c r="E91" s="60">
        <f t="shared" si="3"/>
        <v>0</v>
      </c>
      <c r="F91" s="30">
        <f t="shared" si="4"/>
        <v>0</v>
      </c>
      <c r="G91" s="54"/>
      <c r="H91" s="53">
        <f t="shared" si="5"/>
        <v>0</v>
      </c>
      <c r="I91" s="59"/>
      <c r="M91" s="52"/>
      <c r="N91" s="43"/>
    </row>
    <row r="92" spans="1:14" ht="21.75" customHeight="1" x14ac:dyDescent="0.35">
      <c r="A92" s="55"/>
      <c r="B92" s="56"/>
      <c r="C92" s="57"/>
      <c r="D92" s="58"/>
      <c r="E92" s="60">
        <f t="shared" si="3"/>
        <v>0</v>
      </c>
      <c r="F92" s="30">
        <f t="shared" si="4"/>
        <v>0</v>
      </c>
      <c r="G92" s="54"/>
      <c r="H92" s="53">
        <f t="shared" si="5"/>
        <v>0</v>
      </c>
      <c r="I92" s="59"/>
      <c r="M92" s="52"/>
      <c r="N92" s="43"/>
    </row>
    <row r="93" spans="1:14" ht="21.75" customHeight="1" x14ac:dyDescent="0.35">
      <c r="A93" s="55"/>
      <c r="B93" s="56"/>
      <c r="C93" s="57"/>
      <c r="D93" s="58"/>
      <c r="E93" s="60">
        <f t="shared" si="3"/>
        <v>0</v>
      </c>
      <c r="F93" s="30">
        <f t="shared" si="4"/>
        <v>0</v>
      </c>
      <c r="G93" s="54"/>
      <c r="H93" s="53">
        <f t="shared" si="5"/>
        <v>0</v>
      </c>
      <c r="I93" s="59"/>
      <c r="M93" s="52"/>
      <c r="N93" s="43"/>
    </row>
    <row r="94" spans="1:14" ht="21.75" customHeight="1" x14ac:dyDescent="0.35">
      <c r="A94" s="55"/>
      <c r="B94" s="56"/>
      <c r="C94" s="57"/>
      <c r="D94" s="58"/>
      <c r="E94" s="60">
        <f t="shared" si="3"/>
        <v>0</v>
      </c>
      <c r="F94" s="30">
        <f t="shared" si="4"/>
        <v>0</v>
      </c>
      <c r="G94" s="54"/>
      <c r="H94" s="53">
        <f t="shared" si="5"/>
        <v>0</v>
      </c>
      <c r="I94" s="59"/>
      <c r="M94" s="52"/>
      <c r="N94" s="43"/>
    </row>
    <row r="95" spans="1:14" ht="21.75" customHeight="1" x14ac:dyDescent="0.35">
      <c r="A95" s="55"/>
      <c r="B95" s="56"/>
      <c r="C95" s="57"/>
      <c r="D95" s="58"/>
      <c r="E95" s="60">
        <f t="shared" si="3"/>
        <v>0</v>
      </c>
      <c r="F95" s="30">
        <f t="shared" si="4"/>
        <v>0</v>
      </c>
      <c r="G95" s="54"/>
      <c r="H95" s="53">
        <f t="shared" si="5"/>
        <v>0</v>
      </c>
      <c r="I95" s="59"/>
      <c r="M95" s="52"/>
      <c r="N95" s="43"/>
    </row>
    <row r="96" spans="1:14" ht="21.75" customHeight="1" x14ac:dyDescent="0.35">
      <c r="A96" s="55"/>
      <c r="B96" s="56"/>
      <c r="C96" s="57"/>
      <c r="D96" s="58"/>
      <c r="E96" s="60">
        <f t="shared" si="3"/>
        <v>0</v>
      </c>
      <c r="F96" s="30">
        <f t="shared" si="4"/>
        <v>0</v>
      </c>
      <c r="G96" s="54"/>
      <c r="H96" s="53">
        <f t="shared" si="5"/>
        <v>0</v>
      </c>
      <c r="I96" s="59"/>
      <c r="M96" s="52"/>
      <c r="N96" s="43"/>
    </row>
    <row r="97" spans="1:14" ht="21.75" customHeight="1" x14ac:dyDescent="0.35">
      <c r="A97" s="55"/>
      <c r="B97" s="56"/>
      <c r="C97" s="57"/>
      <c r="D97" s="58"/>
      <c r="E97" s="60">
        <f t="shared" si="3"/>
        <v>0</v>
      </c>
      <c r="F97" s="30">
        <f t="shared" si="4"/>
        <v>0</v>
      </c>
      <c r="G97" s="54"/>
      <c r="H97" s="53">
        <f t="shared" si="5"/>
        <v>0</v>
      </c>
      <c r="I97" s="59"/>
      <c r="M97" s="52"/>
      <c r="N97" s="43"/>
    </row>
    <row r="98" spans="1:14" ht="21.75" customHeight="1" x14ac:dyDescent="0.35">
      <c r="A98" s="55"/>
      <c r="B98" s="56"/>
      <c r="C98" s="57"/>
      <c r="D98" s="58"/>
      <c r="E98" s="60">
        <f t="shared" si="3"/>
        <v>0</v>
      </c>
      <c r="F98" s="30">
        <f t="shared" si="4"/>
        <v>0</v>
      </c>
      <c r="G98" s="54"/>
      <c r="H98" s="53">
        <f t="shared" si="5"/>
        <v>0</v>
      </c>
      <c r="I98" s="59"/>
      <c r="M98" s="52"/>
      <c r="N98" s="43"/>
    </row>
    <row r="99" spans="1:14" ht="21.75" customHeight="1" x14ac:dyDescent="0.35">
      <c r="A99" s="55"/>
      <c r="B99" s="56"/>
      <c r="C99" s="57"/>
      <c r="D99" s="58"/>
      <c r="E99" s="60">
        <f t="shared" si="3"/>
        <v>0</v>
      </c>
      <c r="F99" s="30">
        <f t="shared" si="4"/>
        <v>0</v>
      </c>
      <c r="G99" s="54"/>
      <c r="H99" s="53">
        <f t="shared" si="5"/>
        <v>0</v>
      </c>
      <c r="I99" s="59"/>
      <c r="M99" s="52"/>
      <c r="N99" s="43"/>
    </row>
    <row r="100" spans="1:14" ht="21.75" customHeight="1" x14ac:dyDescent="0.35">
      <c r="A100" s="55"/>
      <c r="B100" s="56"/>
      <c r="C100" s="57"/>
      <c r="D100" s="58"/>
      <c r="E100" s="60">
        <f t="shared" si="3"/>
        <v>0</v>
      </c>
      <c r="F100" s="30">
        <f t="shared" si="4"/>
        <v>0</v>
      </c>
      <c r="G100" s="54"/>
      <c r="H100" s="53">
        <f t="shared" si="5"/>
        <v>0</v>
      </c>
      <c r="I100" s="59"/>
      <c r="M100" s="52"/>
      <c r="N100" s="43"/>
    </row>
    <row r="101" spans="1:14" ht="21.75" customHeight="1" x14ac:dyDescent="0.35">
      <c r="A101" s="55"/>
      <c r="B101" s="56"/>
      <c r="C101" s="57"/>
      <c r="D101" s="58"/>
      <c r="E101" s="60">
        <f t="shared" si="3"/>
        <v>0</v>
      </c>
      <c r="F101" s="30">
        <f t="shared" si="4"/>
        <v>0</v>
      </c>
      <c r="G101" s="54"/>
      <c r="H101" s="53">
        <f t="shared" si="5"/>
        <v>0</v>
      </c>
      <c r="I101" s="59"/>
      <c r="M101" s="52"/>
      <c r="N101" s="43"/>
    </row>
    <row r="102" spans="1:14" ht="21.75" customHeight="1" x14ac:dyDescent="0.35">
      <c r="A102" s="55"/>
      <c r="B102" s="56"/>
      <c r="C102" s="57"/>
      <c r="D102" s="58"/>
      <c r="E102" s="60">
        <f t="shared" si="3"/>
        <v>0</v>
      </c>
      <c r="F102" s="30">
        <f t="shared" si="4"/>
        <v>0</v>
      </c>
      <c r="G102" s="54"/>
      <c r="H102" s="53">
        <f t="shared" si="5"/>
        <v>0</v>
      </c>
      <c r="I102" s="59"/>
      <c r="M102" s="52"/>
      <c r="N102" s="43"/>
    </row>
    <row r="103" spans="1:14" ht="21.75" customHeight="1" x14ac:dyDescent="0.35">
      <c r="A103" s="55"/>
      <c r="B103" s="56"/>
      <c r="C103" s="57"/>
      <c r="D103" s="58"/>
      <c r="E103" s="60">
        <f t="shared" si="3"/>
        <v>0</v>
      </c>
      <c r="F103" s="30">
        <f t="shared" si="4"/>
        <v>0</v>
      </c>
      <c r="G103" s="54"/>
      <c r="H103" s="53">
        <f t="shared" si="5"/>
        <v>0</v>
      </c>
      <c r="I103" s="59"/>
      <c r="M103" s="52"/>
      <c r="N103" s="43"/>
    </row>
    <row r="104" spans="1:14" ht="21.75" customHeight="1" x14ac:dyDescent="0.35">
      <c r="A104" s="55"/>
      <c r="B104" s="56"/>
      <c r="C104" s="57"/>
      <c r="D104" s="58"/>
      <c r="E104" s="60">
        <f t="shared" si="3"/>
        <v>0</v>
      </c>
      <c r="F104" s="30">
        <f t="shared" si="4"/>
        <v>0</v>
      </c>
      <c r="G104" s="54"/>
      <c r="H104" s="53">
        <f t="shared" si="5"/>
        <v>0</v>
      </c>
      <c r="I104" s="59"/>
      <c r="M104" s="52"/>
      <c r="N104" s="43"/>
    </row>
    <row r="105" spans="1:14" ht="21.75" customHeight="1" x14ac:dyDescent="0.35">
      <c r="A105" s="55"/>
      <c r="B105" s="56"/>
      <c r="C105" s="57"/>
      <c r="D105" s="58"/>
      <c r="E105" s="60">
        <f t="shared" si="3"/>
        <v>0</v>
      </c>
      <c r="F105" s="30">
        <f t="shared" si="4"/>
        <v>0</v>
      </c>
      <c r="G105" s="54"/>
      <c r="H105" s="53">
        <f t="shared" si="5"/>
        <v>0</v>
      </c>
      <c r="I105" s="59"/>
      <c r="M105" s="52"/>
      <c r="N105" s="43"/>
    </row>
    <row r="106" spans="1:14" ht="21.75" customHeight="1" x14ac:dyDescent="0.35">
      <c r="A106" s="55"/>
      <c r="B106" s="56"/>
      <c r="C106" s="57"/>
      <c r="D106" s="58"/>
      <c r="E106" s="60">
        <f t="shared" si="3"/>
        <v>0</v>
      </c>
      <c r="F106" s="30">
        <f t="shared" si="4"/>
        <v>0</v>
      </c>
      <c r="G106" s="54"/>
      <c r="H106" s="53">
        <f t="shared" si="5"/>
        <v>0</v>
      </c>
      <c r="I106" s="59"/>
      <c r="M106" s="52"/>
      <c r="N106" s="43"/>
    </row>
    <row r="107" spans="1:14" ht="21.75" customHeight="1" x14ac:dyDescent="0.35">
      <c r="A107" s="55"/>
      <c r="B107" s="56"/>
      <c r="C107" s="57"/>
      <c r="D107" s="58"/>
      <c r="E107" s="60">
        <f t="shared" si="3"/>
        <v>0</v>
      </c>
      <c r="F107" s="30">
        <f t="shared" si="4"/>
        <v>0</v>
      </c>
      <c r="G107" s="54"/>
      <c r="H107" s="53">
        <f t="shared" si="5"/>
        <v>0</v>
      </c>
      <c r="I107" s="59"/>
      <c r="M107" s="52"/>
      <c r="N107" s="43"/>
    </row>
    <row r="108" spans="1:14" ht="21.75" customHeight="1" x14ac:dyDescent="0.35">
      <c r="A108" s="55"/>
      <c r="B108" s="56"/>
      <c r="C108" s="57"/>
      <c r="D108" s="58"/>
      <c r="E108" s="60">
        <f t="shared" si="3"/>
        <v>0</v>
      </c>
      <c r="F108" s="30">
        <f t="shared" si="4"/>
        <v>0</v>
      </c>
      <c r="G108" s="54"/>
      <c r="H108" s="53">
        <f t="shared" si="5"/>
        <v>0</v>
      </c>
      <c r="I108" s="59"/>
      <c r="M108" s="52"/>
      <c r="N108" s="43"/>
    </row>
    <row r="109" spans="1:14" ht="21.75" customHeight="1" x14ac:dyDescent="0.35">
      <c r="A109" s="55"/>
      <c r="B109" s="56"/>
      <c r="C109" s="57"/>
      <c r="D109" s="58"/>
      <c r="E109" s="60">
        <f t="shared" si="3"/>
        <v>0</v>
      </c>
      <c r="F109" s="30">
        <f t="shared" si="4"/>
        <v>0</v>
      </c>
      <c r="G109" s="54"/>
      <c r="H109" s="53">
        <f t="shared" si="5"/>
        <v>0</v>
      </c>
      <c r="I109" s="59"/>
      <c r="M109" s="52"/>
      <c r="N109" s="43"/>
    </row>
    <row r="110" spans="1:14" ht="21.75" customHeight="1" x14ac:dyDescent="0.35">
      <c r="A110" s="55"/>
      <c r="B110" s="56"/>
      <c r="C110" s="57"/>
      <c r="D110" s="58"/>
      <c r="E110" s="60">
        <f t="shared" si="3"/>
        <v>0</v>
      </c>
      <c r="F110" s="30">
        <f t="shared" si="4"/>
        <v>0</v>
      </c>
      <c r="G110" s="54"/>
      <c r="H110" s="53">
        <f t="shared" si="5"/>
        <v>0</v>
      </c>
      <c r="I110" s="59"/>
      <c r="M110" s="52"/>
      <c r="N110" s="43"/>
    </row>
    <row r="111" spans="1:14" ht="21.75" customHeight="1" x14ac:dyDescent="0.35">
      <c r="A111" s="55"/>
      <c r="B111" s="56"/>
      <c r="C111" s="57"/>
      <c r="D111" s="58"/>
      <c r="E111" s="60">
        <f t="shared" si="3"/>
        <v>0</v>
      </c>
      <c r="F111" s="30">
        <f t="shared" si="4"/>
        <v>0</v>
      </c>
      <c r="G111" s="54"/>
      <c r="H111" s="53">
        <f t="shared" si="5"/>
        <v>0</v>
      </c>
      <c r="I111" s="59"/>
      <c r="M111" s="52"/>
      <c r="N111" s="43"/>
    </row>
    <row r="112" spans="1:14" ht="21.75" customHeight="1" x14ac:dyDescent="0.35">
      <c r="A112" s="55"/>
      <c r="B112" s="56"/>
      <c r="C112" s="57"/>
      <c r="D112" s="58"/>
      <c r="E112" s="60">
        <f t="shared" si="3"/>
        <v>0</v>
      </c>
      <c r="F112" s="30">
        <f t="shared" si="4"/>
        <v>0</v>
      </c>
      <c r="G112" s="54"/>
      <c r="H112" s="53">
        <f t="shared" si="5"/>
        <v>0</v>
      </c>
      <c r="I112" s="59"/>
      <c r="M112" s="52"/>
      <c r="N112" s="43"/>
    </row>
    <row r="113" spans="1:14" ht="21.75" customHeight="1" x14ac:dyDescent="0.35">
      <c r="A113" s="55"/>
      <c r="B113" s="56"/>
      <c r="C113" s="57"/>
      <c r="D113" s="58"/>
      <c r="E113" s="60">
        <f t="shared" si="3"/>
        <v>0</v>
      </c>
      <c r="F113" s="30">
        <f t="shared" si="4"/>
        <v>0</v>
      </c>
      <c r="G113" s="54"/>
      <c r="H113" s="53">
        <f t="shared" si="5"/>
        <v>0</v>
      </c>
      <c r="I113" s="59"/>
      <c r="M113" s="52"/>
      <c r="N113" s="43"/>
    </row>
    <row r="114" spans="1:14" ht="21.75" customHeight="1" x14ac:dyDescent="0.35">
      <c r="A114" s="55"/>
      <c r="B114" s="56"/>
      <c r="C114" s="57"/>
      <c r="D114" s="58"/>
      <c r="E114" s="60">
        <f t="shared" si="3"/>
        <v>0</v>
      </c>
      <c r="F114" s="30">
        <f t="shared" si="4"/>
        <v>0</v>
      </c>
      <c r="G114" s="54"/>
      <c r="H114" s="53">
        <f t="shared" si="5"/>
        <v>0</v>
      </c>
      <c r="I114" s="59"/>
      <c r="M114" s="52"/>
      <c r="N114" s="43"/>
    </row>
    <row r="115" spans="1:14" ht="21.75" customHeight="1" x14ac:dyDescent="0.35">
      <c r="A115" s="55"/>
      <c r="B115" s="56"/>
      <c r="C115" s="57"/>
      <c r="D115" s="58"/>
      <c r="E115" s="60">
        <f t="shared" si="3"/>
        <v>0</v>
      </c>
      <c r="F115" s="30">
        <f t="shared" si="4"/>
        <v>0</v>
      </c>
      <c r="G115" s="54"/>
      <c r="H115" s="53">
        <f t="shared" si="5"/>
        <v>0</v>
      </c>
      <c r="I115" s="59"/>
      <c r="M115" s="52"/>
      <c r="N115" s="43"/>
    </row>
    <row r="116" spans="1:14" ht="21.75" customHeight="1" x14ac:dyDescent="0.35">
      <c r="A116" s="55"/>
      <c r="B116" s="56"/>
      <c r="C116" s="57"/>
      <c r="D116" s="58"/>
      <c r="E116" s="60">
        <f t="shared" si="3"/>
        <v>0</v>
      </c>
      <c r="F116" s="30">
        <f t="shared" si="4"/>
        <v>0</v>
      </c>
      <c r="G116" s="54"/>
      <c r="H116" s="53">
        <f t="shared" si="5"/>
        <v>0</v>
      </c>
      <c r="I116" s="59"/>
      <c r="M116" s="52"/>
      <c r="N116" s="43"/>
    </row>
    <row r="117" spans="1:14" ht="21.75" customHeight="1" x14ac:dyDescent="0.35">
      <c r="A117" s="55"/>
      <c r="B117" s="56"/>
      <c r="C117" s="57"/>
      <c r="D117" s="58"/>
      <c r="E117" s="60">
        <f t="shared" si="3"/>
        <v>0</v>
      </c>
      <c r="F117" s="30">
        <f t="shared" si="4"/>
        <v>0</v>
      </c>
      <c r="G117" s="54"/>
      <c r="H117" s="53">
        <f t="shared" si="5"/>
        <v>0</v>
      </c>
      <c r="I117" s="59"/>
      <c r="M117" s="52"/>
      <c r="N117" s="43"/>
    </row>
    <row r="118" spans="1:14" ht="21.75" customHeight="1" x14ac:dyDescent="0.35">
      <c r="A118" s="55"/>
      <c r="B118" s="56"/>
      <c r="C118" s="57"/>
      <c r="D118" s="58"/>
      <c r="E118" s="60">
        <f t="shared" si="3"/>
        <v>0</v>
      </c>
      <c r="F118" s="30">
        <f t="shared" si="4"/>
        <v>0</v>
      </c>
      <c r="G118" s="54"/>
      <c r="H118" s="53">
        <f t="shared" si="5"/>
        <v>0</v>
      </c>
      <c r="I118" s="59"/>
      <c r="M118" s="52"/>
      <c r="N118" s="43"/>
    </row>
    <row r="119" spans="1:14" ht="21.75" customHeight="1" x14ac:dyDescent="0.35">
      <c r="A119" s="55"/>
      <c r="B119" s="56"/>
      <c r="C119" s="57"/>
      <c r="D119" s="58"/>
      <c r="E119" s="60">
        <f t="shared" si="3"/>
        <v>0</v>
      </c>
      <c r="F119" s="30">
        <f t="shared" si="4"/>
        <v>0</v>
      </c>
      <c r="G119" s="54"/>
      <c r="H119" s="53">
        <f t="shared" si="5"/>
        <v>0</v>
      </c>
      <c r="I119" s="59"/>
      <c r="M119" s="52"/>
      <c r="N119" s="43"/>
    </row>
    <row r="120" spans="1:14" ht="21.75" customHeight="1" x14ac:dyDescent="0.35">
      <c r="A120" s="55"/>
      <c r="B120" s="56"/>
      <c r="C120" s="57"/>
      <c r="D120" s="58"/>
      <c r="E120" s="60">
        <f t="shared" si="3"/>
        <v>0</v>
      </c>
      <c r="F120" s="30">
        <f t="shared" si="4"/>
        <v>0</v>
      </c>
      <c r="G120" s="54"/>
      <c r="H120" s="53">
        <f t="shared" si="5"/>
        <v>0</v>
      </c>
      <c r="I120" s="59"/>
      <c r="M120" s="52"/>
      <c r="N120" s="43"/>
    </row>
    <row r="121" spans="1:14" ht="21.75" customHeight="1" x14ac:dyDescent="0.35">
      <c r="A121" s="55"/>
      <c r="B121" s="56"/>
      <c r="C121" s="57"/>
      <c r="D121" s="58"/>
      <c r="E121" s="60">
        <f t="shared" si="3"/>
        <v>0</v>
      </c>
      <c r="F121" s="30">
        <f t="shared" si="4"/>
        <v>0</v>
      </c>
      <c r="G121" s="54"/>
      <c r="H121" s="53">
        <f t="shared" si="5"/>
        <v>0</v>
      </c>
      <c r="I121" s="59"/>
      <c r="M121" s="52"/>
      <c r="N121" s="43"/>
    </row>
    <row r="122" spans="1:14" ht="21.75" customHeight="1" x14ac:dyDescent="0.35">
      <c r="A122" s="55"/>
      <c r="B122" s="56"/>
      <c r="C122" s="57"/>
      <c r="D122" s="58"/>
      <c r="E122" s="60">
        <f t="shared" si="3"/>
        <v>0</v>
      </c>
      <c r="F122" s="30">
        <f t="shared" si="4"/>
        <v>0</v>
      </c>
      <c r="G122" s="54"/>
      <c r="H122" s="53">
        <f t="shared" si="5"/>
        <v>0</v>
      </c>
      <c r="I122" s="59"/>
      <c r="M122" s="52"/>
      <c r="N122" s="43"/>
    </row>
    <row r="123" spans="1:14" ht="21.75" customHeight="1" x14ac:dyDescent="0.35">
      <c r="A123" s="55"/>
      <c r="B123" s="56"/>
      <c r="C123" s="57"/>
      <c r="D123" s="58"/>
      <c r="E123" s="60">
        <f t="shared" si="3"/>
        <v>0</v>
      </c>
      <c r="F123" s="30">
        <f t="shared" si="4"/>
        <v>0</v>
      </c>
      <c r="G123" s="54"/>
      <c r="H123" s="53">
        <f t="shared" si="5"/>
        <v>0</v>
      </c>
      <c r="I123" s="59"/>
      <c r="M123" s="52"/>
      <c r="N123" s="43"/>
    </row>
    <row r="124" spans="1:14" ht="21.75" customHeight="1" x14ac:dyDescent="0.35">
      <c r="A124" s="55"/>
      <c r="B124" s="56"/>
      <c r="C124" s="57"/>
      <c r="D124" s="58"/>
      <c r="E124" s="60">
        <f t="shared" si="3"/>
        <v>0</v>
      </c>
      <c r="F124" s="30">
        <f t="shared" si="4"/>
        <v>0</v>
      </c>
      <c r="G124" s="54"/>
      <c r="H124" s="53">
        <f t="shared" si="5"/>
        <v>0</v>
      </c>
      <c r="I124" s="59"/>
      <c r="M124" s="52"/>
      <c r="N124" s="43"/>
    </row>
    <row r="125" spans="1:14" ht="21.75" customHeight="1" x14ac:dyDescent="0.35">
      <c r="A125" s="55"/>
      <c r="B125" s="56"/>
      <c r="C125" s="57"/>
      <c r="D125" s="58"/>
      <c r="E125" s="60">
        <f t="shared" si="3"/>
        <v>0</v>
      </c>
      <c r="F125" s="30">
        <f t="shared" si="4"/>
        <v>0</v>
      </c>
      <c r="G125" s="54"/>
      <c r="H125" s="53">
        <f t="shared" si="5"/>
        <v>0</v>
      </c>
      <c r="I125" s="59"/>
      <c r="M125" s="52"/>
      <c r="N125" s="43"/>
    </row>
    <row r="126" spans="1:14" ht="21.75" customHeight="1" x14ac:dyDescent="0.35">
      <c r="A126" s="55"/>
      <c r="B126" s="56"/>
      <c r="C126" s="57"/>
      <c r="D126" s="58"/>
      <c r="E126" s="60">
        <f t="shared" si="3"/>
        <v>0</v>
      </c>
      <c r="F126" s="30">
        <f t="shared" si="4"/>
        <v>0</v>
      </c>
      <c r="G126" s="54"/>
      <c r="H126" s="53">
        <f t="shared" si="5"/>
        <v>0</v>
      </c>
      <c r="I126" s="59"/>
      <c r="M126" s="52"/>
      <c r="N126" s="43"/>
    </row>
    <row r="127" spans="1:14" ht="21.75" customHeight="1" x14ac:dyDescent="0.35">
      <c r="A127" s="55"/>
      <c r="B127" s="56"/>
      <c r="C127" s="57"/>
      <c r="D127" s="58"/>
      <c r="E127" s="60">
        <f t="shared" si="3"/>
        <v>0</v>
      </c>
      <c r="F127" s="30">
        <f t="shared" si="4"/>
        <v>0</v>
      </c>
      <c r="G127" s="54"/>
      <c r="H127" s="53">
        <f t="shared" si="5"/>
        <v>0</v>
      </c>
      <c r="I127" s="59"/>
      <c r="M127" s="52"/>
      <c r="N127" s="43"/>
    </row>
    <row r="128" spans="1:14" ht="21.75" customHeight="1" x14ac:dyDescent="0.35">
      <c r="A128" s="55"/>
      <c r="B128" s="56"/>
      <c r="C128" s="57"/>
      <c r="D128" s="58"/>
      <c r="E128" s="60">
        <f t="shared" si="3"/>
        <v>0</v>
      </c>
      <c r="F128" s="30">
        <f t="shared" si="4"/>
        <v>0</v>
      </c>
      <c r="G128" s="54"/>
      <c r="H128" s="53">
        <f t="shared" si="5"/>
        <v>0</v>
      </c>
      <c r="I128" s="59"/>
      <c r="M128" s="52"/>
      <c r="N128" s="43"/>
    </row>
    <row r="129" spans="1:14" ht="21.75" customHeight="1" x14ac:dyDescent="0.35">
      <c r="A129" s="55"/>
      <c r="B129" s="56"/>
      <c r="C129" s="57"/>
      <c r="D129" s="58"/>
      <c r="E129" s="60">
        <f t="shared" si="3"/>
        <v>0</v>
      </c>
      <c r="F129" s="30">
        <f t="shared" si="4"/>
        <v>0</v>
      </c>
      <c r="G129" s="54"/>
      <c r="H129" s="53">
        <f t="shared" si="5"/>
        <v>0</v>
      </c>
      <c r="I129" s="59"/>
      <c r="M129" s="52"/>
      <c r="N129" s="43"/>
    </row>
    <row r="130" spans="1:14" ht="21.75" customHeight="1" x14ac:dyDescent="0.35">
      <c r="A130" s="55"/>
      <c r="B130" s="56"/>
      <c r="C130" s="57"/>
      <c r="D130" s="58"/>
      <c r="E130" s="60">
        <f t="shared" si="3"/>
        <v>0</v>
      </c>
      <c r="F130" s="30">
        <f t="shared" si="4"/>
        <v>0</v>
      </c>
      <c r="G130" s="54"/>
      <c r="H130" s="53">
        <f t="shared" si="5"/>
        <v>0</v>
      </c>
      <c r="I130" s="59"/>
      <c r="M130" s="52"/>
      <c r="N130" s="43"/>
    </row>
    <row r="131" spans="1:14" ht="21.75" customHeight="1" x14ac:dyDescent="0.35">
      <c r="A131" s="55"/>
      <c r="B131" s="56"/>
      <c r="C131" s="57"/>
      <c r="D131" s="58"/>
      <c r="E131" s="60">
        <f t="shared" si="3"/>
        <v>0</v>
      </c>
      <c r="F131" s="30">
        <f t="shared" si="4"/>
        <v>0</v>
      </c>
      <c r="G131" s="54"/>
      <c r="H131" s="53">
        <f t="shared" si="5"/>
        <v>0</v>
      </c>
      <c r="I131" s="59"/>
      <c r="M131" s="52"/>
      <c r="N131" s="43"/>
    </row>
    <row r="132" spans="1:14" ht="21.75" customHeight="1" x14ac:dyDescent="0.35">
      <c r="A132" s="55"/>
      <c r="B132" s="56"/>
      <c r="C132" s="57"/>
      <c r="D132" s="58"/>
      <c r="E132" s="60">
        <f t="shared" si="3"/>
        <v>0</v>
      </c>
      <c r="F132" s="30">
        <f t="shared" si="4"/>
        <v>0</v>
      </c>
      <c r="G132" s="54"/>
      <c r="H132" s="53">
        <f t="shared" si="5"/>
        <v>0</v>
      </c>
      <c r="I132" s="59"/>
      <c r="M132" s="52"/>
      <c r="N132" s="43"/>
    </row>
    <row r="133" spans="1:14" ht="21.75" customHeight="1" x14ac:dyDescent="0.35">
      <c r="A133" s="55"/>
      <c r="B133" s="56"/>
      <c r="C133" s="57"/>
      <c r="D133" s="58"/>
      <c r="E133" s="60">
        <f t="shared" si="3"/>
        <v>0</v>
      </c>
      <c r="F133" s="30">
        <f t="shared" si="4"/>
        <v>0</v>
      </c>
      <c r="G133" s="54"/>
      <c r="H133" s="53">
        <f t="shared" si="5"/>
        <v>0</v>
      </c>
      <c r="I133" s="59"/>
      <c r="M133" s="52"/>
      <c r="N133" s="43"/>
    </row>
    <row r="134" spans="1:14" ht="21.75" customHeight="1" x14ac:dyDescent="0.35">
      <c r="A134" s="55"/>
      <c r="B134" s="56"/>
      <c r="C134" s="57"/>
      <c r="D134" s="58"/>
      <c r="E134" s="60">
        <f t="shared" si="3"/>
        <v>0</v>
      </c>
      <c r="F134" s="30">
        <f t="shared" si="4"/>
        <v>0</v>
      </c>
      <c r="G134" s="54"/>
      <c r="H134" s="53">
        <f t="shared" si="5"/>
        <v>0</v>
      </c>
      <c r="I134" s="59"/>
      <c r="M134" s="52"/>
      <c r="N134" s="43"/>
    </row>
    <row r="135" spans="1:14" ht="21.75" customHeight="1" x14ac:dyDescent="0.35">
      <c r="A135" s="55"/>
      <c r="B135" s="56"/>
      <c r="C135" s="57"/>
      <c r="D135" s="58"/>
      <c r="E135" s="60">
        <f t="shared" ref="E135:E198" si="6">+D135*0.08</f>
        <v>0</v>
      </c>
      <c r="F135" s="30">
        <f t="shared" ref="F135:F198" si="7">+E135+D135</f>
        <v>0</v>
      </c>
      <c r="G135" s="54"/>
      <c r="H135" s="53">
        <f t="shared" ref="H135:H198" si="8">+F135-G135</f>
        <v>0</v>
      </c>
      <c r="I135" s="59"/>
      <c r="M135" s="52"/>
      <c r="N135" s="43"/>
    </row>
    <row r="136" spans="1:14" ht="21.75" customHeight="1" x14ac:dyDescent="0.35">
      <c r="A136" s="55"/>
      <c r="B136" s="56"/>
      <c r="C136" s="57"/>
      <c r="D136" s="58"/>
      <c r="E136" s="60">
        <f t="shared" si="6"/>
        <v>0</v>
      </c>
      <c r="F136" s="30">
        <f t="shared" si="7"/>
        <v>0</v>
      </c>
      <c r="G136" s="54"/>
      <c r="H136" s="53">
        <f t="shared" si="8"/>
        <v>0</v>
      </c>
      <c r="I136" s="59"/>
      <c r="M136" s="52"/>
      <c r="N136" s="43"/>
    </row>
    <row r="137" spans="1:14" ht="21.75" customHeight="1" x14ac:dyDescent="0.35">
      <c r="A137" s="55"/>
      <c r="B137" s="56"/>
      <c r="C137" s="57"/>
      <c r="D137" s="58"/>
      <c r="E137" s="60">
        <f t="shared" si="6"/>
        <v>0</v>
      </c>
      <c r="F137" s="30">
        <f t="shared" si="7"/>
        <v>0</v>
      </c>
      <c r="G137" s="54"/>
      <c r="H137" s="53">
        <f t="shared" si="8"/>
        <v>0</v>
      </c>
      <c r="I137" s="59"/>
      <c r="M137" s="52"/>
      <c r="N137" s="43"/>
    </row>
    <row r="138" spans="1:14" ht="21.75" customHeight="1" x14ac:dyDescent="0.35">
      <c r="A138" s="55"/>
      <c r="B138" s="56"/>
      <c r="C138" s="57"/>
      <c r="D138" s="58"/>
      <c r="E138" s="60">
        <f t="shared" si="6"/>
        <v>0</v>
      </c>
      <c r="F138" s="30">
        <f t="shared" si="7"/>
        <v>0</v>
      </c>
      <c r="G138" s="54"/>
      <c r="H138" s="53">
        <f t="shared" si="8"/>
        <v>0</v>
      </c>
      <c r="I138" s="59"/>
      <c r="M138" s="52"/>
      <c r="N138" s="43"/>
    </row>
    <row r="139" spans="1:14" ht="21.75" customHeight="1" x14ac:dyDescent="0.35">
      <c r="A139" s="55"/>
      <c r="B139" s="56"/>
      <c r="C139" s="57"/>
      <c r="D139" s="58"/>
      <c r="E139" s="60">
        <f t="shared" si="6"/>
        <v>0</v>
      </c>
      <c r="F139" s="30">
        <f t="shared" si="7"/>
        <v>0</v>
      </c>
      <c r="G139" s="54"/>
      <c r="H139" s="53">
        <f t="shared" si="8"/>
        <v>0</v>
      </c>
      <c r="I139" s="59"/>
      <c r="M139" s="52"/>
      <c r="N139" s="43"/>
    </row>
    <row r="140" spans="1:14" ht="21.75" customHeight="1" x14ac:dyDescent="0.35">
      <c r="A140" s="55"/>
      <c r="B140" s="56"/>
      <c r="C140" s="57"/>
      <c r="D140" s="58"/>
      <c r="E140" s="60">
        <f t="shared" si="6"/>
        <v>0</v>
      </c>
      <c r="F140" s="30">
        <f t="shared" si="7"/>
        <v>0</v>
      </c>
      <c r="G140" s="54"/>
      <c r="H140" s="53">
        <f t="shared" si="8"/>
        <v>0</v>
      </c>
      <c r="I140" s="59"/>
      <c r="M140" s="52"/>
      <c r="N140" s="43"/>
    </row>
    <row r="141" spans="1:14" ht="21.75" customHeight="1" x14ac:dyDescent="0.35">
      <c r="A141" s="55"/>
      <c r="B141" s="56"/>
      <c r="C141" s="57"/>
      <c r="D141" s="58"/>
      <c r="E141" s="60">
        <f t="shared" si="6"/>
        <v>0</v>
      </c>
      <c r="F141" s="30">
        <f t="shared" si="7"/>
        <v>0</v>
      </c>
      <c r="G141" s="54"/>
      <c r="H141" s="53">
        <f t="shared" si="8"/>
        <v>0</v>
      </c>
      <c r="I141" s="59"/>
      <c r="M141" s="52"/>
      <c r="N141" s="43"/>
    </row>
    <row r="142" spans="1:14" ht="21.75" customHeight="1" x14ac:dyDescent="0.35">
      <c r="A142" s="55"/>
      <c r="B142" s="56"/>
      <c r="C142" s="57"/>
      <c r="D142" s="58"/>
      <c r="E142" s="60">
        <f t="shared" si="6"/>
        <v>0</v>
      </c>
      <c r="F142" s="30">
        <f t="shared" si="7"/>
        <v>0</v>
      </c>
      <c r="G142" s="54"/>
      <c r="H142" s="53">
        <f t="shared" si="8"/>
        <v>0</v>
      </c>
      <c r="I142" s="59"/>
      <c r="M142" s="52"/>
      <c r="N142" s="43"/>
    </row>
    <row r="143" spans="1:14" ht="21.75" customHeight="1" x14ac:dyDescent="0.35">
      <c r="A143" s="55"/>
      <c r="B143" s="56"/>
      <c r="C143" s="57"/>
      <c r="D143" s="58"/>
      <c r="E143" s="60">
        <f t="shared" si="6"/>
        <v>0</v>
      </c>
      <c r="F143" s="30">
        <f t="shared" si="7"/>
        <v>0</v>
      </c>
      <c r="G143" s="54"/>
      <c r="H143" s="53">
        <f t="shared" si="8"/>
        <v>0</v>
      </c>
      <c r="I143" s="59"/>
      <c r="M143" s="52"/>
      <c r="N143" s="43"/>
    </row>
    <row r="144" spans="1:14" ht="21.75" customHeight="1" x14ac:dyDescent="0.35">
      <c r="A144" s="55"/>
      <c r="B144" s="56"/>
      <c r="C144" s="57"/>
      <c r="D144" s="58"/>
      <c r="E144" s="60">
        <f t="shared" si="6"/>
        <v>0</v>
      </c>
      <c r="F144" s="30">
        <f t="shared" si="7"/>
        <v>0</v>
      </c>
      <c r="G144" s="54"/>
      <c r="H144" s="53">
        <f t="shared" si="8"/>
        <v>0</v>
      </c>
      <c r="I144" s="59"/>
      <c r="M144" s="52"/>
      <c r="N144" s="43"/>
    </row>
    <row r="145" spans="1:14" ht="21.75" customHeight="1" x14ac:dyDescent="0.35">
      <c r="A145" s="55"/>
      <c r="B145" s="56"/>
      <c r="C145" s="57"/>
      <c r="D145" s="58"/>
      <c r="E145" s="60">
        <f t="shared" si="6"/>
        <v>0</v>
      </c>
      <c r="F145" s="30">
        <f t="shared" si="7"/>
        <v>0</v>
      </c>
      <c r="G145" s="54"/>
      <c r="H145" s="53">
        <f t="shared" si="8"/>
        <v>0</v>
      </c>
      <c r="I145" s="59"/>
      <c r="M145" s="52"/>
      <c r="N145" s="43"/>
    </row>
    <row r="146" spans="1:14" ht="21.75" customHeight="1" x14ac:dyDescent="0.35">
      <c r="A146" s="55"/>
      <c r="B146" s="56"/>
      <c r="C146" s="57"/>
      <c r="D146" s="58"/>
      <c r="E146" s="60">
        <f t="shared" si="6"/>
        <v>0</v>
      </c>
      <c r="F146" s="30">
        <f t="shared" si="7"/>
        <v>0</v>
      </c>
      <c r="G146" s="54"/>
      <c r="H146" s="53">
        <f t="shared" si="8"/>
        <v>0</v>
      </c>
      <c r="I146" s="59"/>
      <c r="M146" s="52"/>
      <c r="N146" s="43"/>
    </row>
    <row r="147" spans="1:14" ht="21.75" customHeight="1" x14ac:dyDescent="0.35">
      <c r="A147" s="55"/>
      <c r="B147" s="56"/>
      <c r="C147" s="57"/>
      <c r="D147" s="58"/>
      <c r="E147" s="60">
        <f t="shared" si="6"/>
        <v>0</v>
      </c>
      <c r="F147" s="30">
        <f t="shared" si="7"/>
        <v>0</v>
      </c>
      <c r="G147" s="54"/>
      <c r="H147" s="53">
        <f t="shared" si="8"/>
        <v>0</v>
      </c>
      <c r="I147" s="59"/>
      <c r="M147" s="52"/>
      <c r="N147" s="43"/>
    </row>
    <row r="148" spans="1:14" ht="21.75" customHeight="1" x14ac:dyDescent="0.35">
      <c r="A148" s="55"/>
      <c r="B148" s="56"/>
      <c r="C148" s="57"/>
      <c r="D148" s="58"/>
      <c r="E148" s="60">
        <f t="shared" si="6"/>
        <v>0</v>
      </c>
      <c r="F148" s="30">
        <f t="shared" si="7"/>
        <v>0</v>
      </c>
      <c r="G148" s="54"/>
      <c r="H148" s="53">
        <f t="shared" si="8"/>
        <v>0</v>
      </c>
      <c r="I148" s="59"/>
      <c r="M148" s="52"/>
      <c r="N148" s="43"/>
    </row>
    <row r="149" spans="1:14" ht="21.75" customHeight="1" x14ac:dyDescent="0.35">
      <c r="A149" s="55"/>
      <c r="B149" s="56"/>
      <c r="C149" s="57"/>
      <c r="D149" s="58"/>
      <c r="E149" s="60">
        <f t="shared" si="6"/>
        <v>0</v>
      </c>
      <c r="F149" s="30">
        <f t="shared" si="7"/>
        <v>0</v>
      </c>
      <c r="G149" s="54"/>
      <c r="H149" s="53">
        <f t="shared" si="8"/>
        <v>0</v>
      </c>
      <c r="I149" s="59"/>
      <c r="M149" s="52"/>
      <c r="N149" s="43"/>
    </row>
    <row r="150" spans="1:14" ht="21.75" customHeight="1" x14ac:dyDescent="0.35">
      <c r="A150" s="55"/>
      <c r="B150" s="56"/>
      <c r="C150" s="57"/>
      <c r="D150" s="58"/>
      <c r="E150" s="60">
        <f t="shared" si="6"/>
        <v>0</v>
      </c>
      <c r="F150" s="30">
        <f t="shared" si="7"/>
        <v>0</v>
      </c>
      <c r="G150" s="54"/>
      <c r="H150" s="53">
        <f t="shared" si="8"/>
        <v>0</v>
      </c>
      <c r="I150" s="59"/>
      <c r="M150" s="52"/>
      <c r="N150" s="43"/>
    </row>
    <row r="151" spans="1:14" ht="21.75" customHeight="1" x14ac:dyDescent="0.35">
      <c r="A151" s="55"/>
      <c r="B151" s="56"/>
      <c r="C151" s="57"/>
      <c r="D151" s="58"/>
      <c r="E151" s="60">
        <f t="shared" si="6"/>
        <v>0</v>
      </c>
      <c r="F151" s="30">
        <f t="shared" si="7"/>
        <v>0</v>
      </c>
      <c r="G151" s="54"/>
      <c r="H151" s="53">
        <f t="shared" si="8"/>
        <v>0</v>
      </c>
      <c r="I151" s="59"/>
      <c r="M151" s="52"/>
      <c r="N151" s="43"/>
    </row>
    <row r="152" spans="1:14" ht="21.75" customHeight="1" x14ac:dyDescent="0.35">
      <c r="A152" s="55"/>
      <c r="B152" s="56"/>
      <c r="C152" s="57"/>
      <c r="D152" s="58"/>
      <c r="E152" s="60">
        <f t="shared" si="6"/>
        <v>0</v>
      </c>
      <c r="F152" s="30">
        <f t="shared" si="7"/>
        <v>0</v>
      </c>
      <c r="G152" s="54"/>
      <c r="H152" s="53">
        <f t="shared" si="8"/>
        <v>0</v>
      </c>
      <c r="I152" s="59"/>
      <c r="M152" s="52"/>
      <c r="N152" s="43"/>
    </row>
    <row r="153" spans="1:14" ht="21.75" customHeight="1" x14ac:dyDescent="0.35">
      <c r="A153" s="55"/>
      <c r="B153" s="56"/>
      <c r="C153" s="57"/>
      <c r="D153" s="58"/>
      <c r="E153" s="60">
        <f t="shared" si="6"/>
        <v>0</v>
      </c>
      <c r="F153" s="30">
        <f t="shared" si="7"/>
        <v>0</v>
      </c>
      <c r="G153" s="54"/>
      <c r="H153" s="53">
        <f t="shared" si="8"/>
        <v>0</v>
      </c>
      <c r="I153" s="59"/>
      <c r="M153" s="52"/>
      <c r="N153" s="43"/>
    </row>
    <row r="154" spans="1:14" ht="21.75" customHeight="1" x14ac:dyDescent="0.35">
      <c r="A154" s="55"/>
      <c r="B154" s="56"/>
      <c r="C154" s="57"/>
      <c r="D154" s="58"/>
      <c r="E154" s="60">
        <f t="shared" si="6"/>
        <v>0</v>
      </c>
      <c r="F154" s="30">
        <f t="shared" si="7"/>
        <v>0</v>
      </c>
      <c r="G154" s="54"/>
      <c r="H154" s="53">
        <f t="shared" si="8"/>
        <v>0</v>
      </c>
      <c r="I154" s="59"/>
      <c r="M154" s="52"/>
      <c r="N154" s="43"/>
    </row>
    <row r="155" spans="1:14" ht="21.75" customHeight="1" x14ac:dyDescent="0.35">
      <c r="A155" s="55"/>
      <c r="B155" s="56"/>
      <c r="C155" s="57"/>
      <c r="D155" s="58"/>
      <c r="E155" s="60">
        <f t="shared" si="6"/>
        <v>0</v>
      </c>
      <c r="F155" s="30">
        <f t="shared" si="7"/>
        <v>0</v>
      </c>
      <c r="G155" s="54"/>
      <c r="H155" s="53">
        <f t="shared" si="8"/>
        <v>0</v>
      </c>
      <c r="I155" s="59"/>
      <c r="M155" s="52"/>
      <c r="N155" s="43"/>
    </row>
    <row r="156" spans="1:14" ht="21.75" customHeight="1" x14ac:dyDescent="0.35">
      <c r="A156" s="55"/>
      <c r="B156" s="56"/>
      <c r="C156" s="57"/>
      <c r="D156" s="58"/>
      <c r="E156" s="60">
        <f t="shared" si="6"/>
        <v>0</v>
      </c>
      <c r="F156" s="30">
        <f t="shared" si="7"/>
        <v>0</v>
      </c>
      <c r="G156" s="54"/>
      <c r="H156" s="53">
        <f t="shared" si="8"/>
        <v>0</v>
      </c>
      <c r="I156" s="59"/>
      <c r="M156" s="52"/>
      <c r="N156" s="43"/>
    </row>
    <row r="157" spans="1:14" ht="21.75" customHeight="1" x14ac:dyDescent="0.35">
      <c r="A157" s="55"/>
      <c r="B157" s="56"/>
      <c r="C157" s="57"/>
      <c r="D157" s="58"/>
      <c r="E157" s="60">
        <f t="shared" si="6"/>
        <v>0</v>
      </c>
      <c r="F157" s="30">
        <f t="shared" si="7"/>
        <v>0</v>
      </c>
      <c r="G157" s="54"/>
      <c r="H157" s="53">
        <f t="shared" si="8"/>
        <v>0</v>
      </c>
      <c r="I157" s="59"/>
      <c r="M157" s="52"/>
      <c r="N157" s="43"/>
    </row>
    <row r="158" spans="1:14" ht="21.75" customHeight="1" x14ac:dyDescent="0.35">
      <c r="A158" s="55"/>
      <c r="B158" s="56"/>
      <c r="C158" s="57"/>
      <c r="D158" s="58"/>
      <c r="E158" s="60">
        <f t="shared" si="6"/>
        <v>0</v>
      </c>
      <c r="F158" s="30">
        <f t="shared" si="7"/>
        <v>0</v>
      </c>
      <c r="G158" s="54"/>
      <c r="H158" s="53">
        <f t="shared" si="8"/>
        <v>0</v>
      </c>
      <c r="I158" s="59"/>
      <c r="M158" s="52"/>
      <c r="N158" s="43"/>
    </row>
    <row r="159" spans="1:14" ht="21.75" customHeight="1" x14ac:dyDescent="0.35">
      <c r="A159" s="55"/>
      <c r="B159" s="56"/>
      <c r="C159" s="57"/>
      <c r="D159" s="58"/>
      <c r="E159" s="60">
        <f t="shared" si="6"/>
        <v>0</v>
      </c>
      <c r="F159" s="30">
        <f t="shared" si="7"/>
        <v>0</v>
      </c>
      <c r="G159" s="54"/>
      <c r="H159" s="53">
        <f t="shared" si="8"/>
        <v>0</v>
      </c>
      <c r="I159" s="59"/>
      <c r="M159" s="52"/>
      <c r="N159" s="43"/>
    </row>
    <row r="160" spans="1:14" ht="21.75" customHeight="1" x14ac:dyDescent="0.35">
      <c r="A160" s="55"/>
      <c r="B160" s="56"/>
      <c r="C160" s="57"/>
      <c r="D160" s="58"/>
      <c r="E160" s="60">
        <f t="shared" si="6"/>
        <v>0</v>
      </c>
      <c r="F160" s="30">
        <f t="shared" si="7"/>
        <v>0</v>
      </c>
      <c r="G160" s="54"/>
      <c r="H160" s="53">
        <f t="shared" si="8"/>
        <v>0</v>
      </c>
      <c r="I160" s="59"/>
      <c r="M160" s="52"/>
      <c r="N160" s="43"/>
    </row>
    <row r="161" spans="1:14" ht="21.75" customHeight="1" x14ac:dyDescent="0.35">
      <c r="A161" s="55"/>
      <c r="B161" s="56"/>
      <c r="C161" s="57"/>
      <c r="D161" s="58"/>
      <c r="E161" s="60">
        <f t="shared" si="6"/>
        <v>0</v>
      </c>
      <c r="F161" s="30">
        <f t="shared" si="7"/>
        <v>0</v>
      </c>
      <c r="G161" s="54"/>
      <c r="H161" s="53">
        <f t="shared" si="8"/>
        <v>0</v>
      </c>
      <c r="I161" s="59"/>
      <c r="M161" s="52"/>
      <c r="N161" s="43"/>
    </row>
    <row r="162" spans="1:14" ht="21.75" customHeight="1" x14ac:dyDescent="0.35">
      <c r="A162" s="55"/>
      <c r="B162" s="56"/>
      <c r="C162" s="57"/>
      <c r="D162" s="58"/>
      <c r="E162" s="60">
        <f t="shared" si="6"/>
        <v>0</v>
      </c>
      <c r="F162" s="30">
        <f t="shared" si="7"/>
        <v>0</v>
      </c>
      <c r="G162" s="54"/>
      <c r="H162" s="53">
        <f t="shared" si="8"/>
        <v>0</v>
      </c>
      <c r="I162" s="59"/>
      <c r="M162" s="52"/>
      <c r="N162" s="43"/>
    </row>
    <row r="163" spans="1:14" ht="21.75" customHeight="1" x14ac:dyDescent="0.35">
      <c r="A163" s="55"/>
      <c r="B163" s="56"/>
      <c r="C163" s="57"/>
      <c r="D163" s="58"/>
      <c r="E163" s="60">
        <f t="shared" si="6"/>
        <v>0</v>
      </c>
      <c r="F163" s="30">
        <f t="shared" si="7"/>
        <v>0</v>
      </c>
      <c r="G163" s="54"/>
      <c r="H163" s="53">
        <f t="shared" si="8"/>
        <v>0</v>
      </c>
      <c r="I163" s="59"/>
      <c r="M163" s="52"/>
      <c r="N163" s="43"/>
    </row>
    <row r="164" spans="1:14" ht="21.75" customHeight="1" x14ac:dyDescent="0.35">
      <c r="A164" s="55"/>
      <c r="B164" s="56"/>
      <c r="C164" s="57"/>
      <c r="D164" s="58"/>
      <c r="E164" s="60">
        <f t="shared" si="6"/>
        <v>0</v>
      </c>
      <c r="F164" s="30">
        <f t="shared" si="7"/>
        <v>0</v>
      </c>
      <c r="G164" s="54"/>
      <c r="H164" s="53">
        <f t="shared" si="8"/>
        <v>0</v>
      </c>
      <c r="I164" s="59"/>
      <c r="M164" s="52"/>
      <c r="N164" s="43"/>
    </row>
    <row r="165" spans="1:14" ht="21.75" customHeight="1" x14ac:dyDescent="0.35">
      <c r="A165" s="55"/>
      <c r="B165" s="56"/>
      <c r="C165" s="57"/>
      <c r="D165" s="58"/>
      <c r="E165" s="60">
        <f t="shared" si="6"/>
        <v>0</v>
      </c>
      <c r="F165" s="30">
        <f t="shared" si="7"/>
        <v>0</v>
      </c>
      <c r="G165" s="54"/>
      <c r="H165" s="53">
        <f t="shared" si="8"/>
        <v>0</v>
      </c>
      <c r="I165" s="59"/>
      <c r="M165" s="52"/>
      <c r="N165" s="43"/>
    </row>
    <row r="166" spans="1:14" ht="21.75" customHeight="1" x14ac:dyDescent="0.35">
      <c r="A166" s="55"/>
      <c r="B166" s="56"/>
      <c r="C166" s="57"/>
      <c r="D166" s="58"/>
      <c r="E166" s="60">
        <f t="shared" si="6"/>
        <v>0</v>
      </c>
      <c r="F166" s="30">
        <f t="shared" si="7"/>
        <v>0</v>
      </c>
      <c r="G166" s="54"/>
      <c r="H166" s="53">
        <f t="shared" si="8"/>
        <v>0</v>
      </c>
      <c r="I166" s="59"/>
      <c r="M166" s="52"/>
      <c r="N166" s="43"/>
    </row>
    <row r="167" spans="1:14" ht="21.75" customHeight="1" x14ac:dyDescent="0.35">
      <c r="A167" s="55"/>
      <c r="B167" s="56"/>
      <c r="C167" s="57"/>
      <c r="D167" s="58"/>
      <c r="E167" s="60">
        <f t="shared" si="6"/>
        <v>0</v>
      </c>
      <c r="F167" s="30">
        <f t="shared" si="7"/>
        <v>0</v>
      </c>
      <c r="G167" s="54"/>
      <c r="H167" s="53">
        <f t="shared" si="8"/>
        <v>0</v>
      </c>
      <c r="I167" s="59"/>
      <c r="M167" s="52"/>
      <c r="N167" s="43"/>
    </row>
    <row r="168" spans="1:14" ht="21.75" customHeight="1" x14ac:dyDescent="0.35">
      <c r="A168" s="55"/>
      <c r="B168" s="56"/>
      <c r="C168" s="57"/>
      <c r="D168" s="58"/>
      <c r="E168" s="60">
        <f t="shared" si="6"/>
        <v>0</v>
      </c>
      <c r="F168" s="30">
        <f t="shared" si="7"/>
        <v>0</v>
      </c>
      <c r="G168" s="54"/>
      <c r="H168" s="53">
        <f t="shared" si="8"/>
        <v>0</v>
      </c>
      <c r="I168" s="59"/>
      <c r="M168" s="52"/>
      <c r="N168" s="43"/>
    </row>
    <row r="169" spans="1:14" ht="21.75" customHeight="1" x14ac:dyDescent="0.35">
      <c r="A169" s="55"/>
      <c r="B169" s="56"/>
      <c r="C169" s="57"/>
      <c r="D169" s="58"/>
      <c r="E169" s="60">
        <f t="shared" si="6"/>
        <v>0</v>
      </c>
      <c r="F169" s="30">
        <f t="shared" si="7"/>
        <v>0</v>
      </c>
      <c r="G169" s="54"/>
      <c r="H169" s="53">
        <f t="shared" si="8"/>
        <v>0</v>
      </c>
      <c r="I169" s="59"/>
      <c r="M169" s="52"/>
      <c r="N169" s="43"/>
    </row>
    <row r="170" spans="1:14" ht="21.75" customHeight="1" x14ac:dyDescent="0.35">
      <c r="A170" s="55"/>
      <c r="B170" s="56"/>
      <c r="C170" s="57"/>
      <c r="D170" s="58"/>
      <c r="E170" s="60">
        <f t="shared" si="6"/>
        <v>0</v>
      </c>
      <c r="F170" s="30">
        <f t="shared" si="7"/>
        <v>0</v>
      </c>
      <c r="G170" s="54"/>
      <c r="H170" s="53">
        <f t="shared" si="8"/>
        <v>0</v>
      </c>
      <c r="I170" s="59"/>
      <c r="M170" s="52"/>
      <c r="N170" s="43"/>
    </row>
    <row r="171" spans="1:14" ht="21.75" customHeight="1" x14ac:dyDescent="0.35">
      <c r="A171" s="55"/>
      <c r="B171" s="56"/>
      <c r="C171" s="57"/>
      <c r="D171" s="58"/>
      <c r="E171" s="60">
        <f t="shared" si="6"/>
        <v>0</v>
      </c>
      <c r="F171" s="30">
        <f t="shared" si="7"/>
        <v>0</v>
      </c>
      <c r="G171" s="54"/>
      <c r="H171" s="53">
        <f t="shared" si="8"/>
        <v>0</v>
      </c>
      <c r="I171" s="59"/>
      <c r="M171" s="52"/>
      <c r="N171" s="43"/>
    </row>
    <row r="172" spans="1:14" ht="21.75" customHeight="1" x14ac:dyDescent="0.35">
      <c r="A172" s="55"/>
      <c r="B172" s="56"/>
      <c r="C172" s="57"/>
      <c r="D172" s="58"/>
      <c r="E172" s="60">
        <f t="shared" si="6"/>
        <v>0</v>
      </c>
      <c r="F172" s="30">
        <f t="shared" si="7"/>
        <v>0</v>
      </c>
      <c r="G172" s="54"/>
      <c r="H172" s="53">
        <f t="shared" si="8"/>
        <v>0</v>
      </c>
      <c r="I172" s="59"/>
      <c r="M172" s="52"/>
      <c r="N172" s="43"/>
    </row>
    <row r="173" spans="1:14" ht="21.75" customHeight="1" x14ac:dyDescent="0.35">
      <c r="A173" s="55"/>
      <c r="B173" s="56"/>
      <c r="C173" s="57"/>
      <c r="D173" s="58"/>
      <c r="E173" s="60">
        <f t="shared" si="6"/>
        <v>0</v>
      </c>
      <c r="F173" s="30">
        <f t="shared" si="7"/>
        <v>0</v>
      </c>
      <c r="G173" s="54"/>
      <c r="H173" s="53">
        <f t="shared" si="8"/>
        <v>0</v>
      </c>
      <c r="I173" s="59"/>
      <c r="M173" s="52"/>
      <c r="N173" s="43"/>
    </row>
    <row r="174" spans="1:14" ht="21.75" customHeight="1" x14ac:dyDescent="0.35">
      <c r="A174" s="55"/>
      <c r="B174" s="56"/>
      <c r="C174" s="57"/>
      <c r="D174" s="58"/>
      <c r="E174" s="60">
        <f t="shared" si="6"/>
        <v>0</v>
      </c>
      <c r="F174" s="30">
        <f t="shared" si="7"/>
        <v>0</v>
      </c>
      <c r="G174" s="54"/>
      <c r="H174" s="53">
        <f t="shared" si="8"/>
        <v>0</v>
      </c>
      <c r="I174" s="59"/>
      <c r="M174" s="52"/>
      <c r="N174" s="43"/>
    </row>
    <row r="175" spans="1:14" ht="21.75" customHeight="1" x14ac:dyDescent="0.35">
      <c r="A175" s="55"/>
      <c r="B175" s="56"/>
      <c r="C175" s="57"/>
      <c r="D175" s="58"/>
      <c r="E175" s="60">
        <f t="shared" si="6"/>
        <v>0</v>
      </c>
      <c r="F175" s="30">
        <f t="shared" si="7"/>
        <v>0</v>
      </c>
      <c r="G175" s="54"/>
      <c r="H175" s="53">
        <f t="shared" si="8"/>
        <v>0</v>
      </c>
      <c r="I175" s="59"/>
      <c r="M175" s="52"/>
      <c r="N175" s="43"/>
    </row>
    <row r="176" spans="1:14" ht="21.75" customHeight="1" x14ac:dyDescent="0.35">
      <c r="A176" s="55"/>
      <c r="B176" s="56"/>
      <c r="C176" s="57"/>
      <c r="D176" s="58"/>
      <c r="E176" s="60">
        <f t="shared" si="6"/>
        <v>0</v>
      </c>
      <c r="F176" s="30">
        <f t="shared" si="7"/>
        <v>0</v>
      </c>
      <c r="G176" s="54"/>
      <c r="H176" s="53">
        <f t="shared" si="8"/>
        <v>0</v>
      </c>
      <c r="I176" s="59"/>
      <c r="M176" s="52"/>
      <c r="N176" s="43"/>
    </row>
    <row r="177" spans="1:14" ht="21.75" customHeight="1" x14ac:dyDescent="0.35">
      <c r="A177" s="55"/>
      <c r="B177" s="56"/>
      <c r="C177" s="57"/>
      <c r="D177" s="58"/>
      <c r="E177" s="60">
        <f t="shared" si="6"/>
        <v>0</v>
      </c>
      <c r="F177" s="30">
        <f t="shared" si="7"/>
        <v>0</v>
      </c>
      <c r="G177" s="54"/>
      <c r="H177" s="53">
        <f t="shared" si="8"/>
        <v>0</v>
      </c>
      <c r="I177" s="59"/>
      <c r="M177" s="52"/>
      <c r="N177" s="43"/>
    </row>
    <row r="178" spans="1:14" ht="21.75" customHeight="1" x14ac:dyDescent="0.35">
      <c r="A178" s="55"/>
      <c r="B178" s="56"/>
      <c r="C178" s="57"/>
      <c r="D178" s="58"/>
      <c r="E178" s="60">
        <f t="shared" si="6"/>
        <v>0</v>
      </c>
      <c r="F178" s="30">
        <f t="shared" si="7"/>
        <v>0</v>
      </c>
      <c r="G178" s="54"/>
      <c r="H178" s="53">
        <f t="shared" si="8"/>
        <v>0</v>
      </c>
      <c r="I178" s="59"/>
      <c r="M178" s="52"/>
      <c r="N178" s="43"/>
    </row>
    <row r="179" spans="1:14" ht="21.75" customHeight="1" x14ac:dyDescent="0.35">
      <c r="A179" s="55"/>
      <c r="B179" s="56"/>
      <c r="C179" s="57"/>
      <c r="D179" s="58"/>
      <c r="E179" s="60">
        <f t="shared" si="6"/>
        <v>0</v>
      </c>
      <c r="F179" s="30">
        <f t="shared" si="7"/>
        <v>0</v>
      </c>
      <c r="G179" s="54"/>
      <c r="H179" s="53">
        <f t="shared" si="8"/>
        <v>0</v>
      </c>
      <c r="I179" s="59"/>
      <c r="M179" s="52"/>
      <c r="N179" s="43"/>
    </row>
    <row r="180" spans="1:14" ht="21.75" customHeight="1" x14ac:dyDescent="0.35">
      <c r="A180" s="55"/>
      <c r="B180" s="56"/>
      <c r="C180" s="57"/>
      <c r="D180" s="58"/>
      <c r="E180" s="60">
        <f t="shared" si="6"/>
        <v>0</v>
      </c>
      <c r="F180" s="30">
        <f t="shared" si="7"/>
        <v>0</v>
      </c>
      <c r="G180" s="54"/>
      <c r="H180" s="53">
        <f t="shared" si="8"/>
        <v>0</v>
      </c>
      <c r="I180" s="59"/>
      <c r="M180" s="52"/>
      <c r="N180" s="43"/>
    </row>
    <row r="181" spans="1:14" ht="21.75" customHeight="1" x14ac:dyDescent="0.35">
      <c r="A181" s="55"/>
      <c r="B181" s="56"/>
      <c r="C181" s="57"/>
      <c r="D181" s="58"/>
      <c r="E181" s="60">
        <f t="shared" si="6"/>
        <v>0</v>
      </c>
      <c r="F181" s="30">
        <f t="shared" si="7"/>
        <v>0</v>
      </c>
      <c r="G181" s="54"/>
      <c r="H181" s="53">
        <f t="shared" si="8"/>
        <v>0</v>
      </c>
      <c r="I181" s="59"/>
      <c r="M181" s="52"/>
      <c r="N181" s="43"/>
    </row>
    <row r="182" spans="1:14" ht="21.75" customHeight="1" x14ac:dyDescent="0.35">
      <c r="A182" s="55"/>
      <c r="B182" s="56"/>
      <c r="C182" s="57"/>
      <c r="D182" s="58"/>
      <c r="E182" s="60">
        <f t="shared" si="6"/>
        <v>0</v>
      </c>
      <c r="F182" s="30">
        <f t="shared" si="7"/>
        <v>0</v>
      </c>
      <c r="G182" s="54"/>
      <c r="H182" s="53">
        <f t="shared" si="8"/>
        <v>0</v>
      </c>
      <c r="I182" s="59"/>
      <c r="M182" s="52"/>
      <c r="N182" s="43"/>
    </row>
    <row r="183" spans="1:14" ht="21.75" customHeight="1" x14ac:dyDescent="0.35">
      <c r="A183" s="55"/>
      <c r="B183" s="56"/>
      <c r="C183" s="57"/>
      <c r="D183" s="58"/>
      <c r="E183" s="60">
        <f t="shared" si="6"/>
        <v>0</v>
      </c>
      <c r="F183" s="30">
        <f t="shared" si="7"/>
        <v>0</v>
      </c>
      <c r="G183" s="54"/>
      <c r="H183" s="53">
        <f t="shared" si="8"/>
        <v>0</v>
      </c>
      <c r="I183" s="59"/>
      <c r="M183" s="52"/>
      <c r="N183" s="43"/>
    </row>
    <row r="184" spans="1:14" ht="21.75" customHeight="1" x14ac:dyDescent="0.35">
      <c r="A184" s="55"/>
      <c r="B184" s="56"/>
      <c r="C184" s="57"/>
      <c r="D184" s="58"/>
      <c r="E184" s="60">
        <f t="shared" si="6"/>
        <v>0</v>
      </c>
      <c r="F184" s="30">
        <f t="shared" si="7"/>
        <v>0</v>
      </c>
      <c r="G184" s="54"/>
      <c r="H184" s="53">
        <f t="shared" si="8"/>
        <v>0</v>
      </c>
      <c r="I184" s="59"/>
      <c r="M184" s="52"/>
      <c r="N184" s="43"/>
    </row>
    <row r="185" spans="1:14" ht="21.75" customHeight="1" x14ac:dyDescent="0.35">
      <c r="A185" s="55"/>
      <c r="B185" s="56"/>
      <c r="C185" s="57"/>
      <c r="D185" s="58"/>
      <c r="E185" s="60">
        <f t="shared" si="6"/>
        <v>0</v>
      </c>
      <c r="F185" s="30">
        <f t="shared" si="7"/>
        <v>0</v>
      </c>
      <c r="G185" s="54"/>
      <c r="H185" s="53">
        <f t="shared" si="8"/>
        <v>0</v>
      </c>
      <c r="I185" s="59"/>
      <c r="M185" s="52"/>
      <c r="N185" s="43"/>
    </row>
    <row r="186" spans="1:14" ht="21.75" customHeight="1" x14ac:dyDescent="0.35">
      <c r="A186" s="55"/>
      <c r="B186" s="56"/>
      <c r="C186" s="57"/>
      <c r="D186" s="58"/>
      <c r="E186" s="60">
        <f t="shared" si="6"/>
        <v>0</v>
      </c>
      <c r="F186" s="30">
        <f t="shared" si="7"/>
        <v>0</v>
      </c>
      <c r="G186" s="54"/>
      <c r="H186" s="53">
        <f t="shared" si="8"/>
        <v>0</v>
      </c>
      <c r="I186" s="59"/>
      <c r="M186" s="52"/>
      <c r="N186" s="43"/>
    </row>
    <row r="187" spans="1:14" ht="21.75" customHeight="1" x14ac:dyDescent="0.35">
      <c r="A187" s="55"/>
      <c r="B187" s="56"/>
      <c r="C187" s="57"/>
      <c r="D187" s="58"/>
      <c r="E187" s="60">
        <f t="shared" si="6"/>
        <v>0</v>
      </c>
      <c r="F187" s="30">
        <f t="shared" si="7"/>
        <v>0</v>
      </c>
      <c r="G187" s="54"/>
      <c r="H187" s="53">
        <f t="shared" si="8"/>
        <v>0</v>
      </c>
      <c r="I187" s="59"/>
      <c r="M187" s="52"/>
      <c r="N187" s="43"/>
    </row>
    <row r="188" spans="1:14" ht="21.75" customHeight="1" x14ac:dyDescent="0.35">
      <c r="A188" s="55"/>
      <c r="B188" s="56"/>
      <c r="C188" s="57"/>
      <c r="D188" s="58"/>
      <c r="E188" s="60">
        <f t="shared" si="6"/>
        <v>0</v>
      </c>
      <c r="F188" s="30">
        <f t="shared" si="7"/>
        <v>0</v>
      </c>
      <c r="G188" s="54"/>
      <c r="H188" s="53">
        <f t="shared" si="8"/>
        <v>0</v>
      </c>
      <c r="I188" s="59"/>
      <c r="M188" s="52"/>
      <c r="N188" s="43"/>
    </row>
    <row r="189" spans="1:14" ht="21.75" customHeight="1" x14ac:dyDescent="0.35">
      <c r="A189" s="55"/>
      <c r="B189" s="56"/>
      <c r="C189" s="57"/>
      <c r="D189" s="58"/>
      <c r="E189" s="60">
        <f t="shared" si="6"/>
        <v>0</v>
      </c>
      <c r="F189" s="30">
        <f t="shared" si="7"/>
        <v>0</v>
      </c>
      <c r="G189" s="54"/>
      <c r="H189" s="53">
        <f t="shared" si="8"/>
        <v>0</v>
      </c>
      <c r="I189" s="59"/>
      <c r="M189" s="52"/>
      <c r="N189" s="43"/>
    </row>
    <row r="190" spans="1:14" ht="21.75" customHeight="1" x14ac:dyDescent="0.35">
      <c r="A190" s="55"/>
      <c r="B190" s="56"/>
      <c r="C190" s="57"/>
      <c r="D190" s="58"/>
      <c r="E190" s="60">
        <f t="shared" si="6"/>
        <v>0</v>
      </c>
      <c r="F190" s="30">
        <f t="shared" si="7"/>
        <v>0</v>
      </c>
      <c r="G190" s="54"/>
      <c r="H190" s="53">
        <f t="shared" si="8"/>
        <v>0</v>
      </c>
      <c r="I190" s="59"/>
      <c r="M190" s="52"/>
      <c r="N190" s="43"/>
    </row>
    <row r="191" spans="1:14" ht="21.75" customHeight="1" x14ac:dyDescent="0.35">
      <c r="A191" s="55"/>
      <c r="B191" s="56"/>
      <c r="C191" s="57"/>
      <c r="D191" s="58"/>
      <c r="E191" s="60">
        <f t="shared" si="6"/>
        <v>0</v>
      </c>
      <c r="F191" s="30">
        <f t="shared" si="7"/>
        <v>0</v>
      </c>
      <c r="G191" s="54"/>
      <c r="H191" s="53">
        <f t="shared" si="8"/>
        <v>0</v>
      </c>
      <c r="I191" s="59"/>
      <c r="M191" s="52"/>
      <c r="N191" s="43"/>
    </row>
    <row r="192" spans="1:14" ht="21.75" customHeight="1" x14ac:dyDescent="0.35">
      <c r="A192" s="55"/>
      <c r="B192" s="56"/>
      <c r="C192" s="57"/>
      <c r="D192" s="58"/>
      <c r="E192" s="60">
        <f t="shared" si="6"/>
        <v>0</v>
      </c>
      <c r="F192" s="30">
        <f t="shared" si="7"/>
        <v>0</v>
      </c>
      <c r="G192" s="54"/>
      <c r="H192" s="53">
        <f t="shared" si="8"/>
        <v>0</v>
      </c>
      <c r="I192" s="59"/>
      <c r="M192" s="52"/>
      <c r="N192" s="43"/>
    </row>
    <row r="193" spans="1:14" ht="21.75" customHeight="1" x14ac:dyDescent="0.35">
      <c r="A193" s="55"/>
      <c r="B193" s="56"/>
      <c r="C193" s="57"/>
      <c r="D193" s="58"/>
      <c r="E193" s="60">
        <f t="shared" si="6"/>
        <v>0</v>
      </c>
      <c r="F193" s="30">
        <f t="shared" si="7"/>
        <v>0</v>
      </c>
      <c r="G193" s="54"/>
      <c r="H193" s="53">
        <f t="shared" si="8"/>
        <v>0</v>
      </c>
      <c r="I193" s="59"/>
      <c r="M193" s="52"/>
      <c r="N193" s="43"/>
    </row>
    <row r="194" spans="1:14" ht="21.75" customHeight="1" x14ac:dyDescent="0.35">
      <c r="A194" s="55"/>
      <c r="B194" s="56"/>
      <c r="C194" s="57"/>
      <c r="D194" s="58"/>
      <c r="E194" s="60">
        <f t="shared" si="6"/>
        <v>0</v>
      </c>
      <c r="F194" s="30">
        <f t="shared" si="7"/>
        <v>0</v>
      </c>
      <c r="G194" s="54"/>
      <c r="H194" s="53">
        <f t="shared" si="8"/>
        <v>0</v>
      </c>
      <c r="I194" s="59"/>
      <c r="M194" s="52"/>
      <c r="N194" s="43"/>
    </row>
    <row r="195" spans="1:14" ht="21.75" customHeight="1" x14ac:dyDescent="0.35">
      <c r="A195" s="55"/>
      <c r="B195" s="56"/>
      <c r="C195" s="57"/>
      <c r="D195" s="58"/>
      <c r="E195" s="60">
        <f t="shared" si="6"/>
        <v>0</v>
      </c>
      <c r="F195" s="30">
        <f t="shared" si="7"/>
        <v>0</v>
      </c>
      <c r="G195" s="54"/>
      <c r="H195" s="53">
        <f t="shared" si="8"/>
        <v>0</v>
      </c>
      <c r="I195" s="59"/>
      <c r="M195" s="52"/>
      <c r="N195" s="43"/>
    </row>
    <row r="196" spans="1:14" ht="21.75" customHeight="1" x14ac:dyDescent="0.35">
      <c r="A196" s="55"/>
      <c r="B196" s="56"/>
      <c r="C196" s="57"/>
      <c r="D196" s="58"/>
      <c r="E196" s="60">
        <f t="shared" si="6"/>
        <v>0</v>
      </c>
      <c r="F196" s="30">
        <f t="shared" si="7"/>
        <v>0</v>
      </c>
      <c r="G196" s="54"/>
      <c r="H196" s="53">
        <f t="shared" si="8"/>
        <v>0</v>
      </c>
      <c r="I196" s="59"/>
      <c r="M196" s="52"/>
      <c r="N196" s="43"/>
    </row>
    <row r="197" spans="1:14" ht="21.75" customHeight="1" x14ac:dyDescent="0.35">
      <c r="A197" s="55"/>
      <c r="B197" s="56"/>
      <c r="C197" s="57"/>
      <c r="D197" s="58"/>
      <c r="E197" s="60">
        <f t="shared" si="6"/>
        <v>0</v>
      </c>
      <c r="F197" s="30">
        <f t="shared" si="7"/>
        <v>0</v>
      </c>
      <c r="G197" s="54"/>
      <c r="H197" s="53">
        <f t="shared" si="8"/>
        <v>0</v>
      </c>
      <c r="I197" s="59"/>
      <c r="M197" s="52"/>
      <c r="N197" s="43"/>
    </row>
    <row r="198" spans="1:14" ht="21.75" customHeight="1" x14ac:dyDescent="0.35">
      <c r="A198" s="55"/>
      <c r="B198" s="56"/>
      <c r="C198" s="57"/>
      <c r="D198" s="58"/>
      <c r="E198" s="60">
        <f t="shared" si="6"/>
        <v>0</v>
      </c>
      <c r="F198" s="30">
        <f t="shared" si="7"/>
        <v>0</v>
      </c>
      <c r="G198" s="54"/>
      <c r="H198" s="53">
        <f t="shared" si="8"/>
        <v>0</v>
      </c>
      <c r="I198" s="59"/>
      <c r="M198" s="52"/>
      <c r="N198" s="43"/>
    </row>
    <row r="199" spans="1:14" ht="21.75" customHeight="1" x14ac:dyDescent="0.35">
      <c r="A199" s="55"/>
      <c r="B199" s="56"/>
      <c r="C199" s="57"/>
      <c r="D199" s="58"/>
      <c r="E199" s="60">
        <f t="shared" ref="E199:E217" si="9">+D199*0.08</f>
        <v>0</v>
      </c>
      <c r="F199" s="30">
        <f t="shared" ref="F199:F262" si="10">+E199+D199</f>
        <v>0</v>
      </c>
      <c r="G199" s="54"/>
      <c r="H199" s="53">
        <f t="shared" ref="H199:H262" si="11">+F199-G199</f>
        <v>0</v>
      </c>
      <c r="I199" s="59"/>
      <c r="M199" s="52"/>
      <c r="N199" s="43"/>
    </row>
    <row r="200" spans="1:14" ht="21.75" customHeight="1" x14ac:dyDescent="0.35">
      <c r="A200" s="55"/>
      <c r="B200" s="56"/>
      <c r="C200" s="57"/>
      <c r="D200" s="58"/>
      <c r="E200" s="60">
        <f t="shared" si="9"/>
        <v>0</v>
      </c>
      <c r="F200" s="30">
        <f t="shared" si="10"/>
        <v>0</v>
      </c>
      <c r="G200" s="54"/>
      <c r="H200" s="53">
        <f t="shared" si="11"/>
        <v>0</v>
      </c>
      <c r="I200" s="59"/>
      <c r="M200" s="52"/>
      <c r="N200" s="43"/>
    </row>
    <row r="201" spans="1:14" ht="21.75" customHeight="1" x14ac:dyDescent="0.35">
      <c r="A201" s="55"/>
      <c r="B201" s="56"/>
      <c r="C201" s="57"/>
      <c r="D201" s="58"/>
      <c r="E201" s="60">
        <f t="shared" si="9"/>
        <v>0</v>
      </c>
      <c r="F201" s="30">
        <f t="shared" si="10"/>
        <v>0</v>
      </c>
      <c r="G201" s="54"/>
      <c r="H201" s="53">
        <f t="shared" si="11"/>
        <v>0</v>
      </c>
      <c r="I201" s="59"/>
      <c r="M201" s="52"/>
      <c r="N201" s="43"/>
    </row>
    <row r="202" spans="1:14" ht="21.75" customHeight="1" x14ac:dyDescent="0.35">
      <c r="A202" s="55"/>
      <c r="B202" s="56"/>
      <c r="C202" s="57"/>
      <c r="D202" s="58"/>
      <c r="E202" s="60">
        <f t="shared" si="9"/>
        <v>0</v>
      </c>
      <c r="F202" s="30">
        <f t="shared" si="10"/>
        <v>0</v>
      </c>
      <c r="G202" s="54"/>
      <c r="H202" s="53">
        <f t="shared" si="11"/>
        <v>0</v>
      </c>
      <c r="I202" s="59"/>
      <c r="M202" s="52"/>
      <c r="N202" s="43"/>
    </row>
    <row r="203" spans="1:14" ht="21.75" customHeight="1" x14ac:dyDescent="0.35">
      <c r="A203" s="55"/>
      <c r="B203" s="56"/>
      <c r="C203" s="57"/>
      <c r="D203" s="58"/>
      <c r="E203" s="60">
        <f t="shared" si="9"/>
        <v>0</v>
      </c>
      <c r="F203" s="30">
        <f t="shared" si="10"/>
        <v>0</v>
      </c>
      <c r="G203" s="54"/>
      <c r="H203" s="53">
        <f t="shared" si="11"/>
        <v>0</v>
      </c>
      <c r="I203" s="59"/>
      <c r="M203" s="52"/>
      <c r="N203" s="43"/>
    </row>
    <row r="204" spans="1:14" ht="21.75" customHeight="1" x14ac:dyDescent="0.35">
      <c r="A204" s="55"/>
      <c r="B204" s="56"/>
      <c r="C204" s="57"/>
      <c r="D204" s="58"/>
      <c r="E204" s="60">
        <f t="shared" si="9"/>
        <v>0</v>
      </c>
      <c r="F204" s="30">
        <f t="shared" si="10"/>
        <v>0</v>
      </c>
      <c r="G204" s="54"/>
      <c r="H204" s="53">
        <f t="shared" si="11"/>
        <v>0</v>
      </c>
      <c r="I204" s="59"/>
      <c r="M204" s="52"/>
      <c r="N204" s="43"/>
    </row>
    <row r="205" spans="1:14" ht="21.75" customHeight="1" x14ac:dyDescent="0.35">
      <c r="A205" s="55"/>
      <c r="B205" s="56"/>
      <c r="C205" s="57"/>
      <c r="D205" s="58"/>
      <c r="E205" s="60">
        <f t="shared" si="9"/>
        <v>0</v>
      </c>
      <c r="F205" s="30">
        <f t="shared" si="10"/>
        <v>0</v>
      </c>
      <c r="G205" s="54"/>
      <c r="H205" s="53">
        <f t="shared" si="11"/>
        <v>0</v>
      </c>
      <c r="I205" s="59"/>
      <c r="M205" s="52"/>
      <c r="N205" s="43"/>
    </row>
    <row r="206" spans="1:14" ht="21.75" customHeight="1" x14ac:dyDescent="0.35">
      <c r="A206" s="55"/>
      <c r="B206" s="56"/>
      <c r="C206" s="57"/>
      <c r="D206" s="58"/>
      <c r="E206" s="60">
        <f t="shared" si="9"/>
        <v>0</v>
      </c>
      <c r="F206" s="30">
        <f t="shared" si="10"/>
        <v>0</v>
      </c>
      <c r="G206" s="54"/>
      <c r="H206" s="53">
        <f t="shared" si="11"/>
        <v>0</v>
      </c>
      <c r="I206" s="59"/>
      <c r="M206" s="52"/>
      <c r="N206" s="43"/>
    </row>
    <row r="207" spans="1:14" ht="21.75" customHeight="1" x14ac:dyDescent="0.35">
      <c r="A207" s="55"/>
      <c r="B207" s="56"/>
      <c r="C207" s="57"/>
      <c r="D207" s="58"/>
      <c r="E207" s="60">
        <f t="shared" si="9"/>
        <v>0</v>
      </c>
      <c r="F207" s="30">
        <f t="shared" si="10"/>
        <v>0</v>
      </c>
      <c r="G207" s="54"/>
      <c r="H207" s="53">
        <f t="shared" si="11"/>
        <v>0</v>
      </c>
      <c r="I207" s="59"/>
      <c r="M207" s="52"/>
      <c r="N207" s="43"/>
    </row>
    <row r="208" spans="1:14" ht="21.75" customHeight="1" x14ac:dyDescent="0.35">
      <c r="A208" s="55"/>
      <c r="B208" s="56"/>
      <c r="C208" s="57"/>
      <c r="D208" s="58"/>
      <c r="E208" s="60">
        <f t="shared" si="9"/>
        <v>0</v>
      </c>
      <c r="F208" s="30">
        <f t="shared" si="10"/>
        <v>0</v>
      </c>
      <c r="G208" s="54"/>
      <c r="H208" s="53">
        <f t="shared" si="11"/>
        <v>0</v>
      </c>
      <c r="I208" s="59"/>
      <c r="M208" s="52"/>
      <c r="N208" s="43"/>
    </row>
    <row r="209" spans="1:14" ht="21.75" customHeight="1" x14ac:dyDescent="0.35">
      <c r="A209" s="55"/>
      <c r="B209" s="56"/>
      <c r="C209" s="57"/>
      <c r="D209" s="58"/>
      <c r="E209" s="60">
        <f t="shared" si="9"/>
        <v>0</v>
      </c>
      <c r="F209" s="30">
        <f t="shared" si="10"/>
        <v>0</v>
      </c>
      <c r="G209" s="54"/>
      <c r="H209" s="53">
        <f t="shared" si="11"/>
        <v>0</v>
      </c>
      <c r="I209" s="59"/>
      <c r="M209" s="52"/>
      <c r="N209" s="43"/>
    </row>
    <row r="210" spans="1:14" ht="21.75" customHeight="1" x14ac:dyDescent="0.35">
      <c r="A210" s="55"/>
      <c r="B210" s="56"/>
      <c r="C210" s="57"/>
      <c r="D210" s="58"/>
      <c r="E210" s="60">
        <f t="shared" si="9"/>
        <v>0</v>
      </c>
      <c r="F210" s="30">
        <f t="shared" si="10"/>
        <v>0</v>
      </c>
      <c r="G210" s="54"/>
      <c r="H210" s="53">
        <f t="shared" si="11"/>
        <v>0</v>
      </c>
      <c r="I210" s="59"/>
      <c r="M210" s="52"/>
      <c r="N210" s="43"/>
    </row>
    <row r="211" spans="1:14" ht="21.75" customHeight="1" x14ac:dyDescent="0.35">
      <c r="A211" s="55"/>
      <c r="B211" s="56"/>
      <c r="C211" s="57"/>
      <c r="D211" s="58"/>
      <c r="E211" s="60">
        <f t="shared" si="9"/>
        <v>0</v>
      </c>
      <c r="F211" s="30">
        <f t="shared" si="10"/>
        <v>0</v>
      </c>
      <c r="G211" s="54"/>
      <c r="H211" s="53">
        <f t="shared" si="11"/>
        <v>0</v>
      </c>
      <c r="I211" s="59"/>
      <c r="M211" s="52"/>
      <c r="N211" s="43"/>
    </row>
    <row r="212" spans="1:14" ht="21.75" customHeight="1" x14ac:dyDescent="0.35">
      <c r="A212" s="55"/>
      <c r="B212" s="56"/>
      <c r="C212" s="57"/>
      <c r="D212" s="58"/>
      <c r="E212" s="60">
        <f t="shared" si="9"/>
        <v>0</v>
      </c>
      <c r="F212" s="30">
        <f t="shared" si="10"/>
        <v>0</v>
      </c>
      <c r="G212" s="54"/>
      <c r="H212" s="53">
        <f t="shared" si="11"/>
        <v>0</v>
      </c>
      <c r="I212" s="59"/>
      <c r="M212" s="52"/>
      <c r="N212" s="43"/>
    </row>
    <row r="213" spans="1:14" ht="21.75" customHeight="1" x14ac:dyDescent="0.35">
      <c r="A213" s="55"/>
      <c r="B213" s="56"/>
      <c r="C213" s="57"/>
      <c r="D213" s="58"/>
      <c r="E213" s="60">
        <f t="shared" si="9"/>
        <v>0</v>
      </c>
      <c r="F213" s="30">
        <f t="shared" si="10"/>
        <v>0</v>
      </c>
      <c r="G213" s="54"/>
      <c r="H213" s="53">
        <f t="shared" si="11"/>
        <v>0</v>
      </c>
      <c r="I213" s="59"/>
      <c r="M213" s="52"/>
      <c r="N213" s="43"/>
    </row>
    <row r="214" spans="1:14" ht="21.75" customHeight="1" x14ac:dyDescent="0.35">
      <c r="A214" s="55"/>
      <c r="B214" s="56"/>
      <c r="C214" s="57"/>
      <c r="D214" s="58"/>
      <c r="E214" s="60">
        <f t="shared" si="9"/>
        <v>0</v>
      </c>
      <c r="F214" s="30">
        <f t="shared" si="10"/>
        <v>0</v>
      </c>
      <c r="G214" s="54"/>
      <c r="H214" s="53">
        <f t="shared" si="11"/>
        <v>0</v>
      </c>
      <c r="I214" s="59"/>
      <c r="M214" s="52"/>
      <c r="N214" s="43"/>
    </row>
    <row r="215" spans="1:14" ht="21.75" customHeight="1" x14ac:dyDescent="0.35">
      <c r="A215" s="55"/>
      <c r="B215" s="56"/>
      <c r="C215" s="57"/>
      <c r="D215" s="58"/>
      <c r="E215" s="60">
        <f t="shared" si="9"/>
        <v>0</v>
      </c>
      <c r="F215" s="30">
        <f t="shared" si="10"/>
        <v>0</v>
      </c>
      <c r="G215" s="54"/>
      <c r="H215" s="53">
        <f t="shared" si="11"/>
        <v>0</v>
      </c>
      <c r="I215" s="59"/>
      <c r="M215" s="52"/>
      <c r="N215" s="43"/>
    </row>
    <row r="216" spans="1:14" ht="21.75" customHeight="1" x14ac:dyDescent="0.35">
      <c r="A216" s="55"/>
      <c r="B216" s="56"/>
      <c r="C216" s="57"/>
      <c r="D216" s="58"/>
      <c r="E216" s="60">
        <f t="shared" si="9"/>
        <v>0</v>
      </c>
      <c r="F216" s="30">
        <f t="shared" si="10"/>
        <v>0</v>
      </c>
      <c r="G216" s="54"/>
      <c r="H216" s="53">
        <f t="shared" si="11"/>
        <v>0</v>
      </c>
      <c r="I216" s="59"/>
      <c r="M216" s="52"/>
      <c r="N216" s="43"/>
    </row>
    <row r="217" spans="1:14" ht="21.75" customHeight="1" x14ac:dyDescent="0.35">
      <c r="A217" s="55"/>
      <c r="B217" s="56"/>
      <c r="C217" s="57"/>
      <c r="D217" s="58"/>
      <c r="E217" s="60">
        <f t="shared" si="9"/>
        <v>0</v>
      </c>
      <c r="F217" s="30">
        <f t="shared" si="10"/>
        <v>0</v>
      </c>
      <c r="G217" s="54"/>
      <c r="H217" s="53">
        <f t="shared" si="11"/>
        <v>0</v>
      </c>
      <c r="I217" s="59"/>
      <c r="M217" s="52"/>
      <c r="N217" s="43"/>
    </row>
    <row r="218" spans="1:14" ht="21.75" customHeight="1" x14ac:dyDescent="0.35">
      <c r="A218" s="55"/>
      <c r="B218" s="56"/>
      <c r="C218" s="57"/>
      <c r="D218" s="58"/>
      <c r="E218" s="60"/>
      <c r="F218" s="30">
        <f t="shared" si="10"/>
        <v>0</v>
      </c>
      <c r="G218" s="54"/>
      <c r="H218" s="53">
        <f t="shared" si="11"/>
        <v>0</v>
      </c>
      <c r="I218" s="59"/>
      <c r="M218" s="52"/>
      <c r="N218" s="43"/>
    </row>
    <row r="219" spans="1:14" ht="21.75" customHeight="1" x14ac:dyDescent="0.35">
      <c r="A219" s="55"/>
      <c r="B219" s="56"/>
      <c r="C219" s="57"/>
      <c r="D219" s="58"/>
      <c r="E219" s="60"/>
      <c r="F219" s="30">
        <f t="shared" si="10"/>
        <v>0</v>
      </c>
      <c r="G219" s="54"/>
      <c r="H219" s="53">
        <f t="shared" si="11"/>
        <v>0</v>
      </c>
      <c r="I219" s="59"/>
      <c r="M219" s="52"/>
      <c r="N219" s="43"/>
    </row>
    <row r="220" spans="1:14" ht="21.75" customHeight="1" x14ac:dyDescent="0.35">
      <c r="A220" s="55"/>
      <c r="B220" s="56"/>
      <c r="C220" s="57"/>
      <c r="D220" s="58"/>
      <c r="E220" s="60"/>
      <c r="F220" s="30">
        <f t="shared" si="10"/>
        <v>0</v>
      </c>
      <c r="G220" s="54"/>
      <c r="H220" s="53">
        <f t="shared" si="11"/>
        <v>0</v>
      </c>
      <c r="I220" s="59"/>
      <c r="M220" s="52"/>
      <c r="N220" s="43"/>
    </row>
    <row r="221" spans="1:14" ht="21.75" customHeight="1" x14ac:dyDescent="0.35">
      <c r="A221" s="55"/>
      <c r="B221" s="56"/>
      <c r="C221" s="57"/>
      <c r="D221" s="58"/>
      <c r="E221" s="60"/>
      <c r="F221" s="30">
        <f t="shared" si="10"/>
        <v>0</v>
      </c>
      <c r="G221" s="54"/>
      <c r="H221" s="53">
        <f t="shared" si="11"/>
        <v>0</v>
      </c>
      <c r="I221" s="59"/>
      <c r="M221" s="52"/>
      <c r="N221" s="43"/>
    </row>
    <row r="222" spans="1:14" ht="21.75" customHeight="1" x14ac:dyDescent="0.35">
      <c r="A222" s="55"/>
      <c r="B222" s="56"/>
      <c r="C222" s="57"/>
      <c r="D222" s="58"/>
      <c r="E222" s="60"/>
      <c r="F222" s="30">
        <f t="shared" si="10"/>
        <v>0</v>
      </c>
      <c r="G222" s="54"/>
      <c r="H222" s="53">
        <f t="shared" si="11"/>
        <v>0</v>
      </c>
      <c r="I222" s="59"/>
      <c r="M222" s="52"/>
      <c r="N222" s="43"/>
    </row>
    <row r="223" spans="1:14" ht="21.75" customHeight="1" x14ac:dyDescent="0.35">
      <c r="A223" s="55"/>
      <c r="B223" s="56"/>
      <c r="C223" s="57"/>
      <c r="D223" s="58"/>
      <c r="E223" s="60"/>
      <c r="F223" s="30">
        <f t="shared" si="10"/>
        <v>0</v>
      </c>
      <c r="G223" s="54"/>
      <c r="H223" s="53">
        <f t="shared" si="11"/>
        <v>0</v>
      </c>
      <c r="I223" s="59"/>
      <c r="M223" s="52"/>
      <c r="N223" s="43"/>
    </row>
    <row r="224" spans="1:14" ht="21.75" customHeight="1" x14ac:dyDescent="0.35">
      <c r="A224" s="55"/>
      <c r="B224" s="56"/>
      <c r="C224" s="57"/>
      <c r="D224" s="58"/>
      <c r="E224" s="60"/>
      <c r="F224" s="30">
        <f t="shared" si="10"/>
        <v>0</v>
      </c>
      <c r="G224" s="54"/>
      <c r="H224" s="53">
        <f t="shared" si="11"/>
        <v>0</v>
      </c>
      <c r="I224" s="59"/>
      <c r="M224" s="52"/>
      <c r="N224" s="43"/>
    </row>
    <row r="225" spans="1:14" ht="21.75" customHeight="1" x14ac:dyDescent="0.35">
      <c r="A225" s="55"/>
      <c r="B225" s="56"/>
      <c r="C225" s="57"/>
      <c r="D225" s="58"/>
      <c r="E225" s="60"/>
      <c r="F225" s="30">
        <f t="shared" si="10"/>
        <v>0</v>
      </c>
      <c r="G225" s="54"/>
      <c r="H225" s="53">
        <f t="shared" si="11"/>
        <v>0</v>
      </c>
      <c r="I225" s="59"/>
      <c r="M225" s="52"/>
      <c r="N225" s="43"/>
    </row>
    <row r="226" spans="1:14" ht="21.75" customHeight="1" x14ac:dyDescent="0.35">
      <c r="A226" s="55"/>
      <c r="B226" s="56"/>
      <c r="C226" s="57"/>
      <c r="D226" s="58"/>
      <c r="E226" s="60"/>
      <c r="F226" s="30">
        <f t="shared" si="10"/>
        <v>0</v>
      </c>
      <c r="G226" s="54"/>
      <c r="H226" s="53">
        <f t="shared" si="11"/>
        <v>0</v>
      </c>
      <c r="I226" s="59"/>
      <c r="M226" s="52"/>
      <c r="N226" s="43"/>
    </row>
    <row r="227" spans="1:14" ht="21.75" customHeight="1" x14ac:dyDescent="0.35">
      <c r="A227" s="55"/>
      <c r="B227" s="56"/>
      <c r="C227" s="57"/>
      <c r="D227" s="58"/>
      <c r="E227" s="60"/>
      <c r="F227" s="30">
        <f t="shared" si="10"/>
        <v>0</v>
      </c>
      <c r="G227" s="54"/>
      <c r="H227" s="53">
        <f t="shared" si="11"/>
        <v>0</v>
      </c>
      <c r="I227" s="59"/>
      <c r="M227" s="52"/>
      <c r="N227" s="43"/>
    </row>
    <row r="228" spans="1:14" ht="21.75" customHeight="1" x14ac:dyDescent="0.35">
      <c r="A228" s="55"/>
      <c r="B228" s="56"/>
      <c r="C228" s="57"/>
      <c r="D228" s="58"/>
      <c r="E228" s="60"/>
      <c r="F228" s="30">
        <f t="shared" si="10"/>
        <v>0</v>
      </c>
      <c r="G228" s="54"/>
      <c r="H228" s="53">
        <f t="shared" si="11"/>
        <v>0</v>
      </c>
      <c r="I228" s="59"/>
      <c r="M228" s="52"/>
      <c r="N228" s="43"/>
    </row>
    <row r="229" spans="1:14" ht="15.6" x14ac:dyDescent="0.3">
      <c r="A229" s="61"/>
      <c r="B229" s="62"/>
      <c r="C229" s="63"/>
      <c r="D229" s="65"/>
      <c r="E229" s="64"/>
      <c r="F229" s="30">
        <f t="shared" si="10"/>
        <v>0</v>
      </c>
      <c r="G229" s="64"/>
      <c r="H229" s="53">
        <f t="shared" si="11"/>
        <v>0</v>
      </c>
    </row>
    <row r="230" spans="1:14" ht="15.6" x14ac:dyDescent="0.3">
      <c r="A230" s="61"/>
      <c r="B230" s="62"/>
      <c r="C230" s="63"/>
      <c r="D230" s="65"/>
      <c r="E230" s="64"/>
      <c r="F230" s="30">
        <f t="shared" si="10"/>
        <v>0</v>
      </c>
      <c r="G230" s="64"/>
      <c r="H230" s="53">
        <f t="shared" si="11"/>
        <v>0</v>
      </c>
    </row>
    <row r="231" spans="1:14" ht="15.6" x14ac:dyDescent="0.3">
      <c r="A231" s="61"/>
      <c r="B231" s="62"/>
      <c r="C231" s="63"/>
      <c r="D231" s="65"/>
      <c r="E231" s="64"/>
      <c r="F231" s="30">
        <f t="shared" si="10"/>
        <v>0</v>
      </c>
      <c r="G231" s="64"/>
      <c r="H231" s="53">
        <f t="shared" si="11"/>
        <v>0</v>
      </c>
    </row>
    <row r="232" spans="1:14" ht="15.6" x14ac:dyDescent="0.3">
      <c r="A232" s="61"/>
      <c r="B232" s="62"/>
      <c r="C232" s="63"/>
      <c r="D232" s="65"/>
      <c r="E232" s="64"/>
      <c r="F232" s="30">
        <f t="shared" si="10"/>
        <v>0</v>
      </c>
      <c r="G232" s="64"/>
      <c r="H232" s="53">
        <f t="shared" si="11"/>
        <v>0</v>
      </c>
    </row>
    <row r="233" spans="1:14" ht="15.6" x14ac:dyDescent="0.3">
      <c r="A233" s="61"/>
      <c r="B233" s="62"/>
      <c r="C233" s="63"/>
      <c r="D233" s="65"/>
      <c r="E233" s="64"/>
      <c r="F233" s="30">
        <f t="shared" si="10"/>
        <v>0</v>
      </c>
      <c r="G233" s="64"/>
      <c r="H233" s="53">
        <f t="shared" si="11"/>
        <v>0</v>
      </c>
    </row>
    <row r="234" spans="1:14" ht="15.6" x14ac:dyDescent="0.3">
      <c r="A234" s="61"/>
      <c r="B234" s="62"/>
      <c r="C234" s="63"/>
      <c r="D234" s="65"/>
      <c r="E234" s="64"/>
      <c r="F234" s="30">
        <f t="shared" si="10"/>
        <v>0</v>
      </c>
      <c r="G234" s="64"/>
      <c r="H234" s="53">
        <f t="shared" si="11"/>
        <v>0</v>
      </c>
    </row>
    <row r="235" spans="1:14" ht="15.6" x14ac:dyDescent="0.3">
      <c r="A235" s="61"/>
      <c r="B235" s="62"/>
      <c r="C235" s="63"/>
      <c r="D235" s="65"/>
      <c r="E235" s="64"/>
      <c r="F235" s="30">
        <f t="shared" si="10"/>
        <v>0</v>
      </c>
      <c r="G235" s="64"/>
      <c r="H235" s="53">
        <f t="shared" si="11"/>
        <v>0</v>
      </c>
    </row>
    <row r="236" spans="1:14" ht="15.6" x14ac:dyDescent="0.3">
      <c r="A236" s="61"/>
      <c r="B236" s="62"/>
      <c r="C236" s="63"/>
      <c r="D236" s="65"/>
      <c r="E236" s="64"/>
      <c r="F236" s="30">
        <f t="shared" si="10"/>
        <v>0</v>
      </c>
      <c r="G236" s="64"/>
      <c r="H236" s="53">
        <f t="shared" si="11"/>
        <v>0</v>
      </c>
    </row>
    <row r="237" spans="1:14" ht="15.6" x14ac:dyDescent="0.3">
      <c r="A237" s="61"/>
      <c r="B237" s="62"/>
      <c r="C237" s="63"/>
      <c r="D237" s="65"/>
      <c r="E237" s="64"/>
      <c r="F237" s="30">
        <f t="shared" si="10"/>
        <v>0</v>
      </c>
      <c r="G237" s="64"/>
      <c r="H237" s="53">
        <f t="shared" si="11"/>
        <v>0</v>
      </c>
    </row>
    <row r="238" spans="1:14" ht="15.6" x14ac:dyDescent="0.3">
      <c r="A238" s="61"/>
      <c r="B238" s="62"/>
      <c r="C238" s="63"/>
      <c r="D238" s="65"/>
      <c r="E238" s="64"/>
      <c r="F238" s="30">
        <f t="shared" si="10"/>
        <v>0</v>
      </c>
      <c r="G238" s="64"/>
      <c r="H238" s="53">
        <f t="shared" si="11"/>
        <v>0</v>
      </c>
    </row>
    <row r="239" spans="1:14" ht="15.6" x14ac:dyDescent="0.3">
      <c r="A239" s="61"/>
      <c r="B239" s="62"/>
      <c r="C239" s="63"/>
      <c r="D239" s="65"/>
      <c r="E239" s="64"/>
      <c r="F239" s="30">
        <f t="shared" si="10"/>
        <v>0</v>
      </c>
      <c r="G239" s="64"/>
      <c r="H239" s="53">
        <f t="shared" si="11"/>
        <v>0</v>
      </c>
    </row>
    <row r="240" spans="1:14" ht="15.6" x14ac:dyDescent="0.3">
      <c r="A240" s="61"/>
      <c r="B240" s="62"/>
      <c r="C240" s="63"/>
      <c r="D240" s="65"/>
      <c r="E240" s="64"/>
      <c r="F240" s="30">
        <f t="shared" si="10"/>
        <v>0</v>
      </c>
      <c r="G240" s="64"/>
      <c r="H240" s="53">
        <f t="shared" si="11"/>
        <v>0</v>
      </c>
    </row>
    <row r="241" spans="1:8" ht="15.6" x14ac:dyDescent="0.3">
      <c r="A241" s="61"/>
      <c r="B241" s="62"/>
      <c r="C241" s="63"/>
      <c r="D241" s="65"/>
      <c r="E241" s="64"/>
      <c r="F241" s="30">
        <f t="shared" si="10"/>
        <v>0</v>
      </c>
      <c r="G241" s="64"/>
      <c r="H241" s="53">
        <f t="shared" si="11"/>
        <v>0</v>
      </c>
    </row>
    <row r="242" spans="1:8" ht="15.6" x14ac:dyDescent="0.3">
      <c r="A242" s="61"/>
      <c r="B242" s="62"/>
      <c r="C242" s="63"/>
      <c r="D242" s="65"/>
      <c r="E242" s="64"/>
      <c r="F242" s="30">
        <f t="shared" si="10"/>
        <v>0</v>
      </c>
      <c r="G242" s="64"/>
      <c r="H242" s="53">
        <f t="shared" si="11"/>
        <v>0</v>
      </c>
    </row>
    <row r="243" spans="1:8" ht="15.6" x14ac:dyDescent="0.3">
      <c r="A243" s="61"/>
      <c r="B243" s="62"/>
      <c r="C243" s="63"/>
      <c r="D243" s="65"/>
      <c r="E243" s="64"/>
      <c r="F243" s="30">
        <f t="shared" si="10"/>
        <v>0</v>
      </c>
      <c r="G243" s="64"/>
      <c r="H243" s="53">
        <f t="shared" si="11"/>
        <v>0</v>
      </c>
    </row>
    <row r="244" spans="1:8" ht="15.6" x14ac:dyDescent="0.3">
      <c r="A244" s="61"/>
      <c r="B244" s="62"/>
      <c r="C244" s="63"/>
      <c r="D244" s="65"/>
      <c r="E244" s="64"/>
      <c r="F244" s="30">
        <f t="shared" si="10"/>
        <v>0</v>
      </c>
      <c r="G244" s="64"/>
      <c r="H244" s="53">
        <f t="shared" si="11"/>
        <v>0</v>
      </c>
    </row>
    <row r="245" spans="1:8" ht="15.6" x14ac:dyDescent="0.3">
      <c r="A245" s="61"/>
      <c r="B245" s="62"/>
      <c r="C245" s="63"/>
      <c r="D245" s="65"/>
      <c r="E245" s="64"/>
      <c r="F245" s="30">
        <f t="shared" si="10"/>
        <v>0</v>
      </c>
      <c r="G245" s="64"/>
      <c r="H245" s="53">
        <f t="shared" si="11"/>
        <v>0</v>
      </c>
    </row>
    <row r="246" spans="1:8" ht="15.6" x14ac:dyDescent="0.3">
      <c r="A246" s="61"/>
      <c r="B246" s="62"/>
      <c r="C246" s="63"/>
      <c r="D246" s="65"/>
      <c r="E246" s="64"/>
      <c r="F246" s="30">
        <f t="shared" si="10"/>
        <v>0</v>
      </c>
      <c r="G246" s="64"/>
      <c r="H246" s="53">
        <f t="shared" si="11"/>
        <v>0</v>
      </c>
    </row>
    <row r="247" spans="1:8" ht="15.6" x14ac:dyDescent="0.3">
      <c r="A247" s="61"/>
      <c r="B247" s="62"/>
      <c r="C247" s="63"/>
      <c r="D247" s="65"/>
      <c r="E247" s="64"/>
      <c r="F247" s="30">
        <f t="shared" si="10"/>
        <v>0</v>
      </c>
      <c r="G247" s="64"/>
      <c r="H247" s="53">
        <f t="shared" si="11"/>
        <v>0</v>
      </c>
    </row>
    <row r="248" spans="1:8" ht="15.6" x14ac:dyDescent="0.3">
      <c r="A248" s="61"/>
      <c r="B248" s="62"/>
      <c r="C248" s="63"/>
      <c r="D248" s="65"/>
      <c r="E248" s="64"/>
      <c r="F248" s="30">
        <f t="shared" si="10"/>
        <v>0</v>
      </c>
      <c r="G248" s="64"/>
      <c r="H248" s="53">
        <f t="shared" si="11"/>
        <v>0</v>
      </c>
    </row>
    <row r="249" spans="1:8" ht="15.6" x14ac:dyDescent="0.3">
      <c r="A249" s="61"/>
      <c r="B249" s="62"/>
      <c r="C249" s="63"/>
      <c r="D249" s="65"/>
      <c r="E249" s="64"/>
      <c r="F249" s="30">
        <f t="shared" si="10"/>
        <v>0</v>
      </c>
      <c r="G249" s="64"/>
      <c r="H249" s="53">
        <f t="shared" si="11"/>
        <v>0</v>
      </c>
    </row>
    <row r="250" spans="1:8" ht="15.6" x14ac:dyDescent="0.3">
      <c r="A250" s="61"/>
      <c r="B250" s="62"/>
      <c r="C250" s="63"/>
      <c r="D250" s="65"/>
      <c r="E250" s="64"/>
      <c r="F250" s="30">
        <f t="shared" si="10"/>
        <v>0</v>
      </c>
      <c r="G250" s="64"/>
      <c r="H250" s="53">
        <f t="shared" si="11"/>
        <v>0</v>
      </c>
    </row>
    <row r="251" spans="1:8" ht="15.6" x14ac:dyDescent="0.3">
      <c r="A251" s="61"/>
      <c r="B251" s="62"/>
      <c r="C251" s="63"/>
      <c r="D251" s="65"/>
      <c r="E251" s="64"/>
      <c r="F251" s="30">
        <f t="shared" si="10"/>
        <v>0</v>
      </c>
      <c r="G251" s="64"/>
      <c r="H251" s="53">
        <f t="shared" si="11"/>
        <v>0</v>
      </c>
    </row>
    <row r="252" spans="1:8" ht="15.6" x14ac:dyDescent="0.3">
      <c r="A252" s="61"/>
      <c r="B252" s="62"/>
      <c r="C252" s="63"/>
      <c r="D252" s="65"/>
      <c r="E252" s="64"/>
      <c r="F252" s="30">
        <f t="shared" si="10"/>
        <v>0</v>
      </c>
      <c r="G252" s="64"/>
      <c r="H252" s="53">
        <f t="shared" si="11"/>
        <v>0</v>
      </c>
    </row>
    <row r="253" spans="1:8" ht="15.6" x14ac:dyDescent="0.3">
      <c r="A253" s="61"/>
      <c r="B253" s="62"/>
      <c r="C253" s="63"/>
      <c r="D253" s="65"/>
      <c r="E253" s="64"/>
      <c r="F253" s="30">
        <f t="shared" si="10"/>
        <v>0</v>
      </c>
      <c r="G253" s="64"/>
      <c r="H253" s="53">
        <f t="shared" si="11"/>
        <v>0</v>
      </c>
    </row>
    <row r="254" spans="1:8" ht="15.6" x14ac:dyDescent="0.3">
      <c r="A254" s="61"/>
      <c r="B254" s="62"/>
      <c r="C254" s="63"/>
      <c r="D254" s="65"/>
      <c r="E254" s="64"/>
      <c r="F254" s="30">
        <f t="shared" si="10"/>
        <v>0</v>
      </c>
      <c r="G254" s="64"/>
      <c r="H254" s="53">
        <f t="shared" si="11"/>
        <v>0</v>
      </c>
    </row>
    <row r="255" spans="1:8" ht="15.6" x14ac:dyDescent="0.3">
      <c r="A255" s="61"/>
      <c r="B255" s="62"/>
      <c r="C255" s="63"/>
      <c r="D255" s="65"/>
      <c r="E255" s="64"/>
      <c r="F255" s="30">
        <f t="shared" si="10"/>
        <v>0</v>
      </c>
      <c r="G255" s="64"/>
      <c r="H255" s="53">
        <f t="shared" si="11"/>
        <v>0</v>
      </c>
    </row>
    <row r="256" spans="1:8" ht="15.6" x14ac:dyDescent="0.3">
      <c r="A256" s="61"/>
      <c r="B256" s="62"/>
      <c r="C256" s="63"/>
      <c r="D256" s="65"/>
      <c r="E256" s="64"/>
      <c r="F256" s="30">
        <f t="shared" si="10"/>
        <v>0</v>
      </c>
      <c r="G256" s="64"/>
      <c r="H256" s="53">
        <f t="shared" si="11"/>
        <v>0</v>
      </c>
    </row>
    <row r="257" spans="1:8" ht="15.6" x14ac:dyDescent="0.3">
      <c r="A257" s="61"/>
      <c r="B257" s="62"/>
      <c r="C257" s="63"/>
      <c r="D257" s="65"/>
      <c r="E257" s="64"/>
      <c r="F257" s="30">
        <f t="shared" si="10"/>
        <v>0</v>
      </c>
      <c r="G257" s="64"/>
      <c r="H257" s="53">
        <f t="shared" si="11"/>
        <v>0</v>
      </c>
    </row>
    <row r="258" spans="1:8" ht="15.6" x14ac:dyDescent="0.3">
      <c r="A258" s="61"/>
      <c r="B258" s="62"/>
      <c r="C258" s="63"/>
      <c r="D258" s="65"/>
      <c r="E258" s="64"/>
      <c r="F258" s="30">
        <f t="shared" si="10"/>
        <v>0</v>
      </c>
      <c r="G258" s="64"/>
      <c r="H258" s="53">
        <f t="shared" si="11"/>
        <v>0</v>
      </c>
    </row>
    <row r="259" spans="1:8" ht="15.6" x14ac:dyDescent="0.3">
      <c r="A259" s="61"/>
      <c r="B259" s="62"/>
      <c r="C259" s="63"/>
      <c r="D259" s="65"/>
      <c r="E259" s="64"/>
      <c r="F259" s="30">
        <f t="shared" si="10"/>
        <v>0</v>
      </c>
      <c r="G259" s="64"/>
      <c r="H259" s="53">
        <f t="shared" si="11"/>
        <v>0</v>
      </c>
    </row>
    <row r="260" spans="1:8" ht="15.6" x14ac:dyDescent="0.3">
      <c r="A260" s="61"/>
      <c r="B260" s="62"/>
      <c r="C260" s="63"/>
      <c r="D260" s="65"/>
      <c r="E260" s="64"/>
      <c r="F260" s="30">
        <f t="shared" si="10"/>
        <v>0</v>
      </c>
      <c r="G260" s="64"/>
      <c r="H260" s="53">
        <f t="shared" si="11"/>
        <v>0</v>
      </c>
    </row>
    <row r="261" spans="1:8" ht="15.6" x14ac:dyDescent="0.3">
      <c r="A261" s="61"/>
      <c r="B261" s="62"/>
      <c r="C261" s="63"/>
      <c r="D261" s="65"/>
      <c r="E261" s="64"/>
      <c r="F261" s="30">
        <f t="shared" si="10"/>
        <v>0</v>
      </c>
      <c r="G261" s="64"/>
      <c r="H261" s="53">
        <f t="shared" si="11"/>
        <v>0</v>
      </c>
    </row>
    <row r="262" spans="1:8" ht="15.6" x14ac:dyDescent="0.3">
      <c r="A262" s="61"/>
      <c r="B262" s="62"/>
      <c r="C262" s="63"/>
      <c r="D262" s="65"/>
      <c r="E262" s="64"/>
      <c r="F262" s="30">
        <f t="shared" si="10"/>
        <v>0</v>
      </c>
      <c r="G262" s="64"/>
      <c r="H262" s="53">
        <f t="shared" si="11"/>
        <v>0</v>
      </c>
    </row>
    <row r="263" spans="1:8" ht="15.6" x14ac:dyDescent="0.3">
      <c r="A263" s="61"/>
      <c r="B263" s="62"/>
      <c r="C263" s="63"/>
      <c r="D263" s="65"/>
      <c r="E263" s="64"/>
      <c r="F263" s="30">
        <f t="shared" ref="F263:F301" si="12">+E263+D263</f>
        <v>0</v>
      </c>
      <c r="G263" s="64"/>
      <c r="H263" s="53">
        <f t="shared" ref="H263:H316" si="13">+F263-G263</f>
        <v>0</v>
      </c>
    </row>
    <row r="264" spans="1:8" ht="15.6" x14ac:dyDescent="0.3">
      <c r="A264" s="61"/>
      <c r="B264" s="62"/>
      <c r="C264" s="63"/>
      <c r="D264" s="65"/>
      <c r="E264" s="64"/>
      <c r="F264" s="30">
        <f t="shared" si="12"/>
        <v>0</v>
      </c>
      <c r="G264" s="64"/>
      <c r="H264" s="53">
        <f t="shared" si="13"/>
        <v>0</v>
      </c>
    </row>
    <row r="265" spans="1:8" ht="15.6" x14ac:dyDescent="0.3">
      <c r="A265" s="61"/>
      <c r="B265" s="62"/>
      <c r="C265" s="63"/>
      <c r="D265" s="65"/>
      <c r="E265" s="64"/>
      <c r="F265" s="30">
        <f t="shared" si="12"/>
        <v>0</v>
      </c>
      <c r="G265" s="64"/>
      <c r="H265" s="53">
        <f t="shared" si="13"/>
        <v>0</v>
      </c>
    </row>
    <row r="266" spans="1:8" ht="15.6" x14ac:dyDescent="0.3">
      <c r="A266" s="61"/>
      <c r="B266" s="62"/>
      <c r="C266" s="63"/>
      <c r="D266" s="65"/>
      <c r="E266" s="64"/>
      <c r="F266" s="30">
        <f t="shared" si="12"/>
        <v>0</v>
      </c>
      <c r="G266" s="64"/>
      <c r="H266" s="53">
        <f t="shared" si="13"/>
        <v>0</v>
      </c>
    </row>
    <row r="267" spans="1:8" ht="15.6" x14ac:dyDescent="0.3">
      <c r="A267" s="61"/>
      <c r="B267" s="62"/>
      <c r="C267" s="63"/>
      <c r="D267" s="65"/>
      <c r="E267" s="64"/>
      <c r="F267" s="30">
        <f t="shared" si="12"/>
        <v>0</v>
      </c>
      <c r="G267" s="64"/>
      <c r="H267" s="53">
        <f t="shared" si="13"/>
        <v>0</v>
      </c>
    </row>
    <row r="268" spans="1:8" ht="15.6" x14ac:dyDescent="0.3">
      <c r="A268" s="61"/>
      <c r="B268" s="62"/>
      <c r="C268" s="63"/>
      <c r="D268" s="65"/>
      <c r="E268" s="64"/>
      <c r="F268" s="30">
        <f t="shared" si="12"/>
        <v>0</v>
      </c>
      <c r="G268" s="64"/>
      <c r="H268" s="53">
        <f t="shared" si="13"/>
        <v>0</v>
      </c>
    </row>
    <row r="269" spans="1:8" ht="15.6" x14ac:dyDescent="0.3">
      <c r="A269" s="61"/>
      <c r="B269" s="62"/>
      <c r="C269" s="63"/>
      <c r="D269" s="65"/>
      <c r="E269" s="64"/>
      <c r="F269" s="30">
        <f t="shared" si="12"/>
        <v>0</v>
      </c>
      <c r="G269" s="64"/>
      <c r="H269" s="53">
        <f t="shared" si="13"/>
        <v>0</v>
      </c>
    </row>
    <row r="270" spans="1:8" ht="15.6" x14ac:dyDescent="0.3">
      <c r="A270" s="61"/>
      <c r="B270" s="62"/>
      <c r="C270" s="63"/>
      <c r="D270" s="65"/>
      <c r="E270" s="64"/>
      <c r="F270" s="30">
        <f t="shared" si="12"/>
        <v>0</v>
      </c>
      <c r="G270" s="64"/>
      <c r="H270" s="53">
        <f t="shared" si="13"/>
        <v>0</v>
      </c>
    </row>
    <row r="271" spans="1:8" ht="15.6" x14ac:dyDescent="0.3">
      <c r="A271" s="61"/>
      <c r="B271" s="62"/>
      <c r="C271" s="63"/>
      <c r="D271" s="65"/>
      <c r="E271" s="64"/>
      <c r="F271" s="30">
        <f t="shared" si="12"/>
        <v>0</v>
      </c>
      <c r="G271" s="64"/>
      <c r="H271" s="53">
        <f t="shared" si="13"/>
        <v>0</v>
      </c>
    </row>
    <row r="272" spans="1:8" ht="15.6" x14ac:dyDescent="0.3">
      <c r="A272" s="61"/>
      <c r="B272" s="62"/>
      <c r="C272" s="63"/>
      <c r="D272" s="65"/>
      <c r="E272" s="64"/>
      <c r="F272" s="30">
        <f t="shared" si="12"/>
        <v>0</v>
      </c>
      <c r="G272" s="64"/>
      <c r="H272" s="53">
        <f t="shared" si="13"/>
        <v>0</v>
      </c>
    </row>
    <row r="273" spans="1:8" ht="15.6" x14ac:dyDescent="0.3">
      <c r="A273" s="61"/>
      <c r="B273" s="62"/>
      <c r="C273" s="63"/>
      <c r="D273" s="65"/>
      <c r="E273" s="64"/>
      <c r="F273" s="30">
        <f t="shared" si="12"/>
        <v>0</v>
      </c>
      <c r="G273" s="64"/>
      <c r="H273" s="53">
        <f t="shared" si="13"/>
        <v>0</v>
      </c>
    </row>
    <row r="274" spans="1:8" ht="15.6" x14ac:dyDescent="0.3">
      <c r="A274" s="61"/>
      <c r="B274" s="62"/>
      <c r="C274" s="63"/>
      <c r="D274" s="65"/>
      <c r="E274" s="64"/>
      <c r="F274" s="30">
        <f t="shared" si="12"/>
        <v>0</v>
      </c>
      <c r="G274" s="64"/>
      <c r="H274" s="53">
        <f t="shared" si="13"/>
        <v>0</v>
      </c>
    </row>
    <row r="275" spans="1:8" ht="15.6" x14ac:dyDescent="0.3">
      <c r="A275" s="61"/>
      <c r="B275" s="62"/>
      <c r="C275" s="63"/>
      <c r="D275" s="65"/>
      <c r="E275" s="64"/>
      <c r="F275" s="30">
        <f t="shared" si="12"/>
        <v>0</v>
      </c>
      <c r="G275" s="64"/>
      <c r="H275" s="53">
        <f t="shared" si="13"/>
        <v>0</v>
      </c>
    </row>
    <row r="276" spans="1:8" ht="15.6" x14ac:dyDescent="0.3">
      <c r="A276" s="61"/>
      <c r="B276" s="62"/>
      <c r="C276" s="63"/>
      <c r="D276" s="65"/>
      <c r="E276" s="64"/>
      <c r="F276" s="30">
        <f t="shared" si="12"/>
        <v>0</v>
      </c>
      <c r="G276" s="64"/>
      <c r="H276" s="53">
        <f t="shared" si="13"/>
        <v>0</v>
      </c>
    </row>
    <row r="277" spans="1:8" ht="15.6" x14ac:dyDescent="0.3">
      <c r="A277" s="61"/>
      <c r="B277" s="62"/>
      <c r="C277" s="63"/>
      <c r="D277" s="65"/>
      <c r="E277" s="64"/>
      <c r="F277" s="30">
        <f t="shared" si="12"/>
        <v>0</v>
      </c>
      <c r="G277" s="64"/>
      <c r="H277" s="53">
        <f t="shared" si="13"/>
        <v>0</v>
      </c>
    </row>
    <row r="278" spans="1:8" ht="15.6" x14ac:dyDescent="0.3">
      <c r="A278" s="61"/>
      <c r="B278" s="62"/>
      <c r="C278" s="63"/>
      <c r="D278" s="65"/>
      <c r="E278" s="64"/>
      <c r="F278" s="30">
        <f t="shared" si="12"/>
        <v>0</v>
      </c>
      <c r="G278" s="64"/>
      <c r="H278" s="53">
        <f t="shared" si="13"/>
        <v>0</v>
      </c>
    </row>
    <row r="279" spans="1:8" ht="15.6" x14ac:dyDescent="0.3">
      <c r="A279" s="61"/>
      <c r="B279" s="62"/>
      <c r="C279" s="63"/>
      <c r="D279" s="65"/>
      <c r="E279" s="64"/>
      <c r="F279" s="30">
        <f t="shared" si="12"/>
        <v>0</v>
      </c>
      <c r="G279" s="64"/>
      <c r="H279" s="53">
        <f t="shared" si="13"/>
        <v>0</v>
      </c>
    </row>
    <row r="280" spans="1:8" ht="15.6" x14ac:dyDescent="0.3">
      <c r="A280" s="61"/>
      <c r="B280" s="62"/>
      <c r="C280" s="63"/>
      <c r="D280" s="65"/>
      <c r="E280" s="64"/>
      <c r="F280" s="30">
        <f t="shared" si="12"/>
        <v>0</v>
      </c>
      <c r="G280" s="64"/>
      <c r="H280" s="53">
        <f t="shared" si="13"/>
        <v>0</v>
      </c>
    </row>
    <row r="281" spans="1:8" ht="15.6" x14ac:dyDescent="0.3">
      <c r="A281" s="61"/>
      <c r="B281" s="62"/>
      <c r="C281" s="63"/>
      <c r="D281" s="65"/>
      <c r="E281" s="64"/>
      <c r="F281" s="30">
        <f t="shared" si="12"/>
        <v>0</v>
      </c>
      <c r="G281" s="64"/>
      <c r="H281" s="53">
        <f t="shared" si="13"/>
        <v>0</v>
      </c>
    </row>
    <row r="282" spans="1:8" ht="15.6" x14ac:dyDescent="0.3">
      <c r="A282" s="61"/>
      <c r="B282" s="62"/>
      <c r="C282" s="63"/>
      <c r="D282" s="65"/>
      <c r="E282" s="64"/>
      <c r="F282" s="30">
        <f t="shared" si="12"/>
        <v>0</v>
      </c>
      <c r="G282" s="64"/>
      <c r="H282" s="53">
        <f t="shared" si="13"/>
        <v>0</v>
      </c>
    </row>
    <row r="283" spans="1:8" ht="15.6" x14ac:dyDescent="0.3">
      <c r="A283" s="61"/>
      <c r="B283" s="62"/>
      <c r="C283" s="63"/>
      <c r="D283" s="65"/>
      <c r="E283" s="64"/>
      <c r="F283" s="30">
        <f t="shared" si="12"/>
        <v>0</v>
      </c>
      <c r="G283" s="64"/>
      <c r="H283" s="53">
        <f t="shared" si="13"/>
        <v>0</v>
      </c>
    </row>
    <row r="284" spans="1:8" ht="15.6" x14ac:dyDescent="0.3">
      <c r="A284" s="61"/>
      <c r="B284" s="62"/>
      <c r="C284" s="63"/>
      <c r="D284" s="65"/>
      <c r="E284" s="64"/>
      <c r="F284" s="30">
        <f t="shared" si="12"/>
        <v>0</v>
      </c>
      <c r="G284" s="64"/>
      <c r="H284" s="53">
        <f t="shared" si="13"/>
        <v>0</v>
      </c>
    </row>
    <row r="285" spans="1:8" ht="15.6" x14ac:dyDescent="0.3">
      <c r="A285" s="61"/>
      <c r="B285" s="62"/>
      <c r="C285" s="63"/>
      <c r="D285" s="65"/>
      <c r="E285" s="64"/>
      <c r="F285" s="30">
        <f t="shared" si="12"/>
        <v>0</v>
      </c>
      <c r="G285" s="64"/>
      <c r="H285" s="53">
        <f t="shared" si="13"/>
        <v>0</v>
      </c>
    </row>
    <row r="286" spans="1:8" ht="15.6" x14ac:dyDescent="0.3">
      <c r="A286" s="61"/>
      <c r="B286" s="62"/>
      <c r="C286" s="63"/>
      <c r="D286" s="65"/>
      <c r="E286" s="64"/>
      <c r="F286" s="30">
        <f t="shared" si="12"/>
        <v>0</v>
      </c>
      <c r="G286" s="64"/>
      <c r="H286" s="53">
        <f t="shared" si="13"/>
        <v>0</v>
      </c>
    </row>
    <row r="287" spans="1:8" ht="15.6" x14ac:dyDescent="0.3">
      <c r="A287" s="61"/>
      <c r="B287" s="62"/>
      <c r="C287" s="63"/>
      <c r="D287" s="65"/>
      <c r="E287" s="64"/>
      <c r="F287" s="30">
        <f t="shared" si="12"/>
        <v>0</v>
      </c>
      <c r="G287" s="64"/>
      <c r="H287" s="53">
        <f t="shared" si="13"/>
        <v>0</v>
      </c>
    </row>
    <row r="288" spans="1:8" ht="15.6" x14ac:dyDescent="0.3">
      <c r="A288" s="61"/>
      <c r="B288" s="62"/>
      <c r="C288" s="63"/>
      <c r="D288" s="65"/>
      <c r="E288" s="64"/>
      <c r="F288" s="30">
        <f t="shared" si="12"/>
        <v>0</v>
      </c>
      <c r="G288" s="64"/>
      <c r="H288" s="53">
        <f t="shared" si="13"/>
        <v>0</v>
      </c>
    </row>
    <row r="289" spans="1:8" ht="15.6" x14ac:dyDescent="0.3">
      <c r="A289" s="61"/>
      <c r="B289" s="62"/>
      <c r="C289" s="63"/>
      <c r="D289" s="65"/>
      <c r="E289" s="64"/>
      <c r="F289" s="30">
        <f t="shared" si="12"/>
        <v>0</v>
      </c>
      <c r="G289" s="64"/>
      <c r="H289" s="53">
        <f t="shared" si="13"/>
        <v>0</v>
      </c>
    </row>
    <row r="290" spans="1:8" ht="15.6" x14ac:dyDescent="0.3">
      <c r="A290" s="61"/>
      <c r="B290" s="62"/>
      <c r="C290" s="63"/>
      <c r="D290" s="65"/>
      <c r="E290" s="64"/>
      <c r="F290" s="30">
        <f t="shared" si="12"/>
        <v>0</v>
      </c>
      <c r="G290" s="64"/>
      <c r="H290" s="53">
        <f t="shared" si="13"/>
        <v>0</v>
      </c>
    </row>
    <row r="291" spans="1:8" ht="15.6" x14ac:dyDescent="0.3">
      <c r="A291" s="61"/>
      <c r="B291" s="62"/>
      <c r="C291" s="63"/>
      <c r="D291" s="65"/>
      <c r="E291" s="64"/>
      <c r="F291" s="30">
        <f t="shared" si="12"/>
        <v>0</v>
      </c>
      <c r="G291" s="64"/>
      <c r="H291" s="53">
        <f t="shared" si="13"/>
        <v>0</v>
      </c>
    </row>
    <row r="292" spans="1:8" ht="15.6" x14ac:dyDescent="0.3">
      <c r="A292" s="61"/>
      <c r="B292" s="62"/>
      <c r="C292" s="63"/>
      <c r="D292" s="65"/>
      <c r="E292" s="64"/>
      <c r="F292" s="30">
        <f t="shared" si="12"/>
        <v>0</v>
      </c>
      <c r="G292" s="64"/>
      <c r="H292" s="53">
        <f t="shared" si="13"/>
        <v>0</v>
      </c>
    </row>
    <row r="293" spans="1:8" ht="15.6" x14ac:dyDescent="0.3">
      <c r="A293" s="61"/>
      <c r="B293" s="62"/>
      <c r="C293" s="63"/>
      <c r="D293" s="65"/>
      <c r="E293" s="64"/>
      <c r="F293" s="30">
        <f t="shared" si="12"/>
        <v>0</v>
      </c>
      <c r="G293" s="64"/>
      <c r="H293" s="53">
        <f t="shared" si="13"/>
        <v>0</v>
      </c>
    </row>
    <row r="294" spans="1:8" ht="15.6" x14ac:dyDescent="0.3">
      <c r="A294" s="61"/>
      <c r="B294" s="62"/>
      <c r="C294" s="63"/>
      <c r="D294" s="65"/>
      <c r="E294" s="64"/>
      <c r="F294" s="30">
        <f t="shared" si="12"/>
        <v>0</v>
      </c>
      <c r="G294" s="64"/>
      <c r="H294" s="53">
        <f t="shared" si="13"/>
        <v>0</v>
      </c>
    </row>
    <row r="295" spans="1:8" ht="15.6" x14ac:dyDescent="0.3">
      <c r="A295" s="61"/>
      <c r="B295" s="62"/>
      <c r="C295" s="63"/>
      <c r="D295" s="65"/>
      <c r="E295" s="64"/>
      <c r="F295" s="30">
        <f t="shared" si="12"/>
        <v>0</v>
      </c>
      <c r="G295" s="64"/>
      <c r="H295" s="53">
        <f t="shared" si="13"/>
        <v>0</v>
      </c>
    </row>
    <row r="296" spans="1:8" ht="15.6" x14ac:dyDescent="0.3">
      <c r="A296" s="61"/>
      <c r="B296" s="62"/>
      <c r="C296" s="63"/>
      <c r="D296" s="65"/>
      <c r="E296" s="64"/>
      <c r="F296" s="30">
        <f t="shared" si="12"/>
        <v>0</v>
      </c>
      <c r="G296" s="64"/>
      <c r="H296" s="53">
        <f t="shared" si="13"/>
        <v>0</v>
      </c>
    </row>
    <row r="297" spans="1:8" ht="15.6" x14ac:dyDescent="0.3">
      <c r="A297" s="61"/>
      <c r="B297" s="62"/>
      <c r="C297" s="63"/>
      <c r="D297" s="65"/>
      <c r="E297" s="64"/>
      <c r="F297" s="30">
        <f t="shared" si="12"/>
        <v>0</v>
      </c>
      <c r="G297" s="64"/>
      <c r="H297" s="53">
        <f t="shared" si="13"/>
        <v>0</v>
      </c>
    </row>
    <row r="298" spans="1:8" ht="15.6" x14ac:dyDescent="0.3">
      <c r="A298" s="61"/>
      <c r="B298" s="62"/>
      <c r="C298" s="63"/>
      <c r="D298" s="65"/>
      <c r="E298" s="64"/>
      <c r="F298" s="30">
        <f t="shared" si="12"/>
        <v>0</v>
      </c>
      <c r="G298" s="64"/>
      <c r="H298" s="53">
        <f t="shared" si="13"/>
        <v>0</v>
      </c>
    </row>
    <row r="299" spans="1:8" ht="15.6" x14ac:dyDescent="0.3">
      <c r="A299" s="61"/>
      <c r="B299" s="62"/>
      <c r="C299" s="63"/>
      <c r="D299" s="65"/>
      <c r="E299" s="64"/>
      <c r="F299" s="30">
        <f t="shared" si="12"/>
        <v>0</v>
      </c>
      <c r="G299" s="64"/>
      <c r="H299" s="53">
        <f t="shared" si="13"/>
        <v>0</v>
      </c>
    </row>
    <row r="300" spans="1:8" ht="15.6" x14ac:dyDescent="0.3">
      <c r="A300" s="61"/>
      <c r="B300" s="62"/>
      <c r="C300" s="63"/>
      <c r="D300" s="65"/>
      <c r="E300" s="64"/>
      <c r="F300" s="30">
        <f t="shared" si="12"/>
        <v>0</v>
      </c>
      <c r="G300" s="64"/>
      <c r="H300" s="53">
        <f t="shared" si="13"/>
        <v>0</v>
      </c>
    </row>
    <row r="301" spans="1:8" ht="15.6" x14ac:dyDescent="0.3">
      <c r="A301" s="61"/>
      <c r="B301" s="62"/>
      <c r="C301" s="63"/>
      <c r="D301" s="65"/>
      <c r="E301" s="64"/>
      <c r="F301" s="30">
        <f t="shared" si="12"/>
        <v>0</v>
      </c>
      <c r="G301" s="64"/>
      <c r="H301" s="53">
        <f t="shared" si="13"/>
        <v>0</v>
      </c>
    </row>
    <row r="302" spans="1:8" ht="15.6" x14ac:dyDescent="0.3">
      <c r="A302" s="61"/>
      <c r="B302" s="62"/>
      <c r="C302" s="63"/>
      <c r="D302" s="65"/>
      <c r="E302" s="64"/>
      <c r="F302" s="64"/>
      <c r="G302" s="64"/>
      <c r="H302" s="53">
        <f t="shared" si="13"/>
        <v>0</v>
      </c>
    </row>
    <row r="303" spans="1:8" ht="15.6" x14ac:dyDescent="0.3">
      <c r="A303" s="61"/>
      <c r="B303" s="62"/>
      <c r="C303" s="63"/>
      <c r="D303" s="65"/>
      <c r="E303" s="64"/>
      <c r="F303" s="64"/>
      <c r="G303" s="64"/>
      <c r="H303" s="53">
        <f t="shared" si="13"/>
        <v>0</v>
      </c>
    </row>
    <row r="304" spans="1:8" ht="15.6" x14ac:dyDescent="0.3">
      <c r="A304" s="61"/>
      <c r="B304" s="62"/>
      <c r="C304" s="63"/>
      <c r="D304" s="65"/>
      <c r="E304" s="64"/>
      <c r="F304" s="64"/>
      <c r="G304" s="64"/>
      <c r="H304" s="53">
        <f t="shared" si="13"/>
        <v>0</v>
      </c>
    </row>
    <row r="305" spans="1:8" ht="15.6" x14ac:dyDescent="0.3">
      <c r="A305" s="61"/>
      <c r="B305" s="62"/>
      <c r="C305" s="63"/>
      <c r="D305" s="65"/>
      <c r="E305" s="64"/>
      <c r="F305" s="64"/>
      <c r="G305" s="64"/>
      <c r="H305" s="53">
        <f t="shared" si="13"/>
        <v>0</v>
      </c>
    </row>
    <row r="306" spans="1:8" ht="15.6" x14ac:dyDescent="0.3">
      <c r="A306" s="61"/>
      <c r="B306" s="62"/>
      <c r="C306" s="63"/>
      <c r="D306" s="65"/>
      <c r="E306" s="64"/>
      <c r="F306" s="64"/>
      <c r="G306" s="64"/>
      <c r="H306" s="53">
        <f t="shared" si="13"/>
        <v>0</v>
      </c>
    </row>
    <row r="307" spans="1:8" ht="15.6" x14ac:dyDescent="0.3">
      <c r="A307" s="61"/>
      <c r="B307" s="62"/>
      <c r="C307" s="63"/>
      <c r="D307" s="65"/>
      <c r="E307" s="64"/>
      <c r="F307" s="64"/>
      <c r="G307" s="64"/>
      <c r="H307" s="53">
        <f t="shared" si="13"/>
        <v>0</v>
      </c>
    </row>
    <row r="308" spans="1:8" ht="15.6" x14ac:dyDescent="0.3">
      <c r="A308" s="61"/>
      <c r="B308" s="62"/>
      <c r="C308" s="63"/>
      <c r="D308" s="65"/>
      <c r="E308" s="64"/>
      <c r="F308" s="64"/>
      <c r="G308" s="64"/>
      <c r="H308" s="53">
        <f t="shared" si="13"/>
        <v>0</v>
      </c>
    </row>
    <row r="309" spans="1:8" ht="15.6" x14ac:dyDescent="0.3">
      <c r="A309" s="61"/>
      <c r="B309" s="62"/>
      <c r="C309" s="63"/>
      <c r="D309" s="65"/>
      <c r="E309" s="64"/>
      <c r="F309" s="64"/>
      <c r="G309" s="64"/>
      <c r="H309" s="53">
        <f t="shared" si="13"/>
        <v>0</v>
      </c>
    </row>
    <row r="310" spans="1:8" ht="15.6" x14ac:dyDescent="0.3">
      <c r="A310" s="61"/>
      <c r="B310" s="62"/>
      <c r="C310" s="63"/>
      <c r="D310" s="65"/>
      <c r="E310" s="64"/>
      <c r="F310" s="64"/>
      <c r="G310" s="64"/>
      <c r="H310" s="53">
        <f t="shared" si="13"/>
        <v>0</v>
      </c>
    </row>
    <row r="311" spans="1:8" ht="15.6" x14ac:dyDescent="0.3">
      <c r="A311" s="61"/>
      <c r="B311" s="62"/>
      <c r="C311" s="63"/>
      <c r="D311" s="65"/>
      <c r="E311" s="64"/>
      <c r="F311" s="64"/>
      <c r="G311" s="64"/>
      <c r="H311" s="53">
        <f t="shared" si="13"/>
        <v>0</v>
      </c>
    </row>
    <row r="312" spans="1:8" ht="15.6" x14ac:dyDescent="0.3">
      <c r="A312" s="61"/>
      <c r="B312" s="62"/>
      <c r="C312" s="63"/>
      <c r="D312" s="65"/>
      <c r="E312" s="64"/>
      <c r="F312" s="64"/>
      <c r="G312" s="64"/>
      <c r="H312" s="53">
        <f t="shared" si="13"/>
        <v>0</v>
      </c>
    </row>
    <row r="313" spans="1:8" ht="15.6" x14ac:dyDescent="0.3">
      <c r="A313" s="61"/>
      <c r="B313" s="62"/>
      <c r="C313" s="63"/>
      <c r="D313" s="65"/>
      <c r="E313" s="64"/>
      <c r="F313" s="64"/>
      <c r="G313" s="64"/>
      <c r="H313" s="53">
        <f t="shared" si="13"/>
        <v>0</v>
      </c>
    </row>
    <row r="314" spans="1:8" ht="15.6" x14ac:dyDescent="0.3">
      <c r="A314" s="61"/>
      <c r="B314" s="62"/>
      <c r="C314" s="63"/>
      <c r="D314" s="65"/>
      <c r="E314" s="64"/>
      <c r="F314" s="64"/>
      <c r="G314" s="64"/>
      <c r="H314" s="53">
        <f t="shared" si="13"/>
        <v>0</v>
      </c>
    </row>
    <row r="315" spans="1:8" ht="15.6" x14ac:dyDescent="0.3">
      <c r="A315" s="61"/>
      <c r="B315" s="62"/>
      <c r="C315" s="63"/>
      <c r="D315" s="65"/>
      <c r="E315" s="64"/>
      <c r="F315" s="64"/>
      <c r="G315" s="64"/>
      <c r="H315" s="53">
        <f t="shared" si="13"/>
        <v>0</v>
      </c>
    </row>
    <row r="316" spans="1:8" ht="15.6" x14ac:dyDescent="0.3">
      <c r="A316" s="61"/>
      <c r="B316" s="62"/>
      <c r="C316" s="63"/>
      <c r="D316" s="65"/>
      <c r="E316" s="64"/>
      <c r="F316" s="64"/>
      <c r="G316" s="64"/>
      <c r="H316" s="53">
        <f t="shared" si="13"/>
        <v>0</v>
      </c>
    </row>
    <row r="317" spans="1:8" ht="14.4" x14ac:dyDescent="0.3">
      <c r="A317" s="61"/>
      <c r="B317" s="62"/>
      <c r="C317" s="63"/>
      <c r="D317" s="65"/>
      <c r="E317" s="64"/>
      <c r="F317" s="64"/>
      <c r="G317" s="64"/>
      <c r="H317" s="64"/>
    </row>
    <row r="318" spans="1:8" ht="14.4" x14ac:dyDescent="0.3">
      <c r="A318" s="61"/>
      <c r="B318" s="62"/>
      <c r="C318" s="63"/>
      <c r="D318" s="65"/>
      <c r="E318" s="64"/>
      <c r="F318" s="64"/>
      <c r="G318" s="64"/>
      <c r="H318" s="64"/>
    </row>
    <row r="319" spans="1:8" ht="14.4" x14ac:dyDescent="0.3">
      <c r="A319" s="61"/>
      <c r="B319" s="62"/>
      <c r="C319" s="63"/>
      <c r="D319" s="65"/>
      <c r="E319" s="64"/>
      <c r="F319" s="64"/>
      <c r="G319" s="64"/>
      <c r="H319" s="64"/>
    </row>
    <row r="320" spans="1:8" ht="14.4" x14ac:dyDescent="0.3">
      <c r="A320" s="61"/>
      <c r="B320" s="62"/>
      <c r="C320" s="63"/>
      <c r="D320" s="65"/>
      <c r="E320" s="64"/>
      <c r="F320" s="64"/>
      <c r="G320" s="64"/>
      <c r="H320" s="64"/>
    </row>
    <row r="321" spans="1:8" ht="14.4" x14ac:dyDescent="0.3">
      <c r="A321" s="61"/>
      <c r="B321" s="62"/>
      <c r="C321" s="63"/>
      <c r="D321" s="65"/>
      <c r="E321" s="64"/>
      <c r="F321" s="64"/>
      <c r="G321" s="64"/>
      <c r="H321" s="64"/>
    </row>
    <row r="322" spans="1:8" ht="14.4" x14ac:dyDescent="0.3">
      <c r="A322" s="61"/>
      <c r="B322" s="62"/>
      <c r="C322" s="63"/>
      <c r="D322" s="65"/>
      <c r="E322" s="64"/>
      <c r="F322" s="64"/>
      <c r="G322" s="64"/>
      <c r="H322" s="64"/>
    </row>
    <row r="323" spans="1:8" ht="14.4" x14ac:dyDescent="0.3">
      <c r="A323" s="61"/>
      <c r="B323" s="62"/>
      <c r="C323" s="63"/>
      <c r="D323" s="65"/>
      <c r="E323" s="64"/>
      <c r="F323" s="64"/>
      <c r="G323" s="64"/>
      <c r="H323" s="64"/>
    </row>
    <row r="324" spans="1:8" ht="14.4" x14ac:dyDescent="0.3">
      <c r="A324" s="61"/>
      <c r="B324" s="62"/>
      <c r="C324" s="63"/>
      <c r="D324" s="65"/>
      <c r="E324" s="64"/>
      <c r="F324" s="64"/>
      <c r="G324" s="64"/>
      <c r="H324" s="64"/>
    </row>
    <row r="325" spans="1:8" ht="14.4" x14ac:dyDescent="0.3">
      <c r="A325" s="61"/>
      <c r="B325" s="62"/>
      <c r="C325" s="63"/>
      <c r="D325" s="65"/>
      <c r="E325" s="64"/>
      <c r="F325" s="64"/>
      <c r="G325" s="64"/>
      <c r="H325" s="64"/>
    </row>
    <row r="326" spans="1:8" ht="14.4" x14ac:dyDescent="0.3">
      <c r="A326" s="61"/>
      <c r="B326" s="62"/>
      <c r="C326" s="63"/>
      <c r="D326" s="65"/>
      <c r="E326" s="64"/>
      <c r="F326" s="64"/>
      <c r="G326" s="64"/>
      <c r="H326" s="64"/>
    </row>
    <row r="327" spans="1:8" ht="14.4" x14ac:dyDescent="0.3">
      <c r="A327" s="61"/>
      <c r="B327" s="62"/>
      <c r="C327" s="63"/>
      <c r="D327" s="65"/>
      <c r="E327" s="64"/>
      <c r="F327" s="64"/>
      <c r="G327" s="64"/>
      <c r="H327" s="64"/>
    </row>
    <row r="328" spans="1:8" ht="14.4" x14ac:dyDescent="0.3">
      <c r="A328" s="61"/>
      <c r="B328" s="62"/>
      <c r="C328" s="63"/>
      <c r="D328" s="65"/>
      <c r="E328" s="64"/>
      <c r="F328" s="64"/>
      <c r="G328" s="64"/>
      <c r="H328" s="64"/>
    </row>
    <row r="329" spans="1:8" ht="14.4" x14ac:dyDescent="0.3">
      <c r="A329" s="61"/>
      <c r="B329" s="62"/>
      <c r="C329" s="63"/>
      <c r="D329" s="65"/>
      <c r="E329" s="64"/>
      <c r="F329" s="64"/>
      <c r="G329" s="64"/>
      <c r="H329" s="64"/>
    </row>
    <row r="330" spans="1:8" ht="14.4" x14ac:dyDescent="0.3">
      <c r="A330" s="61"/>
      <c r="B330" s="62"/>
      <c r="C330" s="63"/>
      <c r="D330" s="65"/>
      <c r="E330" s="64"/>
      <c r="F330" s="64"/>
      <c r="G330" s="64"/>
      <c r="H330" s="64"/>
    </row>
    <row r="331" spans="1:8" ht="14.4" x14ac:dyDescent="0.3">
      <c r="A331" s="61"/>
      <c r="B331" s="62"/>
      <c r="C331" s="63"/>
      <c r="D331" s="65"/>
      <c r="E331" s="64"/>
      <c r="F331" s="64"/>
      <c r="G331" s="64"/>
      <c r="H331" s="64"/>
    </row>
    <row r="332" spans="1:8" ht="14.4" x14ac:dyDescent="0.3">
      <c r="A332" s="61"/>
      <c r="B332" s="62"/>
      <c r="C332" s="63"/>
      <c r="D332" s="65"/>
      <c r="E332" s="64"/>
      <c r="F332" s="64"/>
      <c r="G332" s="64"/>
      <c r="H332" s="64"/>
    </row>
    <row r="333" spans="1:8" ht="14.4" x14ac:dyDescent="0.3">
      <c r="A333" s="61"/>
      <c r="B333" s="62"/>
      <c r="C333" s="63"/>
      <c r="D333" s="65"/>
      <c r="E333" s="64"/>
      <c r="F333" s="64"/>
      <c r="G333" s="64"/>
      <c r="H333" s="64"/>
    </row>
    <row r="334" spans="1:8" ht="14.4" x14ac:dyDescent="0.3">
      <c r="A334" s="61"/>
      <c r="B334" s="62"/>
      <c r="C334" s="63"/>
      <c r="D334" s="65"/>
      <c r="E334" s="64"/>
      <c r="F334" s="64"/>
      <c r="G334" s="64"/>
      <c r="H334" s="64"/>
    </row>
    <row r="335" spans="1:8" ht="14.4" x14ac:dyDescent="0.3">
      <c r="A335" s="61"/>
      <c r="B335" s="62"/>
      <c r="C335" s="63"/>
      <c r="D335" s="65"/>
      <c r="E335" s="64"/>
      <c r="F335" s="64"/>
      <c r="G335" s="64"/>
      <c r="H335" s="64"/>
    </row>
    <row r="336" spans="1:8" ht="14.4" x14ac:dyDescent="0.3">
      <c r="A336" s="61"/>
      <c r="B336" s="62"/>
      <c r="C336" s="63"/>
      <c r="D336" s="65"/>
      <c r="E336" s="64"/>
      <c r="F336" s="64"/>
      <c r="G336" s="64"/>
      <c r="H336" s="64"/>
    </row>
    <row r="337" spans="1:8" ht="14.4" x14ac:dyDescent="0.3">
      <c r="A337" s="61"/>
      <c r="B337" s="62"/>
      <c r="C337" s="63"/>
      <c r="D337" s="65"/>
      <c r="E337" s="64"/>
      <c r="F337" s="64"/>
      <c r="G337" s="64"/>
      <c r="H337" s="64"/>
    </row>
    <row r="338" spans="1:8" ht="14.4" x14ac:dyDescent="0.3">
      <c r="A338" s="61"/>
      <c r="B338" s="62"/>
      <c r="C338" s="63"/>
      <c r="D338" s="65"/>
      <c r="E338" s="64"/>
      <c r="F338" s="64"/>
      <c r="G338" s="64"/>
      <c r="H338" s="64"/>
    </row>
    <row r="339" spans="1:8" ht="14.4" x14ac:dyDescent="0.3">
      <c r="A339" s="61"/>
      <c r="B339" s="62"/>
      <c r="C339" s="63"/>
      <c r="D339" s="65"/>
      <c r="E339" s="64"/>
      <c r="F339" s="64"/>
      <c r="G339" s="64"/>
      <c r="H339" s="64"/>
    </row>
    <row r="340" spans="1:8" ht="14.4" x14ac:dyDescent="0.3">
      <c r="A340" s="61"/>
      <c r="B340" s="62"/>
      <c r="C340" s="63"/>
      <c r="D340" s="65"/>
      <c r="E340" s="64"/>
      <c r="F340" s="64"/>
      <c r="G340" s="64"/>
      <c r="H340" s="64"/>
    </row>
    <row r="341" spans="1:8" ht="14.4" x14ac:dyDescent="0.3">
      <c r="A341" s="61"/>
      <c r="B341" s="62"/>
      <c r="C341" s="63"/>
      <c r="D341" s="65"/>
      <c r="E341" s="64"/>
      <c r="F341" s="64"/>
      <c r="G341" s="64"/>
      <c r="H341" s="64"/>
    </row>
    <row r="342" spans="1:8" ht="14.4" x14ac:dyDescent="0.3">
      <c r="A342" s="61"/>
      <c r="B342" s="62"/>
      <c r="C342" s="63"/>
      <c r="D342" s="65"/>
      <c r="E342" s="64"/>
      <c r="F342" s="64"/>
      <c r="G342" s="64"/>
      <c r="H342" s="64"/>
    </row>
    <row r="343" spans="1:8" ht="14.4" x14ac:dyDescent="0.3">
      <c r="A343" s="61"/>
      <c r="B343" s="62"/>
      <c r="C343" s="63"/>
      <c r="D343" s="65"/>
      <c r="E343" s="64"/>
      <c r="F343" s="64"/>
      <c r="G343" s="64"/>
      <c r="H343" s="64"/>
    </row>
    <row r="344" spans="1:8" ht="14.4" x14ac:dyDescent="0.3">
      <c r="A344" s="61"/>
      <c r="B344" s="62"/>
      <c r="C344" s="63"/>
      <c r="D344" s="65"/>
      <c r="E344" s="64"/>
      <c r="F344" s="64"/>
      <c r="G344" s="64"/>
      <c r="H344" s="64"/>
    </row>
    <row r="345" spans="1:8" ht="14.4" x14ac:dyDescent="0.3">
      <c r="A345" s="61"/>
      <c r="B345" s="62"/>
      <c r="C345" s="63"/>
      <c r="D345" s="65"/>
      <c r="E345" s="64"/>
      <c r="F345" s="64"/>
      <c r="G345" s="64"/>
      <c r="H345" s="64"/>
    </row>
    <row r="346" spans="1:8" ht="14.4" x14ac:dyDescent="0.3">
      <c r="A346" s="61"/>
      <c r="B346" s="62"/>
      <c r="C346" s="63"/>
      <c r="D346" s="65"/>
      <c r="E346" s="64"/>
      <c r="F346" s="64"/>
      <c r="G346" s="64"/>
      <c r="H346" s="64"/>
    </row>
    <row r="347" spans="1:8" ht="14.4" x14ac:dyDescent="0.3">
      <c r="A347" s="61"/>
      <c r="B347" s="62"/>
      <c r="C347" s="63"/>
      <c r="D347" s="65"/>
      <c r="E347" s="64"/>
      <c r="F347" s="64"/>
      <c r="G347" s="64"/>
      <c r="H347" s="64"/>
    </row>
    <row r="348" spans="1:8" ht="14.4" x14ac:dyDescent="0.3">
      <c r="A348" s="61"/>
      <c r="B348" s="62"/>
      <c r="C348" s="63"/>
      <c r="D348" s="65"/>
      <c r="E348" s="64"/>
      <c r="F348" s="64"/>
      <c r="G348" s="64"/>
      <c r="H348" s="64"/>
    </row>
    <row r="349" spans="1:8" ht="14.4" x14ac:dyDescent="0.3">
      <c r="A349" s="61"/>
      <c r="B349" s="62"/>
      <c r="C349" s="63"/>
      <c r="D349" s="65"/>
      <c r="E349" s="64"/>
      <c r="F349" s="64"/>
      <c r="G349" s="64"/>
      <c r="H349" s="64"/>
    </row>
    <row r="350" spans="1:8" ht="14.4" x14ac:dyDescent="0.3">
      <c r="A350" s="61"/>
      <c r="B350" s="62"/>
      <c r="C350" s="63"/>
      <c r="D350" s="65"/>
      <c r="E350" s="64"/>
      <c r="F350" s="64"/>
      <c r="G350" s="64"/>
      <c r="H350" s="64"/>
    </row>
    <row r="351" spans="1:8" ht="14.4" x14ac:dyDescent="0.3">
      <c r="A351" s="61"/>
      <c r="B351" s="62"/>
      <c r="C351" s="63"/>
      <c r="D351" s="65"/>
      <c r="E351" s="64"/>
      <c r="F351" s="64"/>
      <c r="G351" s="64"/>
      <c r="H351" s="64"/>
    </row>
    <row r="352" spans="1:8" ht="14.4" x14ac:dyDescent="0.3">
      <c r="A352" s="61"/>
      <c r="B352" s="62"/>
      <c r="C352" s="63"/>
      <c r="D352" s="65"/>
      <c r="E352" s="64"/>
      <c r="F352" s="64"/>
      <c r="G352" s="64"/>
      <c r="H352" s="64"/>
    </row>
    <row r="353" spans="1:8" ht="14.4" x14ac:dyDescent="0.3">
      <c r="A353" s="61"/>
      <c r="B353" s="62"/>
      <c r="C353" s="63"/>
      <c r="D353" s="65"/>
      <c r="E353" s="64"/>
      <c r="F353" s="64"/>
      <c r="G353" s="64"/>
      <c r="H353" s="64"/>
    </row>
    <row r="354" spans="1:8" ht="14.4" x14ac:dyDescent="0.3">
      <c r="A354" s="61"/>
      <c r="B354" s="62"/>
      <c r="C354" s="63"/>
      <c r="D354" s="65"/>
      <c r="E354" s="64"/>
      <c r="F354" s="64"/>
      <c r="G354" s="64"/>
      <c r="H354" s="64"/>
    </row>
    <row r="355" spans="1:8" ht="14.4" x14ac:dyDescent="0.3">
      <c r="A355" s="61"/>
      <c r="B355" s="62"/>
      <c r="C355" s="63"/>
      <c r="D355" s="65"/>
      <c r="E355" s="64"/>
      <c r="F355" s="64"/>
      <c r="G355" s="64"/>
      <c r="H355" s="64"/>
    </row>
    <row r="356" spans="1:8" ht="14.4" x14ac:dyDescent="0.3">
      <c r="A356" s="61"/>
      <c r="B356" s="62"/>
      <c r="C356" s="63"/>
      <c r="D356" s="65"/>
      <c r="E356" s="64"/>
      <c r="F356" s="64"/>
      <c r="G356" s="64"/>
      <c r="H356" s="64"/>
    </row>
    <row r="357" spans="1:8" ht="14.4" x14ac:dyDescent="0.3">
      <c r="A357" s="61"/>
      <c r="B357" s="62"/>
      <c r="C357" s="63"/>
      <c r="D357" s="65"/>
      <c r="E357" s="64"/>
      <c r="F357" s="64"/>
      <c r="G357" s="64"/>
      <c r="H357" s="64"/>
    </row>
    <row r="358" spans="1:8" ht="14.4" x14ac:dyDescent="0.3">
      <c r="A358" s="61"/>
      <c r="B358" s="62"/>
      <c r="C358" s="63"/>
      <c r="D358" s="65"/>
      <c r="E358" s="64"/>
      <c r="F358" s="64"/>
      <c r="G358" s="64"/>
      <c r="H358" s="64"/>
    </row>
    <row r="359" spans="1:8" ht="14.4" x14ac:dyDescent="0.3">
      <c r="A359" s="61"/>
      <c r="B359" s="62"/>
      <c r="C359" s="63"/>
      <c r="D359" s="65"/>
      <c r="E359" s="64"/>
      <c r="F359" s="64"/>
      <c r="G359" s="64"/>
      <c r="H359" s="64"/>
    </row>
    <row r="360" spans="1:8" ht="14.4" x14ac:dyDescent="0.3">
      <c r="A360" s="61"/>
      <c r="B360" s="62"/>
      <c r="C360" s="63"/>
      <c r="D360" s="65"/>
      <c r="E360" s="64"/>
      <c r="F360" s="64"/>
      <c r="G360" s="64"/>
      <c r="H360" s="64"/>
    </row>
    <row r="361" spans="1:8" ht="14.4" x14ac:dyDescent="0.3">
      <c r="A361" s="61"/>
      <c r="B361" s="62"/>
      <c r="C361" s="63"/>
      <c r="D361" s="65"/>
      <c r="E361" s="64"/>
      <c r="F361" s="64"/>
      <c r="G361" s="64"/>
      <c r="H361" s="64"/>
    </row>
    <row r="362" spans="1:8" ht="14.4" x14ac:dyDescent="0.3">
      <c r="A362" s="61"/>
      <c r="B362" s="62"/>
      <c r="C362" s="63"/>
      <c r="D362" s="65"/>
      <c r="E362" s="64"/>
      <c r="F362" s="64"/>
      <c r="G362" s="64"/>
      <c r="H362" s="64"/>
    </row>
    <row r="363" spans="1:8" ht="14.4" x14ac:dyDescent="0.3">
      <c r="A363" s="61"/>
      <c r="B363" s="62"/>
      <c r="C363" s="63"/>
      <c r="D363" s="65"/>
      <c r="E363" s="64"/>
      <c r="F363" s="64"/>
      <c r="G363" s="64"/>
      <c r="H363" s="64"/>
    </row>
    <row r="364" spans="1:8" ht="14.4" x14ac:dyDescent="0.3">
      <c r="A364" s="61"/>
      <c r="B364" s="62"/>
      <c r="C364" s="63"/>
      <c r="D364" s="65"/>
      <c r="E364" s="64"/>
      <c r="F364" s="64"/>
      <c r="G364" s="64"/>
      <c r="H364" s="64"/>
    </row>
    <row r="365" spans="1:8" ht="14.4" x14ac:dyDescent="0.3">
      <c r="A365" s="61"/>
      <c r="B365" s="62"/>
      <c r="C365" s="63"/>
      <c r="D365" s="65"/>
      <c r="E365" s="64"/>
      <c r="F365" s="64"/>
      <c r="G365" s="64"/>
      <c r="H365" s="64"/>
    </row>
    <row r="366" spans="1:8" ht="14.4" x14ac:dyDescent="0.3">
      <c r="A366" s="61"/>
      <c r="B366" s="62"/>
      <c r="C366" s="63"/>
      <c r="D366" s="65"/>
      <c r="E366" s="64"/>
      <c r="F366" s="64"/>
      <c r="G366" s="64"/>
      <c r="H366" s="64"/>
    </row>
    <row r="367" spans="1:8" ht="14.4" x14ac:dyDescent="0.3">
      <c r="A367" s="61"/>
      <c r="B367" s="62"/>
      <c r="C367" s="63"/>
      <c r="D367" s="65"/>
      <c r="E367" s="64"/>
      <c r="F367" s="64"/>
      <c r="G367" s="64"/>
      <c r="H367" s="64"/>
    </row>
    <row r="368" spans="1:8" ht="14.4" x14ac:dyDescent="0.3">
      <c r="A368" s="61"/>
      <c r="B368" s="62"/>
      <c r="C368" s="63"/>
      <c r="D368" s="65"/>
      <c r="E368" s="64"/>
      <c r="F368" s="64"/>
      <c r="G368" s="64"/>
      <c r="H368" s="64"/>
    </row>
    <row r="369" spans="1:8" ht="14.4" x14ac:dyDescent="0.3">
      <c r="A369" s="61"/>
      <c r="B369" s="62"/>
      <c r="C369" s="63"/>
      <c r="D369" s="65"/>
      <c r="E369" s="64"/>
      <c r="F369" s="64"/>
      <c r="G369" s="64"/>
      <c r="H369" s="64"/>
    </row>
    <row r="370" spans="1:8" ht="14.4" x14ac:dyDescent="0.3">
      <c r="A370" s="61"/>
      <c r="B370" s="62"/>
      <c r="C370" s="63"/>
      <c r="D370" s="65"/>
      <c r="E370" s="64"/>
      <c r="F370" s="64"/>
      <c r="G370" s="64"/>
      <c r="H370" s="64"/>
    </row>
    <row r="371" spans="1:8" ht="14.4" x14ac:dyDescent="0.3">
      <c r="A371" s="61"/>
      <c r="B371" s="62"/>
      <c r="C371" s="63"/>
      <c r="D371" s="65"/>
      <c r="E371" s="64"/>
      <c r="F371" s="64"/>
      <c r="G371" s="64"/>
      <c r="H371" s="64"/>
    </row>
    <row r="372" spans="1:8" ht="14.4" x14ac:dyDescent="0.3">
      <c r="A372" s="61"/>
      <c r="B372" s="62"/>
      <c r="C372" s="63"/>
      <c r="D372" s="65"/>
      <c r="E372" s="64"/>
      <c r="F372" s="64"/>
      <c r="G372" s="64"/>
      <c r="H372" s="64"/>
    </row>
    <row r="373" spans="1:8" ht="14.4" x14ac:dyDescent="0.3">
      <c r="A373" s="61"/>
      <c r="B373" s="62"/>
      <c r="C373" s="63"/>
      <c r="D373" s="65"/>
      <c r="E373" s="64"/>
      <c r="F373" s="64"/>
      <c r="G373" s="64"/>
      <c r="H373" s="64"/>
    </row>
    <row r="374" spans="1:8" ht="14.4" x14ac:dyDescent="0.3">
      <c r="A374" s="61"/>
      <c r="B374" s="62"/>
      <c r="C374" s="63"/>
      <c r="D374" s="65"/>
      <c r="E374" s="64"/>
      <c r="F374" s="64"/>
      <c r="G374" s="64"/>
      <c r="H374" s="64"/>
    </row>
    <row r="375" spans="1:8" ht="14.4" x14ac:dyDescent="0.3">
      <c r="A375" s="61"/>
      <c r="B375" s="62"/>
      <c r="C375" s="63"/>
      <c r="D375" s="65"/>
      <c r="E375" s="64"/>
      <c r="F375" s="64"/>
      <c r="G375" s="64"/>
      <c r="H375" s="64"/>
    </row>
    <row r="376" spans="1:8" ht="14.4" x14ac:dyDescent="0.3">
      <c r="A376" s="61"/>
      <c r="B376" s="62"/>
      <c r="C376" s="63"/>
      <c r="D376" s="65"/>
      <c r="E376" s="64"/>
      <c r="F376" s="64"/>
      <c r="G376" s="64"/>
      <c r="H376" s="64"/>
    </row>
    <row r="377" spans="1:8" ht="14.4" x14ac:dyDescent="0.3">
      <c r="A377" s="61"/>
      <c r="B377" s="62"/>
      <c r="C377" s="63"/>
      <c r="D377" s="65"/>
      <c r="E377" s="64"/>
      <c r="F377" s="64"/>
      <c r="G377" s="64"/>
      <c r="H377" s="64"/>
    </row>
    <row r="378" spans="1:8" ht="14.4" x14ac:dyDescent="0.3">
      <c r="A378" s="61"/>
      <c r="B378" s="62"/>
      <c r="C378" s="63"/>
      <c r="D378" s="65"/>
      <c r="E378" s="64"/>
      <c r="F378" s="64"/>
      <c r="G378" s="64"/>
      <c r="H378" s="64"/>
    </row>
    <row r="379" spans="1:8" ht="14.4" x14ac:dyDescent="0.3">
      <c r="A379" s="61"/>
      <c r="B379" s="62"/>
      <c r="C379" s="63"/>
      <c r="D379" s="65"/>
      <c r="E379" s="64"/>
      <c r="F379" s="64"/>
      <c r="G379" s="64"/>
      <c r="H379" s="64"/>
    </row>
    <row r="380" spans="1:8" ht="14.4" x14ac:dyDescent="0.3">
      <c r="A380" s="61"/>
      <c r="B380" s="62"/>
      <c r="C380" s="63"/>
      <c r="D380" s="65"/>
      <c r="E380" s="64"/>
      <c r="F380" s="64"/>
      <c r="G380" s="64"/>
      <c r="H380" s="64"/>
    </row>
    <row r="381" spans="1:8" ht="14.4" x14ac:dyDescent="0.3">
      <c r="A381" s="61"/>
      <c r="B381" s="62"/>
      <c r="C381" s="63"/>
      <c r="D381" s="65"/>
      <c r="E381" s="64"/>
      <c r="F381" s="64"/>
      <c r="G381" s="64"/>
      <c r="H381" s="64"/>
    </row>
    <row r="382" spans="1:8" ht="14.4" x14ac:dyDescent="0.3">
      <c r="A382" s="61"/>
      <c r="B382" s="62"/>
      <c r="C382" s="63"/>
      <c r="D382" s="65"/>
      <c r="E382" s="64"/>
      <c r="F382" s="64"/>
      <c r="G382" s="64"/>
      <c r="H382" s="64"/>
    </row>
    <row r="383" spans="1:8" ht="14.4" x14ac:dyDescent="0.3">
      <c r="A383" s="61"/>
      <c r="B383" s="62"/>
      <c r="C383" s="63"/>
      <c r="D383" s="65"/>
      <c r="E383" s="64"/>
      <c r="F383" s="64"/>
      <c r="G383" s="64"/>
      <c r="H383" s="64"/>
    </row>
    <row r="384" spans="1:8" ht="14.4" x14ac:dyDescent="0.3">
      <c r="A384" s="61"/>
      <c r="B384" s="62"/>
      <c r="C384" s="63"/>
      <c r="D384" s="65"/>
      <c r="E384" s="64"/>
      <c r="F384" s="64"/>
      <c r="G384" s="64"/>
      <c r="H384" s="64"/>
    </row>
    <row r="385" spans="1:8" ht="14.4" x14ac:dyDescent="0.3">
      <c r="A385" s="61"/>
      <c r="B385" s="62"/>
      <c r="C385" s="63"/>
      <c r="D385" s="65"/>
      <c r="E385" s="64"/>
      <c r="F385" s="64"/>
      <c r="G385" s="64"/>
      <c r="H385" s="64"/>
    </row>
    <row r="386" spans="1:8" ht="14.4" x14ac:dyDescent="0.3">
      <c r="A386" s="61"/>
      <c r="B386" s="62"/>
      <c r="C386" s="63"/>
      <c r="D386" s="65"/>
      <c r="E386" s="64"/>
      <c r="F386" s="64"/>
      <c r="G386" s="64"/>
      <c r="H386" s="64"/>
    </row>
    <row r="387" spans="1:8" ht="14.4" x14ac:dyDescent="0.3">
      <c r="A387" s="61"/>
      <c r="B387" s="62"/>
      <c r="C387" s="63"/>
      <c r="D387" s="65"/>
      <c r="E387" s="64"/>
      <c r="F387" s="64"/>
      <c r="G387" s="64"/>
      <c r="H387" s="64"/>
    </row>
    <row r="388" spans="1:8" ht="14.4" x14ac:dyDescent="0.3">
      <c r="A388" s="61"/>
      <c r="B388" s="62"/>
      <c r="C388" s="63"/>
      <c r="D388" s="65"/>
      <c r="E388" s="64"/>
      <c r="F388" s="64"/>
      <c r="G388" s="64"/>
      <c r="H388" s="64"/>
    </row>
    <row r="389" spans="1:8" ht="14.4" x14ac:dyDescent="0.3">
      <c r="A389" s="61"/>
      <c r="B389" s="62"/>
      <c r="C389" s="63"/>
      <c r="D389" s="65"/>
      <c r="E389" s="64"/>
      <c r="F389" s="64"/>
      <c r="G389" s="64"/>
      <c r="H389" s="64"/>
    </row>
    <row r="390" spans="1:8" ht="14.4" x14ac:dyDescent="0.3">
      <c r="A390" s="61"/>
      <c r="B390" s="62"/>
      <c r="C390" s="63"/>
      <c r="D390" s="65"/>
      <c r="E390" s="64"/>
      <c r="F390" s="64"/>
      <c r="G390" s="64"/>
      <c r="H390" s="64"/>
    </row>
    <row r="391" spans="1:8" ht="14.4" x14ac:dyDescent="0.3">
      <c r="A391" s="61"/>
      <c r="B391" s="62"/>
      <c r="C391" s="63"/>
      <c r="D391" s="65"/>
      <c r="E391" s="64"/>
      <c r="F391" s="64"/>
      <c r="G391" s="64"/>
      <c r="H391" s="64"/>
    </row>
    <row r="392" spans="1:8" ht="14.4" x14ac:dyDescent="0.3">
      <c r="A392" s="61"/>
      <c r="B392" s="62"/>
      <c r="C392" s="63"/>
      <c r="D392" s="65"/>
      <c r="E392" s="64"/>
      <c r="F392" s="64"/>
      <c r="G392" s="64"/>
      <c r="H392" s="64"/>
    </row>
    <row r="393" spans="1:8" ht="14.4" x14ac:dyDescent="0.3">
      <c r="A393" s="61"/>
      <c r="B393" s="62"/>
      <c r="C393" s="63"/>
      <c r="D393" s="65"/>
      <c r="E393" s="64"/>
      <c r="F393" s="64"/>
      <c r="G393" s="64"/>
      <c r="H393" s="64"/>
    </row>
    <row r="394" spans="1:8" ht="14.4" x14ac:dyDescent="0.3">
      <c r="A394" s="61"/>
      <c r="B394" s="62"/>
      <c r="C394" s="63"/>
      <c r="D394" s="65"/>
      <c r="E394" s="64"/>
      <c r="F394" s="64"/>
      <c r="G394" s="64"/>
      <c r="H394" s="64"/>
    </row>
    <row r="395" spans="1:8" ht="14.4" x14ac:dyDescent="0.3">
      <c r="A395" s="61"/>
      <c r="B395" s="62"/>
      <c r="C395" s="63"/>
      <c r="D395" s="65"/>
      <c r="E395" s="64"/>
      <c r="F395" s="64"/>
      <c r="G395" s="64"/>
      <c r="H395" s="64"/>
    </row>
    <row r="396" spans="1:8" ht="14.4" x14ac:dyDescent="0.3">
      <c r="A396" s="61"/>
      <c r="B396" s="62"/>
      <c r="C396" s="63"/>
      <c r="D396" s="65"/>
      <c r="E396" s="64"/>
      <c r="F396" s="64"/>
      <c r="G396" s="64"/>
      <c r="H396" s="64"/>
    </row>
    <row r="397" spans="1:8" ht="14.4" x14ac:dyDescent="0.3">
      <c r="A397" s="61"/>
      <c r="B397" s="62"/>
      <c r="C397" s="63"/>
      <c r="D397" s="65"/>
      <c r="E397" s="64"/>
      <c r="F397" s="64"/>
      <c r="G397" s="64"/>
      <c r="H397" s="64"/>
    </row>
    <row r="398" spans="1:8" ht="14.4" x14ac:dyDescent="0.3">
      <c r="A398" s="61"/>
      <c r="B398" s="62"/>
      <c r="C398" s="63"/>
      <c r="D398" s="65"/>
      <c r="E398" s="64"/>
      <c r="F398" s="64"/>
      <c r="G398" s="64"/>
      <c r="H398" s="64"/>
    </row>
    <row r="399" spans="1:8" ht="14.4" x14ac:dyDescent="0.3">
      <c r="A399" s="61"/>
      <c r="B399" s="62"/>
      <c r="C399" s="63"/>
      <c r="D399" s="65"/>
      <c r="E399" s="64"/>
      <c r="F399" s="64"/>
      <c r="G399" s="64"/>
      <c r="H399" s="64"/>
    </row>
    <row r="400" spans="1:8" ht="14.4" x14ac:dyDescent="0.3">
      <c r="A400" s="61"/>
      <c r="B400" s="62"/>
      <c r="C400" s="63"/>
      <c r="D400" s="65"/>
      <c r="E400" s="64"/>
      <c r="F400" s="64"/>
      <c r="G400" s="64"/>
      <c r="H400" s="64"/>
    </row>
    <row r="401" spans="1:8" ht="14.4" x14ac:dyDescent="0.3">
      <c r="A401" s="61"/>
      <c r="B401" s="62"/>
      <c r="C401" s="63"/>
      <c r="D401" s="65"/>
      <c r="E401" s="64"/>
      <c r="F401" s="64"/>
      <c r="G401" s="64"/>
      <c r="H401" s="64"/>
    </row>
    <row r="402" spans="1:8" ht="14.4" x14ac:dyDescent="0.3">
      <c r="A402" s="61"/>
      <c r="B402" s="62"/>
      <c r="C402" s="63"/>
      <c r="D402" s="65"/>
      <c r="E402" s="64"/>
      <c r="F402" s="64"/>
      <c r="G402" s="64"/>
      <c r="H402" s="64"/>
    </row>
    <row r="403" spans="1:8" ht="14.4" x14ac:dyDescent="0.3">
      <c r="A403" s="61"/>
      <c r="B403" s="62"/>
      <c r="C403" s="63"/>
      <c r="D403" s="65"/>
      <c r="E403" s="64"/>
      <c r="F403" s="64"/>
      <c r="G403" s="64"/>
      <c r="H403" s="64"/>
    </row>
    <row r="404" spans="1:8" ht="14.4" x14ac:dyDescent="0.3">
      <c r="A404" s="61"/>
      <c r="B404" s="62"/>
      <c r="C404" s="63"/>
      <c r="D404" s="65"/>
      <c r="E404" s="64"/>
      <c r="F404" s="64"/>
      <c r="G404" s="64"/>
      <c r="H404" s="64"/>
    </row>
    <row r="405" spans="1:8" ht="14.4" x14ac:dyDescent="0.3">
      <c r="A405" s="61"/>
      <c r="B405" s="62"/>
      <c r="C405" s="63"/>
      <c r="D405" s="65"/>
      <c r="E405" s="64"/>
      <c r="F405" s="64"/>
      <c r="G405" s="64"/>
      <c r="H405" s="64"/>
    </row>
    <row r="406" spans="1:8" ht="14.4" x14ac:dyDescent="0.3">
      <c r="A406" s="61"/>
      <c r="B406" s="62"/>
      <c r="C406" s="63"/>
      <c r="D406" s="65"/>
      <c r="E406" s="64"/>
      <c r="F406" s="64"/>
      <c r="G406" s="64"/>
      <c r="H406" s="64"/>
    </row>
    <row r="407" spans="1:8" ht="14.4" x14ac:dyDescent="0.3">
      <c r="A407" s="61"/>
      <c r="B407" s="62"/>
      <c r="C407" s="63"/>
      <c r="D407" s="65"/>
      <c r="E407" s="64"/>
      <c r="F407" s="64"/>
      <c r="G407" s="64"/>
      <c r="H407" s="64"/>
    </row>
    <row r="408" spans="1:8" ht="14.4" x14ac:dyDescent="0.3">
      <c r="A408" s="61"/>
      <c r="B408" s="62"/>
      <c r="C408" s="63"/>
      <c r="D408" s="65"/>
      <c r="E408" s="64"/>
      <c r="F408" s="64"/>
      <c r="G408" s="64"/>
      <c r="H408" s="64"/>
    </row>
    <row r="409" spans="1:8" ht="14.4" x14ac:dyDescent="0.3">
      <c r="A409" s="61"/>
      <c r="B409" s="62"/>
      <c r="C409" s="63"/>
      <c r="D409" s="65"/>
      <c r="E409" s="64"/>
      <c r="F409" s="64"/>
      <c r="G409" s="64"/>
      <c r="H409" s="64"/>
    </row>
    <row r="410" spans="1:8" ht="14.4" x14ac:dyDescent="0.3">
      <c r="A410" s="61"/>
      <c r="B410" s="62"/>
      <c r="C410" s="63"/>
      <c r="D410" s="65"/>
      <c r="E410" s="64"/>
      <c r="F410" s="64"/>
      <c r="G410" s="64"/>
      <c r="H410" s="64"/>
    </row>
    <row r="411" spans="1:8" ht="14.4" x14ac:dyDescent="0.3">
      <c r="A411" s="61"/>
      <c r="B411" s="62"/>
      <c r="C411" s="63"/>
      <c r="D411" s="65"/>
      <c r="E411" s="64"/>
      <c r="F411" s="64"/>
      <c r="G411" s="64"/>
      <c r="H411" s="64"/>
    </row>
    <row r="412" spans="1:8" ht="14.4" x14ac:dyDescent="0.3">
      <c r="A412" s="61"/>
      <c r="B412" s="62"/>
      <c r="C412" s="63"/>
      <c r="D412" s="65"/>
      <c r="E412" s="64"/>
      <c r="F412" s="64"/>
      <c r="G412" s="64"/>
      <c r="H412" s="64"/>
    </row>
    <row r="413" spans="1:8" ht="14.4" x14ac:dyDescent="0.3">
      <c r="A413" s="61"/>
      <c r="B413" s="62"/>
      <c r="C413" s="63"/>
      <c r="D413" s="65"/>
      <c r="E413" s="64"/>
      <c r="F413" s="64"/>
      <c r="G413" s="64"/>
      <c r="H413" s="64"/>
    </row>
    <row r="414" spans="1:8" ht="14.4" x14ac:dyDescent="0.3">
      <c r="A414" s="61"/>
      <c r="B414" s="62"/>
      <c r="C414" s="63"/>
      <c r="D414" s="65"/>
      <c r="E414" s="64"/>
      <c r="F414" s="64"/>
      <c r="G414" s="64"/>
      <c r="H414" s="64"/>
    </row>
    <row r="415" spans="1:8" ht="14.4" x14ac:dyDescent="0.3">
      <c r="A415" s="61"/>
      <c r="B415" s="62"/>
      <c r="C415" s="63"/>
      <c r="D415" s="65"/>
      <c r="E415" s="64"/>
      <c r="F415" s="64"/>
      <c r="G415" s="64"/>
      <c r="H415" s="64"/>
    </row>
    <row r="416" spans="1:8" ht="14.4" x14ac:dyDescent="0.3">
      <c r="A416" s="61"/>
      <c r="B416" s="62"/>
      <c r="C416" s="63"/>
      <c r="D416" s="65"/>
      <c r="E416" s="64"/>
      <c r="F416" s="64"/>
      <c r="G416" s="64"/>
      <c r="H416" s="64"/>
    </row>
    <row r="417" spans="1:8" ht="14.4" x14ac:dyDescent="0.3">
      <c r="A417" s="61"/>
      <c r="B417" s="62"/>
      <c r="C417" s="63"/>
      <c r="D417" s="65"/>
      <c r="E417" s="64"/>
      <c r="F417" s="64"/>
      <c r="G417" s="64"/>
      <c r="H417" s="64"/>
    </row>
    <row r="418" spans="1:8" ht="14.4" x14ac:dyDescent="0.3">
      <c r="A418" s="61"/>
      <c r="B418" s="62"/>
      <c r="C418" s="63"/>
      <c r="D418" s="65"/>
      <c r="E418" s="64"/>
      <c r="F418" s="64"/>
      <c r="G418" s="64"/>
      <c r="H418" s="64"/>
    </row>
    <row r="419" spans="1:8" ht="14.4" x14ac:dyDescent="0.3">
      <c r="A419" s="61"/>
      <c r="B419" s="62"/>
      <c r="C419" s="63"/>
      <c r="D419" s="65"/>
      <c r="E419" s="64"/>
      <c r="F419" s="64"/>
      <c r="G419" s="64"/>
      <c r="H419" s="64"/>
    </row>
    <row r="420" spans="1:8" ht="14.4" x14ac:dyDescent="0.3">
      <c r="A420" s="61"/>
      <c r="B420" s="62"/>
      <c r="C420" s="63"/>
      <c r="D420" s="65"/>
      <c r="E420" s="64"/>
      <c r="F420" s="64"/>
      <c r="G420" s="64"/>
      <c r="H420" s="64"/>
    </row>
    <row r="421" spans="1:8" ht="14.4" x14ac:dyDescent="0.3">
      <c r="A421" s="61"/>
      <c r="B421" s="62"/>
      <c r="C421" s="63"/>
      <c r="D421" s="65"/>
      <c r="E421" s="64"/>
      <c r="F421" s="64"/>
      <c r="G421" s="64"/>
      <c r="H421" s="64"/>
    </row>
    <row r="422" spans="1:8" ht="14.4" x14ac:dyDescent="0.3">
      <c r="A422" s="61"/>
      <c r="B422" s="62"/>
      <c r="C422" s="63"/>
      <c r="D422" s="65"/>
      <c r="E422" s="64"/>
      <c r="F422" s="64"/>
      <c r="G422" s="64"/>
      <c r="H422" s="64"/>
    </row>
    <row r="423" spans="1:8" ht="14.4" x14ac:dyDescent="0.3">
      <c r="A423" s="61"/>
      <c r="B423" s="62"/>
      <c r="C423" s="63"/>
      <c r="D423" s="65"/>
      <c r="E423" s="64"/>
      <c r="F423" s="64"/>
      <c r="G423" s="64"/>
      <c r="H423" s="64"/>
    </row>
    <row r="424" spans="1:8" ht="14.4" x14ac:dyDescent="0.3">
      <c r="A424" s="61"/>
      <c r="B424" s="62"/>
      <c r="C424" s="63"/>
      <c r="D424" s="65"/>
      <c r="E424" s="64"/>
      <c r="F424" s="64"/>
      <c r="G424" s="64"/>
      <c r="H424" s="64"/>
    </row>
    <row r="425" spans="1:8" ht="14.4" x14ac:dyDescent="0.3">
      <c r="A425" s="61"/>
      <c r="B425" s="62"/>
      <c r="C425" s="63"/>
      <c r="D425" s="65"/>
      <c r="E425" s="64"/>
      <c r="F425" s="64"/>
      <c r="G425" s="64"/>
      <c r="H425" s="64"/>
    </row>
    <row r="426" spans="1:8" ht="14.4" x14ac:dyDescent="0.3">
      <c r="A426" s="61"/>
      <c r="B426" s="62"/>
      <c r="C426" s="63"/>
      <c r="D426" s="65"/>
      <c r="E426" s="64"/>
      <c r="F426" s="64"/>
      <c r="G426" s="64"/>
      <c r="H426" s="64"/>
    </row>
    <row r="427" spans="1:8" ht="14.4" x14ac:dyDescent="0.3">
      <c r="A427" s="61"/>
      <c r="B427" s="62"/>
      <c r="C427" s="63"/>
      <c r="D427" s="65"/>
      <c r="E427" s="64"/>
      <c r="F427" s="64"/>
      <c r="G427" s="64"/>
      <c r="H427" s="64"/>
    </row>
    <row r="428" spans="1:8" ht="14.4" x14ac:dyDescent="0.3">
      <c r="A428" s="61"/>
      <c r="B428" s="62"/>
      <c r="C428" s="63"/>
      <c r="D428" s="65"/>
      <c r="E428" s="64"/>
      <c r="F428" s="64"/>
      <c r="G428" s="64"/>
      <c r="H428" s="64"/>
    </row>
    <row r="429" spans="1:8" ht="14.4" x14ac:dyDescent="0.3">
      <c r="A429" s="61"/>
      <c r="B429" s="62"/>
      <c r="C429" s="63"/>
      <c r="D429" s="65"/>
      <c r="E429" s="64"/>
      <c r="F429" s="64"/>
      <c r="G429" s="64"/>
      <c r="H429" s="64"/>
    </row>
    <row r="430" spans="1:8" ht="14.4" x14ac:dyDescent="0.3">
      <c r="A430" s="61"/>
      <c r="B430" s="62"/>
      <c r="C430" s="63"/>
      <c r="D430" s="65"/>
      <c r="E430" s="64"/>
      <c r="F430" s="64"/>
      <c r="G430" s="64"/>
      <c r="H430" s="64"/>
    </row>
    <row r="431" spans="1:8" ht="14.4" x14ac:dyDescent="0.3">
      <c r="A431" s="61"/>
      <c r="B431" s="62"/>
      <c r="C431" s="63"/>
      <c r="D431" s="65"/>
      <c r="E431" s="64"/>
      <c r="F431" s="64"/>
      <c r="G431" s="64"/>
      <c r="H431" s="64"/>
    </row>
    <row r="432" spans="1:8" ht="14.4" x14ac:dyDescent="0.3">
      <c r="A432" s="61"/>
      <c r="B432" s="62"/>
      <c r="C432" s="63"/>
      <c r="D432" s="65"/>
      <c r="E432" s="64"/>
      <c r="F432" s="64"/>
      <c r="G432" s="64"/>
      <c r="H432" s="64"/>
    </row>
    <row r="433" spans="1:8" ht="14.4" x14ac:dyDescent="0.3">
      <c r="A433" s="61"/>
      <c r="B433" s="62"/>
      <c r="C433" s="63"/>
      <c r="D433" s="65"/>
      <c r="E433" s="64"/>
      <c r="F433" s="64"/>
      <c r="G433" s="64"/>
      <c r="H433" s="64"/>
    </row>
    <row r="434" spans="1:8" ht="14.4" x14ac:dyDescent="0.3">
      <c r="A434" s="61"/>
      <c r="B434" s="62"/>
      <c r="C434" s="63"/>
      <c r="D434" s="65"/>
      <c r="E434" s="64"/>
      <c r="F434" s="64"/>
      <c r="G434" s="64"/>
      <c r="H434" s="64"/>
    </row>
    <row r="435" spans="1:8" ht="14.4" x14ac:dyDescent="0.3">
      <c r="A435" s="61"/>
      <c r="B435" s="62"/>
      <c r="C435" s="63"/>
      <c r="D435" s="65"/>
      <c r="E435" s="64"/>
      <c r="F435" s="64"/>
      <c r="G435" s="64"/>
      <c r="H435" s="64"/>
    </row>
    <row r="436" spans="1:8" ht="14.4" x14ac:dyDescent="0.3">
      <c r="A436" s="61"/>
      <c r="B436" s="62"/>
      <c r="C436" s="63"/>
      <c r="D436" s="65"/>
      <c r="E436" s="64"/>
      <c r="F436" s="64"/>
      <c r="G436" s="64"/>
      <c r="H436" s="64"/>
    </row>
    <row r="437" spans="1:8" ht="14.4" x14ac:dyDescent="0.3">
      <c r="A437" s="61"/>
      <c r="B437" s="62"/>
      <c r="C437" s="63"/>
      <c r="D437" s="65"/>
      <c r="E437" s="64"/>
      <c r="F437" s="64"/>
      <c r="G437" s="64"/>
      <c r="H437" s="64"/>
    </row>
    <row r="438" spans="1:8" ht="14.4" x14ac:dyDescent="0.3">
      <c r="A438" s="61"/>
      <c r="B438" s="62"/>
      <c r="C438" s="63"/>
      <c r="D438" s="65"/>
      <c r="E438" s="64"/>
      <c r="F438" s="64"/>
      <c r="G438" s="64"/>
      <c r="H438" s="64"/>
    </row>
    <row r="439" spans="1:8" ht="14.4" x14ac:dyDescent="0.3">
      <c r="A439" s="61"/>
      <c r="B439" s="62"/>
      <c r="C439" s="63"/>
      <c r="D439" s="65"/>
      <c r="E439" s="64"/>
      <c r="F439" s="64"/>
      <c r="G439" s="64"/>
      <c r="H439" s="64"/>
    </row>
    <row r="440" spans="1:8" ht="14.4" x14ac:dyDescent="0.3">
      <c r="A440" s="61"/>
      <c r="B440" s="62"/>
      <c r="C440" s="63"/>
      <c r="D440" s="65"/>
      <c r="E440" s="64"/>
      <c r="F440" s="64"/>
      <c r="G440" s="64"/>
      <c r="H440" s="64"/>
    </row>
    <row r="441" spans="1:8" ht="14.4" x14ac:dyDescent="0.3">
      <c r="A441" s="61"/>
      <c r="B441" s="62"/>
      <c r="C441" s="63"/>
      <c r="D441" s="65"/>
      <c r="E441" s="64"/>
      <c r="F441" s="64"/>
      <c r="G441" s="64"/>
      <c r="H441" s="64"/>
    </row>
    <row r="442" spans="1:8" ht="14.4" x14ac:dyDescent="0.3">
      <c r="A442" s="61"/>
      <c r="B442" s="62"/>
      <c r="C442" s="63"/>
      <c r="D442" s="65"/>
      <c r="E442" s="64"/>
      <c r="F442" s="64"/>
      <c r="G442" s="64"/>
      <c r="H442" s="64"/>
    </row>
    <row r="443" spans="1:8" ht="14.4" x14ac:dyDescent="0.3">
      <c r="A443" s="61"/>
      <c r="B443" s="62"/>
      <c r="C443" s="63"/>
      <c r="D443" s="65"/>
      <c r="E443" s="64"/>
      <c r="F443" s="64"/>
      <c r="G443" s="64"/>
      <c r="H443" s="64"/>
    </row>
    <row r="444" spans="1:8" ht="14.4" x14ac:dyDescent="0.3">
      <c r="A444" s="61"/>
      <c r="B444" s="62"/>
      <c r="C444" s="63"/>
      <c r="D444" s="65"/>
      <c r="E444" s="64"/>
      <c r="F444" s="64"/>
      <c r="G444" s="64"/>
      <c r="H444" s="64"/>
    </row>
    <row r="445" spans="1:8" ht="14.4" x14ac:dyDescent="0.3">
      <c r="A445" s="61"/>
      <c r="B445" s="62"/>
      <c r="C445" s="63"/>
      <c r="D445" s="65"/>
      <c r="E445" s="64"/>
      <c r="F445" s="64"/>
      <c r="G445" s="64"/>
      <c r="H445" s="64"/>
    </row>
    <row r="446" spans="1:8" ht="14.4" x14ac:dyDescent="0.3">
      <c r="A446" s="61"/>
      <c r="B446" s="62"/>
      <c r="C446" s="63"/>
      <c r="D446" s="65"/>
      <c r="E446" s="64"/>
      <c r="F446" s="64"/>
      <c r="G446" s="64"/>
      <c r="H446" s="64"/>
    </row>
    <row r="447" spans="1:8" ht="14.4" x14ac:dyDescent="0.3">
      <c r="A447" s="61"/>
      <c r="B447" s="62"/>
      <c r="C447" s="63"/>
      <c r="D447" s="65"/>
      <c r="E447" s="64"/>
      <c r="F447" s="64"/>
      <c r="G447" s="64"/>
      <c r="H447" s="64"/>
    </row>
    <row r="448" spans="1:8" ht="14.4" x14ac:dyDescent="0.3">
      <c r="A448" s="61"/>
      <c r="B448" s="62"/>
      <c r="C448" s="63"/>
      <c r="D448" s="65"/>
      <c r="E448" s="64"/>
      <c r="F448" s="64"/>
      <c r="G448" s="64"/>
      <c r="H448" s="64"/>
    </row>
    <row r="449" spans="1:8" ht="14.4" x14ac:dyDescent="0.3">
      <c r="A449" s="61"/>
      <c r="B449" s="62"/>
      <c r="C449" s="63"/>
      <c r="D449" s="65"/>
      <c r="E449" s="64"/>
      <c r="F449" s="64"/>
      <c r="G449" s="64"/>
      <c r="H449" s="64"/>
    </row>
    <row r="450" spans="1:8" ht="14.4" x14ac:dyDescent="0.3">
      <c r="A450" s="61"/>
      <c r="B450" s="62"/>
      <c r="C450" s="63"/>
      <c r="D450" s="65"/>
      <c r="E450" s="64"/>
      <c r="F450" s="64"/>
      <c r="G450" s="64"/>
      <c r="H450" s="64"/>
    </row>
    <row r="451" spans="1:8" ht="14.4" x14ac:dyDescent="0.3">
      <c r="A451" s="61"/>
      <c r="B451" s="62"/>
      <c r="C451" s="63"/>
      <c r="D451" s="65"/>
      <c r="E451" s="64"/>
      <c r="F451" s="64"/>
      <c r="G451" s="64"/>
      <c r="H451" s="64"/>
    </row>
  </sheetData>
  <autoFilter ref="A6:N316" xr:uid="{00000000-0009-0000-0000-000013000000}">
    <filterColumn colId="6">
      <filters blank="1"/>
    </filterColumn>
  </autoFilter>
  <mergeCells count="10">
    <mergeCell ref="I4:I5"/>
    <mergeCell ref="A2:F3"/>
    <mergeCell ref="A4:A5"/>
    <mergeCell ref="B4:B5"/>
    <mergeCell ref="C4:C5"/>
    <mergeCell ref="D4:D5"/>
    <mergeCell ref="E4:E5"/>
    <mergeCell ref="F4:F5"/>
    <mergeCell ref="G4:G5"/>
    <mergeCell ref="H4:H5"/>
  </mergeCells>
  <conditionalFormatting sqref="C7:C228">
    <cfRule type="duplicateValues" dxfId="11" priority="1793"/>
    <cfRule type="duplicateValues" dxfId="10" priority="1794"/>
    <cfRule type="duplicateValues" dxfId="9" priority="1795"/>
    <cfRule type="duplicateValues" dxfId="8" priority="1796"/>
  </conditionalFormatting>
  <conditionalFormatting sqref="C229:C1048576 C1 C4:C6">
    <cfRule type="duplicateValues" dxfId="7" priority="79"/>
    <cfRule type="duplicateValues" dxfId="6" priority="81"/>
    <cfRule type="duplicateValues" dxfId="5" priority="82"/>
  </conditionalFormatting>
  <conditionalFormatting sqref="C229:C1048576 C1:C6">
    <cfRule type="duplicateValues" dxfId="4" priority="78"/>
  </conditionalFormatting>
  <conditionalFormatting sqref="E7:E228">
    <cfRule type="uniqueValues" dxfId="3" priority="1804"/>
    <cfRule type="duplicateValues" dxfId="2" priority="1805"/>
  </conditionalFormatting>
  <conditionalFormatting sqref="E229:E1048576 E1 E4:E6">
    <cfRule type="uniqueValues" dxfId="1" priority="80"/>
    <cfRule type="duplicateValues" dxfId="0" priority="100"/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NĂM 2022 -misa</vt:lpstr>
      <vt:lpstr>hd ghi giam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2026-08-20T08:32:20Z</dcterms:modified>
</cp:coreProperties>
</file>