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4EFCD0FF-15FD-4C5E-A238-F72BA0B87782}" xr6:coauthVersionLast="47" xr6:coauthVersionMax="47" xr10:uidLastSave="{00000000-0000-0000-0000-000000000000}"/>
  <bookViews>
    <workbookView xWindow="28680" yWindow="-120" windowWidth="29040" windowHeight="15840" tabRatio="599" xr2:uid="{00000000-000D-0000-FFFF-FFFF00000000}"/>
  </bookViews>
  <sheets>
    <sheet name="05.2022-misa" sheetId="2" r:id="rId1"/>
    <sheet name="hd ghi giam" sheetId="3" r:id="rId2"/>
    <sheet name="Sheet1" sheetId="1" r:id="rId3"/>
  </sheets>
  <externalReferences>
    <externalReference r:id="rId4"/>
  </externalReferences>
  <definedNames>
    <definedName name="_xlnm._FilterDatabase" localSheetId="0" hidden="1">'05.2022-misa'!$A$6:$W$2202</definedName>
    <definedName name="_xlnm._FilterDatabase" localSheetId="1" hidden="1">'hd ghi giam'!$A$5:$M$1038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02" i="2" l="1"/>
  <c r="G2202" i="2" s="1"/>
  <c r="I2202" i="2" s="1"/>
  <c r="F2201" i="2"/>
  <c r="G2201" i="2" s="1"/>
  <c r="I2201" i="2" s="1"/>
  <c r="F2200" i="2"/>
  <c r="G2200" i="2" s="1"/>
  <c r="I2200" i="2" s="1"/>
  <c r="F2199" i="2"/>
  <c r="G2199" i="2" s="1"/>
  <c r="I2199" i="2" s="1"/>
  <c r="F2198" i="2"/>
  <c r="G2198" i="2" s="1"/>
  <c r="I2198" i="2" s="1"/>
  <c r="F2197" i="2"/>
  <c r="G2197" i="2" s="1"/>
  <c r="I2197" i="2" s="1"/>
  <c r="F2196" i="2"/>
  <c r="G2196" i="2" s="1"/>
  <c r="I2196" i="2" s="1"/>
  <c r="F2195" i="2"/>
  <c r="G2195" i="2" s="1"/>
  <c r="I2195" i="2" s="1"/>
  <c r="F2194" i="2"/>
  <c r="G2194" i="2" s="1"/>
  <c r="I2194" i="2" s="1"/>
  <c r="F2193" i="2"/>
  <c r="G2193" i="2" s="1"/>
  <c r="I2193" i="2" s="1"/>
  <c r="F2192" i="2"/>
  <c r="G2192" i="2" s="1"/>
  <c r="I2192" i="2" s="1"/>
  <c r="F2191" i="2"/>
  <c r="G2191" i="2" s="1"/>
  <c r="I2191" i="2" s="1"/>
  <c r="F2190" i="2"/>
  <c r="G2190" i="2" s="1"/>
  <c r="I2190" i="2" s="1"/>
  <c r="F2189" i="2"/>
  <c r="G2189" i="2" s="1"/>
  <c r="I2189" i="2" s="1"/>
  <c r="F2188" i="2"/>
  <c r="G2188" i="2" s="1"/>
  <c r="I2188" i="2" s="1"/>
  <c r="F2187" i="2"/>
  <c r="G2187" i="2" s="1"/>
  <c r="I2187" i="2" s="1"/>
  <c r="F2186" i="2"/>
  <c r="G2186" i="2" s="1"/>
  <c r="I2186" i="2" s="1"/>
  <c r="F2185" i="2"/>
  <c r="G2185" i="2" s="1"/>
  <c r="I2185" i="2" s="1"/>
  <c r="F2184" i="2"/>
  <c r="G2184" i="2" s="1"/>
  <c r="I2184" i="2" s="1"/>
  <c r="F2183" i="2"/>
  <c r="G2183" i="2" s="1"/>
  <c r="I2183" i="2" s="1"/>
  <c r="F2182" i="2"/>
  <c r="G2182" i="2" s="1"/>
  <c r="I2182" i="2" s="1"/>
  <c r="F2181" i="2"/>
  <c r="G2181" i="2" s="1"/>
  <c r="I2181" i="2" s="1"/>
  <c r="F2180" i="2"/>
  <c r="G2180" i="2" s="1"/>
  <c r="I2180" i="2" s="1"/>
  <c r="F2179" i="2"/>
  <c r="G2179" i="2" s="1"/>
  <c r="I2179" i="2" s="1"/>
  <c r="F2178" i="2"/>
  <c r="G2178" i="2" s="1"/>
  <c r="I2178" i="2" s="1"/>
  <c r="F2177" i="2"/>
  <c r="G2177" i="2" s="1"/>
  <c r="I2177" i="2" s="1"/>
  <c r="F2176" i="2"/>
  <c r="G2176" i="2" s="1"/>
  <c r="I2176" i="2" s="1"/>
  <c r="F2175" i="2"/>
  <c r="G2175" i="2" s="1"/>
  <c r="I2175" i="2" s="1"/>
  <c r="F2174" i="2"/>
  <c r="G2174" i="2" s="1"/>
  <c r="I2174" i="2" s="1"/>
  <c r="F2173" i="2"/>
  <c r="G2173" i="2" s="1"/>
  <c r="I2173" i="2" s="1"/>
  <c r="F2172" i="2"/>
  <c r="G2172" i="2" s="1"/>
  <c r="I2172" i="2" s="1"/>
  <c r="F2171" i="2"/>
  <c r="G2171" i="2" s="1"/>
  <c r="I2171" i="2" s="1"/>
  <c r="F2170" i="2"/>
  <c r="G2170" i="2" s="1"/>
  <c r="I2170" i="2" s="1"/>
  <c r="F2169" i="2"/>
  <c r="G2169" i="2" s="1"/>
  <c r="I2169" i="2" s="1"/>
  <c r="F2168" i="2"/>
  <c r="G2168" i="2" s="1"/>
  <c r="I2168" i="2" s="1"/>
  <c r="F2167" i="2"/>
  <c r="G2167" i="2" s="1"/>
  <c r="I2167" i="2" s="1"/>
  <c r="F2166" i="2"/>
  <c r="G2166" i="2" s="1"/>
  <c r="I2166" i="2" s="1"/>
  <c r="F2165" i="2"/>
  <c r="G2165" i="2" s="1"/>
  <c r="I2165" i="2" s="1"/>
  <c r="F2164" i="2"/>
  <c r="G2164" i="2" s="1"/>
  <c r="I2164" i="2" s="1"/>
  <c r="F2163" i="2"/>
  <c r="G2163" i="2" s="1"/>
  <c r="I2163" i="2" s="1"/>
  <c r="F2162" i="2"/>
  <c r="G2162" i="2" s="1"/>
  <c r="I2162" i="2" s="1"/>
  <c r="F2161" i="2"/>
  <c r="G2161" i="2" s="1"/>
  <c r="I2161" i="2" s="1"/>
  <c r="F2160" i="2"/>
  <c r="G2160" i="2" s="1"/>
  <c r="I2160" i="2" s="1"/>
  <c r="F2159" i="2"/>
  <c r="G2159" i="2" s="1"/>
  <c r="I2159" i="2" s="1"/>
  <c r="F2158" i="2"/>
  <c r="G2158" i="2" s="1"/>
  <c r="I2158" i="2" s="1"/>
  <c r="F2157" i="2"/>
  <c r="G2157" i="2" s="1"/>
  <c r="I2157" i="2" s="1"/>
  <c r="F2156" i="2"/>
  <c r="G2156" i="2" s="1"/>
  <c r="I2156" i="2" s="1"/>
  <c r="F2155" i="2"/>
  <c r="G2155" i="2" s="1"/>
  <c r="I2155" i="2" s="1"/>
  <c r="F2154" i="2"/>
  <c r="G2154" i="2" s="1"/>
  <c r="I2154" i="2" s="1"/>
  <c r="F2153" i="2"/>
  <c r="G2153" i="2" s="1"/>
  <c r="I2153" i="2" s="1"/>
  <c r="F2152" i="2"/>
  <c r="G2152" i="2" s="1"/>
  <c r="I2152" i="2" s="1"/>
  <c r="F2151" i="2"/>
  <c r="G2151" i="2" s="1"/>
  <c r="I2151" i="2" s="1"/>
  <c r="F2150" i="2"/>
  <c r="G2150" i="2" s="1"/>
  <c r="I2150" i="2" s="1"/>
  <c r="F2149" i="2"/>
  <c r="G2149" i="2" s="1"/>
  <c r="I2149" i="2" s="1"/>
  <c r="F2148" i="2"/>
  <c r="G2148" i="2" s="1"/>
  <c r="I2148" i="2" s="1"/>
  <c r="G2147" i="2"/>
  <c r="I2147" i="2" s="1"/>
  <c r="F2147" i="2"/>
  <c r="F2146" i="2"/>
  <c r="G2146" i="2" s="1"/>
  <c r="I2146" i="2" s="1"/>
  <c r="F2145" i="2"/>
  <c r="G2145" i="2" s="1"/>
  <c r="I2145" i="2" s="1"/>
  <c r="F2144" i="2"/>
  <c r="G2144" i="2" s="1"/>
  <c r="I2144" i="2" s="1"/>
  <c r="F2143" i="2"/>
  <c r="G2143" i="2" s="1"/>
  <c r="I2143" i="2" s="1"/>
  <c r="F2142" i="2"/>
  <c r="G2142" i="2" s="1"/>
  <c r="I2142" i="2" s="1"/>
  <c r="F2141" i="2"/>
  <c r="G2141" i="2" s="1"/>
  <c r="I2141" i="2" s="1"/>
  <c r="F2140" i="2"/>
  <c r="G2140" i="2" s="1"/>
  <c r="I2140" i="2" s="1"/>
  <c r="F2139" i="2"/>
  <c r="G2139" i="2" s="1"/>
  <c r="I2139" i="2" s="1"/>
  <c r="F2138" i="2"/>
  <c r="G2138" i="2" s="1"/>
  <c r="I2138" i="2" s="1"/>
  <c r="F2137" i="2"/>
  <c r="G2137" i="2" s="1"/>
  <c r="I2137" i="2" s="1"/>
  <c r="F2136" i="2"/>
  <c r="G2136" i="2" s="1"/>
  <c r="I2136" i="2" s="1"/>
  <c r="F2135" i="2"/>
  <c r="G2135" i="2" s="1"/>
  <c r="I2135" i="2" s="1"/>
  <c r="F2134" i="2"/>
  <c r="G2134" i="2" s="1"/>
  <c r="I2134" i="2" s="1"/>
  <c r="F2133" i="2"/>
  <c r="G2133" i="2" s="1"/>
  <c r="I2133" i="2" s="1"/>
  <c r="F2132" i="2"/>
  <c r="G2132" i="2" s="1"/>
  <c r="I2132" i="2" s="1"/>
  <c r="F2131" i="2"/>
  <c r="G2131" i="2" s="1"/>
  <c r="I2131" i="2" s="1"/>
  <c r="F2130" i="2"/>
  <c r="G2130" i="2" s="1"/>
  <c r="I2130" i="2" s="1"/>
  <c r="F2129" i="2"/>
  <c r="G2129" i="2" s="1"/>
  <c r="I2129" i="2" s="1"/>
  <c r="F2128" i="2"/>
  <c r="G2128" i="2" s="1"/>
  <c r="I2128" i="2" s="1"/>
  <c r="F2127" i="2"/>
  <c r="G2127" i="2" s="1"/>
  <c r="I2127" i="2" s="1"/>
  <c r="F2126" i="2"/>
  <c r="G2126" i="2" s="1"/>
  <c r="I2126" i="2" s="1"/>
  <c r="F2125" i="2"/>
  <c r="G2125" i="2" s="1"/>
  <c r="I2125" i="2" s="1"/>
  <c r="F2124" i="2"/>
  <c r="G2124" i="2" s="1"/>
  <c r="I2124" i="2" s="1"/>
  <c r="F2123" i="2"/>
  <c r="G2123" i="2" s="1"/>
  <c r="I2123" i="2" s="1"/>
  <c r="F2122" i="2"/>
  <c r="G2122" i="2" s="1"/>
  <c r="I2122" i="2" s="1"/>
  <c r="F2121" i="2"/>
  <c r="G2121" i="2" s="1"/>
  <c r="I2121" i="2" s="1"/>
  <c r="F2120" i="2"/>
  <c r="G2120" i="2" s="1"/>
  <c r="I2120" i="2" s="1"/>
  <c r="F2119" i="2"/>
  <c r="G2119" i="2" s="1"/>
  <c r="I2119" i="2" s="1"/>
  <c r="F2118" i="2"/>
  <c r="G2118" i="2" s="1"/>
  <c r="I2118" i="2" s="1"/>
  <c r="F2117" i="2"/>
  <c r="G2117" i="2" s="1"/>
  <c r="I2117" i="2" s="1"/>
  <c r="F2116" i="2"/>
  <c r="G2116" i="2" s="1"/>
  <c r="I2116" i="2" s="1"/>
  <c r="F2115" i="2"/>
  <c r="G2115" i="2" s="1"/>
  <c r="I2115" i="2" s="1"/>
  <c r="F2114" i="2"/>
  <c r="G2114" i="2" s="1"/>
  <c r="I2114" i="2" s="1"/>
  <c r="F2113" i="2"/>
  <c r="G2113" i="2" s="1"/>
  <c r="I2113" i="2" s="1"/>
  <c r="F2112" i="2"/>
  <c r="G2112" i="2" s="1"/>
  <c r="I2112" i="2" s="1"/>
  <c r="F2111" i="2"/>
  <c r="I2111" i="2" s="1"/>
  <c r="F2110" i="2"/>
  <c r="G2110" i="2" s="1"/>
  <c r="I2110" i="2" s="1"/>
  <c r="F2109" i="2"/>
  <c r="G2109" i="2" s="1"/>
  <c r="I2109" i="2" s="1"/>
  <c r="F2108" i="2"/>
  <c r="G2108" i="2" s="1"/>
  <c r="I2108" i="2" s="1"/>
  <c r="F2107" i="2"/>
  <c r="G2107" i="2" s="1"/>
  <c r="I2107" i="2" s="1"/>
  <c r="F2106" i="2"/>
  <c r="G2106" i="2" s="1"/>
  <c r="I2106" i="2" s="1"/>
  <c r="F2105" i="2"/>
  <c r="G2105" i="2" s="1"/>
  <c r="I2105" i="2" s="1"/>
  <c r="F2104" i="2"/>
  <c r="G2104" i="2" s="1"/>
  <c r="I2104" i="2" s="1"/>
  <c r="F2103" i="2"/>
  <c r="G2103" i="2" s="1"/>
  <c r="I2103" i="2" s="1"/>
  <c r="F2102" i="2"/>
  <c r="G2102" i="2" s="1"/>
  <c r="I2102" i="2" s="1"/>
  <c r="F2101" i="2"/>
  <c r="G2101" i="2" s="1"/>
  <c r="I2101" i="2" s="1"/>
  <c r="F2100" i="2"/>
  <c r="G2100" i="2" s="1"/>
  <c r="I2100" i="2" s="1"/>
  <c r="F2099" i="2"/>
  <c r="G2099" i="2" s="1"/>
  <c r="I2099" i="2" s="1"/>
  <c r="F2098" i="2"/>
  <c r="G2098" i="2" s="1"/>
  <c r="I2098" i="2" s="1"/>
  <c r="F2097" i="2"/>
  <c r="G2097" i="2" s="1"/>
  <c r="I2097" i="2" s="1"/>
  <c r="F2096" i="2"/>
  <c r="G2096" i="2" s="1"/>
  <c r="I2096" i="2" s="1"/>
  <c r="F2095" i="2"/>
  <c r="G2095" i="2" s="1"/>
  <c r="I2095" i="2" s="1"/>
  <c r="F2094" i="2"/>
  <c r="G2094" i="2" s="1"/>
  <c r="I2094" i="2" s="1"/>
  <c r="F2093" i="2"/>
  <c r="G2093" i="2" s="1"/>
  <c r="I2093" i="2" s="1"/>
  <c r="F2092" i="2"/>
  <c r="G2092" i="2" s="1"/>
  <c r="I2092" i="2" s="1"/>
  <c r="F2091" i="2"/>
  <c r="G2091" i="2" s="1"/>
  <c r="I2091" i="2" s="1"/>
  <c r="F2090" i="2"/>
  <c r="G2090" i="2" s="1"/>
  <c r="I2090" i="2" s="1"/>
  <c r="F2089" i="2"/>
  <c r="G2089" i="2" s="1"/>
  <c r="I2089" i="2" s="1"/>
  <c r="F2088" i="2"/>
  <c r="G2088" i="2" s="1"/>
  <c r="I2088" i="2" s="1"/>
  <c r="F2087" i="2"/>
  <c r="G2087" i="2" s="1"/>
  <c r="I2087" i="2" s="1"/>
  <c r="F2086" i="2"/>
  <c r="G2086" i="2" s="1"/>
  <c r="I2086" i="2" s="1"/>
  <c r="F2085" i="2"/>
  <c r="G2085" i="2" s="1"/>
  <c r="I2085" i="2" s="1"/>
  <c r="F2084" i="2"/>
  <c r="G2084" i="2" s="1"/>
  <c r="I2084" i="2" s="1"/>
  <c r="F2083" i="2"/>
  <c r="G2083" i="2" s="1"/>
  <c r="I2083" i="2" s="1"/>
  <c r="F2082" i="2"/>
  <c r="G2082" i="2" s="1"/>
  <c r="I2082" i="2" s="1"/>
  <c r="F2081" i="2"/>
  <c r="G2081" i="2" s="1"/>
  <c r="I2081" i="2" s="1"/>
  <c r="F2080" i="2"/>
  <c r="G2080" i="2" s="1"/>
  <c r="I2080" i="2" s="1"/>
  <c r="F2079" i="2"/>
  <c r="G2079" i="2" s="1"/>
  <c r="I2079" i="2" s="1"/>
  <c r="F2078" i="2"/>
  <c r="G2078" i="2" s="1"/>
  <c r="I2078" i="2" s="1"/>
  <c r="F2077" i="2"/>
  <c r="G2077" i="2" s="1"/>
  <c r="I2077" i="2" s="1"/>
  <c r="F2076" i="2"/>
  <c r="G2076" i="2" s="1"/>
  <c r="I2076" i="2" s="1"/>
  <c r="F2075" i="2"/>
  <c r="G2075" i="2" s="1"/>
  <c r="I2075" i="2" s="1"/>
  <c r="F2074" i="2"/>
  <c r="G2074" i="2" s="1"/>
  <c r="I2074" i="2" s="1"/>
  <c r="F2073" i="2"/>
  <c r="G2073" i="2" s="1"/>
  <c r="I2073" i="2" s="1"/>
  <c r="F2072" i="2"/>
  <c r="G2072" i="2" s="1"/>
  <c r="I2072" i="2" s="1"/>
  <c r="F2071" i="2"/>
  <c r="G2071" i="2" s="1"/>
  <c r="I2071" i="2" s="1"/>
  <c r="F2070" i="2"/>
  <c r="G2070" i="2" s="1"/>
  <c r="I2070" i="2" s="1"/>
  <c r="F2069" i="2"/>
  <c r="G2069" i="2" s="1"/>
  <c r="I2069" i="2" s="1"/>
  <c r="F2068" i="2"/>
  <c r="G2068" i="2" s="1"/>
  <c r="I2068" i="2" s="1"/>
  <c r="F2067" i="2"/>
  <c r="G2067" i="2" s="1"/>
  <c r="I2067" i="2" s="1"/>
  <c r="F2066" i="2"/>
  <c r="G2066" i="2" s="1"/>
  <c r="I2066" i="2" s="1"/>
  <c r="F2065" i="2"/>
  <c r="G2065" i="2" s="1"/>
  <c r="I2065" i="2" s="1"/>
  <c r="F2064" i="2"/>
  <c r="G2064" i="2" s="1"/>
  <c r="I2064" i="2" s="1"/>
  <c r="F2063" i="2"/>
  <c r="G2063" i="2" s="1"/>
  <c r="I2063" i="2" s="1"/>
  <c r="F2062" i="2"/>
  <c r="G2062" i="2" s="1"/>
  <c r="I2062" i="2" s="1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G2005" i="2" s="1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H6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G1942" i="2" s="1"/>
  <c r="I1942" i="2" s="1"/>
  <c r="F1941" i="2"/>
  <c r="G1941" i="2" s="1"/>
  <c r="I1941" i="2" s="1"/>
  <c r="F1940" i="2"/>
  <c r="G1940" i="2" s="1"/>
  <c r="I1940" i="2" s="1"/>
  <c r="F1939" i="2"/>
  <c r="G1939" i="2" s="1"/>
  <c r="I1939" i="2" s="1"/>
  <c r="F1938" i="2"/>
  <c r="G1938" i="2" s="1"/>
  <c r="I1938" i="2" s="1"/>
  <c r="F1937" i="2"/>
  <c r="G1937" i="2" s="1"/>
  <c r="I1937" i="2" s="1"/>
  <c r="F1936" i="2"/>
  <c r="G1936" i="2" s="1"/>
  <c r="I1936" i="2" s="1"/>
  <c r="F1935" i="2"/>
  <c r="G1935" i="2" s="1"/>
  <c r="I1935" i="2" s="1"/>
  <c r="F1934" i="2"/>
  <c r="G1934" i="2" s="1"/>
  <c r="I1934" i="2" s="1"/>
  <c r="F1933" i="2"/>
  <c r="G1933" i="2" s="1"/>
  <c r="I1933" i="2" s="1"/>
  <c r="F1932" i="2"/>
  <c r="G1932" i="2" s="1"/>
  <c r="I1932" i="2" s="1"/>
  <c r="F1931" i="2"/>
  <c r="G1931" i="2" s="1"/>
  <c r="I1931" i="2" s="1"/>
  <c r="F1930" i="2"/>
  <c r="G1930" i="2" s="1"/>
  <c r="I1930" i="2" s="1"/>
  <c r="F1929" i="2"/>
  <c r="G1929" i="2" s="1"/>
  <c r="I1929" i="2" s="1"/>
  <c r="F1928" i="2"/>
  <c r="G1928" i="2" s="1"/>
  <c r="I1928" i="2" s="1"/>
  <c r="F1927" i="2"/>
  <c r="G1927" i="2" s="1"/>
  <c r="I1927" i="2" s="1"/>
  <c r="F1926" i="2"/>
  <c r="G1926" i="2" s="1"/>
  <c r="I1926" i="2" s="1"/>
  <c r="F1925" i="2"/>
  <c r="G1925" i="2" s="1"/>
  <c r="I1925" i="2" s="1"/>
  <c r="F1924" i="2"/>
  <c r="G1924" i="2" s="1"/>
  <c r="I1924" i="2" s="1"/>
  <c r="F1923" i="2"/>
  <c r="G1923" i="2" s="1"/>
  <c r="I1923" i="2" s="1"/>
  <c r="F1922" i="2"/>
  <c r="G1922" i="2" s="1"/>
  <c r="I1922" i="2" s="1"/>
  <c r="F1921" i="2"/>
  <c r="G1921" i="2" s="1"/>
  <c r="I1921" i="2" s="1"/>
  <c r="F1920" i="2"/>
  <c r="G1920" i="2" s="1"/>
  <c r="I1920" i="2" s="1"/>
  <c r="F1919" i="2"/>
  <c r="G1919" i="2" s="1"/>
  <c r="I1919" i="2" s="1"/>
  <c r="F1918" i="2"/>
  <c r="G1918" i="2" s="1"/>
  <c r="I1918" i="2" s="1"/>
  <c r="F1917" i="2"/>
  <c r="G1917" i="2" s="1"/>
  <c r="I1917" i="2" s="1"/>
  <c r="F1916" i="2"/>
  <c r="G1916" i="2" s="1"/>
  <c r="I1916" i="2" s="1"/>
  <c r="F1915" i="2"/>
  <c r="G1915" i="2" s="1"/>
  <c r="I1915" i="2" s="1"/>
  <c r="F1914" i="2"/>
  <c r="G1914" i="2" s="1"/>
  <c r="I1914" i="2" s="1"/>
  <c r="F1913" i="2"/>
  <c r="G1913" i="2" s="1"/>
  <c r="I1913" i="2" s="1"/>
  <c r="F1912" i="2"/>
  <c r="G1912" i="2" s="1"/>
  <c r="I1912" i="2" s="1"/>
  <c r="F1911" i="2"/>
  <c r="G1911" i="2" s="1"/>
  <c r="I1911" i="2" s="1"/>
  <c r="F1910" i="2"/>
  <c r="G1910" i="2" s="1"/>
  <c r="I1910" i="2" s="1"/>
  <c r="F1909" i="2"/>
  <c r="G1909" i="2" s="1"/>
  <c r="I1909" i="2" s="1"/>
  <c r="F1908" i="2"/>
  <c r="G1908" i="2" s="1"/>
  <c r="I1908" i="2" s="1"/>
  <c r="F1907" i="2"/>
  <c r="G1907" i="2" s="1"/>
  <c r="I1907" i="2" s="1"/>
  <c r="F1906" i="2"/>
  <c r="G1906" i="2" s="1"/>
  <c r="I1906" i="2" s="1"/>
  <c r="F1905" i="2"/>
  <c r="G1905" i="2" s="1"/>
  <c r="I1905" i="2" s="1"/>
  <c r="F1904" i="2"/>
  <c r="G1904" i="2" s="1"/>
  <c r="I1904" i="2" s="1"/>
  <c r="F1903" i="2"/>
  <c r="G1903" i="2" s="1"/>
  <c r="I1903" i="2" s="1"/>
  <c r="F1902" i="2"/>
  <c r="G1902" i="2" s="1"/>
  <c r="I1902" i="2" s="1"/>
  <c r="F1901" i="2"/>
  <c r="G1901" i="2" s="1"/>
  <c r="I1901" i="2" s="1"/>
  <c r="F1900" i="2"/>
  <c r="G1900" i="2" s="1"/>
  <c r="I1900" i="2" s="1"/>
  <c r="F1899" i="2"/>
  <c r="G1899" i="2" s="1"/>
  <c r="I1899" i="2" s="1"/>
  <c r="F1898" i="2"/>
  <c r="G1898" i="2" s="1"/>
  <c r="I1898" i="2" s="1"/>
  <c r="F1897" i="2"/>
  <c r="G1897" i="2" s="1"/>
  <c r="I1897" i="2" s="1"/>
  <c r="F1896" i="2"/>
  <c r="G1896" i="2" s="1"/>
  <c r="I1896" i="2" s="1"/>
  <c r="F1895" i="2"/>
  <c r="G1895" i="2" s="1"/>
  <c r="I1895" i="2" s="1"/>
  <c r="F1894" i="2"/>
  <c r="G1894" i="2" s="1"/>
  <c r="I1894" i="2" s="1"/>
  <c r="F1893" i="2"/>
  <c r="G1893" i="2" s="1"/>
  <c r="I1893" i="2" s="1"/>
  <c r="F1892" i="2"/>
  <c r="G1892" i="2" s="1"/>
  <c r="I1892" i="2" s="1"/>
  <c r="F1891" i="2"/>
  <c r="G1891" i="2" s="1"/>
  <c r="I1891" i="2" s="1"/>
  <c r="F1890" i="2"/>
  <c r="G1890" i="2" s="1"/>
  <c r="I1890" i="2" s="1"/>
  <c r="F1889" i="2"/>
  <c r="G1889" i="2" s="1"/>
  <c r="I1889" i="2" s="1"/>
  <c r="F1888" i="2"/>
  <c r="G1888" i="2" s="1"/>
  <c r="I1888" i="2" s="1"/>
  <c r="F1887" i="2"/>
  <c r="G1887" i="2" s="1"/>
  <c r="I1887" i="2" s="1"/>
  <c r="F1886" i="2"/>
  <c r="G1886" i="2" s="1"/>
  <c r="I1886" i="2" s="1"/>
  <c r="F1885" i="2"/>
  <c r="G1885" i="2" s="1"/>
  <c r="I1885" i="2" s="1"/>
  <c r="F1884" i="2"/>
  <c r="G1884" i="2" s="1"/>
  <c r="I1884" i="2" s="1"/>
  <c r="F1883" i="2"/>
  <c r="G1883" i="2" s="1"/>
  <c r="I1883" i="2" s="1"/>
  <c r="F1882" i="2"/>
  <c r="G1882" i="2" s="1"/>
  <c r="I1882" i="2" s="1"/>
  <c r="F1881" i="2"/>
  <c r="G1881" i="2" s="1"/>
  <c r="I1881" i="2" s="1"/>
  <c r="F1880" i="2"/>
  <c r="G1880" i="2" s="1"/>
  <c r="I1880" i="2" s="1"/>
  <c r="F1879" i="2"/>
  <c r="G1879" i="2" s="1"/>
  <c r="F1878" i="2"/>
  <c r="G1878" i="2" s="1"/>
  <c r="I1878" i="2" s="1"/>
  <c r="F1877" i="2"/>
  <c r="G1877" i="2" s="1"/>
  <c r="I1877" i="2" s="1"/>
  <c r="F1876" i="2"/>
  <c r="G1876" i="2" s="1"/>
  <c r="I1876" i="2" s="1"/>
  <c r="F1875" i="2"/>
  <c r="G1875" i="2" s="1"/>
  <c r="I1875" i="2" s="1"/>
  <c r="F1874" i="2"/>
  <c r="G1874" i="2" s="1"/>
  <c r="I1874" i="2" s="1"/>
  <c r="F1873" i="2"/>
  <c r="G1873" i="2" s="1"/>
  <c r="I1873" i="2" s="1"/>
  <c r="F1872" i="2"/>
  <c r="G1872" i="2" s="1"/>
  <c r="I1872" i="2" s="1"/>
  <c r="F1871" i="2"/>
  <c r="G1871" i="2" s="1"/>
  <c r="I1871" i="2" s="1"/>
  <c r="F1870" i="2"/>
  <c r="G1870" i="2" s="1"/>
  <c r="I1870" i="2" s="1"/>
  <c r="F1869" i="2"/>
  <c r="G1869" i="2" s="1"/>
  <c r="I1869" i="2" s="1"/>
  <c r="F1868" i="2"/>
  <c r="G1868" i="2" s="1"/>
  <c r="I1868" i="2" s="1"/>
  <c r="F1867" i="2"/>
  <c r="G1867" i="2" s="1"/>
  <c r="I1867" i="2" s="1"/>
  <c r="F1866" i="2"/>
  <c r="G1866" i="2" s="1"/>
  <c r="I1866" i="2" s="1"/>
  <c r="F1865" i="2"/>
  <c r="G1865" i="2" s="1"/>
  <c r="I1865" i="2" s="1"/>
  <c r="F1864" i="2"/>
  <c r="G1864" i="2" s="1"/>
  <c r="I1864" i="2" s="1"/>
  <c r="F1863" i="2"/>
  <c r="G1863" i="2" s="1"/>
  <c r="I1863" i="2" s="1"/>
  <c r="F1862" i="2"/>
  <c r="G1862" i="2" s="1"/>
  <c r="I1862" i="2" s="1"/>
  <c r="F1861" i="2"/>
  <c r="G1861" i="2" s="1"/>
  <c r="I1861" i="2" s="1"/>
  <c r="F1860" i="2"/>
  <c r="G1860" i="2" s="1"/>
  <c r="I1860" i="2" s="1"/>
  <c r="F1859" i="2"/>
  <c r="G1859" i="2" s="1"/>
  <c r="I1859" i="2" s="1"/>
  <c r="F1858" i="2"/>
  <c r="G1858" i="2" s="1"/>
  <c r="I1858" i="2" s="1"/>
  <c r="F1857" i="2"/>
  <c r="G1857" i="2" s="1"/>
  <c r="I1857" i="2" s="1"/>
  <c r="F1856" i="2"/>
  <c r="G1856" i="2" s="1"/>
  <c r="I1856" i="2" s="1"/>
  <c r="F1855" i="2"/>
  <c r="G1855" i="2" s="1"/>
  <c r="I1855" i="2" s="1"/>
  <c r="F1854" i="2"/>
  <c r="G1854" i="2" s="1"/>
  <c r="I1854" i="2" s="1"/>
  <c r="F1853" i="2"/>
  <c r="G1853" i="2" s="1"/>
  <c r="I1853" i="2" s="1"/>
  <c r="F1852" i="2"/>
  <c r="G1852" i="2" s="1"/>
  <c r="I1852" i="2" s="1"/>
  <c r="F1851" i="2"/>
  <c r="G1851" i="2" s="1"/>
  <c r="I1851" i="2" s="1"/>
  <c r="F1850" i="2"/>
  <c r="G1850" i="2" s="1"/>
  <c r="I1850" i="2" s="1"/>
  <c r="F1849" i="2"/>
  <c r="G1849" i="2" s="1"/>
  <c r="I1849" i="2" s="1"/>
  <c r="F1848" i="2"/>
  <c r="G1848" i="2" s="1"/>
  <c r="I1848" i="2" s="1"/>
  <c r="F1847" i="2"/>
  <c r="G1847" i="2" s="1"/>
  <c r="I1847" i="2" s="1"/>
  <c r="F1846" i="2"/>
  <c r="G1846" i="2" s="1"/>
  <c r="I1846" i="2" s="1"/>
  <c r="F915" i="3"/>
  <c r="I1879" i="2" l="1"/>
  <c r="G2061" i="2"/>
  <c r="I2061" i="2" s="1"/>
  <c r="G2060" i="2"/>
  <c r="I2060" i="2" s="1"/>
  <c r="G2059" i="2"/>
  <c r="I2059" i="2" s="1"/>
  <c r="G2058" i="2"/>
  <c r="I2058" i="2" s="1"/>
  <c r="G2057" i="2"/>
  <c r="I2057" i="2" s="1"/>
  <c r="G2056" i="2"/>
  <c r="I2056" i="2" s="1"/>
  <c r="G2055" i="2"/>
  <c r="I2055" i="2" s="1"/>
  <c r="G2054" i="2"/>
  <c r="I2054" i="2" s="1"/>
  <c r="G2053" i="2"/>
  <c r="I2053" i="2" s="1"/>
  <c r="G2052" i="2"/>
  <c r="I2052" i="2" s="1"/>
  <c r="G2051" i="2"/>
  <c r="I2051" i="2" s="1"/>
  <c r="G2050" i="2"/>
  <c r="I2050" i="2" s="1"/>
  <c r="G2049" i="2"/>
  <c r="I2049" i="2" s="1"/>
  <c r="G2048" i="2"/>
  <c r="I2048" i="2" s="1"/>
  <c r="G2047" i="2"/>
  <c r="I2047" i="2" s="1"/>
  <c r="G2046" i="2"/>
  <c r="I2046" i="2" s="1"/>
  <c r="G2045" i="2"/>
  <c r="I2045" i="2" s="1"/>
  <c r="G2044" i="2"/>
  <c r="I2044" i="2" s="1"/>
  <c r="G2043" i="2"/>
  <c r="I2043" i="2" s="1"/>
  <c r="G2042" i="2"/>
  <c r="I2042" i="2" s="1"/>
  <c r="G2041" i="2"/>
  <c r="I2041" i="2" s="1"/>
  <c r="G2040" i="2"/>
  <c r="I2040" i="2" s="1"/>
  <c r="G2039" i="2"/>
  <c r="I2039" i="2" s="1"/>
  <c r="G2038" i="2"/>
  <c r="I2038" i="2" s="1"/>
  <c r="G2037" i="2"/>
  <c r="I2037" i="2" s="1"/>
  <c r="G2036" i="2"/>
  <c r="I2036" i="2" s="1"/>
  <c r="G2034" i="2"/>
  <c r="I2034" i="2" s="1"/>
  <c r="G2033" i="2"/>
  <c r="I2033" i="2" s="1"/>
  <c r="G2032" i="2"/>
  <c r="I2032" i="2" s="1"/>
  <c r="G2031" i="2"/>
  <c r="I2031" i="2" s="1"/>
  <c r="G2030" i="2"/>
  <c r="I2030" i="2" s="1"/>
  <c r="G2029" i="2"/>
  <c r="I2029" i="2" s="1"/>
  <c r="G2028" i="2"/>
  <c r="I2028" i="2" s="1"/>
  <c r="G2027" i="2"/>
  <c r="I2027" i="2" s="1"/>
  <c r="G2026" i="2"/>
  <c r="I2026" i="2" s="1"/>
  <c r="G2025" i="2"/>
  <c r="I2025" i="2" s="1"/>
  <c r="G2024" i="2"/>
  <c r="I2024" i="2" s="1"/>
  <c r="G2023" i="2"/>
  <c r="I2023" i="2" s="1"/>
  <c r="G2022" i="2"/>
  <c r="I2022" i="2" s="1"/>
  <c r="G2021" i="2"/>
  <c r="I2021" i="2" s="1"/>
  <c r="G2020" i="2"/>
  <c r="I2020" i="2" s="1"/>
  <c r="G2019" i="2"/>
  <c r="I2019" i="2" s="1"/>
  <c r="G2018" i="2"/>
  <c r="I2018" i="2" s="1"/>
  <c r="G2017" i="2"/>
  <c r="I2017" i="2" s="1"/>
  <c r="G2016" i="2"/>
  <c r="I2016" i="2" s="1"/>
  <c r="G2015" i="2"/>
  <c r="I2015" i="2" s="1"/>
  <c r="G2014" i="2"/>
  <c r="I2014" i="2" s="1"/>
  <c r="G2013" i="2"/>
  <c r="I2013" i="2" s="1"/>
  <c r="G2012" i="2"/>
  <c r="I2012" i="2" s="1"/>
  <c r="G2011" i="2"/>
  <c r="I2011" i="2" s="1"/>
  <c r="G2010" i="2"/>
  <c r="I2010" i="2" s="1"/>
  <c r="G2009" i="2"/>
  <c r="I2009" i="2" s="1"/>
  <c r="G2008" i="2"/>
  <c r="I2008" i="2" s="1"/>
  <c r="G2007" i="2"/>
  <c r="I2007" i="2" s="1"/>
  <c r="G2006" i="2"/>
  <c r="I2006" i="2" s="1"/>
  <c r="I2005" i="2"/>
  <c r="G2004" i="2"/>
  <c r="I2004" i="2" s="1"/>
  <c r="G2003" i="2"/>
  <c r="I2003" i="2" s="1"/>
  <c r="G2002" i="2"/>
  <c r="I2002" i="2" s="1"/>
  <c r="G2001" i="2"/>
  <c r="I2001" i="2" s="1"/>
  <c r="G2000" i="2"/>
  <c r="I2000" i="2" s="1"/>
  <c r="G1999" i="2"/>
  <c r="I1999" i="2" s="1"/>
  <c r="G1998" i="2"/>
  <c r="I1998" i="2" s="1"/>
  <c r="G1997" i="2"/>
  <c r="I1997" i="2" s="1"/>
  <c r="G1996" i="2"/>
  <c r="I1996" i="2" s="1"/>
  <c r="G1995" i="2"/>
  <c r="I1995" i="2" s="1"/>
  <c r="G1994" i="2"/>
  <c r="I1994" i="2" s="1"/>
  <c r="G1993" i="2"/>
  <c r="I1993" i="2" s="1"/>
  <c r="G1992" i="2"/>
  <c r="I1992" i="2" s="1"/>
  <c r="G1991" i="2"/>
  <c r="I1991" i="2" s="1"/>
  <c r="G1990" i="2"/>
  <c r="I1990" i="2" s="1"/>
  <c r="G1989" i="2"/>
  <c r="I1989" i="2" s="1"/>
  <c r="G1988" i="2"/>
  <c r="I1988" i="2" s="1"/>
  <c r="G1987" i="2"/>
  <c r="I1987" i="2" s="1"/>
  <c r="G1986" i="2"/>
  <c r="I1986" i="2" s="1"/>
  <c r="G1985" i="2"/>
  <c r="I1985" i="2" s="1"/>
  <c r="G1984" i="2"/>
  <c r="I1984" i="2" s="1"/>
  <c r="G1983" i="2"/>
  <c r="I1983" i="2" s="1"/>
  <c r="G1982" i="2"/>
  <c r="I1982" i="2" s="1"/>
  <c r="G1981" i="2"/>
  <c r="I1981" i="2" s="1"/>
  <c r="G1980" i="2"/>
  <c r="I1980" i="2" s="1"/>
  <c r="G1979" i="2"/>
  <c r="I1979" i="2" s="1"/>
  <c r="G1978" i="2"/>
  <c r="I1978" i="2" s="1"/>
  <c r="G1977" i="2"/>
  <c r="I1977" i="2" s="1"/>
  <c r="G1976" i="2"/>
  <c r="I1976" i="2" s="1"/>
  <c r="G1975" i="2"/>
  <c r="I1975" i="2" s="1"/>
  <c r="G1974" i="2"/>
  <c r="I1974" i="2" s="1"/>
  <c r="G1973" i="2"/>
  <c r="I1973" i="2" s="1"/>
  <c r="G1972" i="2"/>
  <c r="I1972" i="2" s="1"/>
  <c r="G1971" i="2"/>
  <c r="I1971" i="2" s="1"/>
  <c r="G1970" i="2"/>
  <c r="I1970" i="2" s="1"/>
  <c r="G1969" i="2"/>
  <c r="I1969" i="2" s="1"/>
  <c r="G1968" i="2"/>
  <c r="I1968" i="2" s="1"/>
  <c r="G1967" i="2"/>
  <c r="I1967" i="2" s="1"/>
  <c r="G1966" i="2"/>
  <c r="I1966" i="2" s="1"/>
  <c r="G1965" i="2"/>
  <c r="I1965" i="2" s="1"/>
  <c r="G1964" i="2"/>
  <c r="I1964" i="2" s="1"/>
  <c r="G1963" i="2"/>
  <c r="I1963" i="2" s="1"/>
  <c r="G1962" i="2"/>
  <c r="I1962" i="2" s="1"/>
  <c r="G1961" i="2"/>
  <c r="I1961" i="2" s="1"/>
  <c r="G1960" i="2"/>
  <c r="I1960" i="2" s="1"/>
  <c r="G1959" i="2"/>
  <c r="I1959" i="2" s="1"/>
  <c r="G1958" i="2"/>
  <c r="I1958" i="2" s="1"/>
  <c r="G1957" i="2"/>
  <c r="I1957" i="2" s="1"/>
  <c r="G1956" i="2"/>
  <c r="I1956" i="2" s="1"/>
  <c r="G1955" i="2"/>
  <c r="I1955" i="2" s="1"/>
  <c r="G1954" i="2"/>
  <c r="I1954" i="2" s="1"/>
  <c r="G1953" i="2"/>
  <c r="I1953" i="2" s="1"/>
  <c r="G1952" i="2"/>
  <c r="I1952" i="2" s="1"/>
  <c r="G1951" i="2"/>
  <c r="I1951" i="2" s="1"/>
  <c r="G1950" i="2"/>
  <c r="I1950" i="2" s="1"/>
  <c r="G1949" i="2"/>
  <c r="I1949" i="2" s="1"/>
  <c r="G1948" i="2"/>
  <c r="I1948" i="2" s="1"/>
  <c r="G1947" i="2"/>
  <c r="I1947" i="2" s="1"/>
  <c r="G1946" i="2"/>
  <c r="I1946" i="2" s="1"/>
  <c r="G1945" i="2"/>
  <c r="I1945" i="2" s="1"/>
  <c r="G1944" i="2"/>
  <c r="I1944" i="2" s="1"/>
  <c r="G1943" i="2"/>
  <c r="I1943" i="2" s="1"/>
  <c r="F1038" i="3"/>
  <c r="G1038" i="3" s="1"/>
  <c r="I1038" i="3" s="1"/>
  <c r="F1037" i="3"/>
  <c r="G1037" i="3" s="1"/>
  <c r="I1037" i="3" s="1"/>
  <c r="F1036" i="3"/>
  <c r="G1036" i="3" s="1"/>
  <c r="I1036" i="3" s="1"/>
  <c r="F1035" i="3"/>
  <c r="G1035" i="3" s="1"/>
  <c r="I1035" i="3" s="1"/>
  <c r="F1034" i="3"/>
  <c r="G1034" i="3" s="1"/>
  <c r="I1034" i="3" s="1"/>
  <c r="F1033" i="3"/>
  <c r="G1033" i="3" s="1"/>
  <c r="I1033" i="3" s="1"/>
  <c r="F1032" i="3"/>
  <c r="G1032" i="3" s="1"/>
  <c r="I1032" i="3" s="1"/>
  <c r="F1031" i="3"/>
  <c r="G1031" i="3" s="1"/>
  <c r="I1031" i="3" s="1"/>
  <c r="F1030" i="3"/>
  <c r="G1030" i="3" s="1"/>
  <c r="I1030" i="3" s="1"/>
  <c r="F1029" i="3"/>
  <c r="G1029" i="3" s="1"/>
  <c r="I1029" i="3" s="1"/>
  <c r="F1028" i="3"/>
  <c r="G1028" i="3" s="1"/>
  <c r="I1028" i="3" s="1"/>
  <c r="F1027" i="3"/>
  <c r="G1027" i="3" s="1"/>
  <c r="I1027" i="3" s="1"/>
  <c r="F1026" i="3"/>
  <c r="G1026" i="3" s="1"/>
  <c r="I1026" i="3" s="1"/>
  <c r="F1025" i="3"/>
  <c r="G1025" i="3" s="1"/>
  <c r="I1025" i="3" s="1"/>
  <c r="F1024" i="3"/>
  <c r="G1024" i="3" s="1"/>
  <c r="I1024" i="3" s="1"/>
  <c r="F1023" i="3"/>
  <c r="G1023" i="3" s="1"/>
  <c r="I1023" i="3" s="1"/>
  <c r="F1022" i="3"/>
  <c r="G1022" i="3" s="1"/>
  <c r="I1022" i="3" s="1"/>
  <c r="F1021" i="3"/>
  <c r="G1021" i="3" s="1"/>
  <c r="I1021" i="3" s="1"/>
  <c r="F1020" i="3"/>
  <c r="G1020" i="3" s="1"/>
  <c r="I1020" i="3" s="1"/>
  <c r="F1019" i="3"/>
  <c r="G1019" i="3" s="1"/>
  <c r="I1019" i="3" s="1"/>
  <c r="F1018" i="3"/>
  <c r="G1018" i="3" s="1"/>
  <c r="I1018" i="3" s="1"/>
  <c r="F1017" i="3"/>
  <c r="G1017" i="3" s="1"/>
  <c r="I1017" i="3" s="1"/>
  <c r="F1016" i="3"/>
  <c r="G1016" i="3" s="1"/>
  <c r="I1016" i="3" s="1"/>
  <c r="F1015" i="3"/>
  <c r="G1015" i="3" s="1"/>
  <c r="I1015" i="3" s="1"/>
  <c r="F1014" i="3"/>
  <c r="G1014" i="3" s="1"/>
  <c r="I1014" i="3" s="1"/>
  <c r="F1013" i="3"/>
  <c r="G1013" i="3" s="1"/>
  <c r="I1013" i="3" s="1"/>
  <c r="F1012" i="3"/>
  <c r="G1012" i="3" s="1"/>
  <c r="I1012" i="3" s="1"/>
  <c r="F1011" i="3"/>
  <c r="G1011" i="3" s="1"/>
  <c r="I1011" i="3" s="1"/>
  <c r="F1010" i="3"/>
  <c r="G1010" i="3" s="1"/>
  <c r="I1010" i="3" s="1"/>
  <c r="F1009" i="3"/>
  <c r="G1009" i="3" s="1"/>
  <c r="I1009" i="3" s="1"/>
  <c r="F1008" i="3"/>
  <c r="G1008" i="3" s="1"/>
  <c r="I1008" i="3" s="1"/>
  <c r="F1007" i="3"/>
  <c r="G1007" i="3" s="1"/>
  <c r="I1007" i="3" s="1"/>
  <c r="F1006" i="3"/>
  <c r="G1006" i="3" s="1"/>
  <c r="I1006" i="3" s="1"/>
  <c r="F1005" i="3"/>
  <c r="G1005" i="3" s="1"/>
  <c r="I1005" i="3" s="1"/>
  <c r="F1004" i="3"/>
  <c r="G1004" i="3" s="1"/>
  <c r="I1004" i="3" s="1"/>
  <c r="F1003" i="3"/>
  <c r="G1003" i="3" s="1"/>
  <c r="I1003" i="3" s="1"/>
  <c r="F1002" i="3"/>
  <c r="G1002" i="3" s="1"/>
  <c r="I1002" i="3" s="1"/>
  <c r="F1001" i="3"/>
  <c r="G1001" i="3" s="1"/>
  <c r="I1001" i="3" s="1"/>
  <c r="F1000" i="3"/>
  <c r="G1000" i="3" s="1"/>
  <c r="I1000" i="3" s="1"/>
  <c r="F999" i="3"/>
  <c r="G999" i="3" s="1"/>
  <c r="I999" i="3" s="1"/>
  <c r="F998" i="3"/>
  <c r="G998" i="3" s="1"/>
  <c r="I998" i="3" s="1"/>
  <c r="F997" i="3"/>
  <c r="G997" i="3" s="1"/>
  <c r="I997" i="3" s="1"/>
  <c r="F996" i="3"/>
  <c r="G996" i="3" s="1"/>
  <c r="I996" i="3" s="1"/>
  <c r="F995" i="3"/>
  <c r="G995" i="3" s="1"/>
  <c r="I995" i="3" s="1"/>
  <c r="F994" i="3"/>
  <c r="G994" i="3" s="1"/>
  <c r="I994" i="3" s="1"/>
  <c r="F993" i="3"/>
  <c r="G993" i="3" s="1"/>
  <c r="I993" i="3" s="1"/>
  <c r="F992" i="3"/>
  <c r="G992" i="3" s="1"/>
  <c r="I992" i="3" s="1"/>
  <c r="F991" i="3"/>
  <c r="G991" i="3" s="1"/>
  <c r="I991" i="3" s="1"/>
  <c r="F990" i="3"/>
  <c r="G990" i="3" s="1"/>
  <c r="I990" i="3" s="1"/>
  <c r="F989" i="3"/>
  <c r="G989" i="3" s="1"/>
  <c r="I989" i="3" s="1"/>
  <c r="F988" i="3"/>
  <c r="G988" i="3" s="1"/>
  <c r="I988" i="3" s="1"/>
  <c r="F987" i="3"/>
  <c r="G987" i="3" s="1"/>
  <c r="I987" i="3" s="1"/>
  <c r="F986" i="3"/>
  <c r="G986" i="3" s="1"/>
  <c r="I986" i="3" s="1"/>
  <c r="F985" i="3"/>
  <c r="G985" i="3" s="1"/>
  <c r="I985" i="3" s="1"/>
  <c r="F984" i="3"/>
  <c r="G984" i="3" s="1"/>
  <c r="I984" i="3" s="1"/>
  <c r="F983" i="3"/>
  <c r="G983" i="3" s="1"/>
  <c r="I983" i="3" s="1"/>
  <c r="F982" i="3"/>
  <c r="G982" i="3" s="1"/>
  <c r="I982" i="3" s="1"/>
  <c r="F981" i="3"/>
  <c r="G981" i="3" s="1"/>
  <c r="I981" i="3" s="1"/>
  <c r="F980" i="3"/>
  <c r="G980" i="3" s="1"/>
  <c r="I980" i="3" s="1"/>
  <c r="F979" i="3"/>
  <c r="G979" i="3" s="1"/>
  <c r="I979" i="3" s="1"/>
  <c r="F978" i="3"/>
  <c r="G978" i="3" s="1"/>
  <c r="I978" i="3" s="1"/>
  <c r="F977" i="3"/>
  <c r="G977" i="3" s="1"/>
  <c r="I977" i="3" s="1"/>
  <c r="F976" i="3"/>
  <c r="G976" i="3" s="1"/>
  <c r="I976" i="3" s="1"/>
  <c r="F975" i="3"/>
  <c r="G975" i="3" s="1"/>
  <c r="I975" i="3" s="1"/>
  <c r="F974" i="3"/>
  <c r="G974" i="3" s="1"/>
  <c r="I974" i="3" s="1"/>
  <c r="F973" i="3"/>
  <c r="G973" i="3" s="1"/>
  <c r="I973" i="3" s="1"/>
  <c r="F972" i="3"/>
  <c r="G972" i="3" s="1"/>
  <c r="I972" i="3" s="1"/>
  <c r="F971" i="3"/>
  <c r="G971" i="3" s="1"/>
  <c r="I971" i="3" s="1"/>
  <c r="F970" i="3"/>
  <c r="G970" i="3" s="1"/>
  <c r="I970" i="3" s="1"/>
  <c r="F969" i="3"/>
  <c r="G969" i="3" s="1"/>
  <c r="I969" i="3" s="1"/>
  <c r="F968" i="3"/>
  <c r="G968" i="3" s="1"/>
  <c r="I968" i="3" s="1"/>
  <c r="F967" i="3"/>
  <c r="G967" i="3" s="1"/>
  <c r="I967" i="3" s="1"/>
  <c r="F1845" i="2"/>
  <c r="G1845" i="2" s="1"/>
  <c r="I1845" i="2" s="1"/>
  <c r="F1844" i="2"/>
  <c r="G1844" i="2" s="1"/>
  <c r="I1844" i="2" s="1"/>
  <c r="F1843" i="2"/>
  <c r="G1843" i="2" s="1"/>
  <c r="I1843" i="2" s="1"/>
  <c r="F1842" i="2"/>
  <c r="G1842" i="2" s="1"/>
  <c r="I1842" i="2" s="1"/>
  <c r="F1841" i="2"/>
  <c r="G1841" i="2" s="1"/>
  <c r="I1841" i="2" s="1"/>
  <c r="F1840" i="2"/>
  <c r="G1840" i="2" s="1"/>
  <c r="I1840" i="2" s="1"/>
  <c r="F1839" i="2"/>
  <c r="G1839" i="2" s="1"/>
  <c r="I1839" i="2" s="1"/>
  <c r="F1838" i="2"/>
  <c r="G1838" i="2" s="1"/>
  <c r="I1838" i="2" s="1"/>
  <c r="F1837" i="2"/>
  <c r="G1837" i="2" s="1"/>
  <c r="I1837" i="2" s="1"/>
  <c r="F1836" i="2"/>
  <c r="G1836" i="2" s="1"/>
  <c r="I1836" i="2" s="1"/>
  <c r="F1835" i="2"/>
  <c r="G1835" i="2" s="1"/>
  <c r="I1835" i="2" s="1"/>
  <c r="F1834" i="2"/>
  <c r="G1834" i="2" s="1"/>
  <c r="I1834" i="2" s="1"/>
  <c r="F1833" i="2"/>
  <c r="G1833" i="2" s="1"/>
  <c r="I1833" i="2" s="1"/>
  <c r="F1832" i="2"/>
  <c r="G1832" i="2" s="1"/>
  <c r="I1832" i="2" s="1"/>
  <c r="F1831" i="2"/>
  <c r="G1831" i="2" s="1"/>
  <c r="I1831" i="2" s="1"/>
  <c r="F1830" i="2"/>
  <c r="G1830" i="2" s="1"/>
  <c r="I1830" i="2" s="1"/>
  <c r="F1829" i="2"/>
  <c r="G1829" i="2" s="1"/>
  <c r="I1829" i="2" s="1"/>
  <c r="F1828" i="2"/>
  <c r="G1828" i="2" s="1"/>
  <c r="I1828" i="2" s="1"/>
  <c r="F1827" i="2"/>
  <c r="G1827" i="2" s="1"/>
  <c r="I1827" i="2" s="1"/>
  <c r="F1826" i="2"/>
  <c r="G1826" i="2" s="1"/>
  <c r="I1826" i="2" s="1"/>
  <c r="F1825" i="2"/>
  <c r="G1825" i="2" s="1"/>
  <c r="I1825" i="2" s="1"/>
  <c r="F1824" i="2"/>
  <c r="G1824" i="2" s="1"/>
  <c r="I1824" i="2" s="1"/>
  <c r="F1823" i="2"/>
  <c r="G1823" i="2" s="1"/>
  <c r="F1822" i="2"/>
  <c r="G1822" i="2" s="1"/>
  <c r="I1822" i="2" s="1"/>
  <c r="F1821" i="2"/>
  <c r="G1821" i="2" s="1"/>
  <c r="I1821" i="2" s="1"/>
  <c r="F1820" i="2"/>
  <c r="G1820" i="2" s="1"/>
  <c r="I1820" i="2" s="1"/>
  <c r="I1819" i="2"/>
  <c r="F1818" i="2"/>
  <c r="G1818" i="2" s="1"/>
  <c r="I1818" i="2" s="1"/>
  <c r="F1817" i="2"/>
  <c r="G1817" i="2" s="1"/>
  <c r="I1817" i="2" s="1"/>
  <c r="F1816" i="2"/>
  <c r="G1816" i="2" s="1"/>
  <c r="I1816" i="2" s="1"/>
  <c r="F1815" i="2"/>
  <c r="G1815" i="2" s="1"/>
  <c r="I1815" i="2" s="1"/>
  <c r="F1814" i="2"/>
  <c r="G1814" i="2" s="1"/>
  <c r="I1814" i="2" s="1"/>
  <c r="F1813" i="2"/>
  <c r="G1813" i="2" s="1"/>
  <c r="I1813" i="2" s="1"/>
  <c r="F1812" i="2"/>
  <c r="G1812" i="2" s="1"/>
  <c r="I1812" i="2" s="1"/>
  <c r="F1811" i="2"/>
  <c r="G1811" i="2" s="1"/>
  <c r="I1811" i="2" s="1"/>
  <c r="F1810" i="2"/>
  <c r="G1810" i="2" s="1"/>
  <c r="I1810" i="2" s="1"/>
  <c r="F1809" i="2"/>
  <c r="G1809" i="2" s="1"/>
  <c r="I1809" i="2" s="1"/>
  <c r="F1808" i="2"/>
  <c r="G1808" i="2" s="1"/>
  <c r="I1808" i="2" s="1"/>
  <c r="F1807" i="2"/>
  <c r="G1807" i="2" s="1"/>
  <c r="I1807" i="2" s="1"/>
  <c r="F1806" i="2"/>
  <c r="G1806" i="2" s="1"/>
  <c r="I1806" i="2" s="1"/>
  <c r="F1805" i="2"/>
  <c r="G1805" i="2" s="1"/>
  <c r="I1805" i="2" s="1"/>
  <c r="F1804" i="2"/>
  <c r="G1804" i="2" s="1"/>
  <c r="I1804" i="2" s="1"/>
  <c r="F1803" i="2"/>
  <c r="G1803" i="2" s="1"/>
  <c r="I1803" i="2" s="1"/>
  <c r="F1802" i="2"/>
  <c r="G1802" i="2" s="1"/>
  <c r="I1802" i="2" s="1"/>
  <c r="F1801" i="2"/>
  <c r="G1801" i="2" s="1"/>
  <c r="I1801" i="2" s="1"/>
  <c r="F1800" i="2"/>
  <c r="G1800" i="2" s="1"/>
  <c r="I1800" i="2" s="1"/>
  <c r="F1799" i="2"/>
  <c r="G1799" i="2" s="1"/>
  <c r="I1799" i="2" s="1"/>
  <c r="F1798" i="2"/>
  <c r="G1798" i="2" s="1"/>
  <c r="I1798" i="2" s="1"/>
  <c r="F1797" i="2"/>
  <c r="G1797" i="2" s="1"/>
  <c r="I1797" i="2" s="1"/>
  <c r="F1796" i="2"/>
  <c r="G1796" i="2" s="1"/>
  <c r="I1796" i="2" s="1"/>
  <c r="F1795" i="2"/>
  <c r="G1795" i="2" s="1"/>
  <c r="I1795" i="2" s="1"/>
  <c r="F1794" i="2"/>
  <c r="G1794" i="2" s="1"/>
  <c r="I1794" i="2" s="1"/>
  <c r="F1793" i="2"/>
  <c r="G1793" i="2" s="1"/>
  <c r="I1793" i="2" s="1"/>
  <c r="F1792" i="2"/>
  <c r="G1792" i="2" s="1"/>
  <c r="I1792" i="2" s="1"/>
  <c r="F1791" i="2"/>
  <c r="G1791" i="2" s="1"/>
  <c r="I1791" i="2" s="1"/>
  <c r="F1790" i="2"/>
  <c r="G1790" i="2" s="1"/>
  <c r="I1790" i="2" s="1"/>
  <c r="F1789" i="2"/>
  <c r="G1789" i="2" s="1"/>
  <c r="I1789" i="2" s="1"/>
  <c r="I1788" i="2"/>
  <c r="F1787" i="2"/>
  <c r="G1787" i="2" s="1"/>
  <c r="I1787" i="2" s="1"/>
  <c r="F1786" i="2"/>
  <c r="G1786" i="2" s="1"/>
  <c r="I1786" i="2" s="1"/>
  <c r="F1785" i="2"/>
  <c r="G1785" i="2" s="1"/>
  <c r="I1785" i="2" s="1"/>
  <c r="F1784" i="2"/>
  <c r="G1784" i="2" s="1"/>
  <c r="I1784" i="2" s="1"/>
  <c r="F1783" i="2"/>
  <c r="G1783" i="2" s="1"/>
  <c r="I1783" i="2" s="1"/>
  <c r="F1782" i="2"/>
  <c r="G1782" i="2" s="1"/>
  <c r="I1782" i="2" s="1"/>
  <c r="F1781" i="2"/>
  <c r="G1781" i="2" s="1"/>
  <c r="I1781" i="2" s="1"/>
  <c r="F1780" i="2"/>
  <c r="G1780" i="2" s="1"/>
  <c r="I1780" i="2" s="1"/>
  <c r="F1779" i="2"/>
  <c r="G1779" i="2" s="1"/>
  <c r="I1779" i="2" s="1"/>
  <c r="F1778" i="2"/>
  <c r="G1778" i="2" s="1"/>
  <c r="I1778" i="2" s="1"/>
  <c r="F1777" i="2"/>
  <c r="G1777" i="2" s="1"/>
  <c r="I1777" i="2" s="1"/>
  <c r="F1776" i="2"/>
  <c r="G1776" i="2" s="1"/>
  <c r="I1776" i="2" s="1"/>
  <c r="F1775" i="2"/>
  <c r="G1775" i="2" s="1"/>
  <c r="I1775" i="2" s="1"/>
  <c r="F1774" i="2"/>
  <c r="G1774" i="2" s="1"/>
  <c r="I1774" i="2" s="1"/>
  <c r="F1773" i="2"/>
  <c r="G1773" i="2" s="1"/>
  <c r="I1773" i="2" s="1"/>
  <c r="F1772" i="2"/>
  <c r="G1772" i="2" s="1"/>
  <c r="I1772" i="2" s="1"/>
  <c r="F1771" i="2"/>
  <c r="G1771" i="2" s="1"/>
  <c r="I1771" i="2" s="1"/>
  <c r="F1770" i="2"/>
  <c r="G1770" i="2" s="1"/>
  <c r="I1770" i="2" s="1"/>
  <c r="F1769" i="2"/>
  <c r="G1769" i="2" s="1"/>
  <c r="I1769" i="2" s="1"/>
  <c r="F863" i="3"/>
  <c r="G863" i="3" s="1"/>
  <c r="I863" i="3" s="1"/>
  <c r="F861" i="3"/>
  <c r="G861" i="3" s="1"/>
  <c r="I861" i="3" s="1"/>
  <c r="F862" i="3"/>
  <c r="G862" i="3" s="1"/>
  <c r="I862" i="3" s="1"/>
  <c r="F1768" i="2" l="1"/>
  <c r="G1768" i="2" s="1"/>
  <c r="I1768" i="2" s="1"/>
  <c r="F1767" i="2"/>
  <c r="G1767" i="2" s="1"/>
  <c r="I1767" i="2" s="1"/>
  <c r="F1766" i="2"/>
  <c r="G1766" i="2" s="1"/>
  <c r="I1766" i="2" s="1"/>
  <c r="F1765" i="2"/>
  <c r="G1765" i="2" s="1"/>
  <c r="I1765" i="2" s="1"/>
  <c r="F1764" i="2"/>
  <c r="G1764" i="2" s="1"/>
  <c r="I1764" i="2" s="1"/>
  <c r="F1763" i="2"/>
  <c r="G1763" i="2" s="1"/>
  <c r="I1763" i="2" s="1"/>
  <c r="F1762" i="2"/>
  <c r="G1762" i="2" s="1"/>
  <c r="I1762" i="2" s="1"/>
  <c r="F1761" i="2"/>
  <c r="G1761" i="2" s="1"/>
  <c r="I1761" i="2" s="1"/>
  <c r="F1760" i="2"/>
  <c r="G1760" i="2" s="1"/>
  <c r="I1760" i="2" s="1"/>
  <c r="F1759" i="2"/>
  <c r="G1759" i="2" s="1"/>
  <c r="I1759" i="2" s="1"/>
  <c r="F1758" i="2"/>
  <c r="G1758" i="2" s="1"/>
  <c r="I1758" i="2" s="1"/>
  <c r="F1757" i="2"/>
  <c r="G1757" i="2" s="1"/>
  <c r="I1757" i="2" s="1"/>
  <c r="F1756" i="2"/>
  <c r="G1756" i="2" s="1"/>
  <c r="I1756" i="2" s="1"/>
  <c r="F1755" i="2"/>
  <c r="G1755" i="2" s="1"/>
  <c r="I1755" i="2" s="1"/>
  <c r="F1754" i="2"/>
  <c r="G1754" i="2" s="1"/>
  <c r="I1754" i="2" s="1"/>
  <c r="F1753" i="2"/>
  <c r="G1753" i="2" s="1"/>
  <c r="I1753" i="2" s="1"/>
  <c r="F1752" i="2"/>
  <c r="G1752" i="2" s="1"/>
  <c r="I1752" i="2" s="1"/>
  <c r="F1751" i="2"/>
  <c r="G1751" i="2" s="1"/>
  <c r="I1751" i="2" s="1"/>
  <c r="F1750" i="2"/>
  <c r="G1750" i="2" s="1"/>
  <c r="I1750" i="2" s="1"/>
  <c r="F1749" i="2"/>
  <c r="G1749" i="2" s="1"/>
  <c r="I1749" i="2" s="1"/>
  <c r="F1748" i="2"/>
  <c r="G1748" i="2" s="1"/>
  <c r="I1748" i="2" s="1"/>
  <c r="I1747" i="2"/>
  <c r="F1746" i="2"/>
  <c r="G1746" i="2" s="1"/>
  <c r="I1746" i="2" s="1"/>
  <c r="F1745" i="2"/>
  <c r="G1745" i="2" s="1"/>
  <c r="I1745" i="2" s="1"/>
  <c r="F1744" i="2"/>
  <c r="G1744" i="2" s="1"/>
  <c r="I1744" i="2" s="1"/>
  <c r="F1743" i="2"/>
  <c r="G1743" i="2" s="1"/>
  <c r="I1743" i="2" s="1"/>
  <c r="F1742" i="2"/>
  <c r="G1742" i="2" s="1"/>
  <c r="I1742" i="2" s="1"/>
  <c r="F874" i="3" l="1"/>
  <c r="G874" i="3" s="1"/>
  <c r="I874" i="3" s="1"/>
  <c r="F1687" i="2" l="1"/>
  <c r="G1687" i="2" s="1"/>
  <c r="I1687" i="2" s="1"/>
  <c r="F1741" i="2" l="1"/>
  <c r="G1741" i="2" s="1"/>
  <c r="I1741" i="2" s="1"/>
  <c r="F1740" i="2"/>
  <c r="G1740" i="2" s="1"/>
  <c r="I1740" i="2" s="1"/>
  <c r="F1739" i="2"/>
  <c r="G1739" i="2" s="1"/>
  <c r="I1739" i="2" s="1"/>
  <c r="F1738" i="2"/>
  <c r="G1738" i="2" s="1"/>
  <c r="I1738" i="2" s="1"/>
  <c r="F1737" i="2"/>
  <c r="G1737" i="2" s="1"/>
  <c r="I1737" i="2" s="1"/>
  <c r="F1736" i="2"/>
  <c r="G1736" i="2" s="1"/>
  <c r="I1736" i="2" s="1"/>
  <c r="F1726" i="2"/>
  <c r="G1726" i="2" s="1"/>
  <c r="I1726" i="2" s="1"/>
  <c r="F1727" i="2"/>
  <c r="G1727" i="2" s="1"/>
  <c r="I1727" i="2" s="1"/>
  <c r="F1728" i="2"/>
  <c r="G1728" i="2" s="1"/>
  <c r="I1728" i="2" s="1"/>
  <c r="F1729" i="2"/>
  <c r="G1729" i="2" s="1"/>
  <c r="I1729" i="2" s="1"/>
  <c r="F1730" i="2"/>
  <c r="G1730" i="2" s="1"/>
  <c r="I1730" i="2" s="1"/>
  <c r="F1731" i="2"/>
  <c r="G1731" i="2" s="1"/>
  <c r="I1731" i="2" s="1"/>
  <c r="F1732" i="2"/>
  <c r="G1732" i="2" s="1"/>
  <c r="I1732" i="2" s="1"/>
  <c r="F1733" i="2"/>
  <c r="G1733" i="2" s="1"/>
  <c r="I1733" i="2" s="1"/>
  <c r="F1734" i="2"/>
  <c r="G1734" i="2" s="1"/>
  <c r="I1734" i="2" s="1"/>
  <c r="F1735" i="2"/>
  <c r="G1735" i="2" s="1"/>
  <c r="I1735" i="2" s="1"/>
  <c r="F1718" i="2"/>
  <c r="G1718" i="2" s="1"/>
  <c r="I1718" i="2" s="1"/>
  <c r="F1719" i="2"/>
  <c r="G1719" i="2" s="1"/>
  <c r="I1719" i="2" s="1"/>
  <c r="F1720" i="2"/>
  <c r="G1720" i="2" s="1"/>
  <c r="I1720" i="2" s="1"/>
  <c r="F1721" i="2"/>
  <c r="G1721" i="2" s="1"/>
  <c r="I1721" i="2" s="1"/>
  <c r="F1722" i="2"/>
  <c r="G1722" i="2" s="1"/>
  <c r="I1722" i="2" s="1"/>
  <c r="F1723" i="2"/>
  <c r="G1723" i="2" s="1"/>
  <c r="I1723" i="2" s="1"/>
  <c r="F1724" i="2"/>
  <c r="G1724" i="2" s="1"/>
  <c r="I1724" i="2" s="1"/>
  <c r="F1725" i="2"/>
  <c r="G1725" i="2" s="1"/>
  <c r="I1725" i="2" s="1"/>
  <c r="F966" i="3" l="1"/>
  <c r="G966" i="3" s="1"/>
  <c r="I966" i="3" s="1"/>
  <c r="F965" i="3"/>
  <c r="G965" i="3" s="1"/>
  <c r="I965" i="3" s="1"/>
  <c r="F964" i="3"/>
  <c r="G964" i="3" s="1"/>
  <c r="I964" i="3" s="1"/>
  <c r="F963" i="3"/>
  <c r="G963" i="3" s="1"/>
  <c r="I963" i="3" s="1"/>
  <c r="F962" i="3"/>
  <c r="G962" i="3" s="1"/>
  <c r="I962" i="3" s="1"/>
  <c r="F961" i="3"/>
  <c r="G961" i="3" s="1"/>
  <c r="I961" i="3" s="1"/>
  <c r="F960" i="3"/>
  <c r="G960" i="3" s="1"/>
  <c r="I960" i="3" s="1"/>
  <c r="F959" i="3"/>
  <c r="G959" i="3" s="1"/>
  <c r="I959" i="3" s="1"/>
  <c r="F958" i="3"/>
  <c r="G958" i="3" s="1"/>
  <c r="I958" i="3" s="1"/>
  <c r="F957" i="3"/>
  <c r="G957" i="3" s="1"/>
  <c r="I957" i="3" s="1"/>
  <c r="F956" i="3"/>
  <c r="G956" i="3" s="1"/>
  <c r="I956" i="3" s="1"/>
  <c r="F955" i="3"/>
  <c r="G955" i="3" s="1"/>
  <c r="I955" i="3" s="1"/>
  <c r="F954" i="3"/>
  <c r="G954" i="3" s="1"/>
  <c r="I954" i="3" s="1"/>
  <c r="F953" i="3"/>
  <c r="G953" i="3" s="1"/>
  <c r="I953" i="3" s="1"/>
  <c r="F952" i="3"/>
  <c r="G952" i="3" s="1"/>
  <c r="I952" i="3" s="1"/>
  <c r="F951" i="3"/>
  <c r="G951" i="3" s="1"/>
  <c r="I951" i="3" s="1"/>
  <c r="F950" i="3"/>
  <c r="G950" i="3" s="1"/>
  <c r="I950" i="3" s="1"/>
  <c r="F949" i="3"/>
  <c r="G949" i="3" s="1"/>
  <c r="I949" i="3" s="1"/>
  <c r="F948" i="3"/>
  <c r="G948" i="3" s="1"/>
  <c r="I948" i="3" s="1"/>
  <c r="F904" i="3"/>
  <c r="G904" i="3" s="1"/>
  <c r="I904" i="3" s="1"/>
  <c r="F905" i="3"/>
  <c r="G905" i="3" s="1"/>
  <c r="I905" i="3" s="1"/>
  <c r="F906" i="3"/>
  <c r="G906" i="3" s="1"/>
  <c r="I906" i="3" s="1"/>
  <c r="F907" i="3"/>
  <c r="G907" i="3" s="1"/>
  <c r="I907" i="3" s="1"/>
  <c r="F908" i="3"/>
  <c r="G908" i="3" s="1"/>
  <c r="I908" i="3" s="1"/>
  <c r="F909" i="3"/>
  <c r="G909" i="3" s="1"/>
  <c r="I909" i="3" s="1"/>
  <c r="F910" i="3"/>
  <c r="G910" i="3" s="1"/>
  <c r="I910" i="3" s="1"/>
  <c r="F911" i="3"/>
  <c r="G911" i="3" s="1"/>
  <c r="I911" i="3" s="1"/>
  <c r="F912" i="3"/>
  <c r="G912" i="3" s="1"/>
  <c r="I912" i="3" s="1"/>
  <c r="F913" i="3"/>
  <c r="G913" i="3" s="1"/>
  <c r="I913" i="3" s="1"/>
  <c r="F914" i="3"/>
  <c r="G914" i="3" s="1"/>
  <c r="I914" i="3" s="1"/>
  <c r="G915" i="3"/>
  <c r="I915" i="3" s="1"/>
  <c r="F916" i="3"/>
  <c r="G916" i="3" s="1"/>
  <c r="I916" i="3" s="1"/>
  <c r="F917" i="3"/>
  <c r="G917" i="3" s="1"/>
  <c r="I917" i="3" s="1"/>
  <c r="F918" i="3"/>
  <c r="G918" i="3" s="1"/>
  <c r="I918" i="3" s="1"/>
  <c r="F919" i="3"/>
  <c r="G919" i="3" s="1"/>
  <c r="I919" i="3" s="1"/>
  <c r="F920" i="3"/>
  <c r="G920" i="3" s="1"/>
  <c r="I920" i="3" s="1"/>
  <c r="F921" i="3"/>
  <c r="G921" i="3" s="1"/>
  <c r="I921" i="3" s="1"/>
  <c r="F922" i="3"/>
  <c r="G922" i="3" s="1"/>
  <c r="I922" i="3" s="1"/>
  <c r="F923" i="3"/>
  <c r="G923" i="3" s="1"/>
  <c r="I923" i="3" s="1"/>
  <c r="F924" i="3"/>
  <c r="G924" i="3" s="1"/>
  <c r="I924" i="3" s="1"/>
  <c r="F925" i="3"/>
  <c r="G925" i="3" s="1"/>
  <c r="I925" i="3" s="1"/>
  <c r="F926" i="3"/>
  <c r="G926" i="3" s="1"/>
  <c r="I926" i="3" s="1"/>
  <c r="F927" i="3"/>
  <c r="G927" i="3" s="1"/>
  <c r="I927" i="3" s="1"/>
  <c r="F928" i="3"/>
  <c r="G928" i="3" s="1"/>
  <c r="I928" i="3" s="1"/>
  <c r="F929" i="3"/>
  <c r="G929" i="3" s="1"/>
  <c r="I929" i="3" s="1"/>
  <c r="F930" i="3"/>
  <c r="G930" i="3" s="1"/>
  <c r="I930" i="3" s="1"/>
  <c r="F931" i="3"/>
  <c r="G931" i="3" s="1"/>
  <c r="I931" i="3" s="1"/>
  <c r="F932" i="3"/>
  <c r="G932" i="3" s="1"/>
  <c r="I932" i="3" s="1"/>
  <c r="F933" i="3"/>
  <c r="G933" i="3" s="1"/>
  <c r="I933" i="3" s="1"/>
  <c r="F934" i="3"/>
  <c r="G934" i="3" s="1"/>
  <c r="I934" i="3" s="1"/>
  <c r="F935" i="3"/>
  <c r="G935" i="3" s="1"/>
  <c r="I935" i="3" s="1"/>
  <c r="F936" i="3"/>
  <c r="G936" i="3" s="1"/>
  <c r="I936" i="3" s="1"/>
  <c r="F937" i="3"/>
  <c r="G937" i="3" s="1"/>
  <c r="I937" i="3" s="1"/>
  <c r="F938" i="3"/>
  <c r="G938" i="3" s="1"/>
  <c r="I938" i="3" s="1"/>
  <c r="F939" i="3"/>
  <c r="G939" i="3" s="1"/>
  <c r="I939" i="3" s="1"/>
  <c r="F940" i="3"/>
  <c r="G940" i="3" s="1"/>
  <c r="I940" i="3" s="1"/>
  <c r="F941" i="3"/>
  <c r="G941" i="3" s="1"/>
  <c r="I941" i="3" s="1"/>
  <c r="F942" i="3"/>
  <c r="G942" i="3" s="1"/>
  <c r="I942" i="3" s="1"/>
  <c r="F943" i="3"/>
  <c r="G943" i="3" s="1"/>
  <c r="I943" i="3" s="1"/>
  <c r="F944" i="3"/>
  <c r="G944" i="3" s="1"/>
  <c r="I944" i="3" s="1"/>
  <c r="F945" i="3"/>
  <c r="G945" i="3" s="1"/>
  <c r="I945" i="3" s="1"/>
  <c r="F946" i="3"/>
  <c r="G946" i="3" s="1"/>
  <c r="I946" i="3" s="1"/>
  <c r="F947" i="3"/>
  <c r="G947" i="3" s="1"/>
  <c r="I947" i="3" s="1"/>
  <c r="F1708" i="2" l="1"/>
  <c r="G1708" i="2" s="1"/>
  <c r="I1708" i="2" s="1"/>
  <c r="F1707" i="2"/>
  <c r="G1707" i="2" s="1"/>
  <c r="I1707" i="2" s="1"/>
  <c r="F1706" i="2"/>
  <c r="G1706" i="2" s="1"/>
  <c r="I1706" i="2" s="1"/>
  <c r="F1713" i="2"/>
  <c r="G1713" i="2" s="1"/>
  <c r="I1713" i="2" s="1"/>
  <c r="F1714" i="2"/>
  <c r="G1714" i="2" s="1"/>
  <c r="I1714" i="2" s="1"/>
  <c r="F1715" i="2"/>
  <c r="G1715" i="2" s="1"/>
  <c r="I1715" i="2" s="1"/>
  <c r="F1716" i="2"/>
  <c r="G1716" i="2" s="1"/>
  <c r="I1716" i="2" s="1"/>
  <c r="F1717" i="2"/>
  <c r="G1717" i="2" s="1"/>
  <c r="I1717" i="2" s="1"/>
  <c r="F1712" i="2"/>
  <c r="G1712" i="2" s="1"/>
  <c r="I1712" i="2" s="1"/>
  <c r="F1711" i="2"/>
  <c r="G1711" i="2" s="1"/>
  <c r="I1711" i="2" s="1"/>
  <c r="F1710" i="2"/>
  <c r="G1710" i="2" s="1"/>
  <c r="I1710" i="2" s="1"/>
  <c r="F1709" i="2"/>
  <c r="G1709" i="2" s="1"/>
  <c r="I1709" i="2" s="1"/>
  <c r="F1705" i="2"/>
  <c r="G1705" i="2" s="1"/>
  <c r="I1705" i="2" s="1"/>
  <c r="F1704" i="2"/>
  <c r="G1704" i="2" s="1"/>
  <c r="I1704" i="2" s="1"/>
  <c r="F1703" i="2"/>
  <c r="G1703" i="2" s="1"/>
  <c r="I1703" i="2" s="1"/>
  <c r="F1702" i="2"/>
  <c r="G1702" i="2" s="1"/>
  <c r="I1702" i="2" s="1"/>
  <c r="F1701" i="2"/>
  <c r="G1701" i="2" s="1"/>
  <c r="I1701" i="2" s="1"/>
  <c r="F1700" i="2"/>
  <c r="G1700" i="2" s="1"/>
  <c r="I1700" i="2" s="1"/>
  <c r="F1699" i="2"/>
  <c r="G1699" i="2" s="1"/>
  <c r="I1699" i="2" s="1"/>
  <c r="F1698" i="2"/>
  <c r="G1698" i="2" s="1"/>
  <c r="I1698" i="2" s="1"/>
  <c r="F1697" i="2"/>
  <c r="G1697" i="2" s="1"/>
  <c r="I1697" i="2" s="1"/>
  <c r="F1696" i="2"/>
  <c r="G1696" i="2" s="1"/>
  <c r="I1696" i="2" s="1"/>
  <c r="F1695" i="2"/>
  <c r="G1695" i="2" s="1"/>
  <c r="I1695" i="2" s="1"/>
  <c r="F1694" i="2"/>
  <c r="G1694" i="2" s="1"/>
  <c r="I1694" i="2" s="1"/>
  <c r="F1693" i="2"/>
  <c r="G1693" i="2" s="1"/>
  <c r="I1693" i="2" s="1"/>
  <c r="F1692" i="2"/>
  <c r="G1692" i="2" s="1"/>
  <c r="I1692" i="2" s="1"/>
  <c r="F1691" i="2"/>
  <c r="G1691" i="2" s="1"/>
  <c r="I1691" i="2" s="1"/>
  <c r="F1690" i="2"/>
  <c r="G1690" i="2" s="1"/>
  <c r="I1690" i="2" s="1"/>
  <c r="F1689" i="2"/>
  <c r="G1689" i="2" s="1"/>
  <c r="I1689" i="2" s="1"/>
  <c r="F1688" i="2"/>
  <c r="G1688" i="2" s="1"/>
  <c r="I1688" i="2" s="1"/>
  <c r="F1686" i="2" l="1"/>
  <c r="G1686" i="2" s="1"/>
  <c r="I1686" i="2" s="1"/>
  <c r="F1685" i="2"/>
  <c r="G1685" i="2" s="1"/>
  <c r="I1685" i="2" s="1"/>
  <c r="F1684" i="2"/>
  <c r="G1684" i="2" s="1"/>
  <c r="I1684" i="2" s="1"/>
  <c r="F1683" i="2"/>
  <c r="G1683" i="2" s="1"/>
  <c r="I1683" i="2" s="1"/>
  <c r="F1682" i="2"/>
  <c r="G1682" i="2" s="1"/>
  <c r="I1682" i="2" s="1"/>
  <c r="F1681" i="2"/>
  <c r="G1681" i="2" s="1"/>
  <c r="I1681" i="2" s="1"/>
  <c r="F1680" i="2"/>
  <c r="G1680" i="2" s="1"/>
  <c r="I1680" i="2" s="1"/>
  <c r="F1679" i="2"/>
  <c r="G1679" i="2" s="1"/>
  <c r="I1679" i="2" s="1"/>
  <c r="F1678" i="2"/>
  <c r="G1678" i="2" s="1"/>
  <c r="I1678" i="2" s="1"/>
  <c r="F1677" i="2"/>
  <c r="G1677" i="2" s="1"/>
  <c r="I1677" i="2" s="1"/>
  <c r="F1676" i="2"/>
  <c r="G1676" i="2" s="1"/>
  <c r="I1676" i="2" s="1"/>
  <c r="F1675" i="2"/>
  <c r="G1675" i="2" s="1"/>
  <c r="I1675" i="2" s="1"/>
  <c r="F1674" i="2"/>
  <c r="G1674" i="2" s="1"/>
  <c r="I1674" i="2" s="1"/>
  <c r="I1673" i="2"/>
  <c r="I1672" i="2"/>
  <c r="F1671" i="2"/>
  <c r="G1671" i="2" s="1"/>
  <c r="I1671" i="2" s="1"/>
  <c r="F1670" i="2"/>
  <c r="G1670" i="2" s="1"/>
  <c r="I1670" i="2" s="1"/>
  <c r="F1669" i="2"/>
  <c r="G1669" i="2" s="1"/>
  <c r="I1669" i="2" s="1"/>
  <c r="F1668" i="2"/>
  <c r="G1668" i="2" s="1"/>
  <c r="I1668" i="2" s="1"/>
  <c r="F1667" i="2"/>
  <c r="G1667" i="2" s="1"/>
  <c r="I1667" i="2" s="1"/>
  <c r="F1666" i="2"/>
  <c r="G1666" i="2" s="1"/>
  <c r="I1666" i="2" s="1"/>
  <c r="F1665" i="2"/>
  <c r="G1665" i="2" s="1"/>
  <c r="I1665" i="2" s="1"/>
  <c r="F1664" i="2"/>
  <c r="G1664" i="2" s="1"/>
  <c r="I1664" i="2" s="1"/>
  <c r="F1663" i="2"/>
  <c r="G1663" i="2" s="1"/>
  <c r="I1663" i="2" s="1"/>
  <c r="F1662" i="2"/>
  <c r="G1662" i="2" s="1"/>
  <c r="I1662" i="2" s="1"/>
  <c r="F1661" i="2"/>
  <c r="G1661" i="2" s="1"/>
  <c r="I1661" i="2" s="1"/>
  <c r="F1660" i="2"/>
  <c r="G1660" i="2" s="1"/>
  <c r="I1660" i="2" s="1"/>
  <c r="F1659" i="2"/>
  <c r="G1659" i="2" s="1"/>
  <c r="I1659" i="2" s="1"/>
  <c r="F1658" i="2"/>
  <c r="G1658" i="2" s="1"/>
  <c r="I1658" i="2" s="1"/>
  <c r="F1657" i="2"/>
  <c r="G1657" i="2" s="1"/>
  <c r="I1657" i="2" s="1"/>
  <c r="F1656" i="2"/>
  <c r="G1656" i="2" s="1"/>
  <c r="I1656" i="2" s="1"/>
  <c r="F1655" i="2"/>
  <c r="G1655" i="2" s="1"/>
  <c r="I1655" i="2" s="1"/>
  <c r="F1654" i="2"/>
  <c r="G1654" i="2" s="1"/>
  <c r="I1654" i="2" s="1"/>
  <c r="F1653" i="2"/>
  <c r="G1653" i="2" s="1"/>
  <c r="I1653" i="2" s="1"/>
  <c r="F1652" i="2"/>
  <c r="G1652" i="2" s="1"/>
  <c r="I1652" i="2" s="1"/>
  <c r="F1651" i="2"/>
  <c r="G1651" i="2" s="1"/>
  <c r="I1651" i="2" s="1"/>
  <c r="F1650" i="2"/>
  <c r="G1650" i="2" s="1"/>
  <c r="I1650" i="2" s="1"/>
  <c r="F1649" i="2"/>
  <c r="G1649" i="2" s="1"/>
  <c r="I1649" i="2" s="1"/>
  <c r="F1648" i="2"/>
  <c r="G1648" i="2" s="1"/>
  <c r="I1648" i="2" s="1"/>
  <c r="F1596" i="2" l="1"/>
  <c r="G1596" i="2" s="1"/>
  <c r="I1596" i="2" s="1"/>
  <c r="F1647" i="2" l="1"/>
  <c r="G1647" i="2" s="1"/>
  <c r="I1647" i="2" s="1"/>
  <c r="F1646" i="2"/>
  <c r="G1646" i="2" s="1"/>
  <c r="I1646" i="2" s="1"/>
  <c r="F1645" i="2"/>
  <c r="G1645" i="2" s="1"/>
  <c r="I1645" i="2" s="1"/>
  <c r="F1644" i="2"/>
  <c r="G1644" i="2" s="1"/>
  <c r="I1644" i="2" s="1"/>
  <c r="F1643" i="2"/>
  <c r="G1643" i="2" s="1"/>
  <c r="I1643" i="2" s="1"/>
  <c r="F1642" i="2"/>
  <c r="G1642" i="2" s="1"/>
  <c r="I1642" i="2" s="1"/>
  <c r="F1641" i="2"/>
  <c r="G1641" i="2" s="1"/>
  <c r="I1641" i="2" s="1"/>
  <c r="F1640" i="2"/>
  <c r="G1640" i="2" s="1"/>
  <c r="I1640" i="2" s="1"/>
  <c r="F1639" i="2"/>
  <c r="G1639" i="2" s="1"/>
  <c r="I1639" i="2" s="1"/>
  <c r="F1638" i="2"/>
  <c r="G1638" i="2" s="1"/>
  <c r="I1638" i="2" s="1"/>
  <c r="F1637" i="2"/>
  <c r="G1637" i="2" s="1"/>
  <c r="I1637" i="2" s="1"/>
  <c r="F1636" i="2"/>
  <c r="G1636" i="2" s="1"/>
  <c r="I1636" i="2" s="1"/>
  <c r="F1635" i="2"/>
  <c r="G1635" i="2" s="1"/>
  <c r="I1635" i="2" s="1"/>
  <c r="F1634" i="2"/>
  <c r="G1634" i="2" s="1"/>
  <c r="I1634" i="2" s="1"/>
  <c r="F1633" i="2"/>
  <c r="G1633" i="2" s="1"/>
  <c r="I1633" i="2" s="1"/>
  <c r="F1632" i="2"/>
  <c r="G1632" i="2" s="1"/>
  <c r="I1632" i="2" s="1"/>
  <c r="F1631" i="2"/>
  <c r="G1631" i="2" s="1"/>
  <c r="I1631" i="2" s="1"/>
  <c r="F1630" i="2"/>
  <c r="G1630" i="2" s="1"/>
  <c r="I1630" i="2" s="1"/>
  <c r="F1629" i="2"/>
  <c r="G1629" i="2" s="1"/>
  <c r="I1629" i="2" s="1"/>
  <c r="F1628" i="2"/>
  <c r="G1628" i="2" s="1"/>
  <c r="I1628" i="2" s="1"/>
  <c r="F1627" i="2"/>
  <c r="G1627" i="2" s="1"/>
  <c r="I1627" i="2" s="1"/>
  <c r="F1626" i="2"/>
  <c r="G1626" i="2" s="1"/>
  <c r="I1626" i="2" s="1"/>
  <c r="F1614" i="2" l="1"/>
  <c r="G1614" i="2" s="1"/>
  <c r="F1615" i="2"/>
  <c r="G1615" i="2" s="1"/>
  <c r="I1615" i="2" s="1"/>
  <c r="F1616" i="2"/>
  <c r="G1616" i="2" s="1"/>
  <c r="I1616" i="2" s="1"/>
  <c r="F1617" i="2"/>
  <c r="G1617" i="2" s="1"/>
  <c r="I1617" i="2" s="1"/>
  <c r="F1618" i="2"/>
  <c r="G1618" i="2" s="1"/>
  <c r="I1618" i="2" s="1"/>
  <c r="F1619" i="2"/>
  <c r="G1619" i="2" s="1"/>
  <c r="I1619" i="2" s="1"/>
  <c r="F1620" i="2"/>
  <c r="F1621" i="2"/>
  <c r="G1621" i="2" s="1"/>
  <c r="I1621" i="2" s="1"/>
  <c r="F1622" i="2"/>
  <c r="G1622" i="2" s="1"/>
  <c r="I1622" i="2" s="1"/>
  <c r="F1623" i="2"/>
  <c r="G1623" i="2" s="1"/>
  <c r="I1623" i="2" s="1"/>
  <c r="F1624" i="2"/>
  <c r="G1624" i="2" s="1"/>
  <c r="I1624" i="2" s="1"/>
  <c r="F1625" i="2"/>
  <c r="G1625" i="2" s="1"/>
  <c r="I1625" i="2" s="1"/>
  <c r="F1613" i="2"/>
  <c r="G1613" i="2" s="1"/>
  <c r="F1581" i="2"/>
  <c r="G1581" i="2" s="1"/>
  <c r="F1582" i="2"/>
  <c r="G1582" i="2" s="1"/>
  <c r="F1583" i="2"/>
  <c r="G1583" i="2" s="1"/>
  <c r="F1584" i="2"/>
  <c r="G1584" i="2" s="1"/>
  <c r="F1585" i="2"/>
  <c r="G1585" i="2" s="1"/>
  <c r="F1587" i="2"/>
  <c r="G1587" i="2" s="1"/>
  <c r="F1588" i="2"/>
  <c r="G1588" i="2" s="1"/>
  <c r="F1589" i="2"/>
  <c r="G1589" i="2" s="1"/>
  <c r="F1590" i="2"/>
  <c r="G1590" i="2" s="1"/>
  <c r="F1591" i="2"/>
  <c r="G1591" i="2" s="1"/>
  <c r="F1592" i="2"/>
  <c r="G1592" i="2" s="1"/>
  <c r="F1593" i="2"/>
  <c r="G1593" i="2" s="1"/>
  <c r="F1594" i="2"/>
  <c r="G1594" i="2" s="1"/>
  <c r="F1595" i="2"/>
  <c r="G1595" i="2" s="1"/>
  <c r="F1597" i="2"/>
  <c r="G1597" i="2" s="1"/>
  <c r="F1598" i="2"/>
  <c r="G1598" i="2" s="1"/>
  <c r="F1599" i="2"/>
  <c r="G1599" i="2" s="1"/>
  <c r="I1599" i="2" s="1"/>
  <c r="F1600" i="2"/>
  <c r="G1600" i="2" s="1"/>
  <c r="I1600" i="2" s="1"/>
  <c r="F1601" i="2"/>
  <c r="G1601" i="2" s="1"/>
  <c r="F1602" i="2"/>
  <c r="G1602" i="2" s="1"/>
  <c r="F1603" i="2"/>
  <c r="G1603" i="2" s="1"/>
  <c r="F1604" i="2"/>
  <c r="G1604" i="2" s="1"/>
  <c r="F1605" i="2"/>
  <c r="G1605" i="2" s="1"/>
  <c r="F1606" i="2"/>
  <c r="G1606" i="2" s="1"/>
  <c r="F1607" i="2"/>
  <c r="G1607" i="2" s="1"/>
  <c r="F1608" i="2"/>
  <c r="G1608" i="2" s="1"/>
  <c r="F1609" i="2"/>
  <c r="G1609" i="2" s="1"/>
  <c r="F1612" i="2"/>
  <c r="G1612" i="2" s="1"/>
  <c r="F1579" i="2"/>
  <c r="G1579" i="2" s="1"/>
  <c r="F1580" i="2"/>
  <c r="G1580" i="2" s="1"/>
  <c r="F1578" i="2"/>
  <c r="G1578" i="2" s="1"/>
  <c r="F1577" i="2"/>
  <c r="G1577" i="2" s="1"/>
  <c r="F1576" i="2"/>
  <c r="G1576" i="2" s="1"/>
  <c r="G1620" i="2" l="1"/>
  <c r="I1620" i="2" s="1"/>
  <c r="F1575" i="2"/>
  <c r="G1575" i="2" s="1"/>
  <c r="F1574" i="2"/>
  <c r="G1574" i="2" s="1"/>
  <c r="F1573" i="2"/>
  <c r="G1573" i="2" s="1"/>
  <c r="F1572" i="2"/>
  <c r="G1572" i="2" s="1"/>
  <c r="F1571" i="2"/>
  <c r="G1571" i="2" s="1"/>
  <c r="F1570" i="2"/>
  <c r="G1570" i="2" s="1"/>
  <c r="F1569" i="2"/>
  <c r="G1569" i="2" s="1"/>
  <c r="F1568" i="2"/>
  <c r="G1568" i="2" s="1"/>
  <c r="F1567" i="2"/>
  <c r="G1567" i="2" s="1"/>
  <c r="F1566" i="2" l="1"/>
  <c r="G1566" i="2" s="1"/>
  <c r="I1566" i="2" s="1"/>
  <c r="F1565" i="2"/>
  <c r="G1565" i="2" s="1"/>
  <c r="I1565" i="2" s="1"/>
  <c r="F1564" i="2"/>
  <c r="G1564" i="2" s="1"/>
  <c r="I1564" i="2" s="1"/>
  <c r="F1563" i="2"/>
  <c r="G1563" i="2" s="1"/>
  <c r="I1563" i="2" s="1"/>
  <c r="F1562" i="2"/>
  <c r="G1562" i="2" s="1"/>
  <c r="I1562" i="2" s="1"/>
  <c r="F1561" i="2"/>
  <c r="G1561" i="2" s="1"/>
  <c r="I1561" i="2" s="1"/>
  <c r="F1560" i="2"/>
  <c r="G1560" i="2" s="1"/>
  <c r="I1560" i="2" s="1"/>
  <c r="F1559" i="2"/>
  <c r="G1559" i="2" s="1"/>
  <c r="I1559" i="2" s="1"/>
  <c r="F1558" i="2"/>
  <c r="G1558" i="2" s="1"/>
  <c r="I1558" i="2" s="1"/>
  <c r="F1557" i="2"/>
  <c r="G1557" i="2" s="1"/>
  <c r="I1557" i="2" s="1"/>
  <c r="F1556" i="2"/>
  <c r="G1556" i="2" s="1"/>
  <c r="I1556" i="2" s="1"/>
  <c r="F1555" i="2"/>
  <c r="G1555" i="2" s="1"/>
  <c r="I1555" i="2" s="1"/>
  <c r="F1554" i="2"/>
  <c r="G1554" i="2" s="1"/>
  <c r="I1554" i="2" s="1"/>
  <c r="F1553" i="2"/>
  <c r="F1552" i="2"/>
  <c r="F1551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7" i="2"/>
  <c r="I1598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F1450" i="2" l="1"/>
  <c r="F1451" i="2"/>
  <c r="F706" i="3" l="1"/>
  <c r="G706" i="3" s="1"/>
  <c r="I706" i="3" s="1"/>
  <c r="F820" i="3" l="1"/>
  <c r="G820" i="3" s="1"/>
  <c r="I820" i="3" s="1"/>
  <c r="F821" i="3"/>
  <c r="G821" i="3" s="1"/>
  <c r="I821" i="3" s="1"/>
  <c r="F822" i="3"/>
  <c r="G822" i="3" s="1"/>
  <c r="I822" i="3" s="1"/>
  <c r="F823" i="3"/>
  <c r="G823" i="3" s="1"/>
  <c r="I823" i="3" s="1"/>
  <c r="F824" i="3"/>
  <c r="G824" i="3" s="1"/>
  <c r="I824" i="3" s="1"/>
  <c r="F825" i="3"/>
  <c r="G825" i="3" s="1"/>
  <c r="I825" i="3" s="1"/>
  <c r="F826" i="3"/>
  <c r="G826" i="3" s="1"/>
  <c r="I826" i="3" s="1"/>
  <c r="F827" i="3"/>
  <c r="G827" i="3" s="1"/>
  <c r="I827" i="3" s="1"/>
  <c r="F828" i="3"/>
  <c r="G828" i="3" s="1"/>
  <c r="I828" i="3" s="1"/>
  <c r="F829" i="3"/>
  <c r="G829" i="3" s="1"/>
  <c r="I829" i="3" s="1"/>
  <c r="F830" i="3"/>
  <c r="G830" i="3" s="1"/>
  <c r="I830" i="3" s="1"/>
  <c r="F831" i="3"/>
  <c r="G831" i="3" s="1"/>
  <c r="I831" i="3" s="1"/>
  <c r="F832" i="3"/>
  <c r="G832" i="3" s="1"/>
  <c r="I832" i="3" s="1"/>
  <c r="F833" i="3"/>
  <c r="G833" i="3" s="1"/>
  <c r="I833" i="3" s="1"/>
  <c r="F834" i="3"/>
  <c r="G834" i="3" s="1"/>
  <c r="F835" i="3"/>
  <c r="G835" i="3" s="1"/>
  <c r="F841" i="3" l="1"/>
  <c r="F842" i="3"/>
  <c r="F843" i="3"/>
  <c r="F844" i="3"/>
  <c r="G844" i="3" s="1"/>
  <c r="I844" i="3" s="1"/>
  <c r="F845" i="3"/>
  <c r="G845" i="3" s="1"/>
  <c r="I845" i="3" s="1"/>
  <c r="F846" i="3"/>
  <c r="G846" i="3" s="1"/>
  <c r="I846" i="3" s="1"/>
  <c r="F847" i="3"/>
  <c r="G847" i="3" s="1"/>
  <c r="I847" i="3" s="1"/>
  <c r="F848" i="3"/>
  <c r="G848" i="3" s="1"/>
  <c r="I848" i="3" s="1"/>
  <c r="F849" i="3"/>
  <c r="G849" i="3" s="1"/>
  <c r="I849" i="3" s="1"/>
  <c r="F850" i="3"/>
  <c r="G850" i="3" s="1"/>
  <c r="I850" i="3" s="1"/>
  <c r="F851" i="3"/>
  <c r="G851" i="3" s="1"/>
  <c r="I851" i="3" s="1"/>
  <c r="F852" i="3"/>
  <c r="G852" i="3" s="1"/>
  <c r="I852" i="3" s="1"/>
  <c r="F853" i="3"/>
  <c r="G853" i="3" s="1"/>
  <c r="I853" i="3" s="1"/>
  <c r="F854" i="3"/>
  <c r="G854" i="3" s="1"/>
  <c r="I854" i="3" s="1"/>
  <c r="F855" i="3"/>
  <c r="G855" i="3" s="1"/>
  <c r="I855" i="3" s="1"/>
  <c r="F856" i="3"/>
  <c r="G856" i="3" s="1"/>
  <c r="I856" i="3" s="1"/>
  <c r="F857" i="3"/>
  <c r="G857" i="3" s="1"/>
  <c r="I857" i="3" s="1"/>
  <c r="F858" i="3"/>
  <c r="G858" i="3" s="1"/>
  <c r="I858" i="3" s="1"/>
  <c r="F859" i="3"/>
  <c r="G859" i="3" s="1"/>
  <c r="I859" i="3" s="1"/>
  <c r="F860" i="3"/>
  <c r="G860" i="3" s="1"/>
  <c r="I860" i="3" s="1"/>
  <c r="F864" i="3"/>
  <c r="G864" i="3" s="1"/>
  <c r="I864" i="3" s="1"/>
  <c r="F865" i="3"/>
  <c r="G865" i="3" s="1"/>
  <c r="I865" i="3" s="1"/>
  <c r="F866" i="3"/>
  <c r="G866" i="3" s="1"/>
  <c r="I866" i="3" s="1"/>
  <c r="F867" i="3"/>
  <c r="G867" i="3" s="1"/>
  <c r="I867" i="3" s="1"/>
  <c r="F868" i="3"/>
  <c r="I868" i="3" s="1"/>
  <c r="F869" i="3"/>
  <c r="I869" i="3" s="1"/>
  <c r="F870" i="3"/>
  <c r="F871" i="3"/>
  <c r="G871" i="3" s="1"/>
  <c r="I871" i="3" s="1"/>
  <c r="F872" i="3"/>
  <c r="G872" i="3" s="1"/>
  <c r="I872" i="3" s="1"/>
  <c r="F873" i="3"/>
  <c r="G873" i="3" s="1"/>
  <c r="I873" i="3" s="1"/>
  <c r="F875" i="3"/>
  <c r="G875" i="3" s="1"/>
  <c r="I875" i="3" s="1"/>
  <c r="F876" i="3"/>
  <c r="G876" i="3" s="1"/>
  <c r="I876" i="3" s="1"/>
  <c r="F877" i="3"/>
  <c r="G877" i="3" s="1"/>
  <c r="I877" i="3" s="1"/>
  <c r="F878" i="3"/>
  <c r="G878" i="3" s="1"/>
  <c r="I878" i="3" s="1"/>
  <c r="F879" i="3"/>
  <c r="G879" i="3" s="1"/>
  <c r="I879" i="3" s="1"/>
  <c r="F880" i="3"/>
  <c r="G880" i="3" s="1"/>
  <c r="I880" i="3" s="1"/>
  <c r="F881" i="3"/>
  <c r="G881" i="3" s="1"/>
  <c r="I881" i="3" s="1"/>
  <c r="F882" i="3"/>
  <c r="G882" i="3" s="1"/>
  <c r="I882" i="3" s="1"/>
  <c r="F883" i="3"/>
  <c r="G883" i="3" s="1"/>
  <c r="I883" i="3" s="1"/>
  <c r="F884" i="3"/>
  <c r="G884" i="3" s="1"/>
  <c r="I884" i="3" s="1"/>
  <c r="F885" i="3"/>
  <c r="G885" i="3" s="1"/>
  <c r="I885" i="3" s="1"/>
  <c r="F886" i="3"/>
  <c r="G886" i="3" s="1"/>
  <c r="I886" i="3" s="1"/>
  <c r="F887" i="3"/>
  <c r="G887" i="3" s="1"/>
  <c r="I887" i="3" s="1"/>
  <c r="F888" i="3"/>
  <c r="G888" i="3" s="1"/>
  <c r="I888" i="3" s="1"/>
  <c r="F889" i="3"/>
  <c r="G889" i="3" s="1"/>
  <c r="I889" i="3" s="1"/>
  <c r="F890" i="3"/>
  <c r="G890" i="3" s="1"/>
  <c r="I890" i="3" s="1"/>
  <c r="F891" i="3"/>
  <c r="G891" i="3" s="1"/>
  <c r="I891" i="3" s="1"/>
  <c r="F892" i="3"/>
  <c r="G892" i="3" s="1"/>
  <c r="I892" i="3" s="1"/>
  <c r="F893" i="3"/>
  <c r="G893" i="3" s="1"/>
  <c r="I893" i="3" s="1"/>
  <c r="F894" i="3"/>
  <c r="G894" i="3" s="1"/>
  <c r="I894" i="3" s="1"/>
  <c r="F895" i="3"/>
  <c r="G895" i="3" s="1"/>
  <c r="I895" i="3" s="1"/>
  <c r="F896" i="3"/>
  <c r="G896" i="3" s="1"/>
  <c r="I896" i="3" s="1"/>
  <c r="F897" i="3"/>
  <c r="G897" i="3" s="1"/>
  <c r="I897" i="3" s="1"/>
  <c r="F898" i="3"/>
  <c r="G898" i="3" s="1"/>
  <c r="I898" i="3" s="1"/>
  <c r="F899" i="3"/>
  <c r="G899" i="3" s="1"/>
  <c r="I899" i="3" s="1"/>
  <c r="F900" i="3"/>
  <c r="G900" i="3" s="1"/>
  <c r="I900" i="3" s="1"/>
  <c r="F901" i="3"/>
  <c r="G901" i="3" s="1"/>
  <c r="I901" i="3" s="1"/>
  <c r="F902" i="3"/>
  <c r="G902" i="3" s="1"/>
  <c r="I902" i="3" s="1"/>
  <c r="F903" i="3"/>
  <c r="G903" i="3" s="1"/>
  <c r="I903" i="3" s="1"/>
  <c r="G870" i="3" l="1"/>
  <c r="I870" i="3" s="1"/>
  <c r="G843" i="3"/>
  <c r="I843" i="3" s="1"/>
  <c r="G842" i="3"/>
  <c r="I842" i="3" s="1"/>
  <c r="G841" i="3"/>
  <c r="I841" i="3" s="1"/>
  <c r="G1551" i="2"/>
  <c r="I1551" i="2" s="1"/>
  <c r="G1552" i="2"/>
  <c r="I1552" i="2" s="1"/>
  <c r="G1553" i="2"/>
  <c r="I1553" i="2" s="1"/>
  <c r="F1534" i="2"/>
  <c r="G1534" i="2" s="1"/>
  <c r="I1534" i="2" s="1"/>
  <c r="F1535" i="2"/>
  <c r="G1535" i="2" s="1"/>
  <c r="I1535" i="2" s="1"/>
  <c r="F1536" i="2"/>
  <c r="G1536" i="2" s="1"/>
  <c r="I1536" i="2" s="1"/>
  <c r="F1537" i="2"/>
  <c r="G1537" i="2" s="1"/>
  <c r="I1537" i="2" s="1"/>
  <c r="I1538" i="2"/>
  <c r="F1539" i="2"/>
  <c r="G1539" i="2" s="1"/>
  <c r="I1539" i="2" s="1"/>
  <c r="F1540" i="2"/>
  <c r="G1540" i="2" s="1"/>
  <c r="I1540" i="2" s="1"/>
  <c r="F1541" i="2"/>
  <c r="G1541" i="2" s="1"/>
  <c r="I1541" i="2" s="1"/>
  <c r="F1542" i="2"/>
  <c r="G1542" i="2" s="1"/>
  <c r="I1542" i="2" s="1"/>
  <c r="F1543" i="2"/>
  <c r="G1543" i="2" s="1"/>
  <c r="I1543" i="2" s="1"/>
  <c r="F1544" i="2"/>
  <c r="G1544" i="2" s="1"/>
  <c r="I1544" i="2" s="1"/>
  <c r="F1545" i="2"/>
  <c r="G1545" i="2" s="1"/>
  <c r="I1545" i="2" s="1"/>
  <c r="F1546" i="2"/>
  <c r="G1546" i="2" s="1"/>
  <c r="I1546" i="2" s="1"/>
  <c r="F1547" i="2"/>
  <c r="G1547" i="2" s="1"/>
  <c r="I1547" i="2" s="1"/>
  <c r="F1548" i="2"/>
  <c r="G1548" i="2" s="1"/>
  <c r="I1548" i="2" s="1"/>
  <c r="F1549" i="2"/>
  <c r="G1549" i="2" s="1"/>
  <c r="I1549" i="2" s="1"/>
  <c r="F1550" i="2"/>
  <c r="G1550" i="2" s="1"/>
  <c r="I1550" i="2" s="1"/>
  <c r="F1522" i="2"/>
  <c r="G1522" i="2" s="1"/>
  <c r="I1522" i="2" s="1"/>
  <c r="F1523" i="2"/>
  <c r="G1523" i="2" s="1"/>
  <c r="I1523" i="2" s="1"/>
  <c r="F1524" i="2"/>
  <c r="G1524" i="2" s="1"/>
  <c r="F1525" i="2"/>
  <c r="G1525" i="2" s="1"/>
  <c r="I1525" i="2" s="1"/>
  <c r="F1526" i="2"/>
  <c r="G1526" i="2" s="1"/>
  <c r="I1526" i="2" s="1"/>
  <c r="I1527" i="2"/>
  <c r="F1528" i="2"/>
  <c r="G1528" i="2" s="1"/>
  <c r="I1528" i="2" s="1"/>
  <c r="F1529" i="2"/>
  <c r="G1529" i="2" s="1"/>
  <c r="I1529" i="2" s="1"/>
  <c r="F1530" i="2"/>
  <c r="G1530" i="2" s="1"/>
  <c r="I1530" i="2" s="1"/>
  <c r="F1531" i="2"/>
  <c r="G1531" i="2" s="1"/>
  <c r="I1531" i="2" s="1"/>
  <c r="F1532" i="2"/>
  <c r="G1532" i="2" s="1"/>
  <c r="I1532" i="2" s="1"/>
  <c r="F1533" i="2"/>
  <c r="G1533" i="2" s="1"/>
  <c r="I1533" i="2" s="1"/>
  <c r="I1509" i="2"/>
  <c r="F1510" i="2"/>
  <c r="G1510" i="2" s="1"/>
  <c r="I1510" i="2" s="1"/>
  <c r="F1511" i="2"/>
  <c r="G1511" i="2" s="1"/>
  <c r="I1511" i="2" s="1"/>
  <c r="F1512" i="2"/>
  <c r="G1512" i="2" s="1"/>
  <c r="I1512" i="2" s="1"/>
  <c r="F1513" i="2"/>
  <c r="G1513" i="2" s="1"/>
  <c r="I1513" i="2" s="1"/>
  <c r="F1514" i="2"/>
  <c r="G1514" i="2" s="1"/>
  <c r="I1514" i="2" s="1"/>
  <c r="F1515" i="2"/>
  <c r="G1515" i="2" s="1"/>
  <c r="I1515" i="2" s="1"/>
  <c r="F1516" i="2"/>
  <c r="G1516" i="2" s="1"/>
  <c r="I1516" i="2" s="1"/>
  <c r="F1517" i="2"/>
  <c r="G1517" i="2" s="1"/>
  <c r="I1517" i="2" s="1"/>
  <c r="F1518" i="2"/>
  <c r="G1518" i="2" s="1"/>
  <c r="I1518" i="2" s="1"/>
  <c r="F1519" i="2"/>
  <c r="G1519" i="2" s="1"/>
  <c r="I1519" i="2" s="1"/>
  <c r="F1520" i="2"/>
  <c r="G1520" i="2" s="1"/>
  <c r="I1520" i="2" s="1"/>
  <c r="F1521" i="2"/>
  <c r="G1521" i="2" s="1"/>
  <c r="I1521" i="2" s="1"/>
  <c r="F1387" i="2"/>
  <c r="G1387" i="2" s="1"/>
  <c r="I1387" i="2" s="1"/>
  <c r="F1388" i="2"/>
  <c r="G1388" i="2" s="1"/>
  <c r="I1388" i="2" s="1"/>
  <c r="F1389" i="2"/>
  <c r="G1389" i="2" s="1"/>
  <c r="I1389" i="2" s="1"/>
  <c r="F1390" i="2"/>
  <c r="G1390" i="2" s="1"/>
  <c r="I1390" i="2" s="1"/>
  <c r="F1391" i="2"/>
  <c r="G1391" i="2" s="1"/>
  <c r="I1391" i="2" s="1"/>
  <c r="F1392" i="2"/>
  <c r="G1392" i="2" s="1"/>
  <c r="I1392" i="2" s="1"/>
  <c r="F1393" i="2"/>
  <c r="G1393" i="2" s="1"/>
  <c r="I1393" i="2" s="1"/>
  <c r="F1394" i="2"/>
  <c r="G1394" i="2" s="1"/>
  <c r="I1394" i="2" s="1"/>
  <c r="F1395" i="2"/>
  <c r="G1395" i="2" s="1"/>
  <c r="I1395" i="2" s="1"/>
  <c r="F1396" i="2"/>
  <c r="G1396" i="2" s="1"/>
  <c r="I1396" i="2" s="1"/>
  <c r="I1397" i="2"/>
  <c r="F1398" i="2"/>
  <c r="G1398" i="2" s="1"/>
  <c r="I1398" i="2" s="1"/>
  <c r="F1399" i="2"/>
  <c r="G1399" i="2" s="1"/>
  <c r="I1399" i="2" s="1"/>
  <c r="F1400" i="2"/>
  <c r="G1400" i="2" s="1"/>
  <c r="I1400" i="2" s="1"/>
  <c r="F1401" i="2"/>
  <c r="G1401" i="2" s="1"/>
  <c r="I1401" i="2" s="1"/>
  <c r="F1402" i="2"/>
  <c r="G1402" i="2" s="1"/>
  <c r="I1402" i="2" s="1"/>
  <c r="F1403" i="2"/>
  <c r="G1403" i="2" s="1"/>
  <c r="I1403" i="2" s="1"/>
  <c r="F1404" i="2"/>
  <c r="G1404" i="2" s="1"/>
  <c r="I1404" i="2" s="1"/>
  <c r="F1405" i="2"/>
  <c r="G1405" i="2" s="1"/>
  <c r="I1405" i="2" s="1"/>
  <c r="I1406" i="2"/>
  <c r="F1407" i="2"/>
  <c r="G1407" i="2" s="1"/>
  <c r="I1407" i="2" s="1"/>
  <c r="I1408" i="2"/>
  <c r="F1409" i="2"/>
  <c r="G1409" i="2" s="1"/>
  <c r="I1409" i="2" s="1"/>
  <c r="F1410" i="2"/>
  <c r="G1410" i="2" s="1"/>
  <c r="I1410" i="2" s="1"/>
  <c r="F1411" i="2"/>
  <c r="G1411" i="2" s="1"/>
  <c r="I1411" i="2" s="1"/>
  <c r="F1412" i="2"/>
  <c r="G1412" i="2" s="1"/>
  <c r="I1412" i="2" s="1"/>
  <c r="F1413" i="2"/>
  <c r="G1413" i="2" s="1"/>
  <c r="I1413" i="2" s="1"/>
  <c r="F1414" i="2"/>
  <c r="G1414" i="2" s="1"/>
  <c r="I1414" i="2" s="1"/>
  <c r="F1415" i="2"/>
  <c r="G1415" i="2" s="1"/>
  <c r="I1415" i="2" s="1"/>
  <c r="F1416" i="2"/>
  <c r="G1416" i="2" s="1"/>
  <c r="I1416" i="2" s="1"/>
  <c r="F1417" i="2"/>
  <c r="G1417" i="2" s="1"/>
  <c r="I1417" i="2" s="1"/>
  <c r="F1418" i="2"/>
  <c r="G1418" i="2" s="1"/>
  <c r="I1418" i="2" s="1"/>
  <c r="F1419" i="2"/>
  <c r="G1419" i="2" s="1"/>
  <c r="I1419" i="2" s="1"/>
  <c r="F1420" i="2"/>
  <c r="G1420" i="2" s="1"/>
  <c r="I1420" i="2" s="1"/>
  <c r="F1421" i="2"/>
  <c r="G1421" i="2" s="1"/>
  <c r="I1421" i="2" s="1"/>
  <c r="F1422" i="2"/>
  <c r="G1422" i="2" s="1"/>
  <c r="I1422" i="2" s="1"/>
  <c r="F1423" i="2"/>
  <c r="G1423" i="2" s="1"/>
  <c r="I1423" i="2" s="1"/>
  <c r="F1424" i="2"/>
  <c r="G1424" i="2" s="1"/>
  <c r="I1424" i="2" s="1"/>
  <c r="F1425" i="2"/>
  <c r="G1425" i="2" s="1"/>
  <c r="I1425" i="2" s="1"/>
  <c r="F1426" i="2"/>
  <c r="G1426" i="2" s="1"/>
  <c r="I1426" i="2" s="1"/>
  <c r="F1427" i="2"/>
  <c r="G1427" i="2" s="1"/>
  <c r="I1427" i="2" s="1"/>
  <c r="F1428" i="2"/>
  <c r="G1428" i="2" s="1"/>
  <c r="I1428" i="2" s="1"/>
  <c r="F1429" i="2"/>
  <c r="G1429" i="2" s="1"/>
  <c r="I1429" i="2" s="1"/>
  <c r="F1430" i="2"/>
  <c r="G1430" i="2" s="1"/>
  <c r="I1430" i="2" s="1"/>
  <c r="F1431" i="2"/>
  <c r="G1431" i="2" s="1"/>
  <c r="I1431" i="2" s="1"/>
  <c r="F1432" i="2"/>
  <c r="G1432" i="2" s="1"/>
  <c r="I1432" i="2" s="1"/>
  <c r="F1433" i="2"/>
  <c r="G1433" i="2" s="1"/>
  <c r="I1433" i="2" s="1"/>
  <c r="F1434" i="2"/>
  <c r="G1434" i="2" s="1"/>
  <c r="I1434" i="2" s="1"/>
  <c r="F1435" i="2"/>
  <c r="G1435" i="2" s="1"/>
  <c r="I1435" i="2" s="1"/>
  <c r="F1436" i="2"/>
  <c r="G1436" i="2" s="1"/>
  <c r="I1436" i="2" s="1"/>
  <c r="I1437" i="2"/>
  <c r="I1438" i="2"/>
  <c r="F1439" i="2"/>
  <c r="G1439" i="2" s="1"/>
  <c r="I1439" i="2" s="1"/>
  <c r="F1440" i="2"/>
  <c r="G1440" i="2" s="1"/>
  <c r="I1440" i="2" s="1"/>
  <c r="F1441" i="2"/>
  <c r="G1441" i="2" s="1"/>
  <c r="I1441" i="2" s="1"/>
  <c r="F1442" i="2"/>
  <c r="G1442" i="2" s="1"/>
  <c r="I1442" i="2" s="1"/>
  <c r="F1443" i="2"/>
  <c r="G1443" i="2" s="1"/>
  <c r="I1443" i="2" s="1"/>
  <c r="F1444" i="2"/>
  <c r="G1444" i="2" s="1"/>
  <c r="I1444" i="2" s="1"/>
  <c r="F1445" i="2"/>
  <c r="G1445" i="2" s="1"/>
  <c r="I1445" i="2" s="1"/>
  <c r="F1446" i="2"/>
  <c r="G1446" i="2" s="1"/>
  <c r="I1446" i="2" s="1"/>
  <c r="I1447" i="2"/>
  <c r="F1448" i="2"/>
  <c r="G1448" i="2" s="1"/>
  <c r="I1448" i="2" s="1"/>
  <c r="F1449" i="2"/>
  <c r="G1449" i="2" s="1"/>
  <c r="I1449" i="2" s="1"/>
  <c r="G1450" i="2"/>
  <c r="I1450" i="2" s="1"/>
  <c r="G1451" i="2"/>
  <c r="I1451" i="2" s="1"/>
  <c r="F1452" i="2"/>
  <c r="G1452" i="2" s="1"/>
  <c r="I1452" i="2" s="1"/>
  <c r="F1453" i="2"/>
  <c r="G1453" i="2" s="1"/>
  <c r="I1453" i="2" s="1"/>
  <c r="F1454" i="2"/>
  <c r="G1454" i="2" s="1"/>
  <c r="I1454" i="2" s="1"/>
  <c r="F1455" i="2"/>
  <c r="G1455" i="2" s="1"/>
  <c r="I1455" i="2" s="1"/>
  <c r="F1456" i="2"/>
  <c r="G1456" i="2" s="1"/>
  <c r="I1456" i="2" s="1"/>
  <c r="F1457" i="2"/>
  <c r="G1457" i="2" s="1"/>
  <c r="I1457" i="2" s="1"/>
  <c r="F1458" i="2"/>
  <c r="G1458" i="2" s="1"/>
  <c r="I1458" i="2" s="1"/>
  <c r="I1459" i="2"/>
  <c r="I1460" i="2"/>
  <c r="F1461" i="2"/>
  <c r="G1461" i="2" s="1"/>
  <c r="I1461" i="2" s="1"/>
  <c r="F1462" i="2"/>
  <c r="G1462" i="2" s="1"/>
  <c r="I1462" i="2" s="1"/>
  <c r="F1463" i="2"/>
  <c r="G1463" i="2" s="1"/>
  <c r="I1463" i="2" s="1"/>
  <c r="F1464" i="2"/>
  <c r="G1464" i="2" s="1"/>
  <c r="I1464" i="2" s="1"/>
  <c r="I1465" i="2"/>
  <c r="F1466" i="2"/>
  <c r="G1466" i="2" s="1"/>
  <c r="I1466" i="2" s="1"/>
  <c r="F1467" i="2"/>
  <c r="G1467" i="2" s="1"/>
  <c r="I1467" i="2" s="1"/>
  <c r="F1468" i="2"/>
  <c r="G1468" i="2" s="1"/>
  <c r="I1468" i="2" s="1"/>
  <c r="F1469" i="2"/>
  <c r="G1469" i="2" s="1"/>
  <c r="I1469" i="2" s="1"/>
  <c r="F1470" i="2"/>
  <c r="G1470" i="2" s="1"/>
  <c r="I1470" i="2" s="1"/>
  <c r="I1471" i="2"/>
  <c r="F1472" i="2"/>
  <c r="G1472" i="2" s="1"/>
  <c r="I1472" i="2" s="1"/>
  <c r="F1473" i="2"/>
  <c r="G1473" i="2" s="1"/>
  <c r="I1473" i="2" s="1"/>
  <c r="F1474" i="2"/>
  <c r="G1474" i="2" s="1"/>
  <c r="I1474" i="2" s="1"/>
  <c r="F1475" i="2"/>
  <c r="G1475" i="2" s="1"/>
  <c r="I1475" i="2" s="1"/>
  <c r="F1476" i="2"/>
  <c r="G1476" i="2" s="1"/>
  <c r="I1476" i="2" s="1"/>
  <c r="F1477" i="2"/>
  <c r="G1477" i="2" s="1"/>
  <c r="I1477" i="2" s="1"/>
  <c r="F1478" i="2"/>
  <c r="G1478" i="2" s="1"/>
  <c r="I1478" i="2" s="1"/>
  <c r="F1479" i="2"/>
  <c r="G1479" i="2" s="1"/>
  <c r="I1479" i="2" s="1"/>
  <c r="F1480" i="2"/>
  <c r="G1480" i="2" s="1"/>
  <c r="I1480" i="2" s="1"/>
  <c r="F1481" i="2"/>
  <c r="G1481" i="2" s="1"/>
  <c r="I1481" i="2" s="1"/>
  <c r="F1482" i="2"/>
  <c r="G1482" i="2" s="1"/>
  <c r="I1482" i="2" s="1"/>
  <c r="F1483" i="2"/>
  <c r="G1483" i="2" s="1"/>
  <c r="I1483" i="2" s="1"/>
  <c r="F1484" i="2"/>
  <c r="G1484" i="2" s="1"/>
  <c r="I1484" i="2" s="1"/>
  <c r="F1485" i="2"/>
  <c r="G1485" i="2" s="1"/>
  <c r="I1485" i="2" s="1"/>
  <c r="F1486" i="2"/>
  <c r="G1486" i="2" s="1"/>
  <c r="I1486" i="2" s="1"/>
  <c r="F1487" i="2"/>
  <c r="G1487" i="2" s="1"/>
  <c r="I1487" i="2" s="1"/>
  <c r="F1488" i="2"/>
  <c r="G1488" i="2" s="1"/>
  <c r="I1488" i="2" s="1"/>
  <c r="F1489" i="2"/>
  <c r="G1489" i="2" s="1"/>
  <c r="I1489" i="2" s="1"/>
  <c r="F1490" i="2"/>
  <c r="G1490" i="2" s="1"/>
  <c r="I1490" i="2" s="1"/>
  <c r="F1491" i="2"/>
  <c r="G1491" i="2" s="1"/>
  <c r="I1491" i="2" s="1"/>
  <c r="F1492" i="2"/>
  <c r="G1492" i="2" s="1"/>
  <c r="I1492" i="2" s="1"/>
  <c r="F1493" i="2"/>
  <c r="G1493" i="2" s="1"/>
  <c r="I1493" i="2" s="1"/>
  <c r="F1494" i="2"/>
  <c r="G1494" i="2" s="1"/>
  <c r="I1494" i="2" s="1"/>
  <c r="F1495" i="2"/>
  <c r="G1495" i="2" s="1"/>
  <c r="I1495" i="2" s="1"/>
  <c r="F1496" i="2"/>
  <c r="G1496" i="2" s="1"/>
  <c r="I1496" i="2" s="1"/>
  <c r="F1497" i="2"/>
  <c r="G1497" i="2" s="1"/>
  <c r="I1497" i="2" s="1"/>
  <c r="F1498" i="2"/>
  <c r="G1498" i="2" s="1"/>
  <c r="I1498" i="2" s="1"/>
  <c r="F1499" i="2"/>
  <c r="G1499" i="2" s="1"/>
  <c r="I1499" i="2" s="1"/>
  <c r="F1500" i="2"/>
  <c r="G1500" i="2" s="1"/>
  <c r="I1500" i="2" s="1"/>
  <c r="F1501" i="2"/>
  <c r="G1501" i="2" s="1"/>
  <c r="I1501" i="2" s="1"/>
  <c r="F1502" i="2"/>
  <c r="G1502" i="2" s="1"/>
  <c r="I1502" i="2" s="1"/>
  <c r="F1503" i="2"/>
  <c r="G1503" i="2" s="1"/>
  <c r="I1503" i="2" s="1"/>
  <c r="F1504" i="2"/>
  <c r="G1504" i="2" s="1"/>
  <c r="I1504" i="2" s="1"/>
  <c r="F1505" i="2"/>
  <c r="G1505" i="2" s="1"/>
  <c r="I1505" i="2" s="1"/>
  <c r="F1506" i="2"/>
  <c r="G1506" i="2" s="1"/>
  <c r="I1506" i="2" s="1"/>
  <c r="F1507" i="2"/>
  <c r="G1507" i="2" s="1"/>
  <c r="I1507" i="2" s="1"/>
  <c r="F1508" i="2"/>
  <c r="G1508" i="2" s="1"/>
  <c r="I1508" i="2" s="1"/>
  <c r="I1524" i="2" l="1"/>
  <c r="F757" i="3"/>
  <c r="G757" i="3" s="1"/>
  <c r="I757" i="3" s="1"/>
  <c r="F756" i="3"/>
  <c r="G756" i="3" s="1"/>
  <c r="I756" i="3" s="1"/>
  <c r="F755" i="3"/>
  <c r="G755" i="3" s="1"/>
  <c r="I755" i="3" s="1"/>
  <c r="F754" i="3"/>
  <c r="G754" i="3" s="1"/>
  <c r="I754" i="3" s="1"/>
  <c r="F796" i="3" l="1"/>
  <c r="G796" i="3" s="1"/>
  <c r="I796" i="3" s="1"/>
  <c r="F797" i="3"/>
  <c r="G797" i="3" s="1"/>
  <c r="I797" i="3" s="1"/>
  <c r="F798" i="3"/>
  <c r="G798" i="3" s="1"/>
  <c r="I798" i="3" s="1"/>
  <c r="F799" i="3"/>
  <c r="G799" i="3" s="1"/>
  <c r="I799" i="3" s="1"/>
  <c r="F800" i="3"/>
  <c r="G800" i="3" s="1"/>
  <c r="I800" i="3" s="1"/>
  <c r="F801" i="3"/>
  <c r="G801" i="3" s="1"/>
  <c r="I801" i="3" s="1"/>
  <c r="F802" i="3"/>
  <c r="G802" i="3" s="1"/>
  <c r="I802" i="3" s="1"/>
  <c r="F803" i="3"/>
  <c r="G803" i="3" s="1"/>
  <c r="I803" i="3" s="1"/>
  <c r="F804" i="3"/>
  <c r="G804" i="3" s="1"/>
  <c r="I804" i="3" s="1"/>
  <c r="F805" i="3"/>
  <c r="G805" i="3" s="1"/>
  <c r="I805" i="3" s="1"/>
  <c r="F806" i="3"/>
  <c r="G806" i="3" s="1"/>
  <c r="I806" i="3" s="1"/>
  <c r="F807" i="3"/>
  <c r="G807" i="3" s="1"/>
  <c r="I807" i="3" s="1"/>
  <c r="F808" i="3"/>
  <c r="G808" i="3" s="1"/>
  <c r="I808" i="3" s="1"/>
  <c r="F809" i="3"/>
  <c r="I809" i="3" s="1"/>
  <c r="F810" i="3"/>
  <c r="I810" i="3" s="1"/>
  <c r="F811" i="3"/>
  <c r="I811" i="3" s="1"/>
  <c r="F812" i="3"/>
  <c r="I812" i="3" s="1"/>
  <c r="F813" i="3"/>
  <c r="I813" i="3" s="1"/>
  <c r="F814" i="3"/>
  <c r="I814" i="3" s="1"/>
  <c r="F815" i="3"/>
  <c r="I815" i="3" s="1"/>
  <c r="F816" i="3"/>
  <c r="I816" i="3" s="1"/>
  <c r="F817" i="3"/>
  <c r="G817" i="3" s="1"/>
  <c r="I817" i="3" s="1"/>
  <c r="F818" i="3"/>
  <c r="G818" i="3" s="1"/>
  <c r="I818" i="3" s="1"/>
  <c r="F819" i="3"/>
  <c r="G819" i="3" s="1"/>
  <c r="I819" i="3" s="1"/>
  <c r="F836" i="3"/>
  <c r="G836" i="3" s="1"/>
  <c r="F837" i="3"/>
  <c r="F838" i="3"/>
  <c r="F839" i="3"/>
  <c r="F840" i="3"/>
  <c r="F738" i="3"/>
  <c r="G738" i="3" s="1"/>
  <c r="I738" i="3" s="1"/>
  <c r="F739" i="3"/>
  <c r="G739" i="3" s="1"/>
  <c r="I739" i="3" s="1"/>
  <c r="F740" i="3"/>
  <c r="G740" i="3" s="1"/>
  <c r="I740" i="3" s="1"/>
  <c r="F741" i="3"/>
  <c r="G741" i="3" s="1"/>
  <c r="I741" i="3" s="1"/>
  <c r="F742" i="3"/>
  <c r="G742" i="3" s="1"/>
  <c r="I742" i="3" s="1"/>
  <c r="F743" i="3"/>
  <c r="G743" i="3" s="1"/>
  <c r="I743" i="3" s="1"/>
  <c r="F744" i="3"/>
  <c r="G744" i="3" s="1"/>
  <c r="I744" i="3" s="1"/>
  <c r="F745" i="3"/>
  <c r="G745" i="3" s="1"/>
  <c r="I745" i="3" s="1"/>
  <c r="F746" i="3"/>
  <c r="G746" i="3" s="1"/>
  <c r="I746" i="3" s="1"/>
  <c r="F747" i="3"/>
  <c r="G747" i="3" s="1"/>
  <c r="I747" i="3" s="1"/>
  <c r="F748" i="3"/>
  <c r="G748" i="3" s="1"/>
  <c r="I748" i="3" s="1"/>
  <c r="F749" i="3"/>
  <c r="G749" i="3" s="1"/>
  <c r="I749" i="3" s="1"/>
  <c r="F750" i="3"/>
  <c r="G750" i="3" s="1"/>
  <c r="I750" i="3" s="1"/>
  <c r="F751" i="3"/>
  <c r="G751" i="3" s="1"/>
  <c r="I751" i="3" s="1"/>
  <c r="F752" i="3"/>
  <c r="G752" i="3" s="1"/>
  <c r="I752" i="3" s="1"/>
  <c r="F753" i="3"/>
  <c r="G753" i="3" s="1"/>
  <c r="I753" i="3" s="1"/>
  <c r="F758" i="3"/>
  <c r="G758" i="3" s="1"/>
  <c r="I758" i="3" s="1"/>
  <c r="F759" i="3"/>
  <c r="G759" i="3" s="1"/>
  <c r="I759" i="3" s="1"/>
  <c r="F760" i="3"/>
  <c r="G760" i="3" s="1"/>
  <c r="I760" i="3" s="1"/>
  <c r="F761" i="3"/>
  <c r="G761" i="3" s="1"/>
  <c r="I761" i="3" s="1"/>
  <c r="F762" i="3"/>
  <c r="G762" i="3" s="1"/>
  <c r="I762" i="3" s="1"/>
  <c r="F763" i="3"/>
  <c r="G763" i="3" s="1"/>
  <c r="I763" i="3" s="1"/>
  <c r="F764" i="3"/>
  <c r="G764" i="3" s="1"/>
  <c r="I764" i="3" s="1"/>
  <c r="F765" i="3"/>
  <c r="G765" i="3" s="1"/>
  <c r="I765" i="3" s="1"/>
  <c r="F766" i="3"/>
  <c r="G766" i="3" s="1"/>
  <c r="I766" i="3" s="1"/>
  <c r="F767" i="3"/>
  <c r="G767" i="3" s="1"/>
  <c r="I767" i="3" s="1"/>
  <c r="F768" i="3"/>
  <c r="G768" i="3" s="1"/>
  <c r="I768" i="3" s="1"/>
  <c r="F769" i="3"/>
  <c r="G769" i="3" s="1"/>
  <c r="I769" i="3" s="1"/>
  <c r="F770" i="3"/>
  <c r="G770" i="3" s="1"/>
  <c r="I770" i="3" s="1"/>
  <c r="F771" i="3"/>
  <c r="G771" i="3" s="1"/>
  <c r="I771" i="3" s="1"/>
  <c r="F772" i="3"/>
  <c r="G772" i="3" s="1"/>
  <c r="I772" i="3" s="1"/>
  <c r="F773" i="3"/>
  <c r="G773" i="3" s="1"/>
  <c r="I773" i="3" s="1"/>
  <c r="F774" i="3"/>
  <c r="G774" i="3" s="1"/>
  <c r="I774" i="3" s="1"/>
  <c r="F775" i="3"/>
  <c r="G775" i="3" s="1"/>
  <c r="I775" i="3" s="1"/>
  <c r="F776" i="3"/>
  <c r="G776" i="3" s="1"/>
  <c r="I776" i="3" s="1"/>
  <c r="F777" i="3"/>
  <c r="G777" i="3" s="1"/>
  <c r="I777" i="3" s="1"/>
  <c r="F778" i="3"/>
  <c r="G778" i="3" s="1"/>
  <c r="I778" i="3" s="1"/>
  <c r="F779" i="3"/>
  <c r="G779" i="3" s="1"/>
  <c r="I779" i="3" s="1"/>
  <c r="F780" i="3"/>
  <c r="G780" i="3" s="1"/>
  <c r="I780" i="3" s="1"/>
  <c r="F781" i="3"/>
  <c r="G781" i="3" s="1"/>
  <c r="I781" i="3" s="1"/>
  <c r="F782" i="3"/>
  <c r="G782" i="3" s="1"/>
  <c r="I782" i="3" s="1"/>
  <c r="F783" i="3"/>
  <c r="G783" i="3" s="1"/>
  <c r="I783" i="3" s="1"/>
  <c r="F784" i="3"/>
  <c r="G784" i="3" s="1"/>
  <c r="I784" i="3" s="1"/>
  <c r="F785" i="3"/>
  <c r="G785" i="3" s="1"/>
  <c r="I785" i="3" s="1"/>
  <c r="F786" i="3"/>
  <c r="G786" i="3" s="1"/>
  <c r="I786" i="3" s="1"/>
  <c r="F787" i="3"/>
  <c r="G787" i="3" s="1"/>
  <c r="I787" i="3" s="1"/>
  <c r="F788" i="3"/>
  <c r="G788" i="3" s="1"/>
  <c r="I788" i="3" s="1"/>
  <c r="F789" i="3"/>
  <c r="G789" i="3" s="1"/>
  <c r="I789" i="3" s="1"/>
  <c r="F790" i="3"/>
  <c r="G790" i="3" s="1"/>
  <c r="I790" i="3" s="1"/>
  <c r="F791" i="3"/>
  <c r="G791" i="3" s="1"/>
  <c r="I791" i="3" s="1"/>
  <c r="F792" i="3"/>
  <c r="G792" i="3" s="1"/>
  <c r="I792" i="3" s="1"/>
  <c r="F793" i="3"/>
  <c r="G793" i="3" s="1"/>
  <c r="I793" i="3" s="1"/>
  <c r="F794" i="3"/>
  <c r="G794" i="3" s="1"/>
  <c r="I794" i="3" s="1"/>
  <c r="F795" i="3"/>
  <c r="G795" i="3" s="1"/>
  <c r="I795" i="3" s="1"/>
  <c r="F712" i="3"/>
  <c r="G712" i="3" s="1"/>
  <c r="I712" i="3" s="1"/>
  <c r="F713" i="3"/>
  <c r="G713" i="3" s="1"/>
  <c r="I713" i="3" s="1"/>
  <c r="F714" i="3"/>
  <c r="G714" i="3" s="1"/>
  <c r="I714" i="3" s="1"/>
  <c r="F715" i="3"/>
  <c r="G715" i="3" s="1"/>
  <c r="I715" i="3" s="1"/>
  <c r="F716" i="3"/>
  <c r="G716" i="3" s="1"/>
  <c r="I716" i="3" s="1"/>
  <c r="F717" i="3"/>
  <c r="G717" i="3" s="1"/>
  <c r="I717" i="3" s="1"/>
  <c r="F718" i="3"/>
  <c r="G718" i="3" s="1"/>
  <c r="I718" i="3" s="1"/>
  <c r="F719" i="3"/>
  <c r="G719" i="3" s="1"/>
  <c r="I719" i="3" s="1"/>
  <c r="F720" i="3"/>
  <c r="G720" i="3" s="1"/>
  <c r="I720" i="3" s="1"/>
  <c r="F721" i="3"/>
  <c r="G721" i="3" s="1"/>
  <c r="I721" i="3" s="1"/>
  <c r="F722" i="3"/>
  <c r="G722" i="3" s="1"/>
  <c r="I722" i="3" s="1"/>
  <c r="F723" i="3"/>
  <c r="G723" i="3" s="1"/>
  <c r="I723" i="3" s="1"/>
  <c r="F724" i="3"/>
  <c r="G724" i="3" s="1"/>
  <c r="I724" i="3" s="1"/>
  <c r="F725" i="3"/>
  <c r="G725" i="3" s="1"/>
  <c r="I725" i="3" s="1"/>
  <c r="F726" i="3"/>
  <c r="G726" i="3" s="1"/>
  <c r="I726" i="3" s="1"/>
  <c r="F727" i="3"/>
  <c r="G727" i="3" s="1"/>
  <c r="I727" i="3" s="1"/>
  <c r="F728" i="3"/>
  <c r="G728" i="3" s="1"/>
  <c r="I728" i="3" s="1"/>
  <c r="F729" i="3"/>
  <c r="G729" i="3" s="1"/>
  <c r="I729" i="3" s="1"/>
  <c r="F730" i="3"/>
  <c r="G730" i="3" s="1"/>
  <c r="I730" i="3" s="1"/>
  <c r="F731" i="3"/>
  <c r="G731" i="3" s="1"/>
  <c r="I731" i="3" s="1"/>
  <c r="F732" i="3"/>
  <c r="G732" i="3" s="1"/>
  <c r="I732" i="3" s="1"/>
  <c r="F733" i="3"/>
  <c r="G733" i="3" s="1"/>
  <c r="I733" i="3" s="1"/>
  <c r="F734" i="3"/>
  <c r="G734" i="3" s="1"/>
  <c r="I734" i="3" s="1"/>
  <c r="F735" i="3"/>
  <c r="G735" i="3" s="1"/>
  <c r="I735" i="3" s="1"/>
  <c r="F736" i="3"/>
  <c r="G736" i="3" s="1"/>
  <c r="I736" i="3" s="1"/>
  <c r="F737" i="3"/>
  <c r="G737" i="3" s="1"/>
  <c r="I737" i="3" s="1"/>
  <c r="G839" i="3" l="1"/>
  <c r="I839" i="3" s="1"/>
  <c r="G840" i="3"/>
  <c r="I840" i="3" s="1"/>
  <c r="G838" i="3"/>
  <c r="I838" i="3" s="1"/>
  <c r="G837" i="3"/>
  <c r="I837" i="3" s="1"/>
  <c r="I835" i="3"/>
  <c r="I836" i="3"/>
  <c r="I834" i="3"/>
  <c r="F990" i="2" l="1"/>
  <c r="G990" i="2" s="1"/>
  <c r="I990" i="2" s="1"/>
  <c r="F989" i="2"/>
  <c r="G989" i="2" s="1"/>
  <c r="I989" i="2" s="1"/>
  <c r="F711" i="3" l="1"/>
  <c r="G711" i="3" s="1"/>
  <c r="I711" i="3" s="1"/>
  <c r="F710" i="3"/>
  <c r="G710" i="3" s="1"/>
  <c r="I710" i="3" s="1"/>
  <c r="F709" i="3"/>
  <c r="G709" i="3" s="1"/>
  <c r="I709" i="3" s="1"/>
  <c r="F708" i="3"/>
  <c r="G708" i="3" s="1"/>
  <c r="I708" i="3" s="1"/>
  <c r="F707" i="3"/>
  <c r="G707" i="3" s="1"/>
  <c r="I707" i="3" s="1"/>
  <c r="F705" i="3"/>
  <c r="G705" i="3" s="1"/>
  <c r="I705" i="3" s="1"/>
  <c r="F704" i="3"/>
  <c r="G704" i="3" s="1"/>
  <c r="I704" i="3" s="1"/>
  <c r="F703" i="3"/>
  <c r="G703" i="3" s="1"/>
  <c r="I703" i="3" s="1"/>
  <c r="F702" i="3"/>
  <c r="G702" i="3" s="1"/>
  <c r="I702" i="3" s="1"/>
  <c r="F701" i="3"/>
  <c r="G701" i="3" s="1"/>
  <c r="I701" i="3" s="1"/>
  <c r="F700" i="3"/>
  <c r="G700" i="3" s="1"/>
  <c r="I700" i="3" s="1"/>
  <c r="F699" i="3"/>
  <c r="G699" i="3" s="1"/>
  <c r="I699" i="3" s="1"/>
  <c r="F698" i="3"/>
  <c r="G698" i="3" s="1"/>
  <c r="I698" i="3" s="1"/>
  <c r="F697" i="3"/>
  <c r="G697" i="3" s="1"/>
  <c r="I697" i="3" s="1"/>
  <c r="F696" i="3"/>
  <c r="G696" i="3" s="1"/>
  <c r="I696" i="3" s="1"/>
  <c r="F695" i="3"/>
  <c r="G695" i="3" s="1"/>
  <c r="I695" i="3" s="1"/>
  <c r="F694" i="3"/>
  <c r="G694" i="3" s="1"/>
  <c r="I694" i="3" s="1"/>
  <c r="F693" i="3"/>
  <c r="G693" i="3" s="1"/>
  <c r="I693" i="3" s="1"/>
  <c r="F692" i="3"/>
  <c r="G692" i="3" s="1"/>
  <c r="I692" i="3" s="1"/>
  <c r="F691" i="3"/>
  <c r="F690" i="3"/>
  <c r="G690" i="3" s="1"/>
  <c r="I690" i="3" s="1"/>
  <c r="F689" i="3"/>
  <c r="G689" i="3" s="1"/>
  <c r="I689" i="3" s="1"/>
  <c r="F688" i="3"/>
  <c r="G688" i="3" s="1"/>
  <c r="I688" i="3" s="1"/>
  <c r="F687" i="3"/>
  <c r="G687" i="3" s="1"/>
  <c r="I687" i="3" s="1"/>
  <c r="F686" i="3"/>
  <c r="G686" i="3" s="1"/>
  <c r="I686" i="3" s="1"/>
  <c r="F685" i="3"/>
  <c r="G685" i="3" s="1"/>
  <c r="I685" i="3" s="1"/>
  <c r="F684" i="3"/>
  <c r="G684" i="3" s="1"/>
  <c r="I684" i="3" s="1"/>
  <c r="F683" i="3"/>
  <c r="G683" i="3" s="1"/>
  <c r="I683" i="3" s="1"/>
  <c r="F682" i="3"/>
  <c r="G682" i="3" s="1"/>
  <c r="I682" i="3" s="1"/>
  <c r="F681" i="3"/>
  <c r="G681" i="3" s="1"/>
  <c r="I681" i="3" s="1"/>
  <c r="F680" i="3"/>
  <c r="G680" i="3" s="1"/>
  <c r="I680" i="3" s="1"/>
  <c r="F679" i="3"/>
  <c r="G679" i="3" s="1"/>
  <c r="I679" i="3" s="1"/>
  <c r="F678" i="3"/>
  <c r="G678" i="3" s="1"/>
  <c r="I678" i="3" s="1"/>
  <c r="F677" i="3"/>
  <c r="G677" i="3" s="1"/>
  <c r="I677" i="3" s="1"/>
  <c r="F676" i="3"/>
  <c r="G676" i="3" s="1"/>
  <c r="I676" i="3" s="1"/>
  <c r="F675" i="3"/>
  <c r="G675" i="3" s="1"/>
  <c r="I675" i="3" s="1"/>
  <c r="F674" i="3"/>
  <c r="G674" i="3" s="1"/>
  <c r="I674" i="3" s="1"/>
  <c r="F673" i="3"/>
  <c r="I673" i="3" s="1"/>
  <c r="F672" i="3"/>
  <c r="I672" i="3" s="1"/>
  <c r="I671" i="3"/>
  <c r="F671" i="3"/>
  <c r="F670" i="3"/>
  <c r="G670" i="3" s="1"/>
  <c r="I670" i="3" s="1"/>
  <c r="F669" i="3"/>
  <c r="G669" i="3" s="1"/>
  <c r="I669" i="3" s="1"/>
  <c r="F668" i="3"/>
  <c r="G668" i="3" s="1"/>
  <c r="I668" i="3" s="1"/>
  <c r="F667" i="3"/>
  <c r="G667" i="3" s="1"/>
  <c r="I667" i="3" s="1"/>
  <c r="F666" i="3"/>
  <c r="G666" i="3" s="1"/>
  <c r="I666" i="3" s="1"/>
  <c r="F665" i="3"/>
  <c r="G665" i="3" s="1"/>
  <c r="I665" i="3" s="1"/>
  <c r="F664" i="3"/>
  <c r="G664" i="3" s="1"/>
  <c r="I664" i="3" s="1"/>
  <c r="F663" i="3"/>
  <c r="G663" i="3" s="1"/>
  <c r="I663" i="3" s="1"/>
  <c r="F662" i="3"/>
  <c r="G662" i="3" s="1"/>
  <c r="I662" i="3" s="1"/>
  <c r="F661" i="3"/>
  <c r="G661" i="3" s="1"/>
  <c r="I661" i="3" s="1"/>
  <c r="F660" i="3"/>
  <c r="G660" i="3" s="1"/>
  <c r="I660" i="3" s="1"/>
  <c r="F659" i="3"/>
  <c r="G659" i="3" s="1"/>
  <c r="I659" i="3" s="1"/>
  <c r="F658" i="3"/>
  <c r="G658" i="3" s="1"/>
  <c r="I658" i="3" s="1"/>
  <c r="F657" i="3"/>
  <c r="G657" i="3" s="1"/>
  <c r="I657" i="3" s="1"/>
  <c r="F656" i="3"/>
  <c r="G656" i="3" s="1"/>
  <c r="I656" i="3" s="1"/>
  <c r="F655" i="3"/>
  <c r="G655" i="3" s="1"/>
  <c r="I655" i="3" s="1"/>
  <c r="F654" i="3"/>
  <c r="G654" i="3" s="1"/>
  <c r="I654" i="3" s="1"/>
  <c r="F653" i="3"/>
  <c r="G653" i="3" s="1"/>
  <c r="I653" i="3" s="1"/>
  <c r="F652" i="3"/>
  <c r="G652" i="3" s="1"/>
  <c r="I652" i="3" s="1"/>
  <c r="F651" i="3"/>
  <c r="G651" i="3" s="1"/>
  <c r="I651" i="3" s="1"/>
  <c r="F650" i="3"/>
  <c r="G650" i="3" s="1"/>
  <c r="I650" i="3" s="1"/>
  <c r="F649" i="3"/>
  <c r="G649" i="3" s="1"/>
  <c r="I649" i="3" s="1"/>
  <c r="F648" i="3"/>
  <c r="G648" i="3" s="1"/>
  <c r="I648" i="3" s="1"/>
  <c r="F647" i="3"/>
  <c r="G647" i="3" s="1"/>
  <c r="I647" i="3" s="1"/>
  <c r="F646" i="3"/>
  <c r="G646" i="3" s="1"/>
  <c r="I646" i="3" s="1"/>
  <c r="L645" i="3"/>
  <c r="F645" i="3"/>
  <c r="G645" i="3" s="1"/>
  <c r="I645" i="3" s="1"/>
  <c r="F644" i="3"/>
  <c r="G644" i="3" s="1"/>
  <c r="I644" i="3" s="1"/>
  <c r="F643" i="3"/>
  <c r="G643" i="3" s="1"/>
  <c r="I643" i="3" s="1"/>
  <c r="F642" i="3"/>
  <c r="G642" i="3" s="1"/>
  <c r="I642" i="3" s="1"/>
  <c r="K641" i="3"/>
  <c r="F641" i="3"/>
  <c r="G641" i="3" s="1"/>
  <c r="I641" i="3" s="1"/>
  <c r="F640" i="3"/>
  <c r="G640" i="3" s="1"/>
  <c r="I640" i="3" s="1"/>
  <c r="F639" i="3"/>
  <c r="G639" i="3" s="1"/>
  <c r="I639" i="3" s="1"/>
  <c r="F638" i="3"/>
  <c r="G638" i="3" s="1"/>
  <c r="I638" i="3" s="1"/>
  <c r="F637" i="3"/>
  <c r="G637" i="3" s="1"/>
  <c r="I637" i="3" s="1"/>
  <c r="F636" i="3"/>
  <c r="G636" i="3" s="1"/>
  <c r="I636" i="3" s="1"/>
  <c r="F635" i="3"/>
  <c r="G635" i="3" s="1"/>
  <c r="F634" i="3"/>
  <c r="G634" i="3" s="1"/>
  <c r="I634" i="3" s="1"/>
  <c r="F633" i="3"/>
  <c r="G633" i="3" s="1"/>
  <c r="I633" i="3" s="1"/>
  <c r="F632" i="3"/>
  <c r="G632" i="3" s="1"/>
  <c r="I632" i="3" s="1"/>
  <c r="F631" i="3"/>
  <c r="G631" i="3" s="1"/>
  <c r="I631" i="3" s="1"/>
  <c r="F630" i="3"/>
  <c r="G630" i="3" s="1"/>
  <c r="I630" i="3" s="1"/>
  <c r="F629" i="3"/>
  <c r="G629" i="3" s="1"/>
  <c r="I629" i="3" s="1"/>
  <c r="F628" i="3"/>
  <c r="G628" i="3" s="1"/>
  <c r="I628" i="3" s="1"/>
  <c r="F627" i="3"/>
  <c r="G627" i="3" s="1"/>
  <c r="I627" i="3" s="1"/>
  <c r="F626" i="3"/>
  <c r="G626" i="3" s="1"/>
  <c r="I626" i="3" s="1"/>
  <c r="F625" i="3"/>
  <c r="G625" i="3" s="1"/>
  <c r="I625" i="3" s="1"/>
  <c r="F624" i="3"/>
  <c r="G624" i="3" s="1"/>
  <c r="I624" i="3" s="1"/>
  <c r="F623" i="3"/>
  <c r="G623" i="3" s="1"/>
  <c r="I623" i="3" s="1"/>
  <c r="F622" i="3"/>
  <c r="G622" i="3" s="1"/>
  <c r="I622" i="3" s="1"/>
  <c r="F621" i="3"/>
  <c r="G621" i="3" s="1"/>
  <c r="I621" i="3" s="1"/>
  <c r="F620" i="3"/>
  <c r="G620" i="3" s="1"/>
  <c r="I620" i="3" s="1"/>
  <c r="F619" i="3"/>
  <c r="G619" i="3" s="1"/>
  <c r="I619" i="3" s="1"/>
  <c r="F618" i="3"/>
  <c r="G618" i="3" s="1"/>
  <c r="I618" i="3" s="1"/>
  <c r="F617" i="3"/>
  <c r="G617" i="3" s="1"/>
  <c r="I617" i="3" s="1"/>
  <c r="F616" i="3"/>
  <c r="G616" i="3" s="1"/>
  <c r="I616" i="3" s="1"/>
  <c r="F615" i="3"/>
  <c r="G615" i="3" s="1"/>
  <c r="I615" i="3" s="1"/>
  <c r="F614" i="3"/>
  <c r="G614" i="3" s="1"/>
  <c r="I614" i="3" s="1"/>
  <c r="F613" i="3"/>
  <c r="G613" i="3" s="1"/>
  <c r="I613" i="3" s="1"/>
  <c r="F612" i="3"/>
  <c r="G612" i="3" s="1"/>
  <c r="I612" i="3" s="1"/>
  <c r="F611" i="3"/>
  <c r="G611" i="3" s="1"/>
  <c r="I611" i="3" s="1"/>
  <c r="F610" i="3"/>
  <c r="G610" i="3" s="1"/>
  <c r="I610" i="3" s="1"/>
  <c r="F609" i="3"/>
  <c r="G609" i="3" s="1"/>
  <c r="I609" i="3" s="1"/>
  <c r="I608" i="3"/>
  <c r="I607" i="3"/>
  <c r="I606" i="3"/>
  <c r="I605" i="3"/>
  <c r="I604" i="3"/>
  <c r="F603" i="3"/>
  <c r="G603" i="3" s="1"/>
  <c r="I603" i="3" s="1"/>
  <c r="F602" i="3"/>
  <c r="G602" i="3" s="1"/>
  <c r="I602" i="3" s="1"/>
  <c r="F601" i="3"/>
  <c r="G601" i="3" s="1"/>
  <c r="I601" i="3" s="1"/>
  <c r="F600" i="3"/>
  <c r="G600" i="3" s="1"/>
  <c r="I600" i="3" s="1"/>
  <c r="F599" i="3"/>
  <c r="G599" i="3" s="1"/>
  <c r="I599" i="3" s="1"/>
  <c r="F598" i="3"/>
  <c r="G598" i="3" s="1"/>
  <c r="I598" i="3" s="1"/>
  <c r="F597" i="3"/>
  <c r="G597" i="3" s="1"/>
  <c r="I597" i="3" s="1"/>
  <c r="F596" i="3"/>
  <c r="G596" i="3" s="1"/>
  <c r="I596" i="3" s="1"/>
  <c r="F595" i="3"/>
  <c r="G595" i="3" s="1"/>
  <c r="I595" i="3" s="1"/>
  <c r="F594" i="3"/>
  <c r="G594" i="3" s="1"/>
  <c r="I594" i="3" s="1"/>
  <c r="F593" i="3"/>
  <c r="G593" i="3" s="1"/>
  <c r="I593" i="3" s="1"/>
  <c r="F592" i="3"/>
  <c r="G592" i="3" s="1"/>
  <c r="I592" i="3" s="1"/>
  <c r="F591" i="3"/>
  <c r="G591" i="3" s="1"/>
  <c r="I591" i="3" s="1"/>
  <c r="F590" i="3"/>
  <c r="G590" i="3" s="1"/>
  <c r="I590" i="3" s="1"/>
  <c r="F589" i="3"/>
  <c r="G589" i="3" s="1"/>
  <c r="I589" i="3" s="1"/>
  <c r="F588" i="3"/>
  <c r="G588" i="3" s="1"/>
  <c r="I588" i="3" s="1"/>
  <c r="F587" i="3"/>
  <c r="G587" i="3" s="1"/>
  <c r="I587" i="3" s="1"/>
  <c r="F586" i="3"/>
  <c r="G586" i="3" s="1"/>
  <c r="I586" i="3" s="1"/>
  <c r="F585" i="3"/>
  <c r="G585" i="3" s="1"/>
  <c r="I585" i="3" s="1"/>
  <c r="F584" i="3"/>
  <c r="G584" i="3" s="1"/>
  <c r="I584" i="3" s="1"/>
  <c r="F583" i="3"/>
  <c r="G583" i="3" s="1"/>
  <c r="I583" i="3" s="1"/>
  <c r="F582" i="3"/>
  <c r="G582" i="3" s="1"/>
  <c r="I582" i="3" s="1"/>
  <c r="F581" i="3"/>
  <c r="G581" i="3" s="1"/>
  <c r="I581" i="3" s="1"/>
  <c r="F580" i="3"/>
  <c r="G580" i="3" s="1"/>
  <c r="I580" i="3" s="1"/>
  <c r="F579" i="3"/>
  <c r="G579" i="3" s="1"/>
  <c r="I579" i="3" s="1"/>
  <c r="F578" i="3"/>
  <c r="G578" i="3" s="1"/>
  <c r="I578" i="3" s="1"/>
  <c r="F577" i="3"/>
  <c r="G577" i="3" s="1"/>
  <c r="I577" i="3" s="1"/>
  <c r="F576" i="3"/>
  <c r="G576" i="3" s="1"/>
  <c r="I576" i="3" s="1"/>
  <c r="F575" i="3"/>
  <c r="G575" i="3" s="1"/>
  <c r="I575" i="3" s="1"/>
  <c r="F574" i="3"/>
  <c r="G574" i="3" s="1"/>
  <c r="I574" i="3" s="1"/>
  <c r="F573" i="3"/>
  <c r="G573" i="3" s="1"/>
  <c r="I573" i="3" s="1"/>
  <c r="F572" i="3"/>
  <c r="G572" i="3" s="1"/>
  <c r="I572" i="3" s="1"/>
  <c r="F571" i="3"/>
  <c r="G571" i="3" s="1"/>
  <c r="I571" i="3" s="1"/>
  <c r="F570" i="3"/>
  <c r="G570" i="3" s="1"/>
  <c r="I570" i="3" s="1"/>
  <c r="F569" i="3"/>
  <c r="G569" i="3" s="1"/>
  <c r="I569" i="3" s="1"/>
  <c r="F568" i="3"/>
  <c r="G568" i="3" s="1"/>
  <c r="I568" i="3" s="1"/>
  <c r="F567" i="3"/>
  <c r="G567" i="3" s="1"/>
  <c r="I567" i="3" s="1"/>
  <c r="F566" i="3"/>
  <c r="G566" i="3" s="1"/>
  <c r="I566" i="3" s="1"/>
  <c r="F565" i="3"/>
  <c r="G565" i="3" s="1"/>
  <c r="I565" i="3" s="1"/>
  <c r="F564" i="3"/>
  <c r="G564" i="3" s="1"/>
  <c r="I564" i="3" s="1"/>
  <c r="F563" i="3"/>
  <c r="G563" i="3" s="1"/>
  <c r="I563" i="3" s="1"/>
  <c r="F562" i="3"/>
  <c r="G562" i="3" s="1"/>
  <c r="I562" i="3" s="1"/>
  <c r="F561" i="3"/>
  <c r="G561" i="3" s="1"/>
  <c r="I561" i="3" s="1"/>
  <c r="F560" i="3"/>
  <c r="G560" i="3" s="1"/>
  <c r="I560" i="3" s="1"/>
  <c r="F559" i="3"/>
  <c r="G559" i="3" s="1"/>
  <c r="I559" i="3" s="1"/>
  <c r="F558" i="3"/>
  <c r="G558" i="3" s="1"/>
  <c r="I558" i="3" s="1"/>
  <c r="F557" i="3"/>
  <c r="G557" i="3" s="1"/>
  <c r="I557" i="3" s="1"/>
  <c r="F556" i="3"/>
  <c r="G556" i="3" s="1"/>
  <c r="I556" i="3" s="1"/>
  <c r="F555" i="3"/>
  <c r="G555" i="3" s="1"/>
  <c r="I555" i="3" s="1"/>
  <c r="F554" i="3"/>
  <c r="G554" i="3" s="1"/>
  <c r="I554" i="3" s="1"/>
  <c r="F553" i="3"/>
  <c r="G553" i="3" s="1"/>
  <c r="I553" i="3" s="1"/>
  <c r="F552" i="3"/>
  <c r="G552" i="3" s="1"/>
  <c r="I552" i="3" s="1"/>
  <c r="F551" i="3"/>
  <c r="G551" i="3" s="1"/>
  <c r="I551" i="3" s="1"/>
  <c r="F550" i="3"/>
  <c r="G550" i="3" s="1"/>
  <c r="I550" i="3" s="1"/>
  <c r="F549" i="3"/>
  <c r="G549" i="3" s="1"/>
  <c r="I549" i="3" s="1"/>
  <c r="F548" i="3"/>
  <c r="G548" i="3" s="1"/>
  <c r="I548" i="3" s="1"/>
  <c r="F547" i="3"/>
  <c r="G547" i="3" s="1"/>
  <c r="I547" i="3" s="1"/>
  <c r="F546" i="3"/>
  <c r="G546" i="3" s="1"/>
  <c r="I546" i="3" s="1"/>
  <c r="F545" i="3"/>
  <c r="G545" i="3" s="1"/>
  <c r="I545" i="3" s="1"/>
  <c r="F544" i="3"/>
  <c r="G544" i="3" s="1"/>
  <c r="I544" i="3" s="1"/>
  <c r="F543" i="3"/>
  <c r="G543" i="3" s="1"/>
  <c r="I543" i="3" s="1"/>
  <c r="F542" i="3"/>
  <c r="G542" i="3" s="1"/>
  <c r="I542" i="3" s="1"/>
  <c r="F541" i="3"/>
  <c r="G541" i="3" s="1"/>
  <c r="I541" i="3" s="1"/>
  <c r="F540" i="3"/>
  <c r="G540" i="3" s="1"/>
  <c r="I540" i="3" s="1"/>
  <c r="F539" i="3"/>
  <c r="G539" i="3" s="1"/>
  <c r="I539" i="3" s="1"/>
  <c r="F538" i="3"/>
  <c r="G538" i="3" s="1"/>
  <c r="I538" i="3" s="1"/>
  <c r="F537" i="3"/>
  <c r="G537" i="3" s="1"/>
  <c r="I537" i="3" s="1"/>
  <c r="F536" i="3"/>
  <c r="G536" i="3" s="1"/>
  <c r="I536" i="3" s="1"/>
  <c r="F535" i="3"/>
  <c r="G535" i="3" s="1"/>
  <c r="I535" i="3" s="1"/>
  <c r="F534" i="3"/>
  <c r="G534" i="3" s="1"/>
  <c r="I534" i="3" s="1"/>
  <c r="F533" i="3"/>
  <c r="G533" i="3" s="1"/>
  <c r="I533" i="3" s="1"/>
  <c r="F532" i="3"/>
  <c r="G532" i="3" s="1"/>
  <c r="I532" i="3" s="1"/>
  <c r="F531" i="3"/>
  <c r="G531" i="3" s="1"/>
  <c r="I531" i="3" s="1"/>
  <c r="F530" i="3"/>
  <c r="G530" i="3" s="1"/>
  <c r="I530" i="3" s="1"/>
  <c r="F529" i="3"/>
  <c r="G529" i="3" s="1"/>
  <c r="I529" i="3" s="1"/>
  <c r="F528" i="3"/>
  <c r="G528" i="3" s="1"/>
  <c r="I528" i="3" s="1"/>
  <c r="F527" i="3"/>
  <c r="G527" i="3" s="1"/>
  <c r="I527" i="3" s="1"/>
  <c r="F526" i="3"/>
  <c r="G526" i="3" s="1"/>
  <c r="I526" i="3" s="1"/>
  <c r="F525" i="3"/>
  <c r="G525" i="3" s="1"/>
  <c r="I525" i="3" s="1"/>
  <c r="F524" i="3"/>
  <c r="G524" i="3" s="1"/>
  <c r="I524" i="3" s="1"/>
  <c r="F523" i="3"/>
  <c r="G523" i="3" s="1"/>
  <c r="I523" i="3" s="1"/>
  <c r="F522" i="3"/>
  <c r="G522" i="3" s="1"/>
  <c r="I522" i="3" s="1"/>
  <c r="F521" i="3"/>
  <c r="G521" i="3" s="1"/>
  <c r="I521" i="3" s="1"/>
  <c r="F520" i="3"/>
  <c r="G520" i="3" s="1"/>
  <c r="I520" i="3" s="1"/>
  <c r="F519" i="3"/>
  <c r="G519" i="3" s="1"/>
  <c r="I519" i="3" s="1"/>
  <c r="F518" i="3"/>
  <c r="G518" i="3" s="1"/>
  <c r="I518" i="3" s="1"/>
  <c r="F517" i="3"/>
  <c r="G517" i="3" s="1"/>
  <c r="I517" i="3" s="1"/>
  <c r="F516" i="3"/>
  <c r="G516" i="3" s="1"/>
  <c r="I516" i="3" s="1"/>
  <c r="F515" i="3"/>
  <c r="G515" i="3" s="1"/>
  <c r="I515" i="3" s="1"/>
  <c r="F514" i="3"/>
  <c r="G514" i="3" s="1"/>
  <c r="I514" i="3" s="1"/>
  <c r="F513" i="3"/>
  <c r="G513" i="3" s="1"/>
  <c r="I513" i="3" s="1"/>
  <c r="F512" i="3"/>
  <c r="G512" i="3" s="1"/>
  <c r="I512" i="3" s="1"/>
  <c r="F511" i="3"/>
  <c r="G511" i="3" s="1"/>
  <c r="I511" i="3" s="1"/>
  <c r="F510" i="3"/>
  <c r="G510" i="3" s="1"/>
  <c r="I510" i="3" s="1"/>
  <c r="F509" i="3"/>
  <c r="G509" i="3" s="1"/>
  <c r="I509" i="3" s="1"/>
  <c r="F508" i="3"/>
  <c r="G508" i="3" s="1"/>
  <c r="I508" i="3" s="1"/>
  <c r="F507" i="3"/>
  <c r="G507" i="3" s="1"/>
  <c r="I507" i="3" s="1"/>
  <c r="F506" i="3"/>
  <c r="G506" i="3" s="1"/>
  <c r="I506" i="3" s="1"/>
  <c r="F505" i="3"/>
  <c r="G505" i="3" s="1"/>
  <c r="I505" i="3" s="1"/>
  <c r="F504" i="3"/>
  <c r="G504" i="3" s="1"/>
  <c r="I504" i="3" s="1"/>
  <c r="F503" i="3"/>
  <c r="G503" i="3" s="1"/>
  <c r="I503" i="3" s="1"/>
  <c r="F502" i="3"/>
  <c r="G502" i="3" s="1"/>
  <c r="I502" i="3" s="1"/>
  <c r="F501" i="3"/>
  <c r="G501" i="3" s="1"/>
  <c r="I501" i="3" s="1"/>
  <c r="F500" i="3"/>
  <c r="G500" i="3" s="1"/>
  <c r="I500" i="3" s="1"/>
  <c r="F499" i="3"/>
  <c r="G499" i="3" s="1"/>
  <c r="I499" i="3" s="1"/>
  <c r="F498" i="3"/>
  <c r="G498" i="3" s="1"/>
  <c r="I498" i="3" s="1"/>
  <c r="F497" i="3"/>
  <c r="G497" i="3" s="1"/>
  <c r="I497" i="3" s="1"/>
  <c r="F496" i="3"/>
  <c r="G496" i="3" s="1"/>
  <c r="I496" i="3" s="1"/>
  <c r="F495" i="3"/>
  <c r="G495" i="3" s="1"/>
  <c r="I495" i="3" s="1"/>
  <c r="F494" i="3"/>
  <c r="G494" i="3" s="1"/>
  <c r="I494" i="3" s="1"/>
  <c r="F493" i="3"/>
  <c r="G493" i="3" s="1"/>
  <c r="I493" i="3" s="1"/>
  <c r="F492" i="3"/>
  <c r="G492" i="3" s="1"/>
  <c r="I492" i="3" s="1"/>
  <c r="F491" i="3"/>
  <c r="G491" i="3" s="1"/>
  <c r="I491" i="3" s="1"/>
  <c r="F490" i="3"/>
  <c r="G490" i="3" s="1"/>
  <c r="I490" i="3" s="1"/>
  <c r="F489" i="3"/>
  <c r="G489" i="3" s="1"/>
  <c r="I489" i="3" s="1"/>
  <c r="F488" i="3"/>
  <c r="G488" i="3" s="1"/>
  <c r="I488" i="3" s="1"/>
  <c r="F487" i="3"/>
  <c r="G487" i="3" s="1"/>
  <c r="I487" i="3" s="1"/>
  <c r="F486" i="3"/>
  <c r="G486" i="3" s="1"/>
  <c r="I486" i="3" s="1"/>
  <c r="F485" i="3"/>
  <c r="G485" i="3" s="1"/>
  <c r="I485" i="3" s="1"/>
  <c r="F484" i="3"/>
  <c r="G484" i="3" s="1"/>
  <c r="I484" i="3" s="1"/>
  <c r="F483" i="3"/>
  <c r="G483" i="3" s="1"/>
  <c r="I483" i="3" s="1"/>
  <c r="F482" i="3"/>
  <c r="G482" i="3" s="1"/>
  <c r="I482" i="3" s="1"/>
  <c r="F481" i="3"/>
  <c r="G481" i="3" s="1"/>
  <c r="I481" i="3" s="1"/>
  <c r="F480" i="3"/>
  <c r="G480" i="3" s="1"/>
  <c r="I480" i="3" s="1"/>
  <c r="F479" i="3"/>
  <c r="G479" i="3" s="1"/>
  <c r="I479" i="3" s="1"/>
  <c r="F478" i="3"/>
  <c r="G478" i="3" s="1"/>
  <c r="I478" i="3" s="1"/>
  <c r="F477" i="3"/>
  <c r="G477" i="3" s="1"/>
  <c r="I477" i="3" s="1"/>
  <c r="F476" i="3"/>
  <c r="G476" i="3" s="1"/>
  <c r="I476" i="3" s="1"/>
  <c r="F475" i="3"/>
  <c r="G475" i="3" s="1"/>
  <c r="I475" i="3" s="1"/>
  <c r="F474" i="3"/>
  <c r="G474" i="3" s="1"/>
  <c r="I474" i="3" s="1"/>
  <c r="F473" i="3"/>
  <c r="G473" i="3" s="1"/>
  <c r="I473" i="3" s="1"/>
  <c r="F472" i="3"/>
  <c r="G472" i="3" s="1"/>
  <c r="I472" i="3" s="1"/>
  <c r="F471" i="3"/>
  <c r="G471" i="3" s="1"/>
  <c r="I471" i="3" s="1"/>
  <c r="F470" i="3"/>
  <c r="G470" i="3" s="1"/>
  <c r="I470" i="3" s="1"/>
  <c r="I469" i="3"/>
  <c r="I468" i="3"/>
  <c r="I467" i="3"/>
  <c r="F466" i="3"/>
  <c r="G466" i="3" s="1"/>
  <c r="I466" i="3" s="1"/>
  <c r="F465" i="3"/>
  <c r="G465" i="3" s="1"/>
  <c r="I465" i="3" s="1"/>
  <c r="F464" i="3"/>
  <c r="G464" i="3" s="1"/>
  <c r="I464" i="3" s="1"/>
  <c r="F463" i="3"/>
  <c r="G463" i="3" s="1"/>
  <c r="I463" i="3" s="1"/>
  <c r="F462" i="3"/>
  <c r="G462" i="3" s="1"/>
  <c r="I462" i="3" s="1"/>
  <c r="F461" i="3"/>
  <c r="G461" i="3" s="1"/>
  <c r="I461" i="3" s="1"/>
  <c r="F460" i="3"/>
  <c r="G460" i="3" s="1"/>
  <c r="I460" i="3" s="1"/>
  <c r="F459" i="3"/>
  <c r="G459" i="3" s="1"/>
  <c r="I459" i="3" s="1"/>
  <c r="F458" i="3"/>
  <c r="G458" i="3" s="1"/>
  <c r="I458" i="3" s="1"/>
  <c r="F457" i="3"/>
  <c r="G457" i="3" s="1"/>
  <c r="I457" i="3" s="1"/>
  <c r="F456" i="3"/>
  <c r="G456" i="3" s="1"/>
  <c r="I456" i="3" s="1"/>
  <c r="F455" i="3"/>
  <c r="G455" i="3" s="1"/>
  <c r="I455" i="3" s="1"/>
  <c r="F454" i="3"/>
  <c r="G454" i="3" s="1"/>
  <c r="I454" i="3" s="1"/>
  <c r="F453" i="3"/>
  <c r="G453" i="3" s="1"/>
  <c r="I453" i="3" s="1"/>
  <c r="F452" i="3"/>
  <c r="G452" i="3" s="1"/>
  <c r="I452" i="3" s="1"/>
  <c r="F451" i="3"/>
  <c r="G451" i="3" s="1"/>
  <c r="I451" i="3" s="1"/>
  <c r="F450" i="3"/>
  <c r="G450" i="3" s="1"/>
  <c r="I450" i="3" s="1"/>
  <c r="F449" i="3"/>
  <c r="G449" i="3" s="1"/>
  <c r="I449" i="3" s="1"/>
  <c r="F448" i="3"/>
  <c r="G448" i="3" s="1"/>
  <c r="I448" i="3" s="1"/>
  <c r="F447" i="3"/>
  <c r="G447" i="3" s="1"/>
  <c r="I447" i="3" s="1"/>
  <c r="F446" i="3"/>
  <c r="G446" i="3" s="1"/>
  <c r="I446" i="3" s="1"/>
  <c r="F445" i="3"/>
  <c r="G445" i="3" s="1"/>
  <c r="I445" i="3" s="1"/>
  <c r="F444" i="3"/>
  <c r="G444" i="3" s="1"/>
  <c r="I444" i="3" s="1"/>
  <c r="F443" i="3"/>
  <c r="G443" i="3" s="1"/>
  <c r="I443" i="3" s="1"/>
  <c r="F442" i="3"/>
  <c r="G442" i="3" s="1"/>
  <c r="I442" i="3" s="1"/>
  <c r="F441" i="3"/>
  <c r="G441" i="3" s="1"/>
  <c r="I441" i="3" s="1"/>
  <c r="F440" i="3"/>
  <c r="G440" i="3" s="1"/>
  <c r="I440" i="3" s="1"/>
  <c r="F439" i="3"/>
  <c r="G439" i="3" s="1"/>
  <c r="I439" i="3" s="1"/>
  <c r="F438" i="3"/>
  <c r="G438" i="3" s="1"/>
  <c r="I438" i="3" s="1"/>
  <c r="F437" i="3"/>
  <c r="G437" i="3" s="1"/>
  <c r="I437" i="3" s="1"/>
  <c r="F436" i="3"/>
  <c r="G436" i="3" s="1"/>
  <c r="I436" i="3" s="1"/>
  <c r="F435" i="3"/>
  <c r="G435" i="3" s="1"/>
  <c r="I435" i="3" s="1"/>
  <c r="F434" i="3"/>
  <c r="G434" i="3" s="1"/>
  <c r="I434" i="3" s="1"/>
  <c r="F433" i="3"/>
  <c r="G433" i="3" s="1"/>
  <c r="I433" i="3" s="1"/>
  <c r="F432" i="3"/>
  <c r="G432" i="3" s="1"/>
  <c r="I432" i="3" s="1"/>
  <c r="F431" i="3"/>
  <c r="G431" i="3" s="1"/>
  <c r="I431" i="3" s="1"/>
  <c r="F430" i="3"/>
  <c r="G430" i="3" s="1"/>
  <c r="I430" i="3" s="1"/>
  <c r="F429" i="3"/>
  <c r="G429" i="3" s="1"/>
  <c r="I429" i="3" s="1"/>
  <c r="F428" i="3"/>
  <c r="G428" i="3" s="1"/>
  <c r="I428" i="3" s="1"/>
  <c r="F427" i="3"/>
  <c r="G427" i="3" s="1"/>
  <c r="I427" i="3" s="1"/>
  <c r="F426" i="3"/>
  <c r="G426" i="3" s="1"/>
  <c r="I426" i="3" s="1"/>
  <c r="F425" i="3"/>
  <c r="G425" i="3" s="1"/>
  <c r="I425" i="3" s="1"/>
  <c r="F424" i="3"/>
  <c r="G424" i="3" s="1"/>
  <c r="I424" i="3" s="1"/>
  <c r="F423" i="3"/>
  <c r="G423" i="3" s="1"/>
  <c r="I423" i="3" s="1"/>
  <c r="F422" i="3"/>
  <c r="G422" i="3" s="1"/>
  <c r="I422" i="3" s="1"/>
  <c r="F421" i="3"/>
  <c r="G421" i="3" s="1"/>
  <c r="I421" i="3" s="1"/>
  <c r="F420" i="3"/>
  <c r="G420" i="3" s="1"/>
  <c r="I420" i="3" s="1"/>
  <c r="F419" i="3"/>
  <c r="G419" i="3" s="1"/>
  <c r="I419" i="3" s="1"/>
  <c r="F418" i="3"/>
  <c r="G418" i="3" s="1"/>
  <c r="I418" i="3" s="1"/>
  <c r="F417" i="3"/>
  <c r="G417" i="3" s="1"/>
  <c r="I417" i="3" s="1"/>
  <c r="F416" i="3"/>
  <c r="G416" i="3" s="1"/>
  <c r="I416" i="3" s="1"/>
  <c r="F415" i="3"/>
  <c r="G415" i="3" s="1"/>
  <c r="I415" i="3" s="1"/>
  <c r="F414" i="3"/>
  <c r="G414" i="3" s="1"/>
  <c r="I414" i="3" s="1"/>
  <c r="F413" i="3"/>
  <c r="G413" i="3" s="1"/>
  <c r="I413" i="3" s="1"/>
  <c r="F412" i="3"/>
  <c r="G412" i="3" s="1"/>
  <c r="I412" i="3" s="1"/>
  <c r="F411" i="3"/>
  <c r="G411" i="3" s="1"/>
  <c r="I411" i="3" s="1"/>
  <c r="F410" i="3"/>
  <c r="G410" i="3" s="1"/>
  <c r="I410" i="3" s="1"/>
  <c r="F409" i="3"/>
  <c r="G409" i="3" s="1"/>
  <c r="I409" i="3" s="1"/>
  <c r="F408" i="3"/>
  <c r="G408" i="3" s="1"/>
  <c r="I408" i="3" s="1"/>
  <c r="F407" i="3"/>
  <c r="G407" i="3" s="1"/>
  <c r="I407" i="3" s="1"/>
  <c r="F406" i="3"/>
  <c r="G406" i="3" s="1"/>
  <c r="I406" i="3" s="1"/>
  <c r="F405" i="3"/>
  <c r="G405" i="3" s="1"/>
  <c r="I405" i="3" s="1"/>
  <c r="F404" i="3"/>
  <c r="G404" i="3" s="1"/>
  <c r="I404" i="3" s="1"/>
  <c r="F403" i="3"/>
  <c r="G403" i="3" s="1"/>
  <c r="I403" i="3" s="1"/>
  <c r="F402" i="3"/>
  <c r="G402" i="3" s="1"/>
  <c r="I402" i="3" s="1"/>
  <c r="F401" i="3"/>
  <c r="G401" i="3" s="1"/>
  <c r="I401" i="3" s="1"/>
  <c r="F400" i="3"/>
  <c r="G400" i="3" s="1"/>
  <c r="I400" i="3" s="1"/>
  <c r="F399" i="3"/>
  <c r="G399" i="3" s="1"/>
  <c r="I399" i="3" s="1"/>
  <c r="F398" i="3"/>
  <c r="G398" i="3" s="1"/>
  <c r="I398" i="3" s="1"/>
  <c r="F397" i="3"/>
  <c r="G397" i="3" s="1"/>
  <c r="I397" i="3" s="1"/>
  <c r="F396" i="3"/>
  <c r="G396" i="3" s="1"/>
  <c r="I396" i="3" s="1"/>
  <c r="F395" i="3"/>
  <c r="G395" i="3" s="1"/>
  <c r="I395" i="3" s="1"/>
  <c r="F394" i="3"/>
  <c r="G394" i="3" s="1"/>
  <c r="I394" i="3" s="1"/>
  <c r="F393" i="3"/>
  <c r="G393" i="3" s="1"/>
  <c r="I393" i="3" s="1"/>
  <c r="F392" i="3"/>
  <c r="G392" i="3" s="1"/>
  <c r="I392" i="3" s="1"/>
  <c r="F391" i="3"/>
  <c r="G391" i="3" s="1"/>
  <c r="I391" i="3" s="1"/>
  <c r="F390" i="3"/>
  <c r="G390" i="3" s="1"/>
  <c r="I390" i="3" s="1"/>
  <c r="F389" i="3"/>
  <c r="G389" i="3" s="1"/>
  <c r="I389" i="3" s="1"/>
  <c r="F388" i="3"/>
  <c r="G388" i="3" s="1"/>
  <c r="I388" i="3" s="1"/>
  <c r="F387" i="3"/>
  <c r="G387" i="3" s="1"/>
  <c r="I387" i="3" s="1"/>
  <c r="F386" i="3"/>
  <c r="G386" i="3" s="1"/>
  <c r="I386" i="3" s="1"/>
  <c r="F385" i="3"/>
  <c r="G385" i="3" s="1"/>
  <c r="I385" i="3" s="1"/>
  <c r="F384" i="3"/>
  <c r="G384" i="3" s="1"/>
  <c r="I384" i="3" s="1"/>
  <c r="F383" i="3"/>
  <c r="G383" i="3" s="1"/>
  <c r="I383" i="3" s="1"/>
  <c r="F382" i="3"/>
  <c r="G382" i="3" s="1"/>
  <c r="I382" i="3" s="1"/>
  <c r="F381" i="3"/>
  <c r="G381" i="3" s="1"/>
  <c r="I381" i="3" s="1"/>
  <c r="F380" i="3"/>
  <c r="G380" i="3" s="1"/>
  <c r="I380" i="3" s="1"/>
  <c r="F379" i="3"/>
  <c r="G379" i="3" s="1"/>
  <c r="I379" i="3" s="1"/>
  <c r="F378" i="3"/>
  <c r="G378" i="3" s="1"/>
  <c r="I378" i="3" s="1"/>
  <c r="F377" i="3"/>
  <c r="G377" i="3" s="1"/>
  <c r="I377" i="3" s="1"/>
  <c r="F376" i="3"/>
  <c r="G376" i="3" s="1"/>
  <c r="I376" i="3" s="1"/>
  <c r="F375" i="3"/>
  <c r="G375" i="3" s="1"/>
  <c r="I375" i="3" s="1"/>
  <c r="F374" i="3"/>
  <c r="G374" i="3" s="1"/>
  <c r="I374" i="3" s="1"/>
  <c r="F373" i="3"/>
  <c r="G373" i="3" s="1"/>
  <c r="I373" i="3" s="1"/>
  <c r="F372" i="3"/>
  <c r="G372" i="3" s="1"/>
  <c r="I372" i="3" s="1"/>
  <c r="F371" i="3"/>
  <c r="G371" i="3" s="1"/>
  <c r="I371" i="3" s="1"/>
  <c r="F370" i="3"/>
  <c r="G370" i="3" s="1"/>
  <c r="I370" i="3" s="1"/>
  <c r="F369" i="3"/>
  <c r="G369" i="3" s="1"/>
  <c r="I369" i="3" s="1"/>
  <c r="F368" i="3"/>
  <c r="G368" i="3" s="1"/>
  <c r="I368" i="3" s="1"/>
  <c r="F367" i="3"/>
  <c r="G367" i="3" s="1"/>
  <c r="I367" i="3" s="1"/>
  <c r="F366" i="3"/>
  <c r="G366" i="3" s="1"/>
  <c r="I366" i="3" s="1"/>
  <c r="F365" i="3"/>
  <c r="G365" i="3" s="1"/>
  <c r="I365" i="3" s="1"/>
  <c r="F364" i="3"/>
  <c r="G364" i="3" s="1"/>
  <c r="I364" i="3" s="1"/>
  <c r="F363" i="3"/>
  <c r="G363" i="3" s="1"/>
  <c r="I363" i="3" s="1"/>
  <c r="F362" i="3"/>
  <c r="G362" i="3" s="1"/>
  <c r="I362" i="3" s="1"/>
  <c r="F361" i="3"/>
  <c r="G361" i="3" s="1"/>
  <c r="I361" i="3" s="1"/>
  <c r="F360" i="3"/>
  <c r="G360" i="3" s="1"/>
  <c r="I360" i="3" s="1"/>
  <c r="F359" i="3"/>
  <c r="G359" i="3" s="1"/>
  <c r="I359" i="3" s="1"/>
  <c r="F358" i="3"/>
  <c r="G358" i="3" s="1"/>
  <c r="I358" i="3" s="1"/>
  <c r="F357" i="3"/>
  <c r="G357" i="3" s="1"/>
  <c r="I357" i="3" s="1"/>
  <c r="F356" i="3"/>
  <c r="G356" i="3" s="1"/>
  <c r="I356" i="3" s="1"/>
  <c r="F355" i="3"/>
  <c r="G355" i="3" s="1"/>
  <c r="I355" i="3" s="1"/>
  <c r="F354" i="3"/>
  <c r="G354" i="3" s="1"/>
  <c r="I354" i="3" s="1"/>
  <c r="F353" i="3"/>
  <c r="G353" i="3" s="1"/>
  <c r="I353" i="3" s="1"/>
  <c r="F352" i="3"/>
  <c r="G352" i="3" s="1"/>
  <c r="I352" i="3" s="1"/>
  <c r="F351" i="3"/>
  <c r="G351" i="3" s="1"/>
  <c r="I351" i="3" s="1"/>
  <c r="F350" i="3"/>
  <c r="G350" i="3" s="1"/>
  <c r="I350" i="3" s="1"/>
  <c r="F349" i="3"/>
  <c r="G349" i="3" s="1"/>
  <c r="I349" i="3" s="1"/>
  <c r="F348" i="3"/>
  <c r="G348" i="3" s="1"/>
  <c r="I348" i="3" s="1"/>
  <c r="F347" i="3"/>
  <c r="G347" i="3" s="1"/>
  <c r="I347" i="3" s="1"/>
  <c r="F346" i="3"/>
  <c r="G346" i="3" s="1"/>
  <c r="I346" i="3" s="1"/>
  <c r="F345" i="3"/>
  <c r="G345" i="3" s="1"/>
  <c r="I345" i="3" s="1"/>
  <c r="F344" i="3"/>
  <c r="G344" i="3" s="1"/>
  <c r="I344" i="3" s="1"/>
  <c r="F343" i="3"/>
  <c r="G343" i="3" s="1"/>
  <c r="I343" i="3" s="1"/>
  <c r="F342" i="3"/>
  <c r="G342" i="3" s="1"/>
  <c r="I342" i="3" s="1"/>
  <c r="F341" i="3"/>
  <c r="G341" i="3" s="1"/>
  <c r="I341" i="3" s="1"/>
  <c r="F340" i="3"/>
  <c r="G340" i="3" s="1"/>
  <c r="I340" i="3" s="1"/>
  <c r="F339" i="3"/>
  <c r="G339" i="3" s="1"/>
  <c r="I339" i="3" s="1"/>
  <c r="F338" i="3"/>
  <c r="G338" i="3" s="1"/>
  <c r="I338" i="3" s="1"/>
  <c r="F337" i="3"/>
  <c r="G337" i="3" s="1"/>
  <c r="I337" i="3" s="1"/>
  <c r="F336" i="3"/>
  <c r="G336" i="3" s="1"/>
  <c r="I336" i="3" s="1"/>
  <c r="F335" i="3"/>
  <c r="G335" i="3" s="1"/>
  <c r="I335" i="3" s="1"/>
  <c r="F334" i="3"/>
  <c r="G334" i="3" s="1"/>
  <c r="I334" i="3" s="1"/>
  <c r="F333" i="3"/>
  <c r="G333" i="3" s="1"/>
  <c r="I333" i="3" s="1"/>
  <c r="F332" i="3"/>
  <c r="G332" i="3" s="1"/>
  <c r="I332" i="3" s="1"/>
  <c r="F331" i="3"/>
  <c r="G331" i="3" s="1"/>
  <c r="I331" i="3" s="1"/>
  <c r="F330" i="3"/>
  <c r="G330" i="3" s="1"/>
  <c r="I330" i="3" s="1"/>
  <c r="F329" i="3"/>
  <c r="G329" i="3" s="1"/>
  <c r="I329" i="3" s="1"/>
  <c r="F328" i="3"/>
  <c r="G328" i="3" s="1"/>
  <c r="I328" i="3" s="1"/>
  <c r="F327" i="3"/>
  <c r="G327" i="3" s="1"/>
  <c r="I327" i="3" s="1"/>
  <c r="F326" i="3"/>
  <c r="G326" i="3" s="1"/>
  <c r="I326" i="3" s="1"/>
  <c r="F325" i="3"/>
  <c r="G325" i="3" s="1"/>
  <c r="I325" i="3" s="1"/>
  <c r="F324" i="3"/>
  <c r="G324" i="3" s="1"/>
  <c r="I324" i="3" s="1"/>
  <c r="F323" i="3"/>
  <c r="G323" i="3" s="1"/>
  <c r="I323" i="3" s="1"/>
  <c r="F322" i="3"/>
  <c r="G322" i="3" s="1"/>
  <c r="I322" i="3" s="1"/>
  <c r="F321" i="3"/>
  <c r="G321" i="3" s="1"/>
  <c r="I321" i="3" s="1"/>
  <c r="F320" i="3"/>
  <c r="G320" i="3" s="1"/>
  <c r="I320" i="3" s="1"/>
  <c r="F319" i="3"/>
  <c r="G319" i="3" s="1"/>
  <c r="I319" i="3" s="1"/>
  <c r="F318" i="3"/>
  <c r="G318" i="3" s="1"/>
  <c r="I318" i="3" s="1"/>
  <c r="F317" i="3"/>
  <c r="G317" i="3" s="1"/>
  <c r="I317" i="3" s="1"/>
  <c r="F316" i="3"/>
  <c r="G316" i="3" s="1"/>
  <c r="I316" i="3" s="1"/>
  <c r="F315" i="3"/>
  <c r="G315" i="3" s="1"/>
  <c r="I315" i="3" s="1"/>
  <c r="F314" i="3"/>
  <c r="G314" i="3" s="1"/>
  <c r="I314" i="3" s="1"/>
  <c r="F313" i="3"/>
  <c r="G313" i="3" s="1"/>
  <c r="I313" i="3" s="1"/>
  <c r="F312" i="3"/>
  <c r="G312" i="3" s="1"/>
  <c r="I312" i="3" s="1"/>
  <c r="F311" i="3"/>
  <c r="G311" i="3" s="1"/>
  <c r="I311" i="3" s="1"/>
  <c r="F310" i="3"/>
  <c r="G310" i="3" s="1"/>
  <c r="I310" i="3" s="1"/>
  <c r="F309" i="3"/>
  <c r="G309" i="3" s="1"/>
  <c r="I309" i="3" s="1"/>
  <c r="F308" i="3"/>
  <c r="G308" i="3" s="1"/>
  <c r="I308" i="3" s="1"/>
  <c r="F307" i="3"/>
  <c r="G307" i="3" s="1"/>
  <c r="I307" i="3" s="1"/>
  <c r="F306" i="3"/>
  <c r="G306" i="3" s="1"/>
  <c r="I306" i="3" s="1"/>
  <c r="F305" i="3"/>
  <c r="G305" i="3" s="1"/>
  <c r="I305" i="3" s="1"/>
  <c r="F304" i="3"/>
  <c r="G304" i="3" s="1"/>
  <c r="I304" i="3" s="1"/>
  <c r="F303" i="3"/>
  <c r="G303" i="3" s="1"/>
  <c r="I303" i="3" s="1"/>
  <c r="F302" i="3"/>
  <c r="G302" i="3" s="1"/>
  <c r="I302" i="3" s="1"/>
  <c r="F301" i="3"/>
  <c r="G301" i="3" s="1"/>
  <c r="I301" i="3" s="1"/>
  <c r="F300" i="3"/>
  <c r="G300" i="3" s="1"/>
  <c r="I300" i="3" s="1"/>
  <c r="F299" i="3"/>
  <c r="G299" i="3" s="1"/>
  <c r="I299" i="3" s="1"/>
  <c r="F298" i="3"/>
  <c r="G298" i="3" s="1"/>
  <c r="I298" i="3" s="1"/>
  <c r="F297" i="3"/>
  <c r="G297" i="3" s="1"/>
  <c r="I297" i="3" s="1"/>
  <c r="F296" i="3"/>
  <c r="G296" i="3" s="1"/>
  <c r="I296" i="3" s="1"/>
  <c r="F295" i="3"/>
  <c r="G295" i="3" s="1"/>
  <c r="I295" i="3" s="1"/>
  <c r="F294" i="3"/>
  <c r="G294" i="3" s="1"/>
  <c r="I294" i="3" s="1"/>
  <c r="F293" i="3"/>
  <c r="G293" i="3" s="1"/>
  <c r="I293" i="3" s="1"/>
  <c r="F292" i="3"/>
  <c r="G292" i="3" s="1"/>
  <c r="I292" i="3" s="1"/>
  <c r="F291" i="3"/>
  <c r="G291" i="3" s="1"/>
  <c r="I291" i="3" s="1"/>
  <c r="F290" i="3"/>
  <c r="G290" i="3" s="1"/>
  <c r="I290" i="3" s="1"/>
  <c r="F289" i="3"/>
  <c r="G289" i="3" s="1"/>
  <c r="I289" i="3" s="1"/>
  <c r="F288" i="3"/>
  <c r="G288" i="3" s="1"/>
  <c r="I288" i="3" s="1"/>
  <c r="F287" i="3"/>
  <c r="G287" i="3" s="1"/>
  <c r="I287" i="3" s="1"/>
  <c r="F286" i="3"/>
  <c r="G286" i="3" s="1"/>
  <c r="I286" i="3" s="1"/>
  <c r="F285" i="3"/>
  <c r="G285" i="3" s="1"/>
  <c r="I285" i="3" s="1"/>
  <c r="F284" i="3"/>
  <c r="G284" i="3" s="1"/>
  <c r="I284" i="3" s="1"/>
  <c r="F283" i="3"/>
  <c r="G283" i="3" s="1"/>
  <c r="I283" i="3" s="1"/>
  <c r="F282" i="3"/>
  <c r="G282" i="3" s="1"/>
  <c r="I282" i="3" s="1"/>
  <c r="F281" i="3"/>
  <c r="G281" i="3" s="1"/>
  <c r="I281" i="3" s="1"/>
  <c r="F280" i="3"/>
  <c r="G280" i="3" s="1"/>
  <c r="I280" i="3" s="1"/>
  <c r="F279" i="3"/>
  <c r="G279" i="3" s="1"/>
  <c r="I279" i="3" s="1"/>
  <c r="F278" i="3"/>
  <c r="G278" i="3" s="1"/>
  <c r="I278" i="3" s="1"/>
  <c r="F277" i="3"/>
  <c r="G277" i="3" s="1"/>
  <c r="I277" i="3" s="1"/>
  <c r="F276" i="3"/>
  <c r="G276" i="3" s="1"/>
  <c r="I276" i="3" s="1"/>
  <c r="F275" i="3"/>
  <c r="G275" i="3" s="1"/>
  <c r="I275" i="3" s="1"/>
  <c r="F274" i="3"/>
  <c r="G274" i="3" s="1"/>
  <c r="I274" i="3" s="1"/>
  <c r="F273" i="3"/>
  <c r="G273" i="3" s="1"/>
  <c r="I273" i="3" s="1"/>
  <c r="F272" i="3"/>
  <c r="G272" i="3" s="1"/>
  <c r="I272" i="3" s="1"/>
  <c r="F271" i="3"/>
  <c r="G271" i="3" s="1"/>
  <c r="I271" i="3" s="1"/>
  <c r="F270" i="3"/>
  <c r="G270" i="3" s="1"/>
  <c r="I270" i="3" s="1"/>
  <c r="F269" i="3"/>
  <c r="G269" i="3" s="1"/>
  <c r="I269" i="3" s="1"/>
  <c r="F268" i="3"/>
  <c r="G268" i="3" s="1"/>
  <c r="I268" i="3" s="1"/>
  <c r="F267" i="3"/>
  <c r="G267" i="3" s="1"/>
  <c r="I267" i="3" s="1"/>
  <c r="F266" i="3"/>
  <c r="G266" i="3" s="1"/>
  <c r="I266" i="3" s="1"/>
  <c r="F265" i="3"/>
  <c r="G265" i="3" s="1"/>
  <c r="I265" i="3" s="1"/>
  <c r="F264" i="3"/>
  <c r="G264" i="3" s="1"/>
  <c r="I264" i="3" s="1"/>
  <c r="F263" i="3"/>
  <c r="G263" i="3" s="1"/>
  <c r="I263" i="3" s="1"/>
  <c r="F262" i="3"/>
  <c r="G262" i="3" s="1"/>
  <c r="I262" i="3" s="1"/>
  <c r="F261" i="3"/>
  <c r="G261" i="3" s="1"/>
  <c r="I261" i="3" s="1"/>
  <c r="F260" i="3"/>
  <c r="G260" i="3" s="1"/>
  <c r="I260" i="3" s="1"/>
  <c r="F259" i="3"/>
  <c r="G259" i="3" s="1"/>
  <c r="I259" i="3" s="1"/>
  <c r="F258" i="3"/>
  <c r="G258" i="3" s="1"/>
  <c r="I258" i="3" s="1"/>
  <c r="F257" i="3"/>
  <c r="G257" i="3" s="1"/>
  <c r="I257" i="3" s="1"/>
  <c r="F256" i="3"/>
  <c r="G256" i="3" s="1"/>
  <c r="I256" i="3" s="1"/>
  <c r="F255" i="3"/>
  <c r="G255" i="3" s="1"/>
  <c r="I255" i="3" s="1"/>
  <c r="F254" i="3"/>
  <c r="G254" i="3" s="1"/>
  <c r="I254" i="3" s="1"/>
  <c r="F253" i="3"/>
  <c r="G253" i="3" s="1"/>
  <c r="I253" i="3" s="1"/>
  <c r="F252" i="3"/>
  <c r="G252" i="3" s="1"/>
  <c r="I252" i="3" s="1"/>
  <c r="F251" i="3"/>
  <c r="G251" i="3" s="1"/>
  <c r="I251" i="3" s="1"/>
  <c r="F250" i="3"/>
  <c r="G250" i="3" s="1"/>
  <c r="I250" i="3" s="1"/>
  <c r="F249" i="3"/>
  <c r="G249" i="3" s="1"/>
  <c r="I249" i="3" s="1"/>
  <c r="F248" i="3"/>
  <c r="G248" i="3" s="1"/>
  <c r="I248" i="3" s="1"/>
  <c r="F247" i="3"/>
  <c r="G247" i="3" s="1"/>
  <c r="I247" i="3" s="1"/>
  <c r="F246" i="3"/>
  <c r="G246" i="3" s="1"/>
  <c r="I246" i="3" s="1"/>
  <c r="F245" i="3"/>
  <c r="G245" i="3" s="1"/>
  <c r="I245" i="3" s="1"/>
  <c r="F244" i="3"/>
  <c r="G244" i="3" s="1"/>
  <c r="I244" i="3" s="1"/>
  <c r="F243" i="3"/>
  <c r="G243" i="3" s="1"/>
  <c r="I243" i="3" s="1"/>
  <c r="F242" i="3"/>
  <c r="G242" i="3" s="1"/>
  <c r="I242" i="3" s="1"/>
  <c r="F241" i="3"/>
  <c r="G241" i="3" s="1"/>
  <c r="I241" i="3" s="1"/>
  <c r="F240" i="3"/>
  <c r="G240" i="3" s="1"/>
  <c r="I240" i="3" s="1"/>
  <c r="F239" i="3"/>
  <c r="G239" i="3" s="1"/>
  <c r="I239" i="3" s="1"/>
  <c r="F238" i="3"/>
  <c r="G238" i="3" s="1"/>
  <c r="I238" i="3" s="1"/>
  <c r="F237" i="3"/>
  <c r="G237" i="3" s="1"/>
  <c r="I237" i="3" s="1"/>
  <c r="F236" i="3"/>
  <c r="G236" i="3" s="1"/>
  <c r="I236" i="3" s="1"/>
  <c r="F235" i="3"/>
  <c r="G235" i="3" s="1"/>
  <c r="I235" i="3" s="1"/>
  <c r="F234" i="3"/>
  <c r="G234" i="3" s="1"/>
  <c r="I234" i="3" s="1"/>
  <c r="F233" i="3"/>
  <c r="G233" i="3" s="1"/>
  <c r="I233" i="3" s="1"/>
  <c r="F232" i="3"/>
  <c r="G232" i="3" s="1"/>
  <c r="I232" i="3" s="1"/>
  <c r="F231" i="3"/>
  <c r="G231" i="3" s="1"/>
  <c r="I231" i="3" s="1"/>
  <c r="F230" i="3"/>
  <c r="G230" i="3" s="1"/>
  <c r="I230" i="3" s="1"/>
  <c r="F229" i="3"/>
  <c r="G229" i="3" s="1"/>
  <c r="I229" i="3" s="1"/>
  <c r="F228" i="3"/>
  <c r="G228" i="3" s="1"/>
  <c r="I228" i="3" s="1"/>
  <c r="F227" i="3"/>
  <c r="G227" i="3" s="1"/>
  <c r="I227" i="3" s="1"/>
  <c r="F226" i="3"/>
  <c r="G226" i="3" s="1"/>
  <c r="I226" i="3" s="1"/>
  <c r="F225" i="3"/>
  <c r="G225" i="3" s="1"/>
  <c r="I225" i="3" s="1"/>
  <c r="F224" i="3"/>
  <c r="G224" i="3" s="1"/>
  <c r="I224" i="3" s="1"/>
  <c r="F223" i="3"/>
  <c r="G223" i="3" s="1"/>
  <c r="I223" i="3" s="1"/>
  <c r="F222" i="3"/>
  <c r="G222" i="3" s="1"/>
  <c r="I222" i="3" s="1"/>
  <c r="F221" i="3"/>
  <c r="G221" i="3" s="1"/>
  <c r="I221" i="3" s="1"/>
  <c r="F220" i="3"/>
  <c r="G220" i="3" s="1"/>
  <c r="I220" i="3" s="1"/>
  <c r="F219" i="3"/>
  <c r="G219" i="3" s="1"/>
  <c r="I219" i="3" s="1"/>
  <c r="F218" i="3"/>
  <c r="G218" i="3" s="1"/>
  <c r="I218" i="3" s="1"/>
  <c r="F217" i="3"/>
  <c r="G217" i="3" s="1"/>
  <c r="I217" i="3" s="1"/>
  <c r="F216" i="3"/>
  <c r="G216" i="3" s="1"/>
  <c r="I216" i="3" s="1"/>
  <c r="F215" i="3"/>
  <c r="G215" i="3" s="1"/>
  <c r="I215" i="3" s="1"/>
  <c r="F214" i="3"/>
  <c r="G214" i="3" s="1"/>
  <c r="I214" i="3" s="1"/>
  <c r="F213" i="3"/>
  <c r="G213" i="3" s="1"/>
  <c r="I213" i="3" s="1"/>
  <c r="F212" i="3"/>
  <c r="G212" i="3" s="1"/>
  <c r="I212" i="3" s="1"/>
  <c r="F211" i="3"/>
  <c r="G211" i="3" s="1"/>
  <c r="I211" i="3" s="1"/>
  <c r="F210" i="3"/>
  <c r="G210" i="3" s="1"/>
  <c r="I210" i="3" s="1"/>
  <c r="F209" i="3"/>
  <c r="G209" i="3" s="1"/>
  <c r="I209" i="3" s="1"/>
  <c r="F208" i="3"/>
  <c r="G208" i="3" s="1"/>
  <c r="I208" i="3" s="1"/>
  <c r="F207" i="3"/>
  <c r="G207" i="3" s="1"/>
  <c r="I207" i="3" s="1"/>
  <c r="F206" i="3"/>
  <c r="G206" i="3" s="1"/>
  <c r="I206" i="3" s="1"/>
  <c r="F205" i="3"/>
  <c r="G205" i="3" s="1"/>
  <c r="I205" i="3" s="1"/>
  <c r="F204" i="3"/>
  <c r="G204" i="3" s="1"/>
  <c r="I204" i="3" s="1"/>
  <c r="F203" i="3"/>
  <c r="G203" i="3" s="1"/>
  <c r="I203" i="3" s="1"/>
  <c r="F202" i="3"/>
  <c r="G202" i="3" s="1"/>
  <c r="I202" i="3" s="1"/>
  <c r="F201" i="3"/>
  <c r="G201" i="3" s="1"/>
  <c r="I201" i="3" s="1"/>
  <c r="F200" i="3"/>
  <c r="G200" i="3" s="1"/>
  <c r="I200" i="3" s="1"/>
  <c r="F199" i="3"/>
  <c r="G199" i="3" s="1"/>
  <c r="I199" i="3" s="1"/>
  <c r="F198" i="3"/>
  <c r="G198" i="3" s="1"/>
  <c r="I198" i="3" s="1"/>
  <c r="F197" i="3"/>
  <c r="G197" i="3" s="1"/>
  <c r="I197" i="3" s="1"/>
  <c r="F196" i="3"/>
  <c r="G196" i="3" s="1"/>
  <c r="I196" i="3" s="1"/>
  <c r="F195" i="3"/>
  <c r="G195" i="3" s="1"/>
  <c r="I195" i="3" s="1"/>
  <c r="F194" i="3"/>
  <c r="G194" i="3" s="1"/>
  <c r="I194" i="3" s="1"/>
  <c r="F193" i="3"/>
  <c r="G193" i="3" s="1"/>
  <c r="I193" i="3" s="1"/>
  <c r="F192" i="3"/>
  <c r="G192" i="3" s="1"/>
  <c r="I192" i="3" s="1"/>
  <c r="F191" i="3"/>
  <c r="G191" i="3" s="1"/>
  <c r="I191" i="3" s="1"/>
  <c r="F190" i="3"/>
  <c r="G190" i="3" s="1"/>
  <c r="I190" i="3" s="1"/>
  <c r="F189" i="3"/>
  <c r="G189" i="3" s="1"/>
  <c r="I189" i="3" s="1"/>
  <c r="F188" i="3"/>
  <c r="G188" i="3" s="1"/>
  <c r="I188" i="3" s="1"/>
  <c r="F187" i="3"/>
  <c r="G187" i="3" s="1"/>
  <c r="I187" i="3" s="1"/>
  <c r="F186" i="3"/>
  <c r="G186" i="3" s="1"/>
  <c r="I186" i="3" s="1"/>
  <c r="F185" i="3"/>
  <c r="G185" i="3" s="1"/>
  <c r="I185" i="3" s="1"/>
  <c r="F184" i="3"/>
  <c r="G184" i="3" s="1"/>
  <c r="I184" i="3" s="1"/>
  <c r="F183" i="3"/>
  <c r="G183" i="3" s="1"/>
  <c r="I183" i="3" s="1"/>
  <c r="F182" i="3"/>
  <c r="G182" i="3" s="1"/>
  <c r="I182" i="3" s="1"/>
  <c r="F181" i="3"/>
  <c r="G181" i="3" s="1"/>
  <c r="I181" i="3" s="1"/>
  <c r="F180" i="3"/>
  <c r="G180" i="3" s="1"/>
  <c r="I180" i="3" s="1"/>
  <c r="F179" i="3"/>
  <c r="G179" i="3" s="1"/>
  <c r="I179" i="3" s="1"/>
  <c r="F178" i="3"/>
  <c r="G178" i="3" s="1"/>
  <c r="I178" i="3" s="1"/>
  <c r="F177" i="3"/>
  <c r="G177" i="3" s="1"/>
  <c r="I177" i="3" s="1"/>
  <c r="F176" i="3"/>
  <c r="G176" i="3" s="1"/>
  <c r="I176" i="3" s="1"/>
  <c r="F175" i="3"/>
  <c r="G175" i="3" s="1"/>
  <c r="I175" i="3" s="1"/>
  <c r="F174" i="3"/>
  <c r="G174" i="3" s="1"/>
  <c r="I174" i="3" s="1"/>
  <c r="F173" i="3"/>
  <c r="G173" i="3" s="1"/>
  <c r="I173" i="3" s="1"/>
  <c r="F172" i="3"/>
  <c r="G172" i="3" s="1"/>
  <c r="I172" i="3" s="1"/>
  <c r="F171" i="3"/>
  <c r="G171" i="3" s="1"/>
  <c r="I171" i="3" s="1"/>
  <c r="F170" i="3"/>
  <c r="G170" i="3" s="1"/>
  <c r="I170" i="3" s="1"/>
  <c r="F169" i="3"/>
  <c r="G169" i="3" s="1"/>
  <c r="I169" i="3" s="1"/>
  <c r="F168" i="3"/>
  <c r="G168" i="3" s="1"/>
  <c r="I168" i="3" s="1"/>
  <c r="F167" i="3"/>
  <c r="G167" i="3" s="1"/>
  <c r="I167" i="3" s="1"/>
  <c r="F166" i="3"/>
  <c r="G166" i="3" s="1"/>
  <c r="I166" i="3" s="1"/>
  <c r="F165" i="3"/>
  <c r="G165" i="3" s="1"/>
  <c r="I165" i="3" s="1"/>
  <c r="F164" i="3"/>
  <c r="G164" i="3" s="1"/>
  <c r="I164" i="3" s="1"/>
  <c r="F163" i="3"/>
  <c r="G163" i="3" s="1"/>
  <c r="I163" i="3" s="1"/>
  <c r="F162" i="3"/>
  <c r="G162" i="3" s="1"/>
  <c r="I162" i="3" s="1"/>
  <c r="F161" i="3"/>
  <c r="G161" i="3" s="1"/>
  <c r="I161" i="3" s="1"/>
  <c r="F160" i="3"/>
  <c r="G160" i="3" s="1"/>
  <c r="I160" i="3" s="1"/>
  <c r="F159" i="3"/>
  <c r="G159" i="3" s="1"/>
  <c r="I159" i="3" s="1"/>
  <c r="F158" i="3"/>
  <c r="G158" i="3" s="1"/>
  <c r="I158" i="3" s="1"/>
  <c r="F157" i="3"/>
  <c r="G157" i="3" s="1"/>
  <c r="I157" i="3" s="1"/>
  <c r="F156" i="3"/>
  <c r="G156" i="3" s="1"/>
  <c r="I156" i="3" s="1"/>
  <c r="F155" i="3"/>
  <c r="G155" i="3" s="1"/>
  <c r="I155" i="3" s="1"/>
  <c r="F154" i="3"/>
  <c r="G154" i="3" s="1"/>
  <c r="I154" i="3" s="1"/>
  <c r="F153" i="3"/>
  <c r="G153" i="3" s="1"/>
  <c r="I153" i="3" s="1"/>
  <c r="F152" i="3"/>
  <c r="G152" i="3" s="1"/>
  <c r="I152" i="3" s="1"/>
  <c r="F151" i="3"/>
  <c r="G151" i="3" s="1"/>
  <c r="I151" i="3" s="1"/>
  <c r="F150" i="3"/>
  <c r="G150" i="3" s="1"/>
  <c r="I150" i="3" s="1"/>
  <c r="F149" i="3"/>
  <c r="G149" i="3" s="1"/>
  <c r="I149" i="3" s="1"/>
  <c r="F148" i="3"/>
  <c r="G148" i="3" s="1"/>
  <c r="I148" i="3" s="1"/>
  <c r="F147" i="3"/>
  <c r="G147" i="3" s="1"/>
  <c r="I147" i="3" s="1"/>
  <c r="F146" i="3"/>
  <c r="G146" i="3" s="1"/>
  <c r="I146" i="3" s="1"/>
  <c r="F145" i="3"/>
  <c r="G145" i="3" s="1"/>
  <c r="I145" i="3" s="1"/>
  <c r="F144" i="3"/>
  <c r="G144" i="3" s="1"/>
  <c r="I144" i="3" s="1"/>
  <c r="F143" i="3"/>
  <c r="G143" i="3" s="1"/>
  <c r="I143" i="3" s="1"/>
  <c r="F142" i="3"/>
  <c r="G142" i="3" s="1"/>
  <c r="I142" i="3" s="1"/>
  <c r="F141" i="3"/>
  <c r="G141" i="3" s="1"/>
  <c r="I141" i="3" s="1"/>
  <c r="F140" i="3"/>
  <c r="G140" i="3" s="1"/>
  <c r="I140" i="3" s="1"/>
  <c r="F139" i="3"/>
  <c r="G139" i="3" s="1"/>
  <c r="I139" i="3" s="1"/>
  <c r="F138" i="3"/>
  <c r="G138" i="3" s="1"/>
  <c r="I138" i="3" s="1"/>
  <c r="F137" i="3"/>
  <c r="G137" i="3" s="1"/>
  <c r="I137" i="3" s="1"/>
  <c r="F136" i="3"/>
  <c r="G136" i="3" s="1"/>
  <c r="I136" i="3" s="1"/>
  <c r="F135" i="3"/>
  <c r="G135" i="3" s="1"/>
  <c r="I135" i="3" s="1"/>
  <c r="F134" i="3"/>
  <c r="G134" i="3" s="1"/>
  <c r="I134" i="3" s="1"/>
  <c r="F133" i="3"/>
  <c r="G133" i="3" s="1"/>
  <c r="I133" i="3" s="1"/>
  <c r="F132" i="3"/>
  <c r="G132" i="3" s="1"/>
  <c r="I132" i="3" s="1"/>
  <c r="F131" i="3"/>
  <c r="G131" i="3" s="1"/>
  <c r="I131" i="3" s="1"/>
  <c r="F130" i="3"/>
  <c r="G130" i="3" s="1"/>
  <c r="I130" i="3" s="1"/>
  <c r="F129" i="3"/>
  <c r="G129" i="3" s="1"/>
  <c r="I129" i="3" s="1"/>
  <c r="F128" i="3"/>
  <c r="G128" i="3" s="1"/>
  <c r="I128" i="3" s="1"/>
  <c r="F127" i="3"/>
  <c r="G127" i="3" s="1"/>
  <c r="I127" i="3" s="1"/>
  <c r="F126" i="3"/>
  <c r="G126" i="3" s="1"/>
  <c r="I126" i="3" s="1"/>
  <c r="F125" i="3"/>
  <c r="G125" i="3" s="1"/>
  <c r="I125" i="3" s="1"/>
  <c r="F124" i="3"/>
  <c r="G124" i="3" s="1"/>
  <c r="I124" i="3" s="1"/>
  <c r="F123" i="3"/>
  <c r="G123" i="3" s="1"/>
  <c r="I123" i="3" s="1"/>
  <c r="F122" i="3"/>
  <c r="G122" i="3" s="1"/>
  <c r="I122" i="3" s="1"/>
  <c r="F121" i="3"/>
  <c r="G121" i="3" s="1"/>
  <c r="I121" i="3" s="1"/>
  <c r="F120" i="3"/>
  <c r="G120" i="3" s="1"/>
  <c r="I120" i="3" s="1"/>
  <c r="F119" i="3"/>
  <c r="G119" i="3" s="1"/>
  <c r="I119" i="3" s="1"/>
  <c r="F118" i="3"/>
  <c r="G118" i="3" s="1"/>
  <c r="I118" i="3" s="1"/>
  <c r="F117" i="3"/>
  <c r="G117" i="3" s="1"/>
  <c r="I117" i="3" s="1"/>
  <c r="F116" i="3"/>
  <c r="G116" i="3" s="1"/>
  <c r="I116" i="3" s="1"/>
  <c r="F115" i="3"/>
  <c r="G115" i="3" s="1"/>
  <c r="I115" i="3" s="1"/>
  <c r="F114" i="3"/>
  <c r="G114" i="3" s="1"/>
  <c r="I114" i="3" s="1"/>
  <c r="F113" i="3"/>
  <c r="G113" i="3" s="1"/>
  <c r="I113" i="3" s="1"/>
  <c r="F112" i="3"/>
  <c r="G112" i="3" s="1"/>
  <c r="I112" i="3" s="1"/>
  <c r="F111" i="3"/>
  <c r="G111" i="3" s="1"/>
  <c r="I111" i="3" s="1"/>
  <c r="F110" i="3"/>
  <c r="G110" i="3" s="1"/>
  <c r="I110" i="3" s="1"/>
  <c r="F109" i="3"/>
  <c r="G109" i="3" s="1"/>
  <c r="I109" i="3" s="1"/>
  <c r="F108" i="3"/>
  <c r="G108" i="3" s="1"/>
  <c r="I108" i="3" s="1"/>
  <c r="F107" i="3"/>
  <c r="G107" i="3" s="1"/>
  <c r="I107" i="3" s="1"/>
  <c r="F106" i="3"/>
  <c r="G106" i="3" s="1"/>
  <c r="I106" i="3" s="1"/>
  <c r="F105" i="3"/>
  <c r="G105" i="3" s="1"/>
  <c r="I105" i="3" s="1"/>
  <c r="F104" i="3"/>
  <c r="G104" i="3" s="1"/>
  <c r="I104" i="3" s="1"/>
  <c r="F103" i="3"/>
  <c r="G103" i="3" s="1"/>
  <c r="I103" i="3" s="1"/>
  <c r="F102" i="3"/>
  <c r="G102" i="3" s="1"/>
  <c r="I102" i="3" s="1"/>
  <c r="F101" i="3"/>
  <c r="G101" i="3" s="1"/>
  <c r="I101" i="3" s="1"/>
  <c r="F100" i="3"/>
  <c r="G100" i="3" s="1"/>
  <c r="I100" i="3" s="1"/>
  <c r="F99" i="3"/>
  <c r="G99" i="3" s="1"/>
  <c r="I99" i="3" s="1"/>
  <c r="F98" i="3"/>
  <c r="G98" i="3" s="1"/>
  <c r="I98" i="3" s="1"/>
  <c r="F97" i="3"/>
  <c r="G97" i="3" s="1"/>
  <c r="I97" i="3" s="1"/>
  <c r="F96" i="3"/>
  <c r="G96" i="3" s="1"/>
  <c r="I96" i="3" s="1"/>
  <c r="F95" i="3"/>
  <c r="G95" i="3" s="1"/>
  <c r="I95" i="3" s="1"/>
  <c r="G94" i="3"/>
  <c r="I94" i="3" s="1"/>
  <c r="F93" i="3"/>
  <c r="G93" i="3" s="1"/>
  <c r="I93" i="3" s="1"/>
  <c r="F92" i="3"/>
  <c r="G92" i="3" s="1"/>
  <c r="I92" i="3" s="1"/>
  <c r="F91" i="3"/>
  <c r="G91" i="3" s="1"/>
  <c r="I91" i="3" s="1"/>
  <c r="F90" i="3"/>
  <c r="G90" i="3" s="1"/>
  <c r="I90" i="3" s="1"/>
  <c r="F89" i="3"/>
  <c r="G89" i="3" s="1"/>
  <c r="I89" i="3" s="1"/>
  <c r="F88" i="3"/>
  <c r="G88" i="3" s="1"/>
  <c r="I88" i="3" s="1"/>
  <c r="F87" i="3"/>
  <c r="G87" i="3" s="1"/>
  <c r="I87" i="3" s="1"/>
  <c r="F86" i="3"/>
  <c r="G86" i="3" s="1"/>
  <c r="I86" i="3" s="1"/>
  <c r="F85" i="3"/>
  <c r="G85" i="3" s="1"/>
  <c r="I85" i="3" s="1"/>
  <c r="F84" i="3"/>
  <c r="G84" i="3" s="1"/>
  <c r="I84" i="3" s="1"/>
  <c r="F83" i="3"/>
  <c r="G83" i="3" s="1"/>
  <c r="I83" i="3" s="1"/>
  <c r="F82" i="3"/>
  <c r="G82" i="3" s="1"/>
  <c r="I82" i="3" s="1"/>
  <c r="F81" i="3"/>
  <c r="G81" i="3" s="1"/>
  <c r="I81" i="3" s="1"/>
  <c r="F80" i="3"/>
  <c r="G80" i="3" s="1"/>
  <c r="I80" i="3" s="1"/>
  <c r="F79" i="3"/>
  <c r="G79" i="3" s="1"/>
  <c r="I79" i="3" s="1"/>
  <c r="F78" i="3"/>
  <c r="G78" i="3" s="1"/>
  <c r="I78" i="3" s="1"/>
  <c r="F77" i="3"/>
  <c r="G77" i="3" s="1"/>
  <c r="I77" i="3" s="1"/>
  <c r="F76" i="3"/>
  <c r="G76" i="3" s="1"/>
  <c r="I76" i="3" s="1"/>
  <c r="F75" i="3"/>
  <c r="G75" i="3" s="1"/>
  <c r="I75" i="3" s="1"/>
  <c r="F74" i="3"/>
  <c r="G74" i="3" s="1"/>
  <c r="I74" i="3" s="1"/>
  <c r="F73" i="3"/>
  <c r="G73" i="3" s="1"/>
  <c r="I73" i="3" s="1"/>
  <c r="F72" i="3"/>
  <c r="G72" i="3" s="1"/>
  <c r="I72" i="3" s="1"/>
  <c r="F71" i="3"/>
  <c r="G71" i="3" s="1"/>
  <c r="I71" i="3" s="1"/>
  <c r="F70" i="3"/>
  <c r="G70" i="3" s="1"/>
  <c r="I70" i="3" s="1"/>
  <c r="F69" i="3"/>
  <c r="G69" i="3" s="1"/>
  <c r="I69" i="3" s="1"/>
  <c r="F68" i="3"/>
  <c r="G68" i="3" s="1"/>
  <c r="I68" i="3" s="1"/>
  <c r="F67" i="3"/>
  <c r="G67" i="3" s="1"/>
  <c r="I67" i="3" s="1"/>
  <c r="F66" i="3"/>
  <c r="G66" i="3" s="1"/>
  <c r="I66" i="3" s="1"/>
  <c r="F65" i="3"/>
  <c r="G65" i="3" s="1"/>
  <c r="I65" i="3" s="1"/>
  <c r="F64" i="3"/>
  <c r="G64" i="3" s="1"/>
  <c r="I64" i="3" s="1"/>
  <c r="F63" i="3"/>
  <c r="G63" i="3" s="1"/>
  <c r="I63" i="3" s="1"/>
  <c r="F62" i="3"/>
  <c r="G62" i="3" s="1"/>
  <c r="I62" i="3" s="1"/>
  <c r="F61" i="3"/>
  <c r="G61" i="3" s="1"/>
  <c r="I61" i="3" s="1"/>
  <c r="F60" i="3"/>
  <c r="G60" i="3" s="1"/>
  <c r="I60" i="3" s="1"/>
  <c r="F59" i="3"/>
  <c r="G59" i="3" s="1"/>
  <c r="I59" i="3" s="1"/>
  <c r="F58" i="3"/>
  <c r="G58" i="3" s="1"/>
  <c r="I58" i="3" s="1"/>
  <c r="F57" i="3"/>
  <c r="G57" i="3" s="1"/>
  <c r="I57" i="3" s="1"/>
  <c r="F56" i="3"/>
  <c r="G56" i="3" s="1"/>
  <c r="I56" i="3" s="1"/>
  <c r="F55" i="3"/>
  <c r="G55" i="3" s="1"/>
  <c r="I55" i="3" s="1"/>
  <c r="F54" i="3"/>
  <c r="G54" i="3" s="1"/>
  <c r="I54" i="3" s="1"/>
  <c r="F53" i="3"/>
  <c r="G53" i="3" s="1"/>
  <c r="I53" i="3" s="1"/>
  <c r="F52" i="3"/>
  <c r="G52" i="3" s="1"/>
  <c r="I52" i="3" s="1"/>
  <c r="F51" i="3"/>
  <c r="G51" i="3" s="1"/>
  <c r="I51" i="3" s="1"/>
  <c r="F50" i="3"/>
  <c r="G50" i="3" s="1"/>
  <c r="I50" i="3" s="1"/>
  <c r="F49" i="3"/>
  <c r="G49" i="3" s="1"/>
  <c r="I49" i="3" s="1"/>
  <c r="F48" i="3"/>
  <c r="G48" i="3" s="1"/>
  <c r="I48" i="3" s="1"/>
  <c r="F47" i="3"/>
  <c r="G47" i="3" s="1"/>
  <c r="I47" i="3" s="1"/>
  <c r="F46" i="3"/>
  <c r="G46" i="3" s="1"/>
  <c r="I46" i="3" s="1"/>
  <c r="F45" i="3"/>
  <c r="G45" i="3" s="1"/>
  <c r="I45" i="3" s="1"/>
  <c r="F44" i="3"/>
  <c r="G44" i="3" s="1"/>
  <c r="I44" i="3" s="1"/>
  <c r="F43" i="3"/>
  <c r="G43" i="3" s="1"/>
  <c r="I43" i="3" s="1"/>
  <c r="F42" i="3"/>
  <c r="G42" i="3" s="1"/>
  <c r="I42" i="3" s="1"/>
  <c r="F41" i="3"/>
  <c r="G41" i="3" s="1"/>
  <c r="I41" i="3" s="1"/>
  <c r="F40" i="3"/>
  <c r="G40" i="3" s="1"/>
  <c r="I40" i="3" s="1"/>
  <c r="F39" i="3"/>
  <c r="G39" i="3" s="1"/>
  <c r="I39" i="3" s="1"/>
  <c r="F38" i="3"/>
  <c r="G38" i="3" s="1"/>
  <c r="I38" i="3" s="1"/>
  <c r="F37" i="3"/>
  <c r="G37" i="3" s="1"/>
  <c r="I37" i="3" s="1"/>
  <c r="F36" i="3"/>
  <c r="G36" i="3" s="1"/>
  <c r="I36" i="3" s="1"/>
  <c r="F35" i="3"/>
  <c r="G35" i="3" s="1"/>
  <c r="I35" i="3" s="1"/>
  <c r="F34" i="3"/>
  <c r="G34" i="3" s="1"/>
  <c r="I34" i="3" s="1"/>
  <c r="F33" i="3"/>
  <c r="G33" i="3" s="1"/>
  <c r="I33" i="3" s="1"/>
  <c r="F32" i="3"/>
  <c r="G32" i="3" s="1"/>
  <c r="I32" i="3" s="1"/>
  <c r="F31" i="3"/>
  <c r="G31" i="3" s="1"/>
  <c r="I31" i="3" s="1"/>
  <c r="F30" i="3"/>
  <c r="G30" i="3" s="1"/>
  <c r="I30" i="3" s="1"/>
  <c r="F29" i="3"/>
  <c r="G29" i="3" s="1"/>
  <c r="I29" i="3" s="1"/>
  <c r="F28" i="3"/>
  <c r="G28" i="3" s="1"/>
  <c r="I28" i="3" s="1"/>
  <c r="F27" i="3"/>
  <c r="G27" i="3" s="1"/>
  <c r="I27" i="3" s="1"/>
  <c r="F26" i="3"/>
  <c r="G26" i="3" s="1"/>
  <c r="I26" i="3" s="1"/>
  <c r="F25" i="3"/>
  <c r="G25" i="3" s="1"/>
  <c r="I25" i="3" s="1"/>
  <c r="F24" i="3"/>
  <c r="G24" i="3" s="1"/>
  <c r="I24" i="3" s="1"/>
  <c r="F23" i="3"/>
  <c r="G23" i="3" s="1"/>
  <c r="I23" i="3" s="1"/>
  <c r="F22" i="3"/>
  <c r="G22" i="3" s="1"/>
  <c r="I22" i="3" s="1"/>
  <c r="F21" i="3"/>
  <c r="G21" i="3" s="1"/>
  <c r="I21" i="3" s="1"/>
  <c r="F20" i="3"/>
  <c r="G20" i="3" s="1"/>
  <c r="I20" i="3" s="1"/>
  <c r="F19" i="3"/>
  <c r="G19" i="3" s="1"/>
  <c r="I19" i="3" s="1"/>
  <c r="F18" i="3"/>
  <c r="G18" i="3" s="1"/>
  <c r="I18" i="3" s="1"/>
  <c r="F17" i="3"/>
  <c r="G17" i="3" s="1"/>
  <c r="I17" i="3" s="1"/>
  <c r="F16" i="3"/>
  <c r="G16" i="3" s="1"/>
  <c r="I16" i="3" s="1"/>
  <c r="F15" i="3"/>
  <c r="G15" i="3" s="1"/>
  <c r="I15" i="3" s="1"/>
  <c r="F14" i="3"/>
  <c r="G14" i="3" s="1"/>
  <c r="I14" i="3" s="1"/>
  <c r="F13" i="3"/>
  <c r="G13" i="3" s="1"/>
  <c r="I13" i="3" s="1"/>
  <c r="F12" i="3"/>
  <c r="G12" i="3" s="1"/>
  <c r="I12" i="3" s="1"/>
  <c r="F11" i="3"/>
  <c r="G11" i="3" s="1"/>
  <c r="I11" i="3" s="1"/>
  <c r="F10" i="3"/>
  <c r="G10" i="3" s="1"/>
  <c r="I10" i="3" s="1"/>
  <c r="F9" i="3"/>
  <c r="G9" i="3" s="1"/>
  <c r="I9" i="3" s="1"/>
  <c r="F8" i="3"/>
  <c r="G8" i="3" s="1"/>
  <c r="I8" i="3" s="1"/>
  <c r="F7" i="3"/>
  <c r="G7" i="3" s="1"/>
  <c r="F6" i="3"/>
  <c r="G6" i="3" s="1"/>
  <c r="I6" i="3" s="1"/>
  <c r="H5" i="3"/>
  <c r="E5" i="3"/>
  <c r="F1386" i="2"/>
  <c r="G1386" i="2" s="1"/>
  <c r="I1386" i="2" s="1"/>
  <c r="F1385" i="2"/>
  <c r="G1385" i="2" s="1"/>
  <c r="I1385" i="2" s="1"/>
  <c r="F1384" i="2"/>
  <c r="G1384" i="2" s="1"/>
  <c r="I1384" i="2" s="1"/>
  <c r="F1383" i="2"/>
  <c r="G1383" i="2" s="1"/>
  <c r="I1383" i="2" s="1"/>
  <c r="F1382" i="2"/>
  <c r="G1382" i="2" s="1"/>
  <c r="I1382" i="2" s="1"/>
  <c r="F1381" i="2"/>
  <c r="G1381" i="2" s="1"/>
  <c r="I1381" i="2" s="1"/>
  <c r="F1380" i="2"/>
  <c r="G1380" i="2" s="1"/>
  <c r="I1380" i="2" s="1"/>
  <c r="F1379" i="2"/>
  <c r="G1379" i="2" s="1"/>
  <c r="I1379" i="2" s="1"/>
  <c r="F1378" i="2"/>
  <c r="G1378" i="2" s="1"/>
  <c r="I1378" i="2" s="1"/>
  <c r="F1377" i="2"/>
  <c r="G1377" i="2" s="1"/>
  <c r="I1377" i="2" s="1"/>
  <c r="F1376" i="2"/>
  <c r="G1376" i="2" s="1"/>
  <c r="I1376" i="2" s="1"/>
  <c r="F1375" i="2"/>
  <c r="G1375" i="2" s="1"/>
  <c r="I1375" i="2" s="1"/>
  <c r="I1374" i="2"/>
  <c r="F1373" i="2"/>
  <c r="G1373" i="2" s="1"/>
  <c r="I1373" i="2" s="1"/>
  <c r="I1372" i="2"/>
  <c r="I1371" i="2"/>
  <c r="F1370" i="2"/>
  <c r="G1370" i="2" s="1"/>
  <c r="I1370" i="2" s="1"/>
  <c r="F1369" i="2"/>
  <c r="G1369" i="2" s="1"/>
  <c r="I1369" i="2" s="1"/>
  <c r="F1368" i="2"/>
  <c r="G1368" i="2" s="1"/>
  <c r="I1368" i="2" s="1"/>
  <c r="F1367" i="2"/>
  <c r="G1367" i="2" s="1"/>
  <c r="I1367" i="2" s="1"/>
  <c r="F1366" i="2"/>
  <c r="G1366" i="2" s="1"/>
  <c r="I1366" i="2" s="1"/>
  <c r="F1365" i="2"/>
  <c r="G1365" i="2" s="1"/>
  <c r="I1365" i="2" s="1"/>
  <c r="F1364" i="2"/>
  <c r="G1364" i="2" s="1"/>
  <c r="I1364" i="2" s="1"/>
  <c r="F1363" i="2"/>
  <c r="G1363" i="2" s="1"/>
  <c r="I1363" i="2" s="1"/>
  <c r="F1362" i="2"/>
  <c r="G1362" i="2" s="1"/>
  <c r="I1362" i="2" s="1"/>
  <c r="F1361" i="2"/>
  <c r="G1361" i="2" s="1"/>
  <c r="I1361" i="2" s="1"/>
  <c r="F1360" i="2"/>
  <c r="G1360" i="2" s="1"/>
  <c r="I1360" i="2" s="1"/>
  <c r="F1359" i="2"/>
  <c r="G1359" i="2" s="1"/>
  <c r="I1359" i="2" s="1"/>
  <c r="F1358" i="2"/>
  <c r="G1358" i="2" s="1"/>
  <c r="I1358" i="2" s="1"/>
  <c r="F1357" i="2"/>
  <c r="G1357" i="2" s="1"/>
  <c r="I1357" i="2" s="1"/>
  <c r="F1356" i="2"/>
  <c r="G1356" i="2" s="1"/>
  <c r="I1356" i="2" s="1"/>
  <c r="F1355" i="2"/>
  <c r="G1355" i="2" s="1"/>
  <c r="I1355" i="2" s="1"/>
  <c r="F1354" i="2"/>
  <c r="G1354" i="2" s="1"/>
  <c r="I1354" i="2" s="1"/>
  <c r="F1353" i="2"/>
  <c r="G1353" i="2" s="1"/>
  <c r="I1353" i="2" s="1"/>
  <c r="F1352" i="2"/>
  <c r="G1352" i="2" s="1"/>
  <c r="I1352" i="2" s="1"/>
  <c r="F1351" i="2"/>
  <c r="G1351" i="2" s="1"/>
  <c r="I1351" i="2" s="1"/>
  <c r="F1350" i="2"/>
  <c r="G1350" i="2" s="1"/>
  <c r="I1350" i="2" s="1"/>
  <c r="F1349" i="2"/>
  <c r="G1349" i="2" s="1"/>
  <c r="I1349" i="2" s="1"/>
  <c r="F1348" i="2"/>
  <c r="G1348" i="2" s="1"/>
  <c r="I1348" i="2" s="1"/>
  <c r="F1347" i="2"/>
  <c r="G1347" i="2" s="1"/>
  <c r="I1347" i="2" s="1"/>
  <c r="F1346" i="2"/>
  <c r="G1346" i="2" s="1"/>
  <c r="I1346" i="2" s="1"/>
  <c r="F1345" i="2"/>
  <c r="G1345" i="2" s="1"/>
  <c r="I1345" i="2" s="1"/>
  <c r="F1344" i="2"/>
  <c r="G1344" i="2" s="1"/>
  <c r="I1344" i="2" s="1"/>
  <c r="F1343" i="2"/>
  <c r="G1343" i="2" s="1"/>
  <c r="I1343" i="2" s="1"/>
  <c r="F1342" i="2"/>
  <c r="G1342" i="2" s="1"/>
  <c r="I1342" i="2" s="1"/>
  <c r="F1341" i="2"/>
  <c r="G1341" i="2" s="1"/>
  <c r="I1341" i="2" s="1"/>
  <c r="F1340" i="2"/>
  <c r="G1340" i="2" s="1"/>
  <c r="I1340" i="2" s="1"/>
  <c r="F1339" i="2"/>
  <c r="G1339" i="2" s="1"/>
  <c r="I1339" i="2" s="1"/>
  <c r="F1338" i="2"/>
  <c r="G1338" i="2" s="1"/>
  <c r="I1338" i="2" s="1"/>
  <c r="F1337" i="2"/>
  <c r="G1337" i="2" s="1"/>
  <c r="I1337" i="2" s="1"/>
  <c r="F1336" i="2"/>
  <c r="G1336" i="2" s="1"/>
  <c r="I1336" i="2" s="1"/>
  <c r="F1335" i="2"/>
  <c r="G1335" i="2" s="1"/>
  <c r="I1335" i="2" s="1"/>
  <c r="F1334" i="2"/>
  <c r="G1334" i="2" s="1"/>
  <c r="I1334" i="2" s="1"/>
  <c r="F1333" i="2"/>
  <c r="G1333" i="2" s="1"/>
  <c r="I1333" i="2" s="1"/>
  <c r="F1332" i="2"/>
  <c r="G1332" i="2" s="1"/>
  <c r="I1332" i="2" s="1"/>
  <c r="F1331" i="2"/>
  <c r="G1331" i="2" s="1"/>
  <c r="I1331" i="2" s="1"/>
  <c r="F1330" i="2"/>
  <c r="G1330" i="2" s="1"/>
  <c r="I1330" i="2" s="1"/>
  <c r="F1329" i="2"/>
  <c r="G1329" i="2" s="1"/>
  <c r="I1329" i="2" s="1"/>
  <c r="F1328" i="2"/>
  <c r="G1328" i="2" s="1"/>
  <c r="I1328" i="2" s="1"/>
  <c r="F1327" i="2"/>
  <c r="G1327" i="2" s="1"/>
  <c r="I1327" i="2" s="1"/>
  <c r="F1326" i="2"/>
  <c r="G1326" i="2" s="1"/>
  <c r="I1326" i="2" s="1"/>
  <c r="F1325" i="2"/>
  <c r="G1325" i="2" s="1"/>
  <c r="I1325" i="2" s="1"/>
  <c r="F1324" i="2"/>
  <c r="G1324" i="2" s="1"/>
  <c r="I1324" i="2" s="1"/>
  <c r="F1323" i="2"/>
  <c r="G1323" i="2" s="1"/>
  <c r="I1323" i="2" s="1"/>
  <c r="F1322" i="2"/>
  <c r="G1322" i="2" s="1"/>
  <c r="I1322" i="2" s="1"/>
  <c r="F1321" i="2"/>
  <c r="G1321" i="2" s="1"/>
  <c r="I1321" i="2" s="1"/>
  <c r="F1320" i="2"/>
  <c r="G1320" i="2" s="1"/>
  <c r="I1320" i="2" s="1"/>
  <c r="F1319" i="2"/>
  <c r="G1319" i="2" s="1"/>
  <c r="I1319" i="2" s="1"/>
  <c r="F1318" i="2"/>
  <c r="G1318" i="2" s="1"/>
  <c r="I1318" i="2" s="1"/>
  <c r="F1317" i="2"/>
  <c r="G1317" i="2" s="1"/>
  <c r="I1317" i="2" s="1"/>
  <c r="F1316" i="2"/>
  <c r="G1316" i="2" s="1"/>
  <c r="I1316" i="2" s="1"/>
  <c r="F1315" i="2"/>
  <c r="G1315" i="2" s="1"/>
  <c r="I1315" i="2" s="1"/>
  <c r="F1314" i="2"/>
  <c r="G1314" i="2" s="1"/>
  <c r="I1314" i="2" s="1"/>
  <c r="F1313" i="2"/>
  <c r="G1313" i="2" s="1"/>
  <c r="I1313" i="2" s="1"/>
  <c r="F1312" i="2"/>
  <c r="G1312" i="2" s="1"/>
  <c r="I1312" i="2" s="1"/>
  <c r="F1311" i="2"/>
  <c r="G1311" i="2" s="1"/>
  <c r="I1311" i="2" s="1"/>
  <c r="F1310" i="2"/>
  <c r="G1310" i="2" s="1"/>
  <c r="I1310" i="2" s="1"/>
  <c r="F1309" i="2"/>
  <c r="G1309" i="2" s="1"/>
  <c r="I1309" i="2" s="1"/>
  <c r="F1308" i="2"/>
  <c r="G1308" i="2" s="1"/>
  <c r="I1308" i="2" s="1"/>
  <c r="F1307" i="2"/>
  <c r="G1307" i="2" s="1"/>
  <c r="I1307" i="2" s="1"/>
  <c r="F1306" i="2"/>
  <c r="G1306" i="2" s="1"/>
  <c r="I1306" i="2" s="1"/>
  <c r="F1305" i="2"/>
  <c r="G1305" i="2" s="1"/>
  <c r="I1305" i="2" s="1"/>
  <c r="F1304" i="2"/>
  <c r="G1304" i="2" s="1"/>
  <c r="I1304" i="2" s="1"/>
  <c r="F1303" i="2"/>
  <c r="G1303" i="2" s="1"/>
  <c r="I1303" i="2" s="1"/>
  <c r="F1302" i="2"/>
  <c r="G1302" i="2" s="1"/>
  <c r="I1302" i="2" s="1"/>
  <c r="F1301" i="2"/>
  <c r="G1301" i="2" s="1"/>
  <c r="I1301" i="2" s="1"/>
  <c r="F1300" i="2"/>
  <c r="G1300" i="2" s="1"/>
  <c r="I1300" i="2" s="1"/>
  <c r="F1299" i="2"/>
  <c r="G1299" i="2" s="1"/>
  <c r="I1299" i="2" s="1"/>
  <c r="F1298" i="2"/>
  <c r="G1298" i="2" s="1"/>
  <c r="I1298" i="2" s="1"/>
  <c r="F1297" i="2"/>
  <c r="G1297" i="2" s="1"/>
  <c r="I1297" i="2" s="1"/>
  <c r="F1296" i="2"/>
  <c r="G1296" i="2" s="1"/>
  <c r="I1296" i="2" s="1"/>
  <c r="F1295" i="2"/>
  <c r="G1295" i="2" s="1"/>
  <c r="I1295" i="2" s="1"/>
  <c r="F1294" i="2"/>
  <c r="G1294" i="2" s="1"/>
  <c r="I1294" i="2" s="1"/>
  <c r="F1293" i="2"/>
  <c r="G1293" i="2" s="1"/>
  <c r="I1293" i="2" s="1"/>
  <c r="F1292" i="2"/>
  <c r="G1292" i="2" s="1"/>
  <c r="I1292" i="2" s="1"/>
  <c r="F1291" i="2"/>
  <c r="G1291" i="2" s="1"/>
  <c r="I1291" i="2" s="1"/>
  <c r="F1290" i="2"/>
  <c r="G1290" i="2" s="1"/>
  <c r="I1290" i="2" s="1"/>
  <c r="F1289" i="2"/>
  <c r="G1289" i="2" s="1"/>
  <c r="I1289" i="2" s="1"/>
  <c r="F1288" i="2"/>
  <c r="G1288" i="2" s="1"/>
  <c r="I1288" i="2" s="1"/>
  <c r="F1287" i="2"/>
  <c r="G1287" i="2" s="1"/>
  <c r="I1287" i="2" s="1"/>
  <c r="F1286" i="2"/>
  <c r="G1286" i="2" s="1"/>
  <c r="I1286" i="2" s="1"/>
  <c r="F1285" i="2"/>
  <c r="G1285" i="2" s="1"/>
  <c r="I1285" i="2" s="1"/>
  <c r="F1284" i="2"/>
  <c r="G1284" i="2" s="1"/>
  <c r="I1284" i="2" s="1"/>
  <c r="F1283" i="2"/>
  <c r="G1283" i="2" s="1"/>
  <c r="I1283" i="2" s="1"/>
  <c r="F1282" i="2"/>
  <c r="G1282" i="2" s="1"/>
  <c r="I1282" i="2" s="1"/>
  <c r="F1281" i="2"/>
  <c r="G1281" i="2" s="1"/>
  <c r="I1281" i="2" s="1"/>
  <c r="F1280" i="2"/>
  <c r="G1280" i="2" s="1"/>
  <c r="I1280" i="2" s="1"/>
  <c r="F1279" i="2"/>
  <c r="G1279" i="2" s="1"/>
  <c r="I1279" i="2" s="1"/>
  <c r="F1278" i="2"/>
  <c r="G1278" i="2" s="1"/>
  <c r="I1278" i="2" s="1"/>
  <c r="F1277" i="2"/>
  <c r="G1277" i="2" s="1"/>
  <c r="I1277" i="2" s="1"/>
  <c r="F1276" i="2"/>
  <c r="G1276" i="2" s="1"/>
  <c r="I1276" i="2" s="1"/>
  <c r="F1275" i="2"/>
  <c r="G1275" i="2" s="1"/>
  <c r="I1275" i="2" s="1"/>
  <c r="F1274" i="2"/>
  <c r="G1274" i="2" s="1"/>
  <c r="I1274" i="2" s="1"/>
  <c r="F1273" i="2"/>
  <c r="G1273" i="2" s="1"/>
  <c r="I1273" i="2" s="1"/>
  <c r="F1272" i="2"/>
  <c r="G1272" i="2" s="1"/>
  <c r="I1272" i="2" s="1"/>
  <c r="F1271" i="2"/>
  <c r="G1271" i="2" s="1"/>
  <c r="I1271" i="2" s="1"/>
  <c r="F1270" i="2"/>
  <c r="G1270" i="2" s="1"/>
  <c r="I1270" i="2" s="1"/>
  <c r="F1269" i="2"/>
  <c r="G1269" i="2" s="1"/>
  <c r="I1269" i="2" s="1"/>
  <c r="F1268" i="2"/>
  <c r="G1268" i="2" s="1"/>
  <c r="I1268" i="2" s="1"/>
  <c r="F1267" i="2"/>
  <c r="G1267" i="2" s="1"/>
  <c r="I1267" i="2" s="1"/>
  <c r="F1266" i="2"/>
  <c r="G1266" i="2" s="1"/>
  <c r="I1266" i="2" s="1"/>
  <c r="F1265" i="2"/>
  <c r="G1265" i="2" s="1"/>
  <c r="I1265" i="2" s="1"/>
  <c r="F1264" i="2"/>
  <c r="G1264" i="2" s="1"/>
  <c r="I1264" i="2" s="1"/>
  <c r="F1263" i="2"/>
  <c r="G1263" i="2" s="1"/>
  <c r="I1263" i="2" s="1"/>
  <c r="F1262" i="2"/>
  <c r="G1262" i="2" s="1"/>
  <c r="I1262" i="2" s="1"/>
  <c r="F1261" i="2"/>
  <c r="G1261" i="2" s="1"/>
  <c r="I1261" i="2" s="1"/>
  <c r="F1260" i="2"/>
  <c r="G1260" i="2" s="1"/>
  <c r="I1260" i="2" s="1"/>
  <c r="F1259" i="2"/>
  <c r="G1259" i="2" s="1"/>
  <c r="I1259" i="2" s="1"/>
  <c r="F1258" i="2"/>
  <c r="G1258" i="2" s="1"/>
  <c r="I1258" i="2" s="1"/>
  <c r="F1257" i="2"/>
  <c r="G1257" i="2" s="1"/>
  <c r="I1257" i="2" s="1"/>
  <c r="F1256" i="2"/>
  <c r="G1256" i="2" s="1"/>
  <c r="I1256" i="2" s="1"/>
  <c r="F1255" i="2"/>
  <c r="G1255" i="2" s="1"/>
  <c r="I1255" i="2" s="1"/>
  <c r="F1254" i="2"/>
  <c r="G1254" i="2" s="1"/>
  <c r="I1254" i="2" s="1"/>
  <c r="F1253" i="2"/>
  <c r="G1253" i="2" s="1"/>
  <c r="I1253" i="2" s="1"/>
  <c r="F1252" i="2"/>
  <c r="G1252" i="2" s="1"/>
  <c r="I1252" i="2" s="1"/>
  <c r="F1251" i="2"/>
  <c r="G1251" i="2" s="1"/>
  <c r="I1251" i="2" s="1"/>
  <c r="F1250" i="2"/>
  <c r="G1250" i="2" s="1"/>
  <c r="I1250" i="2" s="1"/>
  <c r="F1249" i="2"/>
  <c r="G1249" i="2" s="1"/>
  <c r="I1249" i="2" s="1"/>
  <c r="F1248" i="2"/>
  <c r="G1248" i="2" s="1"/>
  <c r="I1248" i="2" s="1"/>
  <c r="F1247" i="2"/>
  <c r="G1247" i="2" s="1"/>
  <c r="I1247" i="2" s="1"/>
  <c r="F1246" i="2"/>
  <c r="G1246" i="2" s="1"/>
  <c r="I1246" i="2" s="1"/>
  <c r="F1245" i="2"/>
  <c r="G1245" i="2" s="1"/>
  <c r="I1245" i="2" s="1"/>
  <c r="F1244" i="2"/>
  <c r="G1244" i="2" s="1"/>
  <c r="I1244" i="2" s="1"/>
  <c r="F1243" i="2"/>
  <c r="G1243" i="2" s="1"/>
  <c r="I1243" i="2" s="1"/>
  <c r="F1242" i="2"/>
  <c r="G1242" i="2" s="1"/>
  <c r="I1242" i="2" s="1"/>
  <c r="F1241" i="2"/>
  <c r="G1241" i="2" s="1"/>
  <c r="I1241" i="2" s="1"/>
  <c r="F1240" i="2"/>
  <c r="G1240" i="2" s="1"/>
  <c r="I1240" i="2" s="1"/>
  <c r="F1239" i="2"/>
  <c r="G1239" i="2" s="1"/>
  <c r="I1239" i="2" s="1"/>
  <c r="F1238" i="2"/>
  <c r="G1238" i="2" s="1"/>
  <c r="I1238" i="2" s="1"/>
  <c r="F1237" i="2"/>
  <c r="G1237" i="2" s="1"/>
  <c r="I1237" i="2" s="1"/>
  <c r="F1236" i="2"/>
  <c r="G1236" i="2" s="1"/>
  <c r="I1236" i="2" s="1"/>
  <c r="F1235" i="2"/>
  <c r="G1235" i="2" s="1"/>
  <c r="I1235" i="2" s="1"/>
  <c r="F1234" i="2"/>
  <c r="G1234" i="2" s="1"/>
  <c r="I1234" i="2" s="1"/>
  <c r="F1233" i="2"/>
  <c r="G1233" i="2" s="1"/>
  <c r="I1233" i="2" s="1"/>
  <c r="F1232" i="2"/>
  <c r="G1232" i="2" s="1"/>
  <c r="I1232" i="2" s="1"/>
  <c r="F1231" i="2"/>
  <c r="G1231" i="2" s="1"/>
  <c r="I1231" i="2" s="1"/>
  <c r="F1230" i="2"/>
  <c r="G1230" i="2" s="1"/>
  <c r="I1230" i="2" s="1"/>
  <c r="F1229" i="2"/>
  <c r="G1229" i="2" s="1"/>
  <c r="I1229" i="2" s="1"/>
  <c r="F1228" i="2"/>
  <c r="G1228" i="2" s="1"/>
  <c r="I1228" i="2" s="1"/>
  <c r="F1227" i="2"/>
  <c r="G1227" i="2" s="1"/>
  <c r="I1227" i="2" s="1"/>
  <c r="F1226" i="2"/>
  <c r="G1226" i="2" s="1"/>
  <c r="I1226" i="2" s="1"/>
  <c r="F1225" i="2"/>
  <c r="G1225" i="2" s="1"/>
  <c r="I1225" i="2" s="1"/>
  <c r="F1224" i="2"/>
  <c r="G1224" i="2" s="1"/>
  <c r="I1224" i="2" s="1"/>
  <c r="F1223" i="2"/>
  <c r="G1223" i="2" s="1"/>
  <c r="I1223" i="2" s="1"/>
  <c r="F1222" i="2"/>
  <c r="G1222" i="2" s="1"/>
  <c r="I1222" i="2" s="1"/>
  <c r="F1221" i="2"/>
  <c r="G1221" i="2" s="1"/>
  <c r="I1221" i="2" s="1"/>
  <c r="F1220" i="2"/>
  <c r="G1220" i="2" s="1"/>
  <c r="I1220" i="2" s="1"/>
  <c r="F1219" i="2"/>
  <c r="G1219" i="2" s="1"/>
  <c r="I1219" i="2" s="1"/>
  <c r="F1218" i="2"/>
  <c r="G1218" i="2" s="1"/>
  <c r="I1218" i="2" s="1"/>
  <c r="F1217" i="2"/>
  <c r="G1217" i="2" s="1"/>
  <c r="I1217" i="2" s="1"/>
  <c r="F1216" i="2"/>
  <c r="G1216" i="2" s="1"/>
  <c r="I1216" i="2" s="1"/>
  <c r="F1215" i="2"/>
  <c r="G1215" i="2" s="1"/>
  <c r="I1215" i="2" s="1"/>
  <c r="F1214" i="2"/>
  <c r="G1214" i="2" s="1"/>
  <c r="I1214" i="2" s="1"/>
  <c r="F1213" i="2"/>
  <c r="G1213" i="2" s="1"/>
  <c r="I1213" i="2" s="1"/>
  <c r="F1212" i="2"/>
  <c r="G1212" i="2" s="1"/>
  <c r="I1212" i="2" s="1"/>
  <c r="F1211" i="2"/>
  <c r="G1211" i="2" s="1"/>
  <c r="I1211" i="2" s="1"/>
  <c r="F1210" i="2"/>
  <c r="G1210" i="2" s="1"/>
  <c r="I1210" i="2" s="1"/>
  <c r="F1209" i="2"/>
  <c r="G1209" i="2" s="1"/>
  <c r="I1209" i="2" s="1"/>
  <c r="F1208" i="2"/>
  <c r="G1208" i="2" s="1"/>
  <c r="I1208" i="2" s="1"/>
  <c r="F1207" i="2"/>
  <c r="G1207" i="2" s="1"/>
  <c r="I1207" i="2" s="1"/>
  <c r="F1206" i="2"/>
  <c r="G1206" i="2" s="1"/>
  <c r="I1206" i="2" s="1"/>
  <c r="F1205" i="2"/>
  <c r="G1205" i="2" s="1"/>
  <c r="I1205" i="2" s="1"/>
  <c r="F1204" i="2"/>
  <c r="G1204" i="2" s="1"/>
  <c r="I1204" i="2" s="1"/>
  <c r="F1203" i="2"/>
  <c r="G1203" i="2" s="1"/>
  <c r="I1203" i="2" s="1"/>
  <c r="F1202" i="2"/>
  <c r="G1202" i="2" s="1"/>
  <c r="I1202" i="2" s="1"/>
  <c r="F1201" i="2"/>
  <c r="G1201" i="2" s="1"/>
  <c r="I1201" i="2" s="1"/>
  <c r="F1200" i="2"/>
  <c r="G1200" i="2" s="1"/>
  <c r="I1200" i="2" s="1"/>
  <c r="F1199" i="2"/>
  <c r="G1199" i="2" s="1"/>
  <c r="I1199" i="2" s="1"/>
  <c r="F1198" i="2"/>
  <c r="G1198" i="2" s="1"/>
  <c r="I1198" i="2" s="1"/>
  <c r="F1197" i="2"/>
  <c r="G1197" i="2" s="1"/>
  <c r="I1197" i="2" s="1"/>
  <c r="F1196" i="2"/>
  <c r="G1196" i="2" s="1"/>
  <c r="I1196" i="2" s="1"/>
  <c r="F1195" i="2"/>
  <c r="G1195" i="2" s="1"/>
  <c r="I1195" i="2" s="1"/>
  <c r="F1194" i="2"/>
  <c r="G1194" i="2" s="1"/>
  <c r="I1194" i="2" s="1"/>
  <c r="F1193" i="2"/>
  <c r="G1193" i="2" s="1"/>
  <c r="I1193" i="2" s="1"/>
  <c r="F1192" i="2"/>
  <c r="G1192" i="2" s="1"/>
  <c r="I1192" i="2" s="1"/>
  <c r="F1191" i="2"/>
  <c r="G1191" i="2" s="1"/>
  <c r="I1191" i="2" s="1"/>
  <c r="F1190" i="2"/>
  <c r="G1190" i="2" s="1"/>
  <c r="I1190" i="2" s="1"/>
  <c r="F1189" i="2"/>
  <c r="G1189" i="2" s="1"/>
  <c r="I1189" i="2" s="1"/>
  <c r="F1188" i="2"/>
  <c r="G1188" i="2" s="1"/>
  <c r="I1188" i="2" s="1"/>
  <c r="F1187" i="2"/>
  <c r="G1187" i="2" s="1"/>
  <c r="I1187" i="2" s="1"/>
  <c r="F1186" i="2"/>
  <c r="G1186" i="2" s="1"/>
  <c r="I1186" i="2" s="1"/>
  <c r="F1185" i="2"/>
  <c r="G1185" i="2" s="1"/>
  <c r="I1185" i="2" s="1"/>
  <c r="F1184" i="2"/>
  <c r="G1184" i="2" s="1"/>
  <c r="I1184" i="2" s="1"/>
  <c r="F1183" i="2"/>
  <c r="G1183" i="2" s="1"/>
  <c r="I1183" i="2" s="1"/>
  <c r="F1182" i="2"/>
  <c r="G1182" i="2" s="1"/>
  <c r="I1182" i="2" s="1"/>
  <c r="F1181" i="2"/>
  <c r="G1181" i="2" s="1"/>
  <c r="I1181" i="2" s="1"/>
  <c r="F1180" i="2"/>
  <c r="G1180" i="2" s="1"/>
  <c r="I1180" i="2" s="1"/>
  <c r="F1179" i="2"/>
  <c r="G1179" i="2" s="1"/>
  <c r="I1179" i="2" s="1"/>
  <c r="F1178" i="2"/>
  <c r="G1178" i="2" s="1"/>
  <c r="I1178" i="2" s="1"/>
  <c r="F1177" i="2"/>
  <c r="G1177" i="2" s="1"/>
  <c r="I1177" i="2" s="1"/>
  <c r="F1176" i="2"/>
  <c r="G1176" i="2" s="1"/>
  <c r="I1176" i="2" s="1"/>
  <c r="F1175" i="2"/>
  <c r="G1175" i="2" s="1"/>
  <c r="I1175" i="2" s="1"/>
  <c r="F1174" i="2"/>
  <c r="G1174" i="2" s="1"/>
  <c r="I1174" i="2" s="1"/>
  <c r="F1173" i="2"/>
  <c r="G1173" i="2" s="1"/>
  <c r="I1173" i="2" s="1"/>
  <c r="F1172" i="2"/>
  <c r="G1172" i="2" s="1"/>
  <c r="I1172" i="2" s="1"/>
  <c r="F1171" i="2"/>
  <c r="G1171" i="2" s="1"/>
  <c r="I1171" i="2" s="1"/>
  <c r="F1170" i="2"/>
  <c r="G1170" i="2" s="1"/>
  <c r="I1170" i="2" s="1"/>
  <c r="F1169" i="2"/>
  <c r="G1169" i="2" s="1"/>
  <c r="I1169" i="2" s="1"/>
  <c r="F1168" i="2"/>
  <c r="G1168" i="2" s="1"/>
  <c r="I1168" i="2" s="1"/>
  <c r="F1167" i="2"/>
  <c r="G1167" i="2" s="1"/>
  <c r="I1167" i="2" s="1"/>
  <c r="F1166" i="2"/>
  <c r="G1166" i="2" s="1"/>
  <c r="I1166" i="2" s="1"/>
  <c r="F1165" i="2"/>
  <c r="G1165" i="2" s="1"/>
  <c r="I1165" i="2" s="1"/>
  <c r="F1164" i="2"/>
  <c r="G1164" i="2" s="1"/>
  <c r="I1164" i="2" s="1"/>
  <c r="F1163" i="2"/>
  <c r="G1163" i="2" s="1"/>
  <c r="I1163" i="2" s="1"/>
  <c r="F1162" i="2"/>
  <c r="G1162" i="2" s="1"/>
  <c r="I1162" i="2" s="1"/>
  <c r="F1161" i="2"/>
  <c r="G1161" i="2" s="1"/>
  <c r="I1161" i="2" s="1"/>
  <c r="F1160" i="2"/>
  <c r="G1160" i="2" s="1"/>
  <c r="I1160" i="2" s="1"/>
  <c r="F1159" i="2"/>
  <c r="G1159" i="2" s="1"/>
  <c r="I1159" i="2" s="1"/>
  <c r="F1158" i="2"/>
  <c r="G1158" i="2" s="1"/>
  <c r="I1158" i="2" s="1"/>
  <c r="F1157" i="2"/>
  <c r="G1157" i="2" s="1"/>
  <c r="I1157" i="2" s="1"/>
  <c r="F1156" i="2"/>
  <c r="G1156" i="2" s="1"/>
  <c r="I1156" i="2" s="1"/>
  <c r="F1155" i="2"/>
  <c r="G1155" i="2" s="1"/>
  <c r="I1155" i="2" s="1"/>
  <c r="F1154" i="2"/>
  <c r="G1154" i="2" s="1"/>
  <c r="I1154" i="2" s="1"/>
  <c r="F1153" i="2"/>
  <c r="G1153" i="2" s="1"/>
  <c r="I1153" i="2" s="1"/>
  <c r="F1152" i="2"/>
  <c r="G1152" i="2" s="1"/>
  <c r="I1152" i="2" s="1"/>
  <c r="F1151" i="2"/>
  <c r="G1151" i="2" s="1"/>
  <c r="I1151" i="2" s="1"/>
  <c r="F1150" i="2"/>
  <c r="G1150" i="2" s="1"/>
  <c r="I1150" i="2" s="1"/>
  <c r="F1149" i="2"/>
  <c r="G1149" i="2" s="1"/>
  <c r="I1149" i="2" s="1"/>
  <c r="F1148" i="2"/>
  <c r="G1148" i="2" s="1"/>
  <c r="I1148" i="2" s="1"/>
  <c r="F1147" i="2"/>
  <c r="G1147" i="2" s="1"/>
  <c r="I1147" i="2" s="1"/>
  <c r="F1146" i="2"/>
  <c r="G1146" i="2" s="1"/>
  <c r="I1146" i="2" s="1"/>
  <c r="F1145" i="2"/>
  <c r="G1145" i="2" s="1"/>
  <c r="I1145" i="2" s="1"/>
  <c r="F1144" i="2"/>
  <c r="G1144" i="2" s="1"/>
  <c r="I1144" i="2" s="1"/>
  <c r="F1143" i="2"/>
  <c r="G1143" i="2" s="1"/>
  <c r="I1143" i="2" s="1"/>
  <c r="F1142" i="2"/>
  <c r="G1142" i="2" s="1"/>
  <c r="I1142" i="2" s="1"/>
  <c r="F1141" i="2"/>
  <c r="G1141" i="2" s="1"/>
  <c r="I1141" i="2" s="1"/>
  <c r="F1140" i="2"/>
  <c r="G1140" i="2" s="1"/>
  <c r="I1140" i="2" s="1"/>
  <c r="F1139" i="2"/>
  <c r="G1139" i="2" s="1"/>
  <c r="I1139" i="2" s="1"/>
  <c r="F1138" i="2"/>
  <c r="G1138" i="2" s="1"/>
  <c r="I1138" i="2" s="1"/>
  <c r="F1137" i="2"/>
  <c r="G1137" i="2" s="1"/>
  <c r="I1137" i="2" s="1"/>
  <c r="F1136" i="2"/>
  <c r="G1136" i="2" s="1"/>
  <c r="I1136" i="2" s="1"/>
  <c r="F1135" i="2"/>
  <c r="G1135" i="2" s="1"/>
  <c r="I1135" i="2" s="1"/>
  <c r="F1134" i="2"/>
  <c r="G1134" i="2" s="1"/>
  <c r="I1134" i="2" s="1"/>
  <c r="F1133" i="2"/>
  <c r="G1133" i="2" s="1"/>
  <c r="I1133" i="2" s="1"/>
  <c r="F1132" i="2"/>
  <c r="G1132" i="2" s="1"/>
  <c r="I1132" i="2" s="1"/>
  <c r="F1131" i="2"/>
  <c r="G1131" i="2" s="1"/>
  <c r="I1131" i="2" s="1"/>
  <c r="F1130" i="2"/>
  <c r="G1130" i="2" s="1"/>
  <c r="I1130" i="2" s="1"/>
  <c r="F1129" i="2"/>
  <c r="G1129" i="2" s="1"/>
  <c r="I1129" i="2" s="1"/>
  <c r="F1128" i="2"/>
  <c r="G1128" i="2" s="1"/>
  <c r="I1128" i="2" s="1"/>
  <c r="F1127" i="2"/>
  <c r="G1127" i="2" s="1"/>
  <c r="I1127" i="2" s="1"/>
  <c r="F1126" i="2"/>
  <c r="G1126" i="2" s="1"/>
  <c r="I1126" i="2" s="1"/>
  <c r="F1125" i="2"/>
  <c r="G1125" i="2" s="1"/>
  <c r="I1125" i="2" s="1"/>
  <c r="F1124" i="2"/>
  <c r="G1124" i="2" s="1"/>
  <c r="I1124" i="2" s="1"/>
  <c r="F1123" i="2"/>
  <c r="G1123" i="2" s="1"/>
  <c r="I1123" i="2" s="1"/>
  <c r="F1122" i="2"/>
  <c r="G1122" i="2" s="1"/>
  <c r="I1122" i="2" s="1"/>
  <c r="F1121" i="2"/>
  <c r="G1121" i="2" s="1"/>
  <c r="I1121" i="2" s="1"/>
  <c r="F1120" i="2"/>
  <c r="G1120" i="2" s="1"/>
  <c r="I1120" i="2" s="1"/>
  <c r="F1119" i="2"/>
  <c r="G1119" i="2" s="1"/>
  <c r="I1119" i="2" s="1"/>
  <c r="F1118" i="2"/>
  <c r="G1118" i="2" s="1"/>
  <c r="I1118" i="2" s="1"/>
  <c r="F1117" i="2"/>
  <c r="G1117" i="2" s="1"/>
  <c r="I1117" i="2" s="1"/>
  <c r="F1116" i="2"/>
  <c r="G1116" i="2" s="1"/>
  <c r="I1116" i="2" s="1"/>
  <c r="F1115" i="2"/>
  <c r="G1115" i="2" s="1"/>
  <c r="I1115" i="2" s="1"/>
  <c r="F1114" i="2"/>
  <c r="G1114" i="2" s="1"/>
  <c r="I1114" i="2" s="1"/>
  <c r="F1113" i="2"/>
  <c r="G1113" i="2" s="1"/>
  <c r="I1113" i="2" s="1"/>
  <c r="F1112" i="2"/>
  <c r="G1112" i="2" s="1"/>
  <c r="I1112" i="2" s="1"/>
  <c r="F1111" i="2"/>
  <c r="G1111" i="2" s="1"/>
  <c r="I1111" i="2" s="1"/>
  <c r="F1110" i="2"/>
  <c r="G1110" i="2" s="1"/>
  <c r="I1110" i="2" s="1"/>
  <c r="F1109" i="2"/>
  <c r="G1109" i="2" s="1"/>
  <c r="I1109" i="2" s="1"/>
  <c r="F1108" i="2"/>
  <c r="G1108" i="2" s="1"/>
  <c r="I1108" i="2" s="1"/>
  <c r="F1107" i="2"/>
  <c r="G1107" i="2" s="1"/>
  <c r="I1107" i="2" s="1"/>
  <c r="F1106" i="2"/>
  <c r="G1106" i="2" s="1"/>
  <c r="I1106" i="2" s="1"/>
  <c r="F1105" i="2"/>
  <c r="G1105" i="2" s="1"/>
  <c r="I1105" i="2" s="1"/>
  <c r="F1104" i="2"/>
  <c r="G1104" i="2" s="1"/>
  <c r="I1104" i="2" s="1"/>
  <c r="F1103" i="2"/>
  <c r="G1103" i="2" s="1"/>
  <c r="I1103" i="2" s="1"/>
  <c r="F1102" i="2"/>
  <c r="G1102" i="2" s="1"/>
  <c r="I1102" i="2" s="1"/>
  <c r="F1101" i="2"/>
  <c r="G1101" i="2" s="1"/>
  <c r="I1101" i="2" s="1"/>
  <c r="F1100" i="2"/>
  <c r="G1100" i="2" s="1"/>
  <c r="I1100" i="2" s="1"/>
  <c r="F1099" i="2"/>
  <c r="G1099" i="2" s="1"/>
  <c r="I1099" i="2" s="1"/>
  <c r="F1098" i="2"/>
  <c r="G1098" i="2" s="1"/>
  <c r="I1098" i="2" s="1"/>
  <c r="F1097" i="2"/>
  <c r="G1097" i="2" s="1"/>
  <c r="I1097" i="2" s="1"/>
  <c r="F1096" i="2"/>
  <c r="G1096" i="2" s="1"/>
  <c r="I1096" i="2" s="1"/>
  <c r="F1095" i="2"/>
  <c r="G1095" i="2" s="1"/>
  <c r="I1095" i="2" s="1"/>
  <c r="F1094" i="2"/>
  <c r="G1094" i="2" s="1"/>
  <c r="I1094" i="2" s="1"/>
  <c r="F1093" i="2"/>
  <c r="G1093" i="2" s="1"/>
  <c r="I1093" i="2" s="1"/>
  <c r="F1092" i="2"/>
  <c r="G1092" i="2" s="1"/>
  <c r="I1092" i="2" s="1"/>
  <c r="F1091" i="2"/>
  <c r="G1091" i="2" s="1"/>
  <c r="I1091" i="2" s="1"/>
  <c r="F1090" i="2"/>
  <c r="G1090" i="2" s="1"/>
  <c r="I1090" i="2" s="1"/>
  <c r="F1089" i="2"/>
  <c r="G1089" i="2" s="1"/>
  <c r="I1089" i="2" s="1"/>
  <c r="F1088" i="2"/>
  <c r="G1088" i="2" s="1"/>
  <c r="I1088" i="2" s="1"/>
  <c r="F1087" i="2"/>
  <c r="G1087" i="2" s="1"/>
  <c r="I1087" i="2" s="1"/>
  <c r="F1086" i="2"/>
  <c r="G1086" i="2" s="1"/>
  <c r="I1086" i="2" s="1"/>
  <c r="F1085" i="2"/>
  <c r="G1085" i="2" s="1"/>
  <c r="I1085" i="2" s="1"/>
  <c r="F1084" i="2"/>
  <c r="G1084" i="2" s="1"/>
  <c r="I1084" i="2" s="1"/>
  <c r="F1083" i="2"/>
  <c r="G1083" i="2" s="1"/>
  <c r="I1083" i="2" s="1"/>
  <c r="F1082" i="2"/>
  <c r="G1082" i="2" s="1"/>
  <c r="I1082" i="2" s="1"/>
  <c r="F1081" i="2"/>
  <c r="G1081" i="2" s="1"/>
  <c r="I1081" i="2" s="1"/>
  <c r="F1080" i="2"/>
  <c r="G1080" i="2" s="1"/>
  <c r="I1080" i="2" s="1"/>
  <c r="F1079" i="2"/>
  <c r="G1079" i="2" s="1"/>
  <c r="I1079" i="2" s="1"/>
  <c r="F1078" i="2"/>
  <c r="G1078" i="2" s="1"/>
  <c r="I1078" i="2" s="1"/>
  <c r="F1077" i="2"/>
  <c r="G1077" i="2" s="1"/>
  <c r="I1077" i="2" s="1"/>
  <c r="F1076" i="2"/>
  <c r="G1076" i="2" s="1"/>
  <c r="I1076" i="2" s="1"/>
  <c r="F1075" i="2"/>
  <c r="G1075" i="2" s="1"/>
  <c r="I1075" i="2" s="1"/>
  <c r="F1074" i="2"/>
  <c r="G1074" i="2" s="1"/>
  <c r="I1074" i="2" s="1"/>
  <c r="F1073" i="2"/>
  <c r="G1073" i="2" s="1"/>
  <c r="I1073" i="2" s="1"/>
  <c r="F1072" i="2"/>
  <c r="G1072" i="2" s="1"/>
  <c r="I1072" i="2" s="1"/>
  <c r="F1071" i="2"/>
  <c r="G1071" i="2" s="1"/>
  <c r="I1071" i="2" s="1"/>
  <c r="F1070" i="2"/>
  <c r="G1070" i="2" s="1"/>
  <c r="I1070" i="2" s="1"/>
  <c r="F1069" i="2"/>
  <c r="G1069" i="2" s="1"/>
  <c r="I1069" i="2" s="1"/>
  <c r="F1068" i="2"/>
  <c r="G1068" i="2" s="1"/>
  <c r="I1068" i="2" s="1"/>
  <c r="F1067" i="2"/>
  <c r="G1067" i="2" s="1"/>
  <c r="I1067" i="2" s="1"/>
  <c r="F1066" i="2"/>
  <c r="G1066" i="2" s="1"/>
  <c r="I1066" i="2" s="1"/>
  <c r="F1065" i="2"/>
  <c r="G1065" i="2" s="1"/>
  <c r="I1065" i="2" s="1"/>
  <c r="F1064" i="2"/>
  <c r="G1064" i="2" s="1"/>
  <c r="I1064" i="2" s="1"/>
  <c r="F1063" i="2"/>
  <c r="G1063" i="2" s="1"/>
  <c r="I1063" i="2" s="1"/>
  <c r="I1062" i="2"/>
  <c r="I1061" i="2"/>
  <c r="F1060" i="2"/>
  <c r="G1060" i="2" s="1"/>
  <c r="I1060" i="2" s="1"/>
  <c r="F1059" i="2"/>
  <c r="G1059" i="2" s="1"/>
  <c r="I1059" i="2" s="1"/>
  <c r="F1058" i="2"/>
  <c r="G1058" i="2" s="1"/>
  <c r="I1058" i="2" s="1"/>
  <c r="F1057" i="2"/>
  <c r="G1057" i="2" s="1"/>
  <c r="I1057" i="2" s="1"/>
  <c r="F1056" i="2"/>
  <c r="G1056" i="2" s="1"/>
  <c r="I1056" i="2" s="1"/>
  <c r="F1055" i="2"/>
  <c r="G1055" i="2" s="1"/>
  <c r="I1055" i="2" s="1"/>
  <c r="F1054" i="2"/>
  <c r="G1054" i="2" s="1"/>
  <c r="I1054" i="2" s="1"/>
  <c r="F1053" i="2"/>
  <c r="G1053" i="2" s="1"/>
  <c r="I1053" i="2" s="1"/>
  <c r="F1052" i="2"/>
  <c r="G1052" i="2" s="1"/>
  <c r="I1052" i="2" s="1"/>
  <c r="F1051" i="2"/>
  <c r="G1051" i="2" s="1"/>
  <c r="I1051" i="2" s="1"/>
  <c r="F1050" i="2"/>
  <c r="G1050" i="2" s="1"/>
  <c r="I1050" i="2" s="1"/>
  <c r="F1049" i="2"/>
  <c r="G1049" i="2" s="1"/>
  <c r="I1049" i="2" s="1"/>
  <c r="F1048" i="2"/>
  <c r="G1048" i="2" s="1"/>
  <c r="I1048" i="2" s="1"/>
  <c r="F1047" i="2"/>
  <c r="G1047" i="2" s="1"/>
  <c r="I1047" i="2" s="1"/>
  <c r="F1046" i="2"/>
  <c r="G1046" i="2" s="1"/>
  <c r="I1046" i="2" s="1"/>
  <c r="F1045" i="2"/>
  <c r="G1045" i="2" s="1"/>
  <c r="I1045" i="2" s="1"/>
  <c r="F1044" i="2"/>
  <c r="G1044" i="2" s="1"/>
  <c r="I1044" i="2" s="1"/>
  <c r="F1043" i="2"/>
  <c r="G1043" i="2" s="1"/>
  <c r="I1043" i="2" s="1"/>
  <c r="F1042" i="2"/>
  <c r="G1042" i="2" s="1"/>
  <c r="I1042" i="2" s="1"/>
  <c r="F1041" i="2"/>
  <c r="G1041" i="2" s="1"/>
  <c r="I1041" i="2" s="1"/>
  <c r="F1040" i="2"/>
  <c r="G1040" i="2" s="1"/>
  <c r="I1040" i="2" s="1"/>
  <c r="I1039" i="2"/>
  <c r="F1038" i="2"/>
  <c r="G1038" i="2" s="1"/>
  <c r="I1038" i="2" s="1"/>
  <c r="F1037" i="2"/>
  <c r="G1037" i="2" s="1"/>
  <c r="I1037" i="2" s="1"/>
  <c r="F1036" i="2"/>
  <c r="G1036" i="2" s="1"/>
  <c r="I1036" i="2" s="1"/>
  <c r="F1035" i="2"/>
  <c r="G1035" i="2" s="1"/>
  <c r="I1035" i="2" s="1"/>
  <c r="F1034" i="2"/>
  <c r="G1034" i="2" s="1"/>
  <c r="I1034" i="2" s="1"/>
  <c r="F1033" i="2"/>
  <c r="G1033" i="2" s="1"/>
  <c r="F1032" i="2"/>
  <c r="G1032" i="2" s="1"/>
  <c r="F1031" i="2"/>
  <c r="G1031" i="2" s="1"/>
  <c r="F1030" i="2"/>
  <c r="G1030" i="2" s="1"/>
  <c r="F1029" i="2"/>
  <c r="G1029" i="2" s="1"/>
  <c r="F1028" i="2"/>
  <c r="G1028" i="2" s="1"/>
  <c r="F1027" i="2"/>
  <c r="G1027" i="2" s="1"/>
  <c r="F1026" i="2"/>
  <c r="G1026" i="2" s="1"/>
  <c r="F1025" i="2"/>
  <c r="G1025" i="2" s="1"/>
  <c r="F1024" i="2"/>
  <c r="G1024" i="2" s="1"/>
  <c r="F1023" i="2"/>
  <c r="G1023" i="2" s="1"/>
  <c r="F1022" i="2"/>
  <c r="G1022" i="2" s="1"/>
  <c r="F1021" i="2"/>
  <c r="G1021" i="2" s="1"/>
  <c r="F1020" i="2"/>
  <c r="G1020" i="2" s="1"/>
  <c r="F1019" i="2"/>
  <c r="G1019" i="2" s="1"/>
  <c r="I1019" i="2" s="1"/>
  <c r="F1018" i="2"/>
  <c r="G1018" i="2" s="1"/>
  <c r="I1018" i="2" s="1"/>
  <c r="F1017" i="2"/>
  <c r="G1017" i="2" s="1"/>
  <c r="I1017" i="2" s="1"/>
  <c r="F1016" i="2"/>
  <c r="G1016" i="2" s="1"/>
  <c r="F1015" i="2"/>
  <c r="G1015" i="2" s="1"/>
  <c r="I1015" i="2" s="1"/>
  <c r="F1014" i="2"/>
  <c r="G1014" i="2" s="1"/>
  <c r="I1014" i="2" s="1"/>
  <c r="F1013" i="2"/>
  <c r="G1013" i="2" s="1"/>
  <c r="I1013" i="2" s="1"/>
  <c r="F1012" i="2"/>
  <c r="G1012" i="2" s="1"/>
  <c r="F1011" i="2"/>
  <c r="G1011" i="2" s="1"/>
  <c r="I1011" i="2" s="1"/>
  <c r="F1010" i="2"/>
  <c r="G1010" i="2" s="1"/>
  <c r="I1010" i="2" s="1"/>
  <c r="F1009" i="2"/>
  <c r="G1009" i="2" s="1"/>
  <c r="I1009" i="2" s="1"/>
  <c r="F1008" i="2"/>
  <c r="G1008" i="2" s="1"/>
  <c r="I1008" i="2" s="1"/>
  <c r="F1007" i="2"/>
  <c r="G1007" i="2" s="1"/>
  <c r="I1007" i="2" s="1"/>
  <c r="F1006" i="2"/>
  <c r="G1006" i="2" s="1"/>
  <c r="I1006" i="2" s="1"/>
  <c r="F1005" i="2"/>
  <c r="G1005" i="2" s="1"/>
  <c r="I1005" i="2" s="1"/>
  <c r="F1004" i="2"/>
  <c r="G1004" i="2" s="1"/>
  <c r="I1004" i="2" s="1"/>
  <c r="F1003" i="2"/>
  <c r="G1003" i="2" s="1"/>
  <c r="I1003" i="2" s="1"/>
  <c r="F1002" i="2"/>
  <c r="G1002" i="2" s="1"/>
  <c r="I1002" i="2" s="1"/>
  <c r="F1001" i="2"/>
  <c r="G1001" i="2" s="1"/>
  <c r="I1001" i="2" s="1"/>
  <c r="F1000" i="2"/>
  <c r="G1000" i="2" s="1"/>
  <c r="I1000" i="2" s="1"/>
  <c r="F999" i="2"/>
  <c r="G999" i="2" s="1"/>
  <c r="I999" i="2" s="1"/>
  <c r="F998" i="2"/>
  <c r="G998" i="2" s="1"/>
  <c r="I998" i="2" s="1"/>
  <c r="F997" i="2"/>
  <c r="G997" i="2" s="1"/>
  <c r="I997" i="2" s="1"/>
  <c r="F996" i="2"/>
  <c r="G996" i="2" s="1"/>
  <c r="I996" i="2" s="1"/>
  <c r="F995" i="2"/>
  <c r="G995" i="2" s="1"/>
  <c r="I995" i="2" s="1"/>
  <c r="F994" i="2"/>
  <c r="G994" i="2" s="1"/>
  <c r="I994" i="2" s="1"/>
  <c r="F993" i="2"/>
  <c r="G993" i="2" s="1"/>
  <c r="I993" i="2" s="1"/>
  <c r="F992" i="2"/>
  <c r="G992" i="2" s="1"/>
  <c r="F991" i="2"/>
  <c r="G991" i="2" s="1"/>
  <c r="I991" i="2" s="1"/>
  <c r="F988" i="2"/>
  <c r="G988" i="2" s="1"/>
  <c r="I988" i="2" s="1"/>
  <c r="F987" i="2"/>
  <c r="G987" i="2" s="1"/>
  <c r="I987" i="2" s="1"/>
  <c r="F986" i="2"/>
  <c r="G986" i="2" s="1"/>
  <c r="I986" i="2" s="1"/>
  <c r="F985" i="2"/>
  <c r="G985" i="2" s="1"/>
  <c r="I985" i="2" s="1"/>
  <c r="F984" i="2"/>
  <c r="G984" i="2" s="1"/>
  <c r="I984" i="2" s="1"/>
  <c r="F983" i="2"/>
  <c r="G983" i="2" s="1"/>
  <c r="I983" i="2" s="1"/>
  <c r="F982" i="2"/>
  <c r="G982" i="2" s="1"/>
  <c r="I982" i="2" s="1"/>
  <c r="F981" i="2"/>
  <c r="G981" i="2" s="1"/>
  <c r="I981" i="2" s="1"/>
  <c r="F980" i="2"/>
  <c r="G980" i="2" s="1"/>
  <c r="I980" i="2" s="1"/>
  <c r="F979" i="2"/>
  <c r="G979" i="2" s="1"/>
  <c r="I979" i="2" s="1"/>
  <c r="F978" i="2"/>
  <c r="G978" i="2" s="1"/>
  <c r="I978" i="2" s="1"/>
  <c r="F977" i="2"/>
  <c r="G977" i="2" s="1"/>
  <c r="I977" i="2" s="1"/>
  <c r="F976" i="2"/>
  <c r="G976" i="2" s="1"/>
  <c r="I976" i="2" s="1"/>
  <c r="F975" i="2"/>
  <c r="G975" i="2" s="1"/>
  <c r="I975" i="2" s="1"/>
  <c r="F974" i="2"/>
  <c r="G974" i="2" s="1"/>
  <c r="I974" i="2" s="1"/>
  <c r="F973" i="2"/>
  <c r="G973" i="2" s="1"/>
  <c r="I973" i="2" s="1"/>
  <c r="F972" i="2"/>
  <c r="G972" i="2" s="1"/>
  <c r="I972" i="2" s="1"/>
  <c r="F971" i="2"/>
  <c r="G971" i="2" s="1"/>
  <c r="I971" i="2" s="1"/>
  <c r="F970" i="2"/>
  <c r="G970" i="2" s="1"/>
  <c r="I970" i="2" s="1"/>
  <c r="F969" i="2"/>
  <c r="G969" i="2" s="1"/>
  <c r="I969" i="2" s="1"/>
  <c r="F968" i="2"/>
  <c r="G968" i="2" s="1"/>
  <c r="I968" i="2" s="1"/>
  <c r="F967" i="2"/>
  <c r="G967" i="2" s="1"/>
  <c r="I967" i="2" s="1"/>
  <c r="F966" i="2"/>
  <c r="G966" i="2" s="1"/>
  <c r="I966" i="2" s="1"/>
  <c r="F965" i="2"/>
  <c r="G965" i="2" s="1"/>
  <c r="I965" i="2" s="1"/>
  <c r="F964" i="2"/>
  <c r="G964" i="2" s="1"/>
  <c r="I964" i="2" s="1"/>
  <c r="F963" i="2"/>
  <c r="G963" i="2" s="1"/>
  <c r="I963" i="2" s="1"/>
  <c r="F962" i="2"/>
  <c r="G962" i="2" s="1"/>
  <c r="I962" i="2" s="1"/>
  <c r="F961" i="2"/>
  <c r="G961" i="2" s="1"/>
  <c r="I961" i="2" s="1"/>
  <c r="F960" i="2"/>
  <c r="G960" i="2" s="1"/>
  <c r="I960" i="2" s="1"/>
  <c r="F959" i="2"/>
  <c r="G959" i="2" s="1"/>
  <c r="I959" i="2" s="1"/>
  <c r="F958" i="2"/>
  <c r="G958" i="2" s="1"/>
  <c r="I958" i="2" s="1"/>
  <c r="F957" i="2"/>
  <c r="G957" i="2" s="1"/>
  <c r="I957" i="2" s="1"/>
  <c r="F956" i="2"/>
  <c r="G956" i="2" s="1"/>
  <c r="I956" i="2" s="1"/>
  <c r="F955" i="2"/>
  <c r="G955" i="2" s="1"/>
  <c r="I955" i="2" s="1"/>
  <c r="F954" i="2"/>
  <c r="G954" i="2" s="1"/>
  <c r="I954" i="2" s="1"/>
  <c r="F953" i="2"/>
  <c r="G953" i="2" s="1"/>
  <c r="I953" i="2" s="1"/>
  <c r="F952" i="2"/>
  <c r="G952" i="2" s="1"/>
  <c r="I952" i="2" s="1"/>
  <c r="F951" i="2"/>
  <c r="G951" i="2" s="1"/>
  <c r="I951" i="2" s="1"/>
  <c r="F950" i="2"/>
  <c r="G950" i="2" s="1"/>
  <c r="I950" i="2" s="1"/>
  <c r="F949" i="2"/>
  <c r="G949" i="2" s="1"/>
  <c r="I949" i="2" s="1"/>
  <c r="F948" i="2"/>
  <c r="G948" i="2" s="1"/>
  <c r="I948" i="2" s="1"/>
  <c r="F947" i="2"/>
  <c r="G947" i="2" s="1"/>
  <c r="I947" i="2" s="1"/>
  <c r="F946" i="2"/>
  <c r="G946" i="2" s="1"/>
  <c r="I946" i="2" s="1"/>
  <c r="F945" i="2"/>
  <c r="G945" i="2" s="1"/>
  <c r="I945" i="2" s="1"/>
  <c r="F944" i="2"/>
  <c r="G944" i="2" s="1"/>
  <c r="I944" i="2" s="1"/>
  <c r="F943" i="2"/>
  <c r="G943" i="2" s="1"/>
  <c r="I943" i="2" s="1"/>
  <c r="I942" i="2"/>
  <c r="F941" i="2"/>
  <c r="G941" i="2" s="1"/>
  <c r="I941" i="2" s="1"/>
  <c r="I940" i="2"/>
  <c r="F939" i="2"/>
  <c r="G939" i="2" s="1"/>
  <c r="I939" i="2" s="1"/>
  <c r="F938" i="2"/>
  <c r="G938" i="2" s="1"/>
  <c r="I938" i="2" s="1"/>
  <c r="F937" i="2"/>
  <c r="G937" i="2" s="1"/>
  <c r="I937" i="2" s="1"/>
  <c r="F936" i="2"/>
  <c r="G936" i="2" s="1"/>
  <c r="I936" i="2" s="1"/>
  <c r="F935" i="2"/>
  <c r="G935" i="2" s="1"/>
  <c r="I935" i="2" s="1"/>
  <c r="F934" i="2"/>
  <c r="G934" i="2" s="1"/>
  <c r="I934" i="2" s="1"/>
  <c r="F933" i="2"/>
  <c r="G933" i="2" s="1"/>
  <c r="I933" i="2" s="1"/>
  <c r="F932" i="2"/>
  <c r="G932" i="2" s="1"/>
  <c r="I932" i="2" s="1"/>
  <c r="F931" i="2"/>
  <c r="G931" i="2" s="1"/>
  <c r="I931" i="2" s="1"/>
  <c r="F930" i="2"/>
  <c r="G930" i="2" s="1"/>
  <c r="I930" i="2" s="1"/>
  <c r="F929" i="2"/>
  <c r="G929" i="2" s="1"/>
  <c r="I929" i="2" s="1"/>
  <c r="F928" i="2"/>
  <c r="G928" i="2" s="1"/>
  <c r="I928" i="2" s="1"/>
  <c r="F927" i="2"/>
  <c r="G927" i="2" s="1"/>
  <c r="I927" i="2" s="1"/>
  <c r="F926" i="2"/>
  <c r="G926" i="2" s="1"/>
  <c r="I926" i="2" s="1"/>
  <c r="F925" i="2"/>
  <c r="G925" i="2" s="1"/>
  <c r="I925" i="2" s="1"/>
  <c r="F924" i="2"/>
  <c r="G924" i="2" s="1"/>
  <c r="I924" i="2" s="1"/>
  <c r="F923" i="2"/>
  <c r="G923" i="2" s="1"/>
  <c r="I923" i="2" s="1"/>
  <c r="F922" i="2"/>
  <c r="G922" i="2" s="1"/>
  <c r="I922" i="2" s="1"/>
  <c r="F921" i="2"/>
  <c r="G921" i="2" s="1"/>
  <c r="I921" i="2" s="1"/>
  <c r="I920" i="2"/>
  <c r="F919" i="2"/>
  <c r="G919" i="2" s="1"/>
  <c r="I919" i="2" s="1"/>
  <c r="I918" i="2"/>
  <c r="F917" i="2"/>
  <c r="G917" i="2" s="1"/>
  <c r="I917" i="2" s="1"/>
  <c r="F916" i="2"/>
  <c r="G916" i="2" s="1"/>
  <c r="I916" i="2" s="1"/>
  <c r="I915" i="2"/>
  <c r="F914" i="2"/>
  <c r="G914" i="2" s="1"/>
  <c r="I914" i="2" s="1"/>
  <c r="F913" i="2"/>
  <c r="G913" i="2" s="1"/>
  <c r="I913" i="2" s="1"/>
  <c r="F912" i="2"/>
  <c r="G912" i="2" s="1"/>
  <c r="I912" i="2" s="1"/>
  <c r="F911" i="2"/>
  <c r="G911" i="2" s="1"/>
  <c r="I911" i="2" s="1"/>
  <c r="F910" i="2"/>
  <c r="G910" i="2" s="1"/>
  <c r="I910" i="2" s="1"/>
  <c r="F909" i="2"/>
  <c r="G909" i="2" s="1"/>
  <c r="I909" i="2" s="1"/>
  <c r="F908" i="2"/>
  <c r="G908" i="2" s="1"/>
  <c r="I908" i="2" s="1"/>
  <c r="F907" i="2"/>
  <c r="G907" i="2" s="1"/>
  <c r="I907" i="2" s="1"/>
  <c r="F906" i="2"/>
  <c r="G906" i="2" s="1"/>
  <c r="I906" i="2" s="1"/>
  <c r="F905" i="2"/>
  <c r="G905" i="2" s="1"/>
  <c r="I905" i="2" s="1"/>
  <c r="F904" i="2"/>
  <c r="G904" i="2" s="1"/>
  <c r="I904" i="2" s="1"/>
  <c r="F903" i="2"/>
  <c r="G903" i="2" s="1"/>
  <c r="I903" i="2" s="1"/>
  <c r="F902" i="2"/>
  <c r="G902" i="2" s="1"/>
  <c r="I902" i="2" s="1"/>
  <c r="F901" i="2"/>
  <c r="G901" i="2" s="1"/>
  <c r="I901" i="2" s="1"/>
  <c r="F900" i="2"/>
  <c r="G900" i="2" s="1"/>
  <c r="I900" i="2" s="1"/>
  <c r="F899" i="2"/>
  <c r="G899" i="2" s="1"/>
  <c r="I899" i="2" s="1"/>
  <c r="F898" i="2"/>
  <c r="G898" i="2" s="1"/>
  <c r="I898" i="2" s="1"/>
  <c r="I897" i="2"/>
  <c r="F896" i="2"/>
  <c r="G896" i="2" s="1"/>
  <c r="I896" i="2" s="1"/>
  <c r="F895" i="2"/>
  <c r="G895" i="2" s="1"/>
  <c r="I895" i="2" s="1"/>
  <c r="F894" i="2"/>
  <c r="G894" i="2" s="1"/>
  <c r="I894" i="2" s="1"/>
  <c r="F893" i="2"/>
  <c r="G893" i="2" s="1"/>
  <c r="I893" i="2" s="1"/>
  <c r="F892" i="2"/>
  <c r="G892" i="2" s="1"/>
  <c r="I892" i="2" s="1"/>
  <c r="F891" i="2"/>
  <c r="G891" i="2" s="1"/>
  <c r="I891" i="2" s="1"/>
  <c r="F890" i="2"/>
  <c r="G890" i="2" s="1"/>
  <c r="I890" i="2" s="1"/>
  <c r="F889" i="2"/>
  <c r="G889" i="2" s="1"/>
  <c r="I889" i="2" s="1"/>
  <c r="F888" i="2"/>
  <c r="G888" i="2" s="1"/>
  <c r="I888" i="2" s="1"/>
  <c r="F887" i="2"/>
  <c r="G887" i="2" s="1"/>
  <c r="I887" i="2" s="1"/>
  <c r="F886" i="2"/>
  <c r="G886" i="2" s="1"/>
  <c r="I886" i="2" s="1"/>
  <c r="F885" i="2"/>
  <c r="G885" i="2" s="1"/>
  <c r="I885" i="2" s="1"/>
  <c r="F884" i="2"/>
  <c r="G884" i="2" s="1"/>
  <c r="I884" i="2" s="1"/>
  <c r="F883" i="2"/>
  <c r="G883" i="2" s="1"/>
  <c r="I883" i="2" s="1"/>
  <c r="F882" i="2"/>
  <c r="G882" i="2" s="1"/>
  <c r="I882" i="2" s="1"/>
  <c r="F881" i="2"/>
  <c r="G881" i="2" s="1"/>
  <c r="I881" i="2" s="1"/>
  <c r="F880" i="2"/>
  <c r="G880" i="2" s="1"/>
  <c r="I880" i="2" s="1"/>
  <c r="F879" i="2"/>
  <c r="G879" i="2" s="1"/>
  <c r="I879" i="2" s="1"/>
  <c r="F878" i="2"/>
  <c r="G878" i="2" s="1"/>
  <c r="I878" i="2" s="1"/>
  <c r="F877" i="2"/>
  <c r="G877" i="2" s="1"/>
  <c r="I877" i="2" s="1"/>
  <c r="F876" i="2"/>
  <c r="G876" i="2" s="1"/>
  <c r="I876" i="2" s="1"/>
  <c r="F875" i="2"/>
  <c r="G875" i="2" s="1"/>
  <c r="I875" i="2" s="1"/>
  <c r="F874" i="2"/>
  <c r="G874" i="2" s="1"/>
  <c r="I874" i="2" s="1"/>
  <c r="F873" i="2"/>
  <c r="G873" i="2" s="1"/>
  <c r="I873" i="2" s="1"/>
  <c r="F872" i="2"/>
  <c r="G872" i="2" s="1"/>
  <c r="I872" i="2" s="1"/>
  <c r="F871" i="2"/>
  <c r="G871" i="2" s="1"/>
  <c r="I871" i="2" s="1"/>
  <c r="F870" i="2"/>
  <c r="G870" i="2" s="1"/>
  <c r="I870" i="2" s="1"/>
  <c r="F869" i="2"/>
  <c r="G869" i="2" s="1"/>
  <c r="I869" i="2" s="1"/>
  <c r="F868" i="2"/>
  <c r="G868" i="2" s="1"/>
  <c r="I868" i="2" s="1"/>
  <c r="F867" i="2"/>
  <c r="G867" i="2" s="1"/>
  <c r="I867" i="2" s="1"/>
  <c r="F866" i="2"/>
  <c r="G866" i="2" s="1"/>
  <c r="I866" i="2" s="1"/>
  <c r="F865" i="2"/>
  <c r="G865" i="2" s="1"/>
  <c r="I865" i="2" s="1"/>
  <c r="F864" i="2"/>
  <c r="G864" i="2" s="1"/>
  <c r="I864" i="2" s="1"/>
  <c r="F863" i="2"/>
  <c r="G863" i="2" s="1"/>
  <c r="I863" i="2" s="1"/>
  <c r="F862" i="2"/>
  <c r="G862" i="2" s="1"/>
  <c r="I862" i="2" s="1"/>
  <c r="F861" i="2"/>
  <c r="G861" i="2" s="1"/>
  <c r="I861" i="2" s="1"/>
  <c r="F860" i="2"/>
  <c r="G860" i="2" s="1"/>
  <c r="I860" i="2" s="1"/>
  <c r="F859" i="2"/>
  <c r="G859" i="2" s="1"/>
  <c r="I859" i="2" s="1"/>
  <c r="F858" i="2"/>
  <c r="G858" i="2" s="1"/>
  <c r="I858" i="2" s="1"/>
  <c r="F857" i="2"/>
  <c r="G857" i="2" s="1"/>
  <c r="I857" i="2" s="1"/>
  <c r="F856" i="2"/>
  <c r="G856" i="2" s="1"/>
  <c r="I856" i="2" s="1"/>
  <c r="F855" i="2"/>
  <c r="G855" i="2" s="1"/>
  <c r="I855" i="2" s="1"/>
  <c r="F854" i="2"/>
  <c r="G854" i="2" s="1"/>
  <c r="I854" i="2" s="1"/>
  <c r="F853" i="2"/>
  <c r="G853" i="2" s="1"/>
  <c r="I853" i="2" s="1"/>
  <c r="F852" i="2"/>
  <c r="G852" i="2" s="1"/>
  <c r="I852" i="2" s="1"/>
  <c r="F851" i="2"/>
  <c r="G851" i="2" s="1"/>
  <c r="I851" i="2" s="1"/>
  <c r="F850" i="2"/>
  <c r="G850" i="2" s="1"/>
  <c r="I850" i="2" s="1"/>
  <c r="F849" i="2"/>
  <c r="G849" i="2" s="1"/>
  <c r="I849" i="2" s="1"/>
  <c r="F848" i="2"/>
  <c r="G848" i="2" s="1"/>
  <c r="I848" i="2" s="1"/>
  <c r="F847" i="2"/>
  <c r="G847" i="2" s="1"/>
  <c r="I847" i="2" s="1"/>
  <c r="F846" i="2"/>
  <c r="G846" i="2" s="1"/>
  <c r="I846" i="2" s="1"/>
  <c r="F845" i="2"/>
  <c r="G845" i="2" s="1"/>
  <c r="I845" i="2" s="1"/>
  <c r="F844" i="2"/>
  <c r="G844" i="2" s="1"/>
  <c r="I844" i="2" s="1"/>
  <c r="F843" i="2"/>
  <c r="G843" i="2" s="1"/>
  <c r="I843" i="2" s="1"/>
  <c r="F842" i="2"/>
  <c r="G842" i="2" s="1"/>
  <c r="I842" i="2" s="1"/>
  <c r="F841" i="2"/>
  <c r="G841" i="2" s="1"/>
  <c r="I841" i="2" s="1"/>
  <c r="I840" i="2"/>
  <c r="F839" i="2"/>
  <c r="G839" i="2" s="1"/>
  <c r="I839" i="2" s="1"/>
  <c r="F838" i="2"/>
  <c r="G838" i="2" s="1"/>
  <c r="I838" i="2" s="1"/>
  <c r="F837" i="2"/>
  <c r="G837" i="2" s="1"/>
  <c r="I837" i="2" s="1"/>
  <c r="F836" i="2"/>
  <c r="G836" i="2" s="1"/>
  <c r="I836" i="2" s="1"/>
  <c r="F835" i="2"/>
  <c r="G835" i="2" s="1"/>
  <c r="I835" i="2" s="1"/>
  <c r="F834" i="2"/>
  <c r="G834" i="2" s="1"/>
  <c r="I834" i="2" s="1"/>
  <c r="F833" i="2"/>
  <c r="G833" i="2" s="1"/>
  <c r="I833" i="2" s="1"/>
  <c r="F832" i="2"/>
  <c r="G832" i="2" s="1"/>
  <c r="I832" i="2" s="1"/>
  <c r="F831" i="2"/>
  <c r="G831" i="2" s="1"/>
  <c r="I831" i="2" s="1"/>
  <c r="F830" i="2"/>
  <c r="G830" i="2" s="1"/>
  <c r="I830" i="2" s="1"/>
  <c r="F829" i="2"/>
  <c r="G829" i="2" s="1"/>
  <c r="I829" i="2" s="1"/>
  <c r="I828" i="2"/>
  <c r="F827" i="2"/>
  <c r="G827" i="2" s="1"/>
  <c r="I827" i="2" s="1"/>
  <c r="F826" i="2"/>
  <c r="G826" i="2" s="1"/>
  <c r="I826" i="2" s="1"/>
  <c r="F825" i="2"/>
  <c r="G825" i="2" s="1"/>
  <c r="I825" i="2" s="1"/>
  <c r="F824" i="2"/>
  <c r="G824" i="2" s="1"/>
  <c r="I824" i="2" s="1"/>
  <c r="F823" i="2"/>
  <c r="G823" i="2" s="1"/>
  <c r="I823" i="2" s="1"/>
  <c r="F822" i="2"/>
  <c r="G822" i="2" s="1"/>
  <c r="I822" i="2" s="1"/>
  <c r="F821" i="2"/>
  <c r="G821" i="2" s="1"/>
  <c r="I821" i="2" s="1"/>
  <c r="F820" i="2"/>
  <c r="G820" i="2" s="1"/>
  <c r="I820" i="2" s="1"/>
  <c r="F819" i="2"/>
  <c r="G819" i="2" s="1"/>
  <c r="I819" i="2" s="1"/>
  <c r="F818" i="2"/>
  <c r="G818" i="2" s="1"/>
  <c r="I818" i="2" s="1"/>
  <c r="F817" i="2"/>
  <c r="G817" i="2" s="1"/>
  <c r="I817" i="2" s="1"/>
  <c r="F816" i="2"/>
  <c r="G816" i="2" s="1"/>
  <c r="I816" i="2" s="1"/>
  <c r="F815" i="2"/>
  <c r="G815" i="2" s="1"/>
  <c r="I815" i="2" s="1"/>
  <c r="F814" i="2"/>
  <c r="G814" i="2" s="1"/>
  <c r="I814" i="2" s="1"/>
  <c r="F813" i="2"/>
  <c r="G813" i="2" s="1"/>
  <c r="I813" i="2" s="1"/>
  <c r="F812" i="2"/>
  <c r="G812" i="2" s="1"/>
  <c r="I812" i="2" s="1"/>
  <c r="F811" i="2"/>
  <c r="G811" i="2" s="1"/>
  <c r="I811" i="2" s="1"/>
  <c r="F810" i="2"/>
  <c r="G810" i="2" s="1"/>
  <c r="I810" i="2" s="1"/>
  <c r="F809" i="2"/>
  <c r="G809" i="2" s="1"/>
  <c r="I809" i="2" s="1"/>
  <c r="F808" i="2"/>
  <c r="G808" i="2" s="1"/>
  <c r="I808" i="2" s="1"/>
  <c r="F807" i="2"/>
  <c r="G807" i="2" s="1"/>
  <c r="I807" i="2" s="1"/>
  <c r="F806" i="2"/>
  <c r="G806" i="2" s="1"/>
  <c r="I806" i="2" s="1"/>
  <c r="F805" i="2"/>
  <c r="G805" i="2" s="1"/>
  <c r="I805" i="2" s="1"/>
  <c r="F804" i="2"/>
  <c r="G804" i="2" s="1"/>
  <c r="I804" i="2" s="1"/>
  <c r="F803" i="2"/>
  <c r="G803" i="2" s="1"/>
  <c r="I803" i="2" s="1"/>
  <c r="F802" i="2"/>
  <c r="G802" i="2" s="1"/>
  <c r="I802" i="2" s="1"/>
  <c r="F801" i="2"/>
  <c r="G801" i="2" s="1"/>
  <c r="I801" i="2" s="1"/>
  <c r="I800" i="2"/>
  <c r="F799" i="2"/>
  <c r="G799" i="2" s="1"/>
  <c r="I799" i="2" s="1"/>
  <c r="F798" i="2"/>
  <c r="G798" i="2" s="1"/>
  <c r="I798" i="2" s="1"/>
  <c r="F797" i="2"/>
  <c r="G797" i="2" s="1"/>
  <c r="I797" i="2" s="1"/>
  <c r="F796" i="2"/>
  <c r="G796" i="2" s="1"/>
  <c r="I796" i="2" s="1"/>
  <c r="F795" i="2"/>
  <c r="G795" i="2" s="1"/>
  <c r="I795" i="2" s="1"/>
  <c r="I794" i="2"/>
  <c r="F793" i="2"/>
  <c r="I791" i="2"/>
  <c r="F790" i="2"/>
  <c r="G790" i="2" s="1"/>
  <c r="I790" i="2" s="1"/>
  <c r="F789" i="2"/>
  <c r="G789" i="2" s="1"/>
  <c r="I789" i="2" s="1"/>
  <c r="F788" i="2"/>
  <c r="G788" i="2" s="1"/>
  <c r="I788" i="2" s="1"/>
  <c r="F787" i="2"/>
  <c r="G787" i="2" s="1"/>
  <c r="I787" i="2" s="1"/>
  <c r="F786" i="2"/>
  <c r="G786" i="2" s="1"/>
  <c r="I786" i="2" s="1"/>
  <c r="F785" i="2"/>
  <c r="G785" i="2" s="1"/>
  <c r="I785" i="2" s="1"/>
  <c r="F784" i="2"/>
  <c r="G784" i="2" s="1"/>
  <c r="I784" i="2" s="1"/>
  <c r="F783" i="2"/>
  <c r="G783" i="2" s="1"/>
  <c r="I783" i="2" s="1"/>
  <c r="F782" i="2"/>
  <c r="G782" i="2" s="1"/>
  <c r="I782" i="2" s="1"/>
  <c r="F781" i="2"/>
  <c r="G781" i="2" s="1"/>
  <c r="I781" i="2" s="1"/>
  <c r="F780" i="2"/>
  <c r="G780" i="2" s="1"/>
  <c r="I780" i="2" s="1"/>
  <c r="F779" i="2"/>
  <c r="G779" i="2" s="1"/>
  <c r="I779" i="2" s="1"/>
  <c r="F778" i="2"/>
  <c r="G778" i="2" s="1"/>
  <c r="I778" i="2" s="1"/>
  <c r="F777" i="2"/>
  <c r="G777" i="2" s="1"/>
  <c r="I777" i="2" s="1"/>
  <c r="F776" i="2"/>
  <c r="G776" i="2" s="1"/>
  <c r="I776" i="2" s="1"/>
  <c r="F775" i="2"/>
  <c r="G775" i="2" s="1"/>
  <c r="I775" i="2" s="1"/>
  <c r="F774" i="2"/>
  <c r="G774" i="2" s="1"/>
  <c r="I774" i="2" s="1"/>
  <c r="F773" i="2"/>
  <c r="G773" i="2" s="1"/>
  <c r="I773" i="2" s="1"/>
  <c r="F772" i="2"/>
  <c r="G772" i="2" s="1"/>
  <c r="I772" i="2" s="1"/>
  <c r="F771" i="2"/>
  <c r="G771" i="2" s="1"/>
  <c r="I771" i="2" s="1"/>
  <c r="F770" i="2"/>
  <c r="G770" i="2" s="1"/>
  <c r="I770" i="2" s="1"/>
  <c r="F769" i="2"/>
  <c r="G769" i="2" s="1"/>
  <c r="I769" i="2" s="1"/>
  <c r="F768" i="2"/>
  <c r="G768" i="2" s="1"/>
  <c r="I768" i="2" s="1"/>
  <c r="F767" i="2"/>
  <c r="G767" i="2" s="1"/>
  <c r="I767" i="2" s="1"/>
  <c r="F766" i="2"/>
  <c r="G766" i="2" s="1"/>
  <c r="I766" i="2" s="1"/>
  <c r="F765" i="2"/>
  <c r="G765" i="2" s="1"/>
  <c r="I765" i="2" s="1"/>
  <c r="F764" i="2"/>
  <c r="G764" i="2" s="1"/>
  <c r="I764" i="2" s="1"/>
  <c r="F763" i="2"/>
  <c r="G763" i="2" s="1"/>
  <c r="I763" i="2" s="1"/>
  <c r="F762" i="2"/>
  <c r="G762" i="2" s="1"/>
  <c r="I762" i="2" s="1"/>
  <c r="F761" i="2"/>
  <c r="G761" i="2" s="1"/>
  <c r="I761" i="2" s="1"/>
  <c r="F760" i="2"/>
  <c r="G760" i="2" s="1"/>
  <c r="I760" i="2" s="1"/>
  <c r="F759" i="2"/>
  <c r="G759" i="2" s="1"/>
  <c r="I759" i="2" s="1"/>
  <c r="F758" i="2"/>
  <c r="G758" i="2" s="1"/>
  <c r="I758" i="2" s="1"/>
  <c r="F757" i="2"/>
  <c r="G757" i="2" s="1"/>
  <c r="I757" i="2" s="1"/>
  <c r="F756" i="2"/>
  <c r="G756" i="2" s="1"/>
  <c r="I756" i="2" s="1"/>
  <c r="F755" i="2"/>
  <c r="G755" i="2" s="1"/>
  <c r="I755" i="2" s="1"/>
  <c r="F754" i="2"/>
  <c r="G754" i="2" s="1"/>
  <c r="I754" i="2" s="1"/>
  <c r="F753" i="2"/>
  <c r="G753" i="2" s="1"/>
  <c r="I753" i="2" s="1"/>
  <c r="F752" i="2"/>
  <c r="G752" i="2" s="1"/>
  <c r="I752" i="2" s="1"/>
  <c r="F751" i="2"/>
  <c r="G751" i="2" s="1"/>
  <c r="I751" i="2" s="1"/>
  <c r="F750" i="2"/>
  <c r="G750" i="2" s="1"/>
  <c r="I750" i="2" s="1"/>
  <c r="F749" i="2"/>
  <c r="G749" i="2" s="1"/>
  <c r="I749" i="2" s="1"/>
  <c r="F748" i="2"/>
  <c r="G748" i="2" s="1"/>
  <c r="I748" i="2" s="1"/>
  <c r="F747" i="2"/>
  <c r="G747" i="2" s="1"/>
  <c r="I747" i="2" s="1"/>
  <c r="F746" i="2"/>
  <c r="G746" i="2" s="1"/>
  <c r="I746" i="2" s="1"/>
  <c r="F745" i="2"/>
  <c r="G745" i="2" s="1"/>
  <c r="I745" i="2" s="1"/>
  <c r="F744" i="2"/>
  <c r="G744" i="2" s="1"/>
  <c r="I744" i="2" s="1"/>
  <c r="F743" i="2"/>
  <c r="G743" i="2" s="1"/>
  <c r="I743" i="2" s="1"/>
  <c r="F742" i="2"/>
  <c r="G742" i="2" s="1"/>
  <c r="I742" i="2" s="1"/>
  <c r="F741" i="2"/>
  <c r="G741" i="2" s="1"/>
  <c r="I741" i="2" s="1"/>
  <c r="F740" i="2"/>
  <c r="G740" i="2" s="1"/>
  <c r="I740" i="2" s="1"/>
  <c r="F739" i="2"/>
  <c r="G739" i="2" s="1"/>
  <c r="I739" i="2" s="1"/>
  <c r="F738" i="2"/>
  <c r="G738" i="2" s="1"/>
  <c r="I738" i="2" s="1"/>
  <c r="F737" i="2"/>
  <c r="G737" i="2" s="1"/>
  <c r="I737" i="2" s="1"/>
  <c r="F736" i="2"/>
  <c r="G736" i="2" s="1"/>
  <c r="I736" i="2" s="1"/>
  <c r="F735" i="2"/>
  <c r="G735" i="2" s="1"/>
  <c r="I735" i="2" s="1"/>
  <c r="F734" i="2"/>
  <c r="G734" i="2" s="1"/>
  <c r="I734" i="2" s="1"/>
  <c r="F733" i="2"/>
  <c r="G733" i="2" s="1"/>
  <c r="I733" i="2" s="1"/>
  <c r="F732" i="2"/>
  <c r="G732" i="2" s="1"/>
  <c r="I732" i="2" s="1"/>
  <c r="F731" i="2"/>
  <c r="G731" i="2" s="1"/>
  <c r="I731" i="2" s="1"/>
  <c r="F730" i="2"/>
  <c r="G730" i="2" s="1"/>
  <c r="I730" i="2" s="1"/>
  <c r="F729" i="2"/>
  <c r="G729" i="2" s="1"/>
  <c r="I729" i="2" s="1"/>
  <c r="F728" i="2"/>
  <c r="G728" i="2" s="1"/>
  <c r="I728" i="2" s="1"/>
  <c r="F727" i="2"/>
  <c r="G727" i="2" s="1"/>
  <c r="I727" i="2" s="1"/>
  <c r="F726" i="2"/>
  <c r="G726" i="2" s="1"/>
  <c r="I726" i="2" s="1"/>
  <c r="F725" i="2"/>
  <c r="G725" i="2" s="1"/>
  <c r="I725" i="2" s="1"/>
  <c r="F724" i="2"/>
  <c r="G724" i="2" s="1"/>
  <c r="I724" i="2" s="1"/>
  <c r="F723" i="2"/>
  <c r="G723" i="2" s="1"/>
  <c r="I723" i="2" s="1"/>
  <c r="F722" i="2"/>
  <c r="G722" i="2" s="1"/>
  <c r="I722" i="2" s="1"/>
  <c r="F721" i="2"/>
  <c r="G721" i="2" s="1"/>
  <c r="I721" i="2" s="1"/>
  <c r="F720" i="2"/>
  <c r="G720" i="2" s="1"/>
  <c r="I720" i="2" s="1"/>
  <c r="F719" i="2"/>
  <c r="G719" i="2" s="1"/>
  <c r="I719" i="2" s="1"/>
  <c r="F718" i="2"/>
  <c r="G718" i="2" s="1"/>
  <c r="I718" i="2" s="1"/>
  <c r="F717" i="2"/>
  <c r="G717" i="2" s="1"/>
  <c r="I717" i="2" s="1"/>
  <c r="F716" i="2"/>
  <c r="G716" i="2" s="1"/>
  <c r="I716" i="2" s="1"/>
  <c r="F715" i="2"/>
  <c r="G715" i="2" s="1"/>
  <c r="I715" i="2" s="1"/>
  <c r="F714" i="2"/>
  <c r="G714" i="2" s="1"/>
  <c r="I714" i="2" s="1"/>
  <c r="F713" i="2"/>
  <c r="G713" i="2" s="1"/>
  <c r="I713" i="2" s="1"/>
  <c r="F712" i="2"/>
  <c r="G712" i="2" s="1"/>
  <c r="I712" i="2" s="1"/>
  <c r="F711" i="2"/>
  <c r="G711" i="2" s="1"/>
  <c r="I711" i="2" s="1"/>
  <c r="F710" i="2"/>
  <c r="G710" i="2" s="1"/>
  <c r="I710" i="2" s="1"/>
  <c r="F709" i="2"/>
  <c r="G709" i="2" s="1"/>
  <c r="I709" i="2" s="1"/>
  <c r="F708" i="2"/>
  <c r="G708" i="2" s="1"/>
  <c r="I708" i="2" s="1"/>
  <c r="F707" i="2"/>
  <c r="G707" i="2" s="1"/>
  <c r="I707" i="2" s="1"/>
  <c r="F706" i="2"/>
  <c r="G706" i="2" s="1"/>
  <c r="I706" i="2" s="1"/>
  <c r="F705" i="2"/>
  <c r="G705" i="2" s="1"/>
  <c r="I705" i="2" s="1"/>
  <c r="F704" i="2"/>
  <c r="G704" i="2" s="1"/>
  <c r="I704" i="2" s="1"/>
  <c r="F703" i="2"/>
  <c r="G703" i="2" s="1"/>
  <c r="I703" i="2" s="1"/>
  <c r="F702" i="2"/>
  <c r="G702" i="2" s="1"/>
  <c r="I702" i="2" s="1"/>
  <c r="F701" i="2"/>
  <c r="G701" i="2" s="1"/>
  <c r="I701" i="2" s="1"/>
  <c r="F700" i="2"/>
  <c r="G700" i="2" s="1"/>
  <c r="I700" i="2" s="1"/>
  <c r="F699" i="2"/>
  <c r="G699" i="2" s="1"/>
  <c r="I699" i="2" s="1"/>
  <c r="F698" i="2"/>
  <c r="G698" i="2" s="1"/>
  <c r="I698" i="2" s="1"/>
  <c r="F697" i="2"/>
  <c r="G697" i="2" s="1"/>
  <c r="I697" i="2" s="1"/>
  <c r="F696" i="2"/>
  <c r="G696" i="2" s="1"/>
  <c r="I696" i="2" s="1"/>
  <c r="F695" i="2"/>
  <c r="G695" i="2" s="1"/>
  <c r="I695" i="2" s="1"/>
  <c r="F694" i="2"/>
  <c r="G694" i="2" s="1"/>
  <c r="I694" i="2" s="1"/>
  <c r="F693" i="2"/>
  <c r="G693" i="2" s="1"/>
  <c r="I693" i="2" s="1"/>
  <c r="F692" i="2"/>
  <c r="G692" i="2" s="1"/>
  <c r="I692" i="2" s="1"/>
  <c r="F691" i="2"/>
  <c r="G691" i="2" s="1"/>
  <c r="I691" i="2" s="1"/>
  <c r="F690" i="2"/>
  <c r="G690" i="2" s="1"/>
  <c r="I690" i="2" s="1"/>
  <c r="F689" i="2"/>
  <c r="G689" i="2" s="1"/>
  <c r="I689" i="2" s="1"/>
  <c r="F688" i="2"/>
  <c r="G688" i="2" s="1"/>
  <c r="I688" i="2" s="1"/>
  <c r="F687" i="2"/>
  <c r="G687" i="2" s="1"/>
  <c r="I687" i="2" s="1"/>
  <c r="F686" i="2"/>
  <c r="G686" i="2" s="1"/>
  <c r="I686" i="2" s="1"/>
  <c r="F685" i="2"/>
  <c r="G685" i="2" s="1"/>
  <c r="I685" i="2" s="1"/>
  <c r="F684" i="2"/>
  <c r="G684" i="2" s="1"/>
  <c r="I684" i="2" s="1"/>
  <c r="F683" i="2"/>
  <c r="G683" i="2" s="1"/>
  <c r="I683" i="2" s="1"/>
  <c r="F682" i="2"/>
  <c r="G682" i="2" s="1"/>
  <c r="I682" i="2" s="1"/>
  <c r="F681" i="2"/>
  <c r="G681" i="2" s="1"/>
  <c r="I681" i="2" s="1"/>
  <c r="F680" i="2"/>
  <c r="G680" i="2" s="1"/>
  <c r="I680" i="2" s="1"/>
  <c r="F679" i="2"/>
  <c r="G679" i="2" s="1"/>
  <c r="I679" i="2" s="1"/>
  <c r="F678" i="2"/>
  <c r="G678" i="2" s="1"/>
  <c r="I678" i="2" s="1"/>
  <c r="F677" i="2"/>
  <c r="G677" i="2" s="1"/>
  <c r="I677" i="2" s="1"/>
  <c r="F676" i="2"/>
  <c r="G676" i="2" s="1"/>
  <c r="I676" i="2" s="1"/>
  <c r="F675" i="2"/>
  <c r="G675" i="2" s="1"/>
  <c r="I675" i="2" s="1"/>
  <c r="F674" i="2"/>
  <c r="G674" i="2" s="1"/>
  <c r="I674" i="2" s="1"/>
  <c r="F673" i="2"/>
  <c r="G673" i="2" s="1"/>
  <c r="I673" i="2" s="1"/>
  <c r="F672" i="2"/>
  <c r="G672" i="2" s="1"/>
  <c r="I672" i="2" s="1"/>
  <c r="F671" i="2"/>
  <c r="G671" i="2" s="1"/>
  <c r="I671" i="2" s="1"/>
  <c r="F670" i="2"/>
  <c r="G670" i="2" s="1"/>
  <c r="I670" i="2" s="1"/>
  <c r="F669" i="2"/>
  <c r="G669" i="2" s="1"/>
  <c r="I669" i="2" s="1"/>
  <c r="F668" i="2"/>
  <c r="G668" i="2" s="1"/>
  <c r="I668" i="2" s="1"/>
  <c r="F667" i="2"/>
  <c r="G667" i="2" s="1"/>
  <c r="I667" i="2" s="1"/>
  <c r="F666" i="2"/>
  <c r="G666" i="2" s="1"/>
  <c r="I666" i="2" s="1"/>
  <c r="F665" i="2"/>
  <c r="G665" i="2" s="1"/>
  <c r="I665" i="2" s="1"/>
  <c r="F664" i="2"/>
  <c r="G664" i="2" s="1"/>
  <c r="I664" i="2" s="1"/>
  <c r="F663" i="2"/>
  <c r="G663" i="2" s="1"/>
  <c r="I663" i="2" s="1"/>
  <c r="F662" i="2"/>
  <c r="G662" i="2" s="1"/>
  <c r="I662" i="2" s="1"/>
  <c r="F661" i="2"/>
  <c r="G661" i="2" s="1"/>
  <c r="I661" i="2" s="1"/>
  <c r="F660" i="2"/>
  <c r="G660" i="2" s="1"/>
  <c r="I660" i="2" s="1"/>
  <c r="F659" i="2"/>
  <c r="G659" i="2" s="1"/>
  <c r="I659" i="2" s="1"/>
  <c r="F658" i="2"/>
  <c r="G658" i="2" s="1"/>
  <c r="I658" i="2" s="1"/>
  <c r="F657" i="2"/>
  <c r="G657" i="2" s="1"/>
  <c r="I657" i="2" s="1"/>
  <c r="F656" i="2"/>
  <c r="G656" i="2" s="1"/>
  <c r="I656" i="2" s="1"/>
  <c r="F655" i="2"/>
  <c r="G655" i="2" s="1"/>
  <c r="I655" i="2" s="1"/>
  <c r="F654" i="2"/>
  <c r="G654" i="2" s="1"/>
  <c r="I654" i="2" s="1"/>
  <c r="F653" i="2"/>
  <c r="G653" i="2" s="1"/>
  <c r="I653" i="2" s="1"/>
  <c r="F652" i="2"/>
  <c r="G652" i="2" s="1"/>
  <c r="I652" i="2" s="1"/>
  <c r="F651" i="2"/>
  <c r="G651" i="2" s="1"/>
  <c r="I651" i="2" s="1"/>
  <c r="F650" i="2"/>
  <c r="G650" i="2" s="1"/>
  <c r="I650" i="2" s="1"/>
  <c r="F649" i="2"/>
  <c r="G649" i="2" s="1"/>
  <c r="I649" i="2" s="1"/>
  <c r="F648" i="2"/>
  <c r="G648" i="2" s="1"/>
  <c r="I648" i="2" s="1"/>
  <c r="F647" i="2"/>
  <c r="G647" i="2" s="1"/>
  <c r="I647" i="2" s="1"/>
  <c r="F646" i="2"/>
  <c r="G646" i="2" s="1"/>
  <c r="I646" i="2" s="1"/>
  <c r="F645" i="2"/>
  <c r="G645" i="2" s="1"/>
  <c r="I645" i="2" s="1"/>
  <c r="F644" i="2"/>
  <c r="G644" i="2" s="1"/>
  <c r="I644" i="2" s="1"/>
  <c r="F643" i="2"/>
  <c r="G643" i="2" s="1"/>
  <c r="I643" i="2" s="1"/>
  <c r="F642" i="2"/>
  <c r="G642" i="2" s="1"/>
  <c r="I642" i="2" s="1"/>
  <c r="F641" i="2"/>
  <c r="G641" i="2" s="1"/>
  <c r="I641" i="2" s="1"/>
  <c r="F640" i="2"/>
  <c r="G640" i="2" s="1"/>
  <c r="I640" i="2" s="1"/>
  <c r="F639" i="2"/>
  <c r="G639" i="2" s="1"/>
  <c r="I639" i="2" s="1"/>
  <c r="F638" i="2"/>
  <c r="G638" i="2" s="1"/>
  <c r="I638" i="2" s="1"/>
  <c r="F637" i="2"/>
  <c r="G637" i="2" s="1"/>
  <c r="I637" i="2" s="1"/>
  <c r="F636" i="2"/>
  <c r="G636" i="2" s="1"/>
  <c r="I636" i="2" s="1"/>
  <c r="F635" i="2"/>
  <c r="G635" i="2" s="1"/>
  <c r="I635" i="2" s="1"/>
  <c r="F634" i="2"/>
  <c r="G634" i="2" s="1"/>
  <c r="I634" i="2" s="1"/>
  <c r="F633" i="2"/>
  <c r="G633" i="2" s="1"/>
  <c r="I633" i="2" s="1"/>
  <c r="F632" i="2"/>
  <c r="G632" i="2" s="1"/>
  <c r="I632" i="2" s="1"/>
  <c r="F631" i="2"/>
  <c r="G631" i="2" s="1"/>
  <c r="I631" i="2" s="1"/>
  <c r="F630" i="2"/>
  <c r="G630" i="2" s="1"/>
  <c r="I630" i="2" s="1"/>
  <c r="F629" i="2"/>
  <c r="G629" i="2" s="1"/>
  <c r="I629" i="2" s="1"/>
  <c r="F628" i="2"/>
  <c r="G628" i="2" s="1"/>
  <c r="I628" i="2" s="1"/>
  <c r="F627" i="2"/>
  <c r="G627" i="2" s="1"/>
  <c r="I627" i="2" s="1"/>
  <c r="F626" i="2"/>
  <c r="G626" i="2" s="1"/>
  <c r="I626" i="2" s="1"/>
  <c r="F625" i="2"/>
  <c r="G625" i="2" s="1"/>
  <c r="I625" i="2" s="1"/>
  <c r="F624" i="2"/>
  <c r="G624" i="2" s="1"/>
  <c r="I624" i="2" s="1"/>
  <c r="F623" i="2"/>
  <c r="G623" i="2" s="1"/>
  <c r="I623" i="2" s="1"/>
  <c r="F622" i="2"/>
  <c r="G622" i="2" s="1"/>
  <c r="I622" i="2" s="1"/>
  <c r="F621" i="2"/>
  <c r="G621" i="2" s="1"/>
  <c r="I621" i="2" s="1"/>
  <c r="F620" i="2"/>
  <c r="G620" i="2" s="1"/>
  <c r="I620" i="2" s="1"/>
  <c r="F619" i="2"/>
  <c r="G619" i="2" s="1"/>
  <c r="I619" i="2" s="1"/>
  <c r="F618" i="2"/>
  <c r="G618" i="2" s="1"/>
  <c r="I618" i="2" s="1"/>
  <c r="F617" i="2"/>
  <c r="G617" i="2" s="1"/>
  <c r="I617" i="2" s="1"/>
  <c r="F616" i="2"/>
  <c r="G616" i="2" s="1"/>
  <c r="I616" i="2" s="1"/>
  <c r="F615" i="2"/>
  <c r="G615" i="2" s="1"/>
  <c r="I615" i="2" s="1"/>
  <c r="F614" i="2"/>
  <c r="G614" i="2" s="1"/>
  <c r="I614" i="2" s="1"/>
  <c r="F613" i="2"/>
  <c r="G613" i="2" s="1"/>
  <c r="I613" i="2" s="1"/>
  <c r="F612" i="2"/>
  <c r="G612" i="2" s="1"/>
  <c r="I612" i="2" s="1"/>
  <c r="F611" i="2"/>
  <c r="G611" i="2" s="1"/>
  <c r="I611" i="2" s="1"/>
  <c r="F610" i="2"/>
  <c r="G610" i="2" s="1"/>
  <c r="I610" i="2" s="1"/>
  <c r="F609" i="2"/>
  <c r="G609" i="2" s="1"/>
  <c r="I609" i="2" s="1"/>
  <c r="F608" i="2"/>
  <c r="G608" i="2" s="1"/>
  <c r="I608" i="2" s="1"/>
  <c r="F607" i="2"/>
  <c r="G607" i="2" s="1"/>
  <c r="I607" i="2" s="1"/>
  <c r="F606" i="2"/>
  <c r="G606" i="2" s="1"/>
  <c r="I606" i="2" s="1"/>
  <c r="F605" i="2"/>
  <c r="G605" i="2" s="1"/>
  <c r="I605" i="2" s="1"/>
  <c r="F604" i="2"/>
  <c r="G604" i="2" s="1"/>
  <c r="I604" i="2" s="1"/>
  <c r="F603" i="2"/>
  <c r="G603" i="2" s="1"/>
  <c r="I603" i="2" s="1"/>
  <c r="F602" i="2"/>
  <c r="G602" i="2" s="1"/>
  <c r="I602" i="2" s="1"/>
  <c r="F601" i="2"/>
  <c r="G601" i="2" s="1"/>
  <c r="I601" i="2" s="1"/>
  <c r="F600" i="2"/>
  <c r="G600" i="2" s="1"/>
  <c r="I600" i="2" s="1"/>
  <c r="F599" i="2"/>
  <c r="G599" i="2" s="1"/>
  <c r="I599" i="2" s="1"/>
  <c r="F598" i="2"/>
  <c r="G598" i="2" s="1"/>
  <c r="I598" i="2" s="1"/>
  <c r="F597" i="2"/>
  <c r="G597" i="2" s="1"/>
  <c r="I597" i="2" s="1"/>
  <c r="F596" i="2"/>
  <c r="G596" i="2" s="1"/>
  <c r="I596" i="2" s="1"/>
  <c r="F595" i="2"/>
  <c r="G595" i="2" s="1"/>
  <c r="I595" i="2" s="1"/>
  <c r="F594" i="2"/>
  <c r="G594" i="2" s="1"/>
  <c r="I594" i="2" s="1"/>
  <c r="F593" i="2"/>
  <c r="G593" i="2" s="1"/>
  <c r="I593" i="2" s="1"/>
  <c r="F592" i="2"/>
  <c r="G592" i="2" s="1"/>
  <c r="I592" i="2" s="1"/>
  <c r="F591" i="2"/>
  <c r="G591" i="2" s="1"/>
  <c r="I591" i="2" s="1"/>
  <c r="F590" i="2"/>
  <c r="G590" i="2" s="1"/>
  <c r="I590" i="2" s="1"/>
  <c r="F589" i="2"/>
  <c r="G589" i="2" s="1"/>
  <c r="I589" i="2" s="1"/>
  <c r="F588" i="2"/>
  <c r="G588" i="2" s="1"/>
  <c r="I588" i="2" s="1"/>
  <c r="F587" i="2"/>
  <c r="G587" i="2" s="1"/>
  <c r="I587" i="2" s="1"/>
  <c r="F586" i="2"/>
  <c r="G586" i="2" s="1"/>
  <c r="I586" i="2" s="1"/>
  <c r="F585" i="2"/>
  <c r="G585" i="2" s="1"/>
  <c r="I585" i="2" s="1"/>
  <c r="F584" i="2"/>
  <c r="G584" i="2" s="1"/>
  <c r="I584" i="2" s="1"/>
  <c r="F583" i="2"/>
  <c r="G583" i="2" s="1"/>
  <c r="I583" i="2" s="1"/>
  <c r="F582" i="2"/>
  <c r="G582" i="2" s="1"/>
  <c r="I582" i="2" s="1"/>
  <c r="F581" i="2"/>
  <c r="G581" i="2" s="1"/>
  <c r="I581" i="2" s="1"/>
  <c r="F580" i="2"/>
  <c r="G580" i="2" s="1"/>
  <c r="I580" i="2" s="1"/>
  <c r="F579" i="2"/>
  <c r="G579" i="2" s="1"/>
  <c r="I579" i="2" s="1"/>
  <c r="F578" i="2"/>
  <c r="G578" i="2" s="1"/>
  <c r="I578" i="2" s="1"/>
  <c r="F577" i="2"/>
  <c r="G577" i="2" s="1"/>
  <c r="I577" i="2" s="1"/>
  <c r="F576" i="2"/>
  <c r="G576" i="2" s="1"/>
  <c r="I576" i="2" s="1"/>
  <c r="F575" i="2"/>
  <c r="G575" i="2" s="1"/>
  <c r="I575" i="2" s="1"/>
  <c r="F574" i="2"/>
  <c r="G574" i="2" s="1"/>
  <c r="I574" i="2" s="1"/>
  <c r="F573" i="2"/>
  <c r="G573" i="2" s="1"/>
  <c r="I573" i="2" s="1"/>
  <c r="F572" i="2"/>
  <c r="G572" i="2" s="1"/>
  <c r="I572" i="2" s="1"/>
  <c r="F571" i="2"/>
  <c r="G571" i="2" s="1"/>
  <c r="I571" i="2" s="1"/>
  <c r="F570" i="2"/>
  <c r="G570" i="2" s="1"/>
  <c r="I570" i="2" s="1"/>
  <c r="E569" i="2"/>
  <c r="E6" i="2" s="1"/>
  <c r="F568" i="2"/>
  <c r="G568" i="2" s="1"/>
  <c r="I568" i="2" s="1"/>
  <c r="F567" i="2"/>
  <c r="G567" i="2" s="1"/>
  <c r="I567" i="2" s="1"/>
  <c r="F566" i="2"/>
  <c r="G566" i="2" s="1"/>
  <c r="I566" i="2" s="1"/>
  <c r="F565" i="2"/>
  <c r="G565" i="2" s="1"/>
  <c r="I565" i="2" s="1"/>
  <c r="F564" i="2"/>
  <c r="G564" i="2" s="1"/>
  <c r="I564" i="2" s="1"/>
  <c r="F563" i="2"/>
  <c r="G563" i="2" s="1"/>
  <c r="I563" i="2" s="1"/>
  <c r="F562" i="2"/>
  <c r="G562" i="2" s="1"/>
  <c r="I562" i="2" s="1"/>
  <c r="F561" i="2"/>
  <c r="G561" i="2" s="1"/>
  <c r="I561" i="2" s="1"/>
  <c r="F560" i="2"/>
  <c r="G560" i="2" s="1"/>
  <c r="I560" i="2" s="1"/>
  <c r="F559" i="2"/>
  <c r="G559" i="2" s="1"/>
  <c r="I559" i="2" s="1"/>
  <c r="F558" i="2"/>
  <c r="G558" i="2" s="1"/>
  <c r="I558" i="2" s="1"/>
  <c r="F557" i="2"/>
  <c r="G557" i="2" s="1"/>
  <c r="I557" i="2" s="1"/>
  <c r="F556" i="2"/>
  <c r="G556" i="2" s="1"/>
  <c r="I556" i="2" s="1"/>
  <c r="F555" i="2"/>
  <c r="G555" i="2" s="1"/>
  <c r="I555" i="2" s="1"/>
  <c r="F554" i="2"/>
  <c r="G554" i="2" s="1"/>
  <c r="I554" i="2" s="1"/>
  <c r="F553" i="2"/>
  <c r="G553" i="2" s="1"/>
  <c r="I553" i="2" s="1"/>
  <c r="F552" i="2"/>
  <c r="G552" i="2" s="1"/>
  <c r="I552" i="2" s="1"/>
  <c r="F551" i="2"/>
  <c r="G551" i="2" s="1"/>
  <c r="I551" i="2" s="1"/>
  <c r="F550" i="2"/>
  <c r="G550" i="2" s="1"/>
  <c r="I550" i="2" s="1"/>
  <c r="F549" i="2"/>
  <c r="G549" i="2" s="1"/>
  <c r="I549" i="2" s="1"/>
  <c r="F548" i="2"/>
  <c r="G548" i="2" s="1"/>
  <c r="I548" i="2" s="1"/>
  <c r="F547" i="2"/>
  <c r="G547" i="2" s="1"/>
  <c r="I547" i="2" s="1"/>
  <c r="F546" i="2"/>
  <c r="G546" i="2" s="1"/>
  <c r="I546" i="2" s="1"/>
  <c r="F545" i="2"/>
  <c r="G545" i="2" s="1"/>
  <c r="I545" i="2" s="1"/>
  <c r="F544" i="2"/>
  <c r="G544" i="2" s="1"/>
  <c r="I544" i="2" s="1"/>
  <c r="F543" i="2"/>
  <c r="G543" i="2" s="1"/>
  <c r="I543" i="2" s="1"/>
  <c r="F542" i="2"/>
  <c r="G542" i="2" s="1"/>
  <c r="I542" i="2" s="1"/>
  <c r="F541" i="2"/>
  <c r="G541" i="2" s="1"/>
  <c r="I541" i="2" s="1"/>
  <c r="F540" i="2"/>
  <c r="G540" i="2" s="1"/>
  <c r="I540" i="2" s="1"/>
  <c r="F539" i="2"/>
  <c r="G539" i="2" s="1"/>
  <c r="I539" i="2" s="1"/>
  <c r="F538" i="2"/>
  <c r="G538" i="2" s="1"/>
  <c r="I538" i="2" s="1"/>
  <c r="F537" i="2"/>
  <c r="G537" i="2" s="1"/>
  <c r="I537" i="2" s="1"/>
  <c r="F536" i="2"/>
  <c r="G536" i="2" s="1"/>
  <c r="I536" i="2" s="1"/>
  <c r="F535" i="2"/>
  <c r="G535" i="2" s="1"/>
  <c r="I535" i="2" s="1"/>
  <c r="F534" i="2"/>
  <c r="G534" i="2" s="1"/>
  <c r="I534" i="2" s="1"/>
  <c r="F533" i="2"/>
  <c r="G533" i="2" s="1"/>
  <c r="I533" i="2" s="1"/>
  <c r="F532" i="2"/>
  <c r="G532" i="2" s="1"/>
  <c r="I532" i="2" s="1"/>
  <c r="F531" i="2"/>
  <c r="G531" i="2" s="1"/>
  <c r="I531" i="2" s="1"/>
  <c r="F530" i="2"/>
  <c r="G530" i="2" s="1"/>
  <c r="I530" i="2" s="1"/>
  <c r="F529" i="2"/>
  <c r="G529" i="2" s="1"/>
  <c r="I529" i="2" s="1"/>
  <c r="F528" i="2"/>
  <c r="G528" i="2" s="1"/>
  <c r="I528" i="2" s="1"/>
  <c r="F527" i="2"/>
  <c r="G527" i="2" s="1"/>
  <c r="I527" i="2" s="1"/>
  <c r="F526" i="2"/>
  <c r="G526" i="2" s="1"/>
  <c r="I526" i="2" s="1"/>
  <c r="F525" i="2"/>
  <c r="G525" i="2" s="1"/>
  <c r="I525" i="2" s="1"/>
  <c r="F524" i="2"/>
  <c r="G524" i="2" s="1"/>
  <c r="I524" i="2" s="1"/>
  <c r="F523" i="2"/>
  <c r="G523" i="2" s="1"/>
  <c r="I523" i="2" s="1"/>
  <c r="F522" i="2"/>
  <c r="G522" i="2" s="1"/>
  <c r="I522" i="2" s="1"/>
  <c r="F521" i="2"/>
  <c r="G521" i="2" s="1"/>
  <c r="I521" i="2" s="1"/>
  <c r="F520" i="2"/>
  <c r="G520" i="2" s="1"/>
  <c r="I520" i="2" s="1"/>
  <c r="F519" i="2"/>
  <c r="G519" i="2" s="1"/>
  <c r="I519" i="2" s="1"/>
  <c r="F518" i="2"/>
  <c r="G518" i="2" s="1"/>
  <c r="I518" i="2" s="1"/>
  <c r="F517" i="2"/>
  <c r="G517" i="2" s="1"/>
  <c r="I517" i="2" s="1"/>
  <c r="F516" i="2"/>
  <c r="G516" i="2" s="1"/>
  <c r="I516" i="2" s="1"/>
  <c r="F515" i="2"/>
  <c r="G515" i="2" s="1"/>
  <c r="I515" i="2" s="1"/>
  <c r="F514" i="2"/>
  <c r="G514" i="2" s="1"/>
  <c r="I514" i="2" s="1"/>
  <c r="F513" i="2"/>
  <c r="G513" i="2" s="1"/>
  <c r="I513" i="2" s="1"/>
  <c r="F512" i="2"/>
  <c r="G512" i="2" s="1"/>
  <c r="I512" i="2" s="1"/>
  <c r="F511" i="2"/>
  <c r="G511" i="2" s="1"/>
  <c r="I511" i="2" s="1"/>
  <c r="F510" i="2"/>
  <c r="G510" i="2" s="1"/>
  <c r="I510" i="2" s="1"/>
  <c r="F509" i="2"/>
  <c r="G509" i="2" s="1"/>
  <c r="I509" i="2" s="1"/>
  <c r="F508" i="2"/>
  <c r="G508" i="2" s="1"/>
  <c r="I508" i="2" s="1"/>
  <c r="F507" i="2"/>
  <c r="G507" i="2" s="1"/>
  <c r="I507" i="2" s="1"/>
  <c r="F506" i="2"/>
  <c r="G506" i="2" s="1"/>
  <c r="I506" i="2" s="1"/>
  <c r="F505" i="2"/>
  <c r="G505" i="2" s="1"/>
  <c r="I505" i="2" s="1"/>
  <c r="F504" i="2"/>
  <c r="G504" i="2" s="1"/>
  <c r="I504" i="2" s="1"/>
  <c r="F503" i="2"/>
  <c r="G503" i="2" s="1"/>
  <c r="I503" i="2" s="1"/>
  <c r="F502" i="2"/>
  <c r="G502" i="2" s="1"/>
  <c r="I502" i="2" s="1"/>
  <c r="F501" i="2"/>
  <c r="G501" i="2" s="1"/>
  <c r="I501" i="2" s="1"/>
  <c r="F500" i="2"/>
  <c r="G500" i="2" s="1"/>
  <c r="I500" i="2" s="1"/>
  <c r="F499" i="2"/>
  <c r="G499" i="2" s="1"/>
  <c r="I499" i="2" s="1"/>
  <c r="F498" i="2"/>
  <c r="G498" i="2" s="1"/>
  <c r="I498" i="2" s="1"/>
  <c r="F497" i="2"/>
  <c r="G497" i="2" s="1"/>
  <c r="I497" i="2" s="1"/>
  <c r="F496" i="2"/>
  <c r="G496" i="2" s="1"/>
  <c r="I496" i="2" s="1"/>
  <c r="F495" i="2"/>
  <c r="G495" i="2" s="1"/>
  <c r="I495" i="2" s="1"/>
  <c r="F494" i="2"/>
  <c r="G494" i="2" s="1"/>
  <c r="I494" i="2" s="1"/>
  <c r="F493" i="2"/>
  <c r="G493" i="2" s="1"/>
  <c r="I493" i="2" s="1"/>
  <c r="F492" i="2"/>
  <c r="G492" i="2" s="1"/>
  <c r="I492" i="2" s="1"/>
  <c r="F491" i="2"/>
  <c r="G491" i="2" s="1"/>
  <c r="I491" i="2" s="1"/>
  <c r="F490" i="2"/>
  <c r="G490" i="2" s="1"/>
  <c r="I490" i="2" s="1"/>
  <c r="F489" i="2"/>
  <c r="G489" i="2" s="1"/>
  <c r="I489" i="2" s="1"/>
  <c r="F488" i="2"/>
  <c r="G488" i="2" s="1"/>
  <c r="I488" i="2" s="1"/>
  <c r="F487" i="2"/>
  <c r="G487" i="2" s="1"/>
  <c r="I487" i="2" s="1"/>
  <c r="F486" i="2"/>
  <c r="G486" i="2" s="1"/>
  <c r="I486" i="2" s="1"/>
  <c r="F485" i="2"/>
  <c r="G485" i="2" s="1"/>
  <c r="I485" i="2" s="1"/>
  <c r="F484" i="2"/>
  <c r="G484" i="2" s="1"/>
  <c r="I484" i="2" s="1"/>
  <c r="F483" i="2"/>
  <c r="G483" i="2" s="1"/>
  <c r="I483" i="2" s="1"/>
  <c r="F482" i="2"/>
  <c r="G482" i="2" s="1"/>
  <c r="I482" i="2" s="1"/>
  <c r="F481" i="2"/>
  <c r="G481" i="2" s="1"/>
  <c r="I481" i="2" s="1"/>
  <c r="F480" i="2"/>
  <c r="G480" i="2" s="1"/>
  <c r="I480" i="2" s="1"/>
  <c r="F479" i="2"/>
  <c r="G479" i="2" s="1"/>
  <c r="I479" i="2" s="1"/>
  <c r="F478" i="2"/>
  <c r="G478" i="2" s="1"/>
  <c r="I478" i="2" s="1"/>
  <c r="F477" i="2"/>
  <c r="G477" i="2" s="1"/>
  <c r="I477" i="2" s="1"/>
  <c r="F476" i="2"/>
  <c r="G476" i="2" s="1"/>
  <c r="I476" i="2" s="1"/>
  <c r="F475" i="2"/>
  <c r="G475" i="2" s="1"/>
  <c r="I475" i="2" s="1"/>
  <c r="F474" i="2"/>
  <c r="G474" i="2" s="1"/>
  <c r="I474" i="2" s="1"/>
  <c r="F473" i="2"/>
  <c r="G473" i="2" s="1"/>
  <c r="I473" i="2" s="1"/>
  <c r="F472" i="2"/>
  <c r="G472" i="2" s="1"/>
  <c r="I472" i="2" s="1"/>
  <c r="F471" i="2"/>
  <c r="G471" i="2" s="1"/>
  <c r="I471" i="2" s="1"/>
  <c r="F470" i="2"/>
  <c r="G470" i="2" s="1"/>
  <c r="I470" i="2" s="1"/>
  <c r="F469" i="2"/>
  <c r="G469" i="2" s="1"/>
  <c r="I469" i="2" s="1"/>
  <c r="F468" i="2"/>
  <c r="G468" i="2" s="1"/>
  <c r="I468" i="2" s="1"/>
  <c r="F467" i="2"/>
  <c r="G467" i="2" s="1"/>
  <c r="I467" i="2" s="1"/>
  <c r="F466" i="2"/>
  <c r="G466" i="2" s="1"/>
  <c r="I466" i="2" s="1"/>
  <c r="F465" i="2"/>
  <c r="G465" i="2" s="1"/>
  <c r="I465" i="2" s="1"/>
  <c r="F464" i="2"/>
  <c r="G464" i="2" s="1"/>
  <c r="I464" i="2" s="1"/>
  <c r="F463" i="2"/>
  <c r="G463" i="2" s="1"/>
  <c r="I463" i="2" s="1"/>
  <c r="F462" i="2"/>
  <c r="G462" i="2" s="1"/>
  <c r="I462" i="2" s="1"/>
  <c r="F461" i="2"/>
  <c r="G461" i="2" s="1"/>
  <c r="I461" i="2" s="1"/>
  <c r="F460" i="2"/>
  <c r="G460" i="2" s="1"/>
  <c r="I460" i="2" s="1"/>
  <c r="F459" i="2"/>
  <c r="G459" i="2" s="1"/>
  <c r="I459" i="2" s="1"/>
  <c r="F458" i="2"/>
  <c r="G458" i="2" s="1"/>
  <c r="I458" i="2" s="1"/>
  <c r="F457" i="2"/>
  <c r="G457" i="2" s="1"/>
  <c r="I457" i="2" s="1"/>
  <c r="F456" i="2"/>
  <c r="G456" i="2" s="1"/>
  <c r="I456" i="2" s="1"/>
  <c r="F455" i="2"/>
  <c r="G455" i="2" s="1"/>
  <c r="I455" i="2" s="1"/>
  <c r="F454" i="2"/>
  <c r="G454" i="2" s="1"/>
  <c r="I454" i="2" s="1"/>
  <c r="F453" i="2"/>
  <c r="G453" i="2" s="1"/>
  <c r="I453" i="2" s="1"/>
  <c r="F452" i="2"/>
  <c r="G452" i="2" s="1"/>
  <c r="I452" i="2" s="1"/>
  <c r="F451" i="2"/>
  <c r="G451" i="2" s="1"/>
  <c r="I451" i="2" s="1"/>
  <c r="F450" i="2"/>
  <c r="G450" i="2" s="1"/>
  <c r="I450" i="2" s="1"/>
  <c r="F449" i="2"/>
  <c r="G449" i="2" s="1"/>
  <c r="I449" i="2" s="1"/>
  <c r="F448" i="2"/>
  <c r="G448" i="2" s="1"/>
  <c r="I448" i="2" s="1"/>
  <c r="F447" i="2"/>
  <c r="G447" i="2" s="1"/>
  <c r="I447" i="2" s="1"/>
  <c r="F446" i="2"/>
  <c r="G446" i="2" s="1"/>
  <c r="I446" i="2" s="1"/>
  <c r="F445" i="2"/>
  <c r="G445" i="2" s="1"/>
  <c r="I445" i="2" s="1"/>
  <c r="F444" i="2"/>
  <c r="G444" i="2" s="1"/>
  <c r="I444" i="2" s="1"/>
  <c r="F443" i="2"/>
  <c r="G443" i="2" s="1"/>
  <c r="I443" i="2" s="1"/>
  <c r="F442" i="2"/>
  <c r="G442" i="2" s="1"/>
  <c r="I442" i="2" s="1"/>
  <c r="F441" i="2"/>
  <c r="G441" i="2" s="1"/>
  <c r="I441" i="2" s="1"/>
  <c r="F440" i="2"/>
  <c r="G440" i="2" s="1"/>
  <c r="I440" i="2" s="1"/>
  <c r="F439" i="2"/>
  <c r="G439" i="2" s="1"/>
  <c r="I439" i="2" s="1"/>
  <c r="F438" i="2"/>
  <c r="G438" i="2" s="1"/>
  <c r="I438" i="2" s="1"/>
  <c r="F437" i="2"/>
  <c r="G437" i="2" s="1"/>
  <c r="I437" i="2" s="1"/>
  <c r="F436" i="2"/>
  <c r="G436" i="2" s="1"/>
  <c r="I436" i="2" s="1"/>
  <c r="F435" i="2"/>
  <c r="G435" i="2" s="1"/>
  <c r="I435" i="2" s="1"/>
  <c r="F434" i="2"/>
  <c r="G434" i="2" s="1"/>
  <c r="I434" i="2" s="1"/>
  <c r="F433" i="2"/>
  <c r="G433" i="2" s="1"/>
  <c r="I433" i="2" s="1"/>
  <c r="F432" i="2"/>
  <c r="G432" i="2" s="1"/>
  <c r="I432" i="2" s="1"/>
  <c r="F431" i="2"/>
  <c r="G431" i="2" s="1"/>
  <c r="I431" i="2" s="1"/>
  <c r="F430" i="2"/>
  <c r="G430" i="2" s="1"/>
  <c r="I430" i="2" s="1"/>
  <c r="F429" i="2"/>
  <c r="G429" i="2" s="1"/>
  <c r="I429" i="2" s="1"/>
  <c r="F428" i="2"/>
  <c r="G428" i="2" s="1"/>
  <c r="I428" i="2" s="1"/>
  <c r="F427" i="2"/>
  <c r="G427" i="2" s="1"/>
  <c r="I427" i="2" s="1"/>
  <c r="F426" i="2"/>
  <c r="G426" i="2" s="1"/>
  <c r="I426" i="2" s="1"/>
  <c r="F425" i="2"/>
  <c r="G425" i="2" s="1"/>
  <c r="I425" i="2" s="1"/>
  <c r="F424" i="2"/>
  <c r="G424" i="2" s="1"/>
  <c r="I424" i="2" s="1"/>
  <c r="F423" i="2"/>
  <c r="G423" i="2" s="1"/>
  <c r="I423" i="2" s="1"/>
  <c r="F422" i="2"/>
  <c r="G422" i="2" s="1"/>
  <c r="I422" i="2" s="1"/>
  <c r="F421" i="2"/>
  <c r="G421" i="2" s="1"/>
  <c r="I421" i="2" s="1"/>
  <c r="F420" i="2"/>
  <c r="G420" i="2" s="1"/>
  <c r="I420" i="2" s="1"/>
  <c r="F419" i="2"/>
  <c r="G419" i="2" s="1"/>
  <c r="I419" i="2" s="1"/>
  <c r="F418" i="2"/>
  <c r="G418" i="2" s="1"/>
  <c r="I418" i="2" s="1"/>
  <c r="F417" i="2"/>
  <c r="G417" i="2" s="1"/>
  <c r="I417" i="2" s="1"/>
  <c r="F416" i="2"/>
  <c r="G416" i="2" s="1"/>
  <c r="I416" i="2" s="1"/>
  <c r="F415" i="2"/>
  <c r="G415" i="2" s="1"/>
  <c r="I415" i="2" s="1"/>
  <c r="F414" i="2"/>
  <c r="G414" i="2" s="1"/>
  <c r="I414" i="2" s="1"/>
  <c r="F413" i="2"/>
  <c r="G413" i="2" s="1"/>
  <c r="I413" i="2" s="1"/>
  <c r="F412" i="2"/>
  <c r="G412" i="2" s="1"/>
  <c r="I412" i="2" s="1"/>
  <c r="F411" i="2"/>
  <c r="G411" i="2" s="1"/>
  <c r="I411" i="2" s="1"/>
  <c r="F410" i="2"/>
  <c r="G410" i="2" s="1"/>
  <c r="I410" i="2" s="1"/>
  <c r="F409" i="2"/>
  <c r="G409" i="2" s="1"/>
  <c r="I409" i="2" s="1"/>
  <c r="F408" i="2"/>
  <c r="G408" i="2" s="1"/>
  <c r="I408" i="2" s="1"/>
  <c r="F407" i="2"/>
  <c r="G407" i="2" s="1"/>
  <c r="I407" i="2" s="1"/>
  <c r="F406" i="2"/>
  <c r="G406" i="2" s="1"/>
  <c r="I406" i="2" s="1"/>
  <c r="F405" i="2"/>
  <c r="G405" i="2" s="1"/>
  <c r="I405" i="2" s="1"/>
  <c r="F404" i="2"/>
  <c r="G404" i="2" s="1"/>
  <c r="I404" i="2" s="1"/>
  <c r="F403" i="2"/>
  <c r="G403" i="2" s="1"/>
  <c r="I403" i="2" s="1"/>
  <c r="F402" i="2"/>
  <c r="G402" i="2" s="1"/>
  <c r="I402" i="2" s="1"/>
  <c r="F401" i="2"/>
  <c r="G401" i="2" s="1"/>
  <c r="I401" i="2" s="1"/>
  <c r="F400" i="2"/>
  <c r="G400" i="2" s="1"/>
  <c r="I400" i="2" s="1"/>
  <c r="F399" i="2"/>
  <c r="G399" i="2" s="1"/>
  <c r="I399" i="2" s="1"/>
  <c r="F398" i="2"/>
  <c r="G398" i="2" s="1"/>
  <c r="I398" i="2" s="1"/>
  <c r="F397" i="2"/>
  <c r="G397" i="2" s="1"/>
  <c r="I397" i="2" s="1"/>
  <c r="F396" i="2"/>
  <c r="G396" i="2" s="1"/>
  <c r="I396" i="2" s="1"/>
  <c r="F395" i="2"/>
  <c r="G395" i="2" s="1"/>
  <c r="I395" i="2" s="1"/>
  <c r="F394" i="2"/>
  <c r="G394" i="2" s="1"/>
  <c r="I394" i="2" s="1"/>
  <c r="F393" i="2"/>
  <c r="G393" i="2" s="1"/>
  <c r="I393" i="2" s="1"/>
  <c r="F392" i="2"/>
  <c r="G392" i="2" s="1"/>
  <c r="I392" i="2" s="1"/>
  <c r="F391" i="2"/>
  <c r="G391" i="2" s="1"/>
  <c r="I391" i="2" s="1"/>
  <c r="F390" i="2"/>
  <c r="G390" i="2" s="1"/>
  <c r="I390" i="2" s="1"/>
  <c r="F389" i="2"/>
  <c r="G389" i="2" s="1"/>
  <c r="I389" i="2" s="1"/>
  <c r="F388" i="2"/>
  <c r="G388" i="2" s="1"/>
  <c r="I388" i="2" s="1"/>
  <c r="F387" i="2"/>
  <c r="G387" i="2" s="1"/>
  <c r="I387" i="2" s="1"/>
  <c r="F386" i="2"/>
  <c r="G386" i="2" s="1"/>
  <c r="I386" i="2" s="1"/>
  <c r="F385" i="2"/>
  <c r="G385" i="2" s="1"/>
  <c r="I385" i="2" s="1"/>
  <c r="F384" i="2"/>
  <c r="G384" i="2" s="1"/>
  <c r="I384" i="2" s="1"/>
  <c r="F383" i="2"/>
  <c r="G383" i="2" s="1"/>
  <c r="I383" i="2" s="1"/>
  <c r="F382" i="2"/>
  <c r="G382" i="2" s="1"/>
  <c r="I382" i="2" s="1"/>
  <c r="F381" i="2"/>
  <c r="G381" i="2" s="1"/>
  <c r="I381" i="2" s="1"/>
  <c r="F380" i="2"/>
  <c r="G380" i="2" s="1"/>
  <c r="I380" i="2" s="1"/>
  <c r="F379" i="2"/>
  <c r="G379" i="2" s="1"/>
  <c r="I379" i="2" s="1"/>
  <c r="F378" i="2"/>
  <c r="G378" i="2" s="1"/>
  <c r="I378" i="2" s="1"/>
  <c r="F377" i="2"/>
  <c r="G377" i="2" s="1"/>
  <c r="I377" i="2" s="1"/>
  <c r="F376" i="2"/>
  <c r="G376" i="2" s="1"/>
  <c r="I376" i="2" s="1"/>
  <c r="F375" i="2"/>
  <c r="G375" i="2" s="1"/>
  <c r="I375" i="2" s="1"/>
  <c r="F374" i="2"/>
  <c r="G374" i="2" s="1"/>
  <c r="I374" i="2" s="1"/>
  <c r="F373" i="2"/>
  <c r="G373" i="2" s="1"/>
  <c r="I373" i="2" s="1"/>
  <c r="F372" i="2"/>
  <c r="G372" i="2" s="1"/>
  <c r="I372" i="2" s="1"/>
  <c r="F371" i="2"/>
  <c r="G371" i="2" s="1"/>
  <c r="I371" i="2" s="1"/>
  <c r="F370" i="2"/>
  <c r="G370" i="2" s="1"/>
  <c r="I370" i="2" s="1"/>
  <c r="F369" i="2"/>
  <c r="G369" i="2" s="1"/>
  <c r="I369" i="2" s="1"/>
  <c r="F368" i="2"/>
  <c r="G368" i="2" s="1"/>
  <c r="I368" i="2" s="1"/>
  <c r="F367" i="2"/>
  <c r="G367" i="2" s="1"/>
  <c r="I367" i="2" s="1"/>
  <c r="F366" i="2"/>
  <c r="G366" i="2" s="1"/>
  <c r="I366" i="2" s="1"/>
  <c r="F365" i="2"/>
  <c r="G365" i="2" s="1"/>
  <c r="I365" i="2" s="1"/>
  <c r="F364" i="2"/>
  <c r="G364" i="2" s="1"/>
  <c r="I364" i="2" s="1"/>
  <c r="F363" i="2"/>
  <c r="G363" i="2" s="1"/>
  <c r="I363" i="2" s="1"/>
  <c r="F362" i="2"/>
  <c r="G362" i="2" s="1"/>
  <c r="I362" i="2" s="1"/>
  <c r="F361" i="2"/>
  <c r="G361" i="2" s="1"/>
  <c r="I361" i="2" s="1"/>
  <c r="F360" i="2"/>
  <c r="G360" i="2" s="1"/>
  <c r="I360" i="2" s="1"/>
  <c r="F359" i="2"/>
  <c r="G359" i="2" s="1"/>
  <c r="I359" i="2" s="1"/>
  <c r="F358" i="2"/>
  <c r="G358" i="2" s="1"/>
  <c r="I358" i="2" s="1"/>
  <c r="F357" i="2"/>
  <c r="G357" i="2" s="1"/>
  <c r="I357" i="2" s="1"/>
  <c r="F356" i="2"/>
  <c r="G356" i="2" s="1"/>
  <c r="I356" i="2" s="1"/>
  <c r="F355" i="2"/>
  <c r="G355" i="2" s="1"/>
  <c r="I355" i="2" s="1"/>
  <c r="F354" i="2"/>
  <c r="G354" i="2" s="1"/>
  <c r="I354" i="2" s="1"/>
  <c r="F353" i="2"/>
  <c r="G353" i="2" s="1"/>
  <c r="I353" i="2" s="1"/>
  <c r="F352" i="2"/>
  <c r="G352" i="2" s="1"/>
  <c r="I352" i="2" s="1"/>
  <c r="F351" i="2"/>
  <c r="G351" i="2" s="1"/>
  <c r="I351" i="2" s="1"/>
  <c r="F350" i="2"/>
  <c r="G350" i="2" s="1"/>
  <c r="I350" i="2" s="1"/>
  <c r="F349" i="2"/>
  <c r="G349" i="2" s="1"/>
  <c r="I349" i="2" s="1"/>
  <c r="F348" i="2"/>
  <c r="G348" i="2" s="1"/>
  <c r="I348" i="2" s="1"/>
  <c r="F347" i="2"/>
  <c r="G347" i="2" s="1"/>
  <c r="I347" i="2" s="1"/>
  <c r="F346" i="2"/>
  <c r="G346" i="2" s="1"/>
  <c r="I346" i="2" s="1"/>
  <c r="F345" i="2"/>
  <c r="G345" i="2" s="1"/>
  <c r="I345" i="2" s="1"/>
  <c r="F344" i="2"/>
  <c r="G344" i="2" s="1"/>
  <c r="I344" i="2" s="1"/>
  <c r="F343" i="2"/>
  <c r="G343" i="2" s="1"/>
  <c r="I343" i="2" s="1"/>
  <c r="F342" i="2"/>
  <c r="G342" i="2" s="1"/>
  <c r="I342" i="2" s="1"/>
  <c r="F341" i="2"/>
  <c r="G341" i="2" s="1"/>
  <c r="I341" i="2" s="1"/>
  <c r="F340" i="2"/>
  <c r="G340" i="2" s="1"/>
  <c r="I340" i="2" s="1"/>
  <c r="F339" i="2"/>
  <c r="G339" i="2" s="1"/>
  <c r="I339" i="2" s="1"/>
  <c r="F338" i="2"/>
  <c r="G338" i="2" s="1"/>
  <c r="I338" i="2" s="1"/>
  <c r="F337" i="2"/>
  <c r="G337" i="2" s="1"/>
  <c r="I337" i="2" s="1"/>
  <c r="F336" i="2"/>
  <c r="G336" i="2" s="1"/>
  <c r="I336" i="2" s="1"/>
  <c r="F335" i="2"/>
  <c r="G335" i="2" s="1"/>
  <c r="I335" i="2" s="1"/>
  <c r="F334" i="2"/>
  <c r="G334" i="2" s="1"/>
  <c r="I334" i="2" s="1"/>
  <c r="F333" i="2"/>
  <c r="G333" i="2" s="1"/>
  <c r="I333" i="2" s="1"/>
  <c r="F332" i="2"/>
  <c r="G332" i="2" s="1"/>
  <c r="I332" i="2" s="1"/>
  <c r="F331" i="2"/>
  <c r="G331" i="2" s="1"/>
  <c r="I331" i="2" s="1"/>
  <c r="F330" i="2"/>
  <c r="G330" i="2" s="1"/>
  <c r="I330" i="2" s="1"/>
  <c r="F329" i="2"/>
  <c r="G329" i="2" s="1"/>
  <c r="I329" i="2" s="1"/>
  <c r="F328" i="2"/>
  <c r="G328" i="2" s="1"/>
  <c r="I328" i="2" s="1"/>
  <c r="F327" i="2"/>
  <c r="G327" i="2" s="1"/>
  <c r="I327" i="2" s="1"/>
  <c r="F326" i="2"/>
  <c r="G326" i="2" s="1"/>
  <c r="I326" i="2" s="1"/>
  <c r="F325" i="2"/>
  <c r="G325" i="2" s="1"/>
  <c r="I325" i="2" s="1"/>
  <c r="F324" i="2"/>
  <c r="G324" i="2" s="1"/>
  <c r="I324" i="2" s="1"/>
  <c r="F323" i="2"/>
  <c r="G323" i="2" s="1"/>
  <c r="I323" i="2" s="1"/>
  <c r="F322" i="2"/>
  <c r="G322" i="2" s="1"/>
  <c r="I322" i="2" s="1"/>
  <c r="F321" i="2"/>
  <c r="G321" i="2" s="1"/>
  <c r="I321" i="2" s="1"/>
  <c r="F320" i="2"/>
  <c r="G320" i="2" s="1"/>
  <c r="I320" i="2" s="1"/>
  <c r="F319" i="2"/>
  <c r="G319" i="2" s="1"/>
  <c r="I319" i="2" s="1"/>
  <c r="F318" i="2"/>
  <c r="G318" i="2" s="1"/>
  <c r="I318" i="2" s="1"/>
  <c r="F317" i="2"/>
  <c r="G317" i="2" s="1"/>
  <c r="I317" i="2" s="1"/>
  <c r="F316" i="2"/>
  <c r="G316" i="2" s="1"/>
  <c r="I316" i="2" s="1"/>
  <c r="F315" i="2"/>
  <c r="G315" i="2" s="1"/>
  <c r="I315" i="2" s="1"/>
  <c r="F314" i="2"/>
  <c r="G314" i="2" s="1"/>
  <c r="I314" i="2" s="1"/>
  <c r="F313" i="2"/>
  <c r="G313" i="2" s="1"/>
  <c r="I313" i="2" s="1"/>
  <c r="F312" i="2"/>
  <c r="G312" i="2" s="1"/>
  <c r="I312" i="2" s="1"/>
  <c r="F311" i="2"/>
  <c r="G311" i="2" s="1"/>
  <c r="I311" i="2" s="1"/>
  <c r="F310" i="2"/>
  <c r="G310" i="2" s="1"/>
  <c r="I310" i="2" s="1"/>
  <c r="F309" i="2"/>
  <c r="G309" i="2" s="1"/>
  <c r="I309" i="2" s="1"/>
  <c r="F308" i="2"/>
  <c r="G308" i="2" s="1"/>
  <c r="I308" i="2" s="1"/>
  <c r="F307" i="2"/>
  <c r="G307" i="2" s="1"/>
  <c r="I307" i="2" s="1"/>
  <c r="F306" i="2"/>
  <c r="G306" i="2" s="1"/>
  <c r="I306" i="2" s="1"/>
  <c r="F305" i="2"/>
  <c r="G305" i="2" s="1"/>
  <c r="I305" i="2" s="1"/>
  <c r="F304" i="2"/>
  <c r="G304" i="2" s="1"/>
  <c r="I304" i="2" s="1"/>
  <c r="F303" i="2"/>
  <c r="G303" i="2" s="1"/>
  <c r="I303" i="2" s="1"/>
  <c r="F302" i="2"/>
  <c r="G302" i="2" s="1"/>
  <c r="I302" i="2" s="1"/>
  <c r="F301" i="2"/>
  <c r="G301" i="2" s="1"/>
  <c r="I301" i="2" s="1"/>
  <c r="F300" i="2"/>
  <c r="G300" i="2" s="1"/>
  <c r="I300" i="2" s="1"/>
  <c r="F299" i="2"/>
  <c r="G299" i="2" s="1"/>
  <c r="I299" i="2" s="1"/>
  <c r="F298" i="2"/>
  <c r="G298" i="2" s="1"/>
  <c r="I298" i="2" s="1"/>
  <c r="F297" i="2"/>
  <c r="G297" i="2" s="1"/>
  <c r="I297" i="2" s="1"/>
  <c r="F296" i="2"/>
  <c r="G296" i="2" s="1"/>
  <c r="I296" i="2" s="1"/>
  <c r="F295" i="2"/>
  <c r="G295" i="2" s="1"/>
  <c r="I295" i="2" s="1"/>
  <c r="F294" i="2"/>
  <c r="G294" i="2" s="1"/>
  <c r="I294" i="2" s="1"/>
  <c r="F293" i="2"/>
  <c r="G293" i="2" s="1"/>
  <c r="I293" i="2" s="1"/>
  <c r="F292" i="2"/>
  <c r="G292" i="2" s="1"/>
  <c r="I292" i="2" s="1"/>
  <c r="F291" i="2"/>
  <c r="G291" i="2" s="1"/>
  <c r="I291" i="2" s="1"/>
  <c r="F290" i="2"/>
  <c r="G290" i="2" s="1"/>
  <c r="I290" i="2" s="1"/>
  <c r="F289" i="2"/>
  <c r="G289" i="2" s="1"/>
  <c r="I289" i="2" s="1"/>
  <c r="F288" i="2"/>
  <c r="G288" i="2" s="1"/>
  <c r="I288" i="2" s="1"/>
  <c r="F287" i="2"/>
  <c r="G287" i="2" s="1"/>
  <c r="I287" i="2" s="1"/>
  <c r="F286" i="2"/>
  <c r="G286" i="2" s="1"/>
  <c r="I286" i="2" s="1"/>
  <c r="F285" i="2"/>
  <c r="G285" i="2" s="1"/>
  <c r="I285" i="2" s="1"/>
  <c r="F284" i="2"/>
  <c r="G284" i="2" s="1"/>
  <c r="I284" i="2" s="1"/>
  <c r="F283" i="2"/>
  <c r="G283" i="2" s="1"/>
  <c r="I283" i="2" s="1"/>
  <c r="F282" i="2"/>
  <c r="G282" i="2" s="1"/>
  <c r="I282" i="2" s="1"/>
  <c r="F281" i="2"/>
  <c r="G281" i="2" s="1"/>
  <c r="I281" i="2" s="1"/>
  <c r="F280" i="2"/>
  <c r="G280" i="2" s="1"/>
  <c r="I280" i="2" s="1"/>
  <c r="F279" i="2"/>
  <c r="G279" i="2" s="1"/>
  <c r="I279" i="2" s="1"/>
  <c r="F278" i="2"/>
  <c r="G278" i="2" s="1"/>
  <c r="I278" i="2" s="1"/>
  <c r="F277" i="2"/>
  <c r="G277" i="2" s="1"/>
  <c r="I277" i="2" s="1"/>
  <c r="F276" i="2"/>
  <c r="G276" i="2" s="1"/>
  <c r="I276" i="2" s="1"/>
  <c r="F275" i="2"/>
  <c r="G275" i="2" s="1"/>
  <c r="I275" i="2" s="1"/>
  <c r="F274" i="2"/>
  <c r="G274" i="2" s="1"/>
  <c r="I274" i="2" s="1"/>
  <c r="F273" i="2"/>
  <c r="G273" i="2" s="1"/>
  <c r="I273" i="2" s="1"/>
  <c r="F272" i="2"/>
  <c r="G272" i="2" s="1"/>
  <c r="I272" i="2" s="1"/>
  <c r="F271" i="2"/>
  <c r="G271" i="2" s="1"/>
  <c r="I271" i="2" s="1"/>
  <c r="F270" i="2"/>
  <c r="G270" i="2" s="1"/>
  <c r="I270" i="2" s="1"/>
  <c r="F269" i="2"/>
  <c r="G269" i="2" s="1"/>
  <c r="I269" i="2" s="1"/>
  <c r="F268" i="2"/>
  <c r="G268" i="2" s="1"/>
  <c r="I268" i="2" s="1"/>
  <c r="F267" i="2"/>
  <c r="G267" i="2" s="1"/>
  <c r="I267" i="2" s="1"/>
  <c r="F266" i="2"/>
  <c r="G266" i="2" s="1"/>
  <c r="I266" i="2" s="1"/>
  <c r="F265" i="2"/>
  <c r="G265" i="2" s="1"/>
  <c r="I265" i="2" s="1"/>
  <c r="F264" i="2"/>
  <c r="G264" i="2" s="1"/>
  <c r="I264" i="2" s="1"/>
  <c r="F263" i="2"/>
  <c r="G263" i="2" s="1"/>
  <c r="I263" i="2" s="1"/>
  <c r="F262" i="2"/>
  <c r="G262" i="2" s="1"/>
  <c r="I262" i="2" s="1"/>
  <c r="F261" i="2"/>
  <c r="G261" i="2" s="1"/>
  <c r="I261" i="2" s="1"/>
  <c r="F260" i="2"/>
  <c r="G260" i="2" s="1"/>
  <c r="I260" i="2" s="1"/>
  <c r="F259" i="2"/>
  <c r="G259" i="2" s="1"/>
  <c r="I259" i="2" s="1"/>
  <c r="F258" i="2"/>
  <c r="G258" i="2" s="1"/>
  <c r="I258" i="2" s="1"/>
  <c r="F257" i="2"/>
  <c r="G257" i="2" s="1"/>
  <c r="I257" i="2" s="1"/>
  <c r="F256" i="2"/>
  <c r="G256" i="2" s="1"/>
  <c r="I256" i="2" s="1"/>
  <c r="F255" i="2"/>
  <c r="G255" i="2" s="1"/>
  <c r="I255" i="2" s="1"/>
  <c r="F254" i="2"/>
  <c r="G254" i="2" s="1"/>
  <c r="I254" i="2" s="1"/>
  <c r="F253" i="2"/>
  <c r="G253" i="2" s="1"/>
  <c r="I253" i="2" s="1"/>
  <c r="F252" i="2"/>
  <c r="G252" i="2" s="1"/>
  <c r="I252" i="2" s="1"/>
  <c r="F251" i="2"/>
  <c r="G251" i="2" s="1"/>
  <c r="I251" i="2" s="1"/>
  <c r="F250" i="2"/>
  <c r="G250" i="2" s="1"/>
  <c r="I250" i="2" s="1"/>
  <c r="F249" i="2"/>
  <c r="G249" i="2" s="1"/>
  <c r="I249" i="2" s="1"/>
  <c r="F248" i="2"/>
  <c r="G248" i="2" s="1"/>
  <c r="I248" i="2" s="1"/>
  <c r="F247" i="2"/>
  <c r="G247" i="2" s="1"/>
  <c r="I247" i="2" s="1"/>
  <c r="F246" i="2"/>
  <c r="G246" i="2" s="1"/>
  <c r="I246" i="2" s="1"/>
  <c r="F245" i="2"/>
  <c r="G245" i="2" s="1"/>
  <c r="I245" i="2" s="1"/>
  <c r="F244" i="2"/>
  <c r="G244" i="2" s="1"/>
  <c r="I244" i="2" s="1"/>
  <c r="F243" i="2"/>
  <c r="G243" i="2" s="1"/>
  <c r="I243" i="2" s="1"/>
  <c r="F242" i="2"/>
  <c r="G242" i="2" s="1"/>
  <c r="I242" i="2" s="1"/>
  <c r="F241" i="2"/>
  <c r="G241" i="2" s="1"/>
  <c r="I241" i="2" s="1"/>
  <c r="F240" i="2"/>
  <c r="G240" i="2" s="1"/>
  <c r="I240" i="2" s="1"/>
  <c r="F239" i="2"/>
  <c r="G239" i="2" s="1"/>
  <c r="I239" i="2" s="1"/>
  <c r="F238" i="2"/>
  <c r="G238" i="2" s="1"/>
  <c r="I238" i="2" s="1"/>
  <c r="F237" i="2"/>
  <c r="G237" i="2" s="1"/>
  <c r="I237" i="2" s="1"/>
  <c r="F236" i="2"/>
  <c r="G236" i="2" s="1"/>
  <c r="I236" i="2" s="1"/>
  <c r="F235" i="2"/>
  <c r="G235" i="2" s="1"/>
  <c r="I235" i="2" s="1"/>
  <c r="F234" i="2"/>
  <c r="G234" i="2" s="1"/>
  <c r="I234" i="2" s="1"/>
  <c r="F233" i="2"/>
  <c r="G233" i="2" s="1"/>
  <c r="I233" i="2" s="1"/>
  <c r="F232" i="2"/>
  <c r="G232" i="2" s="1"/>
  <c r="I232" i="2" s="1"/>
  <c r="F231" i="2"/>
  <c r="G231" i="2" s="1"/>
  <c r="I231" i="2" s="1"/>
  <c r="F230" i="2"/>
  <c r="G230" i="2" s="1"/>
  <c r="I230" i="2" s="1"/>
  <c r="F229" i="2"/>
  <c r="G229" i="2" s="1"/>
  <c r="I229" i="2" s="1"/>
  <c r="F228" i="2"/>
  <c r="G228" i="2" s="1"/>
  <c r="I228" i="2" s="1"/>
  <c r="F227" i="2"/>
  <c r="G227" i="2" s="1"/>
  <c r="I227" i="2" s="1"/>
  <c r="F226" i="2"/>
  <c r="G226" i="2" s="1"/>
  <c r="I226" i="2" s="1"/>
  <c r="F225" i="2"/>
  <c r="G225" i="2" s="1"/>
  <c r="I225" i="2" s="1"/>
  <c r="F224" i="2"/>
  <c r="G224" i="2" s="1"/>
  <c r="I224" i="2" s="1"/>
  <c r="F223" i="2"/>
  <c r="G223" i="2" s="1"/>
  <c r="I223" i="2" s="1"/>
  <c r="F222" i="2"/>
  <c r="G222" i="2" s="1"/>
  <c r="I222" i="2" s="1"/>
  <c r="F221" i="2"/>
  <c r="G221" i="2" s="1"/>
  <c r="I221" i="2" s="1"/>
  <c r="F220" i="2"/>
  <c r="G220" i="2" s="1"/>
  <c r="I220" i="2" s="1"/>
  <c r="F219" i="2"/>
  <c r="G219" i="2" s="1"/>
  <c r="I219" i="2" s="1"/>
  <c r="F218" i="2"/>
  <c r="G218" i="2" s="1"/>
  <c r="I218" i="2" s="1"/>
  <c r="F217" i="2"/>
  <c r="G217" i="2" s="1"/>
  <c r="I217" i="2" s="1"/>
  <c r="F216" i="2"/>
  <c r="G216" i="2" s="1"/>
  <c r="I216" i="2" s="1"/>
  <c r="F215" i="2"/>
  <c r="G215" i="2" s="1"/>
  <c r="I215" i="2" s="1"/>
  <c r="F214" i="2"/>
  <c r="G214" i="2" s="1"/>
  <c r="I214" i="2" s="1"/>
  <c r="F213" i="2"/>
  <c r="G213" i="2" s="1"/>
  <c r="I213" i="2" s="1"/>
  <c r="F212" i="2"/>
  <c r="G212" i="2" s="1"/>
  <c r="I212" i="2" s="1"/>
  <c r="F211" i="2"/>
  <c r="G211" i="2" s="1"/>
  <c r="I211" i="2" s="1"/>
  <c r="F210" i="2"/>
  <c r="G210" i="2" s="1"/>
  <c r="I210" i="2" s="1"/>
  <c r="F209" i="2"/>
  <c r="G209" i="2" s="1"/>
  <c r="I209" i="2" s="1"/>
  <c r="F208" i="2"/>
  <c r="G208" i="2" s="1"/>
  <c r="I208" i="2" s="1"/>
  <c r="F207" i="2"/>
  <c r="G207" i="2" s="1"/>
  <c r="I207" i="2" s="1"/>
  <c r="F206" i="2"/>
  <c r="G206" i="2" s="1"/>
  <c r="I206" i="2" s="1"/>
  <c r="F205" i="2"/>
  <c r="G205" i="2" s="1"/>
  <c r="I205" i="2" s="1"/>
  <c r="F204" i="2"/>
  <c r="G204" i="2" s="1"/>
  <c r="I204" i="2" s="1"/>
  <c r="F203" i="2"/>
  <c r="G203" i="2" s="1"/>
  <c r="I203" i="2" s="1"/>
  <c r="F202" i="2"/>
  <c r="G202" i="2" s="1"/>
  <c r="I202" i="2" s="1"/>
  <c r="F201" i="2"/>
  <c r="G201" i="2" s="1"/>
  <c r="I201" i="2" s="1"/>
  <c r="F200" i="2"/>
  <c r="G200" i="2" s="1"/>
  <c r="I200" i="2" s="1"/>
  <c r="F199" i="2"/>
  <c r="G199" i="2" s="1"/>
  <c r="I199" i="2" s="1"/>
  <c r="F198" i="2"/>
  <c r="G198" i="2" s="1"/>
  <c r="I198" i="2" s="1"/>
  <c r="F197" i="2"/>
  <c r="G197" i="2" s="1"/>
  <c r="I197" i="2" s="1"/>
  <c r="F196" i="2"/>
  <c r="G196" i="2" s="1"/>
  <c r="I196" i="2" s="1"/>
  <c r="F195" i="2"/>
  <c r="G195" i="2" s="1"/>
  <c r="I195" i="2" s="1"/>
  <c r="F194" i="2"/>
  <c r="G194" i="2" s="1"/>
  <c r="I194" i="2" s="1"/>
  <c r="F193" i="2"/>
  <c r="G193" i="2" s="1"/>
  <c r="I193" i="2" s="1"/>
  <c r="F192" i="2"/>
  <c r="G192" i="2" s="1"/>
  <c r="I192" i="2" s="1"/>
  <c r="F191" i="2"/>
  <c r="G191" i="2" s="1"/>
  <c r="I191" i="2" s="1"/>
  <c r="F190" i="2"/>
  <c r="G190" i="2" s="1"/>
  <c r="I190" i="2" s="1"/>
  <c r="F189" i="2"/>
  <c r="G189" i="2" s="1"/>
  <c r="I189" i="2" s="1"/>
  <c r="F188" i="2"/>
  <c r="G188" i="2" s="1"/>
  <c r="I188" i="2" s="1"/>
  <c r="F187" i="2"/>
  <c r="G187" i="2" s="1"/>
  <c r="I187" i="2" s="1"/>
  <c r="F186" i="2"/>
  <c r="G186" i="2" s="1"/>
  <c r="I186" i="2" s="1"/>
  <c r="F185" i="2"/>
  <c r="G185" i="2" s="1"/>
  <c r="I185" i="2" s="1"/>
  <c r="F184" i="2"/>
  <c r="G184" i="2" s="1"/>
  <c r="I184" i="2" s="1"/>
  <c r="F183" i="2"/>
  <c r="G183" i="2" s="1"/>
  <c r="I183" i="2" s="1"/>
  <c r="F182" i="2"/>
  <c r="G182" i="2" s="1"/>
  <c r="I182" i="2" s="1"/>
  <c r="F181" i="2"/>
  <c r="G181" i="2" s="1"/>
  <c r="I181" i="2" s="1"/>
  <c r="F180" i="2"/>
  <c r="G180" i="2" s="1"/>
  <c r="I180" i="2" s="1"/>
  <c r="F179" i="2"/>
  <c r="G179" i="2" s="1"/>
  <c r="I179" i="2" s="1"/>
  <c r="F178" i="2"/>
  <c r="G178" i="2" s="1"/>
  <c r="I178" i="2" s="1"/>
  <c r="F177" i="2"/>
  <c r="G177" i="2" s="1"/>
  <c r="I177" i="2" s="1"/>
  <c r="F176" i="2"/>
  <c r="G176" i="2" s="1"/>
  <c r="I176" i="2" s="1"/>
  <c r="F175" i="2"/>
  <c r="G175" i="2" s="1"/>
  <c r="I175" i="2" s="1"/>
  <c r="F174" i="2"/>
  <c r="G174" i="2" s="1"/>
  <c r="I174" i="2" s="1"/>
  <c r="F173" i="2"/>
  <c r="G173" i="2" s="1"/>
  <c r="I173" i="2" s="1"/>
  <c r="F172" i="2"/>
  <c r="G172" i="2" s="1"/>
  <c r="I172" i="2" s="1"/>
  <c r="F171" i="2"/>
  <c r="G171" i="2" s="1"/>
  <c r="I171" i="2" s="1"/>
  <c r="F170" i="2"/>
  <c r="G170" i="2" s="1"/>
  <c r="I170" i="2" s="1"/>
  <c r="F169" i="2"/>
  <c r="G169" i="2" s="1"/>
  <c r="I169" i="2" s="1"/>
  <c r="F168" i="2"/>
  <c r="G168" i="2" s="1"/>
  <c r="I168" i="2" s="1"/>
  <c r="F167" i="2"/>
  <c r="G167" i="2" s="1"/>
  <c r="I167" i="2" s="1"/>
  <c r="F166" i="2"/>
  <c r="G166" i="2" s="1"/>
  <c r="I166" i="2" s="1"/>
  <c r="F165" i="2"/>
  <c r="G165" i="2" s="1"/>
  <c r="I165" i="2" s="1"/>
  <c r="F164" i="2"/>
  <c r="G164" i="2" s="1"/>
  <c r="I164" i="2" s="1"/>
  <c r="F163" i="2"/>
  <c r="G163" i="2" s="1"/>
  <c r="I163" i="2" s="1"/>
  <c r="F162" i="2"/>
  <c r="G162" i="2" s="1"/>
  <c r="I162" i="2" s="1"/>
  <c r="F161" i="2"/>
  <c r="G161" i="2" s="1"/>
  <c r="I161" i="2" s="1"/>
  <c r="F160" i="2"/>
  <c r="G160" i="2" s="1"/>
  <c r="I160" i="2" s="1"/>
  <c r="F159" i="2"/>
  <c r="G159" i="2" s="1"/>
  <c r="I159" i="2" s="1"/>
  <c r="F158" i="2"/>
  <c r="G158" i="2" s="1"/>
  <c r="I158" i="2" s="1"/>
  <c r="F157" i="2"/>
  <c r="G157" i="2" s="1"/>
  <c r="I157" i="2" s="1"/>
  <c r="F156" i="2"/>
  <c r="G156" i="2" s="1"/>
  <c r="I156" i="2" s="1"/>
  <c r="F155" i="2"/>
  <c r="G155" i="2" s="1"/>
  <c r="I155" i="2" s="1"/>
  <c r="F154" i="2"/>
  <c r="G154" i="2" s="1"/>
  <c r="I154" i="2" s="1"/>
  <c r="F153" i="2"/>
  <c r="G153" i="2" s="1"/>
  <c r="I153" i="2" s="1"/>
  <c r="F152" i="2"/>
  <c r="G152" i="2" s="1"/>
  <c r="I152" i="2" s="1"/>
  <c r="F151" i="2"/>
  <c r="G151" i="2" s="1"/>
  <c r="I151" i="2" s="1"/>
  <c r="F150" i="2"/>
  <c r="G150" i="2" s="1"/>
  <c r="I150" i="2" s="1"/>
  <c r="F149" i="2"/>
  <c r="G149" i="2" s="1"/>
  <c r="I149" i="2" s="1"/>
  <c r="F148" i="2"/>
  <c r="G148" i="2" s="1"/>
  <c r="I148" i="2" s="1"/>
  <c r="F147" i="2"/>
  <c r="G147" i="2" s="1"/>
  <c r="I147" i="2" s="1"/>
  <c r="F146" i="2"/>
  <c r="G146" i="2" s="1"/>
  <c r="I146" i="2" s="1"/>
  <c r="F145" i="2"/>
  <c r="G145" i="2" s="1"/>
  <c r="I145" i="2" s="1"/>
  <c r="F144" i="2"/>
  <c r="G144" i="2" s="1"/>
  <c r="I144" i="2" s="1"/>
  <c r="F143" i="2"/>
  <c r="G143" i="2" s="1"/>
  <c r="I143" i="2" s="1"/>
  <c r="F142" i="2"/>
  <c r="G142" i="2" s="1"/>
  <c r="I142" i="2" s="1"/>
  <c r="F141" i="2"/>
  <c r="G141" i="2" s="1"/>
  <c r="I141" i="2" s="1"/>
  <c r="F140" i="2"/>
  <c r="G140" i="2" s="1"/>
  <c r="I140" i="2" s="1"/>
  <c r="F139" i="2"/>
  <c r="G139" i="2" s="1"/>
  <c r="I139" i="2" s="1"/>
  <c r="F138" i="2"/>
  <c r="G138" i="2" s="1"/>
  <c r="I138" i="2" s="1"/>
  <c r="F137" i="2"/>
  <c r="G137" i="2" s="1"/>
  <c r="I137" i="2" s="1"/>
  <c r="F136" i="2"/>
  <c r="G136" i="2" s="1"/>
  <c r="I136" i="2" s="1"/>
  <c r="F135" i="2"/>
  <c r="G135" i="2" s="1"/>
  <c r="I135" i="2" s="1"/>
  <c r="F134" i="2"/>
  <c r="G134" i="2" s="1"/>
  <c r="I134" i="2" s="1"/>
  <c r="F133" i="2"/>
  <c r="G133" i="2" s="1"/>
  <c r="I133" i="2" s="1"/>
  <c r="F132" i="2"/>
  <c r="G132" i="2" s="1"/>
  <c r="I132" i="2" s="1"/>
  <c r="F131" i="2"/>
  <c r="G131" i="2" s="1"/>
  <c r="I131" i="2" s="1"/>
  <c r="F130" i="2"/>
  <c r="G130" i="2" s="1"/>
  <c r="I130" i="2" s="1"/>
  <c r="F129" i="2"/>
  <c r="G129" i="2" s="1"/>
  <c r="I129" i="2" s="1"/>
  <c r="F128" i="2"/>
  <c r="G128" i="2" s="1"/>
  <c r="I128" i="2" s="1"/>
  <c r="F127" i="2"/>
  <c r="G127" i="2" s="1"/>
  <c r="I127" i="2" s="1"/>
  <c r="F126" i="2"/>
  <c r="G126" i="2" s="1"/>
  <c r="I126" i="2" s="1"/>
  <c r="F125" i="2"/>
  <c r="G125" i="2" s="1"/>
  <c r="I125" i="2" s="1"/>
  <c r="F124" i="2"/>
  <c r="G124" i="2" s="1"/>
  <c r="I124" i="2" s="1"/>
  <c r="F123" i="2"/>
  <c r="G123" i="2" s="1"/>
  <c r="I123" i="2" s="1"/>
  <c r="F122" i="2"/>
  <c r="G122" i="2" s="1"/>
  <c r="I122" i="2" s="1"/>
  <c r="F121" i="2"/>
  <c r="G121" i="2" s="1"/>
  <c r="I121" i="2" s="1"/>
  <c r="F120" i="2"/>
  <c r="G120" i="2" s="1"/>
  <c r="I120" i="2" s="1"/>
  <c r="F119" i="2"/>
  <c r="G119" i="2" s="1"/>
  <c r="I119" i="2" s="1"/>
  <c r="F118" i="2"/>
  <c r="G118" i="2" s="1"/>
  <c r="I118" i="2" s="1"/>
  <c r="F117" i="2"/>
  <c r="G117" i="2" s="1"/>
  <c r="I117" i="2" s="1"/>
  <c r="F116" i="2"/>
  <c r="G116" i="2" s="1"/>
  <c r="I116" i="2" s="1"/>
  <c r="F115" i="2"/>
  <c r="G115" i="2" s="1"/>
  <c r="I115" i="2" s="1"/>
  <c r="F114" i="2"/>
  <c r="G114" i="2" s="1"/>
  <c r="I114" i="2" s="1"/>
  <c r="F113" i="2"/>
  <c r="G113" i="2" s="1"/>
  <c r="I113" i="2" s="1"/>
  <c r="F112" i="2"/>
  <c r="G112" i="2" s="1"/>
  <c r="I112" i="2" s="1"/>
  <c r="F111" i="2"/>
  <c r="G111" i="2" s="1"/>
  <c r="I111" i="2" s="1"/>
  <c r="F110" i="2"/>
  <c r="G110" i="2" s="1"/>
  <c r="I110" i="2" s="1"/>
  <c r="F109" i="2"/>
  <c r="G109" i="2" s="1"/>
  <c r="I109" i="2" s="1"/>
  <c r="F108" i="2"/>
  <c r="G108" i="2" s="1"/>
  <c r="I108" i="2" s="1"/>
  <c r="F107" i="2"/>
  <c r="G107" i="2" s="1"/>
  <c r="I107" i="2" s="1"/>
  <c r="F106" i="2"/>
  <c r="G106" i="2" s="1"/>
  <c r="I106" i="2" s="1"/>
  <c r="F105" i="2"/>
  <c r="G105" i="2" s="1"/>
  <c r="I105" i="2" s="1"/>
  <c r="F104" i="2"/>
  <c r="G104" i="2" s="1"/>
  <c r="I104" i="2" s="1"/>
  <c r="F103" i="2"/>
  <c r="G103" i="2" s="1"/>
  <c r="I103" i="2" s="1"/>
  <c r="F102" i="2"/>
  <c r="G102" i="2" s="1"/>
  <c r="I102" i="2" s="1"/>
  <c r="F101" i="2"/>
  <c r="G101" i="2" s="1"/>
  <c r="I101" i="2" s="1"/>
  <c r="F100" i="2"/>
  <c r="G100" i="2" s="1"/>
  <c r="I100" i="2" s="1"/>
  <c r="F99" i="2"/>
  <c r="G99" i="2" s="1"/>
  <c r="I99" i="2" s="1"/>
  <c r="F98" i="2"/>
  <c r="G98" i="2" s="1"/>
  <c r="I98" i="2" s="1"/>
  <c r="F97" i="2"/>
  <c r="G97" i="2" s="1"/>
  <c r="I97" i="2" s="1"/>
  <c r="F96" i="2"/>
  <c r="G96" i="2" s="1"/>
  <c r="I96" i="2" s="1"/>
  <c r="F95" i="2"/>
  <c r="G95" i="2" s="1"/>
  <c r="I95" i="2" s="1"/>
  <c r="F94" i="2"/>
  <c r="G94" i="2" s="1"/>
  <c r="I94" i="2" s="1"/>
  <c r="F93" i="2"/>
  <c r="G93" i="2" s="1"/>
  <c r="I93" i="2" s="1"/>
  <c r="F92" i="2"/>
  <c r="G92" i="2" s="1"/>
  <c r="I92" i="2" s="1"/>
  <c r="F91" i="2"/>
  <c r="G91" i="2" s="1"/>
  <c r="I91" i="2" s="1"/>
  <c r="F90" i="2"/>
  <c r="G90" i="2" s="1"/>
  <c r="I90" i="2" s="1"/>
  <c r="F89" i="2"/>
  <c r="G89" i="2" s="1"/>
  <c r="I89" i="2" s="1"/>
  <c r="F88" i="2"/>
  <c r="G88" i="2" s="1"/>
  <c r="I88" i="2" s="1"/>
  <c r="F87" i="2"/>
  <c r="G87" i="2" s="1"/>
  <c r="I87" i="2" s="1"/>
  <c r="F86" i="2"/>
  <c r="G86" i="2" s="1"/>
  <c r="I86" i="2" s="1"/>
  <c r="F85" i="2"/>
  <c r="G85" i="2" s="1"/>
  <c r="I85" i="2" s="1"/>
  <c r="F84" i="2"/>
  <c r="G84" i="2" s="1"/>
  <c r="I84" i="2" s="1"/>
  <c r="F83" i="2"/>
  <c r="G83" i="2" s="1"/>
  <c r="I83" i="2" s="1"/>
  <c r="F82" i="2"/>
  <c r="G82" i="2" s="1"/>
  <c r="I82" i="2" s="1"/>
  <c r="F81" i="2"/>
  <c r="G81" i="2" s="1"/>
  <c r="I81" i="2" s="1"/>
  <c r="F80" i="2"/>
  <c r="G80" i="2" s="1"/>
  <c r="I80" i="2" s="1"/>
  <c r="F79" i="2"/>
  <c r="G79" i="2" s="1"/>
  <c r="I79" i="2" s="1"/>
  <c r="F78" i="2"/>
  <c r="G78" i="2" s="1"/>
  <c r="I78" i="2" s="1"/>
  <c r="F77" i="2"/>
  <c r="G77" i="2" s="1"/>
  <c r="I77" i="2" s="1"/>
  <c r="F76" i="2"/>
  <c r="G76" i="2" s="1"/>
  <c r="I76" i="2" s="1"/>
  <c r="F75" i="2"/>
  <c r="G75" i="2" s="1"/>
  <c r="I75" i="2" s="1"/>
  <c r="F74" i="2"/>
  <c r="G74" i="2" s="1"/>
  <c r="I74" i="2" s="1"/>
  <c r="F73" i="2"/>
  <c r="G73" i="2" s="1"/>
  <c r="I73" i="2" s="1"/>
  <c r="F72" i="2"/>
  <c r="G72" i="2" s="1"/>
  <c r="I72" i="2" s="1"/>
  <c r="F71" i="2"/>
  <c r="G71" i="2" s="1"/>
  <c r="I71" i="2" s="1"/>
  <c r="F70" i="2"/>
  <c r="G70" i="2" s="1"/>
  <c r="I70" i="2" s="1"/>
  <c r="F69" i="2"/>
  <c r="G69" i="2" s="1"/>
  <c r="I69" i="2" s="1"/>
  <c r="F68" i="2"/>
  <c r="G68" i="2" s="1"/>
  <c r="I68" i="2" s="1"/>
  <c r="F67" i="2"/>
  <c r="G67" i="2" s="1"/>
  <c r="I67" i="2" s="1"/>
  <c r="F66" i="2"/>
  <c r="G66" i="2" s="1"/>
  <c r="I66" i="2" s="1"/>
  <c r="F65" i="2"/>
  <c r="G65" i="2" s="1"/>
  <c r="I65" i="2" s="1"/>
  <c r="F64" i="2"/>
  <c r="G64" i="2" s="1"/>
  <c r="I64" i="2" s="1"/>
  <c r="F63" i="2"/>
  <c r="G63" i="2" s="1"/>
  <c r="I63" i="2" s="1"/>
  <c r="F62" i="2"/>
  <c r="G62" i="2" s="1"/>
  <c r="I62" i="2" s="1"/>
  <c r="F61" i="2"/>
  <c r="G61" i="2" s="1"/>
  <c r="I61" i="2" s="1"/>
  <c r="F60" i="2"/>
  <c r="G60" i="2" s="1"/>
  <c r="I60" i="2" s="1"/>
  <c r="F59" i="2"/>
  <c r="G59" i="2" s="1"/>
  <c r="I59" i="2" s="1"/>
  <c r="F58" i="2"/>
  <c r="G58" i="2" s="1"/>
  <c r="I58" i="2" s="1"/>
  <c r="F57" i="2"/>
  <c r="G57" i="2" s="1"/>
  <c r="I57" i="2" s="1"/>
  <c r="F56" i="2"/>
  <c r="G56" i="2" s="1"/>
  <c r="I56" i="2" s="1"/>
  <c r="F55" i="2"/>
  <c r="G55" i="2" s="1"/>
  <c r="I55" i="2" s="1"/>
  <c r="F54" i="2"/>
  <c r="G54" i="2" s="1"/>
  <c r="I54" i="2" s="1"/>
  <c r="F53" i="2"/>
  <c r="G53" i="2" s="1"/>
  <c r="I53" i="2" s="1"/>
  <c r="F52" i="2"/>
  <c r="G52" i="2" s="1"/>
  <c r="I52" i="2" s="1"/>
  <c r="F51" i="2"/>
  <c r="G51" i="2" s="1"/>
  <c r="I51" i="2" s="1"/>
  <c r="F50" i="2"/>
  <c r="G50" i="2" s="1"/>
  <c r="I50" i="2" s="1"/>
  <c r="F49" i="2"/>
  <c r="G49" i="2" s="1"/>
  <c r="I49" i="2" s="1"/>
  <c r="F48" i="2"/>
  <c r="G48" i="2" s="1"/>
  <c r="I48" i="2" s="1"/>
  <c r="F47" i="2"/>
  <c r="G47" i="2" s="1"/>
  <c r="I47" i="2" s="1"/>
  <c r="F46" i="2"/>
  <c r="G46" i="2" s="1"/>
  <c r="I46" i="2" s="1"/>
  <c r="F45" i="2"/>
  <c r="G45" i="2" s="1"/>
  <c r="I45" i="2" s="1"/>
  <c r="F44" i="2"/>
  <c r="G44" i="2" s="1"/>
  <c r="I44" i="2" s="1"/>
  <c r="F43" i="2"/>
  <c r="G43" i="2" s="1"/>
  <c r="I43" i="2" s="1"/>
  <c r="F42" i="2"/>
  <c r="G42" i="2" s="1"/>
  <c r="I42" i="2" s="1"/>
  <c r="F41" i="2"/>
  <c r="G41" i="2" s="1"/>
  <c r="I41" i="2" s="1"/>
  <c r="F40" i="2"/>
  <c r="G40" i="2" s="1"/>
  <c r="I40" i="2" s="1"/>
  <c r="F39" i="2"/>
  <c r="G39" i="2" s="1"/>
  <c r="I39" i="2" s="1"/>
  <c r="F38" i="2"/>
  <c r="G38" i="2" s="1"/>
  <c r="I38" i="2" s="1"/>
  <c r="F37" i="2"/>
  <c r="G37" i="2" s="1"/>
  <c r="I37" i="2" s="1"/>
  <c r="F36" i="2"/>
  <c r="G36" i="2" s="1"/>
  <c r="I36" i="2" s="1"/>
  <c r="F35" i="2"/>
  <c r="G35" i="2" s="1"/>
  <c r="I35" i="2" s="1"/>
  <c r="F34" i="2"/>
  <c r="G34" i="2" s="1"/>
  <c r="I34" i="2" s="1"/>
  <c r="F33" i="2"/>
  <c r="G33" i="2" s="1"/>
  <c r="I33" i="2" s="1"/>
  <c r="F32" i="2"/>
  <c r="G32" i="2" s="1"/>
  <c r="I32" i="2" s="1"/>
  <c r="F31" i="2"/>
  <c r="G31" i="2" s="1"/>
  <c r="I31" i="2" s="1"/>
  <c r="F30" i="2"/>
  <c r="G30" i="2" s="1"/>
  <c r="I30" i="2" s="1"/>
  <c r="F29" i="2"/>
  <c r="G29" i="2" s="1"/>
  <c r="I29" i="2" s="1"/>
  <c r="F28" i="2"/>
  <c r="G28" i="2" s="1"/>
  <c r="I28" i="2" s="1"/>
  <c r="F27" i="2"/>
  <c r="G27" i="2" s="1"/>
  <c r="I27" i="2" s="1"/>
  <c r="F26" i="2"/>
  <c r="G26" i="2" s="1"/>
  <c r="I26" i="2" s="1"/>
  <c r="F25" i="2"/>
  <c r="G25" i="2" s="1"/>
  <c r="I25" i="2" s="1"/>
  <c r="F24" i="2"/>
  <c r="G24" i="2" s="1"/>
  <c r="I24" i="2" s="1"/>
  <c r="F23" i="2"/>
  <c r="G23" i="2" s="1"/>
  <c r="I22" i="2"/>
  <c r="I21" i="2"/>
  <c r="I20" i="2"/>
  <c r="I19" i="2"/>
  <c r="F19" i="2"/>
  <c r="I18" i="2"/>
  <c r="I17" i="2"/>
  <c r="I16" i="2"/>
  <c r="I15" i="2"/>
  <c r="I14" i="2"/>
  <c r="I13" i="2"/>
  <c r="I12" i="2"/>
  <c r="F12" i="2"/>
  <c r="I11" i="2"/>
  <c r="I10" i="2"/>
  <c r="I9" i="2"/>
  <c r="I8" i="2"/>
  <c r="I7" i="2"/>
  <c r="G691" i="3" l="1"/>
  <c r="I691" i="3" s="1"/>
  <c r="H635" i="3"/>
  <c r="I635" i="3" s="1"/>
  <c r="I992" i="2"/>
  <c r="G5" i="3"/>
  <c r="I7" i="3"/>
  <c r="I5" i="3" s="1"/>
  <c r="H3" i="3" s="1"/>
  <c r="F5" i="3"/>
  <c r="I23" i="2"/>
  <c r="F569" i="2"/>
  <c r="G569" i="2" l="1"/>
  <c r="G6" i="2" s="1"/>
  <c r="F6" i="2"/>
  <c r="I569" i="2" l="1"/>
  <c r="I6" i="2" s="1"/>
  <c r="L2" i="2" s="1"/>
  <c r="K671" i="3" l="1"/>
  <c r="K673" i="3" s="1"/>
  <c r="G3" i="3"/>
  <c r="I3" i="3" l="1"/>
  <c r="J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B3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3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3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B4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20/1</t>
        </r>
      </text>
    </comment>
    <comment ref="B4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21/1</t>
        </r>
      </text>
    </comment>
    <comment ref="B4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5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5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6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6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6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7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</t>
        </r>
      </text>
    </comment>
    <comment ref="B7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Administrator:22/1</t>
        </r>
      </text>
    </comment>
    <comment ref="B7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5/1</t>
        </r>
      </text>
    </comment>
    <comment ref="B7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</t>
        </r>
      </text>
    </comment>
    <comment ref="B7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</t>
        </r>
      </text>
    </comment>
    <comment ref="B7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27/12</t>
        </r>
      </text>
    </comment>
    <comment ref="B8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27/12</t>
        </r>
      </text>
    </comment>
    <comment ref="B8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30/12</t>
        </r>
      </text>
    </comment>
    <comment ref="B8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30/12</t>
        </r>
      </text>
    </comment>
    <comment ref="B8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30/12</t>
        </r>
      </text>
    </comment>
    <comment ref="B85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30/12</t>
        </r>
      </text>
    </comment>
    <comment ref="B8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23/12</t>
        </r>
      </text>
    </comment>
    <comment ref="B9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23/12</t>
        </r>
      </text>
    </comment>
    <comment ref="B91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30/12</t>
        </r>
      </text>
    </comment>
    <comment ref="B103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22/9</t>
        </r>
      </text>
    </comment>
    <comment ref="B107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25/9</t>
        </r>
      </text>
    </comment>
    <comment ref="B11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30/9</t>
        </r>
      </text>
    </comment>
    <comment ref="B111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4/10</t>
        </r>
      </text>
    </comment>
    <comment ref="B113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24/8</t>
        </r>
      </text>
    </comment>
    <comment ref="B11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28/08</t>
        </r>
      </text>
    </comment>
    <comment ref="B122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13/09</t>
        </r>
      </text>
    </comment>
    <comment ref="B124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7/8</t>
        </r>
      </text>
    </comment>
    <comment ref="B12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11/8</t>
        </r>
      </text>
    </comment>
    <comment ref="B130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14/8</t>
        </r>
      </text>
    </comment>
    <comment ref="B13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16/8</t>
        </r>
      </text>
    </comment>
    <comment ref="B133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17/8</t>
        </r>
      </text>
    </comment>
    <comment ref="B14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24/7</t>
        </r>
      </text>
    </comment>
    <comment ref="B150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25/7</t>
        </r>
      </text>
    </comment>
    <comment ref="B15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1/8</t>
        </r>
      </text>
    </comment>
    <comment ref="B163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16/8</t>
        </r>
      </text>
    </comment>
    <comment ref="B167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3/7</t>
        </r>
      </text>
    </comment>
    <comment ref="B175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10/7</t>
        </r>
      </text>
    </comment>
    <comment ref="B188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12/6</t>
        </r>
      </text>
    </comment>
    <comment ref="B190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16/6</t>
        </r>
      </text>
    </comment>
    <comment ref="B192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19/6</t>
        </r>
      </text>
    </comment>
    <comment ref="B193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24/6</t>
        </r>
      </text>
    </comment>
    <comment ref="B198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16/5</t>
        </r>
      </text>
    </comment>
    <comment ref="B199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18/5/2023</t>
        </r>
      </text>
    </comment>
    <comment ref="B202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20/5</t>
        </r>
      </text>
    </comment>
    <comment ref="B206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27/5</t>
        </r>
      </text>
    </comment>
    <comment ref="B213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2/6/2023</t>
        </r>
      </text>
    </comment>
    <comment ref="B219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9/6</t>
        </r>
      </text>
    </comment>
    <comment ref="B224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3/5/2023</t>
        </r>
      </text>
    </comment>
    <comment ref="B227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13/9</t>
        </r>
      </text>
    </comment>
    <comment ref="B232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6/5/2023</t>
        </r>
      </text>
    </comment>
    <comment ref="B234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14/9</t>
        </r>
      </text>
    </comment>
    <comment ref="B243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19/9</t>
        </r>
      </text>
    </comment>
    <comment ref="B247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19/9</t>
        </r>
      </text>
    </comment>
    <comment ref="B277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30/9</t>
        </r>
      </text>
    </comment>
    <comment ref="B281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5/10</t>
        </r>
      </text>
    </comment>
    <comment ref="B288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10/4</t>
        </r>
      </text>
    </comment>
    <comment ref="B298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18/10</t>
        </r>
      </text>
    </comment>
    <comment ref="B30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21/10</t>
        </r>
      </text>
    </comment>
    <comment ref="B305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21/10</t>
        </r>
      </text>
    </comment>
    <comment ref="B315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28/10</t>
        </r>
      </text>
    </comment>
    <comment ref="B318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28/10- HĐ 1890</t>
        </r>
      </text>
    </comment>
    <comment ref="B330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9/11</t>
        </r>
      </text>
    </comment>
    <comment ref="B337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17/4</t>
        </r>
      </text>
    </comment>
    <comment ref="B347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26/11</t>
        </r>
      </text>
    </comment>
    <comment ref="B349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26/11</t>
        </r>
      </text>
    </comment>
    <comment ref="B350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26/11</t>
        </r>
      </text>
    </comment>
    <comment ref="B351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B359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4/12</t>
        </r>
      </text>
    </comment>
    <comment ref="B367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7/12- 2829 ngày 27/12</t>
        </r>
      </text>
    </comment>
    <comment ref="B375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10/12</t>
        </r>
      </text>
    </comment>
    <comment ref="B376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10/12</t>
        </r>
      </text>
    </comment>
    <comment ref="B397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20/4</t>
        </r>
      </text>
    </comment>
    <comment ref="B403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21/4</t>
        </r>
      </text>
    </comment>
    <comment ref="B404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24/4</t>
        </r>
      </text>
    </comment>
    <comment ref="B405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25/4</t>
        </r>
      </text>
    </comment>
    <comment ref="B410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15/3</t>
        </r>
      </text>
    </comment>
    <comment ref="B41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29/3/2023</t>
        </r>
      </text>
    </comment>
    <comment ref="B415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1/4/2023</t>
        </r>
      </text>
    </comment>
    <comment ref="B417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1/4/2023</t>
        </r>
      </text>
    </comment>
    <comment ref="B418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3/4/2023</t>
        </r>
      </text>
    </comment>
    <comment ref="B421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8/4/2023</t>
        </r>
      </text>
    </comment>
    <comment ref="B424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24/2</t>
        </r>
      </text>
    </comment>
    <comment ref="B435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11/3</t>
        </r>
      </text>
    </comment>
    <comment ref="B440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4/2</t>
        </r>
      </text>
    </comment>
    <comment ref="B442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6/2</t>
        </r>
      </text>
    </comment>
    <comment ref="B448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9/2</t>
        </r>
      </text>
    </comment>
    <comment ref="B461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</t>
        </r>
      </text>
    </comment>
    <comment ref="B46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</t>
        </r>
      </text>
    </comment>
    <comment ref="B463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</t>
        </r>
      </text>
    </comment>
    <comment ref="B464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11/1- HĐ 268 ngày 02/02</t>
        </r>
      </text>
    </comment>
    <comment ref="B465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</t>
        </r>
      </text>
    </comment>
    <comment ref="B466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26/12/2022</t>
        </r>
      </text>
    </comment>
    <comment ref="B483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</t>
        </r>
      </text>
    </comment>
    <comment ref="B490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17/3/2023</t>
        </r>
      </text>
    </comment>
    <comment ref="B509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</t>
        </r>
      </text>
    </comment>
    <comment ref="B517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7/9</t>
        </r>
      </text>
    </comment>
    <comment ref="B547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17/9</t>
        </r>
      </text>
    </comment>
    <comment ref="B548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17/9</t>
        </r>
      </text>
    </comment>
    <comment ref="B561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25/7</t>
        </r>
      </text>
    </comment>
    <comment ref="B567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5/8</t>
        </r>
      </text>
    </comment>
    <comment ref="B569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5/8</t>
        </r>
      </text>
    </comment>
    <comment ref="B570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6/8</t>
        </r>
      </text>
    </comment>
    <comment ref="B587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13/8</t>
        </r>
      </text>
    </comment>
    <comment ref="B596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20/7</t>
        </r>
      </text>
    </comment>
    <comment ref="B599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19/8</t>
        </r>
      </text>
    </comment>
    <comment ref="B607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3/8</t>
        </r>
      </text>
    </comment>
    <comment ref="B635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18/6</t>
        </r>
      </text>
    </comment>
    <comment ref="B640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2/7</t>
        </r>
      </text>
    </comment>
    <comment ref="B641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2/7</t>
        </r>
      </text>
    </comment>
    <comment ref="B652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4/10</t>
        </r>
      </text>
    </comment>
    <comment ref="B655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6/10</t>
        </r>
      </text>
    </comment>
    <comment ref="B656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9/10</t>
        </r>
      </text>
    </comment>
    <comment ref="B657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11/10</t>
        </r>
      </text>
    </comment>
    <comment ref="B660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14/10</t>
        </r>
      </text>
    </comment>
    <comment ref="B661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16/10</t>
        </r>
      </text>
    </comment>
    <comment ref="B671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30/10</t>
        </r>
      </text>
    </comment>
    <comment ref="B676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4/11</t>
        </r>
      </text>
    </comment>
    <comment ref="B679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9/11</t>
        </r>
      </text>
    </comment>
    <comment ref="B681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13/11</t>
        </r>
      </text>
    </comment>
    <comment ref="B684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14/11</t>
        </r>
      </text>
    </comment>
    <comment ref="B685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16/11</t>
        </r>
      </text>
    </comment>
    <comment ref="B687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22/11</t>
        </r>
      </text>
    </comment>
    <comment ref="B694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24/11</t>
        </r>
      </text>
    </comment>
    <comment ref="B698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1/12</t>
        </r>
      </text>
    </comment>
    <comment ref="B699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2/12</t>
        </r>
      </text>
    </comment>
    <comment ref="B701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8/12</t>
        </r>
      </text>
    </comment>
    <comment ref="B702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8/12</t>
        </r>
      </text>
    </comment>
    <comment ref="B703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16/12</t>
        </r>
      </text>
    </comment>
    <comment ref="B704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16/12</t>
        </r>
      </text>
    </comment>
    <comment ref="B705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216/12</t>
        </r>
      </text>
    </comment>
    <comment ref="B706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16/12</t>
        </r>
      </text>
    </comment>
    <comment ref="B707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21/12</t>
        </r>
      </text>
    </comment>
    <comment ref="B712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25/12</t>
        </r>
      </text>
    </comment>
    <comment ref="B724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12/7</t>
        </r>
      </text>
    </comment>
    <comment ref="B731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21/6</t>
        </r>
      </text>
    </comment>
    <comment ref="B779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28/5</t>
        </r>
      </text>
    </comment>
    <comment ref="B799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19/2
HĐ Thay thế 1341 (02/04/24)</t>
        </r>
      </text>
    </comment>
    <comment ref="C799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Thay thế cho HĐ 1341 ngày 02/04
</t>
        </r>
      </text>
    </comment>
    <comment ref="B801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19/2</t>
        </r>
      </text>
    </comment>
    <comment ref="B804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23/2</t>
        </r>
      </text>
    </comment>
    <comment ref="B806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23/2</t>
        </r>
      </text>
    </comment>
    <comment ref="B809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2/3</t>
        </r>
      </text>
    </comment>
    <comment ref="B810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2/3</t>
        </r>
      </text>
    </comment>
    <comment ref="B811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6/3</t>
        </r>
      </text>
    </comment>
    <comment ref="B815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8/3</t>
        </r>
      </text>
    </comment>
    <comment ref="B817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8/3</t>
        </r>
      </text>
    </comment>
    <comment ref="B818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8/3</t>
        </r>
      </text>
    </comment>
    <comment ref="B820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8/3</t>
        </r>
      </text>
    </comment>
    <comment ref="B825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16/3</t>
        </r>
      </text>
    </comment>
    <comment ref="B829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25/3</t>
        </r>
      </text>
    </comment>
    <comment ref="B832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29/3</t>
        </r>
      </text>
    </comment>
    <comment ref="B833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30/3</t>
        </r>
      </text>
    </comment>
    <comment ref="B834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4/4</t>
        </r>
      </text>
    </comment>
    <comment ref="B836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8/4</t>
        </r>
      </text>
    </comment>
    <comment ref="B843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22/4</t>
        </r>
      </text>
    </comment>
    <comment ref="B844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23/4</t>
        </r>
      </text>
    </comment>
    <comment ref="B847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26/4</t>
        </r>
      </text>
    </comment>
    <comment ref="B851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4/5/2024</t>
        </r>
      </text>
    </comment>
    <comment ref="B854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10/5/2024</t>
        </r>
      </text>
    </comment>
    <comment ref="B855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10/5/2024</t>
        </r>
      </text>
    </comment>
    <comment ref="B860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17/05
</t>
        </r>
      </text>
    </comment>
    <comment ref="L860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</t>
        </r>
      </text>
    </comment>
    <comment ref="L861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</t>
        </r>
      </text>
    </comment>
    <comment ref="B862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24/05
</t>
        </r>
      </text>
    </comment>
    <comment ref="B866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25/05
</t>
        </r>
      </text>
    </comment>
    <comment ref="L866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</t>
        </r>
      </text>
    </comment>
    <comment ref="L868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</t>
        </r>
      </text>
    </comment>
    <comment ref="B871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31/05
</t>
        </r>
      </text>
    </comment>
    <comment ref="L871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</t>
        </r>
      </text>
    </comment>
    <comment ref="B872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31/05
</t>
        </r>
      </text>
    </comment>
    <comment ref="L872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
</t>
        </r>
      </text>
    </comment>
    <comment ref="B880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14/06</t>
        </r>
      </text>
    </comment>
    <comment ref="B883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15/06</t>
        </r>
      </text>
    </comment>
    <comment ref="B884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17/06
</t>
        </r>
      </text>
    </comment>
    <comment ref="B885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22/06</t>
        </r>
      </text>
    </comment>
    <comment ref="B886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22/06</t>
        </r>
      </text>
    </comment>
    <comment ref="L889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</t>
        </r>
      </text>
    </comment>
    <comment ref="B890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28/06</t>
        </r>
      </text>
    </comment>
    <comment ref="L890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</t>
        </r>
      </text>
    </comment>
    <comment ref="B891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chỉ có PGH
</t>
        </r>
      </text>
    </comment>
    <comment ref="L891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PO</t>
        </r>
      </text>
    </comment>
    <comment ref="L892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PO</t>
        </r>
      </text>
    </comment>
    <comment ref="B901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19/07</t>
        </r>
      </text>
    </comment>
    <comment ref="B902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26/07</t>
        </r>
      </text>
    </comment>
    <comment ref="B907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02/08</t>
        </r>
      </text>
    </comment>
    <comment ref="B909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09/08</t>
        </r>
      </text>
    </comment>
    <comment ref="B911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09/8
</t>
        </r>
      </text>
    </comment>
    <comment ref="B913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14/08</t>
        </r>
      </text>
    </comment>
    <comment ref="B916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16/08</t>
        </r>
      </text>
    </comment>
    <comment ref="B924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23/08</t>
        </r>
      </text>
    </comment>
    <comment ref="B926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23/08</t>
        </r>
      </text>
    </comment>
    <comment ref="B927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24/08</t>
        </r>
      </text>
    </comment>
    <comment ref="B932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30/08</t>
        </r>
      </text>
    </comment>
    <comment ref="B936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9/9</t>
        </r>
      </text>
    </comment>
    <comment ref="B937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13/9</t>
        </r>
      </text>
    </comment>
    <comment ref="B941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20/9</t>
        </r>
      </text>
    </comment>
    <comment ref="B950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4/10</t>
        </r>
      </text>
    </comment>
    <comment ref="B951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04/10/2024</t>
        </r>
      </text>
    </comment>
    <comment ref="B952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11/10</t>
        </r>
      </text>
    </comment>
    <comment ref="B955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15/10</t>
        </r>
      </text>
    </comment>
    <comment ref="B957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18/10</t>
        </r>
      </text>
    </comment>
    <comment ref="B962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25/10</t>
        </r>
      </text>
    </comment>
    <comment ref="B964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25/10</t>
        </r>
      </text>
    </comment>
    <comment ref="B966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02/11</t>
        </r>
      </text>
    </comment>
    <comment ref="B971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8/11</t>
        </r>
      </text>
    </comment>
    <comment ref="B972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09/11</t>
        </r>
      </text>
    </comment>
    <comment ref="B976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15/11</t>
        </r>
      </text>
    </comment>
    <comment ref="B983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22/11</t>
        </r>
      </text>
    </comment>
    <comment ref="B984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23/11</t>
        </r>
      </text>
    </comment>
    <comment ref="B989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29/11</t>
        </r>
      </text>
    </comment>
    <comment ref="B992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6/12</t>
        </r>
      </text>
    </comment>
    <comment ref="B993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6/12</t>
        </r>
      </text>
    </comment>
    <comment ref="B996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10/12</t>
        </r>
      </text>
    </comment>
    <comment ref="B1004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11/12</t>
        </r>
      </text>
    </comment>
    <comment ref="B1005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11/12</t>
        </r>
      </text>
    </comment>
    <comment ref="B1007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13/12</t>
        </r>
      </text>
    </comment>
    <comment ref="B1009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14/12</t>
        </r>
      </text>
    </comment>
    <comment ref="B1010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14/12</t>
        </r>
      </text>
    </comment>
    <comment ref="B1011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14/12</t>
        </r>
      </text>
    </comment>
    <comment ref="B1012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17/12</t>
        </r>
      </text>
    </comment>
    <comment ref="B1015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17/12</t>
        </r>
      </text>
    </comment>
    <comment ref="B1016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17/12</t>
        </r>
      </text>
    </comment>
    <comment ref="B1017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17/12</t>
        </r>
      </text>
    </comment>
    <comment ref="B1021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20/12</t>
        </r>
      </text>
    </comment>
    <comment ref="B1023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21/12</t>
        </r>
      </text>
    </comment>
    <comment ref="B1026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27/12</t>
        </r>
      </text>
    </comment>
    <comment ref="B1032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</t>
        </r>
      </text>
    </comment>
    <comment ref="B1033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6/1</t>
        </r>
      </text>
    </comment>
    <comment ref="B1034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10/1</t>
        </r>
      </text>
    </comment>
    <comment ref="B1035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</t>
        </r>
      </text>
    </comment>
    <comment ref="B1045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8/2</t>
        </r>
      </text>
    </comment>
    <comment ref="B1047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14/2</t>
        </r>
      </text>
    </comment>
    <comment ref="B1051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14/2</t>
        </r>
      </text>
    </comment>
    <comment ref="B1060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21/2</t>
        </r>
      </text>
    </comment>
    <comment ref="B1063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1/3</t>
        </r>
      </text>
    </comment>
    <comment ref="B1064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1/3</t>
        </r>
      </text>
    </comment>
    <comment ref="B1073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7/3</t>
        </r>
      </text>
    </comment>
    <comment ref="B1076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8/3</t>
        </r>
      </text>
    </comment>
    <comment ref="B1077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15/3</t>
        </r>
      </text>
    </comment>
    <comment ref="B1078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15/3</t>
        </r>
      </text>
    </comment>
    <comment ref="B1081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15/3</t>
        </r>
      </text>
    </comment>
    <comment ref="B1083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21/3</t>
        </r>
      </text>
    </comment>
    <comment ref="B1087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22/3</t>
        </r>
      </text>
    </comment>
    <comment ref="B1088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24/3</t>
        </r>
      </text>
    </comment>
    <comment ref="B1092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28/3</t>
        </r>
      </text>
    </comment>
    <comment ref="B1094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28/3</t>
        </r>
      </text>
    </comment>
    <comment ref="B1101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5/4</t>
        </r>
      </text>
    </comment>
    <comment ref="B1102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5/4</t>
        </r>
      </text>
    </comment>
    <comment ref="B1106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11/4</t>
        </r>
      </text>
    </comment>
    <comment ref="B1113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18/4</t>
        </r>
      </text>
    </comment>
    <comment ref="B1117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25/4</t>
        </r>
      </text>
    </comment>
    <comment ref="B1118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25/4</t>
        </r>
      </text>
    </comment>
    <comment ref="B1120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29/4</t>
        </r>
      </text>
    </comment>
    <comment ref="B1123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3/5</t>
        </r>
      </text>
    </comment>
    <comment ref="B1124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3/5</t>
        </r>
      </text>
    </comment>
    <comment ref="B1126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9/5</t>
        </r>
      </text>
    </comment>
    <comment ref="B1132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12/5</t>
        </r>
      </text>
    </comment>
    <comment ref="B1133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16/5</t>
        </r>
      </text>
    </comment>
    <comment ref="B1137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16/5</t>
        </r>
      </text>
    </comment>
    <comment ref="B1143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23/5</t>
        </r>
      </text>
    </comment>
    <comment ref="B1145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26/5</t>
        </r>
      </text>
    </comment>
    <comment ref="B1147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26/5</t>
        </r>
      </text>
    </comment>
    <comment ref="B1149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30/5</t>
        </r>
      </text>
    </comment>
    <comment ref="B1153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31/5</t>
        </r>
      </text>
    </comment>
    <comment ref="B1156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6/6</t>
        </r>
      </text>
    </comment>
    <comment ref="B1332" authorId="0" shapeId="0" xr:uid="{00000000-0006-0000-0000-000011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29/10</t>
        </r>
      </text>
    </comment>
    <comment ref="B1347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29/10</t>
        </r>
      </text>
    </comment>
    <comment ref="B1348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29/10</t>
        </r>
      </text>
    </comment>
    <comment ref="B1351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12/11</t>
        </r>
      </text>
    </comment>
    <comment ref="B1456" authorId="0" shapeId="0" xr:uid="{00000000-0006-0000-0000-000015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26/12</t>
        </r>
      </text>
    </comment>
    <comment ref="B1580" authorId="0" shapeId="0" xr:uid="{00000000-0006-0000-0000-000016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26/1</t>
        </r>
      </text>
    </comment>
    <comment ref="B1634" authorId="0" shapeId="0" xr:uid="{00000000-0006-0000-0000-000017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9/2</t>
        </r>
      </text>
    </comment>
    <comment ref="B1639" authorId="0" shapeId="0" xr:uid="{00000000-0006-0000-0000-000018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9/2</t>
        </r>
      </text>
    </comment>
    <comment ref="B1695" authorId="0" shapeId="0" xr:uid="{00000000-0006-0000-0000-000019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22/3</t>
        </r>
      </text>
    </comment>
    <comment ref="B1696" authorId="0" shapeId="0" xr:uid="{00000000-0006-0000-0000-00001A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22/3</t>
        </r>
      </text>
    </comment>
    <comment ref="B1706" authorId="0" shapeId="0" xr:uid="{00000000-0006-0000-0000-00001B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22/3</t>
        </r>
      </text>
    </comment>
    <comment ref="B1713" authorId="0" shapeId="0" xr:uid="{00000000-0006-0000-0000-00001C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22/3</t>
        </r>
      </text>
    </comment>
    <comment ref="B1715" authorId="0" shapeId="0" xr:uid="{00000000-0006-0000-0000-00001D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22/3</t>
        </r>
      </text>
    </comment>
    <comment ref="B1920" authorId="0" shapeId="0" xr:uid="{00000000-0006-0000-0000-00001E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29/5</t>
        </r>
      </text>
    </comment>
    <comment ref="B1942" authorId="0" shapeId="0" xr:uid="{00000000-0006-0000-0000-00001F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13/6</t>
        </r>
      </text>
    </comment>
    <comment ref="B1954" authorId="0" shapeId="0" xr:uid="{00000000-0006-0000-0000-00002001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13/6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15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14/3</t>
        </r>
      </text>
    </comment>
  </commentList>
</comments>
</file>

<file path=xl/sharedStrings.xml><?xml version="1.0" encoding="utf-8"?>
<sst xmlns="http://schemas.openxmlformats.org/spreadsheetml/2006/main" count="8146" uniqueCount="3863">
  <si>
    <t>CÔNG NỢ VINCOM</t>
  </si>
  <si>
    <t>T2-T26 Times City, 458 Minh Khai, Hai Bà Trưng, Hà Nội</t>
  </si>
  <si>
    <t>Tầng B1,TTTM Thảo Điền, 159 Xa Lộ Hà Nội, Q2, TP HCM</t>
  </si>
  <si>
    <t>Tên khác hàng: CÔNG TY TNHH VINCOM</t>
  </si>
  <si>
    <t>Nguyễn thị thúy KSHĐ-</t>
  </si>
  <si>
    <t>0933.589.788 - Lan Anh</t>
  </si>
  <si>
    <t>Đơn vị tính: VNĐ</t>
  </si>
  <si>
    <t>v.chieunt@vincommerce.com</t>
  </si>
  <si>
    <t>Tên khách hàng</t>
  </si>
  <si>
    <t>HĐ thay thế</t>
  </si>
  <si>
    <t>Date HĐ</t>
  </si>
  <si>
    <t>Số tiền</t>
  </si>
  <si>
    <t>Ngày gửi chứng từ thanh toán</t>
  </si>
  <si>
    <t>Ngày TT</t>
  </si>
  <si>
    <t>Ghi Chú</t>
  </si>
  <si>
    <t>v.anhlt13@vincommerce.com</t>
  </si>
  <si>
    <t>Dịch vụ</t>
  </si>
  <si>
    <t>VAT 8%</t>
  </si>
  <si>
    <t>TỔNG</t>
  </si>
  <si>
    <t>Số đã trả</t>
  </si>
  <si>
    <t>Số còn nợ</t>
  </si>
  <si>
    <t>Ms Oanh: 0972  995 935</t>
  </si>
  <si>
    <t>028.7308.1368- ex:5011 Ms Lan Anh</t>
  </si>
  <si>
    <t>Thanh toán</t>
  </si>
  <si>
    <t>TỔNG CỘNG</t>
  </si>
  <si>
    <t>v.oanhntt1@vincommerce.com</t>
  </si>
  <si>
    <t>028.7308.1368- ex:5011 Lan Anh</t>
  </si>
  <si>
    <t>Dư nợ Tháng 05/2022</t>
  </si>
  <si>
    <t>0283.975.9568</t>
  </si>
  <si>
    <t>CHI NHÁNH BÌNH DƯƠNG - CÔNG TY CỔ PHẦN DỊCH VỤ THƯƠNG MẠI TỔNG HỢP WINCOMMERCE</t>
  </si>
  <si>
    <t>00002452</t>
  </si>
  <si>
    <t>05/09/2023</t>
  </si>
  <si>
    <t>HỦY ĐƠN</t>
  </si>
  <si>
    <t>CHI NHÁNH ĐÀ NẴNG - CÔNG TY CỔ PHẦN DỊCH VỤ THƯƠNG MẠI TỔNG HỢP WINCOMMERCE</t>
  </si>
  <si>
    <t>00000239</t>
  </si>
  <si>
    <t>16/06/2022</t>
  </si>
  <si>
    <t>HỦY</t>
  </si>
  <si>
    <t>Chi nhánh Hưng Yên - Công ty Cổ phần Dịch vụ Thương mại Tổng hợp Wincommerce</t>
  </si>
  <si>
    <t>00000289</t>
  </si>
  <si>
    <t>18/06/2022</t>
  </si>
  <si>
    <t>00001310</t>
  </si>
  <si>
    <t>19/09/2022</t>
  </si>
  <si>
    <t>00001073</t>
  </si>
  <si>
    <t>31/08/2022</t>
  </si>
  <si>
    <t>HOÀN</t>
  </si>
  <si>
    <t>00001077</t>
  </si>
  <si>
    <t>00001529</t>
  </si>
  <si>
    <t>10/10/2022</t>
  </si>
  <si>
    <t>00001954</t>
  </si>
  <si>
    <t>19/11/2022</t>
  </si>
  <si>
    <t>00001955</t>
  </si>
  <si>
    <t>00001956</t>
  </si>
  <si>
    <t>00002062</t>
  </si>
  <si>
    <t>22/11/2022</t>
  </si>
  <si>
    <t>00002883</t>
  </si>
  <si>
    <t>30/12/2022</t>
  </si>
  <si>
    <t>CHI NHÁNH HẢI PHÒNG - CÔNG TY CỔ PHẦN DỊCH VỤ THƯƠNG MẠI TỔNG HỢP WINCOMMERCE</t>
  </si>
  <si>
    <t>00001957</t>
  </si>
  <si>
    <t>18/07/2023</t>
  </si>
  <si>
    <t>CHI NHÁNH QUẢNG NINH - CÔNG TY CỔ PHẦN DỊCH VỤ THƯƠNG MẠI TỔNG HỢP WINCOMMERCE</t>
  </si>
  <si>
    <t>00000422</t>
  </si>
  <si>
    <t>22/01/2024</t>
  </si>
  <si>
    <t>HÀNG HOÀN</t>
  </si>
  <si>
    <t>CHI NHÁNH PHÚ THỌ - CÔNG TY CỔ PHẦN DỊCH VỤ THƯƠNG MẠI TỔNG HỢP WINCOMMERCE</t>
  </si>
  <si>
    <t>00000457</t>
  </si>
  <si>
    <t>hoàn</t>
  </si>
  <si>
    <t>CHI NHÁNH CẦN THƠ - CÔNG TY CỔ PHẦN DỊCH VỤ THƯƠNG MẠI TỔNG HỢP WINCOMMERCE</t>
  </si>
  <si>
    <t>00000390</t>
  </si>
  <si>
    <t>20/01/2024</t>
  </si>
  <si>
    <t>CHI NHÁNH THÁI NGUYÊN - CÔNG TY CỔ PHẦN DỊCH VỤ THƯƠNG MẠI TỔNG HỢP WINCOMMERCE</t>
  </si>
  <si>
    <t>00000428</t>
  </si>
  <si>
    <t>CHI NHÁNH HÀ NỘI - CÔNG TY CỔ PHẦN DỊCH VỤ THƯƠNG MẠI TỔNG HỢP WINCOMMERCE</t>
  </si>
  <si>
    <t>00000500</t>
  </si>
  <si>
    <t>23/01/2024</t>
  </si>
  <si>
    <t>00000578</t>
  </si>
  <si>
    <t>00000241</t>
  </si>
  <si>
    <t>13/01/2024</t>
  </si>
  <si>
    <t>Công ty Cổ phần Dịch vụ Thương mại Tổng hợp Wincommerce</t>
  </si>
  <si>
    <t>00000324</t>
  </si>
  <si>
    <t>17/01/2024</t>
  </si>
  <si>
    <t>00000416</t>
  </si>
  <si>
    <t>CHI NHÁNH HÀ TĨNH- CÔNG TY CỔ PHẦN DỊCH VỤ THƯƠNG MẠI TỔNG HỢP WINCOMMERCE</t>
  </si>
  <si>
    <t>00000426</t>
  </si>
  <si>
    <t>CHI NHÁNH LAI CHÂU - CÔNG TY CỔ PHẦN DỊCH VỤ THƯƠNG MẠI TỔNG HỢP WINCOMMERCE</t>
  </si>
  <si>
    <t>00000435</t>
  </si>
  <si>
    <t>CHI NHÁNH NGHỆ AN - CÔNG TY CỔ PHẦN DỊCH VỤ THƯƠNG MẠI TỔNG HỢP WINCOMMERCE</t>
  </si>
  <si>
    <t>00000436</t>
  </si>
  <si>
    <t>00000445</t>
  </si>
  <si>
    <t>CHI NHÁNH THANH HÓA - CÔNG TY CỔ PHẦN DỊCH VỤ THƯƠNG MẠI TỔNG HỢP WINCOMMERCE</t>
  </si>
  <si>
    <t>00000446</t>
  </si>
  <si>
    <t>CHI NHÁNH TUYÊN QUANG- CÔNG TY CỔ PHẦN DỊCH VỤ THƯƠNG MẠI TỔNG HỢP WINCOMMERCE</t>
  </si>
  <si>
    <t>00000458</t>
  </si>
  <si>
    <t>00000531</t>
  </si>
  <si>
    <t>00000656</t>
  </si>
  <si>
    <t>02/02/2024</t>
  </si>
  <si>
    <t>00000657</t>
  </si>
  <si>
    <t>00000355</t>
  </si>
  <si>
    <t>00000356</t>
  </si>
  <si>
    <t>00000389</t>
  </si>
  <si>
    <t>00000391</t>
  </si>
  <si>
    <t>00000392</t>
  </si>
  <si>
    <t>00000400</t>
  </si>
  <si>
    <t>CHI NHÁNH HÀ NỘI- CÔNG TY CỔ PHẦN DỊCH VỤ THƯƠNG MẠI TỔNG HỢP VINCOMMERCE</t>
  </si>
  <si>
    <t>00000411</t>
  </si>
  <si>
    <t>00000417</t>
  </si>
  <si>
    <t>00000419</t>
  </si>
  <si>
    <t>00000420</t>
  </si>
  <si>
    <t>00000427</t>
  </si>
  <si>
    <t>00000433</t>
  </si>
  <si>
    <t>00000434</t>
  </si>
  <si>
    <t>00000442</t>
  </si>
  <si>
    <t>00000444</t>
  </si>
  <si>
    <t>00000447</t>
  </si>
  <si>
    <t>CHI NHÁNH THỪA THIÊN HUẾ - CÔNG TY CỔ PHẦN DỊCH VỤ THƯƠNG MẠI TỔNG HỢP WINCOMMERCE</t>
  </si>
  <si>
    <t>00000451</t>
  </si>
  <si>
    <t>00000456</t>
  </si>
  <si>
    <t>CHI NHÁNH THÁI BÌNH - CÔNG TY CỔ PHẦN DỊCH VỤ THƯƠNG MẠI TỔNG HỢP WINCOMMERCE</t>
  </si>
  <si>
    <t>00000482</t>
  </si>
  <si>
    <t>00000532</t>
  </si>
  <si>
    <t>27/01/2024</t>
  </si>
  <si>
    <t>00000414</t>
  </si>
  <si>
    <t>00000415</t>
  </si>
  <si>
    <t>00000421</t>
  </si>
  <si>
    <t>CHI NHÁNH BẮC NINH - CÔNG TY CỔ PHẦN DỊCH VỤ THƯƠNG MẠI TỔNG HỢP WINCOMMERCE</t>
  </si>
  <si>
    <t>00000429</t>
  </si>
  <si>
    <t>00000432</t>
  </si>
  <si>
    <t>00000437</t>
  </si>
  <si>
    <t>00000439</t>
  </si>
  <si>
    <t>00000440</t>
  </si>
  <si>
    <t>00000441</t>
  </si>
  <si>
    <t>00000443</t>
  </si>
  <si>
    <t>00000449</t>
  </si>
  <si>
    <t>00000450</t>
  </si>
  <si>
    <t>00000453</t>
  </si>
  <si>
    <t>00000454</t>
  </si>
  <si>
    <t>CHI NHÁNH HÀ NỘI- CÔNG TY CỔ PHẦN DỊCH VỤ THƯƠNG MẠI TỔNG HỢP WINCOMMERCE</t>
  </si>
  <si>
    <t>00000475</t>
  </si>
  <si>
    <t>00000476</t>
  </si>
  <si>
    <t>00000072</t>
  </si>
  <si>
    <t>00000086</t>
  </si>
  <si>
    <t>05/01/2024</t>
  </si>
  <si>
    <t>00000242</t>
  </si>
  <si>
    <t>00000243</t>
  </si>
  <si>
    <t>00003966</t>
  </si>
  <si>
    <t>00003967</t>
  </si>
  <si>
    <t>00004013</t>
  </si>
  <si>
    <t>00004014</t>
  </si>
  <si>
    <t>00004017</t>
  </si>
  <si>
    <t>00004018</t>
  </si>
  <si>
    <t>30/12/2023</t>
  </si>
  <si>
    <t>00004063</t>
  </si>
  <si>
    <t>00000063</t>
  </si>
  <si>
    <t>04/01/2024</t>
  </si>
  <si>
    <t>00000065</t>
  </si>
  <si>
    <t>00003921</t>
  </si>
  <si>
    <t>00003922</t>
  </si>
  <si>
    <t>00004012</t>
  </si>
  <si>
    <t>00000046</t>
  </si>
  <si>
    <t>03/01/2024</t>
  </si>
  <si>
    <t>00000047</t>
  </si>
  <si>
    <t>00000048</t>
  </si>
  <si>
    <t>00000049</t>
  </si>
  <si>
    <t>00000084</t>
  </si>
  <si>
    <t>00000085</t>
  </si>
  <si>
    <t>00002606</t>
  </si>
  <si>
    <t>20/09/2023</t>
  </si>
  <si>
    <t>00002615</t>
  </si>
  <si>
    <t>21/09/2023</t>
  </si>
  <si>
    <t>00002620</t>
  </si>
  <si>
    <t>22/09/2023</t>
  </si>
  <si>
    <t>00002621</t>
  </si>
  <si>
    <t>Chi nhánh Đà Nẵng - Công ty cổ phần dịch vụ thương mại tổng hợp Wincommerce</t>
  </si>
  <si>
    <t>00002627</t>
  </si>
  <si>
    <t>00002658</t>
  </si>
  <si>
    <t>25/09/2023</t>
  </si>
  <si>
    <t>00002659</t>
  </si>
  <si>
    <t>00002661</t>
  </si>
  <si>
    <t>00002665</t>
  </si>
  <si>
    <t>00002673</t>
  </si>
  <si>
    <t>28/09/2023</t>
  </si>
  <si>
    <t>00002674</t>
  </si>
  <si>
    <t>00002689</t>
  </si>
  <si>
    <t>00002736</t>
  </si>
  <si>
    <t>00002740</t>
  </si>
  <si>
    <t>05/10/2023</t>
  </si>
  <si>
    <t>CHI NHÁNH HƯNG YÊN - CÔNG TY CỔ PHẦN DỊCH VỤ THƯƠNG MẠI TỔNG HỢP WINCOMMERCE</t>
  </si>
  <si>
    <t>CHI NHÁNH LẠNG SƠN - CÔNG TY CỔ PHẦN DỊCH VỤ THƯƠNG MẠI TỔNG HỢP WINCOMMERCE</t>
  </si>
  <si>
    <t>00002451</t>
  </si>
  <si>
    <t>00002479</t>
  </si>
  <si>
    <t>08/09/2023</t>
  </si>
  <si>
    <t>00002480</t>
  </si>
  <si>
    <t>CÔNG TY CỔ PHẦN DỊCH VỤ THƯƠNG MẠI TỔNG HỢP WINCOMMERCE</t>
  </si>
  <si>
    <t>00002481</t>
  </si>
  <si>
    <t>00002541</t>
  </si>
  <si>
    <t>00002551</t>
  </si>
  <si>
    <t>14/09/2023</t>
  </si>
  <si>
    <t>00002157</t>
  </si>
  <si>
    <t>00002195</t>
  </si>
  <si>
    <t>10/08/2023</t>
  </si>
  <si>
    <t>00002199</t>
  </si>
  <si>
    <t>11/08/2023</t>
  </si>
  <si>
    <t>00002201</t>
  </si>
  <si>
    <t>00002230</t>
  </si>
  <si>
    <t>12/08/2023</t>
  </si>
  <si>
    <t>00002244</t>
  </si>
  <si>
    <t>14/08/2023</t>
  </si>
  <si>
    <t>CHI NHÁNH KHÁNH HÒA - CÔNG TY CỔ PHẦN DỊCH VỤ THƯƠNG MẠI TỔNG HỢP WINCOMMERCE</t>
  </si>
  <si>
    <t>00002246</t>
  </si>
  <si>
    <t>00002248</t>
  </si>
  <si>
    <t>00002265</t>
  </si>
  <si>
    <t>00002269</t>
  </si>
  <si>
    <t>00002275</t>
  </si>
  <si>
    <t>17/08/2023</t>
  </si>
  <si>
    <t>00002276</t>
  </si>
  <si>
    <t>00001901</t>
  </si>
  <si>
    <t>14/07/2023</t>
  </si>
  <si>
    <t>00001902</t>
  </si>
  <si>
    <t>00001904</t>
  </si>
  <si>
    <t>00001951</t>
  </si>
  <si>
    <t>17/07/2023</t>
  </si>
  <si>
    <t>00001958</t>
  </si>
  <si>
    <t>00001970</t>
  </si>
  <si>
    <t>19/07/2023</t>
  </si>
  <si>
    <t>00001989</t>
  </si>
  <si>
    <t>21/07/2023</t>
  </si>
  <si>
    <t>00001990</t>
  </si>
  <si>
    <t>00002018</t>
  </si>
  <si>
    <t>24/07/2023</t>
  </si>
  <si>
    <t>00002019</t>
  </si>
  <si>
    <t>00002032</t>
  </si>
  <si>
    <t>00002052</t>
  </si>
  <si>
    <t>28/07/2023</t>
  </si>
  <si>
    <t>00002088</t>
  </si>
  <si>
    <t>31/07/2023</t>
  </si>
  <si>
    <t>00002100</t>
  </si>
  <si>
    <t>00002103</t>
  </si>
  <si>
    <t>00002114</t>
  </si>
  <si>
    <t>01/08/2023</t>
  </si>
  <si>
    <t>00002136</t>
  </si>
  <si>
    <t>05/08/2023</t>
  </si>
  <si>
    <t>00002138</t>
  </si>
  <si>
    <t>00002158</t>
  </si>
  <si>
    <t>07/08/2023</t>
  </si>
  <si>
    <t>00001679</t>
  </si>
  <si>
    <t>24/06/2023</t>
  </si>
  <si>
    <t>00001703</t>
  </si>
  <si>
    <t>00001706</t>
  </si>
  <si>
    <t>: Công ty Cổ phần Dịch vụ Thương mại Tổng hợp Wincommerce</t>
  </si>
  <si>
    <t>00000894</t>
  </si>
  <si>
    <t>chưa giao hàng</t>
  </si>
  <si>
    <t>00001741</t>
  </si>
  <si>
    <t>30/06/2023</t>
  </si>
  <si>
    <t>00001743</t>
  </si>
  <si>
    <t>00000905</t>
  </si>
  <si>
    <t>18/08/2022</t>
  </si>
  <si>
    <t>00001798</t>
  </si>
  <si>
    <t>00001799</t>
  </si>
  <si>
    <t>03/07/2023</t>
  </si>
  <si>
    <t>00001819</t>
  </si>
  <si>
    <t>07/07/2023</t>
  </si>
  <si>
    <t>00001822</t>
  </si>
  <si>
    <t>00001845</t>
  </si>
  <si>
    <t>00000930</t>
  </si>
  <si>
    <t>20/08/2022</t>
  </si>
  <si>
    <t>00000965</t>
  </si>
  <si>
    <t>22/08/2022</t>
  </si>
  <si>
    <t>00000966</t>
  </si>
  <si>
    <t>00001852</t>
  </si>
  <si>
    <t>10/07/2023</t>
  </si>
  <si>
    <t>00001863</t>
  </si>
  <si>
    <t>11/07/2023</t>
  </si>
  <si>
    <t>00001864</t>
  </si>
  <si>
    <t>00000983</t>
  </si>
  <si>
    <t>23/08/2022</t>
  </si>
  <si>
    <t>00000984</t>
  </si>
  <si>
    <t>00000985</t>
  </si>
  <si>
    <t>00001866</t>
  </si>
  <si>
    <t>00001868</t>
  </si>
  <si>
    <t>00001903</t>
  </si>
  <si>
    <t>00001470</t>
  </si>
  <si>
    <t>06/06/2023</t>
  </si>
  <si>
    <t>00001491</t>
  </si>
  <si>
    <t>09/06/2023</t>
  </si>
  <si>
    <t>00001494</t>
  </si>
  <si>
    <t>10/06/2023</t>
  </si>
  <si>
    <t>00001517</t>
  </si>
  <si>
    <t>16/06/2023</t>
  </si>
  <si>
    <t>00001587</t>
  </si>
  <si>
    <t>00001588</t>
  </si>
  <si>
    <t>00001633</t>
  </si>
  <si>
    <t>00001678</t>
  </si>
  <si>
    <t>00001704</t>
  </si>
  <si>
    <t>00001193</t>
  </si>
  <si>
    <t>ok</t>
  </si>
  <si>
    <t>00001369</t>
  </si>
  <si>
    <t>00001370</t>
  </si>
  <si>
    <t>27/05/2023</t>
  </si>
  <si>
    <t>00001386</t>
  </si>
  <si>
    <t>00001388</t>
  </si>
  <si>
    <t>00001394</t>
  </si>
  <si>
    <t>29/05/2023</t>
  </si>
  <si>
    <t>00001400</t>
  </si>
  <si>
    <t>30/05/2023</t>
  </si>
  <si>
    <t>CHI NHÁNH HẢI DƯƠNG- CÔNG TY CỔ PHẦN DỊCH VỤ THƯƠNG MẠI TỔNG HỢP WINCOMMERCE</t>
  </si>
  <si>
    <t>00001405</t>
  </si>
  <si>
    <t>31/05/2023</t>
  </si>
  <si>
    <t>00001430</t>
  </si>
  <si>
    <t>00001431</t>
  </si>
  <si>
    <t>02/06/2023</t>
  </si>
  <si>
    <t>00001466</t>
  </si>
  <si>
    <t>00001467</t>
  </si>
  <si>
    <t>00001468</t>
  </si>
  <si>
    <t>00001480</t>
  </si>
  <si>
    <t>00001490</t>
  </si>
  <si>
    <t>00001493</t>
  </si>
  <si>
    <t>00001138</t>
  </si>
  <si>
    <t>26/04/2023</t>
  </si>
  <si>
    <t>00001139</t>
  </si>
  <si>
    <t>00001178</t>
  </si>
  <si>
    <t>02/05/2023</t>
  </si>
  <si>
    <t>00001181</t>
  </si>
  <si>
    <t>CHI NHÁNH LÂM ĐỒNG - CÔNG TY CỔ PHẦN DỊCH VỤ THƯƠNG MẠI TỔNG HỢP WINCOMMERCE</t>
  </si>
  <si>
    <t>00001183</t>
  </si>
  <si>
    <t>03/05/2023</t>
  </si>
  <si>
    <t>00001245</t>
  </si>
  <si>
    <t>12/09/2022</t>
  </si>
  <si>
    <t>CHI NHÁNH ĐỒNG NAI - CÔNG TY CỔ PHẦN DỊCH VỤ THƯƠNG MẠI TỔNG HỢP WINCOMMERCE</t>
  </si>
  <si>
    <t>00001256</t>
  </si>
  <si>
    <t>00001184</t>
  </si>
  <si>
    <t>00001196</t>
  </si>
  <si>
    <t>04/05/2023</t>
  </si>
  <si>
    <t>00001197</t>
  </si>
  <si>
    <t>00001232</t>
  </si>
  <si>
    <t>06/05/2023</t>
  </si>
  <si>
    <t>00001235</t>
  </si>
  <si>
    <t>CHI NHÁNH VĨNH LONG- CÔNG TY CỔ PHẦN DỊCH VỤ THƯƠNG MẠI TỔNG HỢP WINCOMMERCE</t>
  </si>
  <si>
    <t>00001267</t>
  </si>
  <si>
    <t>14/09/2022</t>
  </si>
  <si>
    <t>00001268</t>
  </si>
  <si>
    <t>CHI NHÁNH HỒ CHÍ MINH - CÔNG TY CỔ PHẦN DỊCH VỤ THƯƠNG MẠI TỔNG HỢP WINCOMMERCE</t>
  </si>
  <si>
    <t>00001269</t>
  </si>
  <si>
    <t>00001236</t>
  </si>
  <si>
    <t>00001249</t>
  </si>
  <si>
    <t>09/05/2023</t>
  </si>
  <si>
    <t>OK</t>
  </si>
  <si>
    <t>00000963</t>
  </si>
  <si>
    <t>08/04/2023</t>
  </si>
  <si>
    <t>00001304</t>
  </si>
  <si>
    <t>00001306</t>
  </si>
  <si>
    <t>00001307</t>
  </si>
  <si>
    <t>00001308</t>
  </si>
  <si>
    <t>00001309</t>
  </si>
  <si>
    <t>00000964</t>
  </si>
  <si>
    <t>00001314</t>
  </si>
  <si>
    <t>20/09/2022</t>
  </si>
  <si>
    <t>00001315</t>
  </si>
  <si>
    <t>00001316</t>
  </si>
  <si>
    <t>00001317</t>
  </si>
  <si>
    <t>00001319</t>
  </si>
  <si>
    <t>00001320</t>
  </si>
  <si>
    <t>00001326</t>
  </si>
  <si>
    <t>00001327</t>
  </si>
  <si>
    <t>00001334</t>
  </si>
  <si>
    <t>22/09/2022</t>
  </si>
  <si>
    <t>00001335</t>
  </si>
  <si>
    <t>00001336</t>
  </si>
  <si>
    <t>00001341</t>
  </si>
  <si>
    <t>23/09/2022</t>
  </si>
  <si>
    <t>00001342</t>
  </si>
  <si>
    <t>00001343</t>
  </si>
  <si>
    <t>00001344</t>
  </si>
  <si>
    <t>00001382</t>
  </si>
  <si>
    <t>26/09/2022</t>
  </si>
  <si>
    <t>00001383</t>
  </si>
  <si>
    <t>00001384</t>
  </si>
  <si>
    <t>00001385</t>
  </si>
  <si>
    <t>27/09/2022</t>
  </si>
  <si>
    <t>00001404</t>
  </si>
  <si>
    <t>28/09/2022</t>
  </si>
  <si>
    <t>00001406</t>
  </si>
  <si>
    <t>00001409</t>
  </si>
  <si>
    <t>00001410</t>
  </si>
  <si>
    <t>00001414</t>
  </si>
  <si>
    <t>29/09/2022</t>
  </si>
  <si>
    <t>00001422</t>
  </si>
  <si>
    <t>30/09/2022</t>
  </si>
  <si>
    <t>00001423</t>
  </si>
  <si>
    <t>00001424</t>
  </si>
  <si>
    <t>00001455</t>
  </si>
  <si>
    <t>04/10/2022</t>
  </si>
  <si>
    <t>00001457</t>
  </si>
  <si>
    <t>00001460</t>
  </si>
  <si>
    <t>00001465</t>
  </si>
  <si>
    <t>05/10/2022</t>
  </si>
  <si>
    <t>07/10/2022</t>
  </si>
  <si>
    <t>00001482</t>
  </si>
  <si>
    <t>00001483</t>
  </si>
  <si>
    <t>00001484</t>
  </si>
  <si>
    <t>00001522</t>
  </si>
  <si>
    <t>00000969</t>
  </si>
  <si>
    <t>00001532</t>
  </si>
  <si>
    <t>11/10/2022</t>
  </si>
  <si>
    <t>00001533</t>
  </si>
  <si>
    <t>00001534</t>
  </si>
  <si>
    <t>00001540</t>
  </si>
  <si>
    <t>00001541</t>
  </si>
  <si>
    <t>00001564</t>
  </si>
  <si>
    <t>14/10/2022</t>
  </si>
  <si>
    <t>00001565</t>
  </si>
  <si>
    <t>00001566</t>
  </si>
  <si>
    <t>00001569</t>
  </si>
  <si>
    <t>00001599</t>
  </si>
  <si>
    <t>00001606</t>
  </si>
  <si>
    <t>19/10/2022</t>
  </si>
  <si>
    <t>00001607</t>
  </si>
  <si>
    <t>00001608</t>
  </si>
  <si>
    <t>00001626</t>
  </si>
  <si>
    <t>00001627</t>
  </si>
  <si>
    <t>21/10/2022</t>
  </si>
  <si>
    <t>00001628</t>
  </si>
  <si>
    <t>00001629</t>
  </si>
  <si>
    <t>00001630</t>
  </si>
  <si>
    <t>00001631</t>
  </si>
  <si>
    <t>00001662</t>
  </si>
  <si>
    <t>24/10/2022</t>
  </si>
  <si>
    <t>00001663</t>
  </si>
  <si>
    <t>00001664</t>
  </si>
  <si>
    <t>00001667</t>
  </si>
  <si>
    <t>00001682</t>
  </si>
  <si>
    <t>26/10/2022</t>
  </si>
  <si>
    <t>00001691</t>
  </si>
  <si>
    <t>28/10/2022</t>
  </si>
  <si>
    <t>00001692</t>
  </si>
  <si>
    <t>00001693</t>
  </si>
  <si>
    <t>00001694</t>
  </si>
  <si>
    <t>00001695</t>
  </si>
  <si>
    <t>00001696</t>
  </si>
  <si>
    <t>00001727</t>
  </si>
  <si>
    <t>01/11/2022</t>
  </si>
  <si>
    <t>00000970</t>
  </si>
  <si>
    <t>10/04/2023</t>
  </si>
  <si>
    <t>00001730</t>
  </si>
  <si>
    <t>00001732</t>
  </si>
  <si>
    <t>00001733</t>
  </si>
  <si>
    <t>03/11/2022</t>
  </si>
  <si>
    <t>00001751</t>
  </si>
  <si>
    <t>04/11/2022</t>
  </si>
  <si>
    <t>00001753</t>
  </si>
  <si>
    <t>00001754</t>
  </si>
  <si>
    <t>00001800</t>
  </si>
  <si>
    <t>07/11/2022</t>
  </si>
  <si>
    <t>00001802</t>
  </si>
  <si>
    <t>00001815</t>
  </si>
  <si>
    <t>12/11/2022</t>
  </si>
  <si>
    <t>00001846</t>
  </si>
  <si>
    <t>00001847</t>
  </si>
  <si>
    <t>00001873</t>
  </si>
  <si>
    <t>00002061</t>
  </si>
  <si>
    <t>00001036</t>
  </si>
  <si>
    <t>19/04/2023</t>
  </si>
  <si>
    <t>00002140</t>
  </si>
  <si>
    <t>24/11/2022</t>
  </si>
  <si>
    <t>00002141</t>
  </si>
  <si>
    <t>00002142</t>
  </si>
  <si>
    <t>00002155</t>
  </si>
  <si>
    <t>00002175</t>
  </si>
  <si>
    <t>25/11/2022</t>
  </si>
  <si>
    <t>00002191</t>
  </si>
  <si>
    <t>26/11/2022</t>
  </si>
  <si>
    <t>00002192</t>
  </si>
  <si>
    <t>00002193</t>
  </si>
  <si>
    <t>00002194</t>
  </si>
  <si>
    <t>00002237</t>
  </si>
  <si>
    <t>00002238</t>
  </si>
  <si>
    <t>29/11/2022</t>
  </si>
  <si>
    <t xml:space="preserve"> </t>
  </si>
  <si>
    <t>00002273</t>
  </si>
  <si>
    <t>01/12/2022</t>
  </si>
  <si>
    <t>00002340</t>
  </si>
  <si>
    <t>04/12/2022</t>
  </si>
  <si>
    <t>00002341</t>
  </si>
  <si>
    <t>00002342</t>
  </si>
  <si>
    <t>00002343</t>
  </si>
  <si>
    <t>00002344</t>
  </si>
  <si>
    <t>00002345</t>
  </si>
  <si>
    <t>00002346</t>
  </si>
  <si>
    <t>00002347</t>
  </si>
  <si>
    <t>00002375</t>
  </si>
  <si>
    <t>06/12/2022</t>
  </si>
  <si>
    <t>00002376</t>
  </si>
  <si>
    <t>00002377</t>
  </si>
  <si>
    <t>00002381</t>
  </si>
  <si>
    <t>00002386</t>
  </si>
  <si>
    <t>00002387</t>
  </si>
  <si>
    <t>07/12/2022</t>
  </si>
  <si>
    <t>00002393</t>
  </si>
  <si>
    <t>00002435</t>
  </si>
  <si>
    <t>09/12/2022</t>
  </si>
  <si>
    <t>00002440</t>
  </si>
  <si>
    <t>10/12/2022</t>
  </si>
  <si>
    <t>00002477</t>
  </si>
  <si>
    <t>00002490</t>
  </si>
  <si>
    <t>00002494</t>
  </si>
  <si>
    <t>11/12/2022</t>
  </si>
  <si>
    <t>00002495</t>
  </si>
  <si>
    <t>00002496</t>
  </si>
  <si>
    <t>00002497</t>
  </si>
  <si>
    <t>00002498</t>
  </si>
  <si>
    <t>00002499</t>
  </si>
  <si>
    <t>00002500</t>
  </si>
  <si>
    <t>00002533</t>
  </si>
  <si>
    <t>13/12/2022</t>
  </si>
  <si>
    <t>00002563</t>
  </si>
  <si>
    <t>15/12/2022</t>
  </si>
  <si>
    <t>00002655</t>
  </si>
  <si>
    <t>17/12/2022</t>
  </si>
  <si>
    <t>00002675</t>
  </si>
  <si>
    <t>19/12/2022</t>
  </si>
  <si>
    <t>00002676</t>
  </si>
  <si>
    <t>00002678</t>
  </si>
  <si>
    <t>20/12/2022</t>
  </si>
  <si>
    <t>00002690</t>
  </si>
  <si>
    <t>00002697</t>
  </si>
  <si>
    <t>00002724</t>
  </si>
  <si>
    <t>22/12/2022</t>
  </si>
  <si>
    <t>00002771</t>
  </si>
  <si>
    <t>24/12/2022</t>
  </si>
  <si>
    <t>00002794</t>
  </si>
  <si>
    <t>00002820</t>
  </si>
  <si>
    <t>26/12/2022</t>
  </si>
  <si>
    <t>00001047</t>
  </si>
  <si>
    <t>00002846</t>
  </si>
  <si>
    <t>27/12/2022</t>
  </si>
  <si>
    <t>00002882</t>
  </si>
  <si>
    <t>00001063</t>
  </si>
  <si>
    <t>21/04/2023</t>
  </si>
  <si>
    <t>00002938</t>
  </si>
  <si>
    <t>31/12/2022</t>
  </si>
  <si>
    <t>00001065</t>
  </si>
  <si>
    <t>00001101</t>
  </si>
  <si>
    <t>00001112</t>
  </si>
  <si>
    <t>00001116</t>
  </si>
  <si>
    <t>00001127</t>
  </si>
  <si>
    <t>25/04/2023</t>
  </si>
  <si>
    <t>00001145</t>
  </si>
  <si>
    <t>27/04/2023</t>
  </si>
  <si>
    <t>00001151</t>
  </si>
  <si>
    <t>28/04/2023</t>
  </si>
  <si>
    <t>00000706</t>
  </si>
  <si>
    <t>00000774</t>
  </si>
  <si>
    <t>21/03/2023</t>
  </si>
  <si>
    <t>00000823</t>
  </si>
  <si>
    <t>29/03/2023</t>
  </si>
  <si>
    <t>00000824</t>
  </si>
  <si>
    <t>00000845</t>
  </si>
  <si>
    <t>00000861</t>
  </si>
  <si>
    <t>00000882</t>
  </si>
  <si>
    <t>01/04/2023</t>
  </si>
  <si>
    <t>00000883</t>
  </si>
  <si>
    <t>00000889</t>
  </si>
  <si>
    <t>00000891</t>
  </si>
  <si>
    <t>03/04/2023</t>
  </si>
  <si>
    <t>00000962</t>
  </si>
  <si>
    <t>18/02/2023</t>
  </si>
  <si>
    <t>00000516</t>
  </si>
  <si>
    <t>24/02/2023</t>
  </si>
  <si>
    <t>00000517</t>
  </si>
  <si>
    <t>00000554</t>
  </si>
  <si>
    <t>27/02/2023</t>
  </si>
  <si>
    <t>00000556</t>
  </si>
  <si>
    <t>00000557</t>
  </si>
  <si>
    <t>00000591</t>
  </si>
  <si>
    <t>03/03/2023</t>
  </si>
  <si>
    <t>00000592</t>
  </si>
  <si>
    <t>00000613</t>
  </si>
  <si>
    <t>06/03/2023</t>
  </si>
  <si>
    <t>00000614</t>
  </si>
  <si>
    <t>00000615</t>
  </si>
  <si>
    <t>00000616</t>
  </si>
  <si>
    <t>00000700</t>
  </si>
  <si>
    <t>15/03/2023</t>
  </si>
  <si>
    <t>00000701</t>
  </si>
  <si>
    <t>00000275</t>
  </si>
  <si>
    <t>02/02/2023</t>
  </si>
  <si>
    <t>00000287</t>
  </si>
  <si>
    <t>03/02/2023</t>
  </si>
  <si>
    <t>00000291</t>
  </si>
  <si>
    <t>00000298</t>
  </si>
  <si>
    <t>04/02/2023</t>
  </si>
  <si>
    <t>00000328</t>
  </si>
  <si>
    <t>00000329</t>
  </si>
  <si>
    <t>06/02/2023</t>
  </si>
  <si>
    <t>00000370</t>
  </si>
  <si>
    <t>09/02/2023</t>
  </si>
  <si>
    <t>00000371</t>
  </si>
  <si>
    <t>00000372</t>
  </si>
  <si>
    <t>00000373</t>
  </si>
  <si>
    <t>00000374</t>
  </si>
  <si>
    <t>00000375</t>
  </si>
  <si>
    <t>00000378</t>
  </si>
  <si>
    <t>10/02/2023</t>
  </si>
  <si>
    <t>00000379</t>
  </si>
  <si>
    <t>00000380</t>
  </si>
  <si>
    <t>00000382</t>
  </si>
  <si>
    <t>13/02/2023</t>
  </si>
  <si>
    <t>00000481</t>
  </si>
  <si>
    <t>00000483</t>
  </si>
  <si>
    <t>00000113</t>
  </si>
  <si>
    <t>07/01/2023</t>
  </si>
  <si>
    <t>00000133</t>
  </si>
  <si>
    <t>00000135</t>
  </si>
  <si>
    <t>00000146</t>
  </si>
  <si>
    <t>00000178</t>
  </si>
  <si>
    <t>00000179</t>
  </si>
  <si>
    <t>00000180</t>
  </si>
  <si>
    <t>00000184</t>
  </si>
  <si>
    <t>00002821</t>
  </si>
  <si>
    <t>00000028</t>
  </si>
  <si>
    <t>04/01/2023</t>
  </si>
  <si>
    <t>00000029</t>
  </si>
  <si>
    <t>CHI NHÁNH BẮC KẠN - CÔNG TY CỔ PHẦN DỊCH VỤ THƯƠNG MẠI TỔNG HỢP WINCOMMERCE</t>
  </si>
  <si>
    <t>00000038</t>
  </si>
  <si>
    <t>00000061</t>
  </si>
  <si>
    <t>05/01/2023</t>
  </si>
  <si>
    <t>00000106</t>
  </si>
  <si>
    <t>00000107</t>
  </si>
  <si>
    <t>00000108</t>
  </si>
  <si>
    <t>00000109</t>
  </si>
  <si>
    <t>00000110</t>
  </si>
  <si>
    <t>00000111</t>
  </si>
  <si>
    <t>00000112</t>
  </si>
  <si>
    <t>00000114</t>
  </si>
  <si>
    <t>CHI NHÁNH THANH HÓA- CÔNG TY CỔ PHẦN DỊCH VỤ THƯƠNG MẠI TỔNG HỢP WINCOMMERCE</t>
  </si>
  <si>
    <t>00000115</t>
  </si>
  <si>
    <t>00000116</t>
  </si>
  <si>
    <t>00000117</t>
  </si>
  <si>
    <t>CHI NHÁNH SƠN LA - CÔNG TY CỔ PHẦN DỊCH VỤ THƯƠNG MẠI TỔNG HỢP WINCOMMERCE</t>
  </si>
  <si>
    <t>00000118</t>
  </si>
  <si>
    <t>00000119</t>
  </si>
  <si>
    <t>00000120</t>
  </si>
  <si>
    <t>00000121</t>
  </si>
  <si>
    <t>00000122</t>
  </si>
  <si>
    <t>00000123</t>
  </si>
  <si>
    <t>00000124</t>
  </si>
  <si>
    <t>00000722</t>
  </si>
  <si>
    <t>CHỜ A TRUNG XỬ LÝ CHÊNH LỆCH tc24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</si>
  <si>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</si>
  <si>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</si>
  <si>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</si>
  <si>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</si>
  <si>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</si>
  <si>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</si>
  <si>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</si>
  <si>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</si>
  <si>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00000134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</si>
  <si>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</si>
  <si>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</si>
  <si>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</si>
  <si>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</si>
  <si>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</si>
  <si>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</si>
  <si>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</si>
  <si>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</si>
  <si>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</si>
  <si>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</si>
  <si>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00000163</t>
  </si>
  <si>
    <t>09/01/2023</t>
  </si>
  <si>
    <t>00001111</t>
  </si>
  <si>
    <t>06/09/2022</t>
  </si>
  <si>
    <t>00001113</t>
  </si>
  <si>
    <t>00001114</t>
  </si>
  <si>
    <t>00001122</t>
  </si>
  <si>
    <t>07/09/2022</t>
  </si>
  <si>
    <t>00001123</t>
  </si>
  <si>
    <t>00001124</t>
  </si>
  <si>
    <t>00001125</t>
  </si>
  <si>
    <t>00001194</t>
  </si>
  <si>
    <t>09/09/2022</t>
  </si>
  <si>
    <t>00001195</t>
  </si>
  <si>
    <t>00001198</t>
  </si>
  <si>
    <t>00001199</t>
  </si>
  <si>
    <t>00001200</t>
  </si>
  <si>
    <t>00001201</t>
  </si>
  <si>
    <t>CHI NHÁNH TP.HCM - CÔNG TY CỔ PHẦN DỊCH VỤ THƯƠNG MẠI TỔNG HỢP WINCOMMERCE</t>
  </si>
  <si>
    <t>00001202</t>
  </si>
  <si>
    <t>00001203</t>
  </si>
  <si>
    <t>00001204</t>
  </si>
  <si>
    <t>00001231</t>
  </si>
  <si>
    <t>10/09/2022</t>
  </si>
  <si>
    <t>00001233</t>
  </si>
  <si>
    <t>00001237</t>
  </si>
  <si>
    <t>00001238</t>
  </si>
  <si>
    <t>00001239</t>
  </si>
  <si>
    <t>00001240</t>
  </si>
  <si>
    <t>00001244</t>
  </si>
  <si>
    <t>00001257</t>
  </si>
  <si>
    <t>13/09/2022</t>
  </si>
  <si>
    <t>00001259</t>
  </si>
  <si>
    <t>00001260</t>
  </si>
  <si>
    <t>00001261</t>
  </si>
  <si>
    <t>00001266</t>
  </si>
  <si>
    <t>00001270</t>
  </si>
  <si>
    <t>00001001</t>
  </si>
  <si>
    <t>24/08/2022</t>
  </si>
  <si>
    <t>00001002</t>
  </si>
  <si>
    <t>00001003</t>
  </si>
  <si>
    <t>00001007</t>
  </si>
  <si>
    <t>25/08/2022</t>
  </si>
  <si>
    <t>00001010</t>
  </si>
  <si>
    <t>27/08/2022</t>
  </si>
  <si>
    <t>00001011</t>
  </si>
  <si>
    <t>00001012</t>
  </si>
  <si>
    <t>00001049</t>
  </si>
  <si>
    <t>00001050</t>
  </si>
  <si>
    <t>00001064</t>
  </si>
  <si>
    <t>30/08/2022</t>
  </si>
  <si>
    <t>00001066</t>
  </si>
  <si>
    <t>00001072</t>
  </si>
  <si>
    <t>00000660</t>
  </si>
  <si>
    <t>00000733</t>
  </si>
  <si>
    <t>01/08/2022</t>
  </si>
  <si>
    <t>00000734</t>
  </si>
  <si>
    <t>00000745</t>
  </si>
  <si>
    <t>03/08/2022</t>
  </si>
  <si>
    <t>00000746</t>
  </si>
  <si>
    <t>00000753</t>
  </si>
  <si>
    <t>05/08/2022</t>
  </si>
  <si>
    <t>CHI NHÁNH T.P HỒ CHÍ MINH - CÔNG TY CỔ PHÀN DỊCH VỤ THƯƠNG MẠI TỔNG HỢP VINCOMMERCE</t>
  </si>
  <si>
    <t>00000760</t>
  </si>
  <si>
    <t>00000761</t>
  </si>
  <si>
    <t>00000762</t>
  </si>
  <si>
    <t>00000779</t>
  </si>
  <si>
    <t>00000780</t>
  </si>
  <si>
    <t>00000783</t>
  </si>
  <si>
    <t>09/08/2022</t>
  </si>
  <si>
    <t>00000784</t>
  </si>
  <si>
    <t>00000785</t>
  </si>
  <si>
    <t>00000786</t>
  </si>
  <si>
    <t>00000787</t>
  </si>
  <si>
    <t>00000794</t>
  </si>
  <si>
    <t>00000795</t>
  </si>
  <si>
    <t>00000796</t>
  </si>
  <si>
    <t>00000805</t>
  </si>
  <si>
    <t>10/08/2022</t>
  </si>
  <si>
    <t>00000811</t>
  </si>
  <si>
    <t>11/08/2022</t>
  </si>
  <si>
    <t>00000812</t>
  </si>
  <si>
    <t>00000813</t>
  </si>
  <si>
    <t>00000814</t>
  </si>
  <si>
    <t>00000852</t>
  </si>
  <si>
    <t>13/08/2022</t>
  </si>
  <si>
    <t>00000853</t>
  </si>
  <si>
    <t>00000854</t>
  </si>
  <si>
    <t>00000855</t>
  </si>
  <si>
    <t>00000867</t>
  </si>
  <si>
    <t>15/08/2022</t>
  </si>
  <si>
    <t>00000868</t>
  </si>
  <si>
    <t>16/08/2022</t>
  </si>
  <si>
    <t>00000892</t>
  </si>
  <si>
    <t>00000895</t>
  </si>
  <si>
    <t>00000896</t>
  </si>
  <si>
    <t>00001981</t>
  </si>
  <si>
    <t>ĐỔI PO</t>
  </si>
  <si>
    <t>00000906</t>
  </si>
  <si>
    <t>00000907</t>
  </si>
  <si>
    <t>00000922</t>
  </si>
  <si>
    <t>00000923</t>
  </si>
  <si>
    <t>19/08/2022</t>
  </si>
  <si>
    <t>00000929</t>
  </si>
  <si>
    <t>00000967</t>
  </si>
  <si>
    <t>00000968</t>
  </si>
  <si>
    <t>00000971</t>
  </si>
  <si>
    <t>00000972</t>
  </si>
  <si>
    <t>00000582</t>
  </si>
  <si>
    <t>15/07/2022</t>
  </si>
  <si>
    <t>00002122</t>
  </si>
  <si>
    <t>po cũ:</t>
  </si>
  <si>
    <t>18/07/2022</t>
  </si>
  <si>
    <t>00000594</t>
  </si>
  <si>
    <t>00000595</t>
  </si>
  <si>
    <t>00000596</t>
  </si>
  <si>
    <t>00000597</t>
  </si>
  <si>
    <t>00000605</t>
  </si>
  <si>
    <t>19/07/2022</t>
  </si>
  <si>
    <t>00000606</t>
  </si>
  <si>
    <t>00000608</t>
  </si>
  <si>
    <t>21/07/2022</t>
  </si>
  <si>
    <t>00000612</t>
  </si>
  <si>
    <t>00000627</t>
  </si>
  <si>
    <t>23/07/2022</t>
  </si>
  <si>
    <t>00000628</t>
  </si>
  <si>
    <t>00000630</t>
  </si>
  <si>
    <t>00000631</t>
  </si>
  <si>
    <t>00000653</t>
  </si>
  <si>
    <t>00000654</t>
  </si>
  <si>
    <t>00000658</t>
  </si>
  <si>
    <t>25/07/2022</t>
  </si>
  <si>
    <t>00000659</t>
  </si>
  <si>
    <t>00000661</t>
  </si>
  <si>
    <t>00000664</t>
  </si>
  <si>
    <t>00000671</t>
  </si>
  <si>
    <t>26/07/2022</t>
  </si>
  <si>
    <t>00000672</t>
  </si>
  <si>
    <t>00000673</t>
  </si>
  <si>
    <t>00000687</t>
  </si>
  <si>
    <t>30/07/2022</t>
  </si>
  <si>
    <t>00000689</t>
  </si>
  <si>
    <t>00000690</t>
  </si>
  <si>
    <t>00000691</t>
  </si>
  <si>
    <t>00000729</t>
  </si>
  <si>
    <t>00000284</t>
  </si>
  <si>
    <t>00000384</t>
  </si>
  <si>
    <t>29/06/2022</t>
  </si>
  <si>
    <t>00000399</t>
  </si>
  <si>
    <t>02/07/2022</t>
  </si>
  <si>
    <t>00000401</t>
  </si>
  <si>
    <t>00000402</t>
  </si>
  <si>
    <t>00000412</t>
  </si>
  <si>
    <t>05/07/2022</t>
  </si>
  <si>
    <t>CHI NHÁNH YÊN BÁI - CÔNG TY CỔ PHẦN DỊCH VỤ THƯƠNG MẠI TỔNG HỢP WINCOMMERCE</t>
  </si>
  <si>
    <t>00000472</t>
  </si>
  <si>
    <t>07/07/2022</t>
  </si>
  <si>
    <t>00000473</t>
  </si>
  <si>
    <t>00000474</t>
  </si>
  <si>
    <t>00000477</t>
  </si>
  <si>
    <t>08/07/2022</t>
  </si>
  <si>
    <t>00002737</t>
  </si>
  <si>
    <t>Ghi nhận DS</t>
  </si>
  <si>
    <t>00002738</t>
  </si>
  <si>
    <t>04/10/2023</t>
  </si>
  <si>
    <t>00000513</t>
  </si>
  <si>
    <t>11/07/2022</t>
  </si>
  <si>
    <t>00002748</t>
  </si>
  <si>
    <t>00002790</t>
  </si>
  <si>
    <t>BLOCK</t>
  </si>
  <si>
    <t>00002800</t>
  </si>
  <si>
    <t>00002801</t>
  </si>
  <si>
    <t>11/10/2023</t>
  </si>
  <si>
    <t>00002818</t>
  </si>
  <si>
    <t>12/10/2023</t>
  </si>
  <si>
    <t>00002851</t>
  </si>
  <si>
    <t>00002852</t>
  </si>
  <si>
    <t>00002868</t>
  </si>
  <si>
    <t>18/10/2023</t>
  </si>
  <si>
    <t>00002869</t>
  </si>
  <si>
    <t>00002878</t>
  </si>
  <si>
    <t>20/10/2023</t>
  </si>
  <si>
    <t>00002879</t>
  </si>
  <si>
    <t>00002912</t>
  </si>
  <si>
    <t>23/10/2023</t>
  </si>
  <si>
    <t>00002924</t>
  </si>
  <si>
    <t>25/10/2023</t>
  </si>
  <si>
    <t>00002932</t>
  </si>
  <si>
    <t>26/10/2023</t>
  </si>
  <si>
    <t>00002933</t>
  </si>
  <si>
    <t>00002942</t>
  </si>
  <si>
    <t>00002969</t>
  </si>
  <si>
    <t>00002981</t>
  </si>
  <si>
    <t>31/10/2023</t>
  </si>
  <si>
    <t>00002992</t>
  </si>
  <si>
    <t>02/11/2023</t>
  </si>
  <si>
    <t>00002995</t>
  </si>
  <si>
    <t>00003026</t>
  </si>
  <si>
    <t>04/11/2023</t>
  </si>
  <si>
    <t>00003027</t>
  </si>
  <si>
    <t>00003037</t>
  </si>
  <si>
    <t>06/11/2023</t>
  </si>
  <si>
    <t>00003061</t>
  </si>
  <si>
    <t>08/11/2023</t>
  </si>
  <si>
    <t>00003065</t>
  </si>
  <si>
    <t>00003071</t>
  </si>
  <si>
    <t>10/11/2023</t>
  </si>
  <si>
    <t>00003096</t>
  </si>
  <si>
    <t>00003098</t>
  </si>
  <si>
    <t>13/11/2023</t>
  </si>
  <si>
    <t>00003108</t>
  </si>
  <si>
    <t>14/11/2023</t>
  </si>
  <si>
    <t>00003109</t>
  </si>
  <si>
    <t>00003120</t>
  </si>
  <si>
    <t>00003128</t>
  </si>
  <si>
    <t>17/11/2023</t>
  </si>
  <si>
    <t>00003171</t>
  </si>
  <si>
    <t>00003178</t>
  </si>
  <si>
    <t>21/11/2023</t>
  </si>
  <si>
    <t>00003182</t>
  </si>
  <si>
    <t>00003187</t>
  </si>
  <si>
    <t>22/11/2023</t>
  </si>
  <si>
    <t>00003198</t>
  </si>
  <si>
    <t>23/11/2023</t>
  </si>
  <si>
    <t>00003203</t>
  </si>
  <si>
    <t>24/11/2023</t>
  </si>
  <si>
    <t>00003204</t>
  </si>
  <si>
    <t>00003209</t>
  </si>
  <si>
    <t>00003404</t>
  </si>
  <si>
    <t>30/11/2023</t>
  </si>
  <si>
    <t>00003413</t>
  </si>
  <si>
    <t>00003440</t>
  </si>
  <si>
    <t>01/12/2023</t>
  </si>
  <si>
    <t>00003442</t>
  </si>
  <si>
    <t>00003479</t>
  </si>
  <si>
    <t>00003558</t>
  </si>
  <si>
    <t>07/12/2023</t>
  </si>
  <si>
    <t>00003577</t>
  </si>
  <si>
    <t>00003579</t>
  </si>
  <si>
    <t>00003733</t>
  </si>
  <si>
    <t>00003734</t>
  </si>
  <si>
    <t>00003735</t>
  </si>
  <si>
    <t>00003770</t>
  </si>
  <si>
    <t>: CHI NHÁNH ĐÀ NẴNG - CÔNG TY CỔ PHẦN DỊCH VỤ THƯƠNG MẠI TỔNG HỢP WINCOMMERCE</t>
  </si>
  <si>
    <t>00000514</t>
  </si>
  <si>
    <t>00000524</t>
  </si>
  <si>
    <t>12/07/2022</t>
  </si>
  <si>
    <t>00000525</t>
  </si>
  <si>
    <t>00000526</t>
  </si>
  <si>
    <t>00003928</t>
  </si>
  <si>
    <t>00003929</t>
  </si>
  <si>
    <t>25/12/2023</t>
  </si>
  <si>
    <t>00003958</t>
  </si>
  <si>
    <t>27/12/2023</t>
  </si>
  <si>
    <t>00003959</t>
  </si>
  <si>
    <t>00003965</t>
  </si>
  <si>
    <t>00000527</t>
  </si>
  <si>
    <t>00000528</t>
  </si>
  <si>
    <t>00003994</t>
  </si>
  <si>
    <t>29/12/2023</t>
  </si>
  <si>
    <t>00003995</t>
  </si>
  <si>
    <t>00003996</t>
  </si>
  <si>
    <t>00003997</t>
  </si>
  <si>
    <t>00000529</t>
  </si>
  <si>
    <t>00000535</t>
  </si>
  <si>
    <t>00000543</t>
  </si>
  <si>
    <t>14/07/2022</t>
  </si>
  <si>
    <t>00000544</t>
  </si>
  <si>
    <t>CHI NHÁNH NINH THUẬN- CÔNG TY CỔ PHẦN DỊCH VỤ THƯƠNG MẠI TỔNG HỢP WINCOMMERCE</t>
  </si>
  <si>
    <t>00000545</t>
  </si>
  <si>
    <t>00000552</t>
  </si>
  <si>
    <t>00000580</t>
  </si>
  <si>
    <t>00000310</t>
  </si>
  <si>
    <t>00000177</t>
  </si>
  <si>
    <t>08/06/2022</t>
  </si>
  <si>
    <t>00000181</t>
  </si>
  <si>
    <t>09/06/2022</t>
  </si>
  <si>
    <t>00000182</t>
  </si>
  <si>
    <t>00000188</t>
  </si>
  <si>
    <t>00000211</t>
  </si>
  <si>
    <t>11/06/2022</t>
  </si>
  <si>
    <t>00000212</t>
  </si>
  <si>
    <t>00000213</t>
  </si>
  <si>
    <t>00000216</t>
  </si>
  <si>
    <t>13/06/2022</t>
  </si>
  <si>
    <t>00000220</t>
  </si>
  <si>
    <t>00000232</t>
  </si>
  <si>
    <t>15/06/2022</t>
  </si>
  <si>
    <t>00000233</t>
  </si>
  <si>
    <t>00000237</t>
  </si>
  <si>
    <t>00000238</t>
  </si>
  <si>
    <t>00000278</t>
  </si>
  <si>
    <t>00000279</t>
  </si>
  <si>
    <t>00000280</t>
  </si>
  <si>
    <t>00000281</t>
  </si>
  <si>
    <t>00000283</t>
  </si>
  <si>
    <t>00000285</t>
  </si>
  <si>
    <t>00000286</t>
  </si>
  <si>
    <t>00000288</t>
  </si>
  <si>
    <t>00000304</t>
  </si>
  <si>
    <t>21/06/2022</t>
  </si>
  <si>
    <t>00000305</t>
  </si>
  <si>
    <t>00000311</t>
  </si>
  <si>
    <t>00000317</t>
  </si>
  <si>
    <t>00000325</t>
  </si>
  <si>
    <t>23/06/2022</t>
  </si>
  <si>
    <t>00000327</t>
  </si>
  <si>
    <t>00000335</t>
  </si>
  <si>
    <t>25/06/2022</t>
  </si>
  <si>
    <t>00000336</t>
  </si>
  <si>
    <t>00000361</t>
  </si>
  <si>
    <t>00000362</t>
  </si>
  <si>
    <t>00000385</t>
  </si>
  <si>
    <t>00000386</t>
  </si>
  <si>
    <t>CHI NHÁNH NINH THUẬN - CÔNG TY CỔ PHẦN DỊCH VỤ THƯƠNG MẠI TỔNG HỢP WINCOMMERCE</t>
  </si>
  <si>
    <t>00000002</t>
  </si>
  <si>
    <t>19/05/2022</t>
  </si>
  <si>
    <t>00000043</t>
  </si>
  <si>
    <t>23/05/2022</t>
  </si>
  <si>
    <t>00000044</t>
  </si>
  <si>
    <t>00000055</t>
  </si>
  <si>
    <t>25/05/2022</t>
  </si>
  <si>
    <t>00000056</t>
  </si>
  <si>
    <t>00000057</t>
  </si>
  <si>
    <t>00000058</t>
  </si>
  <si>
    <t>00000059</t>
  </si>
  <si>
    <t>00000060</t>
  </si>
  <si>
    <t>00000088</t>
  </si>
  <si>
    <t>28/05/2022</t>
  </si>
  <si>
    <t>00000089</t>
  </si>
  <si>
    <t>00000090</t>
  </si>
  <si>
    <t>00000093</t>
  </si>
  <si>
    <t>CHI NHÁNH HẢI DƯƠNG - CÔNG TY CỔ PHẦN DỊCH VỤ THƯƠNG MẠI TỔNG HỢP WINCOMMERCE</t>
  </si>
  <si>
    <t>00000101</t>
  </si>
  <si>
    <t>31/05/2022</t>
  </si>
  <si>
    <t>00000102</t>
  </si>
  <si>
    <t>02/06/2022</t>
  </si>
  <si>
    <t>CHI NHÁNH HÀ TĨNH - CÔNG TY CỔ PHẦN DỊCH VỤ THƯƠNG MẠI TỔNG HỢP WINCOMMERCE</t>
  </si>
  <si>
    <t>00000157</t>
  </si>
  <si>
    <t>03/06/2022</t>
  </si>
  <si>
    <t>00000168</t>
  </si>
  <si>
    <t>00001728</t>
  </si>
  <si>
    <t>00000775</t>
  </si>
  <si>
    <t>00000846</t>
  </si>
  <si>
    <t>Hoàn</t>
  </si>
  <si>
    <t>00000425</t>
  </si>
  <si>
    <t>00000448</t>
  </si>
  <si>
    <t>00000455</t>
  </si>
  <si>
    <t>00000579</t>
  </si>
  <si>
    <t>00000720</t>
  </si>
  <si>
    <t>19/02/2024</t>
  </si>
  <si>
    <t>00000721</t>
  </si>
  <si>
    <t>22/02/2024</t>
  </si>
  <si>
    <t>23/02/2024</t>
  </si>
  <si>
    <t>00000797</t>
  </si>
  <si>
    <t>00000804</t>
  </si>
  <si>
    <t>00000871</t>
  </si>
  <si>
    <t>29/02/2024</t>
  </si>
  <si>
    <t>00000875</t>
  </si>
  <si>
    <t>00000958</t>
  </si>
  <si>
    <t>07/03/2024</t>
  </si>
  <si>
    <t>00000973</t>
  </si>
  <si>
    <t>00000980</t>
  </si>
  <si>
    <t>08/03/2024</t>
  </si>
  <si>
    <t>00000988</t>
  </si>
  <si>
    <t>00000991</t>
  </si>
  <si>
    <t>09/03/2024</t>
  </si>
  <si>
    <t>00001017</t>
  </si>
  <si>
    <t>11/03/2024</t>
  </si>
  <si>
    <t>00001032</t>
  </si>
  <si>
    <t>13/03/2024</t>
  </si>
  <si>
    <t>00001055</t>
  </si>
  <si>
    <t>15/03/2024</t>
  </si>
  <si>
    <t>00001093</t>
  </si>
  <si>
    <t>00001133</t>
  </si>
  <si>
    <t>18/03/2024</t>
  </si>
  <si>
    <t>00001152</t>
  </si>
  <si>
    <t>19/03/2024</t>
  </si>
  <si>
    <t>00001209</t>
  </si>
  <si>
    <t>23/03/2024</t>
  </si>
  <si>
    <t>00001210</t>
  </si>
  <si>
    <t>00001264</t>
  </si>
  <si>
    <t>29/03/2024</t>
  </si>
  <si>
    <t>PO4901115113</t>
  </si>
  <si>
    <t>00001265</t>
  </si>
  <si>
    <t>PO4901113801</t>
  </si>
  <si>
    <t>PO4901115379</t>
  </si>
  <si>
    <t>00001318</t>
  </si>
  <si>
    <t>PO4901115770</t>
  </si>
  <si>
    <t>00001358</t>
  </si>
  <si>
    <t>PO4158632144</t>
  </si>
  <si>
    <t>00001359</t>
  </si>
  <si>
    <t>04/04/2024</t>
  </si>
  <si>
    <t>PO4901118633</t>
  </si>
  <si>
    <t>00001435</t>
  </si>
  <si>
    <t>PO4158632504</t>
  </si>
  <si>
    <t>00001445</t>
  </si>
  <si>
    <t>09/04/2024</t>
  </si>
  <si>
    <t>PO4158729959</t>
  </si>
  <si>
    <t>11/04/2024</t>
  </si>
  <si>
    <t>PO4901123428</t>
  </si>
  <si>
    <t>00001636</t>
  </si>
  <si>
    <t>22/04/2024</t>
  </si>
  <si>
    <t>PO4901126518</t>
  </si>
  <si>
    <t>00001637</t>
  </si>
  <si>
    <t>PO HỦY, THAY PO MỚI</t>
  </si>
  <si>
    <t>PO4901126537</t>
  </si>
  <si>
    <t>00001642</t>
  </si>
  <si>
    <t>PO4158988089</t>
  </si>
  <si>
    <t>00001643</t>
  </si>
  <si>
    <t>PO4901125827</t>
  </si>
  <si>
    <t>00001647</t>
  </si>
  <si>
    <t>PO4901127455</t>
  </si>
  <si>
    <t>00001657</t>
  </si>
  <si>
    <t>PO4159119491</t>
  </si>
  <si>
    <t>00001665</t>
  </si>
  <si>
    <t>24/04/2024</t>
  </si>
  <si>
    <t>PO4159182405</t>
  </si>
  <si>
    <t>00001666</t>
  </si>
  <si>
    <t>PO4159156255</t>
  </si>
  <si>
    <t>PO4901129745</t>
  </si>
  <si>
    <t>00001744</t>
  </si>
  <si>
    <t>02/05/2024</t>
  </si>
  <si>
    <t>PO4159311582</t>
  </si>
  <si>
    <t>00001760</t>
  </si>
  <si>
    <t>03/05/2024</t>
  </si>
  <si>
    <t>PO4901129634</t>
  </si>
  <si>
    <t>00001762</t>
  </si>
  <si>
    <t>PO4901131228</t>
  </si>
  <si>
    <t>00001793</t>
  </si>
  <si>
    <t>PO4901131738</t>
  </si>
  <si>
    <t>00001794</t>
  </si>
  <si>
    <t>04/05/2024</t>
  </si>
  <si>
    <t>PO4901132453</t>
  </si>
  <si>
    <t>PO4901132470</t>
  </si>
  <si>
    <t>00001832</t>
  </si>
  <si>
    <t>PO4901135994</t>
  </si>
  <si>
    <t>00001833</t>
  </si>
  <si>
    <t>PO4901135031</t>
  </si>
  <si>
    <t>00001870</t>
  </si>
  <si>
    <t>14/05/2024</t>
  </si>
  <si>
    <t>PO4901135480</t>
  </si>
  <si>
    <t>00001871</t>
  </si>
  <si>
    <t>PO4901132924</t>
  </si>
  <si>
    <t>00001872</t>
  </si>
  <si>
    <t>PO4901135828</t>
  </si>
  <si>
    <t>00001893</t>
  </si>
  <si>
    <t>17/05/2024</t>
  </si>
  <si>
    <t>PO4901138496</t>
  </si>
  <si>
    <t>00001895</t>
  </si>
  <si>
    <t>PO4901138864</t>
  </si>
  <si>
    <t>00001962</t>
  </si>
  <si>
    <t>23/05/2024</t>
  </si>
  <si>
    <t>PO4901141681</t>
  </si>
  <si>
    <t>00001965</t>
  </si>
  <si>
    <t>PO4901142614</t>
  </si>
  <si>
    <t>00001966</t>
  </si>
  <si>
    <t>24/05/2024</t>
  </si>
  <si>
    <t>PO4901142444</t>
  </si>
  <si>
    <t>00001983</t>
  </si>
  <si>
    <t>25/05/2024</t>
  </si>
  <si>
    <t>PO4901143383</t>
  </si>
  <si>
    <t>00001984</t>
  </si>
  <si>
    <t>PO4901143381</t>
  </si>
  <si>
    <t>00001985</t>
  </si>
  <si>
    <t>PO4901143343</t>
  </si>
  <si>
    <t>00002014</t>
  </si>
  <si>
    <t>29/05/2024</t>
  </si>
  <si>
    <t>PO4901143390</t>
  </si>
  <si>
    <t>00002025</t>
  </si>
  <si>
    <t>30/05/2024</t>
  </si>
  <si>
    <t>PO4160112225</t>
  </si>
  <si>
    <t>00002026</t>
  </si>
  <si>
    <t>PO4901144926</t>
  </si>
  <si>
    <t>00002040</t>
  </si>
  <si>
    <t>31/05/2024</t>
  </si>
  <si>
    <t>PO4901145413</t>
  </si>
  <si>
    <t>00002043</t>
  </si>
  <si>
    <t>PO4901145694</t>
  </si>
  <si>
    <t>00002044</t>
  </si>
  <si>
    <t>PO4901145805</t>
  </si>
  <si>
    <t>00002101</t>
  </si>
  <si>
    <t>07/06/2024</t>
  </si>
  <si>
    <t>PO4901149535</t>
  </si>
  <si>
    <t>00002109</t>
  </si>
  <si>
    <t>PO4901148773</t>
  </si>
  <si>
    <t>00002110</t>
  </si>
  <si>
    <t>PO4901148731</t>
  </si>
  <si>
    <t>00002149</t>
  </si>
  <si>
    <t>13/06/2024</t>
  </si>
  <si>
    <t>PO4160520179</t>
  </si>
  <si>
    <t>00002164</t>
  </si>
  <si>
    <t>14/06/2024</t>
  </si>
  <si>
    <t>PO4901152208</t>
  </si>
  <si>
    <t>HỦY ĐƠN KO GIAO</t>
  </si>
  <si>
    <t>00002165</t>
  </si>
  <si>
    <t>PO4901151635</t>
  </si>
  <si>
    <t>00002166</t>
  </si>
  <si>
    <t>PO4901151436</t>
  </si>
  <si>
    <t>00002167</t>
  </si>
  <si>
    <t>PO4901152559</t>
  </si>
  <si>
    <t>00002168</t>
  </si>
  <si>
    <t>PO4901152456</t>
  </si>
  <si>
    <t>00002170</t>
  </si>
  <si>
    <t>PO4901151921</t>
  </si>
  <si>
    <t>00002172</t>
  </si>
  <si>
    <t>PO4901152640</t>
  </si>
  <si>
    <t>00002217</t>
  </si>
  <si>
    <t>PO4901149530</t>
  </si>
  <si>
    <t>00002296</t>
  </si>
  <si>
    <t>PO4901156345</t>
  </si>
  <si>
    <t>00002297</t>
  </si>
  <si>
    <t>PO4901155965</t>
  </si>
  <si>
    <t>00002330</t>
  </si>
  <si>
    <t>26/06/2024</t>
  </si>
  <si>
    <t>PO4901155762</t>
  </si>
  <si>
    <t>00002351</t>
  </si>
  <si>
    <t>28/06/2024</t>
  </si>
  <si>
    <t>PO4901158685</t>
  </si>
  <si>
    <t>00002352</t>
  </si>
  <si>
    <t>PO4161050721</t>
  </si>
  <si>
    <t>00002353</t>
  </si>
  <si>
    <t>PO4901158885</t>
  </si>
  <si>
    <t>00002450</t>
  </si>
  <si>
    <t>04/07/2024</t>
  </si>
  <si>
    <t>PO4161207820</t>
  </si>
  <si>
    <t>00002458</t>
  </si>
  <si>
    <t>05/07/2024</t>
  </si>
  <si>
    <t>PO4901161422</t>
  </si>
  <si>
    <t>00002459</t>
  </si>
  <si>
    <t>PO4901161945</t>
  </si>
  <si>
    <t>00002538</t>
  </si>
  <si>
    <t>12/07/2024</t>
  </si>
  <si>
    <t>PO4161476926</t>
  </si>
  <si>
    <t>00002539</t>
  </si>
  <si>
    <t>PO4901163925</t>
  </si>
  <si>
    <t>00002540</t>
  </si>
  <si>
    <t>PO4901164246</t>
  </si>
  <si>
    <t>PO4161448384</t>
  </si>
  <si>
    <t>00002542</t>
  </si>
  <si>
    <t>PO4901163480</t>
  </si>
  <si>
    <t>00002646</t>
  </si>
  <si>
    <t>19/07/2024</t>
  </si>
  <si>
    <t>PO4901168098</t>
  </si>
  <si>
    <t>00002647</t>
  </si>
  <si>
    <t>PO4901167888</t>
  </si>
  <si>
    <t>00002648</t>
  </si>
  <si>
    <t>PO4901167945</t>
  </si>
  <si>
    <t>00002731</t>
  </si>
  <si>
    <t>PO4901171418</t>
  </si>
  <si>
    <t>00002733</t>
  </si>
  <si>
    <t>26/07/2024</t>
  </si>
  <si>
    <t>PO4901170971</t>
  </si>
  <si>
    <t>00002802</t>
  </si>
  <si>
    <t>29/07/2024</t>
  </si>
  <si>
    <t>PO4901171875</t>
  </si>
  <si>
    <t>00002845</t>
  </si>
  <si>
    <t>02/08/2024</t>
  </si>
  <si>
    <t>PO4901174950</t>
  </si>
  <si>
    <t>00002848</t>
  </si>
  <si>
    <t>PO4162225402</t>
  </si>
  <si>
    <t>00002849</t>
  </si>
  <si>
    <t>PO4162224881</t>
  </si>
  <si>
    <t>00002909</t>
  </si>
  <si>
    <t>08/08/2024</t>
  </si>
  <si>
    <t>PO4901177043</t>
  </si>
  <si>
    <t>00002936</t>
  </si>
  <si>
    <t>PO4901177574</t>
  </si>
  <si>
    <t>00002937</t>
  </si>
  <si>
    <t>09/08/2024</t>
  </si>
  <si>
    <t>PO4162479495</t>
  </si>
  <si>
    <t>PO4162479507</t>
  </si>
  <si>
    <t>00002941</t>
  </si>
  <si>
    <t>PO4901177818</t>
  </si>
  <si>
    <t>00003018</t>
  </si>
  <si>
    <t>PO4162606750</t>
  </si>
  <si>
    <t>00003039</t>
  </si>
  <si>
    <t>16/08/2024</t>
  </si>
  <si>
    <t>PO4162672921</t>
  </si>
  <si>
    <t>in PNK</t>
  </si>
  <si>
    <t>00003040</t>
  </si>
  <si>
    <t>PO4162660967</t>
  </si>
  <si>
    <t>00003041</t>
  </si>
  <si>
    <t>PO4162732898</t>
  </si>
  <si>
    <t>00003042</t>
  </si>
  <si>
    <t>PO4162733890</t>
  </si>
  <si>
    <t>00003043</t>
  </si>
  <si>
    <t>PO4901181013</t>
  </si>
  <si>
    <t>00003050</t>
  </si>
  <si>
    <t>PO4901180590</t>
  </si>
  <si>
    <t>00003090</t>
  </si>
  <si>
    <t>19/08/2024</t>
  </si>
  <si>
    <t>PO4162753873</t>
  </si>
  <si>
    <t>00003101</t>
  </si>
  <si>
    <t>20/08/2024</t>
  </si>
  <si>
    <t>PO4901181664</t>
  </si>
  <si>
    <t>00003125</t>
  </si>
  <si>
    <t>21/08/2024</t>
  </si>
  <si>
    <t>PO4901182473</t>
  </si>
  <si>
    <t>00003136</t>
  </si>
  <si>
    <t>23/08/2024</t>
  </si>
  <si>
    <t>PO4162980998</t>
  </si>
  <si>
    <t>00003137</t>
  </si>
  <si>
    <t>PO4162982358</t>
  </si>
  <si>
    <t>00003138</t>
  </si>
  <si>
    <t>PO4901183615</t>
  </si>
  <si>
    <t>00003142</t>
  </si>
  <si>
    <t>PO4901183785</t>
  </si>
  <si>
    <t>00003162</t>
  </si>
  <si>
    <t>PO4163002623</t>
  </si>
  <si>
    <t>00003163</t>
  </si>
  <si>
    <t>24/08/2024</t>
  </si>
  <si>
    <t>PO4901184337</t>
  </si>
  <si>
    <t>00003208</t>
  </si>
  <si>
    <t>PO4901184081</t>
  </si>
  <si>
    <t>00003231</t>
  </si>
  <si>
    <t>27/08/2024</t>
  </si>
  <si>
    <t>PO4901184873</t>
  </si>
  <si>
    <t>00003272</t>
  </si>
  <si>
    <t>29/08/2024</t>
  </si>
  <si>
    <t>PO4163167843</t>
  </si>
  <si>
    <t>00003282</t>
  </si>
  <si>
    <t>PO4901186934</t>
  </si>
  <si>
    <t>00003315</t>
  </si>
  <si>
    <t>30/08/2024</t>
  </si>
  <si>
    <t>PO4163208068</t>
  </si>
  <si>
    <t>00003332</t>
  </si>
  <si>
    <t>04/09/2024</t>
  </si>
  <si>
    <t>PO4901187959</t>
  </si>
  <si>
    <t>00003343</t>
  </si>
  <si>
    <t>06/09/2024</t>
  </si>
  <si>
    <t>PO4163409514</t>
  </si>
  <si>
    <t>00003348</t>
  </si>
  <si>
    <t>PO4901189211</t>
  </si>
  <si>
    <t>00003401</t>
  </si>
  <si>
    <t>13/09/2024</t>
  </si>
  <si>
    <t>PO4163614478</t>
  </si>
  <si>
    <t>00003402</t>
  </si>
  <si>
    <t>PO4163688785</t>
  </si>
  <si>
    <t>00003474</t>
  </si>
  <si>
    <t>18/09/2024</t>
  </si>
  <si>
    <t>PO4163853170</t>
  </si>
  <si>
    <t>00003491</t>
  </si>
  <si>
    <t>20/09/2024</t>
  </si>
  <si>
    <t>PO4163896497</t>
  </si>
  <si>
    <t>00003492</t>
  </si>
  <si>
    <t>PO4163910445</t>
  </si>
  <si>
    <t>00003499</t>
  </si>
  <si>
    <t>PO4163922203</t>
  </si>
  <si>
    <t>00003563</t>
  </si>
  <si>
    <t>24/09/2024</t>
  </si>
  <si>
    <t>PO4164026302</t>
  </si>
  <si>
    <t>00003576</t>
  </si>
  <si>
    <t>PO4164011757</t>
  </si>
  <si>
    <t>00003589</t>
  </si>
  <si>
    <t>26/09/2024</t>
  </si>
  <si>
    <t>PO4901195001</t>
  </si>
  <si>
    <t>00003591</t>
  </si>
  <si>
    <t>PO4901195882</t>
  </si>
  <si>
    <t>00003598</t>
  </si>
  <si>
    <t>27/09/2024</t>
  </si>
  <si>
    <t>PO4164147941</t>
  </si>
  <si>
    <t>00003599</t>
  </si>
  <si>
    <t>PO4164152019</t>
  </si>
  <si>
    <t>00003604</t>
  </si>
  <si>
    <t>PO4901197946</t>
  </si>
  <si>
    <t>CÔNG NỢ WINCOMMERCE</t>
  </si>
  <si>
    <t>HĐ ĐẦU RA</t>
  </si>
  <si>
    <t>HĐ CẤN TRỪ</t>
  </si>
  <si>
    <t>TỔNG NỢ</t>
  </si>
  <si>
    <t>NOTE</t>
  </si>
  <si>
    <t>- Khớp hết ngày 27/9/2022</t>
  </si>
  <si>
    <t>SỐ HĐ</t>
  </si>
  <si>
    <t>Ngày HĐ</t>
  </si>
  <si>
    <t>Trước Thuế</t>
  </si>
  <si>
    <t>VAT</t>
  </si>
  <si>
    <t>Đã cấn trừ</t>
  </si>
  <si>
    <t>- 30/9 làm lệnh giảm công nợ 2.851.200</t>
  </si>
  <si>
    <t>- 10H10PH 12/07/2023 CÔNG NỢ KHỚP</t>
  </si>
  <si>
    <t>VM Biên Hòa</t>
  </si>
  <si>
    <t>2370</t>
  </si>
  <si>
    <t>-18/4/2023 công nợ khớp</t>
  </si>
  <si>
    <t>VM Skylake</t>
  </si>
  <si>
    <t>69692</t>
  </si>
  <si>
    <t>- 19/11/2023 CÔNG NỢ KHỚP</t>
  </si>
  <si>
    <t>VM Royal City</t>
  </si>
  <si>
    <t>70961</t>
  </si>
  <si>
    <t>VM Lạng Sơn</t>
  </si>
  <si>
    <t>0760</t>
  </si>
  <si>
    <t>25/5/20121</t>
  </si>
  <si>
    <t>VM Xuân Diệu</t>
  </si>
  <si>
    <t>75613</t>
  </si>
  <si>
    <t>VM Nguyễn Xí</t>
  </si>
  <si>
    <t>31584</t>
  </si>
  <si>
    <t>VM Bà Triệu</t>
  </si>
  <si>
    <t>79893</t>
  </si>
  <si>
    <t>VM Đà Nẵng</t>
  </si>
  <si>
    <t>10893</t>
  </si>
  <si>
    <t>VM Lê Thánh Tôn</t>
  </si>
  <si>
    <t>2358</t>
  </si>
  <si>
    <t>VM VCP DNG Đà Nẵng</t>
  </si>
  <si>
    <t>21051</t>
  </si>
  <si>
    <t>WM Cần Thơ</t>
  </si>
  <si>
    <t>8224</t>
  </si>
  <si>
    <t>18/2/2022</t>
  </si>
  <si>
    <t>WM Ocen Park</t>
  </si>
  <si>
    <t>173408</t>
  </si>
  <si>
    <t>17/1/2022</t>
  </si>
  <si>
    <t>WM Liễu Giai</t>
  </si>
  <si>
    <t>170171</t>
  </si>
  <si>
    <t>WM Thái Bình</t>
  </si>
  <si>
    <t>0001833</t>
  </si>
  <si>
    <t>WM Quang Trung</t>
  </si>
  <si>
    <t>173088</t>
  </si>
  <si>
    <t>WM Hà Nam</t>
  </si>
  <si>
    <t>1368</t>
  </si>
  <si>
    <t>26/1/2022</t>
  </si>
  <si>
    <t>WM VC+ DTP Sa Đéc</t>
  </si>
  <si>
    <t>1240</t>
  </si>
  <si>
    <t>WM VCP CTO Xuân Khánh</t>
  </si>
  <si>
    <t>8419</t>
  </si>
  <si>
    <t>WM Nha Trang</t>
  </si>
  <si>
    <t>5060</t>
  </si>
  <si>
    <t>WM Trần Phú</t>
  </si>
  <si>
    <t>5103</t>
  </si>
  <si>
    <t>wm phổ quang</t>
  </si>
  <si>
    <t>55438</t>
  </si>
  <si>
    <t>WM Trần Duy Hưng</t>
  </si>
  <si>
    <t>185743</t>
  </si>
  <si>
    <t>WM HNI La Thành</t>
  </si>
  <si>
    <t>185779</t>
  </si>
  <si>
    <t>WM Royal City</t>
  </si>
  <si>
    <t>187380</t>
  </si>
  <si>
    <t> WM HNI Trương Định</t>
  </si>
  <si>
    <t>187435</t>
  </si>
  <si>
    <t>WM HNI Thăng Long</t>
  </si>
  <si>
    <t>187426</t>
  </si>
  <si>
    <t>WM HNI Hoài Đức</t>
  </si>
  <si>
    <t>187474</t>
  </si>
  <si>
    <t>WM VMM HNI Ocean Park</t>
  </si>
  <si>
    <t>0187534</t>
  </si>
  <si>
    <t>WM Hạ Long</t>
  </si>
  <si>
    <t>16792</t>
  </si>
  <si>
    <t>25/2/2022</t>
  </si>
  <si>
    <t>WM HNI Tây Hồ</t>
  </si>
  <si>
    <t>0187661</t>
  </si>
  <si>
    <t>18/02/2022</t>
  </si>
  <si>
    <t>HĐ CHIẾT KHẤU THÁNG 1</t>
  </si>
  <si>
    <t>0018581</t>
  </si>
  <si>
    <t>22/02/2022</t>
  </si>
  <si>
    <t>WM VCP HNM Hà Nam</t>
  </si>
  <si>
    <t>0001569</t>
  </si>
  <si>
    <t>25/02/2022</t>
  </si>
  <si>
    <t>WM VCP HCM Quang Trung</t>
  </si>
  <si>
    <t>0056182</t>
  </si>
  <si>
    <t> WM VCC HCM Landmark 81</t>
  </si>
  <si>
    <t>0056289</t>
  </si>
  <si>
    <t>WM VC+ HCM Nam Long</t>
  </si>
  <si>
    <t>0056330</t>
  </si>
  <si>
    <t> WM HCM Trung Sơn</t>
  </si>
  <si>
    <t>0056335</t>
  </si>
  <si>
    <t> WM HCM Bàu Cát</t>
  </si>
  <si>
    <t>0056446</t>
  </si>
  <si>
    <t>WM VCC HCM Thảo Điền</t>
  </si>
  <si>
    <t>0056683</t>
  </si>
  <si>
    <t>WM VCP HPG Hải Phòng</t>
  </si>
  <si>
    <t>0014373</t>
  </si>
  <si>
    <t>WM VCP SLA Sơn La</t>
  </si>
  <si>
    <t>0001005</t>
  </si>
  <si>
    <t>WM VCP HBH Hòa Bình</t>
  </si>
  <si>
    <t>0001035</t>
  </si>
  <si>
    <t>WM VCP LAN Long An</t>
  </si>
  <si>
    <t>0000969</t>
  </si>
  <si>
    <t>WM VCP LSN Lạng Sơn</t>
  </si>
  <si>
    <t>0002458</t>
  </si>
  <si>
    <t>WM VCP HNI Skylake</t>
  </si>
  <si>
    <t>0192647</t>
  </si>
  <si>
    <t> WM VCP HNI Skylake</t>
  </si>
  <si>
    <t>0192768</t>
  </si>
  <si>
    <t>WM HNI Đại La</t>
  </si>
  <si>
    <t>0193033</t>
  </si>
  <si>
    <t> WM VCC HNI Nguyễn Chí Thanh</t>
  </si>
  <si>
    <t>0193298</t>
  </si>
  <si>
    <t>WM HNI Đội Cấn</t>
  </si>
  <si>
    <t>0193404</t>
  </si>
  <si>
    <t>WM VCC HNI Liễu Giai</t>
  </si>
  <si>
    <t>0193503</t>
  </si>
  <si>
    <t>WM HNI Hoàng Cầu</t>
  </si>
  <si>
    <t>0193507</t>
  </si>
  <si>
    <t> WM VCP HNI Bắc Từ Liêm</t>
  </si>
  <si>
    <t>0193612</t>
  </si>
  <si>
    <t>WM HNI Thụy Khuê</t>
  </si>
  <si>
    <t>0193748</t>
  </si>
  <si>
    <t>WM HNI Trúc Khê</t>
  </si>
  <si>
    <t>0194218</t>
  </si>
  <si>
    <t>WM HNI Nguyễn Văn Cừ II</t>
  </si>
  <si>
    <t>0194292</t>
  </si>
  <si>
    <t>WM HNI Gardenia</t>
  </si>
  <si>
    <t>0194471</t>
  </si>
  <si>
    <t>WM HNI Xuân Diệu</t>
  </si>
  <si>
    <t>0194975</t>
  </si>
  <si>
    <t>0194998</t>
  </si>
  <si>
    <t> WM VCP DNG Đà Nẵng</t>
  </si>
  <si>
    <t>0025096</t>
  </si>
  <si>
    <t>WM VCP KHA Lê Thánh Tôn</t>
  </si>
  <si>
    <t>0005186</t>
  </si>
  <si>
    <t> WM VCP KHA Nha Trang</t>
  </si>
  <si>
    <t>0005216</t>
  </si>
  <si>
    <t>WM VC+ KHA Ninh Hòa</t>
  </si>
  <si>
    <t>0005300</t>
  </si>
  <si>
    <t>WM VC+ DNI Long Thành</t>
  </si>
  <si>
    <t>0005020</t>
  </si>
  <si>
    <t>WM BDH Quy Nhơn</t>
  </si>
  <si>
    <t>0000189</t>
  </si>
  <si>
    <t>WM VCP LDG Bảo Lộc</t>
  </si>
  <si>
    <t>0000666</t>
  </si>
  <si>
    <t>28/02/2022</t>
  </si>
  <si>
    <t>WM VCP QNH Cẩm Phả</t>
  </si>
  <si>
    <t>0017332</t>
  </si>
  <si>
    <t>WM VCP TBH Thái Bình</t>
  </si>
  <si>
    <t>0002126</t>
  </si>
  <si>
    <t>WM VCC HCM Đồng Khởi</t>
  </si>
  <si>
    <t>0058330</t>
  </si>
  <si>
    <t>WM VCP HCM Cộng Hòa</t>
  </si>
  <si>
    <t>0058336</t>
  </si>
  <si>
    <t>WM NBH Ninh Bình</t>
  </si>
  <si>
    <t>0002349</t>
  </si>
  <si>
    <t>WM VCP YBI Yên Bái</t>
  </si>
  <si>
    <t>0001071</t>
  </si>
  <si>
    <t>WM VCP TQG Tuyên Quang</t>
  </si>
  <si>
    <t>0001897</t>
  </si>
  <si>
    <t>WM+ HNI 37 Doãn Kế Thiện</t>
  </si>
  <si>
    <t>0197093</t>
  </si>
  <si>
    <t>WM VCP THA Thanh Hóa</t>
  </si>
  <si>
    <t>0007175</t>
  </si>
  <si>
    <t>WM HNI Yên Sở</t>
  </si>
  <si>
    <t>0197545</t>
  </si>
  <si>
    <t>WM VCP BDG Di An</t>
  </si>
  <si>
    <t>0004100</t>
  </si>
  <si>
    <t>WM VCP TNH Tây Ninh</t>
  </si>
  <si>
    <t>0000172</t>
  </si>
  <si>
    <t>WM HNI Thái Thịnh</t>
  </si>
  <si>
    <t>0197636</t>
  </si>
  <si>
    <t>WM VCP AGG Long Xuyên</t>
  </si>
  <si>
    <t>0004273</t>
  </si>
  <si>
    <t> WM VCP VLG Vĩnh Long</t>
  </si>
  <si>
    <t>0001178</t>
  </si>
  <si>
    <t>WM VCP TVH Trà Vinh</t>
  </si>
  <si>
    <t>0001860</t>
  </si>
  <si>
    <t>WM LCU Lai Châu</t>
  </si>
  <si>
    <t>0000299</t>
  </si>
  <si>
    <t>WM VCP TNN Thái Nguyên</t>
  </si>
  <si>
    <t>0002182</t>
  </si>
  <si>
    <t>WM VC+ THA Tĩnh Gia</t>
  </si>
  <si>
    <t>0007193</t>
  </si>
  <si>
    <t>WM HNI Hà Đông</t>
  </si>
  <si>
    <t>0198326</t>
  </si>
  <si>
    <t>WM VCP HCM Ba Tháng Hai</t>
  </si>
  <si>
    <t>0059083</t>
  </si>
  <si>
    <t>WM VCP CTO Cần Thơ</t>
  </si>
  <si>
    <t>0008918</t>
  </si>
  <si>
    <t> WM VCP QNH Móng Cái</t>
  </si>
  <si>
    <t>0017420</t>
  </si>
  <si>
    <t>WM VC+ NAN Thái Hòa</t>
  </si>
  <si>
    <t>0004323</t>
  </si>
  <si>
    <t>VM Nan Vinh</t>
  </si>
  <si>
    <t>4415</t>
  </si>
  <si>
    <t>VM Cà Mau</t>
  </si>
  <si>
    <t>1598</t>
  </si>
  <si>
    <t>VM Phạm Ngọc Thạch</t>
  </si>
  <si>
    <t>202893</t>
  </si>
  <si>
    <t>VM Quang Trung</t>
  </si>
  <si>
    <t>202869</t>
  </si>
  <si>
    <t>VM Vị Thanh</t>
  </si>
  <si>
    <t>366</t>
  </si>
  <si>
    <t>VM Đan Phượng</t>
  </si>
  <si>
    <t>202120</t>
  </si>
  <si>
    <t>VM Chí Linh</t>
  </si>
  <si>
    <t>4858</t>
  </si>
  <si>
    <t>VM Ninh Thuận</t>
  </si>
  <si>
    <t>2710</t>
  </si>
  <si>
    <t>VM Thái Bình</t>
  </si>
  <si>
    <t>2223</t>
  </si>
  <si>
    <t>VM Cần Thơ</t>
  </si>
  <si>
    <t>9226</t>
  </si>
  <si>
    <t>VM Tuy Hòa</t>
  </si>
  <si>
    <t>239</t>
  </si>
  <si>
    <t>VM Quảng Bình</t>
  </si>
  <si>
    <t>1158</t>
  </si>
  <si>
    <t>VM Kontum</t>
  </si>
  <si>
    <t>426</t>
  </si>
  <si>
    <t>VM Cao Lãnh</t>
  </si>
  <si>
    <t>1439</t>
  </si>
  <si>
    <t>VM Quảng Ngãi</t>
  </si>
  <si>
    <t>914</t>
  </si>
  <si>
    <t>9144</t>
  </si>
  <si>
    <t>VM Cầu Giấy</t>
  </si>
  <si>
    <t>201552</t>
  </si>
  <si>
    <t>5364</t>
  </si>
  <si>
    <t>VM Lê Đức Thọ</t>
  </si>
  <si>
    <t>201468</t>
  </si>
  <si>
    <t>VM Hoàng Cầu</t>
  </si>
  <si>
    <t>201477</t>
  </si>
  <si>
    <t>VM Times City</t>
  </si>
  <si>
    <t>201730</t>
  </si>
  <si>
    <t>VM Nhật Tân</t>
  </si>
  <si>
    <t>201840</t>
  </si>
  <si>
    <t>VM Buôn Mê Thuột</t>
  </si>
  <si>
    <t>2083</t>
  </si>
  <si>
    <t>VM Lương Yên</t>
  </si>
  <si>
    <t>202091</t>
  </si>
  <si>
    <t>VM Hà Tĩnh</t>
  </si>
  <si>
    <t>2917</t>
  </si>
  <si>
    <t>VM Kỳ Anh</t>
  </si>
  <si>
    <t>2926</t>
  </si>
  <si>
    <t>VM Imperia Hải Phòng</t>
  </si>
  <si>
    <t>15255</t>
  </si>
  <si>
    <t>VM Uông Bí</t>
  </si>
  <si>
    <t>17959</t>
  </si>
  <si>
    <t>VM Phan Văn Trị</t>
  </si>
  <si>
    <t>60398</t>
  </si>
  <si>
    <t>VM Nguyễn Duy Trinh</t>
  </si>
  <si>
    <t>60630</t>
  </si>
  <si>
    <t>61068</t>
  </si>
  <si>
    <t>VM Văn Quán</t>
  </si>
  <si>
    <t>201301</t>
  </si>
  <si>
    <t>VM Linh Đàm</t>
  </si>
  <si>
    <t>202004</t>
  </si>
  <si>
    <t>VM Bạc Liêu</t>
  </si>
  <si>
    <t>290</t>
  </si>
  <si>
    <t> WM VCC HNI Bà Triệu</t>
  </si>
  <si>
    <t>0203171</t>
  </si>
  <si>
    <t>WM VMM HNI Times City</t>
  </si>
  <si>
    <t>0203254</t>
  </si>
  <si>
    <t>WM HNI Nhật Tân</t>
  </si>
  <si>
    <t>0203293</t>
  </si>
  <si>
    <t>WM HNI Lê Đức Thọ</t>
  </si>
  <si>
    <t>0203380</t>
  </si>
  <si>
    <t>WM VCP HNI Long Biên</t>
  </si>
  <si>
    <t>0203828</t>
  </si>
  <si>
    <t>WM HNI Vũ Trọng Phụng</t>
  </si>
  <si>
    <t>0203849</t>
  </si>
  <si>
    <t>WM HNI Võ Thị Sáu</t>
  </si>
  <si>
    <t>208286</t>
  </si>
  <si>
    <t>208614</t>
  </si>
  <si>
    <t>WM VCP DNG Đà Nẵng</t>
  </si>
  <si>
    <t>27308</t>
  </si>
  <si>
    <t>WM HNI Trung Yên</t>
  </si>
  <si>
    <t>208555</t>
  </si>
  <si>
    <t>WM VCP KGG Rạch Giá</t>
  </si>
  <si>
    <t>2060</t>
  </si>
  <si>
    <t>WM+ HNI 30B Doãn Kế Thiện</t>
  </si>
  <si>
    <t>208619</t>
  </si>
  <si>
    <t> WM VCC HNI Trần Duy Hưng</t>
  </si>
  <si>
    <t>208808</t>
  </si>
  <si>
    <t>WM Nam Đàn</t>
  </si>
  <si>
    <t>4687</t>
  </si>
  <si>
    <t>WM HNI Tràng An</t>
  </si>
  <si>
    <t>209323</t>
  </si>
  <si>
    <t>WM Văn Quán</t>
  </si>
  <si>
    <t>213598</t>
  </si>
  <si>
    <t>WM Yên Sở</t>
  </si>
  <si>
    <t>213027</t>
  </si>
  <si>
    <t>WM Ninh Bình</t>
  </si>
  <si>
    <t>2569</t>
  </si>
  <si>
    <t>WM Phú Thọ</t>
  </si>
  <si>
    <t>4009</t>
  </si>
  <si>
    <t>WM Tràng An</t>
  </si>
  <si>
    <t>213143</t>
  </si>
  <si>
    <t>WM Sóc Trăng</t>
  </si>
  <si>
    <t>1476</t>
  </si>
  <si>
    <t>16464</t>
  </si>
  <si>
    <t>WM VCP HPG Imperia Hải Phòng</t>
  </si>
  <si>
    <t>17689</t>
  </si>
  <si>
    <t>WM HNI Văn Quán</t>
  </si>
  <si>
    <t>216038</t>
  </si>
  <si>
    <t>WM VCP PTO Việt Trì</t>
  </si>
  <si>
    <t>4484</t>
  </si>
  <si>
    <t>223425</t>
  </si>
  <si>
    <t>Phí hỗ trợ vận chuyển DC</t>
  </si>
  <si>
    <t>20451</t>
  </si>
  <si>
    <t>Chiết khấu tháng 1.2022</t>
  </si>
  <si>
    <t>21699</t>
  </si>
  <si>
    <t>WM Bình Trưng</t>
  </si>
  <si>
    <t>70781</t>
  </si>
  <si>
    <t>WM Việt Trì</t>
  </si>
  <si>
    <t>4476</t>
  </si>
  <si>
    <t>WM VCP HCM Thủ Đức</t>
  </si>
  <si>
    <t>71841</t>
  </si>
  <si>
    <t>679</t>
  </si>
  <si>
    <t>WM Yên Bái</t>
  </si>
  <si>
    <t>71</t>
  </si>
  <si>
    <t>WM Dĩ An</t>
  </si>
  <si>
    <t>162</t>
  </si>
  <si>
    <t>WM Võ Thị Sáu</t>
  </si>
  <si>
    <t>338</t>
  </si>
  <si>
    <t>WM 373 Ng Khang</t>
  </si>
  <si>
    <t>5989</t>
  </si>
  <si>
    <t>WM Mai Dịch</t>
  </si>
  <si>
    <t>6025</t>
  </si>
  <si>
    <t>WM Trung Kính</t>
  </si>
  <si>
    <t>6292</t>
  </si>
  <si>
    <t>WM Trung Hòa</t>
  </si>
  <si>
    <t>6636</t>
  </si>
  <si>
    <t>WM+ HNI 269 Nguyễn Khang</t>
  </si>
  <si>
    <t>6674</t>
  </si>
  <si>
    <t>WM+ HNI 96 Trần Bình</t>
  </si>
  <si>
    <t>6827</t>
  </si>
  <si>
    <t>WM+ PTO 191B Ba Mỏ</t>
  </si>
  <si>
    <t>224</t>
  </si>
  <si>
    <t>WM Vị Thanh</t>
  </si>
  <si>
    <t>5</t>
  </si>
  <si>
    <t>WM Quy Nhơn</t>
  </si>
  <si>
    <t>8</t>
  </si>
  <si>
    <t>WM Khu 22 Hoàng Xá</t>
  </si>
  <si>
    <t>375</t>
  </si>
  <si>
    <t>587</t>
  </si>
  <si>
    <t>728</t>
  </si>
  <si>
    <t>Hỗ trợ vận chuyển DC 5.9%</t>
  </si>
  <si>
    <t>2442</t>
  </si>
  <si>
    <t>9968</t>
  </si>
  <si>
    <t>WM Trà Vinh</t>
  </si>
  <si>
    <t>10395</t>
  </si>
  <si>
    <t>31</t>
  </si>
  <si>
    <t>118</t>
  </si>
  <si>
    <t>WM Sa Đéc</t>
  </si>
  <si>
    <t>223</t>
  </si>
  <si>
    <t>WM Lê Thánh Tôn</t>
  </si>
  <si>
    <t>304</t>
  </si>
  <si>
    <t>WM Miền Nam</t>
  </si>
  <si>
    <t>21568</t>
  </si>
  <si>
    <t>56965</t>
  </si>
  <si>
    <t>WM Quảng Bình</t>
  </si>
  <si>
    <t>579</t>
  </si>
  <si>
    <t>Hỗ trợ listing</t>
  </si>
  <si>
    <t>5087</t>
  </si>
  <si>
    <t>935</t>
  </si>
  <si>
    <t>62006</t>
  </si>
  <si>
    <t>Hỗ trợ DC</t>
  </si>
  <si>
    <t>5556</t>
  </si>
  <si>
    <t>WM Bắc Ninh</t>
  </si>
  <si>
    <t>3312</t>
  </si>
  <si>
    <t>WM Nguyễn Xí</t>
  </si>
  <si>
    <t>28150</t>
  </si>
  <si>
    <t>WM Trúc Khê</t>
  </si>
  <si>
    <t>72352</t>
  </si>
  <si>
    <t>WM Gardenia</t>
  </si>
  <si>
    <t>74809</t>
  </si>
  <si>
    <t>WM Skly Lake</t>
  </si>
  <si>
    <t>82280</t>
  </si>
  <si>
    <t>WM Xuân Diêu</t>
  </si>
  <si>
    <t>75466</t>
  </si>
  <si>
    <t>6915</t>
  </si>
  <si>
    <t>91479</t>
  </si>
  <si>
    <t>108968</t>
  </si>
  <si>
    <t>101261</t>
  </si>
  <si>
    <t>4067</t>
  </si>
  <si>
    <t>95966</t>
  </si>
  <si>
    <t>WM Cam Ranh</t>
  </si>
  <si>
    <t>2867</t>
  </si>
  <si>
    <t>WM Landmark 81</t>
  </si>
  <si>
    <t>46658</t>
  </si>
  <si>
    <t>WM Timescity</t>
  </si>
  <si>
    <t>119229</t>
  </si>
  <si>
    <t>3146</t>
  </si>
  <si>
    <t>WM Nguyễn Chí Thanh</t>
  </si>
  <si>
    <t>119232</t>
  </si>
  <si>
    <t>1474</t>
  </si>
  <si>
    <t>51245</t>
  </si>
  <si>
    <t>122410</t>
  </si>
  <si>
    <t>WM Phạm Ngọc Thạch</t>
  </si>
  <si>
    <t>134155</t>
  </si>
  <si>
    <t>10243</t>
  </si>
  <si>
    <t>5002</t>
  </si>
  <si>
    <t>WM đan Phượng</t>
  </si>
  <si>
    <t>142900</t>
  </si>
  <si>
    <t>WM Nhật Tân</t>
  </si>
  <si>
    <t>131115</t>
  </si>
  <si>
    <t>21223</t>
  </si>
  <si>
    <t>5111</t>
  </si>
  <si>
    <t>WM Tĩnh Gia</t>
  </si>
  <si>
    <t>9233</t>
  </si>
  <si>
    <t>WM Bình Dương 2</t>
  </si>
  <si>
    <t>7920</t>
  </si>
  <si>
    <t>WM Bắc Từ Liêm</t>
  </si>
  <si>
    <t>20016</t>
  </si>
  <si>
    <t>WM La Thành</t>
  </si>
  <si>
    <t>16225</t>
  </si>
  <si>
    <t>WM Thụy Khuê</t>
  </si>
  <si>
    <t>15977</t>
  </si>
  <si>
    <t>WM Nam Long</t>
  </si>
  <si>
    <t>3899</t>
  </si>
  <si>
    <t>WM Hải Phòng</t>
  </si>
  <si>
    <t>2003</t>
  </si>
  <si>
    <t>595</t>
  </si>
  <si>
    <t>WM Lạng Sơn</t>
  </si>
  <si>
    <t>488</t>
  </si>
  <si>
    <t>289</t>
  </si>
  <si>
    <t>WM Hà Tĩnh</t>
  </si>
  <si>
    <t>160</t>
  </si>
  <si>
    <t>Chiết khấu năm 2022</t>
  </si>
  <si>
    <t>387</t>
  </si>
  <si>
    <t>151197</t>
  </si>
  <si>
    <t>11068</t>
  </si>
  <si>
    <t>WM Nan Vinh Bến Thủy</t>
  </si>
  <si>
    <t>1424</t>
  </si>
  <si>
    <t>Phí chiết khấu 2022</t>
  </si>
  <si>
    <t>1923</t>
  </si>
  <si>
    <t>1390</t>
  </si>
  <si>
    <t>WM Chí Linh</t>
  </si>
  <si>
    <t>1244</t>
  </si>
  <si>
    <t>WM Pleiku</t>
  </si>
  <si>
    <t>463</t>
  </si>
  <si>
    <t>WM Ninh Thuận</t>
  </si>
  <si>
    <t>444</t>
  </si>
  <si>
    <t>396</t>
  </si>
  <si>
    <t>Chiết khấu năm 2023</t>
  </si>
  <si>
    <t>2287</t>
  </si>
  <si>
    <t>WM Đà Nẵng</t>
  </si>
  <si>
    <t>4771</t>
  </si>
  <si>
    <t>WM Nan Vinh Lê Lợi</t>
  </si>
  <si>
    <t>1684</t>
  </si>
  <si>
    <t>WM Nan Nam Đàn</t>
  </si>
  <si>
    <t>1682</t>
  </si>
  <si>
    <t>WM Cộng Hòa</t>
  </si>
  <si>
    <t>10966</t>
  </si>
  <si>
    <t>10963</t>
  </si>
  <si>
    <t>1021</t>
  </si>
  <si>
    <t>779</t>
  </si>
  <si>
    <t>763</t>
  </si>
  <si>
    <t>WM Kỳ Anh</t>
  </si>
  <si>
    <t>710</t>
  </si>
  <si>
    <t>24607</t>
  </si>
  <si>
    <t>WM Skylake</t>
  </si>
  <si>
    <t>24503</t>
  </si>
  <si>
    <t>24469</t>
  </si>
  <si>
    <t>WM Trường Chinh</t>
  </si>
  <si>
    <t>24417</t>
  </si>
  <si>
    <t>WM Tây Hồ</t>
  </si>
  <si>
    <t>24408</t>
  </si>
  <si>
    <t>WM Đông Hội</t>
  </si>
  <si>
    <t>24283</t>
  </si>
  <si>
    <t>24292</t>
  </si>
  <si>
    <t>24296</t>
  </si>
  <si>
    <t>WM Hà Đông</t>
  </si>
  <si>
    <t>24404</t>
  </si>
  <si>
    <t>24732</t>
  </si>
  <si>
    <t>24766</t>
  </si>
  <si>
    <t>25035</t>
  </si>
  <si>
    <t>WM Hoàng Cầu</t>
  </si>
  <si>
    <t>25087</t>
  </si>
  <si>
    <t>25361</t>
  </si>
  <si>
    <t>25478</t>
  </si>
  <si>
    <t>WM Trung Sơn</t>
  </si>
  <si>
    <t>11219</t>
  </si>
  <si>
    <t>WM Hoài Đức</t>
  </si>
  <si>
    <t>24718</t>
  </si>
  <si>
    <t>WM Ocean Park</t>
  </si>
  <si>
    <t>24694</t>
  </si>
  <si>
    <t>WM Lương Yên</t>
  </si>
  <si>
    <t>24915</t>
  </si>
  <si>
    <t>1135</t>
  </si>
  <si>
    <t>WM Long Biên</t>
  </si>
  <si>
    <t>27540</t>
  </si>
  <si>
    <t>WM Hưng Gia</t>
  </si>
  <si>
    <t>13187</t>
  </si>
  <si>
    <t>2046</t>
  </si>
  <si>
    <t>WM Xuân Khánh</t>
  </si>
  <si>
    <t>1761</t>
  </si>
  <si>
    <t>WM Mỹ Phước 1</t>
  </si>
  <si>
    <t>895</t>
  </si>
  <si>
    <t>887</t>
  </si>
  <si>
    <t>WM Bảo Lộc</t>
  </si>
  <si>
    <t>217</t>
  </si>
  <si>
    <t>WM Sơn La</t>
  </si>
  <si>
    <t>195</t>
  </si>
  <si>
    <t>WM Nan Thái Hòa</t>
  </si>
  <si>
    <t>WM Bà Triệu</t>
  </si>
  <si>
    <t>28918</t>
  </si>
  <si>
    <t>WM Xuân Diệu</t>
  </si>
  <si>
    <t>29072</t>
  </si>
  <si>
    <t>29041</t>
  </si>
  <si>
    <t>28921</t>
  </si>
  <si>
    <t>WM Linh Đàm</t>
  </si>
  <si>
    <t>28669</t>
  </si>
  <si>
    <t>WM Đội Cấn</t>
  </si>
  <si>
    <t>27916</t>
  </si>
  <si>
    <t>WM Uông Bí</t>
  </si>
  <si>
    <t>4593</t>
  </si>
  <si>
    <t>WM Đồng Khởi</t>
  </si>
  <si>
    <t>12391</t>
  </si>
  <si>
    <t>12401</t>
  </si>
  <si>
    <t>1956</t>
  </si>
  <si>
    <t>WM Phổ Quang</t>
  </si>
  <si>
    <t>12944</t>
  </si>
  <si>
    <t>1622</t>
  </si>
  <si>
    <t>27474</t>
  </si>
  <si>
    <t>WM Cầu Giấy</t>
  </si>
  <si>
    <t>27476</t>
  </si>
  <si>
    <t>WM Đại La</t>
  </si>
  <si>
    <t>27489</t>
  </si>
  <si>
    <t>WM Thăng Long</t>
  </si>
  <si>
    <t>36342</t>
  </si>
  <si>
    <t>36313</t>
  </si>
  <si>
    <t>36126</t>
  </si>
  <si>
    <t>35825</t>
  </si>
  <si>
    <t>34464</t>
  </si>
  <si>
    <t>34047</t>
  </si>
  <si>
    <t>33948</t>
  </si>
  <si>
    <t>33564</t>
  </si>
  <si>
    <t>33558</t>
  </si>
  <si>
    <t>WM Vũ Trọng Phụng</t>
  </si>
  <si>
    <t>33551</t>
  </si>
  <si>
    <t>33533</t>
  </si>
  <si>
    <t>WM Trương Định</t>
  </si>
  <si>
    <t>33492</t>
  </si>
  <si>
    <t>WM Thái Thịnh</t>
  </si>
  <si>
    <t>33482</t>
  </si>
  <si>
    <t>33476</t>
  </si>
  <si>
    <t>15316</t>
  </si>
  <si>
    <t>WM Phan Văn Trị</t>
  </si>
  <si>
    <t>14853</t>
  </si>
  <si>
    <t>14852</t>
  </si>
  <si>
    <t>WM Cẩm Phả</t>
  </si>
  <si>
    <t>5599</t>
  </si>
  <si>
    <t>WM Lê Văn Việt</t>
  </si>
  <si>
    <t>14851</t>
  </si>
  <si>
    <t>WM Imperia Hải Phòng</t>
  </si>
  <si>
    <t>3387</t>
  </si>
  <si>
    <t>WM Thanh Hóa</t>
  </si>
  <si>
    <t>2384</t>
  </si>
  <si>
    <t>2337</t>
  </si>
  <si>
    <t>WM Ninh Hòa</t>
  </si>
  <si>
    <t>1038</t>
  </si>
  <si>
    <t>WM Tuyên Quang</t>
  </si>
  <si>
    <t>900</t>
  </si>
  <si>
    <t>WM Vĩnh Long</t>
  </si>
  <si>
    <t>477</t>
  </si>
  <si>
    <t>WM Thái Nguyên</t>
  </si>
  <si>
    <t>824</t>
  </si>
  <si>
    <t>WM Hòa Bình</t>
  </si>
  <si>
    <t>222</t>
  </si>
  <si>
    <t>WM Bắc Cạn</t>
  </si>
  <si>
    <t>22</t>
  </si>
  <si>
    <t>19070</t>
  </si>
  <si>
    <t>44594</t>
  </si>
  <si>
    <t>848</t>
  </si>
  <si>
    <t>WM Tuy Hòa</t>
  </si>
  <si>
    <t>49</t>
  </si>
  <si>
    <t>WM Bạc Liêu</t>
  </si>
  <si>
    <t>185</t>
  </si>
  <si>
    <t>WM Kontum</t>
  </si>
  <si>
    <t>495</t>
  </si>
  <si>
    <t>WM Đức Trọng</t>
  </si>
  <si>
    <t>318</t>
  </si>
  <si>
    <t>WM Thủ Đức</t>
  </si>
  <si>
    <t>18985</t>
  </si>
  <si>
    <t>533</t>
  </si>
  <si>
    <t>WM Cao Lãnh</t>
  </si>
  <si>
    <t>651</t>
  </si>
  <si>
    <t>17517</t>
  </si>
  <si>
    <t>WM Móng Cái</t>
  </si>
  <si>
    <t>5998</t>
  </si>
  <si>
    <t>WM Long Xuyên</t>
  </si>
  <si>
    <t>1877</t>
  </si>
  <si>
    <t>WM Trung Yên</t>
  </si>
  <si>
    <t>45509</t>
  </si>
  <si>
    <t>WM Tây Ninh</t>
  </si>
  <si>
    <t>158</t>
  </si>
  <si>
    <t>472</t>
  </si>
  <si>
    <t>WM Hùng Vương</t>
  </si>
  <si>
    <t>785</t>
  </si>
  <si>
    <t>WM Thảo Điền</t>
  </si>
  <si>
    <t>20071</t>
  </si>
  <si>
    <t>WM Bàu Cát</t>
  </si>
  <si>
    <t>20076</t>
  </si>
  <si>
    <t>WM Nguyễn Văn Cừ</t>
  </si>
  <si>
    <t>45487</t>
  </si>
  <si>
    <t>WM Ba tháng hai</t>
  </si>
  <si>
    <t>21523</t>
  </si>
  <si>
    <t>394</t>
  </si>
  <si>
    <t>49727</t>
  </si>
  <si>
    <t>3206</t>
  </si>
  <si>
    <t>WM Long Thành</t>
  </si>
  <si>
    <t>2520</t>
  </si>
  <si>
    <t>WM Quảng Ngãi</t>
  </si>
  <si>
    <t>559</t>
  </si>
  <si>
    <t>WM Lai Châu</t>
  </si>
  <si>
    <t>130</t>
  </si>
  <si>
    <t>54</t>
  </si>
  <si>
    <t>WM Ninh Kiều</t>
  </si>
  <si>
    <t>3606</t>
  </si>
  <si>
    <t>8396</t>
  </si>
  <si>
    <t>1558</t>
  </si>
  <si>
    <t>WM Lan Long An</t>
  </si>
  <si>
    <t>972</t>
  </si>
  <si>
    <t>588</t>
  </si>
  <si>
    <t>WM Nguyễn Duy Trinh</t>
  </si>
  <si>
    <t>29056</t>
  </si>
  <si>
    <t>401</t>
  </si>
  <si>
    <t>WM Diamond</t>
  </si>
  <si>
    <t>27996</t>
  </si>
  <si>
    <t>279</t>
  </si>
  <si>
    <t>WM Vũng Tàu</t>
  </si>
  <si>
    <t>3103</t>
  </si>
  <si>
    <t>1201</t>
  </si>
  <si>
    <t>643</t>
  </si>
  <si>
    <t>WM Cà Mau</t>
  </si>
  <si>
    <t>773</t>
  </si>
  <si>
    <t>WM Buôn Mê Thuột</t>
  </si>
  <si>
    <t>1246</t>
  </si>
  <si>
    <t>WM VMM HNI Smart City</t>
  </si>
  <si>
    <t>78828</t>
  </si>
  <si>
    <t>5490</t>
  </si>
  <si>
    <t>WM Bình Chiểu</t>
  </si>
  <si>
    <t>39031</t>
  </si>
  <si>
    <t>925</t>
  </si>
  <si>
    <t>792</t>
  </si>
  <si>
    <t>5011</t>
  </si>
  <si>
    <t>WM Smart City</t>
  </si>
  <si>
    <t>98925</t>
  </si>
  <si>
    <t>WM Phong Xá</t>
  </si>
  <si>
    <t>5661</t>
  </si>
  <si>
    <t>WM Biên Hòa</t>
  </si>
  <si>
    <t>4846</t>
  </si>
  <si>
    <t>100632</t>
  </si>
  <si>
    <t>40009</t>
  </si>
  <si>
    <t>3013</t>
  </si>
  <si>
    <t>WM+ HNI Thôn 3 Xã Phượng Cách</t>
  </si>
  <si>
    <t>120419</t>
  </si>
  <si>
    <t>WM CTO Ninh Kiều</t>
  </si>
  <si>
    <t>7844</t>
  </si>
  <si>
    <t> WM+ PTO 62 Phan Châu Trinh</t>
  </si>
  <si>
    <t>4872</t>
  </si>
  <si>
    <t>WM+ HPG Chợ Ngọ Dương, An Dương</t>
  </si>
  <si>
    <t>14428</t>
  </si>
  <si>
    <t>129199</t>
  </si>
  <si>
    <t>WM+ HNI Ngọc Nhị, Ba Vì</t>
  </si>
  <si>
    <t>129948</t>
  </si>
  <si>
    <t>1238</t>
  </si>
  <si>
    <t>WM+ BNH 46 Thanh Bình</t>
  </si>
  <si>
    <t>7430</t>
  </si>
  <si>
    <t>WM+ 78 Cầu Trì</t>
  </si>
  <si>
    <t>132101</t>
  </si>
  <si>
    <t>WM+ 73 Kênh Liêm</t>
  </si>
  <si>
    <t>18065</t>
  </si>
  <si>
    <t>WM+ Vị Thủy, Sơn Tây</t>
  </si>
  <si>
    <t>132620</t>
  </si>
  <si>
    <t>WM Ambient Hưng Yên</t>
  </si>
  <si>
    <t>6135</t>
  </si>
  <si>
    <t>WM VCP KHA Nha Trang</t>
  </si>
  <si>
    <t>4444</t>
  </si>
  <si>
    <t>2427</t>
  </si>
  <si>
    <t>9410</t>
  </si>
  <si>
    <t>AMBIENT_BINH DUONG2</t>
  </si>
  <si>
    <t>8652</t>
  </si>
  <si>
    <t>156857</t>
  </si>
  <si>
    <t>168161</t>
  </si>
  <si>
    <t>WM 38 Lê Thanh Nghị</t>
  </si>
  <si>
    <t>32775</t>
  </si>
  <si>
    <t>WM Nơ 19 Định Công</t>
  </si>
  <si>
    <t>168283</t>
  </si>
  <si>
    <t>WM 34 Hòn Chồng</t>
  </si>
  <si>
    <t>5015</t>
  </si>
  <si>
    <t>Hỗ trợ phí listing</t>
  </si>
  <si>
    <t>3221</t>
  </si>
  <si>
    <t>5193</t>
  </si>
  <si>
    <t>WM+ Long Biên</t>
  </si>
  <si>
    <t>172321</t>
  </si>
  <si>
    <t>WM+ Chợ Đầu</t>
  </si>
  <si>
    <t>7751</t>
  </si>
  <si>
    <t>73175</t>
  </si>
  <si>
    <t>WM 147-149 Trần Phú</t>
  </si>
  <si>
    <t>6057</t>
  </si>
  <si>
    <t>WM 114 Đặng Xuân Bảng</t>
  </si>
  <si>
    <t>5713</t>
  </si>
  <si>
    <t>WM Mỹ Tho</t>
  </si>
  <si>
    <t>2180</t>
  </si>
  <si>
    <t>10230</t>
  </si>
  <si>
    <t>3949</t>
  </si>
  <si>
    <t>WM 580 Trần Phú</t>
  </si>
  <si>
    <t>1709</t>
  </si>
  <si>
    <t>WM 305 Nguyễn Hữu Cầu</t>
  </si>
  <si>
    <t>9320</t>
  </si>
  <si>
    <t>WM FLC Phạm Hùng</t>
  </si>
  <si>
    <t>176902</t>
  </si>
  <si>
    <t>WM Xóm 5 Văn Phú</t>
  </si>
  <si>
    <t>177212</t>
  </si>
  <si>
    <t>WM Thôn Đồng Xép</t>
  </si>
  <si>
    <t>10521</t>
  </si>
  <si>
    <t>WM Thôn Đông, Tiên Du</t>
  </si>
  <si>
    <t>10436</t>
  </si>
  <si>
    <t>WM 15 Đức Minh</t>
  </si>
  <si>
    <t>10601</t>
  </si>
  <si>
    <t>37724</t>
  </si>
  <si>
    <t xml:space="preserve">Hỗ trợ vận chuyển DC 5.9% </t>
  </si>
  <si>
    <t>5824</t>
  </si>
  <si>
    <t>WM 6 Nguyễn Đình Liễn</t>
  </si>
  <si>
    <t>7310</t>
  </si>
  <si>
    <t>8828</t>
  </si>
  <si>
    <t>WM+ 236 Trần Hưng Đạo</t>
  </si>
  <si>
    <t>12185</t>
  </si>
  <si>
    <t>WM+ Trần Hưng Đạo</t>
  </si>
  <si>
    <t>4169</t>
  </si>
  <si>
    <t>WM+ Thăng Long</t>
  </si>
  <si>
    <t>207914</t>
  </si>
  <si>
    <t>WM+ 172B Nguyễn Thái Học</t>
  </si>
  <si>
    <t>1814</t>
  </si>
  <si>
    <t>WM+ 32 Thống Nhất</t>
  </si>
  <si>
    <t>1951</t>
  </si>
  <si>
    <t>WM+ 6/27 Thôn Phi Nôm</t>
  </si>
  <si>
    <t>1958</t>
  </si>
  <si>
    <t>WM+ 80 Vũ Bảo, Quy Nhơn</t>
  </si>
  <si>
    <t>1860</t>
  </si>
  <si>
    <t>6957</t>
  </si>
  <si>
    <t>WM+ 24-24B Tôn Đản</t>
  </si>
  <si>
    <t>89112</t>
  </si>
  <si>
    <t>WM+ Khu 1 Thị trấn Cái Rồng</t>
  </si>
  <si>
    <t>30144</t>
  </si>
  <si>
    <t>WM+Thôn Thượng</t>
  </si>
  <si>
    <t>11866</t>
  </si>
  <si>
    <t>WM+ Nguyễn Công Trứ</t>
  </si>
  <si>
    <t>7055</t>
  </si>
  <si>
    <t>1617</t>
  </si>
  <si>
    <t>230607</t>
  </si>
  <si>
    <t>WM Tôn Đức Thắng</t>
  </si>
  <si>
    <t>3937</t>
  </si>
  <si>
    <t>WM Nam Sài Gòn</t>
  </si>
  <si>
    <t>104899</t>
  </si>
  <si>
    <t>WM Đông Hà</t>
  </si>
  <si>
    <t>4535</t>
  </si>
  <si>
    <t>2219</t>
  </si>
  <si>
    <t>WM CC Pegasuite</t>
  </si>
  <si>
    <t>107165</t>
  </si>
  <si>
    <t>WM 292-294 Trần Hưng Đạo</t>
  </si>
  <si>
    <t>2164</t>
  </si>
  <si>
    <t>Hỗ trợ vận chuyển qua DC 5,9%</t>
  </si>
  <si>
    <t>8020</t>
  </si>
  <si>
    <t>WM Quảng Ninh</t>
  </si>
  <si>
    <t>35223</t>
  </si>
  <si>
    <t>WM+ KHA 166 – 168 Tôn Đức Thắng</t>
  </si>
  <si>
    <t>7710</t>
  </si>
  <si>
    <t>WM GLI Pleiku</t>
  </si>
  <si>
    <t>4318</t>
  </si>
  <si>
    <t>WM HNI Trường Chinh</t>
  </si>
  <si>
    <t>245682</t>
  </si>
  <si>
    <t>264108</t>
  </si>
  <si>
    <t>WM+ HCM A01-08 Hoàng Anh Thanh Bình</t>
  </si>
  <si>
    <t>121669</t>
  </si>
  <si>
    <t>WM+ THA 304 Trường Thi</t>
  </si>
  <si>
    <t>20023</t>
  </si>
  <si>
    <t>8478</t>
  </si>
  <si>
    <t>WM+ HTH 63 Nguyễn Chí Thanh</t>
  </si>
  <si>
    <t>10175</t>
  </si>
  <si>
    <t>WM VCP HCM Phan Văn Trị</t>
  </si>
  <si>
    <t>123773</t>
  </si>
  <si>
    <t>Hỗ trợ vận chuyển qua DC</t>
  </si>
  <si>
    <t>10387</t>
  </si>
  <si>
    <t>HTL- WM Hà Đông</t>
  </si>
  <si>
    <t>287281</t>
  </si>
  <si>
    <t>HTL- WM Lai Châu</t>
  </si>
  <si>
    <t>1163</t>
  </si>
  <si>
    <t>306255</t>
  </si>
  <si>
    <t>306197</t>
  </si>
  <si>
    <t>WM+ KTM 51 Nguyễn Văn Linh</t>
  </si>
  <si>
    <t>11342</t>
  </si>
  <si>
    <t>3781</t>
  </si>
  <si>
    <t>311381</t>
  </si>
  <si>
    <t>WM+ KTM 112 Hoàng Thị Loan</t>
  </si>
  <si>
    <t>2927</t>
  </si>
  <si>
    <t>326563</t>
  </si>
  <si>
    <t>7476</t>
  </si>
  <si>
    <t>10260</t>
  </si>
  <si>
    <t>WM NAN Vinh - Lê Lợi</t>
  </si>
  <si>
    <t>31281</t>
  </si>
  <si>
    <t>WM Hưng Yên</t>
  </si>
  <si>
    <t>18274</t>
  </si>
  <si>
    <t>HỖ TRỢ VẬN CHUYỂN VÀ CK</t>
  </si>
  <si>
    <t>14184</t>
  </si>
  <si>
    <t>Thưởng doanh số có điều kiện 1-1,5%-2023</t>
  </si>
  <si>
    <t>Thưởng doanh số không điều kiện 2%</t>
  </si>
  <si>
    <t>Hỗ trợ hư hỏng, mất mát 0,25%-2023</t>
  </si>
  <si>
    <t>668</t>
  </si>
  <si>
    <t>427</t>
  </si>
  <si>
    <t>3724</t>
  </si>
  <si>
    <t>2945</t>
  </si>
  <si>
    <t>đã nhận hàng</t>
  </si>
  <si>
    <t>3612</t>
  </si>
  <si>
    <t>2920</t>
  </si>
  <si>
    <t>WM+ Hương Mạc Từ Sơn</t>
  </si>
  <si>
    <t>932</t>
  </si>
  <si>
    <t>197</t>
  </si>
  <si>
    <t>Chiết khấu theo HĐ- 2024</t>
  </si>
  <si>
    <t>2842</t>
  </si>
  <si>
    <t>Chiết khấu theo HĐ- 2023</t>
  </si>
  <si>
    <t>1049</t>
  </si>
  <si>
    <t>18716</t>
  </si>
  <si>
    <t>Ambient Đà Nẵng</t>
  </si>
  <si>
    <t>9473</t>
  </si>
  <si>
    <t>27192</t>
  </si>
  <si>
    <t>3055</t>
  </si>
  <si>
    <t>3054</t>
  </si>
  <si>
    <t>63542</t>
  </si>
  <si>
    <t>3929</t>
  </si>
  <si>
    <t>4051</t>
  </si>
  <si>
    <t>12309</t>
  </si>
  <si>
    <t>3139</t>
  </si>
  <si>
    <t>WM VCC HNI Bà Triệu</t>
  </si>
  <si>
    <t>3189</t>
  </si>
  <si>
    <t> WM HNI Thái Thịnh</t>
  </si>
  <si>
    <t>3190</t>
  </si>
  <si>
    <t>3208</t>
  </si>
  <si>
    <t>3316</t>
  </si>
  <si>
    <t>1565</t>
  </si>
  <si>
    <t>4492</t>
  </si>
  <si>
    <t>WM Novia Thủ Đức</t>
  </si>
  <si>
    <t>4490</t>
  </si>
  <si>
    <t>3515</t>
  </si>
  <si>
    <t>3498</t>
  </si>
  <si>
    <t>3504</t>
  </si>
  <si>
    <t>3369</t>
  </si>
  <si>
    <t>3416</t>
  </si>
  <si>
    <t>3543</t>
  </si>
  <si>
    <t>474</t>
  </si>
  <si>
    <t>WM LDG Đức Trọng</t>
  </si>
  <si>
    <t>4724</t>
  </si>
  <si>
    <t>4725</t>
  </si>
  <si>
    <t>3686</t>
  </si>
  <si>
    <t>WM Gateway Vũng Tàu</t>
  </si>
  <si>
    <t>4896</t>
  </si>
  <si>
    <t>3660</t>
  </si>
  <si>
    <t>WM Nguyễn Văn Cừ 2</t>
  </si>
  <si>
    <t>3659</t>
  </si>
  <si>
    <t xml:space="preserve">WM Bắc Từ Liêm </t>
  </si>
  <si>
    <t>73797</t>
  </si>
  <si>
    <t>1402</t>
  </si>
  <si>
    <t>WM+ KHA 15 Hà Huy Tập</t>
  </si>
  <si>
    <t>104</t>
  </si>
  <si>
    <t>3861</t>
  </si>
  <si>
    <t>3780</t>
  </si>
  <si>
    <t>WM Nan Vinh- Nghê An</t>
  </si>
  <si>
    <t>4790</t>
  </si>
  <si>
    <t>3880</t>
  </si>
  <si>
    <t>4001</t>
  </si>
  <si>
    <t>4854</t>
  </si>
  <si>
    <t>4907</t>
  </si>
  <si>
    <t>5537</t>
  </si>
  <si>
    <t>WM Bắc Kạn</t>
  </si>
  <si>
    <t>4235</t>
  </si>
  <si>
    <t>4188</t>
  </si>
  <si>
    <t> WM HNI Quang Trung - Hà Đông</t>
  </si>
  <si>
    <t>4186</t>
  </si>
  <si>
    <t>WM VCP STG Sóc Trăng</t>
  </si>
  <si>
    <t>313</t>
  </si>
  <si>
    <t>82926</t>
  </si>
  <si>
    <t>WM VCP PYN Tuy Hòa</t>
  </si>
  <si>
    <t>6000</t>
  </si>
  <si>
    <t>5123</t>
  </si>
  <si>
    <t>4938</t>
  </si>
  <si>
    <t> WM VC+ HDG Chí Linh</t>
  </si>
  <si>
    <t>4239</t>
  </si>
  <si>
    <t>4240</t>
  </si>
  <si>
    <t>4405</t>
  </si>
  <si>
    <t>4446</t>
  </si>
  <si>
    <t> WM VC+ HCM Phổ Quang</t>
  </si>
  <si>
    <t>6267</t>
  </si>
  <si>
    <t>4382</t>
  </si>
  <si>
    <t>5369</t>
  </si>
  <si>
    <t>6225</t>
  </si>
  <si>
    <t> WM VCP HCM Sài Gòn Res</t>
  </si>
  <si>
    <t>6245</t>
  </si>
  <si>
    <t>6223</t>
  </si>
  <si>
    <t>6450</t>
  </si>
  <si>
    <t>WM VC+ QNH Uông Bí</t>
  </si>
  <si>
    <t>5423</t>
  </si>
  <si>
    <t>WM VCP HUG Vị Thanh</t>
  </si>
  <si>
    <t>4146</t>
  </si>
  <si>
    <t>4547</t>
  </si>
  <si>
    <t>WM VCP VLG Vĩnh Long</t>
  </si>
  <si>
    <t>4132</t>
  </si>
  <si>
    <t>1639 - WM VCP STG Sóc Trăng</t>
  </si>
  <si>
    <t>4161</t>
  </si>
  <si>
    <t>1663 - WM HNI Xuân Diệu</t>
  </si>
  <si>
    <t>4702</t>
  </si>
  <si>
    <t>1665 - WM HNI Tràng An</t>
  </si>
  <si>
    <t>4726</t>
  </si>
  <si>
    <t>1682 - WM BDH Quy Nhơn</t>
  </si>
  <si>
    <t>6718</t>
  </si>
  <si>
    <t>4694</t>
  </si>
  <si>
    <t>1547 - WM VCP CTO Cần Thơ</t>
  </si>
  <si>
    <t>4162</t>
  </si>
  <si>
    <t>1567 - WM VCP HCM Lê Văn Việt</t>
  </si>
  <si>
    <t>6943</t>
  </si>
  <si>
    <t>1548 - WM VCP DNI Biên Hòa</t>
  </si>
  <si>
    <t>6945</t>
  </si>
  <si>
    <t>1613 - WM VCP KHA Lê Thánh Tôn</t>
  </si>
  <si>
    <t>6946</t>
  </si>
  <si>
    <t>1527 - WM HCM Bàu Cát</t>
  </si>
  <si>
    <t>7073</t>
  </si>
  <si>
    <t>1563 - WM VCP AGG Long Xuyên</t>
  </si>
  <si>
    <t>4241</t>
  </si>
  <si>
    <t>1636 - WM VCP DTP Cao Lãnh</t>
  </si>
  <si>
    <t>4289</t>
  </si>
  <si>
    <t>1597 - WM VC+ HCM Nam Long</t>
  </si>
  <si>
    <t>41083</t>
  </si>
  <si>
    <t>1657 - WM HNI Lê Đức Thọ</t>
  </si>
  <si>
    <t>4986</t>
  </si>
  <si>
    <t>1655 - WM HNI Nhật Tân</t>
  </si>
  <si>
    <t>5019</t>
  </si>
  <si>
    <t>1532 - WM VMM HNI Royal City</t>
  </si>
  <si>
    <t>4983</t>
  </si>
  <si>
    <t>1646 - WM VCC HNI Trần Duy Hưng</t>
  </si>
  <si>
    <t>4979</t>
  </si>
  <si>
    <t>1513 - WM VCP HCM Cộng Hòa</t>
  </si>
  <si>
    <t>7140</t>
  </si>
  <si>
    <t>1629 - WM VCP BNH Bắc Ninh</t>
  </si>
  <si>
    <t>5053</t>
  </si>
  <si>
    <t>1703 - WM VCP BLU Bạc Liêu</t>
  </si>
  <si>
    <t>4448</t>
  </si>
  <si>
    <t>1535 - WM VMM HNI Times City</t>
  </si>
  <si>
    <t>5151</t>
  </si>
  <si>
    <t>1585 - WM HNI Tây Hồ</t>
  </si>
  <si>
    <t>5157</t>
  </si>
  <si>
    <t>1533 - WM HNI Trung Hòa</t>
  </si>
  <si>
    <t>5247</t>
  </si>
  <si>
    <t>1614 - WM VCP LAN Long An</t>
  </si>
  <si>
    <t>7412</t>
  </si>
  <si>
    <t>1704 - WM VCP TGG Mỹ Tho</t>
  </si>
  <si>
    <t>7650</t>
  </si>
  <si>
    <t>1649 - WM VC+ PTO Phú Thọ</t>
  </si>
  <si>
    <t>5319</t>
  </si>
  <si>
    <t>1515 - WM GLI Pleiku</t>
  </si>
  <si>
    <t>18802</t>
  </si>
  <si>
    <t>1546 - WM VCP DNG Đà Nẵng</t>
  </si>
  <si>
    <t>18807</t>
  </si>
  <si>
    <t>đà</t>
  </si>
  <si>
    <t>18800</t>
  </si>
  <si>
    <t>1526 - WM VCP KHA Cam Ranh</t>
  </si>
  <si>
    <t>7882</t>
  </si>
  <si>
    <t>1661 - WM HNI Trung Yên</t>
  </si>
  <si>
    <t>5480</t>
  </si>
  <si>
    <t>1603 - WM VC+ HTH Kỳ Anh</t>
  </si>
  <si>
    <t>6123</t>
  </si>
  <si>
    <t>1706 - WM HNI Đông Hội</t>
  </si>
  <si>
    <t>5475</t>
  </si>
  <si>
    <t>1886</t>
  </si>
  <si>
    <t>4639</t>
  </si>
  <si>
    <t>8351</t>
  </si>
  <si>
    <t>1619 - WM VCP THA Thanh Hóa</t>
  </si>
  <si>
    <t>6194</t>
  </si>
  <si>
    <t>1628 - WM VCP HPG Imperia Hải Phòng</t>
  </si>
  <si>
    <t>6310</t>
  </si>
  <si>
    <t>1645 - WM HNI Cầu Giấy</t>
  </si>
  <si>
    <t>5608</t>
  </si>
  <si>
    <t>1587 - WM VCP CTO Xuân Khánh</t>
  </si>
  <si>
    <t>4712</t>
  </si>
  <si>
    <t>1586 - WM VC+ BLU Bạc Liêu</t>
  </si>
  <si>
    <t>4802</t>
  </si>
  <si>
    <t>1701 - WM NAN Vinh - Bến Thủy</t>
  </si>
  <si>
    <t>6361</t>
  </si>
  <si>
    <t>1598 - WM VC+ THA Tĩnh Gia</t>
  </si>
  <si>
    <t>4899</t>
  </si>
  <si>
    <t>1593 - WM VCP TVH Trà Vinh</t>
  </si>
  <si>
    <t>4877</t>
  </si>
  <si>
    <t>1651 - WM HNI Trương Định</t>
  </si>
  <si>
    <t>5731</t>
  </si>
  <si>
    <t>1549 - WM VCP HCM Quang Trung</t>
  </si>
  <si>
    <t>8651</t>
  </si>
  <si>
    <t>1588 - WM HNI Hoài Đức</t>
  </si>
  <si>
    <t>5856</t>
  </si>
  <si>
    <t>1640 - WM VCP CMU Cà Mau</t>
  </si>
  <si>
    <t>1599 - WM VCP KGG Rạch Giá</t>
  </si>
  <si>
    <t>5162</t>
  </si>
  <si>
    <t>Hỗ trợ vận chuyển 5.9%</t>
  </si>
  <si>
    <t>4291</t>
  </si>
  <si>
    <t>1679 - WM VC+ KHA Ninh Hòa</t>
  </si>
  <si>
    <t>9250</t>
  </si>
  <si>
    <t>1658 - WM HNI Đại La</t>
  </si>
  <si>
    <t>6481</t>
  </si>
  <si>
    <t>6499</t>
  </si>
  <si>
    <t>6719</t>
  </si>
  <si>
    <t>1675 - WM HNI Lương Yên</t>
  </si>
  <si>
    <t>6778</t>
  </si>
  <si>
    <t>6956</t>
  </si>
  <si>
    <t>6779</t>
  </si>
  <si>
    <t>1.Thưởng doanh số không điều kiện 2%-2024</t>
  </si>
  <si>
    <t>Hỗ trợ hư hỏng, mất mát 0,25%-2024</t>
  </si>
  <si>
    <t>601.Thưởng doanh số có điều kiện 1-1,5%-2023</t>
  </si>
  <si>
    <t>701.Thưởng doanh số không điều kiện 2%-2023</t>
  </si>
  <si>
    <t>XNTT T01.24-00243</t>
  </si>
  <si>
    <t>1541 - WM VCP HNI Long Biên</t>
  </si>
  <si>
    <t>117151</t>
  </si>
  <si>
    <t>1568 - WM VC+ HCM Nguyễn Duy Trinh</t>
  </si>
  <si>
    <t>53064</t>
  </si>
  <si>
    <t>1529 - WM VCP DLK Buôn Mê Thuột</t>
  </si>
  <si>
    <t>11514</t>
  </si>
  <si>
    <t>1561 - WM VCC HCM Thảo Điền</t>
  </si>
  <si>
    <t>53065</t>
  </si>
  <si>
    <t>1616 - WM VCP TTH Hùng Vương</t>
  </si>
  <si>
    <t>24346</t>
  </si>
  <si>
    <t>1537 - WM NBH Ninh Bình</t>
  </si>
  <si>
    <t>8340</t>
  </si>
  <si>
    <t>1618 - WM VCP HNM Hà Nam</t>
  </si>
  <si>
    <t>7988</t>
  </si>
  <si>
    <t>1609 - WM VCP SLA Sơn La</t>
  </si>
  <si>
    <t>7989</t>
  </si>
  <si>
    <t>1612 - WM VCP QBH Quảng Bình</t>
  </si>
  <si>
    <t>7972</t>
  </si>
  <si>
    <t>1699 - WM VMM HNI Ocean Park</t>
  </si>
  <si>
    <t>7592</t>
  </si>
  <si>
    <t>1681 - WM HCM Hưng Gia</t>
  </si>
  <si>
    <t>11881</t>
  </si>
  <si>
    <t>1540 - WM VCP NTN Ninh Thu?n</t>
  </si>
  <si>
    <t>13368</t>
  </si>
  <si>
    <t>8519</t>
  </si>
  <si>
    <t>8480</t>
  </si>
  <si>
    <t>WM Lê Văn Thiêm</t>
  </si>
  <si>
    <t>8601</t>
  </si>
  <si>
    <t>1647 - WM VCP QNH Móng Cái</t>
  </si>
  <si>
    <t>9122</t>
  </si>
  <si>
    <t>9703</t>
  </si>
  <si>
    <t>16497</t>
  </si>
  <si>
    <t>15306</t>
  </si>
  <si>
    <t>9723</t>
  </si>
  <si>
    <t>9603</t>
  </si>
  <si>
    <t>9901</t>
  </si>
  <si>
    <t>WM VCP QNI Quảng Ngãi</t>
  </si>
  <si>
    <t>29801</t>
  </si>
  <si>
    <t>491</t>
  </si>
  <si>
    <t>5922</t>
  </si>
  <si>
    <t>7317</t>
  </si>
  <si>
    <t>8860</t>
  </si>
  <si>
    <t>16870</t>
  </si>
  <si>
    <t>49392</t>
  </si>
  <si>
    <t>5911</t>
  </si>
  <si>
    <t>Hỗ trợ vận chuyển DC 5.9%, 420.Hỗ trợ phí listing, vào hàng
1,53%-2024</t>
  </si>
  <si>
    <t>10743</t>
  </si>
  <si>
    <t>56940</t>
  </si>
  <si>
    <t>6587</t>
  </si>
  <si>
    <t>Hỗ trợ phí vận chuyển DC 5.9%, Hỗ trợ kiểm tra CLSP 0.5%, Hỗ trợ phí listing vào hàng 1.53%</t>
  </si>
  <si>
    <t>12097</t>
  </si>
  <si>
    <t xml:space="preserve">WM Bình Dương </t>
  </si>
  <si>
    <t>49154</t>
  </si>
  <si>
    <t>2691</t>
  </si>
  <si>
    <t>18961</t>
  </si>
  <si>
    <t>6127</t>
  </si>
  <si>
    <t>WM Bình Định</t>
  </si>
  <si>
    <t>4981</t>
  </si>
  <si>
    <t>13847</t>
  </si>
  <si>
    <t>24418</t>
  </si>
  <si>
    <t>24468</t>
  </si>
  <si>
    <t>27165</t>
  </si>
  <si>
    <t>54733</t>
  </si>
  <si>
    <t>00003692</t>
  </si>
  <si>
    <t>00003693</t>
  </si>
  <si>
    <t>00003793</t>
  </si>
  <si>
    <t>00003794</t>
  </si>
  <si>
    <t>11/10/2024</t>
  </si>
  <si>
    <t>PO4901199268</t>
  </si>
  <si>
    <t>PO4164368543</t>
  </si>
  <si>
    <t>PO4164593484</t>
  </si>
  <si>
    <t>PO4164578766</t>
  </si>
  <si>
    <t>hàng hoàn</t>
  </si>
  <si>
    <t>10306</t>
  </si>
  <si>
    <t>WM Tecco Diamond</t>
  </si>
  <si>
    <t>439513</t>
  </si>
  <si>
    <t>57905</t>
  </si>
  <si>
    <t>169538</t>
  </si>
  <si>
    <t>Hỗ trợ trưng bày hợp đồng</t>
  </si>
  <si>
    <t>331</t>
  </si>
  <si>
    <t>Hỗ trợ vận chuyển, ktra CL, Phí listing</t>
  </si>
  <si>
    <t>15766</t>
  </si>
  <si>
    <t>00003832</t>
  </si>
  <si>
    <t>00003859</t>
  </si>
  <si>
    <t>00003879</t>
  </si>
  <si>
    <t>00003880</t>
  </si>
  <si>
    <t>00003939</t>
  </si>
  <si>
    <t>14/10/2024</t>
  </si>
  <si>
    <t>18/10/2024</t>
  </si>
  <si>
    <t>21/10/2024</t>
  </si>
  <si>
    <t>PO4901199903</t>
  </si>
  <si>
    <t>PO4901203017</t>
  </si>
  <si>
    <t>PO4164795213</t>
  </si>
  <si>
    <t>PO4164816858</t>
  </si>
  <si>
    <t>PO4901204952</t>
  </si>
  <si>
    <t>11172</t>
  </si>
  <si>
    <t>00003970</t>
  </si>
  <si>
    <t>00003971</t>
  </si>
  <si>
    <t>00003972</t>
  </si>
  <si>
    <t>00003973</t>
  </si>
  <si>
    <t>00003974</t>
  </si>
  <si>
    <t>00003975</t>
  </si>
  <si>
    <t>25/10/2024</t>
  </si>
  <si>
    <t>PO4165057653</t>
  </si>
  <si>
    <t>PO4165049177</t>
  </si>
  <si>
    <t>PO4165057576</t>
  </si>
  <si>
    <t>PO4901207223</t>
  </si>
  <si>
    <t>PO4901207052</t>
  </si>
  <si>
    <t>PO4164981628</t>
  </si>
  <si>
    <t>00004072</t>
  </si>
  <si>
    <t>00004080</t>
  </si>
  <si>
    <t>00004081</t>
  </si>
  <si>
    <t>00004082</t>
  </si>
  <si>
    <t>00004150</t>
  </si>
  <si>
    <t>00004151</t>
  </si>
  <si>
    <t>00004158</t>
  </si>
  <si>
    <t>00004171</t>
  </si>
  <si>
    <t>00004280</t>
  </si>
  <si>
    <t>31/10/2024</t>
  </si>
  <si>
    <t>02/11/2024</t>
  </si>
  <si>
    <t>06/11/2024</t>
  </si>
  <si>
    <t>12/11/2024</t>
  </si>
  <si>
    <t>PO4901208625</t>
  </si>
  <si>
    <t>PO4165257749</t>
  </si>
  <si>
    <t>PO4165252072</t>
  </si>
  <si>
    <t>PO4165256287</t>
  </si>
  <si>
    <t>PO4901209123</t>
  </si>
  <si>
    <t>PO4901208681</t>
  </si>
  <si>
    <t>PO4165492113</t>
  </si>
  <si>
    <t>PO4901210887</t>
  </si>
  <si>
    <t>PO4901210982</t>
  </si>
  <si>
    <t>PO4165261719</t>
  </si>
  <si>
    <t>gửi BB ngày 14/8</t>
  </si>
  <si>
    <t>Hỗ trợ vc, ktra CL, Listing</t>
  </si>
  <si>
    <t>16776</t>
  </si>
  <si>
    <t>00004384</t>
  </si>
  <si>
    <t>00004414</t>
  </si>
  <si>
    <t>00004415</t>
  </si>
  <si>
    <t>00004497</t>
  </si>
  <si>
    <t>00004498</t>
  </si>
  <si>
    <t>00004499</t>
  </si>
  <si>
    <t>15/11/2024</t>
  </si>
  <si>
    <t>18/11/2024</t>
  </si>
  <si>
    <t>PO4165678405</t>
  </si>
  <si>
    <t>PO4165708273</t>
  </si>
  <si>
    <t>PO4165707027</t>
  </si>
  <si>
    <t>PO4901213114</t>
  </si>
  <si>
    <t>PO4901212622</t>
  </si>
  <si>
    <t>PO4901212610</t>
  </si>
  <si>
    <t>9767</t>
  </si>
  <si>
    <t>00004590</t>
  </si>
  <si>
    <t>00004591</t>
  </si>
  <si>
    <t>00004600</t>
  </si>
  <si>
    <t>00004606</t>
  </si>
  <si>
    <t>00004740</t>
  </si>
  <si>
    <t>00004741</t>
  </si>
  <si>
    <t>00004742</t>
  </si>
  <si>
    <t>00004743</t>
  </si>
  <si>
    <t>22/11/2024</t>
  </si>
  <si>
    <t>29/11/2024</t>
  </si>
  <si>
    <t>PO4165920303</t>
  </si>
  <si>
    <t>PO4901214582</t>
  </si>
  <si>
    <t>PO4901214537</t>
  </si>
  <si>
    <t>PO4165947178</t>
  </si>
  <si>
    <t>PO4166103364</t>
  </si>
  <si>
    <t>PO4901215411</t>
  </si>
  <si>
    <t>PO4166138330</t>
  </si>
  <si>
    <t>PO4901215631</t>
  </si>
  <si>
    <t>PO4901216279</t>
  </si>
  <si>
    <t>PO4901215770</t>
  </si>
  <si>
    <t>PO4166157404</t>
  </si>
  <si>
    <t>00004930</t>
  </si>
  <si>
    <t>00004936</t>
  </si>
  <si>
    <t>00005030</t>
  </si>
  <si>
    <t>00005031</t>
  </si>
  <si>
    <t>00005032</t>
  </si>
  <si>
    <t>00005033</t>
  </si>
  <si>
    <t>00005041</t>
  </si>
  <si>
    <t>00005042</t>
  </si>
  <si>
    <t>00005043</t>
  </si>
  <si>
    <t>10/12/2024</t>
  </si>
  <si>
    <t>PO4166439527</t>
  </si>
  <si>
    <t>PO4901217833</t>
  </si>
  <si>
    <t>PO4901217529</t>
  </si>
  <si>
    <t>PO4901217812</t>
  </si>
  <si>
    <t>PO4166552691</t>
  </si>
  <si>
    <t>PO4901218448</t>
  </si>
  <si>
    <t>PO4901216863</t>
  </si>
  <si>
    <t>PO4901216865</t>
  </si>
  <si>
    <t>PO4901217491</t>
  </si>
  <si>
    <t>00005056</t>
  </si>
  <si>
    <t>00005058</t>
  </si>
  <si>
    <t>00005059</t>
  </si>
  <si>
    <t>00005060</t>
  </si>
  <si>
    <t>00005061</t>
  </si>
  <si>
    <t>00005067</t>
  </si>
  <si>
    <t>00005097</t>
  </si>
  <si>
    <t>00005106</t>
  </si>
  <si>
    <t>00005116</t>
  </si>
  <si>
    <t>00005117</t>
  </si>
  <si>
    <t>11/12/2024</t>
  </si>
  <si>
    <t>13/12/2024</t>
  </si>
  <si>
    <t>PO4166337482</t>
  </si>
  <si>
    <t>PO4166425001</t>
  </si>
  <si>
    <t>PO4166347841</t>
  </si>
  <si>
    <t>PO4901217018</t>
  </si>
  <si>
    <t>PO4166372743</t>
  </si>
  <si>
    <t>PO4166378266</t>
  </si>
  <si>
    <t>PO4166733482</t>
  </si>
  <si>
    <t>PO4166735120</t>
  </si>
  <si>
    <t>PO4901219455</t>
  </si>
  <si>
    <t>PO4166735683</t>
  </si>
  <si>
    <t>509263</t>
  </si>
  <si>
    <t>1524 - WM VCP KHA Nha Trang</t>
  </si>
  <si>
    <t>10456</t>
  </si>
  <si>
    <t>1708 - WM HNI Lê Văn Thiêm</t>
  </si>
  <si>
    <t>510392</t>
  </si>
  <si>
    <t>1632 - WM VC+ DTP Sa Đéc</t>
  </si>
  <si>
    <t>3020</t>
  </si>
  <si>
    <t>1539 - WM VCC HNI Bà Triệu</t>
  </si>
  <si>
    <t>519340</t>
  </si>
  <si>
    <t>1594 - WM VCP YBI Yên Bái</t>
  </si>
  <si>
    <t>4968</t>
  </si>
  <si>
    <t>10790</t>
  </si>
  <si>
    <t>2A61 - WM+ KHA 29 Đường Trung Tâm Xã</t>
  </si>
  <si>
    <t>18879</t>
  </si>
  <si>
    <t>Chiết khấu theo hợp đồng năm 2024</t>
  </si>
  <si>
    <t>Thưởng doanh số có điều kiện 1-1,5%-2024</t>
  </si>
  <si>
    <t>Thưởng doanh số không điều kiện 1-1,5%-2024</t>
  </si>
  <si>
    <t>Hỗ trợ hư hỏng,  mất mát 0.25%</t>
  </si>
  <si>
    <t>00005162</t>
  </si>
  <si>
    <t>00005218</t>
  </si>
  <si>
    <t>00005219</t>
  </si>
  <si>
    <t>00005220</t>
  </si>
  <si>
    <t>00005222</t>
  </si>
  <si>
    <t>00005223</t>
  </si>
  <si>
    <t>00005228</t>
  </si>
  <si>
    <t>00005268</t>
  </si>
  <si>
    <t>00005300</t>
  </si>
  <si>
    <t>00005301</t>
  </si>
  <si>
    <t>00005302</t>
  </si>
  <si>
    <t>00005319</t>
  </si>
  <si>
    <t>00005349</t>
  </si>
  <si>
    <t>17/12/2024</t>
  </si>
  <si>
    <t>19/12/2024</t>
  </si>
  <si>
    <t>20/12/2024</t>
  </si>
  <si>
    <t>21/12/2024</t>
  </si>
  <si>
    <t>PO4166409104</t>
  </si>
  <si>
    <t>PO4166738124</t>
  </si>
  <si>
    <t>PO4166733904</t>
  </si>
  <si>
    <t>PO4166763762</t>
  </si>
  <si>
    <t>PO4166738147</t>
  </si>
  <si>
    <t>PO4901219593</t>
  </si>
  <si>
    <t>PO4901219178</t>
  </si>
  <si>
    <t>PO4166873455</t>
  </si>
  <si>
    <t>PO4166953124</t>
  </si>
  <si>
    <t>PO4166969358</t>
  </si>
  <si>
    <t>PO4166969203</t>
  </si>
  <si>
    <t>PO4166952685</t>
  </si>
  <si>
    <t>PO4167002652</t>
  </si>
  <si>
    <t>00005447</t>
  </si>
  <si>
    <t>00005486</t>
  </si>
  <si>
    <t>00005487</t>
  </si>
  <si>
    <t>00005488</t>
  </si>
  <si>
    <t>00005489</t>
  </si>
  <si>
    <t>00005571</t>
  </si>
  <si>
    <t>PO4167159776</t>
  </si>
  <si>
    <t>PO4167225968</t>
  </si>
  <si>
    <t>PO4167229284</t>
  </si>
  <si>
    <t>PO4167242304</t>
  </si>
  <si>
    <t>PO4167242817</t>
  </si>
  <si>
    <t>PO4167351514</t>
  </si>
  <si>
    <t>25/12/2024</t>
  </si>
  <si>
    <t>27/12/2024</t>
  </si>
  <si>
    <t>30/12/2024</t>
  </si>
  <si>
    <t>04/01/2025</t>
  </si>
  <si>
    <t>13/01/2025</t>
  </si>
  <si>
    <t>00000077</t>
  </si>
  <si>
    <t>00000078</t>
  </si>
  <si>
    <t>00000079</t>
  </si>
  <si>
    <t>00000097</t>
  </si>
  <si>
    <t>00000299</t>
  </si>
  <si>
    <t>PO4167440023</t>
  </si>
  <si>
    <t>PO4167455022</t>
  </si>
  <si>
    <t>PO4167458539</t>
  </si>
  <si>
    <t>PO4901225972</t>
  </si>
  <si>
    <t>PO4167756735</t>
  </si>
  <si>
    <t>PO4167710073</t>
  </si>
  <si>
    <t>PO4167737160</t>
  </si>
  <si>
    <t>PO4168101700</t>
  </si>
  <si>
    <t>00000555</t>
  </si>
  <si>
    <t>00000568</t>
  </si>
  <si>
    <t>00000569</t>
  </si>
  <si>
    <t>00000570</t>
  </si>
  <si>
    <t>00000576</t>
  </si>
  <si>
    <t>00000629</t>
  </si>
  <si>
    <t>00000697</t>
  </si>
  <si>
    <t>00000698</t>
  </si>
  <si>
    <t>00000699</t>
  </si>
  <si>
    <t>06/02/2025</t>
  </si>
  <si>
    <t>07/02/2025</t>
  </si>
  <si>
    <t>08/02/2025</t>
  </si>
  <si>
    <t>10/02/2025</t>
  </si>
  <si>
    <t>14/02/2025</t>
  </si>
  <si>
    <t>PO4168457841</t>
  </si>
  <si>
    <t>PO4168437315</t>
  </si>
  <si>
    <t>PO4168485384</t>
  </si>
  <si>
    <t>PO4901232251</t>
  </si>
  <si>
    <t>PO4168492888</t>
  </si>
  <si>
    <t>PO4901232338</t>
  </si>
  <si>
    <t>PO4168514709</t>
  </si>
  <si>
    <t>PO4168707583</t>
  </si>
  <si>
    <t>PO4168661844</t>
  </si>
  <si>
    <t>PO4901234128</t>
  </si>
  <si>
    <t>PO4168707575</t>
  </si>
  <si>
    <t>PO4901234214</t>
  </si>
  <si>
    <t>2534</t>
  </si>
  <si>
    <t>2241</t>
  </si>
  <si>
    <t>Chiết khấu hỗ trợ theo HĐ năm 2025</t>
  </si>
  <si>
    <t>Chiết khấu hỗ trợ theo HĐ năm 2024</t>
  </si>
  <si>
    <t>2665</t>
  </si>
  <si>
    <t>2114</t>
  </si>
  <si>
    <t>PM tại ngày 14/02/2025</t>
  </si>
  <si>
    <t>LỆCH</t>
  </si>
  <si>
    <t>3551</t>
  </si>
  <si>
    <t>6800</t>
  </si>
  <si>
    <t>2810</t>
  </si>
  <si>
    <t>6485</t>
  </si>
  <si>
    <t>3548</t>
  </si>
  <si>
    <t>WM Kon tum</t>
  </si>
  <si>
    <t>4447</t>
  </si>
  <si>
    <t>10329</t>
  </si>
  <si>
    <t>WM Sài Gòn Res</t>
  </si>
  <si>
    <t>10053</t>
  </si>
  <si>
    <t>4191</t>
  </si>
  <si>
    <t>4193</t>
  </si>
  <si>
    <t>4199</t>
  </si>
  <si>
    <t>3549</t>
  </si>
  <si>
    <t>8562</t>
  </si>
  <si>
    <t>WM Lê Đức Thọ</t>
  </si>
  <si>
    <t>3578</t>
  </si>
  <si>
    <t>3717</t>
  </si>
  <si>
    <t>3579</t>
  </si>
  <si>
    <t>3589</t>
  </si>
  <si>
    <t>8657</t>
  </si>
  <si>
    <t>9007</t>
  </si>
  <si>
    <t>9308</t>
  </si>
  <si>
    <t>4131</t>
  </si>
  <si>
    <t>3991</t>
  </si>
  <si>
    <t>3993</t>
  </si>
  <si>
    <t>4005</t>
  </si>
  <si>
    <t>3997</t>
  </si>
  <si>
    <t>9668</t>
  </si>
  <si>
    <t>9663</t>
  </si>
  <si>
    <t>4932</t>
  </si>
  <si>
    <t>3882</t>
  </si>
  <si>
    <t>1746</t>
  </si>
  <si>
    <t>3854</t>
  </si>
  <si>
    <t>4122</t>
  </si>
  <si>
    <t>2784</t>
  </si>
  <si>
    <t>182</t>
  </si>
  <si>
    <t>2544</t>
  </si>
  <si>
    <t>260</t>
  </si>
  <si>
    <t>584</t>
  </si>
  <si>
    <t>2672</t>
  </si>
  <si>
    <t>6797</t>
  </si>
  <si>
    <t>6798</t>
  </si>
  <si>
    <t>3168</t>
  </si>
  <si>
    <t>4003</t>
  </si>
  <si>
    <t>WM HCM Cộng Hòa</t>
  </si>
  <si>
    <t>7656</t>
  </si>
  <si>
    <t>7655</t>
  </si>
  <si>
    <t>2998</t>
  </si>
  <si>
    <t>3089</t>
  </si>
  <si>
    <t>9765</t>
  </si>
  <si>
    <t>2900</t>
  </si>
  <si>
    <t>7662</t>
  </si>
  <si>
    <t>7677</t>
  </si>
  <si>
    <t>7764</t>
  </si>
  <si>
    <t>7790</t>
  </si>
  <si>
    <t>3235</t>
  </si>
  <si>
    <t>3311</t>
  </si>
  <si>
    <t>7975</t>
  </si>
  <si>
    <t>3373</t>
  </si>
  <si>
    <t>3431</t>
  </si>
  <si>
    <t>3495</t>
  </si>
  <si>
    <t>3496</t>
  </si>
  <si>
    <t>3590</t>
  </si>
  <si>
    <t>9131</t>
  </si>
  <si>
    <t>8996</t>
  </si>
  <si>
    <t>3126</t>
  </si>
  <si>
    <t>10758</t>
  </si>
  <si>
    <t>11097</t>
  </si>
  <si>
    <t>4699</t>
  </si>
  <si>
    <t>4660</t>
  </si>
  <si>
    <t>4720</t>
  </si>
  <si>
    <t>4497</t>
  </si>
  <si>
    <t>4748</t>
  </si>
  <si>
    <t>10764</t>
  </si>
  <si>
    <t>00000789</t>
  </si>
  <si>
    <t>00000790</t>
  </si>
  <si>
    <t>00000791</t>
  </si>
  <si>
    <t>00000807</t>
  </si>
  <si>
    <t>00000815</t>
  </si>
  <si>
    <t>00000857</t>
  </si>
  <si>
    <t>00000920</t>
  </si>
  <si>
    <t>PO4168485127</t>
  </si>
  <si>
    <t>PO4168656585</t>
  </si>
  <si>
    <t>PO4168697545</t>
  </si>
  <si>
    <t>PO4168896412</t>
  </si>
  <si>
    <t>PO4168948255</t>
  </si>
  <si>
    <t>PO4168956619</t>
  </si>
  <si>
    <t>PO4168948341</t>
  </si>
  <si>
    <t>PO4901235810</t>
  </si>
  <si>
    <t>PO4168957885</t>
  </si>
  <si>
    <t>PO4168966784</t>
  </si>
  <si>
    <t>PO4169175870</t>
  </si>
  <si>
    <t>19/02/2025</t>
  </si>
  <si>
    <t>20/02/2025</t>
  </si>
  <si>
    <t>21/02/2025</t>
  </si>
  <si>
    <t>22/02/2025</t>
  </si>
  <si>
    <t>28/02/2025</t>
  </si>
  <si>
    <t>4668</t>
  </si>
  <si>
    <t>WM HNI Đông Hội</t>
  </si>
  <si>
    <t>4991</t>
  </si>
  <si>
    <t>5043</t>
  </si>
  <si>
    <t>11783</t>
  </si>
  <si>
    <t>5152</t>
  </si>
  <si>
    <t>WM VCC HNI Phạm Ngọc Thạch</t>
  </si>
  <si>
    <t>5169</t>
  </si>
  <si>
    <t>5221</t>
  </si>
  <si>
    <t>12085</t>
  </si>
  <si>
    <t>12088</t>
  </si>
  <si>
    <t>12154</t>
  </si>
  <si>
    <t>WM VCP BKN Bắc Kạn</t>
  </si>
  <si>
    <t>5398</t>
  </si>
  <si>
    <t>6013</t>
  </si>
  <si>
    <t>5312</t>
  </si>
  <si>
    <t>5179</t>
  </si>
  <si>
    <t>5469</t>
  </si>
  <si>
    <t>nhập PM 25/2</t>
  </si>
  <si>
    <t>79286</t>
  </si>
  <si>
    <t>4939</t>
  </si>
  <si>
    <t>4985</t>
  </si>
  <si>
    <t>465</t>
  </si>
  <si>
    <t>5960</t>
  </si>
  <si>
    <t>WM NAN Vinh - Bến Thủy</t>
  </si>
  <si>
    <t>6624</t>
  </si>
  <si>
    <t>6662</t>
  </si>
  <si>
    <t>13482</t>
  </si>
  <si>
    <t>13485</t>
  </si>
  <si>
    <t>WM VCP TTH Hùng Vương</t>
  </si>
  <si>
    <t>16412</t>
  </si>
  <si>
    <t>6832</t>
  </si>
  <si>
    <t>13829</t>
  </si>
  <si>
    <t> WM HNI Văn Quán</t>
  </si>
  <si>
    <t>6520</t>
  </si>
  <si>
    <t>WM VC+ PTO Phú Thọ</t>
  </si>
  <si>
    <t>6623</t>
  </si>
  <si>
    <t>- WM VC+ THA Tĩnh Gia</t>
  </si>
  <si>
    <t>6989</t>
  </si>
  <si>
    <t>6371</t>
  </si>
  <si>
    <t>6627</t>
  </si>
  <si>
    <t>5895</t>
  </si>
  <si>
    <t>6685</t>
  </si>
  <si>
    <t>WM VCP KHA Cam Ranh</t>
  </si>
  <si>
    <t>14840</t>
  </si>
  <si>
    <t>17806</t>
  </si>
  <si>
    <t>7548</t>
  </si>
  <si>
    <t>15109</t>
  </si>
  <si>
    <t>15380</t>
  </si>
  <si>
    <t>Nhập PM 12-13/3</t>
  </si>
  <si>
    <t>WM PLEKU</t>
  </si>
  <si>
    <t>15839</t>
  </si>
  <si>
    <t>WM Thái Hòa</t>
  </si>
  <si>
    <t>7982</t>
  </si>
  <si>
    <t>7364</t>
  </si>
  <si>
    <t>WM Nan Vinh- Lê Lợi</t>
  </si>
  <si>
    <t>8356</t>
  </si>
  <si>
    <t>7845</t>
  </si>
  <si>
    <t>7925</t>
  </si>
  <si>
    <t>5611</t>
  </si>
  <si>
    <t>WM VC+ HTH Kỳ Anh</t>
  </si>
  <si>
    <t>9042</t>
  </si>
  <si>
    <t>WM VCP QNH Móng Cái</t>
  </si>
  <si>
    <t>8865</t>
  </si>
  <si>
    <t> WM HNI Trúc Khê</t>
  </si>
  <si>
    <t>8110</t>
  </si>
  <si>
    <t>8099</t>
  </si>
  <si>
    <t> WM HNI Cầu Giấy</t>
  </si>
  <si>
    <t>8101</t>
  </si>
  <si>
    <t>18878</t>
  </si>
  <si>
    <t>00000926</t>
  </si>
  <si>
    <t>00000945</t>
  </si>
  <si>
    <t>00000946</t>
  </si>
  <si>
    <t>00000947</t>
  </si>
  <si>
    <t>00000982</t>
  </si>
  <si>
    <t>00001006</t>
  </si>
  <si>
    <t>00001008</t>
  </si>
  <si>
    <t>00001009</t>
  </si>
  <si>
    <t>00001014</t>
  </si>
  <si>
    <t>00001059</t>
  </si>
  <si>
    <t>00001107</t>
  </si>
  <si>
    <t>00001136</t>
  </si>
  <si>
    <t>00001137</t>
  </si>
  <si>
    <t>00001140</t>
  </si>
  <si>
    <t>00001243</t>
  </si>
  <si>
    <t>00001305</t>
  </si>
  <si>
    <t>01/03/2025</t>
  </si>
  <si>
    <t>03/03/2025</t>
  </si>
  <si>
    <t>04/03/2025</t>
  </si>
  <si>
    <t>07/03/2025</t>
  </si>
  <si>
    <t>15/03/2025</t>
  </si>
  <si>
    <t>21/03/2025</t>
  </si>
  <si>
    <t>22/03/2025</t>
  </si>
  <si>
    <t>PO4901237918</t>
  </si>
  <si>
    <t>PO4169184785</t>
  </si>
  <si>
    <t>PO4169164760</t>
  </si>
  <si>
    <t>PO4169176166</t>
  </si>
  <si>
    <t>PO4169164715</t>
  </si>
  <si>
    <t>PO4169053547</t>
  </si>
  <si>
    <t>PO4169286779</t>
  </si>
  <si>
    <t>PO4169333870</t>
  </si>
  <si>
    <t>PO4169393951</t>
  </si>
  <si>
    <t>PO4169400413</t>
  </si>
  <si>
    <t>PO4901238950</t>
  </si>
  <si>
    <t>PO4169395196</t>
  </si>
  <si>
    <t>PO4901239155</t>
  </si>
  <si>
    <t>PO4169418541</t>
  </si>
  <si>
    <t>PO4901241178</t>
  </si>
  <si>
    <t>PO4169627581</t>
  </si>
  <si>
    <t>PO4169627580</t>
  </si>
  <si>
    <t>PO4901240951</t>
  </si>
  <si>
    <t>PO4169614608</t>
  </si>
  <si>
    <t>PO4169614040</t>
  </si>
  <si>
    <t>PO4169863187</t>
  </si>
  <si>
    <t>PO4169863305</t>
  </si>
  <si>
    <t>PO4169863001</t>
  </si>
  <si>
    <t>PO4169901907</t>
  </si>
  <si>
    <t>PO4169879792</t>
  </si>
  <si>
    <t>PO4901241993</t>
  </si>
  <si>
    <t>HỦY?</t>
  </si>
  <si>
    <t>19856</t>
  </si>
  <si>
    <t>20069</t>
  </si>
  <si>
    <t>8369</t>
  </si>
  <si>
    <t>8379</t>
  </si>
  <si>
    <t>Hư hỏng, mất mát</t>
  </si>
  <si>
    <t>Thưởng DS có đk</t>
  </si>
  <si>
    <t>Thưởng DS ko đk</t>
  </si>
  <si>
    <t>Thưởng DS ko đk 2025</t>
  </si>
  <si>
    <t>Hư hỏng, mất mát 2025</t>
  </si>
  <si>
    <t>00001333</t>
  </si>
  <si>
    <t>00001371</t>
  </si>
  <si>
    <t>00001372</t>
  </si>
  <si>
    <t>00001373</t>
  </si>
  <si>
    <t>00001374</t>
  </si>
  <si>
    <t>00001375</t>
  </si>
  <si>
    <t>26/03/2025</t>
  </si>
  <si>
    <t>28/03/2025</t>
  </si>
  <si>
    <t>PO4170024501</t>
  </si>
  <si>
    <t>PO4170038910</t>
  </si>
  <si>
    <t>PO4170086951</t>
  </si>
  <si>
    <t>PO4170104343</t>
  </si>
  <si>
    <t>PO4170105144</t>
  </si>
  <si>
    <t>PO4170123228</t>
  </si>
  <si>
    <t>PO4170120922</t>
  </si>
  <si>
    <t>9680</t>
  </si>
  <si>
    <t>11006</t>
  </si>
  <si>
    <t>00001557</t>
  </si>
  <si>
    <t>00001558</t>
  </si>
  <si>
    <t>00001585</t>
  </si>
  <si>
    <t>00001586</t>
  </si>
  <si>
    <t>00001638</t>
  </si>
  <si>
    <t>00001676</t>
  </si>
  <si>
    <t>00001688</t>
  </si>
  <si>
    <t>00001690</t>
  </si>
  <si>
    <t>00001734</t>
  </si>
  <si>
    <t>PO4170292595</t>
  </si>
  <si>
    <t>PO4170304246</t>
  </si>
  <si>
    <t>PO4170338346</t>
  </si>
  <si>
    <t>PO4170341760</t>
  </si>
  <si>
    <t>PO4170343228</t>
  </si>
  <si>
    <t>PO4170337740</t>
  </si>
  <si>
    <t>PO4901244200</t>
  </si>
  <si>
    <t>PO4170457873</t>
  </si>
  <si>
    <t>PO4170552535</t>
  </si>
  <si>
    <t>PO4170552716</t>
  </si>
  <si>
    <t>PO4170577469</t>
  </si>
  <si>
    <t>PO4901245835</t>
  </si>
  <si>
    <t>PO4170552329</t>
  </si>
  <si>
    <t>03/04/2025</t>
  </si>
  <si>
    <t>05/04/2025</t>
  </si>
  <si>
    <t>10/04/2025</t>
  </si>
  <si>
    <t>11/04/2025</t>
  </si>
  <si>
    <t>12/04/2025</t>
  </si>
  <si>
    <t>00001788</t>
  </si>
  <si>
    <t>00001789</t>
  </si>
  <si>
    <t>00001790</t>
  </si>
  <si>
    <t>00001791</t>
  </si>
  <si>
    <t>00001792</t>
  </si>
  <si>
    <t>00001803</t>
  </si>
  <si>
    <t>18/04/2025</t>
  </si>
  <si>
    <t>PO4170842831</t>
  </si>
  <si>
    <t>PO4170842928</t>
  </si>
  <si>
    <t>PO4170842927</t>
  </si>
  <si>
    <t>PO4170841370</t>
  </si>
  <si>
    <t>PO4170841604</t>
  </si>
  <si>
    <t>PO4901246931</t>
  </si>
  <si>
    <t>11544</t>
  </si>
  <si>
    <t>00001935</t>
  </si>
  <si>
    <t>00001937</t>
  </si>
  <si>
    <t>00001938</t>
  </si>
  <si>
    <t>00001952</t>
  </si>
  <si>
    <t>00002027</t>
  </si>
  <si>
    <t>00002028</t>
  </si>
  <si>
    <t>00002058</t>
  </si>
  <si>
    <t>00002059</t>
  </si>
  <si>
    <t>00002087</t>
  </si>
  <si>
    <t>25/04/2025</t>
  </si>
  <si>
    <t>29/04/2025</t>
  </si>
  <si>
    <t>03/05/2025</t>
  </si>
  <si>
    <t>PO4171146361</t>
  </si>
  <si>
    <t>PO4171124342</t>
  </si>
  <si>
    <t>PO4171124153</t>
  </si>
  <si>
    <t>PO4901248218</t>
  </si>
  <si>
    <t>PO4171299614</t>
  </si>
  <si>
    <t>PO4171299554</t>
  </si>
  <si>
    <t>PO4171321051</t>
  </si>
  <si>
    <t>PO4171325985</t>
  </si>
  <si>
    <t>PO4171321053</t>
  </si>
  <si>
    <t>PO4901249189</t>
  </si>
  <si>
    <t>an gioa</t>
  </si>
  <si>
    <t>00002182</t>
  </si>
  <si>
    <t>00002183</t>
  </si>
  <si>
    <t>00002184</t>
  </si>
  <si>
    <t>00002185</t>
  </si>
  <si>
    <t>00002186</t>
  </si>
  <si>
    <t>00002222</t>
  </si>
  <si>
    <t>00002229</t>
  </si>
  <si>
    <t>00002301</t>
  </si>
  <si>
    <t>00002302</t>
  </si>
  <si>
    <t>00002309</t>
  </si>
  <si>
    <t>00002310</t>
  </si>
  <si>
    <t>00002311</t>
  </si>
  <si>
    <t>00002312</t>
  </si>
  <si>
    <t>00002438</t>
  </si>
  <si>
    <t>00002473</t>
  </si>
  <si>
    <t>00002474</t>
  </si>
  <si>
    <t>00002475</t>
  </si>
  <si>
    <t>00002476</t>
  </si>
  <si>
    <t>00002530</t>
  </si>
  <si>
    <t>00002531</t>
  </si>
  <si>
    <t>00002532</t>
  </si>
  <si>
    <t>00002534</t>
  </si>
  <si>
    <t>00002548</t>
  </si>
  <si>
    <t>00002613</t>
  </si>
  <si>
    <t>00002618</t>
  </si>
  <si>
    <t>00002619</t>
  </si>
  <si>
    <t>00002668</t>
  </si>
  <si>
    <t>00002716</t>
  </si>
  <si>
    <t>00002763</t>
  </si>
  <si>
    <t>00002764</t>
  </si>
  <si>
    <t>00002765</t>
  </si>
  <si>
    <t>00002767</t>
  </si>
  <si>
    <t>00002831</t>
  </si>
  <si>
    <t>00003164</t>
  </si>
  <si>
    <t>00003166</t>
  </si>
  <si>
    <t>00003168</t>
  </si>
  <si>
    <t>00003169</t>
  </si>
  <si>
    <t>00003170</t>
  </si>
  <si>
    <t>00003172</t>
  </si>
  <si>
    <t>00003173</t>
  </si>
  <si>
    <t>00003174</t>
  </si>
  <si>
    <t>00003175</t>
  </si>
  <si>
    <t>00003205</t>
  </si>
  <si>
    <t>00003206</t>
  </si>
  <si>
    <t>00003470</t>
  </si>
  <si>
    <t>00003471</t>
  </si>
  <si>
    <t>00003472</t>
  </si>
  <si>
    <t>00003473</t>
  </si>
  <si>
    <t>00003494</t>
  </si>
  <si>
    <t>00003495</t>
  </si>
  <si>
    <t>00003496</t>
  </si>
  <si>
    <t>00003497</t>
  </si>
  <si>
    <t>00003498</t>
  </si>
  <si>
    <t>00003500</t>
  </si>
  <si>
    <t>00003501</t>
  </si>
  <si>
    <t>00003502</t>
  </si>
  <si>
    <t>00003503</t>
  </si>
  <si>
    <t>00003504</t>
  </si>
  <si>
    <t>00003505</t>
  </si>
  <si>
    <t>00003506</t>
  </si>
  <si>
    <t>00003865</t>
  </si>
  <si>
    <t>00003866</t>
  </si>
  <si>
    <t>00003868</t>
  </si>
  <si>
    <t>00003869</t>
  </si>
  <si>
    <t>00003870</t>
  </si>
  <si>
    <t>00003872</t>
  </si>
  <si>
    <t>00003873</t>
  </si>
  <si>
    <t>00003875</t>
  </si>
  <si>
    <t>00003877</t>
  </si>
  <si>
    <t>00003878</t>
  </si>
  <si>
    <t>00003882</t>
  </si>
  <si>
    <t>00003883</t>
  </si>
  <si>
    <t>00003884</t>
  </si>
  <si>
    <t>00003885</t>
  </si>
  <si>
    <t>00003886</t>
  </si>
  <si>
    <t>00003888</t>
  </si>
  <si>
    <t>00003889</t>
  </si>
  <si>
    <t>00003890</t>
  </si>
  <si>
    <t>00003891</t>
  </si>
  <si>
    <t>00004220</t>
  </si>
  <si>
    <t>00004221</t>
  </si>
  <si>
    <t>00004223</t>
  </si>
  <si>
    <t>00004224</t>
  </si>
  <si>
    <t>00004225</t>
  </si>
  <si>
    <t>00004226</t>
  </si>
  <si>
    <t>00004227</t>
  </si>
  <si>
    <t>00004228</t>
  </si>
  <si>
    <t>00004229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</si>
  <si>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</si>
  <si>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</si>
  <si>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</si>
  <si>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</si>
  <si>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</si>
  <si>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</si>
  <si>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</si>
  <si>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</si>
  <si>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</si>
  <si>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</si>
  <si>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00004240</t>
  </si>
  <si>
    <t>00004241</t>
  </si>
  <si>
    <t>00004242</t>
  </si>
  <si>
    <t>00004243</t>
  </si>
  <si>
    <t>00004244</t>
  </si>
  <si>
    <t>00004449</t>
  </si>
  <si>
    <t>00004450</t>
  </si>
  <si>
    <t>00004451</t>
  </si>
  <si>
    <t>00004452</t>
  </si>
  <si>
    <t>00004453</t>
  </si>
  <si>
    <t>00004454</t>
  </si>
  <si>
    <t>00004455</t>
  </si>
  <si>
    <t>00004456</t>
  </si>
  <si>
    <t>00004457</t>
  </si>
  <si>
    <t>00004458</t>
  </si>
  <si>
    <t>00004459</t>
  </si>
  <si>
    <t>00004460</t>
  </si>
  <si>
    <t>00004461</t>
  </si>
  <si>
    <t>00004462</t>
  </si>
  <si>
    <t>00004463</t>
  </si>
  <si>
    <t>00004464</t>
  </si>
  <si>
    <t>00004465</t>
  </si>
  <si>
    <t>00004466</t>
  </si>
  <si>
    <t>00004467</t>
  </si>
  <si>
    <t>00004468</t>
  </si>
  <si>
    <t>00004469</t>
  </si>
  <si>
    <t>00004470</t>
  </si>
  <si>
    <t>00004471</t>
  </si>
  <si>
    <t>00004472</t>
  </si>
  <si>
    <t>00004473</t>
  </si>
  <si>
    <t>00004811</t>
  </si>
  <si>
    <t>00004813</t>
  </si>
  <si>
    <t>00004814</t>
  </si>
  <si>
    <t>00004815</t>
  </si>
  <si>
    <t>00004816</t>
  </si>
  <si>
    <t>00004817</t>
  </si>
  <si>
    <t>00004819</t>
  </si>
  <si>
    <t>00004820</t>
  </si>
  <si>
    <t>00004822</t>
  </si>
  <si>
    <t>00004823</t>
  </si>
  <si>
    <t>00004824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</si>
  <si>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</si>
  <si>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</si>
  <si>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</si>
  <si>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</si>
  <si>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</si>
  <si>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</si>
  <si>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</si>
  <si>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</si>
  <si>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</si>
  <si>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</si>
  <si>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</si>
  <si>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</si>
  <si>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</si>
  <si>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</si>
  <si>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</si>
  <si>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</si>
  <si>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</si>
  <si>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</si>
  <si>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</si>
  <si>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</si>
  <si>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</si>
  <si>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</si>
  <si>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00005163</t>
  </si>
  <si>
    <t>00005164</t>
  </si>
  <si>
    <t>00005451</t>
  </si>
  <si>
    <t>00005452</t>
  </si>
  <si>
    <t>00005453</t>
  </si>
  <si>
    <t>00005454</t>
  </si>
  <si>
    <t>00005455</t>
  </si>
  <si>
    <t>00005456</t>
  </si>
  <si>
    <t>00005457</t>
  </si>
  <si>
    <t>00005458</t>
  </si>
  <si>
    <t>00005459</t>
  </si>
  <si>
    <t>00005460</t>
  </si>
  <si>
    <t>00005461</t>
  </si>
  <si>
    <t>00005462</t>
  </si>
  <si>
    <t>00005463</t>
  </si>
  <si>
    <t>00005464</t>
  </si>
  <si>
    <t>00005465</t>
  </si>
  <si>
    <t>00005466</t>
  </si>
  <si>
    <t>00005467</t>
  </si>
  <si>
    <t>00005470</t>
  </si>
  <si>
    <t>00005471</t>
  </si>
  <si>
    <t>00005472</t>
  </si>
  <si>
    <t>00005473</t>
  </si>
  <si>
    <t>00005474</t>
  </si>
  <si>
    <t>00005475</t>
  </si>
  <si>
    <t>00005477</t>
  </si>
  <si>
    <t>00005478</t>
  </si>
  <si>
    <t>00005479</t>
  </si>
  <si>
    <t>00005480</t>
  </si>
  <si>
    <t>00005772</t>
  </si>
  <si>
    <t>00005773</t>
  </si>
  <si>
    <t>00005774</t>
  </si>
  <si>
    <t>00005775</t>
  </si>
  <si>
    <t>00005776</t>
  </si>
  <si>
    <t>00005777</t>
  </si>
  <si>
    <t>00005778</t>
  </si>
  <si>
    <t>00005779</t>
  </si>
  <si>
    <t>00005780</t>
  </si>
  <si>
    <t>00005781</t>
  </si>
  <si>
    <t>00005783</t>
  </si>
  <si>
    <t>00005784</t>
  </si>
  <si>
    <t>00005785</t>
  </si>
  <si>
    <t>00005786</t>
  </si>
  <si>
    <t>00005787</t>
  </si>
  <si>
    <t>00005788</t>
  </si>
  <si>
    <t>00005789</t>
  </si>
  <si>
    <t>00005790</t>
  </si>
  <si>
    <t>00005791</t>
  </si>
  <si>
    <t>00005792</t>
  </si>
  <si>
    <t>00005793</t>
  </si>
  <si>
    <t>00005794</t>
  </si>
  <si>
    <t>00005795</t>
  </si>
  <si>
    <t>00005796</t>
  </si>
  <si>
    <t>00005797</t>
  </si>
  <si>
    <t>00005798</t>
  </si>
  <si>
    <t>06/05/2025</t>
  </si>
  <si>
    <t>09/05/2025</t>
  </si>
  <si>
    <t>12/05/2025</t>
  </si>
  <si>
    <t>16/05/2025</t>
  </si>
  <si>
    <t>22/05/2025</t>
  </si>
  <si>
    <t>23/05/2025</t>
  </si>
  <si>
    <t>26/05/2025</t>
  </si>
  <si>
    <t>27/05/2025</t>
  </si>
  <si>
    <t>30/05/2025</t>
  </si>
  <si>
    <t>03/06/2025</t>
  </si>
  <si>
    <t>04/06/2025</t>
  </si>
  <si>
    <t>06/06/2025</t>
  </si>
  <si>
    <t>10/06/2025</t>
  </si>
  <si>
    <t>25/06/2025</t>
  </si>
  <si>
    <t>27/06/2025</t>
  </si>
  <si>
    <t>10/07/2025</t>
  </si>
  <si>
    <t>12/07/2025</t>
  </si>
  <si>
    <t>30/07/2025</t>
  </si>
  <si>
    <t>18/08/2025</t>
  </si>
  <si>
    <t>29/08/2025</t>
  </si>
  <si>
    <t>12/09/2025</t>
  </si>
  <si>
    <t>30/09/2025</t>
  </si>
  <si>
    <t>16/10/2025</t>
  </si>
  <si>
    <t>29/10/2025</t>
  </si>
  <si>
    <t>Chi nhánh Cần Thơ - Công ty Cổ phần Dịch vụ Thương mại Tổng hợp Wincommerce</t>
  </si>
  <si>
    <t>Chi nhánh Đồng Tháp - Công ty Cổ phần Dịch vụ Thương mại Tổng hợp Wincommerce</t>
  </si>
  <si>
    <t>Chi nhánh Hà Nội - Công ty Cổ phần Dịch vụ Thương mại Tổng hợp Wincommerce</t>
  </si>
  <si>
    <t>00006098</t>
  </si>
  <si>
    <t>00006103</t>
  </si>
  <si>
    <t>00006104</t>
  </si>
  <si>
    <t>00006105</t>
  </si>
  <si>
    <t>00006106</t>
  </si>
  <si>
    <t>00006107</t>
  </si>
  <si>
    <t>00006108</t>
  </si>
  <si>
    <t>00006109</t>
  </si>
  <si>
    <t>00006110</t>
  </si>
  <si>
    <t>00006111</t>
  </si>
  <si>
    <t>00006112</t>
  </si>
  <si>
    <t>00006113</t>
  </si>
  <si>
    <t>00006114</t>
  </si>
  <si>
    <t>00006115</t>
  </si>
  <si>
    <t>00006116</t>
  </si>
  <si>
    <t>00006117</t>
  </si>
  <si>
    <t>00006118</t>
  </si>
  <si>
    <t>00006119</t>
  </si>
  <si>
    <t>00006120</t>
  </si>
  <si>
    <t>00006121</t>
  </si>
  <si>
    <t>12/11/2025</t>
  </si>
  <si>
    <t>PO4178270273</t>
  </si>
  <si>
    <t>PO4178560134</t>
  </si>
  <si>
    <t>PO4178817595</t>
  </si>
  <si>
    <t>PO4178896416</t>
  </si>
  <si>
    <t>PO4178897092</t>
  </si>
  <si>
    <t>PO4178898008</t>
  </si>
  <si>
    <t>PO4178874268</t>
  </si>
  <si>
    <t>PO4178872432</t>
  </si>
  <si>
    <t>PO4178873309</t>
  </si>
  <si>
    <t>PO4178942090</t>
  </si>
  <si>
    <t>PO4179174178</t>
  </si>
  <si>
    <t>PO4901274581</t>
  </si>
  <si>
    <t>PO4179226569</t>
  </si>
  <si>
    <t>PO4179226571</t>
  </si>
  <si>
    <t>PO4179241028</t>
  </si>
  <si>
    <t>PO4179233721</t>
  </si>
  <si>
    <t>PO4179228911</t>
  </si>
  <si>
    <t>PO4179430360</t>
  </si>
  <si>
    <t>PO4179453352</t>
  </si>
  <si>
    <t>PO4179549057</t>
  </si>
  <si>
    <t>PO4171462639</t>
  </si>
  <si>
    <t>PO4171587800</t>
  </si>
  <si>
    <t>PO4171580296</t>
  </si>
  <si>
    <t>PO4171579995</t>
  </si>
  <si>
    <t>PO4171579795</t>
  </si>
  <si>
    <t>PO4171588511</t>
  </si>
  <si>
    <t>PO4171615078</t>
  </si>
  <si>
    <t>PO4901250554</t>
  </si>
  <si>
    <t>PO4901251789</t>
  </si>
  <si>
    <t>PO4171845469</t>
  </si>
  <si>
    <t>PO4171854318</t>
  </si>
  <si>
    <t>PO4171845870</t>
  </si>
  <si>
    <t>PO4171854715</t>
  </si>
  <si>
    <t>PO4171845978</t>
  </si>
  <si>
    <t>PO4171999438</t>
  </si>
  <si>
    <t>PO4172112007</t>
  </si>
  <si>
    <t>PO4172112298</t>
  </si>
  <si>
    <t>PO4172110441</t>
  </si>
  <si>
    <t>PO4172110422</t>
  </si>
  <si>
    <t>PO4171984141</t>
  </si>
  <si>
    <t>PO4172112503</t>
  </si>
  <si>
    <t>PO4171938145</t>
  </si>
  <si>
    <t>PO4901253083</t>
  </si>
  <si>
    <t>PO4172217269</t>
  </si>
  <si>
    <t>PO4172355929</t>
  </si>
  <si>
    <t>PO4172356456</t>
  </si>
  <si>
    <t>PO4172359031</t>
  </si>
  <si>
    <t>PO4172359095</t>
  </si>
  <si>
    <t>PO4901253985</t>
  </si>
  <si>
    <t>PO4172483127</t>
  </si>
  <si>
    <t>PO4172359094</t>
  </si>
  <si>
    <t>PO4172619000</t>
  </si>
  <si>
    <t>PO4172604595</t>
  </si>
  <si>
    <t>PO4172605105</t>
  </si>
  <si>
    <t>PO4172618747</t>
  </si>
  <si>
    <t>PO4172605108</t>
  </si>
  <si>
    <t>PO4901255300</t>
  </si>
  <si>
    <t>PO4901256297</t>
  </si>
  <si>
    <t>PO4172886947</t>
  </si>
  <si>
    <t>PO4172884477</t>
  </si>
  <si>
    <t>PO4172884343</t>
  </si>
  <si>
    <t>PO4172886865</t>
  </si>
  <si>
    <t>PO4172886867</t>
  </si>
  <si>
    <t>PO4901256335</t>
  </si>
  <si>
    <t>PO4173076869</t>
  </si>
  <si>
    <t>PO4173143566</t>
  </si>
  <si>
    <t>PO4173143332</t>
  </si>
  <si>
    <t>PO4173143310</t>
  </si>
  <si>
    <t>PO4173153802</t>
  </si>
  <si>
    <t>PO4901257749</t>
  </si>
  <si>
    <t>PO4173459300</t>
  </si>
  <si>
    <t>PO4173459243</t>
  </si>
  <si>
    <t>PO4173447749</t>
  </si>
  <si>
    <t>PO4173447561</t>
  </si>
  <si>
    <t>PO4901258557</t>
  </si>
  <si>
    <t>PO4901258753</t>
  </si>
  <si>
    <t>PO4173478809</t>
  </si>
  <si>
    <t>PO4173447131</t>
  </si>
  <si>
    <t>PO4173628249</t>
  </si>
  <si>
    <t>PO4173592354</t>
  </si>
  <si>
    <t>PO4901259087</t>
  </si>
  <si>
    <t>PO4173728612</t>
  </si>
  <si>
    <t>PO4173712856</t>
  </si>
  <si>
    <t>PO4173712768</t>
  </si>
  <si>
    <t>PO4173728620</t>
  </si>
  <si>
    <t>PO4173711240</t>
  </si>
  <si>
    <t>PO4901260039</t>
  </si>
  <si>
    <t>PO4173744481</t>
  </si>
  <si>
    <t>PO4173926533</t>
  </si>
  <si>
    <t>PO4174020925</t>
  </si>
  <si>
    <t>PO4174020967</t>
  </si>
  <si>
    <t>PO4174021007</t>
  </si>
  <si>
    <t>PO4174021176</t>
  </si>
  <si>
    <t>PO4901261114</t>
  </si>
  <si>
    <t>PO4174021325</t>
  </si>
  <si>
    <t>PO4174034293</t>
  </si>
  <si>
    <t xml:space="preserve"> PO4174240817</t>
  </si>
  <si>
    <t>PO4174332336</t>
  </si>
  <si>
    <t>PO4174332547</t>
  </si>
  <si>
    <t>PO4174346553</t>
  </si>
  <si>
    <t>PO4174331282</t>
  </si>
  <si>
    <t>PO4174346579</t>
  </si>
  <si>
    <t>PO4901262701</t>
  </si>
  <si>
    <t>PO4174372730</t>
  </si>
  <si>
    <t>PO4174652737</t>
  </si>
  <si>
    <t>PO4174521608</t>
  </si>
  <si>
    <t>PO4174653125</t>
  </si>
  <si>
    <t>PO4174689409</t>
  </si>
  <si>
    <t>PO4174653202</t>
  </si>
  <si>
    <t>PO4174665894</t>
  </si>
  <si>
    <t>PO4174666068</t>
  </si>
  <si>
    <t>PO4901263485</t>
  </si>
  <si>
    <t>PO4174751352</t>
  </si>
  <si>
    <t>PO4174751601</t>
  </si>
  <si>
    <t>PO4174857438</t>
  </si>
  <si>
    <t xml:space="preserve"> PO4174958820</t>
  </si>
  <si>
    <t>PO4174959836</t>
  </si>
  <si>
    <t>PO4174968879</t>
  </si>
  <si>
    <t>PO4174968949</t>
  </si>
  <si>
    <t>PO4901264910</t>
  </si>
  <si>
    <t>PO4175009910</t>
  </si>
  <si>
    <t>PO4175050726</t>
  </si>
  <si>
    <t>PO4175160880</t>
  </si>
  <si>
    <t>PO4174959748</t>
  </si>
  <si>
    <t>PO4175090967</t>
  </si>
  <si>
    <t>PO4175294490</t>
  </si>
  <si>
    <t>PO4175294484</t>
  </si>
  <si>
    <t>PO4175303033</t>
  </si>
  <si>
    <t>PO4175303071</t>
  </si>
  <si>
    <t xml:space="preserve"> PO4901265430</t>
  </si>
  <si>
    <t xml:space="preserve"> PO4901265614</t>
  </si>
  <si>
    <t>PO4175303021</t>
  </si>
  <si>
    <t>PO4175548796</t>
  </si>
  <si>
    <t>PO4175530861</t>
  </si>
  <si>
    <t>PO4901266261</t>
  </si>
  <si>
    <t>PO4901266437</t>
  </si>
  <si>
    <t>PO4901266568</t>
  </si>
  <si>
    <t>PO4175611965</t>
  </si>
  <si>
    <t>PO4175607870</t>
  </si>
  <si>
    <t>PO4175606944</t>
  </si>
  <si>
    <t>PO4175614729</t>
  </si>
  <si>
    <t>PO4175614464</t>
  </si>
  <si>
    <t>PO4175614104</t>
  </si>
  <si>
    <t>PO4175612158</t>
  </si>
  <si>
    <t>PO4175613301</t>
  </si>
  <si>
    <t>PO4175614601</t>
  </si>
  <si>
    <t>PO4175612263</t>
  </si>
  <si>
    <t>PO4175614029</t>
  </si>
  <si>
    <t>PO4175612523</t>
  </si>
  <si>
    <t>PO4175613497</t>
  </si>
  <si>
    <t>PO4175614173</t>
  </si>
  <si>
    <t>PO4175614300</t>
  </si>
  <si>
    <t>PO4175613894</t>
  </si>
  <si>
    <t xml:space="preserve"> PO4175948668</t>
  </si>
  <si>
    <t>PO4175898048</t>
  </si>
  <si>
    <t>PO4901267198</t>
  </si>
  <si>
    <t>PO4175948787</t>
  </si>
  <si>
    <t>PO4175950534</t>
  </si>
  <si>
    <t>PO4175963136</t>
  </si>
  <si>
    <t>PO4175963440</t>
  </si>
  <si>
    <t>PO4176108430</t>
  </si>
  <si>
    <t>PO4901268021</t>
  </si>
  <si>
    <t>PO4901267904</t>
  </si>
  <si>
    <t>PO4176290362</t>
  </si>
  <si>
    <t>PO4176290416</t>
  </si>
  <si>
    <t>PO4176282609</t>
  </si>
  <si>
    <t>PO4176290502</t>
  </si>
  <si>
    <t>PO4176464336</t>
  </si>
  <si>
    <t>PO4901268026</t>
  </si>
  <si>
    <t>PO4901268342</t>
  </si>
  <si>
    <t xml:space="preserve"> PO4176521929</t>
  </si>
  <si>
    <t>PO4176550168</t>
  </si>
  <si>
    <t>PO4176569355</t>
  </si>
  <si>
    <t>PO4176563629</t>
  </si>
  <si>
    <t>PO4176563736</t>
  </si>
  <si>
    <t>PO4901268564</t>
  </si>
  <si>
    <t>PO4176564390</t>
  </si>
  <si>
    <t>PO4176569222</t>
  </si>
  <si>
    <t>PO4176563473</t>
  </si>
  <si>
    <t>PO4901269204</t>
  </si>
  <si>
    <t>PO4176929278</t>
  </si>
  <si>
    <t>PO4176928258</t>
  </si>
  <si>
    <t>PO4176929344</t>
  </si>
  <si>
    <t>PO4176928354</t>
  </si>
  <si>
    <t>PO4901269566</t>
  </si>
  <si>
    <t>PO4176929156</t>
  </si>
  <si>
    <t>PO4177157885</t>
  </si>
  <si>
    <t>PO4177188097</t>
  </si>
  <si>
    <t>PO4177230986</t>
  </si>
  <si>
    <t>PO4177243289</t>
  </si>
  <si>
    <t>PO4176929201</t>
  </si>
  <si>
    <t>PO4901270131</t>
  </si>
  <si>
    <t>PO4177230031</t>
  </si>
  <si>
    <t>PO4177243369</t>
  </si>
  <si>
    <t>PO4177575775</t>
  </si>
  <si>
    <t>PO4177571222</t>
  </si>
  <si>
    <t>PO4177571154</t>
  </si>
  <si>
    <t>PO4177571123</t>
  </si>
  <si>
    <t>PO4177571162</t>
  </si>
  <si>
    <t>PO4901270911</t>
  </si>
  <si>
    <t>PO4901270740</t>
  </si>
  <si>
    <t>PO4177601626</t>
  </si>
  <si>
    <t>PO4177603458</t>
  </si>
  <si>
    <t>PO4177753417</t>
  </si>
  <si>
    <t>PO4177753099</t>
  </si>
  <si>
    <t>PO4177895409</t>
  </si>
  <si>
    <t>PO4177894362</t>
  </si>
  <si>
    <t>PO4177894373</t>
  </si>
  <si>
    <t>PO4177895407</t>
  </si>
  <si>
    <t>PO4177892363</t>
  </si>
  <si>
    <t>PO4177892416</t>
  </si>
  <si>
    <t>PO4901271634</t>
  </si>
  <si>
    <t>PO4177921789</t>
  </si>
  <si>
    <t>PO4178068998</t>
  </si>
  <si>
    <t>PO4178020090</t>
  </si>
  <si>
    <t>PO4178105953</t>
  </si>
  <si>
    <t>PO4178223234</t>
  </si>
  <si>
    <t>PO4178223218</t>
  </si>
  <si>
    <t>PO4178272165</t>
  </si>
  <si>
    <t>PO4178270489</t>
  </si>
  <si>
    <t>PO4178106055</t>
  </si>
  <si>
    <t>PO4178136509</t>
  </si>
  <si>
    <t>PO4178222803</t>
  </si>
  <si>
    <t>PO4178269248</t>
  </si>
  <si>
    <t>PO4178270110</t>
  </si>
  <si>
    <t>PO4178269247</t>
  </si>
  <si>
    <t>PO4178263755</t>
  </si>
  <si>
    <t>PO4901272575</t>
  </si>
  <si>
    <t>PO4901272325</t>
  </si>
  <si>
    <t>PO4178222799</t>
  </si>
  <si>
    <t>PO4178489166</t>
  </si>
  <si>
    <t>PO4178560124</t>
  </si>
  <si>
    <t>PO4178560755</t>
  </si>
  <si>
    <t>PO4178516117</t>
  </si>
  <si>
    <t>PO4178516430</t>
  </si>
  <si>
    <t>PO4178560773</t>
  </si>
  <si>
    <t>PO4178560129</t>
  </si>
  <si>
    <t>PO4178516282</t>
  </si>
  <si>
    <t>PO4178560080</t>
  </si>
  <si>
    <t>PO4901273046</t>
  </si>
  <si>
    <t>PO4178754775</t>
  </si>
  <si>
    <t>PO4901273611</t>
  </si>
  <si>
    <t>PO4178897915</t>
  </si>
  <si>
    <t>PO4178897870</t>
  </si>
  <si>
    <t>PO4178874272</t>
  </si>
  <si>
    <t>PO4178874301</t>
  </si>
  <si>
    <t>00011296</t>
  </si>
  <si>
    <t>00225499</t>
  </si>
  <si>
    <t>00009511</t>
  </si>
  <si>
    <t>64000</t>
  </si>
  <si>
    <t>402000</t>
  </si>
  <si>
    <t>18410773</t>
  </si>
  <si>
    <t>07/05/2025</t>
  </si>
  <si>
    <t>18/05/2025</t>
  </si>
  <si>
    <t>20/05/2025</t>
  </si>
  <si>
    <t>PO_9105267656</t>
  </si>
  <si>
    <t>PO_9105316067</t>
  </si>
  <si>
    <t>00020365</t>
  </si>
  <si>
    <t>00010555</t>
  </si>
  <si>
    <t>00003360</t>
  </si>
  <si>
    <t>00011482</t>
  </si>
  <si>
    <t>00007808</t>
  </si>
  <si>
    <t>00000887</t>
  </si>
  <si>
    <t>00000694</t>
  </si>
  <si>
    <t>00001600</t>
  </si>
  <si>
    <t>780000</t>
  </si>
  <si>
    <t>19114000</t>
  </si>
  <si>
    <t>160000</t>
  </si>
  <si>
    <t>1973000</t>
  </si>
  <si>
    <t>21211946</t>
  </si>
  <si>
    <t>208000</t>
  </si>
  <si>
    <t>32000</t>
  </si>
  <si>
    <t>224000</t>
  </si>
  <si>
    <t>01/04/2025</t>
  </si>
  <si>
    <t>17/04/2025</t>
  </si>
  <si>
    <t>22/04/2025</t>
  </si>
  <si>
    <t>26/04/2025</t>
  </si>
  <si>
    <t>PO_9105099823</t>
  </si>
  <si>
    <t>PO_9104958841</t>
  </si>
  <si>
    <t>PO_9105090490</t>
  </si>
  <si>
    <t>PO_9105185135</t>
  </si>
  <si>
    <t/>
  </si>
  <si>
    <t>PO_9105229240</t>
  </si>
  <si>
    <t>PO_9105166681</t>
  </si>
  <si>
    <t>PO_9105229025</t>
  </si>
  <si>
    <t>Chi nhánh Bình Dương - Công ty Cổ phần Dịch vụ Thương mại Tổng hợp Wincommerce</t>
  </si>
  <si>
    <t>Chi nhánh Khánh Hòa - Công ty Cổ phần Dịch vụ Thương mại Tổng hợp Wincommerce</t>
  </si>
  <si>
    <t>Chi nhánh Sóc Trăng - Công ty Cổ phần Dịch vụ Thương mại Tổng hợp Wincommerce</t>
  </si>
  <si>
    <t>Chi nhánh Bạc Liêu - Công ty Cổ phần Dịch vụ Thương mại Tổng hợp Wincommerce</t>
  </si>
  <si>
    <t>Chi nhánh Cà Mau -  Công ty Cổ phần Dịch vụ Thương mại Tổng hợp Wincommerce</t>
  </si>
  <si>
    <t>00265154</t>
  </si>
  <si>
    <t>00011492</t>
  </si>
  <si>
    <t>00040705</t>
  </si>
  <si>
    <t>2484000</t>
  </si>
  <si>
    <t>55453183</t>
  </si>
  <si>
    <t>1200000</t>
  </si>
  <si>
    <t>07/06/2025</t>
  </si>
  <si>
    <t>20/06/2025</t>
  </si>
  <si>
    <t>28/06/2025</t>
  </si>
  <si>
    <t>PO_9105443697</t>
  </si>
  <si>
    <t>PO_9105565388</t>
  </si>
  <si>
    <t>06/07/2025</t>
  </si>
  <si>
    <t>07/07/2025</t>
  </si>
  <si>
    <t>21/07/2025</t>
  </si>
  <si>
    <t>22/07/2025</t>
  </si>
  <si>
    <t>00020573</t>
  </si>
  <si>
    <t>00020618</t>
  </si>
  <si>
    <t>00346725</t>
  </si>
  <si>
    <t>00347166</t>
  </si>
  <si>
    <t>00013066</t>
  </si>
  <si>
    <t>128000</t>
  </si>
  <si>
    <t>134000</t>
  </si>
  <si>
    <t>268000</t>
  </si>
  <si>
    <t>75705410</t>
  </si>
  <si>
    <t>PO_9105603237</t>
  </si>
  <si>
    <t>PO_9105605999</t>
  </si>
  <si>
    <t>PO_9105675816</t>
  </si>
  <si>
    <t>PO_9105676877</t>
  </si>
  <si>
    <t>05/08/2025</t>
  </si>
  <si>
    <t>06/08/2025</t>
  </si>
  <si>
    <t>11/08/2025</t>
  </si>
  <si>
    <t>13/08/2025</t>
  </si>
  <si>
    <t>20/08/2025</t>
  </si>
  <si>
    <t>25/08/2025</t>
  </si>
  <si>
    <t>26/08/2025</t>
  </si>
  <si>
    <t>28/08/2025</t>
  </si>
  <si>
    <t>00023438</t>
  </si>
  <si>
    <t>00379027</t>
  </si>
  <si>
    <t>00003464</t>
  </si>
  <si>
    <t>00030653</t>
  </si>
  <si>
    <t>00015565</t>
  </si>
  <si>
    <t>00008527</t>
  </si>
  <si>
    <t>00416263</t>
  </si>
  <si>
    <t>00418765</t>
  </si>
  <si>
    <t>00025634</t>
  </si>
  <si>
    <t>286000</t>
  </si>
  <si>
    <t>1290500</t>
  </si>
  <si>
    <t>58446600</t>
  </si>
  <si>
    <t>26000</t>
  </si>
  <si>
    <t>569500</t>
  </si>
  <si>
    <t>Chi nhánh Lâm Đồng - Công ty Cổ phần Dịch vụ Thương mại Tổng hợp Wincommerce</t>
  </si>
  <si>
    <t>Chi nhánh Nghệ An - Công ty Cổ phần Dịch vụ Thương mại Tổng hợp Wincommerce</t>
  </si>
  <si>
    <t>PO_9105752598</t>
  </si>
  <si>
    <t>PO_9105757469</t>
  </si>
  <si>
    <t>PO_9105752680</t>
  </si>
  <si>
    <t>PO_9105630557</t>
  </si>
  <si>
    <t>PO_9105849821</t>
  </si>
  <si>
    <t>PO_9105853761</t>
  </si>
  <si>
    <t>PO_9105852923</t>
  </si>
  <si>
    <t>PO_9105859545</t>
  </si>
  <si>
    <t>08/09/2025</t>
  </si>
  <si>
    <t>09/09/2025</t>
  </si>
  <si>
    <t>10/09/2025</t>
  </si>
  <si>
    <t>25/09/2025</t>
  </si>
  <si>
    <t>00436508</t>
  </si>
  <si>
    <t>00056871</t>
  </si>
  <si>
    <t>00016190</t>
  </si>
  <si>
    <t>00027790</t>
  </si>
  <si>
    <t>104000</t>
  </si>
  <si>
    <t>461500</t>
  </si>
  <si>
    <t>120000</t>
  </si>
  <si>
    <t>68600910</t>
  </si>
  <si>
    <t>96000</t>
  </si>
  <si>
    <t>PO_9105910864</t>
  </si>
  <si>
    <t>PO_9105913401</t>
  </si>
  <si>
    <t>PO_9105915378</t>
  </si>
  <si>
    <t>PO_9105962655</t>
  </si>
  <si>
    <t>09/10/2025</t>
  </si>
  <si>
    <t>10/10/2025</t>
  </si>
  <si>
    <t>23/10/2025</t>
  </si>
  <si>
    <t>00025998</t>
  </si>
  <si>
    <t>00018293</t>
  </si>
  <si>
    <t>00503991</t>
  </si>
  <si>
    <t>00514091</t>
  </si>
  <si>
    <t>108000</t>
  </si>
  <si>
    <t>60308365</t>
  </si>
  <si>
    <t>480000</t>
  </si>
  <si>
    <t>352000</t>
  </si>
  <si>
    <t>PO_9106043576</t>
  </si>
  <si>
    <t>PO_9106091009</t>
  </si>
  <si>
    <t>PO_9105994572</t>
  </si>
  <si>
    <t>02/11/2025</t>
  </si>
  <si>
    <t>03/11/2025</t>
  </si>
  <si>
    <t>11/11/2025</t>
  </si>
  <si>
    <t>14/11/2025</t>
  </si>
  <si>
    <t>00030896</t>
  </si>
  <si>
    <t>00020502</t>
  </si>
  <si>
    <t>00003614</t>
  </si>
  <si>
    <t>78000</t>
  </si>
  <si>
    <t>69915654</t>
  </si>
  <si>
    <t>PO_9106151363</t>
  </si>
  <si>
    <t>PO_9106155571</t>
  </si>
  <si>
    <t>PO_9106204806</t>
  </si>
  <si>
    <t>Chi nhánh Trà Vinh - Công ty Cổ phần Dịch vụ Thương mại Tổng hợp Wincommerce</t>
  </si>
  <si>
    <t>HĐ SD/xóa bỏ</t>
  </si>
  <si>
    <t>Hàng xuất trả- WM Hoàng Cầu</t>
  </si>
  <si>
    <t>592268</t>
  </si>
  <si>
    <t>Hàng xuất trả- WM Sóc Trăng</t>
  </si>
  <si>
    <t>3272</t>
  </si>
  <si>
    <t>Hàng xuất trả- WM Hà Đông</t>
  </si>
  <si>
    <t>589739</t>
  </si>
  <si>
    <t>Chiết khấu</t>
  </si>
  <si>
    <t>22864</t>
  </si>
  <si>
    <t>701.Thưởng doanh số không điều kiện 2%-2025</t>
  </si>
  <si>
    <t>601.Thưởng doanh số có điều kiện 1-1,5%-2025</t>
  </si>
  <si>
    <t>Hàng xuất trả- WM Long Xuyên</t>
  </si>
  <si>
    <t>13258</t>
  </si>
  <si>
    <t>ĐÃ HỦY</t>
  </si>
  <si>
    <t>Hàng xuất trả- WM Trương Định</t>
  </si>
  <si>
    <t>608640</t>
  </si>
  <si>
    <t>hủy</t>
  </si>
  <si>
    <t>Chi nhánh Bắc Kạn - Công ty Cổ phần Dịch vụ Thương mại Tổng hợp Wincommerce</t>
  </si>
  <si>
    <t>Chi nhánh Phú Yên - Công ty Cổ phần Dịch vụ Thương mại Tổng hợp Wincommerce</t>
  </si>
  <si>
    <t>4183282854- PO bị thay thế</t>
  </si>
  <si>
    <t>4551</t>
  </si>
  <si>
    <t>WM HNI Lương Yên</t>
  </si>
  <si>
    <t>702</t>
  </si>
  <si>
    <t> WM VC+ DTP Sa Đéc</t>
  </si>
  <si>
    <t>90</t>
  </si>
  <si>
    <t>Chính sách chiết khấu</t>
  </si>
  <si>
    <t>2863</t>
  </si>
  <si>
    <t>WM HCM Novia Thủ Đức</t>
  </si>
  <si>
    <t>6152</t>
  </si>
  <si>
    <t>6141</t>
  </si>
  <si>
    <t>1627 - WM VC+ NAN Nam Đàn</t>
  </si>
  <si>
    <t>3671</t>
  </si>
  <si>
    <t>WM VCC HNI Nguyễn Chí Thanh</t>
  </si>
  <si>
    <t>2491</t>
  </si>
  <si>
    <t>- WM LDG Đức Trọng</t>
  </si>
  <si>
    <t>6665</t>
  </si>
  <si>
    <t>1050</t>
  </si>
  <si>
    <t> WM VCP TVH Trà Vinh</t>
  </si>
  <si>
    <t>3855</t>
  </si>
  <si>
    <t> WM VCP HPG Hải Phòng</t>
  </si>
  <si>
    <t>5199</t>
  </si>
  <si>
    <t>6923</t>
  </si>
  <si>
    <t> WM VCP KTM Kontum</t>
  </si>
  <si>
    <t>7113</t>
  </si>
  <si>
    <t>2637</t>
  </si>
  <si>
    <t>5536</t>
  </si>
  <si>
    <t>đc giảm HĐ 5043= 0</t>
  </si>
  <si>
    <t>4052</t>
  </si>
  <si>
    <t>3 - WM HCM Trung Sơn</t>
  </si>
  <si>
    <t>7261</t>
  </si>
  <si>
    <t> WM BDG Mỹ Phước 1</t>
  </si>
  <si>
    <t>7221</t>
  </si>
  <si>
    <t> WM HNI Lê Văn Thiêm</t>
  </si>
  <si>
    <t>2726</t>
  </si>
  <si>
    <t> WM HCM Bình Trưng</t>
  </si>
  <si>
    <t>7451</t>
  </si>
  <si>
    <t>WM VCP QBH Quảng Bình</t>
  </si>
  <si>
    <t>5823</t>
  </si>
  <si>
    <t>Chiết khấu theo HĐ</t>
  </si>
  <si>
    <t>4813</t>
  </si>
  <si>
    <t>7915</t>
  </si>
  <si>
    <t>3845</t>
  </si>
  <si>
    <t>WM HNI Trung Hòa</t>
  </si>
  <si>
    <t>3030</t>
  </si>
  <si>
    <t>WM VC+ NAN Nam Đàn</t>
  </si>
  <si>
    <t>6047</t>
  </si>
  <si>
    <t> WM VCP KHA Trần Phú</t>
  </si>
  <si>
    <t>8187</t>
  </si>
  <si>
    <t> WM VCP HCM Lê Văn Việt</t>
  </si>
  <si>
    <t>8002</t>
  </si>
  <si>
    <t>Ngập ngày 9/3</t>
  </si>
  <si>
    <t>1551 - WM VCP HCM Phan Văn Trị</t>
  </si>
  <si>
    <t>8303</t>
  </si>
  <si>
    <t>4881</t>
  </si>
  <si>
    <t>1705 - WM VTU Gateway Vũng Tàu</t>
  </si>
  <si>
    <t>8554</t>
  </si>
  <si>
    <t>1602 - WM VCP HUG Vị Thanh</t>
  </si>
  <si>
    <t>4900</t>
  </si>
  <si>
    <t>1591 - WM VC+ DNI Long Thành</t>
  </si>
  <si>
    <t>8761</t>
  </si>
  <si>
    <t>1511 - WM VCP HCM Ba Tháng Hai</t>
  </si>
  <si>
    <t>8762</t>
  </si>
  <si>
    <t>8770</t>
  </si>
  <si>
    <t>6564</t>
  </si>
  <si>
    <t>1592 - WM VC+ HDG Chí Linh</t>
  </si>
  <si>
    <t>6501</t>
  </si>
  <si>
    <t>3388</t>
  </si>
  <si>
    <t>3585</t>
  </si>
  <si>
    <t>4546</t>
  </si>
  <si>
    <t>4563</t>
  </si>
  <si>
    <t>5064</t>
  </si>
  <si>
    <t>8986</t>
  </si>
  <si>
    <t>8987</t>
  </si>
  <si>
    <t>9382</t>
  </si>
  <si>
    <t>9386</t>
  </si>
  <si>
    <t>9392</t>
  </si>
  <si>
    <t>9604</t>
  </si>
  <si>
    <t>16628</t>
  </si>
  <si>
    <t>1650 - WM HNI Trúc Khê</t>
  </si>
  <si>
    <t>1644 - WM HNI Yên Sở</t>
  </si>
  <si>
    <t>1673 - WM HNI Thụy Khuê</t>
  </si>
  <si>
    <t>1631 - WM VC+ HCM Phổ Quang</t>
  </si>
  <si>
    <t>1596 - WM VCP HCM Sài Gòn Res</t>
  </si>
  <si>
    <t>1607 - WM VCP PYN Tuy Hòa</t>
  </si>
  <si>
    <t>1615 - WM VCP TNH Tây Ninh</t>
  </si>
  <si>
    <t>3835 - WIN DNG 234 Lê Văn Hiến</t>
  </si>
  <si>
    <t>9707</t>
  </si>
  <si>
    <t>4766</t>
  </si>
  <si>
    <t>1664 - WM HNI La Thành</t>
  </si>
  <si>
    <t>3722</t>
  </si>
  <si>
    <t>10463</t>
  </si>
  <si>
    <t>1685 - WM HCM Diamond</t>
  </si>
  <si>
    <t>10800</t>
  </si>
  <si>
    <t>1519 - WM CTO Ninh Kiều</t>
  </si>
  <si>
    <t>6012</t>
  </si>
  <si>
    <t>WM Nan Vinh- Bến Thủy</t>
  </si>
  <si>
    <t>8317</t>
  </si>
  <si>
    <t>WM QNH Hạ Long</t>
  </si>
  <si>
    <t>8328</t>
  </si>
  <si>
    <t>8431</t>
  </si>
  <si>
    <t>11353</t>
  </si>
  <si>
    <t>12035</t>
  </si>
  <si>
    <t>WM Lê Văn Lộc</t>
  </si>
  <si>
    <t>12522</t>
  </si>
  <si>
    <t>WM Lê Văn Hiến</t>
  </si>
  <si>
    <t>19947</t>
  </si>
  <si>
    <t>WM Ngũ Hành Sơn</t>
  </si>
  <si>
    <t>20784</t>
  </si>
  <si>
    <t>39657</t>
  </si>
  <si>
    <t>1610 - WM VCP TNN Thái Nguyên</t>
  </si>
  <si>
    <t>Các khoản chiết khấu</t>
  </si>
  <si>
    <t>379</t>
  </si>
  <si>
    <t>QUÁ HẠN</t>
  </si>
  <si>
    <t>547956</t>
  </si>
  <si>
    <t>00073133</t>
  </si>
  <si>
    <t>00190418</t>
  </si>
  <si>
    <t>ghi nhận</t>
  </si>
  <si>
    <t>4035</t>
  </si>
  <si>
    <t>6425</t>
  </si>
  <si>
    <t>4286</t>
  </si>
  <si>
    <t>4358</t>
  </si>
  <si>
    <t>4400</t>
  </si>
  <si>
    <t>560</t>
  </si>
  <si>
    <t>WM Hoàng Hoa Thám</t>
  </si>
  <si>
    <t>22766</t>
  </si>
  <si>
    <t>21601</t>
  </si>
  <si>
    <t>WM Ambient Nghệ An</t>
  </si>
  <si>
    <t>10229</t>
  </si>
  <si>
    <t>WM ambient Cần Thơ</t>
  </si>
  <si>
    <t>7485</t>
  </si>
  <si>
    <t>6824</t>
  </si>
  <si>
    <t>6461</t>
  </si>
  <si>
    <t>WM Ambent Hải Phòng</t>
  </si>
  <si>
    <t>10594</t>
  </si>
  <si>
    <t>WM Ambient Bình Dương</t>
  </si>
  <si>
    <t>14493</t>
  </si>
  <si>
    <t>14885</t>
  </si>
  <si>
    <t>2AI5 - WIN HCM GF-03 &amp; GF-05, CC Stown</t>
  </si>
  <si>
    <t>48625</t>
  </si>
  <si>
    <t>HỦY PO</t>
  </si>
  <si>
    <t>CHƯA GIAO HÀNG</t>
  </si>
  <si>
    <t>6884</t>
  </si>
  <si>
    <t>614</t>
  </si>
  <si>
    <t>WM 45 Nguyễn Chích</t>
  </si>
  <si>
    <t>2513</t>
  </si>
  <si>
    <t>6205</t>
  </si>
  <si>
    <t>828</t>
  </si>
  <si>
    <t>6477</t>
  </si>
  <si>
    <t>6939</t>
  </si>
  <si>
    <t>17131</t>
  </si>
  <si>
    <t>5305</t>
  </si>
  <si>
    <t>2048 - WM+ DNG 134 Ba Tháng Hai</t>
  </si>
  <si>
    <t>29537</t>
  </si>
  <si>
    <t>1394 - WMT_AMBIENT_ITL TIEN SON_FT</t>
  </si>
  <si>
    <t>7473</t>
  </si>
  <si>
    <t>6897 - WM+ VTU 2B Lương Thế Vinh</t>
  </si>
  <si>
    <t>2BFD - WM+ THA Đường 217, Xã Tây Đô</t>
  </si>
  <si>
    <t>13474</t>
  </si>
  <si>
    <t>17956</t>
  </si>
  <si>
    <t>1546</t>
  </si>
  <si>
    <t>8975</t>
  </si>
  <si>
    <t>529 - WM VCP DLK Buôn Mê Thuột</t>
  </si>
  <si>
    <t>1316</t>
  </si>
  <si>
    <t>1724</t>
  </si>
  <si>
    <t>1672 - WM HNI Nguyễn Văn Cừ II</t>
  </si>
  <si>
    <t>8105</t>
  </si>
  <si>
    <t>2BKM - WIN HCM TM-VP4-04 Lavida Residences</t>
  </si>
  <si>
    <t>61076</t>
  </si>
  <si>
    <t>3577 - WIN DNG 180 Phạm Cự Lượng</t>
  </si>
  <si>
    <t>31300</t>
  </si>
  <si>
    <t>31298</t>
  </si>
  <si>
    <t>74673</t>
  </si>
  <si>
    <t>11325</t>
  </si>
  <si>
    <t>1623 - WM VCP QNI Quảng Ngãi</t>
  </si>
  <si>
    <t>6831</t>
  </si>
  <si>
    <t>1590 - WM VCP HNI Bắc Từ Liêm</t>
  </si>
  <si>
    <t>12957</t>
  </si>
  <si>
    <t>1611 - WM VCP LSN Lạng Sơn</t>
  </si>
  <si>
    <t>977</t>
  </si>
  <si>
    <t>9494</t>
  </si>
  <si>
    <t>825</t>
  </si>
  <si>
    <t>5428</t>
  </si>
  <si>
    <t>1569 - WM HNI Đan Phượng</t>
  </si>
  <si>
    <t>184757</t>
  </si>
  <si>
    <t>4707 - WM+ BGG 273 Nguyễn Văn Cừ</t>
  </si>
  <si>
    <t>3735</t>
  </si>
  <si>
    <t>363072</t>
  </si>
  <si>
    <t>15427</t>
  </si>
  <si>
    <t>14585</t>
  </si>
  <si>
    <t>2026 - WM+ HCM Hoàng Anh River View</t>
  </si>
  <si>
    <t>31954</t>
  </si>
  <si>
    <t>92757</t>
  </si>
  <si>
    <t>13370</t>
  </si>
  <si>
    <t>1859</t>
  </si>
  <si>
    <t>16093</t>
  </si>
  <si>
    <t>1258</t>
  </si>
  <si>
    <t>15045</t>
  </si>
  <si>
    <t>15875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</si>
</sst>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"/>
    <numFmt numFmtId="165" formatCode="_-* #,##0\ _₫_-;\-* #,##0\ _₫_-;_-* &quot;-&quot;??\ _₫_-;_-@"/>
    <numFmt numFmtId="166" formatCode="d/m"/>
    <numFmt numFmtId="167" formatCode="_(* #,##0_);_(* \(#,##0\);_(* &quot;-&quot;??_);_(@_)"/>
  </numFmts>
  <fonts count="4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rial"/>
      <family val="2"/>
    </font>
    <font>
      <b/>
      <sz val="18"/>
      <color rgb="FF000000"/>
      <name val="Cambria"/>
      <family val="1"/>
    </font>
    <font>
      <b/>
      <i/>
      <sz val="12"/>
      <color rgb="FF000000"/>
      <name val="Cambria"/>
      <family val="1"/>
    </font>
    <font>
      <sz val="11"/>
      <color rgb="FF000000"/>
      <name val="Cambria"/>
      <family val="1"/>
    </font>
    <font>
      <u/>
      <sz val="11"/>
      <color rgb="FF0563C1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Cambria"/>
      <family val="1"/>
    </font>
    <font>
      <sz val="12"/>
      <name val="Arial"/>
      <family val="2"/>
    </font>
    <font>
      <b/>
      <i/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name val="Cambria"/>
      <family val="1"/>
    </font>
    <font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mbria"/>
      <family val="1"/>
    </font>
    <font>
      <sz val="11"/>
      <color rgb="FFFF0000"/>
      <name val="Calibri"/>
      <family val="2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Cambria"/>
      <family val="1"/>
    </font>
    <font>
      <b/>
      <sz val="11"/>
      <color rgb="FFFF0000"/>
      <name val="Calibri"/>
      <family val="2"/>
    </font>
    <font>
      <sz val="11"/>
      <color rgb="FF7030A0"/>
      <name val="Cambria"/>
      <family val="1"/>
    </font>
    <font>
      <sz val="11"/>
      <color rgb="FF00B050"/>
      <name val="Cambria"/>
      <family val="1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3"/>
      <color rgb="FFFF0000"/>
      <name val="Calibri"/>
      <family val="2"/>
    </font>
    <font>
      <b/>
      <sz val="14"/>
      <color rgb="FFFF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43" fontId="32" fillId="0" borderId="0" applyFont="0" applyFill="0" applyBorder="0" applyAlignment="0" applyProtection="0"/>
    <xf numFmtId="43" fontId="39" fillId="0" borderId="0" applyFont="0" applyFill="0" applyBorder="0" applyAlignment="0" applyProtection="0"/>
  </cellStyleXfs>
  <cellXfs count="211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/>
    <xf numFmtId="0" fontId="1" fillId="0" borderId="0" xfId="1"/>
    <xf numFmtId="0" fontId="1" fillId="2" borderId="0" xfId="1" applyFill="1"/>
    <xf numFmtId="14" fontId="1" fillId="2" borderId="0" xfId="1" applyNumberFormat="1" applyFill="1"/>
    <xf numFmtId="14" fontId="1" fillId="0" borderId="0" xfId="1" applyNumberFormat="1"/>
    <xf numFmtId="0" fontId="3" fillId="0" borderId="0" xfId="1" applyFont="1" applyAlignment="1">
      <alignment horizontal="center"/>
    </xf>
    <xf numFmtId="0" fontId="4" fillId="3" borderId="1" xfId="1" applyFont="1" applyFill="1" applyBorder="1" applyAlignment="1">
      <alignment horizontal="center"/>
    </xf>
    <xf numFmtId="2" fontId="1" fillId="0" borderId="0" xfId="1" applyNumberFormat="1"/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1" fillId="0" borderId="0" xfId="1" quotePrefix="1"/>
    <xf numFmtId="0" fontId="8" fillId="3" borderId="5" xfId="1" applyFont="1" applyFill="1" applyBorder="1" applyAlignment="1">
      <alignment horizontal="center"/>
    </xf>
    <xf numFmtId="0" fontId="11" fillId="4" borderId="11" xfId="1" applyFont="1" applyFill="1" applyBorder="1" applyAlignment="1">
      <alignment horizontal="center" vertical="center"/>
    </xf>
    <xf numFmtId="0" fontId="11" fillId="4" borderId="12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/>
    </xf>
    <xf numFmtId="0" fontId="4" fillId="3" borderId="2" xfId="1" applyFont="1" applyFill="1" applyBorder="1"/>
    <xf numFmtId="3" fontId="9" fillId="4" borderId="13" xfId="1" applyNumberFormat="1" applyFont="1" applyFill="1" applyBorder="1" applyAlignment="1">
      <alignment horizontal="center" vertical="center"/>
    </xf>
    <xf numFmtId="3" fontId="9" fillId="2" borderId="13" xfId="1" applyNumberFormat="1" applyFont="1" applyFill="1" applyBorder="1" applyAlignment="1">
      <alignment horizontal="center" vertical="center"/>
    </xf>
    <xf numFmtId="164" fontId="9" fillId="2" borderId="1" xfId="1" applyNumberFormat="1" applyFont="1" applyFill="1" applyBorder="1" applyAlignment="1">
      <alignment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0" xfId="1" applyFont="1" applyFill="1" applyAlignment="1">
      <alignment horizontal="center" vertical="center"/>
    </xf>
    <xf numFmtId="165" fontId="12" fillId="0" borderId="0" xfId="1" applyNumberFormat="1" applyFont="1"/>
    <xf numFmtId="0" fontId="3" fillId="0" borderId="0" xfId="1" quotePrefix="1" applyFont="1"/>
    <xf numFmtId="3" fontId="9" fillId="4" borderId="3" xfId="1" applyNumberFormat="1" applyFont="1" applyFill="1" applyBorder="1" applyAlignment="1">
      <alignment horizontal="center" vertical="center"/>
    </xf>
    <xf numFmtId="14" fontId="9" fillId="4" borderId="3" xfId="1" applyNumberFormat="1" applyFont="1" applyFill="1" applyBorder="1" applyAlignment="1">
      <alignment horizontal="center" vertical="center"/>
    </xf>
    <xf numFmtId="3" fontId="11" fillId="4" borderId="15" xfId="1" applyNumberFormat="1" applyFont="1" applyFill="1" applyBorder="1" applyAlignment="1">
      <alignment horizontal="center" vertical="center"/>
    </xf>
    <xf numFmtId="0" fontId="13" fillId="5" borderId="16" xfId="1" applyFont="1" applyFill="1" applyBorder="1"/>
    <xf numFmtId="0" fontId="3" fillId="0" borderId="16" xfId="1" applyFont="1" applyBorder="1"/>
    <xf numFmtId="3" fontId="14" fillId="5" borderId="17" xfId="1" applyNumberFormat="1" applyFont="1" applyFill="1" applyBorder="1" applyAlignment="1">
      <alignment horizontal="right"/>
    </xf>
    <xf numFmtId="3" fontId="15" fillId="5" borderId="18" xfId="1" applyNumberFormat="1" applyFont="1" applyFill="1" applyBorder="1" applyAlignment="1">
      <alignment horizontal="right"/>
    </xf>
    <xf numFmtId="3" fontId="16" fillId="2" borderId="18" xfId="1" applyNumberFormat="1" applyFont="1" applyFill="1" applyBorder="1" applyAlignment="1">
      <alignment horizontal="right"/>
    </xf>
    <xf numFmtId="3" fontId="15" fillId="2" borderId="18" xfId="1" applyNumberFormat="1" applyFont="1" applyFill="1" applyBorder="1"/>
    <xf numFmtId="164" fontId="16" fillId="2" borderId="18" xfId="1" applyNumberFormat="1" applyFont="1" applyFill="1" applyBorder="1" applyAlignment="1">
      <alignment horizontal="center"/>
    </xf>
    <xf numFmtId="14" fontId="16" fillId="2" borderId="18" xfId="1" applyNumberFormat="1" applyFont="1" applyFill="1" applyBorder="1" applyAlignment="1">
      <alignment horizontal="center"/>
    </xf>
    <xf numFmtId="14" fontId="15" fillId="5" borderId="18" xfId="1" applyNumberFormat="1" applyFont="1" applyFill="1" applyBorder="1" applyAlignment="1">
      <alignment horizontal="center"/>
    </xf>
    <xf numFmtId="0" fontId="7" fillId="0" borderId="19" xfId="1" applyFont="1" applyBorder="1"/>
    <xf numFmtId="0" fontId="7" fillId="0" borderId="0" xfId="1" applyFont="1"/>
    <xf numFmtId="0" fontId="17" fillId="0" borderId="20" xfId="1" applyFont="1" applyBorder="1" applyAlignment="1">
      <alignment horizontal="left"/>
    </xf>
    <xf numFmtId="0" fontId="18" fillId="0" borderId="21" xfId="1" applyFont="1" applyBorder="1" applyAlignment="1">
      <alignment horizontal="center" wrapText="1"/>
    </xf>
    <xf numFmtId="1" fontId="18" fillId="0" borderId="21" xfId="1" applyNumberFormat="1" applyFont="1" applyBorder="1" applyAlignment="1">
      <alignment horizontal="center" wrapText="1"/>
    </xf>
    <xf numFmtId="14" fontId="18" fillId="0" borderId="22" xfId="1" applyNumberFormat="1" applyFont="1" applyBorder="1" applyAlignment="1">
      <alignment horizontal="center" wrapText="1"/>
    </xf>
    <xf numFmtId="3" fontId="19" fillId="0" borderId="23" xfId="1" applyNumberFormat="1" applyFont="1" applyBorder="1"/>
    <xf numFmtId="3" fontId="15" fillId="0" borderId="23" xfId="1" applyNumberFormat="1" applyFont="1" applyBorder="1"/>
    <xf numFmtId="3" fontId="15" fillId="6" borderId="22" xfId="1" applyNumberFormat="1" applyFont="1" applyFill="1" applyBorder="1" applyAlignment="1">
      <alignment horizontal="right"/>
    </xf>
    <xf numFmtId="3" fontId="19" fillId="6" borderId="23" xfId="1" applyNumberFormat="1" applyFont="1" applyFill="1" applyBorder="1"/>
    <xf numFmtId="164" fontId="15" fillId="6" borderId="23" xfId="1" applyNumberFormat="1" applyFont="1" applyFill="1" applyBorder="1"/>
    <xf numFmtId="14" fontId="15" fillId="6" borderId="23" xfId="1" applyNumberFormat="1" applyFont="1" applyFill="1" applyBorder="1"/>
    <xf numFmtId="14" fontId="19" fillId="0" borderId="23" xfId="1" applyNumberFormat="1" applyFont="1" applyBorder="1" applyAlignment="1">
      <alignment horizontal="center"/>
    </xf>
    <xf numFmtId="0" fontId="20" fillId="0" borderId="24" xfId="1" applyFont="1" applyBorder="1" applyAlignment="1">
      <alignment horizontal="center"/>
    </xf>
    <xf numFmtId="0" fontId="20" fillId="0" borderId="0" xfId="1" applyFont="1" applyAlignment="1">
      <alignment horizontal="center"/>
    </xf>
    <xf numFmtId="166" fontId="3" fillId="0" borderId="0" xfId="1" applyNumberFormat="1" applyFont="1"/>
    <xf numFmtId="2" fontId="3" fillId="0" borderId="0" xfId="1" applyNumberFormat="1" applyFont="1"/>
    <xf numFmtId="3" fontId="21" fillId="6" borderId="22" xfId="1" applyNumberFormat="1" applyFont="1" applyFill="1" applyBorder="1" applyAlignment="1">
      <alignment horizontal="right"/>
    </xf>
    <xf numFmtId="0" fontId="17" fillId="7" borderId="20" xfId="1" applyFont="1" applyFill="1" applyBorder="1" applyAlignment="1">
      <alignment horizontal="left"/>
    </xf>
    <xf numFmtId="0" fontId="18" fillId="7" borderId="21" xfId="1" applyFont="1" applyFill="1" applyBorder="1" applyAlignment="1">
      <alignment horizontal="center" wrapText="1"/>
    </xf>
    <xf numFmtId="1" fontId="18" fillId="7" borderId="21" xfId="1" applyNumberFormat="1" applyFont="1" applyFill="1" applyBorder="1" applyAlignment="1">
      <alignment horizontal="center" wrapText="1"/>
    </xf>
    <xf numFmtId="14" fontId="18" fillId="7" borderId="22" xfId="1" applyNumberFormat="1" applyFont="1" applyFill="1" applyBorder="1" applyAlignment="1">
      <alignment horizontal="center" wrapText="1"/>
    </xf>
    <xf numFmtId="3" fontId="19" fillId="7" borderId="23" xfId="1" applyNumberFormat="1" applyFont="1" applyFill="1" applyBorder="1"/>
    <xf numFmtId="3" fontId="15" fillId="7" borderId="23" xfId="1" applyNumberFormat="1" applyFont="1" applyFill="1" applyBorder="1"/>
    <xf numFmtId="3" fontId="15" fillId="7" borderId="22" xfId="1" applyNumberFormat="1" applyFont="1" applyFill="1" applyBorder="1" applyAlignment="1">
      <alignment horizontal="right"/>
    </xf>
    <xf numFmtId="164" fontId="15" fillId="7" borderId="23" xfId="1" applyNumberFormat="1" applyFont="1" applyFill="1" applyBorder="1"/>
    <xf numFmtId="14" fontId="15" fillId="7" borderId="23" xfId="1" applyNumberFormat="1" applyFont="1" applyFill="1" applyBorder="1"/>
    <xf numFmtId="14" fontId="19" fillId="7" borderId="23" xfId="1" applyNumberFormat="1" applyFont="1" applyFill="1" applyBorder="1" applyAlignment="1">
      <alignment horizontal="center"/>
    </xf>
    <xf numFmtId="0" fontId="20" fillId="7" borderId="24" xfId="1" applyFont="1" applyFill="1" applyBorder="1" applyAlignment="1">
      <alignment horizontal="center"/>
    </xf>
    <xf numFmtId="0" fontId="20" fillId="7" borderId="0" xfId="1" applyFont="1" applyFill="1" applyAlignment="1">
      <alignment horizontal="center"/>
    </xf>
    <xf numFmtId="166" fontId="3" fillId="7" borderId="0" xfId="1" applyNumberFormat="1" applyFont="1" applyFill="1"/>
    <xf numFmtId="0" fontId="3" fillId="7" borderId="0" xfId="1" applyFont="1" applyFill="1"/>
    <xf numFmtId="2" fontId="3" fillId="7" borderId="0" xfId="1" applyNumberFormat="1" applyFont="1" applyFill="1"/>
    <xf numFmtId="0" fontId="22" fillId="0" borderId="20" xfId="1" applyFont="1" applyBorder="1" applyAlignment="1">
      <alignment horizontal="left"/>
    </xf>
    <xf numFmtId="0" fontId="23" fillId="0" borderId="21" xfId="1" applyFont="1" applyBorder="1" applyAlignment="1">
      <alignment horizontal="center" wrapText="1"/>
    </xf>
    <xf numFmtId="1" fontId="23" fillId="0" borderId="21" xfId="1" applyNumberFormat="1" applyFont="1" applyBorder="1" applyAlignment="1">
      <alignment horizontal="center" wrapText="1"/>
    </xf>
    <xf numFmtId="14" fontId="23" fillId="0" borderId="22" xfId="1" applyNumberFormat="1" applyFont="1" applyBorder="1" applyAlignment="1">
      <alignment horizontal="center" wrapText="1"/>
    </xf>
    <xf numFmtId="3" fontId="21" fillId="0" borderId="23" xfId="1" applyNumberFormat="1" applyFont="1" applyBorder="1"/>
    <xf numFmtId="3" fontId="21" fillId="6" borderId="23" xfId="1" applyNumberFormat="1" applyFont="1" applyFill="1" applyBorder="1"/>
    <xf numFmtId="164" fontId="21" fillId="6" borderId="23" xfId="1" applyNumberFormat="1" applyFont="1" applyFill="1" applyBorder="1"/>
    <xf numFmtId="14" fontId="21" fillId="6" borderId="23" xfId="1" applyNumberFormat="1" applyFont="1" applyFill="1" applyBorder="1"/>
    <xf numFmtId="14" fontId="21" fillId="0" borderId="23" xfId="1" applyNumberFormat="1" applyFont="1" applyBorder="1" applyAlignment="1">
      <alignment horizontal="center"/>
    </xf>
    <xf numFmtId="0" fontId="24" fillId="0" borderId="24" xfId="1" applyFont="1" applyBorder="1" applyAlignment="1">
      <alignment horizontal="center"/>
    </xf>
    <xf numFmtId="0" fontId="24" fillId="0" borderId="0" xfId="1" applyFont="1" applyAlignment="1">
      <alignment horizontal="center"/>
    </xf>
    <xf numFmtId="166" fontId="25" fillId="0" borderId="0" xfId="1" applyNumberFormat="1" applyFont="1"/>
    <xf numFmtId="0" fontId="25" fillId="0" borderId="0" xfId="1" applyFont="1"/>
    <xf numFmtId="2" fontId="25" fillId="0" borderId="0" xfId="1" applyNumberFormat="1" applyFont="1"/>
    <xf numFmtId="3" fontId="15" fillId="6" borderId="23" xfId="1" applyNumberFormat="1" applyFont="1" applyFill="1" applyBorder="1" applyAlignment="1">
      <alignment horizontal="right"/>
    </xf>
    <xf numFmtId="0" fontId="17" fillId="0" borderId="25" xfId="1" applyFont="1" applyBorder="1" applyAlignment="1">
      <alignment horizontal="left"/>
    </xf>
    <xf numFmtId="0" fontId="18" fillId="0" borderId="26" xfId="1" applyFont="1" applyBorder="1" applyAlignment="1">
      <alignment horizontal="center" wrapText="1"/>
    </xf>
    <xf numFmtId="1" fontId="18" fillId="0" borderId="26" xfId="1" applyNumberFormat="1" applyFont="1" applyBorder="1" applyAlignment="1">
      <alignment horizontal="center" wrapText="1"/>
    </xf>
    <xf numFmtId="14" fontId="18" fillId="0" borderId="23" xfId="1" applyNumberFormat="1" applyFont="1" applyBorder="1" applyAlignment="1">
      <alignment horizontal="center" wrapText="1"/>
    </xf>
    <xf numFmtId="3" fontId="19" fillId="6" borderId="22" xfId="1" applyNumberFormat="1" applyFont="1" applyFill="1" applyBorder="1"/>
    <xf numFmtId="16" fontId="18" fillId="0" borderId="26" xfId="1" applyNumberFormat="1" applyFont="1" applyBorder="1" applyAlignment="1">
      <alignment horizontal="center" wrapText="1"/>
    </xf>
    <xf numFmtId="0" fontId="22" fillId="0" borderId="25" xfId="1" applyFont="1" applyBorder="1" applyAlignment="1">
      <alignment horizontal="left"/>
    </xf>
    <xf numFmtId="0" fontId="23" fillId="0" borderId="26" xfId="1" applyFont="1" applyBorder="1" applyAlignment="1">
      <alignment horizontal="center" wrapText="1"/>
    </xf>
    <xf numFmtId="1" fontId="23" fillId="0" borderId="26" xfId="1" applyNumberFormat="1" applyFont="1" applyBorder="1" applyAlignment="1">
      <alignment horizontal="center" wrapText="1"/>
    </xf>
    <xf numFmtId="14" fontId="23" fillId="0" borderId="23" xfId="1" applyNumberFormat="1" applyFont="1" applyBorder="1" applyAlignment="1">
      <alignment horizontal="center" wrapText="1"/>
    </xf>
    <xf numFmtId="3" fontId="21" fillId="7" borderId="22" xfId="1" applyNumberFormat="1" applyFont="1" applyFill="1" applyBorder="1" applyAlignment="1">
      <alignment horizontal="right"/>
    </xf>
    <xf numFmtId="3" fontId="21" fillId="7" borderId="23" xfId="1" applyNumberFormat="1" applyFont="1" applyFill="1" applyBorder="1"/>
    <xf numFmtId="14" fontId="15" fillId="0" borderId="23" xfId="1" applyNumberFormat="1" applyFont="1" applyBorder="1"/>
    <xf numFmtId="14" fontId="21" fillId="0" borderId="23" xfId="1" applyNumberFormat="1" applyFont="1" applyBorder="1"/>
    <xf numFmtId="1" fontId="3" fillId="0" borderId="0" xfId="1" applyNumberFormat="1" applyFont="1"/>
    <xf numFmtId="0" fontId="22" fillId="7" borderId="25" xfId="1" applyFont="1" applyFill="1" applyBorder="1" applyAlignment="1">
      <alignment horizontal="left"/>
    </xf>
    <xf numFmtId="0" fontId="26" fillId="7" borderId="26" xfId="1" applyFont="1" applyFill="1" applyBorder="1" applyAlignment="1">
      <alignment horizontal="center" wrapText="1"/>
    </xf>
    <xf numFmtId="1" fontId="26" fillId="7" borderId="26" xfId="1" applyNumberFormat="1" applyFont="1" applyFill="1" applyBorder="1" applyAlignment="1">
      <alignment horizontal="center" wrapText="1"/>
    </xf>
    <xf numFmtId="14" fontId="26" fillId="7" borderId="23" xfId="1" applyNumberFormat="1" applyFont="1" applyFill="1" applyBorder="1" applyAlignment="1">
      <alignment horizontal="center" wrapText="1"/>
    </xf>
    <xf numFmtId="3" fontId="27" fillId="7" borderId="23" xfId="1" applyNumberFormat="1" applyFont="1" applyFill="1" applyBorder="1"/>
    <xf numFmtId="3" fontId="27" fillId="7" borderId="22" xfId="1" applyNumberFormat="1" applyFont="1" applyFill="1" applyBorder="1" applyAlignment="1">
      <alignment horizontal="right"/>
    </xf>
    <xf numFmtId="164" fontId="27" fillId="7" borderId="23" xfId="1" applyNumberFormat="1" applyFont="1" applyFill="1" applyBorder="1"/>
    <xf numFmtId="14" fontId="27" fillId="7" borderId="23" xfId="1" applyNumberFormat="1" applyFont="1" applyFill="1" applyBorder="1"/>
    <xf numFmtId="14" fontId="27" fillId="7" borderId="23" xfId="1" applyNumberFormat="1" applyFont="1" applyFill="1" applyBorder="1" applyAlignment="1">
      <alignment horizontal="center"/>
    </xf>
    <xf numFmtId="0" fontId="28" fillId="7" borderId="24" xfId="1" applyFont="1" applyFill="1" applyBorder="1" applyAlignment="1">
      <alignment horizontal="center"/>
    </xf>
    <xf numFmtId="0" fontId="28" fillId="7" borderId="0" xfId="1" applyFont="1" applyFill="1" applyAlignment="1">
      <alignment horizontal="center"/>
    </xf>
    <xf numFmtId="166" fontId="29" fillId="7" borderId="0" xfId="1" applyNumberFormat="1" applyFont="1" applyFill="1"/>
    <xf numFmtId="0" fontId="29" fillId="7" borderId="0" xfId="1" applyFont="1" applyFill="1"/>
    <xf numFmtId="2" fontId="29" fillId="7" borderId="0" xfId="1" applyNumberFormat="1" applyFont="1" applyFill="1"/>
    <xf numFmtId="0" fontId="17" fillId="7" borderId="25" xfId="1" applyFont="1" applyFill="1" applyBorder="1" applyAlignment="1">
      <alignment horizontal="left"/>
    </xf>
    <xf numFmtId="0" fontId="18" fillId="7" borderId="26" xfId="1" applyFont="1" applyFill="1" applyBorder="1" applyAlignment="1">
      <alignment horizontal="center" wrapText="1"/>
    </xf>
    <xf numFmtId="1" fontId="18" fillId="7" borderId="26" xfId="1" applyNumberFormat="1" applyFont="1" applyFill="1" applyBorder="1" applyAlignment="1">
      <alignment horizontal="center" wrapText="1"/>
    </xf>
    <xf numFmtId="14" fontId="18" fillId="7" borderId="23" xfId="1" applyNumberFormat="1" applyFont="1" applyFill="1" applyBorder="1" applyAlignment="1">
      <alignment horizontal="center" wrapText="1"/>
    </xf>
    <xf numFmtId="0" fontId="23" fillId="7" borderId="26" xfId="1" applyFont="1" applyFill="1" applyBorder="1" applyAlignment="1">
      <alignment horizontal="center" wrapText="1"/>
    </xf>
    <xf numFmtId="1" fontId="23" fillId="7" borderId="26" xfId="1" applyNumberFormat="1" applyFont="1" applyFill="1" applyBorder="1" applyAlignment="1">
      <alignment horizontal="center" wrapText="1"/>
    </xf>
    <xf numFmtId="14" fontId="23" fillId="7" borderId="23" xfId="1" applyNumberFormat="1" applyFont="1" applyFill="1" applyBorder="1" applyAlignment="1">
      <alignment horizontal="center" wrapText="1"/>
    </xf>
    <xf numFmtId="164" fontId="21" fillId="7" borderId="23" xfId="1" applyNumberFormat="1" applyFont="1" applyFill="1" applyBorder="1"/>
    <xf numFmtId="14" fontId="21" fillId="7" borderId="23" xfId="1" applyNumberFormat="1" applyFont="1" applyFill="1" applyBorder="1"/>
    <xf numFmtId="14" fontId="21" fillId="7" borderId="23" xfId="1" applyNumberFormat="1" applyFont="1" applyFill="1" applyBorder="1" applyAlignment="1">
      <alignment horizontal="center"/>
    </xf>
    <xf numFmtId="0" fontId="24" fillId="7" borderId="24" xfId="1" applyFont="1" applyFill="1" applyBorder="1" applyAlignment="1">
      <alignment horizontal="center"/>
    </xf>
    <xf numFmtId="0" fontId="24" fillId="7" borderId="0" xfId="1" applyFont="1" applyFill="1" applyAlignment="1">
      <alignment horizontal="center"/>
    </xf>
    <xf numFmtId="166" fontId="25" fillId="7" borderId="0" xfId="1" applyNumberFormat="1" applyFont="1" applyFill="1"/>
    <xf numFmtId="0" fontId="25" fillId="7" borderId="0" xfId="1" applyFont="1" applyFill="1"/>
    <xf numFmtId="2" fontId="25" fillId="7" borderId="0" xfId="1" applyNumberFormat="1" applyFont="1" applyFill="1"/>
    <xf numFmtId="0" fontId="30" fillId="0" borderId="24" xfId="1" applyFont="1" applyBorder="1" applyAlignment="1">
      <alignment horizontal="center"/>
    </xf>
    <xf numFmtId="0" fontId="31" fillId="0" borderId="24" xfId="1" applyFont="1" applyBorder="1" applyAlignment="1">
      <alignment horizontal="center"/>
    </xf>
    <xf numFmtId="0" fontId="31" fillId="7" borderId="24" xfId="1" applyFont="1" applyFill="1" applyBorder="1" applyAlignment="1">
      <alignment horizontal="center"/>
    </xf>
    <xf numFmtId="0" fontId="32" fillId="0" borderId="0" xfId="1" applyFont="1"/>
    <xf numFmtId="43" fontId="0" fillId="0" borderId="0" xfId="2" applyFont="1" applyAlignment="1"/>
    <xf numFmtId="14" fontId="6" fillId="0" borderId="0" xfId="1" applyNumberFormat="1" applyFont="1" applyAlignment="1">
      <alignment vertical="center"/>
    </xf>
    <xf numFmtId="0" fontId="6" fillId="7" borderId="16" xfId="1" applyFont="1" applyFill="1" applyBorder="1" applyAlignment="1">
      <alignment horizontal="center" vertical="center"/>
    </xf>
    <xf numFmtId="3" fontId="35" fillId="8" borderId="16" xfId="1" applyNumberFormat="1" applyFont="1" applyFill="1" applyBorder="1" applyAlignment="1">
      <alignment horizontal="center" vertical="center"/>
    </xf>
    <xf numFmtId="0" fontId="36" fillId="7" borderId="16" xfId="1" applyFont="1" applyFill="1" applyBorder="1" applyAlignment="1">
      <alignment horizontal="center" vertical="center"/>
    </xf>
    <xf numFmtId="14" fontId="2" fillId="0" borderId="27" xfId="1" applyNumberFormat="1" applyFont="1" applyBorder="1"/>
    <xf numFmtId="14" fontId="2" fillId="0" borderId="28" xfId="1" applyNumberFormat="1" applyFont="1" applyBorder="1"/>
    <xf numFmtId="0" fontId="32" fillId="0" borderId="0" xfId="1" quotePrefix="1" applyFont="1" applyAlignment="1">
      <alignment vertical="center"/>
    </xf>
    <xf numFmtId="3" fontId="10" fillId="9" borderId="16" xfId="1" applyNumberFormat="1" applyFont="1" applyFill="1" applyBorder="1" applyAlignment="1">
      <alignment horizontal="center" vertical="center" wrapText="1"/>
    </xf>
    <xf numFmtId="3" fontId="9" fillId="4" borderId="16" xfId="1" applyNumberFormat="1" applyFont="1" applyFill="1" applyBorder="1" applyAlignment="1">
      <alignment horizontal="center" vertical="center"/>
    </xf>
    <xf numFmtId="3" fontId="10" fillId="4" borderId="16" xfId="1" applyNumberFormat="1" applyFont="1" applyFill="1" applyBorder="1" applyAlignment="1">
      <alignment horizontal="center" vertical="center" wrapText="1"/>
    </xf>
    <xf numFmtId="3" fontId="10" fillId="4" borderId="30" xfId="1" applyNumberFormat="1" applyFont="1" applyFill="1" applyBorder="1" applyAlignment="1">
      <alignment vertical="center" wrapText="1"/>
    </xf>
    <xf numFmtId="14" fontId="13" fillId="5" borderId="25" xfId="1" applyNumberFormat="1" applyFont="1" applyFill="1" applyBorder="1" applyAlignment="1">
      <alignment horizontal="left"/>
    </xf>
    <xf numFmtId="49" fontId="37" fillId="5" borderId="26" xfId="1" applyNumberFormat="1" applyFont="1" applyFill="1" applyBorder="1" applyAlignment="1">
      <alignment horizontal="center" wrapText="1"/>
    </xf>
    <xf numFmtId="14" fontId="38" fillId="5" borderId="23" xfId="1" applyNumberFormat="1" applyFont="1" applyFill="1" applyBorder="1" applyAlignment="1">
      <alignment horizontal="center" wrapText="1"/>
    </xf>
    <xf numFmtId="3" fontId="38" fillId="0" borderId="23" xfId="1" applyNumberFormat="1" applyFont="1" applyBorder="1" applyAlignment="1">
      <alignment horizontal="right" wrapText="1"/>
    </xf>
    <xf numFmtId="3" fontId="15" fillId="10" borderId="22" xfId="1" applyNumberFormat="1" applyFont="1" applyFill="1" applyBorder="1" applyAlignment="1">
      <alignment horizontal="right"/>
    </xf>
    <xf numFmtId="3" fontId="15" fillId="10" borderId="32" xfId="1" applyNumberFormat="1" applyFont="1" applyFill="1" applyBorder="1" applyAlignment="1">
      <alignment horizontal="right"/>
    </xf>
    <xf numFmtId="14" fontId="15" fillId="10" borderId="22" xfId="1" applyNumberFormat="1" applyFont="1" applyFill="1" applyBorder="1" applyAlignment="1">
      <alignment horizontal="right"/>
    </xf>
    <xf numFmtId="167" fontId="0" fillId="0" borderId="0" xfId="2" applyNumberFormat="1" applyFont="1" applyAlignment="1"/>
    <xf numFmtId="3" fontId="38" fillId="11" borderId="23" xfId="1" applyNumberFormat="1" applyFont="1" applyFill="1" applyBorder="1" applyAlignment="1">
      <alignment horizontal="right" wrapText="1"/>
    </xf>
    <xf numFmtId="167" fontId="38" fillId="0" borderId="23" xfId="2" applyNumberFormat="1" applyFont="1" applyBorder="1" applyAlignment="1">
      <alignment horizontal="right" wrapText="1"/>
    </xf>
    <xf numFmtId="49" fontId="37" fillId="12" borderId="26" xfId="1" applyNumberFormat="1" applyFont="1" applyFill="1" applyBorder="1" applyAlignment="1">
      <alignment horizontal="center" wrapText="1"/>
    </xf>
    <xf numFmtId="3" fontId="38" fillId="0" borderId="23" xfId="2" applyNumberFormat="1" applyFont="1" applyBorder="1" applyAlignment="1">
      <alignment horizontal="right" wrapText="1"/>
    </xf>
    <xf numFmtId="3" fontId="1" fillId="0" borderId="0" xfId="1" quotePrefix="1" applyNumberFormat="1"/>
    <xf numFmtId="14" fontId="13" fillId="12" borderId="25" xfId="1" applyNumberFormat="1" applyFont="1" applyFill="1" applyBorder="1" applyAlignment="1">
      <alignment horizontal="left"/>
    </xf>
    <xf numFmtId="0" fontId="2" fillId="0" borderId="0" xfId="1" quotePrefix="1" applyFont="1"/>
    <xf numFmtId="0" fontId="2" fillId="0" borderId="0" xfId="1" applyFont="1"/>
    <xf numFmtId="14" fontId="13" fillId="5" borderId="25" xfId="1" applyNumberFormat="1" applyFont="1" applyFill="1" applyBorder="1" applyAlignment="1">
      <alignment horizontal="left" wrapText="1"/>
    </xf>
    <xf numFmtId="14" fontId="38" fillId="5" borderId="23" xfId="1" applyNumberFormat="1" applyFont="1" applyFill="1" applyBorder="1" applyAlignment="1">
      <alignment horizontal="center"/>
    </xf>
    <xf numFmtId="3" fontId="1" fillId="0" borderId="0" xfId="1" applyNumberFormat="1"/>
    <xf numFmtId="0" fontId="1" fillId="0" borderId="0" xfId="1" applyAlignment="1">
      <alignment horizontal="right"/>
    </xf>
    <xf numFmtId="14" fontId="15" fillId="10" borderId="32" xfId="1" applyNumberFormat="1" applyFont="1" applyFill="1" applyBorder="1" applyAlignment="1">
      <alignment horizontal="right"/>
    </xf>
    <xf numFmtId="167" fontId="29" fillId="7" borderId="16" xfId="3" applyNumberFormat="1" applyFont="1" applyFill="1" applyBorder="1"/>
    <xf numFmtId="167" fontId="2" fillId="7" borderId="16" xfId="3" applyNumberFormat="1" applyFont="1" applyFill="1" applyBorder="1"/>
    <xf numFmtId="14" fontId="22" fillId="5" borderId="25" xfId="1" applyNumberFormat="1" applyFont="1" applyFill="1" applyBorder="1" applyAlignment="1">
      <alignment horizontal="left"/>
    </xf>
    <xf numFmtId="49" fontId="26" fillId="5" borderId="26" xfId="1" applyNumberFormat="1" applyFont="1" applyFill="1" applyBorder="1" applyAlignment="1">
      <alignment horizontal="center" wrapText="1"/>
    </xf>
    <xf numFmtId="14" fontId="23" fillId="5" borderId="23" xfId="1" applyNumberFormat="1" applyFont="1" applyFill="1" applyBorder="1" applyAlignment="1">
      <alignment horizontal="center" wrapText="1"/>
    </xf>
    <xf numFmtId="3" fontId="23" fillId="0" borderId="23" xfId="1" applyNumberFormat="1" applyFont="1" applyBorder="1" applyAlignment="1">
      <alignment horizontal="right" wrapText="1"/>
    </xf>
    <xf numFmtId="3" fontId="21" fillId="10" borderId="22" xfId="1" applyNumberFormat="1" applyFont="1" applyFill="1" applyBorder="1" applyAlignment="1">
      <alignment horizontal="right"/>
    </xf>
    <xf numFmtId="3" fontId="21" fillId="10" borderId="32" xfId="1" applyNumberFormat="1" applyFont="1" applyFill="1" applyBorder="1" applyAlignment="1">
      <alignment horizontal="right"/>
    </xf>
    <xf numFmtId="14" fontId="21" fillId="10" borderId="22" xfId="1" applyNumberFormat="1" applyFont="1" applyFill="1" applyBorder="1" applyAlignment="1">
      <alignment horizontal="right"/>
    </xf>
    <xf numFmtId="14" fontId="15" fillId="6" borderId="23" xfId="1" applyNumberFormat="1" applyFont="1" applyFill="1" applyBorder="1" applyAlignment="1">
      <alignment horizontal="center"/>
    </xf>
    <xf numFmtId="14" fontId="10" fillId="4" borderId="7" xfId="1" applyNumberFormat="1" applyFont="1" applyFill="1" applyBorder="1" applyAlignment="1">
      <alignment horizontal="center" vertical="center" wrapText="1"/>
    </xf>
    <xf numFmtId="49" fontId="9" fillId="4" borderId="29" xfId="1" applyNumberFormat="1" applyFont="1" applyFill="1" applyBorder="1" applyAlignment="1">
      <alignment horizontal="center" vertical="center" wrapText="1"/>
    </xf>
    <xf numFmtId="49" fontId="9" fillId="4" borderId="31" xfId="1" applyNumberFormat="1" applyFont="1" applyFill="1" applyBorder="1" applyAlignment="1">
      <alignment horizontal="center" vertical="center" wrapText="1"/>
    </xf>
    <xf numFmtId="3" fontId="19" fillId="7" borderId="22" xfId="1" applyNumberFormat="1" applyFont="1" applyFill="1" applyBorder="1" applyAlignment="1">
      <alignment horizontal="right"/>
    </xf>
    <xf numFmtId="164" fontId="19" fillId="7" borderId="23" xfId="1" applyNumberFormat="1" applyFont="1" applyFill="1" applyBorder="1"/>
    <xf numFmtId="14" fontId="19" fillId="7" borderId="23" xfId="1" applyNumberFormat="1" applyFont="1" applyFill="1" applyBorder="1"/>
    <xf numFmtId="3" fontId="19" fillId="6" borderId="22" xfId="1" applyNumberFormat="1" applyFont="1" applyFill="1" applyBorder="1" applyAlignment="1">
      <alignment horizontal="right"/>
    </xf>
    <xf numFmtId="164" fontId="19" fillId="6" borderId="23" xfId="1" applyNumberFormat="1" applyFont="1" applyFill="1" applyBorder="1"/>
    <xf numFmtId="14" fontId="19" fillId="6" borderId="23" xfId="1" applyNumberFormat="1" applyFont="1" applyFill="1" applyBorder="1"/>
    <xf numFmtId="3" fontId="3" fillId="0" borderId="0" xfId="1" applyNumberFormat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1" fillId="0" borderId="0" xfId="1"/>
    <xf numFmtId="14" fontId="1" fillId="0" borderId="0" xfId="1" applyNumberFormat="1"/>
    <xf numFmtId="0" fontId="6" fillId="0" borderId="0" xfId="1" applyFont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3" fillId="0" borderId="4" xfId="1" applyFont="1" applyBorder="1"/>
    <xf numFmtId="0" fontId="9" fillId="4" borderId="6" xfId="1" applyFont="1" applyFill="1" applyBorder="1" applyAlignment="1">
      <alignment horizontal="center" vertical="center" wrapText="1"/>
    </xf>
    <xf numFmtId="0" fontId="9" fillId="4" borderId="34" xfId="1" applyFont="1" applyFill="1" applyBorder="1" applyAlignment="1">
      <alignment horizontal="center" vertical="center" wrapText="1"/>
    </xf>
    <xf numFmtId="49" fontId="10" fillId="4" borderId="7" xfId="1" applyNumberFormat="1" applyFont="1" applyFill="1" applyBorder="1" applyAlignment="1">
      <alignment horizontal="center" vertical="center" wrapText="1"/>
    </xf>
    <xf numFmtId="49" fontId="10" fillId="4" borderId="33" xfId="1" applyNumberFormat="1" applyFont="1" applyFill="1" applyBorder="1" applyAlignment="1">
      <alignment horizontal="center" vertical="center" wrapText="1"/>
    </xf>
    <xf numFmtId="14" fontId="10" fillId="4" borderId="7" xfId="1" applyNumberFormat="1" applyFont="1" applyFill="1" applyBorder="1" applyAlignment="1">
      <alignment horizontal="center" vertical="center" wrapText="1"/>
    </xf>
    <xf numFmtId="14" fontId="10" fillId="4" borderId="33" xfId="1" applyNumberFormat="1" applyFont="1" applyFill="1" applyBorder="1" applyAlignment="1">
      <alignment horizontal="center" vertical="center" wrapText="1"/>
    </xf>
    <xf numFmtId="3" fontId="9" fillId="4" borderId="8" xfId="1" applyNumberFormat="1" applyFont="1" applyFill="1" applyBorder="1" applyAlignment="1">
      <alignment horizontal="center" vertical="center"/>
    </xf>
    <xf numFmtId="3" fontId="9" fillId="4" borderId="9" xfId="1" applyNumberFormat="1" applyFont="1" applyFill="1" applyBorder="1" applyAlignment="1">
      <alignment horizontal="center" vertical="center"/>
    </xf>
    <xf numFmtId="3" fontId="9" fillId="4" borderId="10" xfId="1" applyNumberFormat="1" applyFont="1" applyFill="1" applyBorder="1" applyAlignment="1">
      <alignment horizontal="center" vertical="center"/>
    </xf>
    <xf numFmtId="14" fontId="9" fillId="4" borderId="7" xfId="1" applyNumberFormat="1" applyFont="1" applyFill="1" applyBorder="1" applyAlignment="1">
      <alignment horizontal="center" vertical="center" wrapText="1"/>
    </xf>
    <xf numFmtId="14" fontId="9" fillId="4" borderId="13" xfId="1" applyNumberFormat="1" applyFont="1" applyFill="1" applyBorder="1" applyAlignment="1">
      <alignment horizontal="center" vertical="center" wrapText="1"/>
    </xf>
    <xf numFmtId="14" fontId="9" fillId="4" borderId="7" xfId="1" applyNumberFormat="1" applyFont="1" applyFill="1" applyBorder="1" applyAlignment="1">
      <alignment horizontal="center" vertical="center"/>
    </xf>
    <xf numFmtId="14" fontId="9" fillId="4" borderId="13" xfId="1" applyNumberFormat="1" applyFont="1" applyFill="1" applyBorder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14" fontId="9" fillId="4" borderId="29" xfId="1" applyNumberFormat="1" applyFont="1" applyFill="1" applyBorder="1" applyAlignment="1">
      <alignment horizontal="center" vertical="center" wrapText="1"/>
    </xf>
    <xf numFmtId="14" fontId="9" fillId="4" borderId="31" xfId="1" applyNumberFormat="1" applyFont="1" applyFill="1" applyBorder="1" applyAlignment="1">
      <alignment horizontal="center" vertical="center" wrapText="1"/>
    </xf>
    <xf numFmtId="49" fontId="9" fillId="4" borderId="29" xfId="1" applyNumberFormat="1" applyFont="1" applyFill="1" applyBorder="1" applyAlignment="1">
      <alignment horizontal="center" vertical="center" wrapText="1"/>
    </xf>
    <xf numFmtId="49" fontId="9" fillId="4" borderId="31" xfId="1" applyNumberFormat="1" applyFont="1" applyFill="1" applyBorder="1" applyAlignment="1">
      <alignment horizontal="center" vertical="center" wrapText="1"/>
    </xf>
    <xf numFmtId="14" fontId="10" fillId="4" borderId="16" xfId="1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2" xfId="2" xr:uid="{00000000-0005-0000-0000-000001000000}"/>
    <cellStyle name="Normal" xfId="0" builtinId="0"/>
    <cellStyle name="Normal 2" xfId="1" xr:uid="{00000000-0005-0000-0000-000003000000}"/>
  </cellStyles>
  <dxfs count="1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QU&#7842;N%20L&#221;%20KH&#193;CH%20H&#192;NG\B&#192;N%20GIAO%20C&#212;NG%20N&#7906;%20CH&#7882;%20HOA\C&#212;NG%20N&#7906;%20MT%202021\THEO%20DOI%20CONG%20NO%20VINCOMMERCE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,2018"/>
      <sheetName val="02,2018"/>
      <sheetName val="03.2018"/>
      <sheetName val="04.2018"/>
      <sheetName val="05.2018"/>
      <sheetName val="06.2018"/>
      <sheetName val="07.2018"/>
      <sheetName val="08.2018"/>
      <sheetName val="09.2018"/>
      <sheetName val="10.2018"/>
      <sheetName val="11.2018"/>
      <sheetName val="12.2018"/>
      <sheetName val="01.2019"/>
      <sheetName val="02.2019"/>
      <sheetName val="03.2019"/>
      <sheetName val="04.2019"/>
      <sheetName val="05.2021"/>
      <sheetName val="02.2022"/>
      <sheetName val="05.2022-misa"/>
      <sheetName val="hd ghi giam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I7">
            <v>0</v>
          </cell>
        </row>
      </sheetData>
      <sheetData sheetId="18">
        <row r="7">
          <cell r="I7">
            <v>957844980</v>
          </cell>
        </row>
      </sheetData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.anhlt13@vincommerce.com" TargetMode="External"/><Relationship Id="rId1" Type="http://schemas.openxmlformats.org/officeDocument/2006/relationships/hyperlink" Target="mailto:v.chieunt@vincommerce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946"/>
  <sheetViews>
    <sheetView tabSelected="1" zoomScale="130" zoomScaleNormal="130" workbookViewId="0">
      <pane xSplit="4" ySplit="5" topLeftCell="E2178" activePane="bottomRight" state="frozen"/>
      <selection pane="topRight" activeCell="E1" sqref="E1"/>
      <selection pane="bottomLeft" activeCell="A7" sqref="A7"/>
      <selection pane="bottomRight" activeCell="H2190" sqref="H2190"/>
    </sheetView>
  </sheetViews>
  <sheetFormatPr defaultColWidth="14.44140625" defaultRowHeight="15" customHeight="1" x14ac:dyDescent="0.3"/>
  <cols>
    <col min="1" max="1" width="9.88671875" style="3" customWidth="1"/>
    <col min="2" max="2" width="9.77734375" style="2" customWidth="1"/>
    <col min="3" max="3" width="6.21875" style="3" customWidth="1"/>
    <col min="4" max="4" width="12.44140625" style="3" customWidth="1"/>
    <col min="5" max="8" width="15.88671875" style="3" customWidth="1"/>
    <col min="9" max="9" width="15.6640625" style="3" customWidth="1"/>
    <col min="10" max="10" width="15.5546875" style="6" customWidth="1"/>
    <col min="11" max="11" width="14.33203125" style="6" customWidth="1"/>
    <col min="12" max="12" width="18.5546875" style="3" customWidth="1"/>
    <col min="13" max="13" width="17.44140625" style="3" customWidth="1"/>
    <col min="14" max="14" width="21.44140625" style="3" customWidth="1"/>
    <col min="15" max="15" width="32.33203125" style="3" customWidth="1"/>
    <col min="16" max="16" width="19" style="3" customWidth="1"/>
    <col min="17" max="18" width="8" style="3" customWidth="1"/>
    <col min="19" max="19" width="14.88671875" style="9" customWidth="1"/>
    <col min="20" max="23" width="8" style="3" customWidth="1"/>
    <col min="24" max="16384" width="14.44140625" style="3"/>
  </cols>
  <sheetData>
    <row r="1" spans="1:23" ht="28.8" customHeight="1" x14ac:dyDescent="0.3">
      <c r="A1" s="186" t="s">
        <v>0</v>
      </c>
      <c r="B1" s="187"/>
      <c r="C1" s="187"/>
      <c r="D1" s="187"/>
      <c r="E1" s="187"/>
      <c r="F1" s="187"/>
      <c r="G1" s="187"/>
      <c r="H1" s="187"/>
      <c r="I1" s="187"/>
      <c r="J1" s="188"/>
      <c r="K1" s="187"/>
      <c r="L1" s="7"/>
      <c r="M1" s="7"/>
      <c r="N1" s="8" t="s">
        <v>1</v>
      </c>
      <c r="O1" s="10" t="s">
        <v>2</v>
      </c>
    </row>
    <row r="2" spans="1:23" ht="18.75" customHeight="1" x14ac:dyDescent="0.3">
      <c r="A2" s="189" t="s">
        <v>3</v>
      </c>
      <c r="B2" s="187"/>
      <c r="C2" s="187"/>
      <c r="D2" s="187"/>
      <c r="E2" s="187"/>
      <c r="F2" s="187"/>
      <c r="G2" s="187"/>
      <c r="H2" s="187"/>
      <c r="I2" s="187"/>
      <c r="J2" s="188"/>
      <c r="K2" s="187"/>
      <c r="L2" s="185">
        <f>+I6+381000000</f>
        <v>1710879654</v>
      </c>
      <c r="M2" s="7"/>
      <c r="N2" s="11" t="s">
        <v>4</v>
      </c>
      <c r="O2" s="12" t="s">
        <v>5</v>
      </c>
    </row>
    <row r="3" spans="1:23" ht="15.75" customHeight="1" thickBot="1" x14ac:dyDescent="0.35">
      <c r="A3" s="1"/>
      <c r="G3" s="4"/>
      <c r="H3" s="4"/>
      <c r="I3" s="4"/>
      <c r="J3" s="5"/>
      <c r="K3" s="190" t="s">
        <v>6</v>
      </c>
      <c r="L3" s="191"/>
      <c r="M3" s="2"/>
      <c r="N3" s="11">
        <v>1675386519</v>
      </c>
      <c r="O3" s="13" t="s">
        <v>7</v>
      </c>
    </row>
    <row r="4" spans="1:23" ht="22.5" customHeight="1" x14ac:dyDescent="0.3">
      <c r="A4" s="192" t="s">
        <v>8</v>
      </c>
      <c r="B4" s="194" t="s">
        <v>3645</v>
      </c>
      <c r="C4" s="194" t="s">
        <v>9</v>
      </c>
      <c r="D4" s="196" t="s">
        <v>10</v>
      </c>
      <c r="E4" s="198" t="s">
        <v>11</v>
      </c>
      <c r="F4" s="199"/>
      <c r="G4" s="199"/>
      <c r="H4" s="199"/>
      <c r="I4" s="200"/>
      <c r="J4" s="201" t="s">
        <v>12</v>
      </c>
      <c r="K4" s="203" t="s">
        <v>13</v>
      </c>
      <c r="L4" s="14" t="s">
        <v>14</v>
      </c>
      <c r="M4" s="15"/>
      <c r="N4" s="16" t="s">
        <v>15</v>
      </c>
      <c r="O4" s="17"/>
    </row>
    <row r="5" spans="1:23" ht="23.25" customHeight="1" thickBot="1" x14ac:dyDescent="0.35">
      <c r="A5" s="193"/>
      <c r="B5" s="195"/>
      <c r="C5" s="195"/>
      <c r="D5" s="197"/>
      <c r="E5" s="18" t="s">
        <v>16</v>
      </c>
      <c r="F5" s="18" t="s">
        <v>17</v>
      </c>
      <c r="G5" s="19" t="s">
        <v>18</v>
      </c>
      <c r="H5" s="19" t="s">
        <v>19</v>
      </c>
      <c r="I5" s="20" t="s">
        <v>20</v>
      </c>
      <c r="J5" s="202"/>
      <c r="K5" s="204"/>
      <c r="L5" s="21"/>
      <c r="M5" s="22"/>
      <c r="N5" s="23" t="s">
        <v>21</v>
      </c>
      <c r="O5" s="24" t="s">
        <v>22</v>
      </c>
      <c r="P5" s="2" t="s">
        <v>23</v>
      </c>
    </row>
    <row r="6" spans="1:23" ht="28.5" customHeight="1" x14ac:dyDescent="0.3">
      <c r="A6" s="176" t="s">
        <v>24</v>
      </c>
      <c r="B6" s="176"/>
      <c r="C6" s="176"/>
      <c r="D6" s="176"/>
      <c r="E6" s="25">
        <f>SUM(E8:E3972)</f>
        <v>39136854600</v>
      </c>
      <c r="F6" s="25">
        <f>SUM(F8:F3972)</f>
        <v>3120605646</v>
      </c>
      <c r="G6" s="25">
        <f>SUM(G8:G3951)+G7</f>
        <v>41698172526</v>
      </c>
      <c r="H6" s="25">
        <f>SUM(H8:H3951)+H7</f>
        <v>40368292872</v>
      </c>
      <c r="I6" s="25">
        <f>SUM(I8:I2951)+I7</f>
        <v>1329879654</v>
      </c>
      <c r="J6" s="26"/>
      <c r="K6" s="26"/>
      <c r="L6" s="27"/>
      <c r="M6" s="22"/>
      <c r="N6" s="23" t="s">
        <v>25</v>
      </c>
      <c r="O6" s="24" t="s">
        <v>26</v>
      </c>
    </row>
    <row r="7" spans="1:23" ht="16.5" customHeight="1" x14ac:dyDescent="0.35">
      <c r="A7" s="28" t="s">
        <v>27</v>
      </c>
      <c r="B7" s="29"/>
      <c r="C7" s="29"/>
      <c r="D7" s="29"/>
      <c r="E7" s="30"/>
      <c r="F7" s="31"/>
      <c r="G7" s="32"/>
      <c r="H7" s="33"/>
      <c r="I7" s="34">
        <f>+'[1]02.2022'!I7</f>
        <v>0</v>
      </c>
      <c r="J7" s="35"/>
      <c r="K7" s="36"/>
      <c r="L7" s="37"/>
      <c r="M7" s="38"/>
      <c r="O7" s="12" t="s">
        <v>28</v>
      </c>
    </row>
    <row r="8" spans="1:23" s="2" customFormat="1" ht="16.5" customHeight="1" x14ac:dyDescent="0.35">
      <c r="A8" s="39" t="s">
        <v>29</v>
      </c>
      <c r="B8" s="40" t="s">
        <v>30</v>
      </c>
      <c r="C8" s="41"/>
      <c r="D8" s="42" t="s">
        <v>31</v>
      </c>
      <c r="E8" s="43">
        <v>3015000</v>
      </c>
      <c r="F8" s="44"/>
      <c r="G8" s="45"/>
      <c r="H8" s="46"/>
      <c r="I8" s="47">
        <f t="shared" ref="I8:I71" si="0">G8-H8</f>
        <v>0</v>
      </c>
      <c r="J8" s="48" t="s">
        <v>32</v>
      </c>
      <c r="K8" s="49"/>
      <c r="L8" s="50">
        <v>4901012725</v>
      </c>
      <c r="M8" s="51"/>
      <c r="N8" s="52"/>
      <c r="O8" s="52"/>
      <c r="S8" s="53"/>
    </row>
    <row r="9" spans="1:23" s="2" customFormat="1" ht="16.5" customHeight="1" x14ac:dyDescent="0.35">
      <c r="A9" s="39" t="s">
        <v>33</v>
      </c>
      <c r="B9" s="40" t="s">
        <v>34</v>
      </c>
      <c r="C9" s="41"/>
      <c r="D9" s="42" t="s">
        <v>35</v>
      </c>
      <c r="E9" s="43">
        <v>640000</v>
      </c>
      <c r="F9" s="44"/>
      <c r="G9" s="45"/>
      <c r="H9" s="46"/>
      <c r="I9" s="47">
        <f t="shared" si="0"/>
        <v>0</v>
      </c>
      <c r="J9" s="48" t="s">
        <v>36</v>
      </c>
      <c r="K9" s="49"/>
      <c r="L9" s="50">
        <v>4900828222</v>
      </c>
      <c r="M9" s="51"/>
      <c r="N9" s="52"/>
      <c r="O9" s="52"/>
      <c r="S9" s="53"/>
    </row>
    <row r="10" spans="1:23" s="2" customFormat="1" ht="16.5" customHeight="1" x14ac:dyDescent="0.35">
      <c r="A10" s="39" t="s">
        <v>37</v>
      </c>
      <c r="B10" s="40" t="s">
        <v>38</v>
      </c>
      <c r="C10" s="41"/>
      <c r="D10" s="42" t="s">
        <v>39</v>
      </c>
      <c r="E10" s="43">
        <v>1920000</v>
      </c>
      <c r="F10" s="44"/>
      <c r="G10" s="45"/>
      <c r="H10" s="46"/>
      <c r="I10" s="47">
        <f t="shared" si="0"/>
        <v>0</v>
      </c>
      <c r="J10" s="48" t="s">
        <v>36</v>
      </c>
      <c r="K10" s="49"/>
      <c r="L10" s="50">
        <v>4900827395</v>
      </c>
      <c r="M10" s="51"/>
      <c r="N10" s="52"/>
      <c r="O10" s="52"/>
      <c r="S10" s="53"/>
    </row>
    <row r="11" spans="1:23" s="2" customFormat="1" ht="16.5" customHeight="1" x14ac:dyDescent="0.35">
      <c r="A11" s="39" t="s">
        <v>29</v>
      </c>
      <c r="B11" s="40" t="s">
        <v>40</v>
      </c>
      <c r="C11" s="41"/>
      <c r="D11" s="42" t="s">
        <v>41</v>
      </c>
      <c r="E11" s="43">
        <v>10464000</v>
      </c>
      <c r="F11" s="44"/>
      <c r="G11" s="54"/>
      <c r="H11" s="46"/>
      <c r="I11" s="47">
        <f t="shared" si="0"/>
        <v>0</v>
      </c>
      <c r="J11" s="48" t="s">
        <v>36</v>
      </c>
      <c r="K11" s="49"/>
      <c r="L11" s="50">
        <v>4900864566</v>
      </c>
      <c r="M11" s="51"/>
      <c r="N11" s="52"/>
      <c r="O11" s="52"/>
      <c r="S11" s="53"/>
    </row>
    <row r="12" spans="1:23" s="2" customFormat="1" ht="16.5" customHeight="1" x14ac:dyDescent="0.35">
      <c r="A12" s="55" t="s">
        <v>37</v>
      </c>
      <c r="B12" s="56" t="s">
        <v>42</v>
      </c>
      <c r="C12" s="57"/>
      <c r="D12" s="58" t="s">
        <v>43</v>
      </c>
      <c r="E12" s="59"/>
      <c r="F12" s="60">
        <f>+E12*0.08</f>
        <v>0</v>
      </c>
      <c r="G12" s="61"/>
      <c r="H12" s="59"/>
      <c r="I12" s="62">
        <f t="shared" si="0"/>
        <v>0</v>
      </c>
      <c r="J12" s="63" t="s">
        <v>44</v>
      </c>
      <c r="K12" s="64"/>
      <c r="L12" s="65">
        <v>4900856828</v>
      </c>
      <c r="M12" s="66"/>
      <c r="N12" s="67"/>
      <c r="O12" s="67"/>
      <c r="P12" s="68"/>
      <c r="Q12" s="68"/>
      <c r="R12" s="68"/>
      <c r="S12" s="69"/>
      <c r="T12" s="68"/>
      <c r="U12" s="68"/>
      <c r="V12" s="68"/>
      <c r="W12" s="68"/>
    </row>
    <row r="13" spans="1:23" s="2" customFormat="1" ht="16.5" customHeight="1" x14ac:dyDescent="0.35">
      <c r="A13" s="55" t="s">
        <v>37</v>
      </c>
      <c r="B13" s="56" t="s">
        <v>45</v>
      </c>
      <c r="C13" s="57"/>
      <c r="D13" s="58" t="s">
        <v>43</v>
      </c>
      <c r="E13" s="59">
        <v>2640000</v>
      </c>
      <c r="F13" s="60"/>
      <c r="G13" s="61"/>
      <c r="H13" s="59"/>
      <c r="I13" s="62">
        <f t="shared" si="0"/>
        <v>0</v>
      </c>
      <c r="J13" s="63" t="s">
        <v>44</v>
      </c>
      <c r="K13" s="64"/>
      <c r="L13" s="65">
        <v>4900856851</v>
      </c>
      <c r="M13" s="66"/>
      <c r="N13" s="67"/>
      <c r="O13" s="67"/>
      <c r="P13" s="68"/>
      <c r="Q13" s="68"/>
      <c r="R13" s="68"/>
      <c r="S13" s="69"/>
      <c r="T13" s="68"/>
      <c r="U13" s="68"/>
      <c r="V13" s="68"/>
      <c r="W13" s="68"/>
    </row>
    <row r="14" spans="1:23" s="2" customFormat="1" ht="16.5" customHeight="1" x14ac:dyDescent="0.35">
      <c r="A14" s="39" t="s">
        <v>33</v>
      </c>
      <c r="B14" s="40" t="s">
        <v>46</v>
      </c>
      <c r="C14" s="41"/>
      <c r="D14" s="42" t="s">
        <v>47</v>
      </c>
      <c r="E14" s="43">
        <v>2080000</v>
      </c>
      <c r="F14" s="44"/>
      <c r="G14" s="45"/>
      <c r="H14" s="46"/>
      <c r="I14" s="47">
        <f t="shared" si="0"/>
        <v>0</v>
      </c>
      <c r="J14" s="48" t="s">
        <v>44</v>
      </c>
      <c r="K14" s="49"/>
      <c r="L14" s="50">
        <v>4900873702</v>
      </c>
      <c r="M14" s="51"/>
      <c r="N14" s="52"/>
      <c r="O14" s="52"/>
      <c r="S14" s="53"/>
    </row>
    <row r="15" spans="1:23" s="2" customFormat="1" ht="16.5" customHeight="1" x14ac:dyDescent="0.35">
      <c r="A15" s="70" t="s">
        <v>37</v>
      </c>
      <c r="B15" s="71" t="s">
        <v>48</v>
      </c>
      <c r="C15" s="72"/>
      <c r="D15" s="73" t="s">
        <v>49</v>
      </c>
      <c r="E15" s="74">
        <v>864000</v>
      </c>
      <c r="F15" s="74"/>
      <c r="G15" s="54"/>
      <c r="H15" s="75"/>
      <c r="I15" s="76">
        <f t="shared" si="0"/>
        <v>0</v>
      </c>
      <c r="J15" s="77" t="s">
        <v>44</v>
      </c>
      <c r="K15" s="78"/>
      <c r="L15" s="79">
        <v>4900886846</v>
      </c>
      <c r="M15" s="80"/>
      <c r="N15" s="81"/>
      <c r="O15" s="81"/>
      <c r="P15" s="82"/>
      <c r="Q15" s="82"/>
      <c r="R15" s="82"/>
      <c r="S15" s="83"/>
      <c r="T15" s="82"/>
      <c r="U15" s="82"/>
      <c r="V15" s="82"/>
      <c r="W15" s="82"/>
    </row>
    <row r="16" spans="1:23" s="2" customFormat="1" ht="16.5" customHeight="1" x14ac:dyDescent="0.35">
      <c r="A16" s="70" t="s">
        <v>37</v>
      </c>
      <c r="B16" s="71" t="s">
        <v>50</v>
      </c>
      <c r="C16" s="72"/>
      <c r="D16" s="73" t="s">
        <v>49</v>
      </c>
      <c r="E16" s="74">
        <v>7920000</v>
      </c>
      <c r="F16" s="74"/>
      <c r="G16" s="54"/>
      <c r="H16" s="75"/>
      <c r="I16" s="76">
        <f t="shared" si="0"/>
        <v>0</v>
      </c>
      <c r="J16" s="77" t="s">
        <v>44</v>
      </c>
      <c r="K16" s="78"/>
      <c r="L16" s="79">
        <v>4900887088</v>
      </c>
      <c r="M16" s="80"/>
      <c r="N16" s="81"/>
      <c r="O16" s="81"/>
      <c r="P16" s="82"/>
      <c r="Q16" s="82"/>
      <c r="R16" s="82"/>
      <c r="S16" s="83"/>
      <c r="T16" s="82"/>
      <c r="U16" s="82"/>
      <c r="V16" s="82"/>
      <c r="W16" s="82"/>
    </row>
    <row r="17" spans="1:23" s="2" customFormat="1" ht="16.5" customHeight="1" x14ac:dyDescent="0.35">
      <c r="A17" s="70" t="s">
        <v>37</v>
      </c>
      <c r="B17" s="71" t="s">
        <v>51</v>
      </c>
      <c r="C17" s="72"/>
      <c r="D17" s="73" t="s">
        <v>49</v>
      </c>
      <c r="E17" s="74">
        <v>624000</v>
      </c>
      <c r="F17" s="74"/>
      <c r="G17" s="54"/>
      <c r="H17" s="75"/>
      <c r="I17" s="76">
        <f t="shared" si="0"/>
        <v>0</v>
      </c>
      <c r="J17" s="77" t="s">
        <v>44</v>
      </c>
      <c r="K17" s="78"/>
      <c r="L17" s="79">
        <v>4900887120</v>
      </c>
      <c r="M17" s="80"/>
      <c r="N17" s="81"/>
      <c r="O17" s="81"/>
      <c r="P17" s="82"/>
      <c r="Q17" s="82"/>
      <c r="R17" s="82"/>
      <c r="S17" s="83"/>
      <c r="T17" s="82"/>
      <c r="U17" s="82"/>
      <c r="V17" s="82"/>
      <c r="W17" s="82"/>
    </row>
    <row r="18" spans="1:23" s="2" customFormat="1" ht="16.5" customHeight="1" x14ac:dyDescent="0.35">
      <c r="A18" s="70" t="s">
        <v>37</v>
      </c>
      <c r="B18" s="71" t="s">
        <v>52</v>
      </c>
      <c r="C18" s="72"/>
      <c r="D18" s="73" t="s">
        <v>53</v>
      </c>
      <c r="E18" s="74">
        <v>7680000</v>
      </c>
      <c r="F18" s="74"/>
      <c r="G18" s="54"/>
      <c r="H18" s="75"/>
      <c r="I18" s="76">
        <f t="shared" si="0"/>
        <v>0</v>
      </c>
      <c r="J18" s="77" t="s">
        <v>44</v>
      </c>
      <c r="K18" s="78"/>
      <c r="L18" s="79">
        <v>4900888155</v>
      </c>
      <c r="M18" s="80"/>
      <c r="N18" s="81"/>
      <c r="O18" s="81"/>
      <c r="P18" s="82"/>
      <c r="Q18" s="82"/>
      <c r="R18" s="82"/>
      <c r="S18" s="83"/>
      <c r="T18" s="82"/>
      <c r="U18" s="82"/>
      <c r="V18" s="82"/>
      <c r="W18" s="82"/>
    </row>
    <row r="19" spans="1:23" s="2" customFormat="1" ht="16.5" customHeight="1" x14ac:dyDescent="0.35">
      <c r="A19" s="39" t="s">
        <v>29</v>
      </c>
      <c r="B19" s="40" t="s">
        <v>54</v>
      </c>
      <c r="C19" s="41"/>
      <c r="D19" s="42" t="s">
        <v>55</v>
      </c>
      <c r="E19" s="43">
        <v>4160000</v>
      </c>
      <c r="F19" s="44">
        <f>+E19*0.08</f>
        <v>332800</v>
      </c>
      <c r="G19" s="45"/>
      <c r="H19" s="46"/>
      <c r="I19" s="47">
        <f t="shared" si="0"/>
        <v>0</v>
      </c>
      <c r="J19" s="48" t="s">
        <v>44</v>
      </c>
      <c r="K19" s="49"/>
      <c r="L19" s="50">
        <v>4145524715</v>
      </c>
      <c r="M19" s="51"/>
      <c r="N19" s="52"/>
      <c r="O19" s="52"/>
      <c r="S19" s="53"/>
    </row>
    <row r="20" spans="1:23" s="2" customFormat="1" ht="16.5" customHeight="1" x14ac:dyDescent="0.35">
      <c r="A20" s="39" t="s">
        <v>56</v>
      </c>
      <c r="B20" s="40" t="s">
        <v>57</v>
      </c>
      <c r="C20" s="41"/>
      <c r="D20" s="42" t="s">
        <v>58</v>
      </c>
      <c r="E20" s="43">
        <v>468000</v>
      </c>
      <c r="F20" s="44"/>
      <c r="G20" s="45"/>
      <c r="H20" s="46"/>
      <c r="I20" s="47">
        <f t="shared" si="0"/>
        <v>0</v>
      </c>
      <c r="J20" s="48" t="s">
        <v>44</v>
      </c>
      <c r="K20" s="49"/>
      <c r="L20" s="50">
        <v>4900990472</v>
      </c>
      <c r="M20" s="51"/>
      <c r="N20" s="52"/>
      <c r="O20" s="52"/>
      <c r="S20" s="53"/>
    </row>
    <row r="21" spans="1:23" s="2" customFormat="1" ht="16.5" customHeight="1" x14ac:dyDescent="0.35">
      <c r="A21" s="39" t="s">
        <v>59</v>
      </c>
      <c r="B21" s="40" t="s">
        <v>60</v>
      </c>
      <c r="C21" s="41"/>
      <c r="D21" s="42" t="s">
        <v>61</v>
      </c>
      <c r="E21" s="43">
        <v>16348000</v>
      </c>
      <c r="F21" s="44"/>
      <c r="G21" s="45"/>
      <c r="H21" s="46"/>
      <c r="I21" s="47">
        <f t="shared" si="0"/>
        <v>0</v>
      </c>
      <c r="J21" s="48" t="s">
        <v>62</v>
      </c>
      <c r="K21" s="49"/>
      <c r="L21" s="50">
        <v>4156720004</v>
      </c>
      <c r="M21" s="51"/>
      <c r="N21" s="52"/>
      <c r="O21" s="52"/>
      <c r="S21" s="53"/>
    </row>
    <row r="22" spans="1:23" s="2" customFormat="1" ht="16.5" customHeight="1" x14ac:dyDescent="0.35">
      <c r="A22" s="39" t="s">
        <v>63</v>
      </c>
      <c r="B22" s="40" t="s">
        <v>64</v>
      </c>
      <c r="C22" s="41"/>
      <c r="D22" s="42" t="s">
        <v>61</v>
      </c>
      <c r="E22" s="43">
        <v>1440000</v>
      </c>
      <c r="F22" s="44"/>
      <c r="G22" s="45"/>
      <c r="H22" s="46"/>
      <c r="I22" s="47">
        <f t="shared" si="0"/>
        <v>0</v>
      </c>
      <c r="J22" s="48" t="s">
        <v>62</v>
      </c>
      <c r="K22" s="49"/>
      <c r="L22" s="50" t="s">
        <v>65</v>
      </c>
      <c r="M22" s="51"/>
      <c r="N22" s="52"/>
      <c r="O22" s="52"/>
      <c r="S22" s="53"/>
    </row>
    <row r="23" spans="1:23" s="2" customFormat="1" ht="16.5" customHeight="1" x14ac:dyDescent="0.35">
      <c r="A23" s="39" t="s">
        <v>66</v>
      </c>
      <c r="B23" s="40" t="s">
        <v>67</v>
      </c>
      <c r="C23" s="41"/>
      <c r="D23" s="42" t="s">
        <v>68</v>
      </c>
      <c r="E23" s="43">
        <v>4505000</v>
      </c>
      <c r="F23" s="44">
        <f t="shared" ref="F23:F86" si="1">+E23*0.08</f>
        <v>360400</v>
      </c>
      <c r="G23" s="45">
        <f t="shared" ref="G23:G86" si="2">E23+F23</f>
        <v>4865400</v>
      </c>
      <c r="H23" s="46">
        <v>4865400</v>
      </c>
      <c r="I23" s="47">
        <f t="shared" si="0"/>
        <v>0</v>
      </c>
      <c r="J23" s="48">
        <v>45351</v>
      </c>
      <c r="K23" s="49">
        <v>45460</v>
      </c>
      <c r="L23" s="50">
        <v>4901078952</v>
      </c>
      <c r="M23" s="51"/>
      <c r="N23" s="52"/>
      <c r="O23" s="52"/>
      <c r="S23" s="53"/>
    </row>
    <row r="24" spans="1:23" s="2" customFormat="1" ht="16.5" customHeight="1" x14ac:dyDescent="0.35">
      <c r="A24" s="39" t="s">
        <v>69</v>
      </c>
      <c r="B24" s="40" t="s">
        <v>70</v>
      </c>
      <c r="C24" s="41"/>
      <c r="D24" s="42" t="s">
        <v>61</v>
      </c>
      <c r="E24" s="43">
        <v>11883000</v>
      </c>
      <c r="F24" s="44">
        <f t="shared" si="1"/>
        <v>950640</v>
      </c>
      <c r="G24" s="45">
        <f t="shared" si="2"/>
        <v>12833640</v>
      </c>
      <c r="H24" s="46">
        <v>12833640</v>
      </c>
      <c r="I24" s="47">
        <f t="shared" si="0"/>
        <v>0</v>
      </c>
      <c r="J24" s="48">
        <v>45351</v>
      </c>
      <c r="K24" s="49">
        <v>45460</v>
      </c>
      <c r="L24" s="50">
        <v>4156720113</v>
      </c>
      <c r="M24" s="51"/>
      <c r="N24" s="52"/>
      <c r="O24" s="52"/>
      <c r="S24" s="53"/>
    </row>
    <row r="25" spans="1:23" s="2" customFormat="1" ht="16.5" customHeight="1" x14ac:dyDescent="0.35">
      <c r="A25" s="39" t="s">
        <v>71</v>
      </c>
      <c r="B25" s="40" t="s">
        <v>72</v>
      </c>
      <c r="C25" s="41"/>
      <c r="D25" s="42" t="s">
        <v>73</v>
      </c>
      <c r="E25" s="43">
        <v>21120000</v>
      </c>
      <c r="F25" s="44">
        <f t="shared" si="1"/>
        <v>1689600</v>
      </c>
      <c r="G25" s="45">
        <f t="shared" si="2"/>
        <v>22809600</v>
      </c>
      <c r="H25" s="46">
        <v>22809600</v>
      </c>
      <c r="I25" s="47">
        <f t="shared" si="0"/>
        <v>0</v>
      </c>
      <c r="J25" s="48">
        <v>45351</v>
      </c>
      <c r="K25" s="49">
        <v>45460</v>
      </c>
      <c r="L25" s="50">
        <v>4156720012</v>
      </c>
      <c r="M25" s="51"/>
      <c r="N25" s="52"/>
      <c r="O25" s="52"/>
      <c r="S25" s="53"/>
    </row>
    <row r="26" spans="1:23" s="2" customFormat="1" ht="16.5" customHeight="1" x14ac:dyDescent="0.35">
      <c r="A26" s="39" t="s">
        <v>29</v>
      </c>
      <c r="B26" s="40" t="s">
        <v>74</v>
      </c>
      <c r="C26" s="41">
        <v>868</v>
      </c>
      <c r="D26" s="42">
        <v>45351</v>
      </c>
      <c r="E26" s="43">
        <v>10168500</v>
      </c>
      <c r="F26" s="44">
        <f t="shared" si="1"/>
        <v>813480</v>
      </c>
      <c r="G26" s="45">
        <f t="shared" si="2"/>
        <v>10981980</v>
      </c>
      <c r="H26" s="46">
        <v>10981980</v>
      </c>
      <c r="I26" s="47">
        <f t="shared" si="0"/>
        <v>0</v>
      </c>
      <c r="J26" s="48">
        <v>45351</v>
      </c>
      <c r="K26" s="49">
        <v>45460</v>
      </c>
      <c r="L26" s="50">
        <v>4901083777</v>
      </c>
      <c r="M26" s="51"/>
      <c r="N26" s="52"/>
      <c r="O26" s="52"/>
      <c r="S26" s="53"/>
    </row>
    <row r="27" spans="1:23" s="2" customFormat="1" ht="16.5" customHeight="1" x14ac:dyDescent="0.35">
      <c r="A27" s="39" t="s">
        <v>56</v>
      </c>
      <c r="B27" s="40" t="s">
        <v>75</v>
      </c>
      <c r="C27" s="41"/>
      <c r="D27" s="42" t="s">
        <v>76</v>
      </c>
      <c r="E27" s="43">
        <v>5440000</v>
      </c>
      <c r="F27" s="44">
        <f t="shared" si="1"/>
        <v>435200</v>
      </c>
      <c r="G27" s="45">
        <f t="shared" si="2"/>
        <v>5875200</v>
      </c>
      <c r="H27" s="46">
        <v>5875200</v>
      </c>
      <c r="I27" s="47">
        <f t="shared" si="0"/>
        <v>0</v>
      </c>
      <c r="J27" s="48">
        <v>45341</v>
      </c>
      <c r="K27" s="49">
        <v>45460</v>
      </c>
      <c r="L27" s="50">
        <v>4901074375</v>
      </c>
      <c r="M27" s="51"/>
      <c r="N27" s="52"/>
      <c r="O27" s="52"/>
      <c r="S27" s="53"/>
    </row>
    <row r="28" spans="1:23" s="2" customFormat="1" ht="16.5" customHeight="1" x14ac:dyDescent="0.35">
      <c r="A28" s="39" t="s">
        <v>77</v>
      </c>
      <c r="B28" s="40" t="s">
        <v>78</v>
      </c>
      <c r="C28" s="41"/>
      <c r="D28" s="42" t="s">
        <v>79</v>
      </c>
      <c r="E28" s="43">
        <v>22688000</v>
      </c>
      <c r="F28" s="44">
        <f t="shared" si="1"/>
        <v>1815040</v>
      </c>
      <c r="G28" s="45">
        <f t="shared" si="2"/>
        <v>24503040</v>
      </c>
      <c r="H28" s="46">
        <v>24503040</v>
      </c>
      <c r="I28" s="47">
        <f t="shared" si="0"/>
        <v>0</v>
      </c>
      <c r="J28" s="48">
        <v>45341</v>
      </c>
      <c r="K28" s="49">
        <v>45519</v>
      </c>
      <c r="L28" s="50">
        <v>4156684405</v>
      </c>
      <c r="M28" s="51"/>
      <c r="N28" s="52"/>
      <c r="O28" s="52"/>
      <c r="S28" s="53"/>
    </row>
    <row r="29" spans="1:23" s="2" customFormat="1" ht="16.5" customHeight="1" x14ac:dyDescent="0.35">
      <c r="A29" s="39" t="s">
        <v>59</v>
      </c>
      <c r="B29" s="40" t="s">
        <v>80</v>
      </c>
      <c r="C29" s="41"/>
      <c r="D29" s="42" t="s">
        <v>61</v>
      </c>
      <c r="E29" s="43">
        <v>20123000</v>
      </c>
      <c r="F29" s="44">
        <f t="shared" si="1"/>
        <v>1609840</v>
      </c>
      <c r="G29" s="45">
        <f t="shared" si="2"/>
        <v>21732840</v>
      </c>
      <c r="H29" s="46">
        <v>21732840</v>
      </c>
      <c r="I29" s="47">
        <f t="shared" si="0"/>
        <v>0</v>
      </c>
      <c r="J29" s="48">
        <v>45341</v>
      </c>
      <c r="K29" s="49">
        <v>45519</v>
      </c>
      <c r="L29" s="50">
        <v>4156720694</v>
      </c>
      <c r="M29" s="51"/>
      <c r="N29" s="52"/>
      <c r="O29" s="52"/>
      <c r="S29" s="53"/>
    </row>
    <row r="30" spans="1:23" s="2" customFormat="1" ht="16.5" customHeight="1" x14ac:dyDescent="0.35">
      <c r="A30" s="39" t="s">
        <v>81</v>
      </c>
      <c r="B30" s="40" t="s">
        <v>82</v>
      </c>
      <c r="C30" s="41"/>
      <c r="D30" s="42" t="s">
        <v>61</v>
      </c>
      <c r="E30" s="43">
        <v>26756000</v>
      </c>
      <c r="F30" s="44">
        <f t="shared" si="1"/>
        <v>2140480</v>
      </c>
      <c r="G30" s="45">
        <f t="shared" si="2"/>
        <v>28896480</v>
      </c>
      <c r="H30" s="46">
        <v>28896480</v>
      </c>
      <c r="I30" s="47">
        <f t="shared" si="0"/>
        <v>0</v>
      </c>
      <c r="J30" s="48">
        <v>45341</v>
      </c>
      <c r="K30" s="49">
        <v>45519</v>
      </c>
      <c r="L30" s="50">
        <v>4156720108</v>
      </c>
      <c r="M30" s="51"/>
      <c r="N30" s="52"/>
      <c r="O30" s="52"/>
      <c r="S30" s="53"/>
    </row>
    <row r="31" spans="1:23" s="2" customFormat="1" ht="16.5" customHeight="1" x14ac:dyDescent="0.35">
      <c r="A31" s="39" t="s">
        <v>83</v>
      </c>
      <c r="B31" s="40" t="s">
        <v>84</v>
      </c>
      <c r="C31" s="41">
        <v>729</v>
      </c>
      <c r="D31" s="42">
        <v>45341</v>
      </c>
      <c r="E31" s="43">
        <v>936000</v>
      </c>
      <c r="F31" s="44">
        <f t="shared" si="1"/>
        <v>74880</v>
      </c>
      <c r="G31" s="45">
        <f t="shared" si="2"/>
        <v>1010880</v>
      </c>
      <c r="H31" s="46">
        <v>1010880</v>
      </c>
      <c r="I31" s="47">
        <f t="shared" si="0"/>
        <v>0</v>
      </c>
      <c r="J31" s="48">
        <v>45341</v>
      </c>
      <c r="K31" s="49">
        <v>45460</v>
      </c>
      <c r="L31" s="50">
        <v>4156720805</v>
      </c>
      <c r="M31" s="51"/>
      <c r="N31" s="52"/>
      <c r="O31" s="52"/>
      <c r="S31" s="53"/>
    </row>
    <row r="32" spans="1:23" s="2" customFormat="1" ht="16.5" customHeight="1" x14ac:dyDescent="0.35">
      <c r="A32" s="39" t="s">
        <v>85</v>
      </c>
      <c r="B32" s="40" t="s">
        <v>86</v>
      </c>
      <c r="C32" s="41"/>
      <c r="D32" s="42" t="s">
        <v>61</v>
      </c>
      <c r="E32" s="43">
        <v>5184000</v>
      </c>
      <c r="F32" s="44">
        <f t="shared" si="1"/>
        <v>414720</v>
      </c>
      <c r="G32" s="45">
        <f t="shared" si="2"/>
        <v>5598720</v>
      </c>
      <c r="H32" s="46">
        <v>5598720</v>
      </c>
      <c r="I32" s="47">
        <f t="shared" si="0"/>
        <v>0</v>
      </c>
      <c r="J32" s="48">
        <v>45341</v>
      </c>
      <c r="K32" s="49">
        <v>45460</v>
      </c>
      <c r="L32" s="50">
        <v>4156720804</v>
      </c>
      <c r="M32" s="51"/>
      <c r="N32" s="52"/>
      <c r="O32" s="52"/>
      <c r="S32" s="53"/>
    </row>
    <row r="33" spans="1:19" s="2" customFormat="1" ht="16.5" customHeight="1" x14ac:dyDescent="0.35">
      <c r="A33" s="39" t="s">
        <v>71</v>
      </c>
      <c r="B33" s="40" t="s">
        <v>87</v>
      </c>
      <c r="C33" s="41"/>
      <c r="D33" s="42" t="s">
        <v>61</v>
      </c>
      <c r="E33" s="43">
        <v>3312000</v>
      </c>
      <c r="F33" s="44">
        <f t="shared" si="1"/>
        <v>264960</v>
      </c>
      <c r="G33" s="45">
        <f t="shared" si="2"/>
        <v>3576960</v>
      </c>
      <c r="H33" s="46">
        <v>3576960</v>
      </c>
      <c r="I33" s="47">
        <f t="shared" si="0"/>
        <v>0</v>
      </c>
      <c r="J33" s="48">
        <v>45341</v>
      </c>
      <c r="K33" s="49">
        <v>45460</v>
      </c>
      <c r="L33" s="50">
        <v>4156720766</v>
      </c>
      <c r="M33" s="51"/>
      <c r="N33" s="52"/>
      <c r="O33" s="52"/>
      <c r="S33" s="53"/>
    </row>
    <row r="34" spans="1:19" s="2" customFormat="1" ht="16.5" customHeight="1" x14ac:dyDescent="0.35">
      <c r="A34" s="39" t="s">
        <v>88</v>
      </c>
      <c r="B34" s="40" t="s">
        <v>89</v>
      </c>
      <c r="C34" s="41">
        <v>730</v>
      </c>
      <c r="D34" s="42">
        <v>45341</v>
      </c>
      <c r="E34" s="43">
        <v>2232000</v>
      </c>
      <c r="F34" s="44">
        <f t="shared" si="1"/>
        <v>178560</v>
      </c>
      <c r="G34" s="45">
        <f t="shared" si="2"/>
        <v>2410560</v>
      </c>
      <c r="H34" s="46">
        <v>2410560</v>
      </c>
      <c r="I34" s="47">
        <f t="shared" si="0"/>
        <v>0</v>
      </c>
      <c r="J34" s="48">
        <v>45341</v>
      </c>
      <c r="K34" s="49">
        <v>45460</v>
      </c>
      <c r="L34" s="50">
        <v>4156720770</v>
      </c>
      <c r="M34" s="51"/>
      <c r="N34" s="52"/>
      <c r="O34" s="52"/>
      <c r="S34" s="53"/>
    </row>
    <row r="35" spans="1:19" s="2" customFormat="1" ht="16.5" customHeight="1" x14ac:dyDescent="0.35">
      <c r="A35" s="39" t="s">
        <v>90</v>
      </c>
      <c r="B35" s="40" t="s">
        <v>91</v>
      </c>
      <c r="C35" s="41"/>
      <c r="D35" s="42" t="s">
        <v>61</v>
      </c>
      <c r="E35" s="43">
        <v>1440000</v>
      </c>
      <c r="F35" s="44">
        <f t="shared" si="1"/>
        <v>115200</v>
      </c>
      <c r="G35" s="45">
        <f t="shared" si="2"/>
        <v>1555200</v>
      </c>
      <c r="H35" s="46">
        <v>1555200</v>
      </c>
      <c r="I35" s="47">
        <f t="shared" si="0"/>
        <v>0</v>
      </c>
      <c r="J35" s="48">
        <v>45341</v>
      </c>
      <c r="K35" s="49">
        <v>45460</v>
      </c>
      <c r="L35" s="50">
        <v>4156720771</v>
      </c>
      <c r="M35" s="51"/>
      <c r="N35" s="52"/>
      <c r="O35" s="52"/>
      <c r="S35" s="53"/>
    </row>
    <row r="36" spans="1:19" s="2" customFormat="1" ht="16.5" customHeight="1" x14ac:dyDescent="0.35">
      <c r="A36" s="39" t="s">
        <v>33</v>
      </c>
      <c r="B36" s="40" t="s">
        <v>92</v>
      </c>
      <c r="C36" s="41">
        <v>731</v>
      </c>
      <c r="D36" s="42">
        <v>45341</v>
      </c>
      <c r="E36" s="43">
        <v>40689500</v>
      </c>
      <c r="F36" s="44">
        <f t="shared" si="1"/>
        <v>3255160</v>
      </c>
      <c r="G36" s="45">
        <f t="shared" si="2"/>
        <v>43944660</v>
      </c>
      <c r="H36" s="46">
        <v>43944660</v>
      </c>
      <c r="I36" s="47">
        <f t="shared" si="0"/>
        <v>0</v>
      </c>
      <c r="J36" s="48">
        <v>45341</v>
      </c>
      <c r="K36" s="49">
        <v>45460</v>
      </c>
      <c r="L36" s="50">
        <v>4901083145</v>
      </c>
      <c r="M36" s="51"/>
      <c r="N36" s="52"/>
      <c r="O36" s="52"/>
      <c r="S36" s="53"/>
    </row>
    <row r="37" spans="1:19" s="2" customFormat="1" ht="16.5" customHeight="1" x14ac:dyDescent="0.35">
      <c r="A37" s="39" t="s">
        <v>37</v>
      </c>
      <c r="B37" s="40" t="s">
        <v>93</v>
      </c>
      <c r="C37" s="41"/>
      <c r="D37" s="42" t="s">
        <v>94</v>
      </c>
      <c r="E37" s="43">
        <v>14960000</v>
      </c>
      <c r="F37" s="44">
        <f t="shared" si="1"/>
        <v>1196800</v>
      </c>
      <c r="G37" s="45">
        <f t="shared" si="2"/>
        <v>16156800</v>
      </c>
      <c r="H37" s="46">
        <v>16156800</v>
      </c>
      <c r="I37" s="47">
        <f t="shared" si="0"/>
        <v>0</v>
      </c>
      <c r="J37" s="48">
        <v>45341</v>
      </c>
      <c r="K37" s="49">
        <v>45519</v>
      </c>
      <c r="L37" s="50">
        <v>4901086240</v>
      </c>
      <c r="M37" s="51"/>
      <c r="N37" s="52"/>
      <c r="O37" s="52"/>
      <c r="S37" s="53"/>
    </row>
    <row r="38" spans="1:19" s="2" customFormat="1" ht="16.5" customHeight="1" x14ac:dyDescent="0.35">
      <c r="A38" s="39" t="s">
        <v>37</v>
      </c>
      <c r="B38" s="40" t="s">
        <v>95</v>
      </c>
      <c r="C38" s="41"/>
      <c r="D38" s="42" t="s">
        <v>94</v>
      </c>
      <c r="E38" s="43">
        <v>7680000</v>
      </c>
      <c r="F38" s="44">
        <f t="shared" si="1"/>
        <v>614400</v>
      </c>
      <c r="G38" s="45">
        <f t="shared" si="2"/>
        <v>8294400</v>
      </c>
      <c r="H38" s="46">
        <v>8294400</v>
      </c>
      <c r="I38" s="47">
        <f t="shared" si="0"/>
        <v>0</v>
      </c>
      <c r="J38" s="48">
        <v>45341</v>
      </c>
      <c r="K38" s="49">
        <v>45519</v>
      </c>
      <c r="L38" s="50">
        <v>4901086311</v>
      </c>
      <c r="M38" s="51"/>
      <c r="N38" s="52"/>
      <c r="O38" s="52"/>
      <c r="S38" s="53"/>
    </row>
    <row r="39" spans="1:19" s="2" customFormat="1" ht="16.5" customHeight="1" x14ac:dyDescent="0.35">
      <c r="A39" s="39" t="s">
        <v>37</v>
      </c>
      <c r="B39" s="40" t="s">
        <v>96</v>
      </c>
      <c r="C39" s="41"/>
      <c r="D39" s="42" t="s">
        <v>68</v>
      </c>
      <c r="E39" s="43">
        <v>2080000</v>
      </c>
      <c r="F39" s="44">
        <f t="shared" si="1"/>
        <v>166400</v>
      </c>
      <c r="G39" s="45">
        <f t="shared" si="2"/>
        <v>2246400</v>
      </c>
      <c r="H39" s="46">
        <v>2246400</v>
      </c>
      <c r="I39" s="47">
        <f t="shared" si="0"/>
        <v>0</v>
      </c>
      <c r="J39" s="48">
        <v>45324</v>
      </c>
      <c r="K39" s="49">
        <v>45460</v>
      </c>
      <c r="L39" s="50">
        <v>4901077796</v>
      </c>
      <c r="M39" s="51"/>
      <c r="N39" s="52"/>
      <c r="O39" s="52"/>
      <c r="S39" s="53"/>
    </row>
    <row r="40" spans="1:19" s="2" customFormat="1" ht="16.5" customHeight="1" x14ac:dyDescent="0.35">
      <c r="A40" s="39" t="s">
        <v>37</v>
      </c>
      <c r="B40" s="40" t="s">
        <v>97</v>
      </c>
      <c r="C40" s="41"/>
      <c r="D40" s="42" t="s">
        <v>68</v>
      </c>
      <c r="E40" s="43">
        <v>20560000</v>
      </c>
      <c r="F40" s="44">
        <f t="shared" si="1"/>
        <v>1644800</v>
      </c>
      <c r="G40" s="45">
        <f t="shared" si="2"/>
        <v>22204800</v>
      </c>
      <c r="H40" s="46">
        <v>22204800</v>
      </c>
      <c r="I40" s="47">
        <f t="shared" si="0"/>
        <v>0</v>
      </c>
      <c r="J40" s="48">
        <v>45324</v>
      </c>
      <c r="K40" s="49">
        <v>45460</v>
      </c>
      <c r="L40" s="50">
        <v>4901078450</v>
      </c>
      <c r="M40" s="51"/>
      <c r="N40" s="52"/>
      <c r="O40" s="52"/>
      <c r="S40" s="53"/>
    </row>
    <row r="41" spans="1:19" s="2" customFormat="1" ht="16.5" customHeight="1" x14ac:dyDescent="0.35">
      <c r="A41" s="39" t="s">
        <v>29</v>
      </c>
      <c r="B41" s="40" t="s">
        <v>98</v>
      </c>
      <c r="C41" s="41">
        <v>650</v>
      </c>
      <c r="D41" s="42">
        <v>45324</v>
      </c>
      <c r="E41" s="43">
        <v>6682000</v>
      </c>
      <c r="F41" s="44">
        <f t="shared" si="1"/>
        <v>534560</v>
      </c>
      <c r="G41" s="45">
        <f t="shared" si="2"/>
        <v>7216560</v>
      </c>
      <c r="H41" s="46">
        <v>7216560</v>
      </c>
      <c r="I41" s="47">
        <f t="shared" si="0"/>
        <v>0</v>
      </c>
      <c r="J41" s="48">
        <v>45324</v>
      </c>
      <c r="K41" s="49">
        <v>45460</v>
      </c>
      <c r="L41" s="50">
        <v>4901078849</v>
      </c>
      <c r="M41" s="51"/>
      <c r="N41" s="52"/>
      <c r="O41" s="52"/>
      <c r="S41" s="53"/>
    </row>
    <row r="42" spans="1:19" s="2" customFormat="1" ht="16.5" customHeight="1" x14ac:dyDescent="0.35">
      <c r="A42" s="39" t="s">
        <v>71</v>
      </c>
      <c r="B42" s="40" t="s">
        <v>99</v>
      </c>
      <c r="C42" s="41"/>
      <c r="D42" s="42" t="s">
        <v>68</v>
      </c>
      <c r="E42" s="43">
        <v>2760000</v>
      </c>
      <c r="F42" s="44">
        <f t="shared" si="1"/>
        <v>220800</v>
      </c>
      <c r="G42" s="45">
        <f t="shared" si="2"/>
        <v>2980800</v>
      </c>
      <c r="H42" s="46">
        <v>2980800</v>
      </c>
      <c r="I42" s="47">
        <f t="shared" si="0"/>
        <v>0</v>
      </c>
      <c r="J42" s="48">
        <v>45324</v>
      </c>
      <c r="K42" s="49">
        <v>45460</v>
      </c>
      <c r="L42" s="50">
        <v>4156785928</v>
      </c>
      <c r="M42" s="51"/>
      <c r="N42" s="52"/>
      <c r="O42" s="52"/>
      <c r="S42" s="53"/>
    </row>
    <row r="43" spans="1:19" s="2" customFormat="1" ht="16.5" customHeight="1" x14ac:dyDescent="0.35">
      <c r="A43" s="39" t="s">
        <v>71</v>
      </c>
      <c r="B43" s="40" t="s">
        <v>100</v>
      </c>
      <c r="C43" s="41"/>
      <c r="D43" s="42" t="s">
        <v>68</v>
      </c>
      <c r="E43" s="43">
        <v>10852000</v>
      </c>
      <c r="F43" s="44">
        <f t="shared" si="1"/>
        <v>868160</v>
      </c>
      <c r="G43" s="45">
        <f t="shared" si="2"/>
        <v>11720160</v>
      </c>
      <c r="H43" s="46">
        <v>11720160</v>
      </c>
      <c r="I43" s="47">
        <f t="shared" si="0"/>
        <v>0</v>
      </c>
      <c r="J43" s="48">
        <v>45324</v>
      </c>
      <c r="K43" s="49">
        <v>45460</v>
      </c>
      <c r="L43" s="50">
        <v>4156720588</v>
      </c>
      <c r="M43" s="51"/>
      <c r="N43" s="52"/>
      <c r="O43" s="52"/>
      <c r="S43" s="53"/>
    </row>
    <row r="44" spans="1:19" s="2" customFormat="1" ht="16.5" customHeight="1" x14ac:dyDescent="0.35">
      <c r="A44" s="39" t="s">
        <v>33</v>
      </c>
      <c r="B44" s="40" t="s">
        <v>101</v>
      </c>
      <c r="C44" s="41">
        <v>651</v>
      </c>
      <c r="D44" s="42">
        <v>45324</v>
      </c>
      <c r="E44" s="43">
        <v>29248000</v>
      </c>
      <c r="F44" s="44">
        <f t="shared" si="1"/>
        <v>2339840</v>
      </c>
      <c r="G44" s="45">
        <f t="shared" si="2"/>
        <v>31587840</v>
      </c>
      <c r="H44" s="46">
        <v>31587840</v>
      </c>
      <c r="I44" s="47">
        <f t="shared" si="0"/>
        <v>0</v>
      </c>
      <c r="J44" s="48">
        <v>45324</v>
      </c>
      <c r="K44" s="49">
        <v>45460</v>
      </c>
      <c r="L44" s="50">
        <v>4901078767</v>
      </c>
      <c r="M44" s="51"/>
      <c r="N44" s="52"/>
      <c r="O44" s="52"/>
      <c r="S44" s="53"/>
    </row>
    <row r="45" spans="1:19" s="2" customFormat="1" ht="16.5" customHeight="1" x14ac:dyDescent="0.35">
      <c r="A45" s="39" t="s">
        <v>102</v>
      </c>
      <c r="B45" s="40" t="s">
        <v>103</v>
      </c>
      <c r="C45" s="41"/>
      <c r="D45" s="42" t="s">
        <v>61</v>
      </c>
      <c r="E45" s="43">
        <v>11611000</v>
      </c>
      <c r="F45" s="44">
        <f t="shared" si="1"/>
        <v>928880</v>
      </c>
      <c r="G45" s="45">
        <f t="shared" si="2"/>
        <v>12539880</v>
      </c>
      <c r="H45" s="46">
        <v>12539880</v>
      </c>
      <c r="I45" s="47">
        <f t="shared" si="0"/>
        <v>0</v>
      </c>
      <c r="J45" s="48">
        <v>45324</v>
      </c>
      <c r="K45" s="49">
        <v>45460</v>
      </c>
      <c r="L45" s="50">
        <v>4156720586</v>
      </c>
      <c r="M45" s="51"/>
      <c r="N45" s="52"/>
      <c r="O45" s="52"/>
      <c r="S45" s="53"/>
    </row>
    <row r="46" spans="1:19" s="2" customFormat="1" ht="16.5" customHeight="1" x14ac:dyDescent="0.35">
      <c r="A46" s="39" t="s">
        <v>71</v>
      </c>
      <c r="B46" s="40" t="s">
        <v>104</v>
      </c>
      <c r="C46" s="41"/>
      <c r="D46" s="42" t="s">
        <v>61</v>
      </c>
      <c r="E46" s="43">
        <v>11500000</v>
      </c>
      <c r="F46" s="44">
        <f t="shared" si="1"/>
        <v>920000</v>
      </c>
      <c r="G46" s="45">
        <f t="shared" si="2"/>
        <v>12420000</v>
      </c>
      <c r="H46" s="46">
        <v>12420000</v>
      </c>
      <c r="I46" s="47">
        <f t="shared" si="0"/>
        <v>0</v>
      </c>
      <c r="J46" s="48">
        <v>45324</v>
      </c>
      <c r="K46" s="49">
        <v>45460</v>
      </c>
      <c r="L46" s="50">
        <v>4156720697</v>
      </c>
      <c r="M46" s="51"/>
      <c r="N46" s="52"/>
      <c r="O46" s="52"/>
      <c r="S46" s="53"/>
    </row>
    <row r="47" spans="1:19" s="2" customFormat="1" ht="16.5" customHeight="1" x14ac:dyDescent="0.35">
      <c r="A47" s="39" t="s">
        <v>71</v>
      </c>
      <c r="B47" s="40" t="s">
        <v>105</v>
      </c>
      <c r="C47" s="41"/>
      <c r="D47" s="42" t="s">
        <v>61</v>
      </c>
      <c r="E47" s="43">
        <v>32636000</v>
      </c>
      <c r="F47" s="44">
        <f t="shared" si="1"/>
        <v>2610880</v>
      </c>
      <c r="G47" s="45">
        <f t="shared" si="2"/>
        <v>35246880</v>
      </c>
      <c r="H47" s="46">
        <v>35246880</v>
      </c>
      <c r="I47" s="47">
        <f t="shared" si="0"/>
        <v>0</v>
      </c>
      <c r="J47" s="48">
        <v>45324</v>
      </c>
      <c r="K47" s="49">
        <v>45460</v>
      </c>
      <c r="L47" s="50">
        <v>4156719918</v>
      </c>
      <c r="M47" s="51"/>
      <c r="N47" s="52"/>
      <c r="O47" s="52"/>
      <c r="S47" s="53"/>
    </row>
    <row r="48" spans="1:19" s="2" customFormat="1" ht="16.5" customHeight="1" x14ac:dyDescent="0.35">
      <c r="A48" s="39" t="s">
        <v>71</v>
      </c>
      <c r="B48" s="40" t="s">
        <v>106</v>
      </c>
      <c r="C48" s="41"/>
      <c r="D48" s="42" t="s">
        <v>61</v>
      </c>
      <c r="E48" s="43">
        <v>17668000</v>
      </c>
      <c r="F48" s="44">
        <f t="shared" si="1"/>
        <v>1413440</v>
      </c>
      <c r="G48" s="45">
        <f t="shared" si="2"/>
        <v>19081440</v>
      </c>
      <c r="H48" s="46">
        <v>19081440</v>
      </c>
      <c r="I48" s="47">
        <f t="shared" si="0"/>
        <v>0</v>
      </c>
      <c r="J48" s="48">
        <v>45324</v>
      </c>
      <c r="K48" s="49">
        <v>45460</v>
      </c>
      <c r="L48" s="50">
        <v>4156719917</v>
      </c>
      <c r="M48" s="51"/>
      <c r="N48" s="52"/>
      <c r="O48" s="52"/>
      <c r="S48" s="53"/>
    </row>
    <row r="49" spans="1:19" s="2" customFormat="1" ht="16.5" customHeight="1" x14ac:dyDescent="0.35">
      <c r="A49" s="39" t="s">
        <v>59</v>
      </c>
      <c r="B49" s="40" t="s">
        <v>107</v>
      </c>
      <c r="C49" s="41">
        <v>652</v>
      </c>
      <c r="D49" s="42">
        <v>45324</v>
      </c>
      <c r="E49" s="43">
        <v>5271000</v>
      </c>
      <c r="F49" s="44">
        <f t="shared" si="1"/>
        <v>421680</v>
      </c>
      <c r="G49" s="45">
        <f t="shared" si="2"/>
        <v>5692680</v>
      </c>
      <c r="H49" s="46">
        <v>5692680</v>
      </c>
      <c r="I49" s="47">
        <f t="shared" si="0"/>
        <v>0</v>
      </c>
      <c r="J49" s="48">
        <v>45324</v>
      </c>
      <c r="K49" s="49">
        <v>45460</v>
      </c>
      <c r="L49" s="50">
        <v>4156720109</v>
      </c>
      <c r="M49" s="51"/>
      <c r="N49" s="52"/>
      <c r="O49" s="52"/>
      <c r="S49" s="53"/>
    </row>
    <row r="50" spans="1:19" s="2" customFormat="1" ht="16.5" customHeight="1" x14ac:dyDescent="0.35">
      <c r="A50" s="39" t="s">
        <v>85</v>
      </c>
      <c r="B50" s="40" t="s">
        <v>108</v>
      </c>
      <c r="C50" s="41"/>
      <c r="D50" s="42" t="s">
        <v>61</v>
      </c>
      <c r="E50" s="43">
        <v>3312000</v>
      </c>
      <c r="F50" s="44">
        <f t="shared" si="1"/>
        <v>264960</v>
      </c>
      <c r="G50" s="45">
        <f t="shared" si="2"/>
        <v>3576960</v>
      </c>
      <c r="H50" s="46">
        <v>3576960</v>
      </c>
      <c r="I50" s="47">
        <f t="shared" si="0"/>
        <v>0</v>
      </c>
      <c r="J50" s="48">
        <v>45324</v>
      </c>
      <c r="K50" s="49">
        <v>45460</v>
      </c>
      <c r="L50" s="50">
        <v>4156720807</v>
      </c>
      <c r="M50" s="51"/>
      <c r="N50" s="52"/>
      <c r="O50" s="52"/>
      <c r="S50" s="53"/>
    </row>
    <row r="51" spans="1:19" s="2" customFormat="1" ht="16.5" customHeight="1" x14ac:dyDescent="0.35">
      <c r="A51" s="39" t="s">
        <v>71</v>
      </c>
      <c r="B51" s="40" t="s">
        <v>109</v>
      </c>
      <c r="C51" s="41"/>
      <c r="D51" s="42" t="s">
        <v>61</v>
      </c>
      <c r="E51" s="43">
        <v>6624000</v>
      </c>
      <c r="F51" s="44">
        <f t="shared" si="1"/>
        <v>529920</v>
      </c>
      <c r="G51" s="45">
        <f t="shared" si="2"/>
        <v>7153920</v>
      </c>
      <c r="H51" s="46">
        <v>7153920</v>
      </c>
      <c r="I51" s="47">
        <f t="shared" si="0"/>
        <v>0</v>
      </c>
      <c r="J51" s="48">
        <v>45324</v>
      </c>
      <c r="K51" s="49">
        <v>45460</v>
      </c>
      <c r="L51" s="50">
        <v>4156720806</v>
      </c>
      <c r="M51" s="51"/>
      <c r="N51" s="52"/>
      <c r="O51" s="52"/>
      <c r="S51" s="53"/>
    </row>
    <row r="52" spans="1:19" s="2" customFormat="1" ht="16.5" customHeight="1" x14ac:dyDescent="0.35">
      <c r="A52" s="39" t="s">
        <v>71</v>
      </c>
      <c r="B52" s="40" t="s">
        <v>110</v>
      </c>
      <c r="C52" s="41"/>
      <c r="D52" s="42" t="s">
        <v>61</v>
      </c>
      <c r="E52" s="43">
        <v>3312000</v>
      </c>
      <c r="F52" s="44">
        <f t="shared" si="1"/>
        <v>264960</v>
      </c>
      <c r="G52" s="45">
        <f t="shared" si="2"/>
        <v>3576960</v>
      </c>
      <c r="H52" s="46">
        <v>3576960</v>
      </c>
      <c r="I52" s="47">
        <f t="shared" si="0"/>
        <v>0</v>
      </c>
      <c r="J52" s="48">
        <v>45324</v>
      </c>
      <c r="K52" s="49">
        <v>45460</v>
      </c>
      <c r="L52" s="50">
        <v>4156720764</v>
      </c>
      <c r="M52" s="51"/>
      <c r="N52" s="52"/>
      <c r="O52" s="52"/>
      <c r="S52" s="53"/>
    </row>
    <row r="53" spans="1:19" s="2" customFormat="1" ht="16.5" customHeight="1" x14ac:dyDescent="0.35">
      <c r="A53" s="39" t="s">
        <v>71</v>
      </c>
      <c r="B53" s="40" t="s">
        <v>111</v>
      </c>
      <c r="C53" s="41">
        <v>653</v>
      </c>
      <c r="D53" s="42">
        <v>45324</v>
      </c>
      <c r="E53" s="43">
        <v>2610000</v>
      </c>
      <c r="F53" s="44">
        <f t="shared" si="1"/>
        <v>208800</v>
      </c>
      <c r="G53" s="45">
        <f t="shared" si="2"/>
        <v>2818800</v>
      </c>
      <c r="H53" s="46">
        <v>2818800</v>
      </c>
      <c r="I53" s="47">
        <f t="shared" si="0"/>
        <v>0</v>
      </c>
      <c r="J53" s="48">
        <v>45324</v>
      </c>
      <c r="K53" s="49">
        <v>45460</v>
      </c>
      <c r="L53" s="50">
        <v>4156720768</v>
      </c>
      <c r="M53" s="51"/>
      <c r="N53" s="52"/>
      <c r="O53" s="52"/>
      <c r="S53" s="53"/>
    </row>
    <row r="54" spans="1:19" s="2" customFormat="1" ht="16.5" customHeight="1" x14ac:dyDescent="0.35">
      <c r="A54" s="39" t="s">
        <v>71</v>
      </c>
      <c r="B54" s="40" t="s">
        <v>112</v>
      </c>
      <c r="C54" s="41"/>
      <c r="D54" s="42" t="s">
        <v>61</v>
      </c>
      <c r="E54" s="43">
        <v>6624000</v>
      </c>
      <c r="F54" s="44">
        <f t="shared" si="1"/>
        <v>529920</v>
      </c>
      <c r="G54" s="45">
        <f t="shared" si="2"/>
        <v>7153920</v>
      </c>
      <c r="H54" s="46">
        <v>7153920</v>
      </c>
      <c r="I54" s="47">
        <f t="shared" si="0"/>
        <v>0</v>
      </c>
      <c r="J54" s="48">
        <v>45324</v>
      </c>
      <c r="K54" s="49">
        <v>45460</v>
      </c>
      <c r="L54" s="50">
        <v>4156720765</v>
      </c>
      <c r="M54" s="51"/>
      <c r="N54" s="52"/>
      <c r="O54" s="52"/>
      <c r="S54" s="53"/>
    </row>
    <row r="55" spans="1:19" s="2" customFormat="1" ht="16.5" customHeight="1" x14ac:dyDescent="0.35">
      <c r="A55" s="39" t="s">
        <v>113</v>
      </c>
      <c r="B55" s="40" t="s">
        <v>114</v>
      </c>
      <c r="C55" s="41">
        <v>654</v>
      </c>
      <c r="D55" s="42">
        <v>45324</v>
      </c>
      <c r="E55" s="43">
        <v>2790000</v>
      </c>
      <c r="F55" s="44">
        <f t="shared" si="1"/>
        <v>223200</v>
      </c>
      <c r="G55" s="45">
        <f t="shared" si="2"/>
        <v>3013200</v>
      </c>
      <c r="H55" s="46">
        <v>3013200</v>
      </c>
      <c r="I55" s="47">
        <f t="shared" si="0"/>
        <v>0</v>
      </c>
      <c r="J55" s="48">
        <v>45324</v>
      </c>
      <c r="K55" s="49">
        <v>45460</v>
      </c>
      <c r="L55" s="50">
        <v>4156731044</v>
      </c>
      <c r="M55" s="51"/>
      <c r="N55" s="52"/>
      <c r="O55" s="52"/>
      <c r="S55" s="53"/>
    </row>
    <row r="56" spans="1:19" s="2" customFormat="1" ht="16.5" customHeight="1" x14ac:dyDescent="0.35">
      <c r="A56" s="39" t="s">
        <v>71</v>
      </c>
      <c r="B56" s="40" t="s">
        <v>115</v>
      </c>
      <c r="C56" s="41"/>
      <c r="D56" s="42" t="s">
        <v>61</v>
      </c>
      <c r="E56" s="43">
        <v>3312000</v>
      </c>
      <c r="F56" s="44">
        <f t="shared" si="1"/>
        <v>264960</v>
      </c>
      <c r="G56" s="45">
        <f t="shared" si="2"/>
        <v>3576960</v>
      </c>
      <c r="H56" s="46">
        <v>3576960</v>
      </c>
      <c r="I56" s="47">
        <f t="shared" si="0"/>
        <v>0</v>
      </c>
      <c r="J56" s="48">
        <v>45324</v>
      </c>
      <c r="K56" s="49">
        <v>45460</v>
      </c>
      <c r="L56" s="50">
        <v>4156720772</v>
      </c>
      <c r="M56" s="51"/>
      <c r="N56" s="52"/>
      <c r="O56" s="52"/>
      <c r="S56" s="53"/>
    </row>
    <row r="57" spans="1:19" s="2" customFormat="1" ht="16.5" customHeight="1" x14ac:dyDescent="0.35">
      <c r="A57" s="39" t="s">
        <v>116</v>
      </c>
      <c r="B57" s="40" t="s">
        <v>117</v>
      </c>
      <c r="C57" s="41"/>
      <c r="D57" s="42" t="s">
        <v>73</v>
      </c>
      <c r="E57" s="43">
        <v>8164000</v>
      </c>
      <c r="F57" s="44">
        <f t="shared" si="1"/>
        <v>653120</v>
      </c>
      <c r="G57" s="45">
        <f t="shared" si="2"/>
        <v>8817120</v>
      </c>
      <c r="H57" s="46">
        <v>8817120</v>
      </c>
      <c r="I57" s="47">
        <f t="shared" si="0"/>
        <v>0</v>
      </c>
      <c r="J57" s="48">
        <v>45324</v>
      </c>
      <c r="K57" s="49">
        <v>45460</v>
      </c>
      <c r="L57" s="50">
        <v>4156720009</v>
      </c>
      <c r="M57" s="51"/>
      <c r="N57" s="52"/>
      <c r="O57" s="52"/>
      <c r="S57" s="53"/>
    </row>
    <row r="58" spans="1:19" s="2" customFormat="1" ht="16.5" customHeight="1" x14ac:dyDescent="0.35">
      <c r="A58" s="39" t="s">
        <v>37</v>
      </c>
      <c r="B58" s="40" t="s">
        <v>118</v>
      </c>
      <c r="C58" s="41"/>
      <c r="D58" s="42" t="s">
        <v>119</v>
      </c>
      <c r="E58" s="43">
        <v>12000000</v>
      </c>
      <c r="F58" s="44">
        <f t="shared" si="1"/>
        <v>960000</v>
      </c>
      <c r="G58" s="45">
        <f t="shared" si="2"/>
        <v>12960000</v>
      </c>
      <c r="H58" s="46">
        <v>12960000</v>
      </c>
      <c r="I58" s="47">
        <f t="shared" si="0"/>
        <v>0</v>
      </c>
      <c r="J58" s="48">
        <v>45324</v>
      </c>
      <c r="K58" s="49">
        <v>45460</v>
      </c>
      <c r="L58" s="50">
        <v>4901082968</v>
      </c>
      <c r="M58" s="51"/>
      <c r="N58" s="52"/>
      <c r="O58" s="52"/>
      <c r="S58" s="53"/>
    </row>
    <row r="59" spans="1:19" s="2" customFormat="1" ht="16.5" customHeight="1" x14ac:dyDescent="0.35">
      <c r="A59" s="39" t="s">
        <v>71</v>
      </c>
      <c r="B59" s="40" t="s">
        <v>120</v>
      </c>
      <c r="C59" s="41"/>
      <c r="D59" s="42" t="s">
        <v>61</v>
      </c>
      <c r="E59" s="43">
        <v>8587000</v>
      </c>
      <c r="F59" s="44">
        <f t="shared" si="1"/>
        <v>686960</v>
      </c>
      <c r="G59" s="45">
        <f t="shared" si="2"/>
        <v>9273960</v>
      </c>
      <c r="H59" s="46">
        <v>9273960</v>
      </c>
      <c r="I59" s="47">
        <f t="shared" si="0"/>
        <v>0</v>
      </c>
      <c r="J59" s="48">
        <v>45318</v>
      </c>
      <c r="K59" s="49">
        <v>45460</v>
      </c>
      <c r="L59" s="50">
        <v>4156720592</v>
      </c>
      <c r="M59" s="51"/>
      <c r="N59" s="52"/>
      <c r="O59" s="52"/>
      <c r="S59" s="53"/>
    </row>
    <row r="60" spans="1:19" s="2" customFormat="1" ht="16.5" customHeight="1" x14ac:dyDescent="0.35">
      <c r="A60" s="39" t="s">
        <v>71</v>
      </c>
      <c r="B60" s="40" t="s">
        <v>121</v>
      </c>
      <c r="C60" s="41"/>
      <c r="D60" s="42" t="s">
        <v>61</v>
      </c>
      <c r="E60" s="43">
        <v>8239000</v>
      </c>
      <c r="F60" s="44">
        <f t="shared" si="1"/>
        <v>659120</v>
      </c>
      <c r="G60" s="45">
        <f t="shared" si="2"/>
        <v>8898120</v>
      </c>
      <c r="H60" s="46">
        <v>8898120</v>
      </c>
      <c r="I60" s="47">
        <f t="shared" si="0"/>
        <v>0</v>
      </c>
      <c r="J60" s="48">
        <v>45318</v>
      </c>
      <c r="K60" s="49">
        <v>45460</v>
      </c>
      <c r="L60" s="50">
        <v>4156720659</v>
      </c>
      <c r="M60" s="51"/>
      <c r="N60" s="52"/>
      <c r="O60" s="52"/>
      <c r="S60" s="53"/>
    </row>
    <row r="61" spans="1:19" s="2" customFormat="1" ht="16.5" customHeight="1" x14ac:dyDescent="0.35">
      <c r="A61" s="39" t="s">
        <v>71</v>
      </c>
      <c r="B61" s="40" t="s">
        <v>122</v>
      </c>
      <c r="C61" s="41">
        <v>585</v>
      </c>
      <c r="D61" s="42">
        <v>45320</v>
      </c>
      <c r="E61" s="43">
        <v>1152000</v>
      </c>
      <c r="F61" s="44">
        <f t="shared" si="1"/>
        <v>92160</v>
      </c>
      <c r="G61" s="45">
        <f t="shared" si="2"/>
        <v>1244160</v>
      </c>
      <c r="H61" s="46">
        <v>1244160</v>
      </c>
      <c r="I61" s="47">
        <f t="shared" si="0"/>
        <v>0</v>
      </c>
      <c r="J61" s="48">
        <v>45318</v>
      </c>
      <c r="K61" s="49">
        <v>45460</v>
      </c>
      <c r="L61" s="50">
        <v>4156719921</v>
      </c>
      <c r="M61" s="51"/>
      <c r="N61" s="52"/>
      <c r="O61" s="52"/>
      <c r="S61" s="53"/>
    </row>
    <row r="62" spans="1:19" s="2" customFormat="1" ht="16.5" customHeight="1" x14ac:dyDescent="0.35">
      <c r="A62" s="39" t="s">
        <v>123</v>
      </c>
      <c r="B62" s="40" t="s">
        <v>124</v>
      </c>
      <c r="C62" s="41">
        <v>586</v>
      </c>
      <c r="D62" s="42">
        <v>45320</v>
      </c>
      <c r="E62" s="43">
        <v>12097500</v>
      </c>
      <c r="F62" s="44">
        <f t="shared" si="1"/>
        <v>967800</v>
      </c>
      <c r="G62" s="45">
        <f t="shared" si="2"/>
        <v>13065300</v>
      </c>
      <c r="H62" s="46">
        <v>13065300</v>
      </c>
      <c r="I62" s="47">
        <f t="shared" si="0"/>
        <v>0</v>
      </c>
      <c r="J62" s="48">
        <v>45318</v>
      </c>
      <c r="K62" s="49">
        <v>45460</v>
      </c>
      <c r="L62" s="50">
        <v>4156720237</v>
      </c>
      <c r="M62" s="51"/>
      <c r="N62" s="52"/>
      <c r="O62" s="52"/>
      <c r="S62" s="53"/>
    </row>
    <row r="63" spans="1:19" s="2" customFormat="1" ht="16.5" customHeight="1" x14ac:dyDescent="0.35">
      <c r="A63" s="39" t="s">
        <v>81</v>
      </c>
      <c r="B63" s="40" t="s">
        <v>125</v>
      </c>
      <c r="C63" s="41">
        <v>587</v>
      </c>
      <c r="D63" s="42">
        <v>45320</v>
      </c>
      <c r="E63" s="43">
        <v>32584000</v>
      </c>
      <c r="F63" s="44">
        <f t="shared" si="1"/>
        <v>2606720</v>
      </c>
      <c r="G63" s="45">
        <f t="shared" si="2"/>
        <v>35190720</v>
      </c>
      <c r="H63" s="46">
        <v>35190720</v>
      </c>
      <c r="I63" s="47">
        <f t="shared" si="0"/>
        <v>0</v>
      </c>
      <c r="J63" s="48">
        <v>45318</v>
      </c>
      <c r="K63" s="49">
        <v>45460</v>
      </c>
      <c r="L63" s="50">
        <v>4156720179</v>
      </c>
      <c r="M63" s="51"/>
      <c r="N63" s="52"/>
      <c r="O63" s="52"/>
      <c r="S63" s="53"/>
    </row>
    <row r="64" spans="1:19" s="2" customFormat="1" ht="16.5" customHeight="1" x14ac:dyDescent="0.35">
      <c r="A64" s="39" t="s">
        <v>71</v>
      </c>
      <c r="B64" s="40" t="s">
        <v>126</v>
      </c>
      <c r="C64" s="41"/>
      <c r="D64" s="42" t="s">
        <v>61</v>
      </c>
      <c r="E64" s="43">
        <v>3312000</v>
      </c>
      <c r="F64" s="44">
        <f t="shared" si="1"/>
        <v>264960</v>
      </c>
      <c r="G64" s="45">
        <f t="shared" si="2"/>
        <v>3576960</v>
      </c>
      <c r="H64" s="46">
        <v>3576960</v>
      </c>
      <c r="I64" s="47">
        <f t="shared" si="0"/>
        <v>0</v>
      </c>
      <c r="J64" s="48">
        <v>45318</v>
      </c>
      <c r="K64" s="49">
        <v>45460</v>
      </c>
      <c r="L64" s="50">
        <v>4156720783</v>
      </c>
      <c r="M64" s="51"/>
      <c r="N64" s="52"/>
      <c r="O64" s="52"/>
      <c r="S64" s="53"/>
    </row>
    <row r="65" spans="1:19" s="2" customFormat="1" ht="16.5" customHeight="1" x14ac:dyDescent="0.35">
      <c r="A65" s="39" t="s">
        <v>71</v>
      </c>
      <c r="B65" s="40" t="s">
        <v>127</v>
      </c>
      <c r="C65" s="41"/>
      <c r="D65" s="42" t="s">
        <v>61</v>
      </c>
      <c r="E65" s="43">
        <v>3312000</v>
      </c>
      <c r="F65" s="44">
        <f t="shared" si="1"/>
        <v>264960</v>
      </c>
      <c r="G65" s="45">
        <f t="shared" si="2"/>
        <v>3576960</v>
      </c>
      <c r="H65" s="46">
        <v>3576960</v>
      </c>
      <c r="I65" s="47">
        <f t="shared" si="0"/>
        <v>0</v>
      </c>
      <c r="J65" s="48">
        <v>45318</v>
      </c>
      <c r="K65" s="49">
        <v>45460</v>
      </c>
      <c r="L65" s="50">
        <v>4156720781</v>
      </c>
      <c r="M65" s="51"/>
      <c r="N65" s="52"/>
      <c r="O65" s="52"/>
      <c r="S65" s="53"/>
    </row>
    <row r="66" spans="1:19" s="2" customFormat="1" ht="16.5" customHeight="1" x14ac:dyDescent="0.35">
      <c r="A66" s="39" t="s">
        <v>71</v>
      </c>
      <c r="B66" s="40" t="s">
        <v>128</v>
      </c>
      <c r="C66" s="41"/>
      <c r="D66" s="42" t="s">
        <v>61</v>
      </c>
      <c r="E66" s="43">
        <v>3312000</v>
      </c>
      <c r="F66" s="44">
        <f t="shared" si="1"/>
        <v>264960</v>
      </c>
      <c r="G66" s="45">
        <f t="shared" si="2"/>
        <v>3576960</v>
      </c>
      <c r="H66" s="46">
        <v>3576960</v>
      </c>
      <c r="I66" s="47">
        <f t="shared" si="0"/>
        <v>0</v>
      </c>
      <c r="J66" s="48">
        <v>45318</v>
      </c>
      <c r="K66" s="49">
        <v>45460</v>
      </c>
      <c r="L66" s="50">
        <v>4156720779</v>
      </c>
      <c r="M66" s="51"/>
      <c r="N66" s="52"/>
      <c r="O66" s="52"/>
      <c r="S66" s="53"/>
    </row>
    <row r="67" spans="1:19" s="2" customFormat="1" ht="16.5" customHeight="1" x14ac:dyDescent="0.35">
      <c r="A67" s="39" t="s">
        <v>71</v>
      </c>
      <c r="B67" s="40" t="s">
        <v>129</v>
      </c>
      <c r="C67" s="41"/>
      <c r="D67" s="42" t="s">
        <v>61</v>
      </c>
      <c r="E67" s="43">
        <v>3312000</v>
      </c>
      <c r="F67" s="44">
        <f t="shared" si="1"/>
        <v>264960</v>
      </c>
      <c r="G67" s="45">
        <f t="shared" si="2"/>
        <v>3576960</v>
      </c>
      <c r="H67" s="46">
        <v>3576960</v>
      </c>
      <c r="I67" s="47">
        <f t="shared" si="0"/>
        <v>0</v>
      </c>
      <c r="J67" s="48">
        <v>45318</v>
      </c>
      <c r="K67" s="49">
        <v>45460</v>
      </c>
      <c r="L67" s="50">
        <v>4156720780</v>
      </c>
      <c r="M67" s="51"/>
      <c r="N67" s="52"/>
      <c r="O67" s="52"/>
      <c r="S67" s="53"/>
    </row>
    <row r="68" spans="1:19" s="2" customFormat="1" ht="16.5" customHeight="1" x14ac:dyDescent="0.35">
      <c r="A68" s="39" t="s">
        <v>71</v>
      </c>
      <c r="B68" s="40" t="s">
        <v>130</v>
      </c>
      <c r="C68" s="41"/>
      <c r="D68" s="42" t="s">
        <v>61</v>
      </c>
      <c r="E68" s="43">
        <v>3312000</v>
      </c>
      <c r="F68" s="44">
        <f t="shared" si="1"/>
        <v>264960</v>
      </c>
      <c r="G68" s="45">
        <f t="shared" si="2"/>
        <v>3576960</v>
      </c>
      <c r="H68" s="46">
        <v>3576960</v>
      </c>
      <c r="I68" s="47">
        <f t="shared" si="0"/>
        <v>0</v>
      </c>
      <c r="J68" s="48">
        <v>45318</v>
      </c>
      <c r="K68" s="49">
        <v>45460</v>
      </c>
      <c r="L68" s="50">
        <v>4156720767</v>
      </c>
      <c r="M68" s="51"/>
      <c r="N68" s="52"/>
      <c r="O68" s="52"/>
      <c r="S68" s="53"/>
    </row>
    <row r="69" spans="1:19" s="2" customFormat="1" ht="16.5" customHeight="1" x14ac:dyDescent="0.35">
      <c r="A69" s="39" t="s">
        <v>71</v>
      </c>
      <c r="B69" s="40" t="s">
        <v>131</v>
      </c>
      <c r="C69" s="41"/>
      <c r="D69" s="42" t="s">
        <v>61</v>
      </c>
      <c r="E69" s="43">
        <v>6624000</v>
      </c>
      <c r="F69" s="44">
        <f t="shared" si="1"/>
        <v>529920</v>
      </c>
      <c r="G69" s="45">
        <f t="shared" si="2"/>
        <v>7153920</v>
      </c>
      <c r="H69" s="46">
        <v>7153920</v>
      </c>
      <c r="I69" s="47">
        <f t="shared" si="0"/>
        <v>0</v>
      </c>
      <c r="J69" s="48">
        <v>45318</v>
      </c>
      <c r="K69" s="49">
        <v>45460</v>
      </c>
      <c r="L69" s="50">
        <v>4156720773</v>
      </c>
      <c r="M69" s="51"/>
      <c r="N69" s="52"/>
      <c r="O69" s="52"/>
      <c r="S69" s="53"/>
    </row>
    <row r="70" spans="1:19" s="2" customFormat="1" ht="16.5" customHeight="1" x14ac:dyDescent="0.35">
      <c r="A70" s="39" t="s">
        <v>71</v>
      </c>
      <c r="B70" s="40" t="s">
        <v>132</v>
      </c>
      <c r="C70" s="41"/>
      <c r="D70" s="42" t="s">
        <v>61</v>
      </c>
      <c r="E70" s="43">
        <v>6624000</v>
      </c>
      <c r="F70" s="44">
        <f t="shared" si="1"/>
        <v>529920</v>
      </c>
      <c r="G70" s="45">
        <f t="shared" si="2"/>
        <v>7153920</v>
      </c>
      <c r="H70" s="46">
        <v>7153920</v>
      </c>
      <c r="I70" s="47">
        <f t="shared" si="0"/>
        <v>0</v>
      </c>
      <c r="J70" s="48">
        <v>45318</v>
      </c>
      <c r="K70" s="49">
        <v>45460</v>
      </c>
      <c r="L70" s="50">
        <v>4156720774</v>
      </c>
      <c r="M70" s="51"/>
      <c r="N70" s="52"/>
      <c r="O70" s="52"/>
      <c r="S70" s="53"/>
    </row>
    <row r="71" spans="1:19" s="2" customFormat="1" ht="16.5" customHeight="1" x14ac:dyDescent="0.35">
      <c r="A71" s="39" t="s">
        <v>71</v>
      </c>
      <c r="B71" s="40" t="s">
        <v>133</v>
      </c>
      <c r="C71" s="41">
        <v>588</v>
      </c>
      <c r="D71" s="42">
        <v>45320</v>
      </c>
      <c r="E71" s="43">
        <v>3078000</v>
      </c>
      <c r="F71" s="44">
        <f t="shared" si="1"/>
        <v>246240</v>
      </c>
      <c r="G71" s="45">
        <f t="shared" si="2"/>
        <v>3324240</v>
      </c>
      <c r="H71" s="46">
        <v>3324240</v>
      </c>
      <c r="I71" s="47">
        <f t="shared" si="0"/>
        <v>0</v>
      </c>
      <c r="J71" s="48">
        <v>45318</v>
      </c>
      <c r="K71" s="49">
        <v>45460</v>
      </c>
      <c r="L71" s="50">
        <v>4156720778</v>
      </c>
      <c r="M71" s="51"/>
      <c r="N71" s="52"/>
      <c r="O71" s="52"/>
      <c r="S71" s="53"/>
    </row>
    <row r="72" spans="1:19" s="2" customFormat="1" ht="16.5" customHeight="1" x14ac:dyDescent="0.35">
      <c r="A72" s="39" t="s">
        <v>71</v>
      </c>
      <c r="B72" s="40" t="s">
        <v>134</v>
      </c>
      <c r="C72" s="41"/>
      <c r="D72" s="42" t="s">
        <v>61</v>
      </c>
      <c r="E72" s="43">
        <v>3312000</v>
      </c>
      <c r="F72" s="44">
        <f t="shared" si="1"/>
        <v>264960</v>
      </c>
      <c r="G72" s="45">
        <f t="shared" si="2"/>
        <v>3576960</v>
      </c>
      <c r="H72" s="46">
        <v>3576960</v>
      </c>
      <c r="I72" s="47">
        <f t="shared" ref="I72:I135" si="3">G72-H72</f>
        <v>0</v>
      </c>
      <c r="J72" s="48">
        <v>45318</v>
      </c>
      <c r="K72" s="49">
        <v>45460</v>
      </c>
      <c r="L72" s="50">
        <v>4156720777</v>
      </c>
      <c r="M72" s="51"/>
      <c r="N72" s="52"/>
      <c r="O72" s="52"/>
      <c r="S72" s="53"/>
    </row>
    <row r="73" spans="1:19" s="2" customFormat="1" ht="16.5" customHeight="1" x14ac:dyDescent="0.35">
      <c r="A73" s="39" t="s">
        <v>135</v>
      </c>
      <c r="B73" s="40" t="s">
        <v>136</v>
      </c>
      <c r="C73" s="41">
        <v>590</v>
      </c>
      <c r="D73" s="42">
        <v>45320</v>
      </c>
      <c r="E73" s="43">
        <v>23073000</v>
      </c>
      <c r="F73" s="44">
        <f t="shared" si="1"/>
        <v>1845840</v>
      </c>
      <c r="G73" s="45">
        <f t="shared" si="2"/>
        <v>24918840</v>
      </c>
      <c r="H73" s="46">
        <v>24918840</v>
      </c>
      <c r="I73" s="47">
        <f t="shared" si="3"/>
        <v>0</v>
      </c>
      <c r="J73" s="48">
        <v>45318</v>
      </c>
      <c r="K73" s="49">
        <v>45460</v>
      </c>
      <c r="L73" s="50">
        <v>4156720658</v>
      </c>
      <c r="M73" s="51"/>
      <c r="N73" s="52"/>
      <c r="O73" s="52"/>
      <c r="S73" s="53"/>
    </row>
    <row r="74" spans="1:19" s="2" customFormat="1" ht="16.5" customHeight="1" x14ac:dyDescent="0.35">
      <c r="A74" s="39" t="s">
        <v>135</v>
      </c>
      <c r="B74" s="40" t="s">
        <v>137</v>
      </c>
      <c r="C74" s="41"/>
      <c r="D74" s="42" t="s">
        <v>61</v>
      </c>
      <c r="E74" s="43">
        <v>1440000</v>
      </c>
      <c r="F74" s="44">
        <f t="shared" si="1"/>
        <v>115200</v>
      </c>
      <c r="G74" s="45">
        <f t="shared" si="2"/>
        <v>1555200</v>
      </c>
      <c r="H74" s="46">
        <v>1555200</v>
      </c>
      <c r="I74" s="47">
        <f t="shared" si="3"/>
        <v>0</v>
      </c>
      <c r="J74" s="48">
        <v>45318</v>
      </c>
      <c r="K74" s="49">
        <v>45460</v>
      </c>
      <c r="L74" s="50">
        <v>4156720782</v>
      </c>
      <c r="M74" s="51"/>
      <c r="N74" s="52"/>
      <c r="O74" s="52"/>
      <c r="S74" s="53"/>
    </row>
    <row r="75" spans="1:19" s="2" customFormat="1" ht="16.5" customHeight="1" x14ac:dyDescent="0.35">
      <c r="A75" s="39" t="s">
        <v>29</v>
      </c>
      <c r="B75" s="40" t="s">
        <v>138</v>
      </c>
      <c r="C75" s="41">
        <v>275</v>
      </c>
      <c r="D75" s="42">
        <v>45306</v>
      </c>
      <c r="E75" s="43">
        <v>18666000</v>
      </c>
      <c r="F75" s="44">
        <f t="shared" si="1"/>
        <v>1493280</v>
      </c>
      <c r="G75" s="45">
        <f t="shared" si="2"/>
        <v>20159280</v>
      </c>
      <c r="H75" s="46">
        <v>20159280</v>
      </c>
      <c r="I75" s="47">
        <f t="shared" si="3"/>
        <v>0</v>
      </c>
      <c r="J75" s="48">
        <v>45306</v>
      </c>
      <c r="K75" s="49">
        <v>45460</v>
      </c>
      <c r="L75" s="50">
        <v>4901069559</v>
      </c>
      <c r="M75" s="51"/>
      <c r="N75" s="52"/>
      <c r="O75" s="52"/>
      <c r="S75" s="53"/>
    </row>
    <row r="76" spans="1:19" s="2" customFormat="1" ht="16.5" customHeight="1" x14ac:dyDescent="0.35">
      <c r="A76" s="39" t="s">
        <v>66</v>
      </c>
      <c r="B76" s="40" t="s">
        <v>139</v>
      </c>
      <c r="C76" s="41"/>
      <c r="D76" s="42" t="s">
        <v>140</v>
      </c>
      <c r="E76" s="43">
        <v>291504000</v>
      </c>
      <c r="F76" s="44">
        <f t="shared" si="1"/>
        <v>23320320</v>
      </c>
      <c r="G76" s="45">
        <f t="shared" si="2"/>
        <v>314824320</v>
      </c>
      <c r="H76" s="46">
        <v>314824320</v>
      </c>
      <c r="I76" s="47">
        <f t="shared" si="3"/>
        <v>0</v>
      </c>
      <c r="J76" s="48">
        <v>45306</v>
      </c>
      <c r="K76" s="49">
        <v>45460</v>
      </c>
      <c r="L76" s="50">
        <v>4901068541</v>
      </c>
      <c r="M76" s="51"/>
      <c r="N76" s="52"/>
      <c r="O76" s="52"/>
      <c r="S76" s="53"/>
    </row>
    <row r="77" spans="1:19" s="2" customFormat="1" ht="16.5" customHeight="1" x14ac:dyDescent="0.35">
      <c r="A77" s="39" t="s">
        <v>37</v>
      </c>
      <c r="B77" s="40" t="s">
        <v>141</v>
      </c>
      <c r="C77" s="41">
        <v>273</v>
      </c>
      <c r="D77" s="42">
        <v>45306</v>
      </c>
      <c r="E77" s="43">
        <v>17570500</v>
      </c>
      <c r="F77" s="44">
        <f t="shared" si="1"/>
        <v>1405640</v>
      </c>
      <c r="G77" s="45">
        <f t="shared" si="2"/>
        <v>18976140</v>
      </c>
      <c r="H77" s="46">
        <v>18976140</v>
      </c>
      <c r="I77" s="47">
        <f t="shared" si="3"/>
        <v>0</v>
      </c>
      <c r="J77" s="48">
        <v>45306</v>
      </c>
      <c r="K77" s="49">
        <v>45460</v>
      </c>
      <c r="L77" s="50">
        <v>4901072333</v>
      </c>
      <c r="M77" s="51"/>
      <c r="N77" s="52"/>
      <c r="O77" s="52"/>
      <c r="S77" s="53"/>
    </row>
    <row r="78" spans="1:19" s="2" customFormat="1" ht="16.5" customHeight="1" x14ac:dyDescent="0.35">
      <c r="A78" s="39" t="s">
        <v>37</v>
      </c>
      <c r="B78" s="40" t="s">
        <v>142</v>
      </c>
      <c r="C78" s="41">
        <v>274</v>
      </c>
      <c r="D78" s="42">
        <v>45306</v>
      </c>
      <c r="E78" s="43">
        <v>9536000</v>
      </c>
      <c r="F78" s="44">
        <f t="shared" si="1"/>
        <v>762880</v>
      </c>
      <c r="G78" s="45">
        <f t="shared" si="2"/>
        <v>10298880</v>
      </c>
      <c r="H78" s="46">
        <v>10298880</v>
      </c>
      <c r="I78" s="47">
        <f t="shared" si="3"/>
        <v>0</v>
      </c>
      <c r="J78" s="48">
        <v>45306</v>
      </c>
      <c r="K78" s="49">
        <v>45460</v>
      </c>
      <c r="L78" s="50">
        <v>4901074403</v>
      </c>
      <c r="M78" s="51"/>
      <c r="N78" s="52"/>
      <c r="O78" s="52"/>
      <c r="S78" s="53"/>
    </row>
    <row r="79" spans="1:19" s="2" customFormat="1" ht="16.5" customHeight="1" x14ac:dyDescent="0.35">
      <c r="A79" s="39" t="s">
        <v>29</v>
      </c>
      <c r="B79" s="40" t="s">
        <v>143</v>
      </c>
      <c r="C79" s="41">
        <v>151</v>
      </c>
      <c r="D79" s="42">
        <v>45300</v>
      </c>
      <c r="E79" s="43">
        <v>13818000</v>
      </c>
      <c r="F79" s="44">
        <f t="shared" si="1"/>
        <v>1105440</v>
      </c>
      <c r="G79" s="45">
        <f t="shared" si="2"/>
        <v>14923440</v>
      </c>
      <c r="H79" s="46">
        <v>14923440</v>
      </c>
      <c r="I79" s="47">
        <f t="shared" si="3"/>
        <v>0</v>
      </c>
      <c r="J79" s="48">
        <v>45301</v>
      </c>
      <c r="K79" s="49">
        <v>45460</v>
      </c>
      <c r="L79" s="50">
        <v>4901065217</v>
      </c>
      <c r="M79" s="51"/>
      <c r="N79" s="52"/>
      <c r="O79" s="52"/>
      <c r="S79" s="53"/>
    </row>
    <row r="80" spans="1:19" s="2" customFormat="1" ht="16.5" customHeight="1" x14ac:dyDescent="0.35">
      <c r="A80" s="39" t="s">
        <v>33</v>
      </c>
      <c r="B80" s="40" t="s">
        <v>144</v>
      </c>
      <c r="C80" s="41">
        <v>154</v>
      </c>
      <c r="D80" s="42">
        <v>45300</v>
      </c>
      <c r="E80" s="43">
        <v>11476500</v>
      </c>
      <c r="F80" s="44">
        <f t="shared" si="1"/>
        <v>918120</v>
      </c>
      <c r="G80" s="45">
        <f t="shared" si="2"/>
        <v>12394620</v>
      </c>
      <c r="H80" s="46">
        <v>12394620</v>
      </c>
      <c r="I80" s="47">
        <f t="shared" si="3"/>
        <v>0</v>
      </c>
      <c r="J80" s="48">
        <v>45301</v>
      </c>
      <c r="K80" s="49">
        <v>45460</v>
      </c>
      <c r="L80" s="50">
        <v>4901065037</v>
      </c>
      <c r="M80" s="51"/>
      <c r="N80" s="52"/>
      <c r="O80" s="52"/>
      <c r="S80" s="53"/>
    </row>
    <row r="81" spans="1:19" s="2" customFormat="1" ht="16.5" customHeight="1" x14ac:dyDescent="0.35">
      <c r="A81" s="39" t="s">
        <v>29</v>
      </c>
      <c r="B81" s="40" t="s">
        <v>145</v>
      </c>
      <c r="C81" s="41">
        <v>152</v>
      </c>
      <c r="D81" s="42">
        <v>45300</v>
      </c>
      <c r="E81" s="43">
        <v>11072000</v>
      </c>
      <c r="F81" s="44">
        <f t="shared" si="1"/>
        <v>885760</v>
      </c>
      <c r="G81" s="45">
        <f t="shared" si="2"/>
        <v>11957760</v>
      </c>
      <c r="H81" s="46">
        <v>11957760</v>
      </c>
      <c r="I81" s="47">
        <f t="shared" si="3"/>
        <v>0</v>
      </c>
      <c r="J81" s="48">
        <v>45301</v>
      </c>
      <c r="K81" s="49">
        <v>45460</v>
      </c>
      <c r="L81" s="50">
        <v>4901067112</v>
      </c>
      <c r="M81" s="51"/>
      <c r="N81" s="52"/>
      <c r="O81" s="52"/>
      <c r="S81" s="53"/>
    </row>
    <row r="82" spans="1:19" s="2" customFormat="1" ht="16.5" customHeight="1" x14ac:dyDescent="0.35">
      <c r="A82" s="39" t="s">
        <v>29</v>
      </c>
      <c r="B82" s="40" t="s">
        <v>146</v>
      </c>
      <c r="C82" s="41">
        <v>153</v>
      </c>
      <c r="D82" s="42">
        <v>45300</v>
      </c>
      <c r="E82" s="43">
        <v>130896000</v>
      </c>
      <c r="F82" s="44">
        <f t="shared" si="1"/>
        <v>10471680</v>
      </c>
      <c r="G82" s="45">
        <f t="shared" si="2"/>
        <v>141367680</v>
      </c>
      <c r="H82" s="46">
        <v>141367680</v>
      </c>
      <c r="I82" s="47">
        <f t="shared" si="3"/>
        <v>0</v>
      </c>
      <c r="J82" s="48">
        <v>45301</v>
      </c>
      <c r="K82" s="49">
        <v>45460</v>
      </c>
      <c r="L82" s="50">
        <v>4901066588</v>
      </c>
      <c r="M82" s="51"/>
      <c r="N82" s="52"/>
      <c r="O82" s="52"/>
      <c r="S82" s="53"/>
    </row>
    <row r="83" spans="1:19" s="2" customFormat="1" ht="16.5" customHeight="1" x14ac:dyDescent="0.35">
      <c r="A83" s="39" t="s">
        <v>33</v>
      </c>
      <c r="B83" s="40" t="s">
        <v>147</v>
      </c>
      <c r="C83" s="41">
        <v>155</v>
      </c>
      <c r="D83" s="42">
        <v>45300</v>
      </c>
      <c r="E83" s="43">
        <v>54446000</v>
      </c>
      <c r="F83" s="44">
        <f t="shared" si="1"/>
        <v>4355680</v>
      </c>
      <c r="G83" s="45">
        <f t="shared" si="2"/>
        <v>58801680</v>
      </c>
      <c r="H83" s="46">
        <v>58801680</v>
      </c>
      <c r="I83" s="47">
        <f t="shared" si="3"/>
        <v>0</v>
      </c>
      <c r="J83" s="48">
        <v>45301</v>
      </c>
      <c r="K83" s="49">
        <v>45460</v>
      </c>
      <c r="L83" s="50">
        <v>4901067122</v>
      </c>
      <c r="M83" s="51"/>
      <c r="N83" s="52"/>
      <c r="O83" s="52"/>
      <c r="S83" s="53"/>
    </row>
    <row r="84" spans="1:19" s="2" customFormat="1" ht="16.5" customHeight="1" x14ac:dyDescent="0.35">
      <c r="A84" s="39" t="s">
        <v>29</v>
      </c>
      <c r="B84" s="40" t="s">
        <v>148</v>
      </c>
      <c r="C84" s="41"/>
      <c r="D84" s="42" t="s">
        <v>149</v>
      </c>
      <c r="E84" s="43">
        <v>8000000</v>
      </c>
      <c r="F84" s="44">
        <f t="shared" si="1"/>
        <v>640000</v>
      </c>
      <c r="G84" s="45">
        <f t="shared" si="2"/>
        <v>8640000</v>
      </c>
      <c r="H84" s="46">
        <v>8640000</v>
      </c>
      <c r="I84" s="47">
        <f t="shared" si="3"/>
        <v>0</v>
      </c>
      <c r="J84" s="48">
        <v>45301</v>
      </c>
      <c r="K84" s="49">
        <v>45460</v>
      </c>
      <c r="L84" s="50">
        <v>4901067483</v>
      </c>
      <c r="M84" s="51"/>
      <c r="N84" s="52"/>
      <c r="O84" s="52"/>
      <c r="S84" s="53"/>
    </row>
    <row r="85" spans="1:19" s="2" customFormat="1" ht="16.5" customHeight="1" x14ac:dyDescent="0.35">
      <c r="A85" s="39" t="s">
        <v>33</v>
      </c>
      <c r="B85" s="40" t="s">
        <v>150</v>
      </c>
      <c r="C85" s="41">
        <v>156</v>
      </c>
      <c r="D85" s="42">
        <v>45300</v>
      </c>
      <c r="E85" s="43">
        <v>23328000</v>
      </c>
      <c r="F85" s="44">
        <f t="shared" si="1"/>
        <v>1866240</v>
      </c>
      <c r="G85" s="45">
        <f t="shared" si="2"/>
        <v>25194240</v>
      </c>
      <c r="H85" s="46">
        <v>25194240</v>
      </c>
      <c r="I85" s="47">
        <f t="shared" si="3"/>
        <v>0</v>
      </c>
      <c r="J85" s="48">
        <v>45301</v>
      </c>
      <c r="K85" s="49">
        <v>45460</v>
      </c>
      <c r="L85" s="50">
        <v>4901066555</v>
      </c>
      <c r="M85" s="51"/>
      <c r="N85" s="52"/>
      <c r="O85" s="52"/>
      <c r="S85" s="53"/>
    </row>
    <row r="86" spans="1:19" s="2" customFormat="1" ht="16.5" customHeight="1" x14ac:dyDescent="0.35">
      <c r="A86" s="39" t="s">
        <v>56</v>
      </c>
      <c r="B86" s="40" t="s">
        <v>151</v>
      </c>
      <c r="C86" s="41"/>
      <c r="D86" s="42" t="s">
        <v>152</v>
      </c>
      <c r="E86" s="43">
        <v>4160000</v>
      </c>
      <c r="F86" s="44">
        <f t="shared" si="1"/>
        <v>332800</v>
      </c>
      <c r="G86" s="45">
        <f t="shared" si="2"/>
        <v>4492800</v>
      </c>
      <c r="H86" s="46">
        <v>4492800</v>
      </c>
      <c r="I86" s="47">
        <f t="shared" si="3"/>
        <v>0</v>
      </c>
      <c r="J86" s="48">
        <v>45301</v>
      </c>
      <c r="K86" s="49">
        <v>45460</v>
      </c>
      <c r="L86" s="50">
        <v>4901066382</v>
      </c>
      <c r="M86" s="51"/>
      <c r="N86" s="52"/>
      <c r="O86" s="52"/>
      <c r="S86" s="53"/>
    </row>
    <row r="87" spans="1:19" s="2" customFormat="1" ht="16.5" customHeight="1" x14ac:dyDescent="0.35">
      <c r="A87" s="39" t="s">
        <v>56</v>
      </c>
      <c r="B87" s="40" t="s">
        <v>153</v>
      </c>
      <c r="C87" s="41"/>
      <c r="D87" s="42" t="s">
        <v>152</v>
      </c>
      <c r="E87" s="43">
        <v>5760000</v>
      </c>
      <c r="F87" s="44">
        <f t="shared" ref="F87:F150" si="4">+E87*0.08</f>
        <v>460800</v>
      </c>
      <c r="G87" s="45">
        <f t="shared" ref="G87:G150" si="5">E87+F87</f>
        <v>6220800</v>
      </c>
      <c r="H87" s="46">
        <v>6220800</v>
      </c>
      <c r="I87" s="47">
        <f t="shared" si="3"/>
        <v>0</v>
      </c>
      <c r="J87" s="48">
        <v>45301</v>
      </c>
      <c r="K87" s="49">
        <v>45460</v>
      </c>
      <c r="L87" s="50">
        <v>4901069286</v>
      </c>
      <c r="M87" s="51"/>
      <c r="N87" s="52"/>
      <c r="O87" s="52"/>
      <c r="S87" s="53"/>
    </row>
    <row r="88" spans="1:19" s="2" customFormat="1" ht="16.5" customHeight="1" x14ac:dyDescent="0.35">
      <c r="A88" s="39" t="s">
        <v>66</v>
      </c>
      <c r="B88" s="40">
        <v>3868</v>
      </c>
      <c r="C88" s="41"/>
      <c r="D88" s="42">
        <v>45282</v>
      </c>
      <c r="E88" s="43">
        <v>36864000</v>
      </c>
      <c r="F88" s="44">
        <f t="shared" si="4"/>
        <v>2949120</v>
      </c>
      <c r="G88" s="45">
        <f t="shared" si="5"/>
        <v>39813120</v>
      </c>
      <c r="H88" s="46">
        <v>39813120</v>
      </c>
      <c r="I88" s="47">
        <f t="shared" si="3"/>
        <v>0</v>
      </c>
      <c r="J88" s="48">
        <v>45299</v>
      </c>
      <c r="K88" s="49">
        <v>45460</v>
      </c>
      <c r="L88" s="50">
        <v>4901061722</v>
      </c>
      <c r="M88" s="51"/>
      <c r="N88" s="52"/>
      <c r="O88" s="52"/>
      <c r="S88" s="53"/>
    </row>
    <row r="89" spans="1:19" s="2" customFormat="1" ht="16.5" customHeight="1" x14ac:dyDescent="0.35">
      <c r="A89" s="39" t="s">
        <v>33</v>
      </c>
      <c r="B89" s="40" t="s">
        <v>154</v>
      </c>
      <c r="C89" s="41">
        <v>139</v>
      </c>
      <c r="D89" s="42">
        <v>45298</v>
      </c>
      <c r="E89" s="43">
        <v>144103000</v>
      </c>
      <c r="F89" s="44">
        <f t="shared" si="4"/>
        <v>11528240</v>
      </c>
      <c r="G89" s="45">
        <f t="shared" si="5"/>
        <v>155631240</v>
      </c>
      <c r="H89" s="46">
        <v>155631240</v>
      </c>
      <c r="I89" s="47">
        <f t="shared" si="3"/>
        <v>0</v>
      </c>
      <c r="J89" s="48">
        <v>45299</v>
      </c>
      <c r="K89" s="49">
        <v>45460</v>
      </c>
      <c r="L89" s="50">
        <v>4901060974</v>
      </c>
      <c r="M89" s="51"/>
      <c r="N89" s="52"/>
      <c r="O89" s="52"/>
      <c r="S89" s="53"/>
    </row>
    <row r="90" spans="1:19" s="2" customFormat="1" ht="16.5" customHeight="1" x14ac:dyDescent="0.35">
      <c r="A90" s="39" t="s">
        <v>33</v>
      </c>
      <c r="B90" s="40" t="s">
        <v>155</v>
      </c>
      <c r="C90" s="41">
        <v>141</v>
      </c>
      <c r="D90" s="42">
        <v>45298</v>
      </c>
      <c r="E90" s="43">
        <v>21816000</v>
      </c>
      <c r="F90" s="44">
        <f t="shared" si="4"/>
        <v>1745280</v>
      </c>
      <c r="G90" s="45">
        <f t="shared" si="5"/>
        <v>23561280</v>
      </c>
      <c r="H90" s="46">
        <v>23561280</v>
      </c>
      <c r="I90" s="47">
        <f t="shared" si="3"/>
        <v>0</v>
      </c>
      <c r="J90" s="48">
        <v>45299</v>
      </c>
      <c r="K90" s="49">
        <v>45460</v>
      </c>
      <c r="L90" s="50">
        <v>4901061697</v>
      </c>
      <c r="M90" s="51"/>
      <c r="N90" s="52"/>
      <c r="O90" s="52"/>
      <c r="S90" s="53"/>
    </row>
    <row r="91" spans="1:19" s="2" customFormat="1" ht="16.5" customHeight="1" x14ac:dyDescent="0.35">
      <c r="A91" s="39" t="s">
        <v>66</v>
      </c>
      <c r="B91" s="40" t="s">
        <v>156</v>
      </c>
      <c r="C91" s="41">
        <v>140</v>
      </c>
      <c r="D91" s="42">
        <v>45298</v>
      </c>
      <c r="E91" s="43">
        <v>35424000</v>
      </c>
      <c r="F91" s="44">
        <f t="shared" si="4"/>
        <v>2833920</v>
      </c>
      <c r="G91" s="45">
        <f t="shared" si="5"/>
        <v>38257920</v>
      </c>
      <c r="H91" s="46">
        <v>38257920</v>
      </c>
      <c r="I91" s="47">
        <f t="shared" si="3"/>
        <v>0</v>
      </c>
      <c r="J91" s="48">
        <v>45299</v>
      </c>
      <c r="K91" s="49">
        <v>45460</v>
      </c>
      <c r="L91" s="50">
        <v>4901066599</v>
      </c>
      <c r="M91" s="51"/>
      <c r="N91" s="52"/>
      <c r="O91" s="52"/>
      <c r="S91" s="53"/>
    </row>
    <row r="92" spans="1:19" s="2" customFormat="1" ht="16.5" customHeight="1" x14ac:dyDescent="0.35">
      <c r="A92" s="39" t="s">
        <v>37</v>
      </c>
      <c r="B92" s="40" t="s">
        <v>157</v>
      </c>
      <c r="C92" s="41"/>
      <c r="D92" s="42" t="s">
        <v>158</v>
      </c>
      <c r="E92" s="43">
        <v>442080000</v>
      </c>
      <c r="F92" s="44">
        <f t="shared" si="4"/>
        <v>35366400</v>
      </c>
      <c r="G92" s="45">
        <f t="shared" si="5"/>
        <v>477446400</v>
      </c>
      <c r="H92" s="46">
        <v>477446400</v>
      </c>
      <c r="I92" s="47">
        <f t="shared" si="3"/>
        <v>0</v>
      </c>
      <c r="J92" s="48">
        <v>45299</v>
      </c>
      <c r="K92" s="49">
        <v>45460</v>
      </c>
      <c r="L92" s="50">
        <v>4901063224</v>
      </c>
      <c r="M92" s="51"/>
      <c r="N92" s="52"/>
      <c r="O92" s="52"/>
      <c r="S92" s="53"/>
    </row>
    <row r="93" spans="1:19" s="2" customFormat="1" ht="16.5" customHeight="1" x14ac:dyDescent="0.35">
      <c r="A93" s="39" t="s">
        <v>37</v>
      </c>
      <c r="B93" s="40" t="s">
        <v>159</v>
      </c>
      <c r="C93" s="41"/>
      <c r="D93" s="42" t="s">
        <v>158</v>
      </c>
      <c r="E93" s="43">
        <v>7680000</v>
      </c>
      <c r="F93" s="44">
        <f t="shared" si="4"/>
        <v>614400</v>
      </c>
      <c r="G93" s="45">
        <f t="shared" si="5"/>
        <v>8294400</v>
      </c>
      <c r="H93" s="46">
        <v>8294400</v>
      </c>
      <c r="I93" s="47">
        <f t="shared" si="3"/>
        <v>0</v>
      </c>
      <c r="J93" s="48">
        <v>45299</v>
      </c>
      <c r="K93" s="49">
        <v>45460</v>
      </c>
      <c r="L93" s="50">
        <v>4901066415</v>
      </c>
      <c r="M93" s="51"/>
      <c r="N93" s="52"/>
      <c r="O93" s="52"/>
      <c r="S93" s="53"/>
    </row>
    <row r="94" spans="1:19" s="2" customFormat="1" ht="16.5" customHeight="1" x14ac:dyDescent="0.35">
      <c r="A94" s="39" t="s">
        <v>37</v>
      </c>
      <c r="B94" s="40" t="s">
        <v>160</v>
      </c>
      <c r="C94" s="41"/>
      <c r="D94" s="42" t="s">
        <v>158</v>
      </c>
      <c r="E94" s="43">
        <v>14800000</v>
      </c>
      <c r="F94" s="44">
        <f t="shared" si="4"/>
        <v>1184000</v>
      </c>
      <c r="G94" s="45">
        <f t="shared" si="5"/>
        <v>15984000</v>
      </c>
      <c r="H94" s="46">
        <v>15984000</v>
      </c>
      <c r="I94" s="47">
        <f t="shared" si="3"/>
        <v>0</v>
      </c>
      <c r="J94" s="48">
        <v>45299</v>
      </c>
      <c r="K94" s="49">
        <v>45460</v>
      </c>
      <c r="L94" s="50">
        <v>4901066475</v>
      </c>
      <c r="M94" s="51"/>
      <c r="N94" s="52"/>
      <c r="O94" s="52"/>
      <c r="S94" s="53"/>
    </row>
    <row r="95" spans="1:19" s="2" customFormat="1" ht="16.5" customHeight="1" x14ac:dyDescent="0.35">
      <c r="A95" s="39" t="s">
        <v>37</v>
      </c>
      <c r="B95" s="40" t="s">
        <v>161</v>
      </c>
      <c r="C95" s="41"/>
      <c r="D95" s="42" t="s">
        <v>158</v>
      </c>
      <c r="E95" s="43">
        <v>22756000</v>
      </c>
      <c r="F95" s="44">
        <f t="shared" si="4"/>
        <v>1820480</v>
      </c>
      <c r="G95" s="45">
        <f t="shared" si="5"/>
        <v>24576480</v>
      </c>
      <c r="H95" s="46">
        <v>24576480</v>
      </c>
      <c r="I95" s="47">
        <f t="shared" si="3"/>
        <v>0</v>
      </c>
      <c r="J95" s="48">
        <v>45299</v>
      </c>
      <c r="K95" s="49">
        <v>45460</v>
      </c>
      <c r="L95" s="50">
        <v>4901064876</v>
      </c>
      <c r="M95" s="51"/>
      <c r="N95" s="52"/>
      <c r="O95" s="52"/>
      <c r="S95" s="53"/>
    </row>
    <row r="96" spans="1:19" s="2" customFormat="1" ht="16.5" customHeight="1" x14ac:dyDescent="0.35">
      <c r="A96" s="39" t="s">
        <v>37</v>
      </c>
      <c r="B96" s="40" t="s">
        <v>162</v>
      </c>
      <c r="C96" s="41"/>
      <c r="D96" s="42" t="s">
        <v>140</v>
      </c>
      <c r="E96" s="43">
        <v>33200000</v>
      </c>
      <c r="F96" s="44">
        <f t="shared" si="4"/>
        <v>2656000</v>
      </c>
      <c r="G96" s="45">
        <f t="shared" si="5"/>
        <v>35856000</v>
      </c>
      <c r="H96" s="46">
        <v>35856000</v>
      </c>
      <c r="I96" s="47">
        <f t="shared" si="3"/>
        <v>0</v>
      </c>
      <c r="J96" s="48">
        <v>45299</v>
      </c>
      <c r="K96" s="49">
        <v>45460</v>
      </c>
      <c r="L96" s="50">
        <v>4901069411</v>
      </c>
      <c r="M96" s="51"/>
      <c r="N96" s="52"/>
      <c r="O96" s="52"/>
      <c r="S96" s="53"/>
    </row>
    <row r="97" spans="1:19" s="2" customFormat="1" ht="16.5" customHeight="1" x14ac:dyDescent="0.35">
      <c r="A97" s="39" t="s">
        <v>37</v>
      </c>
      <c r="B97" s="40" t="s">
        <v>163</v>
      </c>
      <c r="C97" s="41"/>
      <c r="D97" s="42" t="s">
        <v>140</v>
      </c>
      <c r="E97" s="43">
        <v>10584000</v>
      </c>
      <c r="F97" s="44">
        <f t="shared" si="4"/>
        <v>846720</v>
      </c>
      <c r="G97" s="45">
        <f t="shared" si="5"/>
        <v>11430720</v>
      </c>
      <c r="H97" s="46">
        <v>11430720</v>
      </c>
      <c r="I97" s="47">
        <f t="shared" si="3"/>
        <v>0</v>
      </c>
      <c r="J97" s="48">
        <v>45299</v>
      </c>
      <c r="K97" s="49">
        <v>45460</v>
      </c>
      <c r="L97" s="50">
        <v>4901065560</v>
      </c>
      <c r="M97" s="51"/>
      <c r="N97" s="52"/>
      <c r="O97" s="52"/>
      <c r="S97" s="53"/>
    </row>
    <row r="98" spans="1:19" s="2" customFormat="1" ht="16.5" customHeight="1" x14ac:dyDescent="0.35">
      <c r="A98" s="39" t="s">
        <v>29</v>
      </c>
      <c r="B98" s="40">
        <v>2555</v>
      </c>
      <c r="C98" s="41"/>
      <c r="D98" s="42">
        <v>45184</v>
      </c>
      <c r="E98" s="43">
        <v>5760000</v>
      </c>
      <c r="F98" s="44">
        <f t="shared" si="4"/>
        <v>460800</v>
      </c>
      <c r="G98" s="45">
        <f t="shared" si="5"/>
        <v>6220800</v>
      </c>
      <c r="H98" s="46">
        <v>6220800</v>
      </c>
      <c r="I98" s="47">
        <f t="shared" si="3"/>
        <v>0</v>
      </c>
      <c r="J98" s="48">
        <v>45208</v>
      </c>
      <c r="K98" s="49">
        <v>45285</v>
      </c>
      <c r="L98" s="50">
        <v>4901017177</v>
      </c>
      <c r="M98" s="51"/>
      <c r="N98" s="52"/>
      <c r="O98" s="52"/>
      <c r="S98" s="53"/>
    </row>
    <row r="99" spans="1:19" s="2" customFormat="1" ht="16.5" customHeight="1" x14ac:dyDescent="0.35">
      <c r="A99" s="39" t="s">
        <v>123</v>
      </c>
      <c r="B99" s="40" t="s">
        <v>164</v>
      </c>
      <c r="C99" s="41"/>
      <c r="D99" s="42" t="s">
        <v>165</v>
      </c>
      <c r="E99" s="43">
        <v>3200000</v>
      </c>
      <c r="F99" s="44">
        <f t="shared" si="4"/>
        <v>256000</v>
      </c>
      <c r="G99" s="45">
        <f t="shared" si="5"/>
        <v>3456000</v>
      </c>
      <c r="H99" s="46">
        <v>3456000</v>
      </c>
      <c r="I99" s="47">
        <f t="shared" si="3"/>
        <v>0</v>
      </c>
      <c r="J99" s="48">
        <v>45208</v>
      </c>
      <c r="K99" s="49">
        <v>45285</v>
      </c>
      <c r="L99" s="50">
        <v>4153405573</v>
      </c>
      <c r="M99" s="51"/>
      <c r="N99" s="52"/>
      <c r="O99" s="52"/>
      <c r="S99" s="53"/>
    </row>
    <row r="100" spans="1:19" s="2" customFormat="1" ht="16.5" customHeight="1" x14ac:dyDescent="0.35">
      <c r="A100" s="39" t="s">
        <v>37</v>
      </c>
      <c r="B100" s="40" t="s">
        <v>166</v>
      </c>
      <c r="C100" s="41"/>
      <c r="D100" s="42" t="s">
        <v>167</v>
      </c>
      <c r="E100" s="43">
        <v>22880000</v>
      </c>
      <c r="F100" s="44">
        <f t="shared" si="4"/>
        <v>1830400</v>
      </c>
      <c r="G100" s="45">
        <f t="shared" si="5"/>
        <v>24710400</v>
      </c>
      <c r="H100" s="46">
        <v>24710400</v>
      </c>
      <c r="I100" s="47">
        <f t="shared" si="3"/>
        <v>0</v>
      </c>
      <c r="J100" s="48">
        <v>45208</v>
      </c>
      <c r="K100" s="49">
        <v>45285</v>
      </c>
      <c r="L100" s="50">
        <v>4901019680</v>
      </c>
      <c r="M100" s="51"/>
      <c r="N100" s="52"/>
      <c r="O100" s="52"/>
      <c r="S100" s="53"/>
    </row>
    <row r="101" spans="1:19" s="2" customFormat="1" ht="16.5" customHeight="1" x14ac:dyDescent="0.35">
      <c r="A101" s="39" t="s">
        <v>56</v>
      </c>
      <c r="B101" s="40" t="s">
        <v>168</v>
      </c>
      <c r="C101" s="41"/>
      <c r="D101" s="42" t="s">
        <v>169</v>
      </c>
      <c r="E101" s="43">
        <v>3120000</v>
      </c>
      <c r="F101" s="44">
        <f t="shared" si="4"/>
        <v>249600</v>
      </c>
      <c r="G101" s="45">
        <f t="shared" si="5"/>
        <v>3369600</v>
      </c>
      <c r="H101" s="46">
        <v>3369600</v>
      </c>
      <c r="I101" s="47">
        <f t="shared" si="3"/>
        <v>0</v>
      </c>
      <c r="J101" s="48">
        <v>45208</v>
      </c>
      <c r="K101" s="49">
        <v>45285</v>
      </c>
      <c r="L101" s="50">
        <v>4901019604</v>
      </c>
      <c r="M101" s="51"/>
      <c r="N101" s="52"/>
      <c r="O101" s="52"/>
      <c r="S101" s="53"/>
    </row>
    <row r="102" spans="1:19" s="2" customFormat="1" ht="16.5" customHeight="1" x14ac:dyDescent="0.35">
      <c r="A102" s="39" t="s">
        <v>29</v>
      </c>
      <c r="B102" s="40" t="s">
        <v>170</v>
      </c>
      <c r="C102" s="41"/>
      <c r="D102" s="42" t="s">
        <v>169</v>
      </c>
      <c r="E102" s="43">
        <v>3015000</v>
      </c>
      <c r="F102" s="44">
        <f t="shared" si="4"/>
        <v>241200</v>
      </c>
      <c r="G102" s="45">
        <f t="shared" si="5"/>
        <v>3256200</v>
      </c>
      <c r="H102" s="46">
        <v>3256200</v>
      </c>
      <c r="I102" s="47">
        <f t="shared" si="3"/>
        <v>0</v>
      </c>
      <c r="J102" s="48">
        <v>45208</v>
      </c>
      <c r="K102" s="49">
        <v>45285</v>
      </c>
      <c r="L102" s="50">
        <v>4901019984</v>
      </c>
      <c r="M102" s="51"/>
      <c r="N102" s="52"/>
      <c r="O102" s="52"/>
      <c r="S102" s="53"/>
    </row>
    <row r="103" spans="1:19" s="2" customFormat="1" ht="16.5" customHeight="1" x14ac:dyDescent="0.35">
      <c r="A103" s="39" t="s">
        <v>171</v>
      </c>
      <c r="B103" s="40" t="s">
        <v>172</v>
      </c>
      <c r="C103" s="41">
        <v>2786</v>
      </c>
      <c r="D103" s="42">
        <v>45208</v>
      </c>
      <c r="E103" s="43">
        <v>7008000</v>
      </c>
      <c r="F103" s="44">
        <f t="shared" si="4"/>
        <v>560640</v>
      </c>
      <c r="G103" s="45">
        <f t="shared" si="5"/>
        <v>7568640</v>
      </c>
      <c r="H103" s="46">
        <v>7568640</v>
      </c>
      <c r="I103" s="47">
        <f t="shared" si="3"/>
        <v>0</v>
      </c>
      <c r="J103" s="48">
        <v>45208</v>
      </c>
      <c r="K103" s="49">
        <v>45285</v>
      </c>
      <c r="L103" s="50">
        <v>4153472185</v>
      </c>
      <c r="M103" s="51"/>
      <c r="N103" s="52"/>
      <c r="O103" s="52"/>
      <c r="S103" s="53"/>
    </row>
    <row r="104" spans="1:19" s="2" customFormat="1" ht="16.5" customHeight="1" x14ac:dyDescent="0.35">
      <c r="A104" s="39" t="s">
        <v>77</v>
      </c>
      <c r="B104" s="40" t="s">
        <v>173</v>
      </c>
      <c r="C104" s="41"/>
      <c r="D104" s="42" t="s">
        <v>174</v>
      </c>
      <c r="E104" s="43">
        <v>4880000</v>
      </c>
      <c r="F104" s="44">
        <f t="shared" si="4"/>
        <v>390400</v>
      </c>
      <c r="G104" s="45">
        <f t="shared" si="5"/>
        <v>5270400</v>
      </c>
      <c r="H104" s="46">
        <v>5270400</v>
      </c>
      <c r="I104" s="47">
        <f t="shared" si="3"/>
        <v>0</v>
      </c>
      <c r="J104" s="48">
        <v>45208</v>
      </c>
      <c r="K104" s="49">
        <v>45285</v>
      </c>
      <c r="L104" s="50">
        <v>4153518985</v>
      </c>
      <c r="M104" s="51"/>
      <c r="N104" s="52"/>
      <c r="O104" s="52"/>
      <c r="S104" s="53"/>
    </row>
    <row r="105" spans="1:19" s="2" customFormat="1" ht="16.5" customHeight="1" x14ac:dyDescent="0.35">
      <c r="A105" s="39" t="s">
        <v>77</v>
      </c>
      <c r="B105" s="40" t="s">
        <v>175</v>
      </c>
      <c r="C105" s="41"/>
      <c r="D105" s="42" t="s">
        <v>174</v>
      </c>
      <c r="E105" s="43">
        <v>5120000</v>
      </c>
      <c r="F105" s="44">
        <f t="shared" si="4"/>
        <v>409600</v>
      </c>
      <c r="G105" s="45">
        <f t="shared" si="5"/>
        <v>5529600</v>
      </c>
      <c r="H105" s="46">
        <v>5529600</v>
      </c>
      <c r="I105" s="47">
        <f t="shared" si="3"/>
        <v>0</v>
      </c>
      <c r="J105" s="48">
        <v>45208</v>
      </c>
      <c r="K105" s="49">
        <v>45285</v>
      </c>
      <c r="L105" s="50">
        <v>4153508036</v>
      </c>
      <c r="M105" s="51"/>
      <c r="N105" s="52"/>
      <c r="O105" s="52"/>
      <c r="S105" s="53"/>
    </row>
    <row r="106" spans="1:19" s="2" customFormat="1" ht="16.5" customHeight="1" x14ac:dyDescent="0.35">
      <c r="A106" s="39" t="s">
        <v>59</v>
      </c>
      <c r="B106" s="40" t="s">
        <v>176</v>
      </c>
      <c r="C106" s="41"/>
      <c r="D106" s="42" t="s">
        <v>174</v>
      </c>
      <c r="E106" s="43">
        <v>2880000</v>
      </c>
      <c r="F106" s="44">
        <f t="shared" si="4"/>
        <v>230400</v>
      </c>
      <c r="G106" s="45">
        <f t="shared" si="5"/>
        <v>3110400</v>
      </c>
      <c r="H106" s="46">
        <v>3110400</v>
      </c>
      <c r="I106" s="47">
        <f t="shared" si="3"/>
        <v>0</v>
      </c>
      <c r="J106" s="48">
        <v>45208</v>
      </c>
      <c r="K106" s="49">
        <v>45285</v>
      </c>
      <c r="L106" s="50">
        <v>4153538192</v>
      </c>
      <c r="M106" s="51"/>
      <c r="N106" s="52"/>
      <c r="O106" s="52"/>
      <c r="S106" s="53"/>
    </row>
    <row r="107" spans="1:19" s="2" customFormat="1" ht="16.5" customHeight="1" x14ac:dyDescent="0.35">
      <c r="A107" s="39" t="s">
        <v>171</v>
      </c>
      <c r="B107" s="40" t="s">
        <v>177</v>
      </c>
      <c r="C107" s="41">
        <v>2787</v>
      </c>
      <c r="D107" s="42">
        <v>45208</v>
      </c>
      <c r="E107" s="43">
        <v>8272000</v>
      </c>
      <c r="F107" s="44">
        <f t="shared" si="4"/>
        <v>661760</v>
      </c>
      <c r="G107" s="45">
        <f t="shared" si="5"/>
        <v>8933760</v>
      </c>
      <c r="H107" s="46">
        <v>8933760</v>
      </c>
      <c r="I107" s="47">
        <f t="shared" si="3"/>
        <v>0</v>
      </c>
      <c r="J107" s="48">
        <v>45208</v>
      </c>
      <c r="K107" s="49">
        <v>45285</v>
      </c>
      <c r="L107" s="50">
        <v>4153523957</v>
      </c>
      <c r="M107" s="51"/>
      <c r="N107" s="52"/>
      <c r="O107" s="52"/>
      <c r="S107" s="53"/>
    </row>
    <row r="108" spans="1:19" s="2" customFormat="1" ht="16.5" customHeight="1" x14ac:dyDescent="0.35">
      <c r="A108" s="39" t="s">
        <v>37</v>
      </c>
      <c r="B108" s="40" t="s">
        <v>178</v>
      </c>
      <c r="C108" s="41"/>
      <c r="D108" s="42" t="s">
        <v>179</v>
      </c>
      <c r="E108" s="43">
        <v>9360000</v>
      </c>
      <c r="F108" s="44">
        <f t="shared" si="4"/>
        <v>748800</v>
      </c>
      <c r="G108" s="45">
        <f t="shared" si="5"/>
        <v>10108800</v>
      </c>
      <c r="H108" s="84">
        <v>10108800</v>
      </c>
      <c r="I108" s="47">
        <f t="shared" si="3"/>
        <v>0</v>
      </c>
      <c r="J108" s="48">
        <v>45208</v>
      </c>
      <c r="K108" s="49">
        <v>45285</v>
      </c>
      <c r="L108" s="50">
        <v>4901022936</v>
      </c>
      <c r="M108" s="51"/>
      <c r="N108" s="52"/>
      <c r="O108" s="52"/>
      <c r="S108" s="53"/>
    </row>
    <row r="109" spans="1:19" s="2" customFormat="1" ht="16.5" customHeight="1" x14ac:dyDescent="0.35">
      <c r="A109" s="39" t="s">
        <v>77</v>
      </c>
      <c r="B109" s="40" t="s">
        <v>180</v>
      </c>
      <c r="C109" s="41"/>
      <c r="D109" s="42" t="s">
        <v>179</v>
      </c>
      <c r="E109" s="43">
        <v>13920000</v>
      </c>
      <c r="F109" s="44">
        <f t="shared" si="4"/>
        <v>1113600</v>
      </c>
      <c r="G109" s="45">
        <f t="shared" si="5"/>
        <v>15033600</v>
      </c>
      <c r="H109" s="46">
        <v>15033600</v>
      </c>
      <c r="I109" s="47">
        <f t="shared" si="3"/>
        <v>0</v>
      </c>
      <c r="J109" s="48">
        <v>45208</v>
      </c>
      <c r="K109" s="49">
        <v>45285</v>
      </c>
      <c r="L109" s="50">
        <v>4153616360</v>
      </c>
      <c r="M109" s="51"/>
      <c r="N109" s="52"/>
      <c r="O109" s="52"/>
      <c r="S109" s="53"/>
    </row>
    <row r="110" spans="1:19" s="2" customFormat="1" ht="16.5" customHeight="1" x14ac:dyDescent="0.35">
      <c r="A110" s="39" t="s">
        <v>33</v>
      </c>
      <c r="B110" s="40" t="s">
        <v>181</v>
      </c>
      <c r="C110" s="41">
        <v>2788</v>
      </c>
      <c r="D110" s="42">
        <v>45208</v>
      </c>
      <c r="E110" s="43">
        <v>3042000</v>
      </c>
      <c r="F110" s="44">
        <f t="shared" si="4"/>
        <v>243360</v>
      </c>
      <c r="G110" s="45">
        <f t="shared" si="5"/>
        <v>3285360</v>
      </c>
      <c r="H110" s="46">
        <v>3285360</v>
      </c>
      <c r="I110" s="47">
        <f t="shared" si="3"/>
        <v>0</v>
      </c>
      <c r="J110" s="48">
        <v>45208</v>
      </c>
      <c r="K110" s="49">
        <v>45285</v>
      </c>
      <c r="L110" s="50">
        <v>4901022919</v>
      </c>
      <c r="M110" s="51"/>
      <c r="N110" s="52"/>
      <c r="O110" s="52"/>
      <c r="S110" s="53"/>
    </row>
    <row r="111" spans="1:19" s="2" customFormat="1" ht="16.5" customHeight="1" x14ac:dyDescent="0.35">
      <c r="A111" s="39" t="s">
        <v>33</v>
      </c>
      <c r="B111" s="40" t="s">
        <v>182</v>
      </c>
      <c r="C111" s="41">
        <v>2789</v>
      </c>
      <c r="D111" s="42">
        <v>45208</v>
      </c>
      <c r="E111" s="43">
        <v>8752000</v>
      </c>
      <c r="F111" s="44">
        <f t="shared" si="4"/>
        <v>700160</v>
      </c>
      <c r="G111" s="45">
        <f t="shared" si="5"/>
        <v>9452160</v>
      </c>
      <c r="H111" s="46">
        <v>9452160</v>
      </c>
      <c r="I111" s="47">
        <f t="shared" si="3"/>
        <v>0</v>
      </c>
      <c r="J111" s="48">
        <v>45208</v>
      </c>
      <c r="K111" s="49">
        <v>45285</v>
      </c>
      <c r="L111" s="50">
        <v>4153780358</v>
      </c>
      <c r="M111" s="51"/>
      <c r="N111" s="52"/>
      <c r="O111" s="52"/>
      <c r="S111" s="53"/>
    </row>
    <row r="112" spans="1:19" s="2" customFormat="1" ht="16.5" customHeight="1" x14ac:dyDescent="0.35">
      <c r="A112" s="39" t="s">
        <v>37</v>
      </c>
      <c r="B112" s="40" t="s">
        <v>183</v>
      </c>
      <c r="C112" s="41"/>
      <c r="D112" s="42" t="s">
        <v>184</v>
      </c>
      <c r="E112" s="43">
        <v>6080000</v>
      </c>
      <c r="F112" s="44">
        <f t="shared" si="4"/>
        <v>486400</v>
      </c>
      <c r="G112" s="45">
        <f t="shared" si="5"/>
        <v>6566400</v>
      </c>
      <c r="H112" s="84">
        <v>6566400</v>
      </c>
      <c r="I112" s="47">
        <f t="shared" si="3"/>
        <v>0</v>
      </c>
      <c r="J112" s="48">
        <v>45208</v>
      </c>
      <c r="K112" s="49">
        <v>45285</v>
      </c>
      <c r="L112" s="50">
        <v>4901025254</v>
      </c>
      <c r="M112" s="51"/>
      <c r="N112" s="52"/>
      <c r="O112" s="52"/>
      <c r="S112" s="53"/>
    </row>
    <row r="113" spans="1:19" s="2" customFormat="1" ht="16.5" customHeight="1" x14ac:dyDescent="0.35">
      <c r="A113" s="39" t="s">
        <v>33</v>
      </c>
      <c r="B113" s="40">
        <v>2341</v>
      </c>
      <c r="C113" s="41">
        <v>2598</v>
      </c>
      <c r="D113" s="42">
        <v>45188</v>
      </c>
      <c r="E113" s="43">
        <v>23315000</v>
      </c>
      <c r="F113" s="44">
        <f t="shared" si="4"/>
        <v>1865200</v>
      </c>
      <c r="G113" s="45">
        <f t="shared" si="5"/>
        <v>25180200</v>
      </c>
      <c r="H113" s="46">
        <v>25180200</v>
      </c>
      <c r="I113" s="47">
        <f t="shared" si="3"/>
        <v>0</v>
      </c>
      <c r="J113" s="48">
        <v>45188</v>
      </c>
      <c r="K113" s="49">
        <v>45275</v>
      </c>
      <c r="L113" s="50">
        <v>4152710615</v>
      </c>
      <c r="M113" s="51"/>
      <c r="N113" s="52"/>
      <c r="O113" s="52"/>
      <c r="S113" s="53"/>
    </row>
    <row r="114" spans="1:19" s="2" customFormat="1" ht="16.5" customHeight="1" x14ac:dyDescent="0.35">
      <c r="A114" s="39" t="s">
        <v>71</v>
      </c>
      <c r="B114" s="40">
        <v>2348</v>
      </c>
      <c r="C114" s="41"/>
      <c r="D114" s="42">
        <v>45162</v>
      </c>
      <c r="E114" s="43">
        <v>3445000</v>
      </c>
      <c r="F114" s="44">
        <f t="shared" si="4"/>
        <v>275600</v>
      </c>
      <c r="G114" s="45">
        <f t="shared" si="5"/>
        <v>3720600</v>
      </c>
      <c r="H114" s="46">
        <v>3720600</v>
      </c>
      <c r="I114" s="47">
        <f t="shared" si="3"/>
        <v>0</v>
      </c>
      <c r="J114" s="48">
        <v>45188</v>
      </c>
      <c r="K114" s="49">
        <v>45275</v>
      </c>
      <c r="L114" s="50">
        <v>4152722643</v>
      </c>
      <c r="M114" s="51"/>
      <c r="N114" s="52"/>
      <c r="O114" s="52"/>
      <c r="S114" s="53"/>
    </row>
    <row r="115" spans="1:19" s="2" customFormat="1" ht="16.5" customHeight="1" x14ac:dyDescent="0.35">
      <c r="A115" s="39" t="s">
        <v>37</v>
      </c>
      <c r="B115" s="40">
        <v>2351</v>
      </c>
      <c r="C115" s="41"/>
      <c r="D115" s="42">
        <v>45163</v>
      </c>
      <c r="E115" s="43">
        <v>30960000</v>
      </c>
      <c r="F115" s="44">
        <f t="shared" si="4"/>
        <v>2476800</v>
      </c>
      <c r="G115" s="45">
        <f t="shared" si="5"/>
        <v>33436800</v>
      </c>
      <c r="H115" s="46">
        <v>33436800</v>
      </c>
      <c r="I115" s="47">
        <f t="shared" si="3"/>
        <v>0</v>
      </c>
      <c r="J115" s="48">
        <v>45188</v>
      </c>
      <c r="K115" s="49">
        <v>45275</v>
      </c>
      <c r="L115" s="50">
        <v>4901008885</v>
      </c>
      <c r="M115" s="51"/>
      <c r="N115" s="52"/>
      <c r="O115" s="52"/>
      <c r="S115" s="53"/>
    </row>
    <row r="116" spans="1:19" s="2" customFormat="1" ht="16.5" customHeight="1" x14ac:dyDescent="0.35">
      <c r="A116" s="39" t="s">
        <v>33</v>
      </c>
      <c r="B116" s="40">
        <v>2402</v>
      </c>
      <c r="C116" s="41">
        <v>2599</v>
      </c>
      <c r="D116" s="42">
        <v>45188</v>
      </c>
      <c r="E116" s="43">
        <v>16372000</v>
      </c>
      <c r="F116" s="44">
        <f t="shared" si="4"/>
        <v>1309760</v>
      </c>
      <c r="G116" s="45">
        <f t="shared" si="5"/>
        <v>17681760</v>
      </c>
      <c r="H116" s="46">
        <v>17681760</v>
      </c>
      <c r="I116" s="47">
        <f t="shared" si="3"/>
        <v>0</v>
      </c>
      <c r="J116" s="48">
        <v>45188</v>
      </c>
      <c r="K116" s="49">
        <v>45275</v>
      </c>
      <c r="L116" s="50">
        <v>4152805305</v>
      </c>
      <c r="M116" s="51"/>
      <c r="N116" s="52"/>
      <c r="O116" s="52"/>
      <c r="S116" s="53"/>
    </row>
    <row r="117" spans="1:19" s="2" customFormat="1" ht="16.5" customHeight="1" x14ac:dyDescent="0.35">
      <c r="A117" s="39" t="s">
        <v>185</v>
      </c>
      <c r="B117" s="40">
        <v>2427</v>
      </c>
      <c r="C117" s="41"/>
      <c r="D117" s="42">
        <v>45169</v>
      </c>
      <c r="E117" s="43">
        <v>13760000</v>
      </c>
      <c r="F117" s="44">
        <f t="shared" si="4"/>
        <v>1100800</v>
      </c>
      <c r="G117" s="45">
        <f t="shared" si="5"/>
        <v>14860800</v>
      </c>
      <c r="H117" s="46">
        <v>14860800</v>
      </c>
      <c r="I117" s="47">
        <f t="shared" si="3"/>
        <v>0</v>
      </c>
      <c r="J117" s="48">
        <v>45188</v>
      </c>
      <c r="K117" s="49">
        <v>45275</v>
      </c>
      <c r="L117" s="50">
        <v>4901012553</v>
      </c>
      <c r="M117" s="51"/>
      <c r="N117" s="52"/>
      <c r="O117" s="52"/>
      <c r="S117" s="53"/>
    </row>
    <row r="118" spans="1:19" s="2" customFormat="1" ht="16.5" customHeight="1" x14ac:dyDescent="0.35">
      <c r="A118" s="39" t="s">
        <v>186</v>
      </c>
      <c r="B118" s="40" t="s">
        <v>187</v>
      </c>
      <c r="C118" s="41"/>
      <c r="D118" s="42" t="s">
        <v>31</v>
      </c>
      <c r="E118" s="43">
        <v>1920000</v>
      </c>
      <c r="F118" s="44">
        <f t="shared" si="4"/>
        <v>153600</v>
      </c>
      <c r="G118" s="45">
        <f t="shared" si="5"/>
        <v>2073600</v>
      </c>
      <c r="H118" s="46">
        <v>2073600</v>
      </c>
      <c r="I118" s="47">
        <f t="shared" si="3"/>
        <v>0</v>
      </c>
      <c r="J118" s="48">
        <v>45188</v>
      </c>
      <c r="K118" s="49">
        <v>45275</v>
      </c>
      <c r="L118" s="50">
        <v>4152976934</v>
      </c>
      <c r="M118" s="51"/>
      <c r="N118" s="52"/>
      <c r="O118" s="52"/>
      <c r="S118" s="53"/>
    </row>
    <row r="119" spans="1:19" s="2" customFormat="1" ht="16.5" customHeight="1" x14ac:dyDescent="0.35">
      <c r="A119" s="39" t="s">
        <v>29</v>
      </c>
      <c r="B119" s="40" t="s">
        <v>188</v>
      </c>
      <c r="C119" s="41"/>
      <c r="D119" s="42" t="s">
        <v>189</v>
      </c>
      <c r="E119" s="43">
        <v>4160000</v>
      </c>
      <c r="F119" s="44">
        <f t="shared" si="4"/>
        <v>332800</v>
      </c>
      <c r="G119" s="45">
        <f t="shared" si="5"/>
        <v>4492800</v>
      </c>
      <c r="H119" s="46">
        <v>4492800</v>
      </c>
      <c r="I119" s="47">
        <f t="shared" si="3"/>
        <v>0</v>
      </c>
      <c r="J119" s="48">
        <v>45188</v>
      </c>
      <c r="K119" s="49">
        <v>45275</v>
      </c>
      <c r="L119" s="50">
        <v>4901014067</v>
      </c>
      <c r="M119" s="51"/>
      <c r="N119" s="52"/>
      <c r="O119" s="52"/>
      <c r="S119" s="53"/>
    </row>
    <row r="120" spans="1:19" s="2" customFormat="1" ht="16.5" customHeight="1" x14ac:dyDescent="0.35">
      <c r="A120" s="39" t="s">
        <v>37</v>
      </c>
      <c r="B120" s="40" t="s">
        <v>190</v>
      </c>
      <c r="C120" s="41"/>
      <c r="D120" s="42" t="s">
        <v>189</v>
      </c>
      <c r="E120" s="43">
        <v>4160000</v>
      </c>
      <c r="F120" s="44">
        <f t="shared" si="4"/>
        <v>332800</v>
      </c>
      <c r="G120" s="45">
        <f t="shared" si="5"/>
        <v>4492800</v>
      </c>
      <c r="H120" s="46">
        <v>4492800</v>
      </c>
      <c r="I120" s="47">
        <f t="shared" si="3"/>
        <v>0</v>
      </c>
      <c r="J120" s="48">
        <v>45188</v>
      </c>
      <c r="K120" s="49">
        <v>45275</v>
      </c>
      <c r="L120" s="50">
        <v>4901014031</v>
      </c>
      <c r="M120" s="51"/>
      <c r="N120" s="52"/>
      <c r="O120" s="52"/>
      <c r="S120" s="53"/>
    </row>
    <row r="121" spans="1:19" s="2" customFormat="1" ht="16.5" customHeight="1" x14ac:dyDescent="0.35">
      <c r="A121" s="39" t="s">
        <v>191</v>
      </c>
      <c r="B121" s="40" t="s">
        <v>192</v>
      </c>
      <c r="C121" s="41"/>
      <c r="D121" s="42" t="s">
        <v>189</v>
      </c>
      <c r="E121" s="43">
        <v>14000000</v>
      </c>
      <c r="F121" s="44">
        <f t="shared" si="4"/>
        <v>1120000</v>
      </c>
      <c r="G121" s="45">
        <f t="shared" si="5"/>
        <v>15120000</v>
      </c>
      <c r="H121" s="46">
        <v>15120000</v>
      </c>
      <c r="I121" s="47">
        <f t="shared" si="3"/>
        <v>0</v>
      </c>
      <c r="J121" s="48">
        <v>45188</v>
      </c>
      <c r="K121" s="49">
        <v>45275</v>
      </c>
      <c r="L121" s="50">
        <v>4153054879</v>
      </c>
      <c r="M121" s="51"/>
      <c r="N121" s="52"/>
      <c r="O121" s="52"/>
      <c r="S121" s="53"/>
    </row>
    <row r="122" spans="1:19" s="2" customFormat="1" ht="16.5" customHeight="1" x14ac:dyDescent="0.35">
      <c r="A122" s="39" t="s">
        <v>171</v>
      </c>
      <c r="B122" s="40" t="s">
        <v>193</v>
      </c>
      <c r="C122" s="41">
        <v>2600</v>
      </c>
      <c r="D122" s="42">
        <v>45188</v>
      </c>
      <c r="E122" s="43">
        <v>10736000</v>
      </c>
      <c r="F122" s="44">
        <f t="shared" si="4"/>
        <v>858880</v>
      </c>
      <c r="G122" s="45">
        <f t="shared" si="5"/>
        <v>11594880</v>
      </c>
      <c r="H122" s="46">
        <v>11594880</v>
      </c>
      <c r="I122" s="47">
        <f t="shared" si="3"/>
        <v>0</v>
      </c>
      <c r="J122" s="48">
        <v>45188</v>
      </c>
      <c r="K122" s="49">
        <v>45275</v>
      </c>
      <c r="L122" s="50">
        <v>4153205264</v>
      </c>
      <c r="M122" s="51"/>
      <c r="N122" s="52"/>
      <c r="O122" s="52"/>
      <c r="S122" s="53"/>
    </row>
    <row r="123" spans="1:19" s="2" customFormat="1" ht="16.5" customHeight="1" x14ac:dyDescent="0.35">
      <c r="A123" s="39" t="s">
        <v>185</v>
      </c>
      <c r="B123" s="40" t="s">
        <v>194</v>
      </c>
      <c r="C123" s="41"/>
      <c r="D123" s="42" t="s">
        <v>195</v>
      </c>
      <c r="E123" s="43">
        <v>12000000</v>
      </c>
      <c r="F123" s="44">
        <f t="shared" si="4"/>
        <v>960000</v>
      </c>
      <c r="G123" s="45">
        <f t="shared" si="5"/>
        <v>12960000</v>
      </c>
      <c r="H123" s="46">
        <v>12960000</v>
      </c>
      <c r="I123" s="47">
        <f t="shared" si="3"/>
        <v>0</v>
      </c>
      <c r="J123" s="48">
        <v>45188</v>
      </c>
      <c r="K123" s="49">
        <v>45275</v>
      </c>
      <c r="L123" s="50">
        <v>4901017047</v>
      </c>
      <c r="M123" s="51"/>
      <c r="N123" s="52"/>
      <c r="O123" s="52"/>
      <c r="S123" s="53"/>
    </row>
    <row r="124" spans="1:19" s="2" customFormat="1" ht="16.5" customHeight="1" x14ac:dyDescent="0.35">
      <c r="A124" s="39" t="s">
        <v>171</v>
      </c>
      <c r="B124" s="40" t="s">
        <v>196</v>
      </c>
      <c r="C124" s="41">
        <v>2393</v>
      </c>
      <c r="D124" s="42">
        <v>45166</v>
      </c>
      <c r="E124" s="43">
        <v>21630500</v>
      </c>
      <c r="F124" s="44">
        <f t="shared" si="4"/>
        <v>1730440</v>
      </c>
      <c r="G124" s="45">
        <f t="shared" si="5"/>
        <v>23360940</v>
      </c>
      <c r="H124" s="46">
        <v>23360940</v>
      </c>
      <c r="I124" s="47">
        <f t="shared" si="3"/>
        <v>0</v>
      </c>
      <c r="J124" s="48">
        <v>45166</v>
      </c>
      <c r="K124" s="49">
        <v>45245</v>
      </c>
      <c r="L124" s="50">
        <v>4152135260</v>
      </c>
      <c r="M124" s="51"/>
      <c r="N124" s="52"/>
      <c r="O124" s="52"/>
      <c r="S124" s="53"/>
    </row>
    <row r="125" spans="1:19" s="2" customFormat="1" ht="16.5" customHeight="1" x14ac:dyDescent="0.35">
      <c r="A125" s="39" t="s">
        <v>77</v>
      </c>
      <c r="B125" s="40" t="s">
        <v>197</v>
      </c>
      <c r="C125" s="41"/>
      <c r="D125" s="42" t="s">
        <v>198</v>
      </c>
      <c r="E125" s="43">
        <v>960000</v>
      </c>
      <c r="F125" s="44">
        <f t="shared" si="4"/>
        <v>76800</v>
      </c>
      <c r="G125" s="45">
        <f t="shared" si="5"/>
        <v>1036800</v>
      </c>
      <c r="H125" s="46">
        <v>1036800</v>
      </c>
      <c r="I125" s="47">
        <f t="shared" si="3"/>
        <v>0</v>
      </c>
      <c r="J125" s="48">
        <v>45166</v>
      </c>
      <c r="K125" s="49">
        <v>45245</v>
      </c>
      <c r="L125" s="50">
        <v>4152200758</v>
      </c>
      <c r="M125" s="51"/>
      <c r="N125" s="52"/>
      <c r="O125" s="52"/>
      <c r="S125" s="53"/>
    </row>
    <row r="126" spans="1:19" s="2" customFormat="1" ht="16.5" customHeight="1" x14ac:dyDescent="0.35">
      <c r="A126" s="39" t="s">
        <v>185</v>
      </c>
      <c r="B126" s="40" t="s">
        <v>199</v>
      </c>
      <c r="C126" s="41"/>
      <c r="D126" s="42" t="s">
        <v>200</v>
      </c>
      <c r="E126" s="43">
        <v>26480000</v>
      </c>
      <c r="F126" s="44">
        <f t="shared" si="4"/>
        <v>2118400</v>
      </c>
      <c r="G126" s="45">
        <f t="shared" si="5"/>
        <v>28598400</v>
      </c>
      <c r="H126" s="46">
        <v>28598400</v>
      </c>
      <c r="I126" s="47">
        <f t="shared" si="3"/>
        <v>0</v>
      </c>
      <c r="J126" s="48">
        <v>45166</v>
      </c>
      <c r="K126" s="49">
        <v>45245</v>
      </c>
      <c r="L126" s="50">
        <v>4901003201</v>
      </c>
      <c r="M126" s="51"/>
      <c r="N126" s="52"/>
      <c r="O126" s="52"/>
      <c r="S126" s="53"/>
    </row>
    <row r="127" spans="1:19" s="2" customFormat="1" ht="16.5" customHeight="1" x14ac:dyDescent="0.35">
      <c r="A127" s="39" t="s">
        <v>171</v>
      </c>
      <c r="B127" s="40" t="s">
        <v>201</v>
      </c>
      <c r="C127" s="41">
        <v>2394</v>
      </c>
      <c r="D127" s="42">
        <v>45166</v>
      </c>
      <c r="E127" s="43">
        <v>22658000</v>
      </c>
      <c r="F127" s="44">
        <f t="shared" si="4"/>
        <v>1812640</v>
      </c>
      <c r="G127" s="45">
        <f t="shared" si="5"/>
        <v>24470640</v>
      </c>
      <c r="H127" s="46">
        <v>24470640</v>
      </c>
      <c r="I127" s="47">
        <f t="shared" si="3"/>
        <v>0</v>
      </c>
      <c r="J127" s="48">
        <v>45166</v>
      </c>
      <c r="K127" s="49">
        <v>45245</v>
      </c>
      <c r="L127" s="50">
        <v>4152278529</v>
      </c>
      <c r="M127" s="51"/>
      <c r="N127" s="52"/>
      <c r="O127" s="52"/>
      <c r="S127" s="53"/>
    </row>
    <row r="128" spans="1:19" s="2" customFormat="1" ht="16.5" customHeight="1" x14ac:dyDescent="0.35">
      <c r="A128" s="39" t="s">
        <v>29</v>
      </c>
      <c r="B128" s="40" t="s">
        <v>202</v>
      </c>
      <c r="C128" s="41"/>
      <c r="D128" s="42" t="s">
        <v>203</v>
      </c>
      <c r="E128" s="43">
        <v>5760000</v>
      </c>
      <c r="F128" s="44">
        <f t="shared" si="4"/>
        <v>460800</v>
      </c>
      <c r="G128" s="45">
        <f t="shared" si="5"/>
        <v>6220800</v>
      </c>
      <c r="H128" s="46">
        <v>6220800</v>
      </c>
      <c r="I128" s="47">
        <f t="shared" si="3"/>
        <v>0</v>
      </c>
      <c r="J128" s="48">
        <v>45166</v>
      </c>
      <c r="K128" s="49">
        <v>45245</v>
      </c>
      <c r="L128" s="50">
        <v>4901003811</v>
      </c>
      <c r="M128" s="51"/>
      <c r="N128" s="52"/>
      <c r="O128" s="52"/>
      <c r="S128" s="53"/>
    </row>
    <row r="129" spans="1:19" s="2" customFormat="1" ht="16.5" customHeight="1" x14ac:dyDescent="0.35">
      <c r="A129" s="39" t="s">
        <v>77</v>
      </c>
      <c r="B129" s="40" t="s">
        <v>204</v>
      </c>
      <c r="C129" s="41"/>
      <c r="D129" s="42" t="s">
        <v>205</v>
      </c>
      <c r="E129" s="43">
        <v>7130000</v>
      </c>
      <c r="F129" s="44">
        <f t="shared" si="4"/>
        <v>570400</v>
      </c>
      <c r="G129" s="45">
        <f t="shared" si="5"/>
        <v>7700400</v>
      </c>
      <c r="H129" s="46">
        <v>7700400</v>
      </c>
      <c r="I129" s="47">
        <f t="shared" si="3"/>
        <v>0</v>
      </c>
      <c r="J129" s="48">
        <v>45166</v>
      </c>
      <c r="K129" s="49">
        <v>45245</v>
      </c>
      <c r="L129" s="50">
        <v>4152329334</v>
      </c>
      <c r="M129" s="51"/>
      <c r="N129" s="52"/>
      <c r="O129" s="52"/>
      <c r="S129" s="53"/>
    </row>
    <row r="130" spans="1:19" s="2" customFormat="1" ht="16.5" customHeight="1" x14ac:dyDescent="0.35">
      <c r="A130" s="39" t="s">
        <v>206</v>
      </c>
      <c r="B130" s="40" t="s">
        <v>207</v>
      </c>
      <c r="C130" s="41">
        <v>2395</v>
      </c>
      <c r="D130" s="42">
        <v>45166</v>
      </c>
      <c r="E130" s="43">
        <v>4930000</v>
      </c>
      <c r="F130" s="44">
        <f t="shared" si="4"/>
        <v>394400</v>
      </c>
      <c r="G130" s="45">
        <f t="shared" si="5"/>
        <v>5324400</v>
      </c>
      <c r="H130" s="46">
        <v>5324400</v>
      </c>
      <c r="I130" s="47">
        <f t="shared" si="3"/>
        <v>0</v>
      </c>
      <c r="J130" s="48">
        <v>45166</v>
      </c>
      <c r="K130" s="49">
        <v>45245</v>
      </c>
      <c r="L130" s="50">
        <v>4152321306</v>
      </c>
      <c r="M130" s="51"/>
      <c r="N130" s="52"/>
      <c r="O130" s="52"/>
      <c r="S130" s="53"/>
    </row>
    <row r="131" spans="1:19" s="2" customFormat="1" ht="16.5" customHeight="1" x14ac:dyDescent="0.35">
      <c r="A131" s="39" t="s">
        <v>71</v>
      </c>
      <c r="B131" s="40" t="s">
        <v>208</v>
      </c>
      <c r="C131" s="41"/>
      <c r="D131" s="42" t="s">
        <v>205</v>
      </c>
      <c r="E131" s="43">
        <v>1980000</v>
      </c>
      <c r="F131" s="44">
        <f t="shared" si="4"/>
        <v>158400</v>
      </c>
      <c r="G131" s="45">
        <f t="shared" si="5"/>
        <v>2138400</v>
      </c>
      <c r="H131" s="46">
        <v>2138400</v>
      </c>
      <c r="I131" s="47">
        <f t="shared" si="3"/>
        <v>0</v>
      </c>
      <c r="J131" s="48">
        <v>45166</v>
      </c>
      <c r="K131" s="49">
        <v>45245</v>
      </c>
      <c r="L131" s="50">
        <v>4152336098</v>
      </c>
      <c r="M131" s="51"/>
      <c r="N131" s="52"/>
      <c r="O131" s="52"/>
      <c r="S131" s="53"/>
    </row>
    <row r="132" spans="1:19" s="2" customFormat="1" ht="16.5" customHeight="1" x14ac:dyDescent="0.35">
      <c r="A132" s="39" t="s">
        <v>77</v>
      </c>
      <c r="B132" s="40" t="s">
        <v>209</v>
      </c>
      <c r="C132" s="41">
        <v>2396</v>
      </c>
      <c r="D132" s="42">
        <v>45166</v>
      </c>
      <c r="E132" s="43">
        <v>17756000</v>
      </c>
      <c r="F132" s="44">
        <f t="shared" si="4"/>
        <v>1420480</v>
      </c>
      <c r="G132" s="45">
        <f t="shared" si="5"/>
        <v>19176480</v>
      </c>
      <c r="H132" s="46">
        <v>19176480</v>
      </c>
      <c r="I132" s="47">
        <f t="shared" si="3"/>
        <v>0</v>
      </c>
      <c r="J132" s="48">
        <v>45166</v>
      </c>
      <c r="K132" s="49">
        <v>45245</v>
      </c>
      <c r="L132" s="50">
        <v>4152444511</v>
      </c>
      <c r="M132" s="51"/>
      <c r="N132" s="52"/>
      <c r="O132" s="52"/>
      <c r="S132" s="53"/>
    </row>
    <row r="133" spans="1:19" s="2" customFormat="1" ht="16.5" customHeight="1" x14ac:dyDescent="0.35">
      <c r="A133" s="39" t="s">
        <v>171</v>
      </c>
      <c r="B133" s="40" t="s">
        <v>210</v>
      </c>
      <c r="C133" s="41">
        <v>2397</v>
      </c>
      <c r="D133" s="42">
        <v>45166</v>
      </c>
      <c r="E133" s="43">
        <v>42348000</v>
      </c>
      <c r="F133" s="44">
        <f t="shared" si="4"/>
        <v>3387840</v>
      </c>
      <c r="G133" s="45">
        <f t="shared" si="5"/>
        <v>45735840</v>
      </c>
      <c r="H133" s="46">
        <v>45735840</v>
      </c>
      <c r="I133" s="47">
        <f t="shared" si="3"/>
        <v>0</v>
      </c>
      <c r="J133" s="48">
        <v>45166</v>
      </c>
      <c r="K133" s="49">
        <v>45245</v>
      </c>
      <c r="L133" s="50">
        <v>4152487030</v>
      </c>
      <c r="M133" s="51"/>
      <c r="N133" s="52"/>
      <c r="O133" s="52"/>
      <c r="S133" s="53"/>
    </row>
    <row r="134" spans="1:19" s="2" customFormat="1" ht="16.5" customHeight="1" x14ac:dyDescent="0.35">
      <c r="A134" s="39" t="s">
        <v>37</v>
      </c>
      <c r="B134" s="40" t="s">
        <v>211</v>
      </c>
      <c r="C134" s="41"/>
      <c r="D134" s="42" t="s">
        <v>212</v>
      </c>
      <c r="E134" s="43">
        <v>12000000</v>
      </c>
      <c r="F134" s="44">
        <f t="shared" si="4"/>
        <v>960000</v>
      </c>
      <c r="G134" s="45">
        <f t="shared" si="5"/>
        <v>12960000</v>
      </c>
      <c r="H134" s="46">
        <v>12960000</v>
      </c>
      <c r="I134" s="47">
        <f t="shared" si="3"/>
        <v>0</v>
      </c>
      <c r="J134" s="48">
        <v>45166</v>
      </c>
      <c r="K134" s="49">
        <v>45245</v>
      </c>
      <c r="L134" s="50">
        <v>4901006866</v>
      </c>
      <c r="M134" s="51"/>
      <c r="N134" s="52"/>
      <c r="O134" s="52"/>
      <c r="S134" s="53"/>
    </row>
    <row r="135" spans="1:19" s="2" customFormat="1" ht="16.5" customHeight="1" x14ac:dyDescent="0.35">
      <c r="A135" s="39" t="s">
        <v>29</v>
      </c>
      <c r="B135" s="40" t="s">
        <v>213</v>
      </c>
      <c r="C135" s="41"/>
      <c r="D135" s="42" t="s">
        <v>212</v>
      </c>
      <c r="E135" s="43">
        <v>10800000</v>
      </c>
      <c r="F135" s="44">
        <f t="shared" si="4"/>
        <v>864000</v>
      </c>
      <c r="G135" s="45">
        <f t="shared" si="5"/>
        <v>11664000</v>
      </c>
      <c r="H135" s="46">
        <v>11664000</v>
      </c>
      <c r="I135" s="47">
        <f t="shared" si="3"/>
        <v>0</v>
      </c>
      <c r="J135" s="48">
        <v>45166</v>
      </c>
      <c r="K135" s="49">
        <v>45245</v>
      </c>
      <c r="L135" s="50">
        <v>4901006910</v>
      </c>
      <c r="M135" s="51"/>
      <c r="N135" s="52"/>
      <c r="O135" s="52"/>
      <c r="S135" s="53"/>
    </row>
    <row r="136" spans="1:19" s="2" customFormat="1" ht="16.5" customHeight="1" x14ac:dyDescent="0.35">
      <c r="A136" s="39" t="s">
        <v>77</v>
      </c>
      <c r="B136" s="40">
        <v>2318</v>
      </c>
      <c r="C136" s="41"/>
      <c r="D136" s="42">
        <v>45159</v>
      </c>
      <c r="E136" s="43">
        <v>4845000</v>
      </c>
      <c r="F136" s="44">
        <f t="shared" si="4"/>
        <v>387600</v>
      </c>
      <c r="G136" s="45">
        <f t="shared" si="5"/>
        <v>5232600</v>
      </c>
      <c r="H136" s="46">
        <v>5232600</v>
      </c>
      <c r="I136" s="47">
        <f t="shared" ref="I136:I199" si="6">G136-H136</f>
        <v>0</v>
      </c>
      <c r="J136" s="48">
        <v>45166</v>
      </c>
      <c r="K136" s="49">
        <v>45245</v>
      </c>
      <c r="L136" s="50">
        <v>4152564330</v>
      </c>
      <c r="M136" s="51"/>
      <c r="N136" s="52"/>
      <c r="O136" s="52"/>
      <c r="S136" s="53"/>
    </row>
    <row r="137" spans="1:19" s="2" customFormat="1" ht="16.5" customHeight="1" x14ac:dyDescent="0.35">
      <c r="A137" s="39" t="s">
        <v>186</v>
      </c>
      <c r="B137" s="40">
        <v>2320</v>
      </c>
      <c r="C137" s="41"/>
      <c r="D137" s="42">
        <v>45159</v>
      </c>
      <c r="E137" s="43">
        <v>2960000</v>
      </c>
      <c r="F137" s="44">
        <f t="shared" si="4"/>
        <v>236800</v>
      </c>
      <c r="G137" s="45">
        <f t="shared" si="5"/>
        <v>3196800</v>
      </c>
      <c r="H137" s="46">
        <v>3196800</v>
      </c>
      <c r="I137" s="47">
        <f t="shared" si="6"/>
        <v>0</v>
      </c>
      <c r="J137" s="48">
        <v>45166</v>
      </c>
      <c r="K137" s="49">
        <v>45245</v>
      </c>
      <c r="L137" s="50">
        <v>4152597848</v>
      </c>
      <c r="M137" s="51"/>
      <c r="N137" s="52"/>
      <c r="O137" s="52"/>
      <c r="S137" s="53"/>
    </row>
    <row r="138" spans="1:19" s="2" customFormat="1" ht="16.5" customHeight="1" x14ac:dyDescent="0.35">
      <c r="A138" s="39" t="s">
        <v>123</v>
      </c>
      <c r="B138" s="40">
        <v>2324</v>
      </c>
      <c r="C138" s="41"/>
      <c r="D138" s="42">
        <v>45160</v>
      </c>
      <c r="E138" s="43">
        <v>8080000</v>
      </c>
      <c r="F138" s="44">
        <f t="shared" si="4"/>
        <v>646400</v>
      </c>
      <c r="G138" s="45">
        <f t="shared" si="5"/>
        <v>8726400</v>
      </c>
      <c r="H138" s="46">
        <v>8726400</v>
      </c>
      <c r="I138" s="47">
        <f t="shared" si="6"/>
        <v>0</v>
      </c>
      <c r="J138" s="48">
        <v>45166</v>
      </c>
      <c r="K138" s="49">
        <v>45245</v>
      </c>
      <c r="L138" s="50">
        <v>4152637162</v>
      </c>
      <c r="M138" s="51"/>
      <c r="N138" s="52"/>
      <c r="O138" s="52"/>
      <c r="S138" s="53"/>
    </row>
    <row r="139" spans="1:19" s="2" customFormat="1" ht="16.5" customHeight="1" x14ac:dyDescent="0.35">
      <c r="A139" s="39" t="s">
        <v>33</v>
      </c>
      <c r="B139" s="40" t="s">
        <v>214</v>
      </c>
      <c r="C139" s="41"/>
      <c r="D139" s="42" t="s">
        <v>215</v>
      </c>
      <c r="E139" s="43">
        <v>960000</v>
      </c>
      <c r="F139" s="44">
        <f t="shared" si="4"/>
        <v>76800</v>
      </c>
      <c r="G139" s="45">
        <f t="shared" si="5"/>
        <v>1036800</v>
      </c>
      <c r="H139" s="46">
        <v>1036800</v>
      </c>
      <c r="I139" s="47">
        <f t="shared" si="6"/>
        <v>0</v>
      </c>
      <c r="J139" s="48">
        <v>45148</v>
      </c>
      <c r="K139" s="49">
        <v>45224</v>
      </c>
      <c r="L139" s="50">
        <v>4900989029</v>
      </c>
      <c r="M139" s="51"/>
      <c r="N139" s="52"/>
      <c r="O139" s="52"/>
      <c r="S139" s="53"/>
    </row>
    <row r="140" spans="1:19" s="2" customFormat="1" ht="16.5" customHeight="1" x14ac:dyDescent="0.35">
      <c r="A140" s="39" t="s">
        <v>29</v>
      </c>
      <c r="B140" s="40" t="s">
        <v>216</v>
      </c>
      <c r="C140" s="41"/>
      <c r="D140" s="42" t="s">
        <v>215</v>
      </c>
      <c r="E140" s="43">
        <v>18640000</v>
      </c>
      <c r="F140" s="44">
        <f t="shared" si="4"/>
        <v>1491200</v>
      </c>
      <c r="G140" s="45">
        <f t="shared" si="5"/>
        <v>20131200</v>
      </c>
      <c r="H140" s="46">
        <v>20131200</v>
      </c>
      <c r="I140" s="47">
        <f t="shared" si="6"/>
        <v>0</v>
      </c>
      <c r="J140" s="48">
        <v>45148</v>
      </c>
      <c r="K140" s="49">
        <v>45224</v>
      </c>
      <c r="L140" s="50">
        <v>4900989117</v>
      </c>
      <c r="M140" s="51"/>
      <c r="N140" s="52"/>
      <c r="O140" s="52"/>
      <c r="S140" s="53"/>
    </row>
    <row r="141" spans="1:19" s="2" customFormat="1" ht="16.5" customHeight="1" x14ac:dyDescent="0.35">
      <c r="A141" s="39" t="s">
        <v>56</v>
      </c>
      <c r="B141" s="40" t="s">
        <v>217</v>
      </c>
      <c r="C141" s="41"/>
      <c r="D141" s="42" t="s">
        <v>215</v>
      </c>
      <c r="E141" s="43">
        <v>2080000</v>
      </c>
      <c r="F141" s="44">
        <f t="shared" si="4"/>
        <v>166400</v>
      </c>
      <c r="G141" s="45">
        <f t="shared" si="5"/>
        <v>2246400</v>
      </c>
      <c r="H141" s="46">
        <v>2246400</v>
      </c>
      <c r="I141" s="47">
        <f t="shared" si="6"/>
        <v>0</v>
      </c>
      <c r="J141" s="48">
        <v>45148</v>
      </c>
      <c r="K141" s="49">
        <v>45224</v>
      </c>
      <c r="L141" s="50">
        <v>4900989250</v>
      </c>
      <c r="M141" s="51"/>
      <c r="N141" s="52"/>
      <c r="O141" s="52"/>
      <c r="S141" s="53"/>
    </row>
    <row r="142" spans="1:19" s="2" customFormat="1" ht="16.5" customHeight="1" x14ac:dyDescent="0.35">
      <c r="A142" s="39" t="s">
        <v>33</v>
      </c>
      <c r="B142" s="40" t="s">
        <v>218</v>
      </c>
      <c r="C142" s="41"/>
      <c r="D142" s="42" t="s">
        <v>219</v>
      </c>
      <c r="E142" s="43">
        <v>14880000</v>
      </c>
      <c r="F142" s="44">
        <f t="shared" si="4"/>
        <v>1190400</v>
      </c>
      <c r="G142" s="45">
        <f t="shared" si="5"/>
        <v>16070400</v>
      </c>
      <c r="H142" s="46">
        <v>16070400</v>
      </c>
      <c r="I142" s="47">
        <f t="shared" si="6"/>
        <v>0</v>
      </c>
      <c r="J142" s="48">
        <v>45148</v>
      </c>
      <c r="K142" s="49">
        <v>45224</v>
      </c>
      <c r="L142" s="50">
        <v>4151549452</v>
      </c>
      <c r="M142" s="51"/>
      <c r="N142" s="52"/>
      <c r="O142" s="52"/>
      <c r="S142" s="53"/>
    </row>
    <row r="143" spans="1:19" s="2" customFormat="1" ht="16.5" customHeight="1" x14ac:dyDescent="0.35">
      <c r="A143" s="39" t="s">
        <v>71</v>
      </c>
      <c r="B143" s="40" t="s">
        <v>51</v>
      </c>
      <c r="C143" s="41"/>
      <c r="D143" s="42" t="s">
        <v>58</v>
      </c>
      <c r="E143" s="43">
        <v>2960000</v>
      </c>
      <c r="F143" s="44">
        <f t="shared" si="4"/>
        <v>236800</v>
      </c>
      <c r="G143" s="45">
        <f t="shared" si="5"/>
        <v>3196800</v>
      </c>
      <c r="H143" s="46">
        <v>3196800</v>
      </c>
      <c r="I143" s="47">
        <f t="shared" si="6"/>
        <v>0</v>
      </c>
      <c r="J143" s="48">
        <v>45148</v>
      </c>
      <c r="K143" s="49">
        <v>45224</v>
      </c>
      <c r="L143" s="50">
        <v>4151521799</v>
      </c>
      <c r="M143" s="51"/>
      <c r="N143" s="52"/>
      <c r="O143" s="52"/>
      <c r="S143" s="53"/>
    </row>
    <row r="144" spans="1:19" s="2" customFormat="1" ht="16.5" customHeight="1" x14ac:dyDescent="0.35">
      <c r="A144" s="39" t="s">
        <v>185</v>
      </c>
      <c r="B144" s="40" t="s">
        <v>220</v>
      </c>
      <c r="C144" s="41"/>
      <c r="D144" s="42" t="s">
        <v>58</v>
      </c>
      <c r="E144" s="43">
        <v>468000</v>
      </c>
      <c r="F144" s="44">
        <f t="shared" si="4"/>
        <v>37440</v>
      </c>
      <c r="G144" s="45">
        <f t="shared" si="5"/>
        <v>505440</v>
      </c>
      <c r="H144" s="46">
        <v>505440</v>
      </c>
      <c r="I144" s="47">
        <f t="shared" si="6"/>
        <v>0</v>
      </c>
      <c r="J144" s="48">
        <v>45148</v>
      </c>
      <c r="K144" s="49">
        <v>45224</v>
      </c>
      <c r="L144" s="50">
        <v>4900990592</v>
      </c>
      <c r="M144" s="51"/>
      <c r="N144" s="52"/>
      <c r="O144" s="52"/>
      <c r="S144" s="53"/>
    </row>
    <row r="145" spans="1:19" s="2" customFormat="1" ht="16.5" customHeight="1" x14ac:dyDescent="0.35">
      <c r="A145" s="39" t="s">
        <v>77</v>
      </c>
      <c r="B145" s="40" t="s">
        <v>221</v>
      </c>
      <c r="C145" s="41"/>
      <c r="D145" s="42" t="s">
        <v>222</v>
      </c>
      <c r="E145" s="43">
        <v>10160000</v>
      </c>
      <c r="F145" s="44">
        <f t="shared" si="4"/>
        <v>812800</v>
      </c>
      <c r="G145" s="45">
        <f t="shared" si="5"/>
        <v>10972800</v>
      </c>
      <c r="H145" s="46">
        <v>10972800</v>
      </c>
      <c r="I145" s="47">
        <f t="shared" si="6"/>
        <v>0</v>
      </c>
      <c r="J145" s="48">
        <v>45148</v>
      </c>
      <c r="K145" s="49">
        <v>45224</v>
      </c>
      <c r="L145" s="50">
        <v>4151619612</v>
      </c>
      <c r="M145" s="51"/>
      <c r="N145" s="52"/>
      <c r="O145" s="52"/>
      <c r="S145" s="53"/>
    </row>
    <row r="146" spans="1:19" s="2" customFormat="1" ht="16.5" customHeight="1" x14ac:dyDescent="0.35">
      <c r="A146" s="39" t="s">
        <v>185</v>
      </c>
      <c r="B146" s="40" t="s">
        <v>223</v>
      </c>
      <c r="C146" s="41"/>
      <c r="D146" s="42" t="s">
        <v>224</v>
      </c>
      <c r="E146" s="43">
        <v>5760000</v>
      </c>
      <c r="F146" s="44">
        <f t="shared" si="4"/>
        <v>460800</v>
      </c>
      <c r="G146" s="45">
        <f t="shared" si="5"/>
        <v>6220800</v>
      </c>
      <c r="H146" s="46">
        <v>6220800</v>
      </c>
      <c r="I146" s="47">
        <f t="shared" si="6"/>
        <v>0</v>
      </c>
      <c r="J146" s="48">
        <v>45148</v>
      </c>
      <c r="K146" s="49">
        <v>45224</v>
      </c>
      <c r="L146" s="50">
        <v>4900993362</v>
      </c>
      <c r="M146" s="51"/>
      <c r="N146" s="52"/>
      <c r="O146" s="52"/>
      <c r="S146" s="53"/>
    </row>
    <row r="147" spans="1:19" s="2" customFormat="1" ht="16.5" customHeight="1" x14ac:dyDescent="0.35">
      <c r="A147" s="39" t="s">
        <v>56</v>
      </c>
      <c r="B147" s="40" t="s">
        <v>225</v>
      </c>
      <c r="C147" s="41"/>
      <c r="D147" s="42" t="s">
        <v>224</v>
      </c>
      <c r="E147" s="43">
        <v>2000000</v>
      </c>
      <c r="F147" s="44">
        <f t="shared" si="4"/>
        <v>160000</v>
      </c>
      <c r="G147" s="45">
        <f t="shared" si="5"/>
        <v>2160000</v>
      </c>
      <c r="H147" s="46">
        <v>2160000</v>
      </c>
      <c r="I147" s="47">
        <f t="shared" si="6"/>
        <v>0</v>
      </c>
      <c r="J147" s="48">
        <v>45148</v>
      </c>
      <c r="K147" s="49">
        <v>45224</v>
      </c>
      <c r="L147" s="50">
        <v>4900993208</v>
      </c>
      <c r="M147" s="51"/>
      <c r="N147" s="52"/>
      <c r="O147" s="52"/>
      <c r="S147" s="53"/>
    </row>
    <row r="148" spans="1:19" s="2" customFormat="1" ht="16.5" customHeight="1" x14ac:dyDescent="0.35">
      <c r="A148" s="39" t="s">
        <v>77</v>
      </c>
      <c r="B148" s="40" t="s">
        <v>226</v>
      </c>
      <c r="C148" s="41"/>
      <c r="D148" s="42" t="s">
        <v>227</v>
      </c>
      <c r="E148" s="43">
        <v>2470000</v>
      </c>
      <c r="F148" s="44">
        <f t="shared" si="4"/>
        <v>197600</v>
      </c>
      <c r="G148" s="45">
        <f t="shared" si="5"/>
        <v>2667600</v>
      </c>
      <c r="H148" s="46">
        <v>2667600</v>
      </c>
      <c r="I148" s="47">
        <f t="shared" si="6"/>
        <v>0</v>
      </c>
      <c r="J148" s="48">
        <v>45148</v>
      </c>
      <c r="K148" s="49">
        <v>45224</v>
      </c>
      <c r="L148" s="50">
        <v>4151707385</v>
      </c>
      <c r="M148" s="51"/>
      <c r="N148" s="52"/>
      <c r="O148" s="52"/>
      <c r="S148" s="53"/>
    </row>
    <row r="149" spans="1:19" s="2" customFormat="1" ht="16.5" customHeight="1" x14ac:dyDescent="0.35">
      <c r="A149" s="39" t="s">
        <v>33</v>
      </c>
      <c r="B149" s="40" t="s">
        <v>228</v>
      </c>
      <c r="C149" s="41">
        <v>2183</v>
      </c>
      <c r="D149" s="42">
        <v>45148</v>
      </c>
      <c r="E149" s="43">
        <v>1960000</v>
      </c>
      <c r="F149" s="44">
        <f t="shared" si="4"/>
        <v>156800</v>
      </c>
      <c r="G149" s="45">
        <f t="shared" si="5"/>
        <v>2116800</v>
      </c>
      <c r="H149" s="46">
        <v>2116800</v>
      </c>
      <c r="I149" s="47">
        <f t="shared" si="6"/>
        <v>0</v>
      </c>
      <c r="J149" s="48">
        <v>45148</v>
      </c>
      <c r="K149" s="49">
        <v>45224</v>
      </c>
      <c r="L149" s="50">
        <v>4900993714</v>
      </c>
      <c r="M149" s="51"/>
      <c r="N149" s="52"/>
      <c r="O149" s="52"/>
      <c r="S149" s="53"/>
    </row>
    <row r="150" spans="1:19" s="2" customFormat="1" ht="16.5" customHeight="1" x14ac:dyDescent="0.35">
      <c r="A150" s="39" t="s">
        <v>171</v>
      </c>
      <c r="B150" s="40" t="s">
        <v>229</v>
      </c>
      <c r="C150" s="41">
        <v>2184</v>
      </c>
      <c r="D150" s="42">
        <v>45148</v>
      </c>
      <c r="E150" s="43">
        <v>11728000</v>
      </c>
      <c r="F150" s="44">
        <f t="shared" si="4"/>
        <v>938240</v>
      </c>
      <c r="G150" s="45">
        <f t="shared" si="5"/>
        <v>12666240</v>
      </c>
      <c r="H150" s="46">
        <v>12666240</v>
      </c>
      <c r="I150" s="47">
        <f t="shared" si="6"/>
        <v>0</v>
      </c>
      <c r="J150" s="48">
        <v>45148</v>
      </c>
      <c r="K150" s="49">
        <v>45224</v>
      </c>
      <c r="L150" s="50">
        <v>4151784989</v>
      </c>
      <c r="M150" s="51"/>
      <c r="N150" s="52"/>
      <c r="O150" s="52"/>
      <c r="S150" s="53"/>
    </row>
    <row r="151" spans="1:19" s="2" customFormat="1" ht="16.5" customHeight="1" x14ac:dyDescent="0.35">
      <c r="A151" s="39" t="s">
        <v>37</v>
      </c>
      <c r="B151" s="40" t="s">
        <v>230</v>
      </c>
      <c r="C151" s="41"/>
      <c r="D151" s="42" t="s">
        <v>231</v>
      </c>
      <c r="E151" s="43">
        <v>31600000</v>
      </c>
      <c r="F151" s="44">
        <f t="shared" ref="F151:F158" si="7">+E151*0.08</f>
        <v>2528000</v>
      </c>
      <c r="G151" s="45">
        <f t="shared" ref="G151:G214" si="8">E151+F151</f>
        <v>34128000</v>
      </c>
      <c r="H151" s="46">
        <v>34128000</v>
      </c>
      <c r="I151" s="47">
        <f t="shared" si="6"/>
        <v>0</v>
      </c>
      <c r="J151" s="48">
        <v>45148</v>
      </c>
      <c r="K151" s="49">
        <v>45224</v>
      </c>
      <c r="L151" s="50">
        <v>4900996870</v>
      </c>
      <c r="M151" s="51"/>
      <c r="N151" s="52"/>
      <c r="O151" s="52"/>
      <c r="S151" s="53"/>
    </row>
    <row r="152" spans="1:19" s="2" customFormat="1" ht="16.5" customHeight="1" x14ac:dyDescent="0.35">
      <c r="A152" s="39" t="s">
        <v>77</v>
      </c>
      <c r="B152" s="40" t="s">
        <v>232</v>
      </c>
      <c r="C152" s="41"/>
      <c r="D152" s="42" t="s">
        <v>233</v>
      </c>
      <c r="E152" s="43">
        <v>10000000</v>
      </c>
      <c r="F152" s="44">
        <f t="shared" si="7"/>
        <v>800000</v>
      </c>
      <c r="G152" s="45">
        <f t="shared" si="8"/>
        <v>10800000</v>
      </c>
      <c r="H152" s="46">
        <v>10800000</v>
      </c>
      <c r="I152" s="47">
        <f t="shared" si="6"/>
        <v>0</v>
      </c>
      <c r="J152" s="48">
        <v>45148</v>
      </c>
      <c r="K152" s="49">
        <v>45224</v>
      </c>
      <c r="L152" s="50">
        <v>4151923695</v>
      </c>
      <c r="M152" s="51"/>
      <c r="N152" s="52"/>
      <c r="O152" s="52"/>
      <c r="S152" s="53"/>
    </row>
    <row r="153" spans="1:19" s="2" customFormat="1" ht="16.5" customHeight="1" x14ac:dyDescent="0.35">
      <c r="A153" s="39" t="s">
        <v>33</v>
      </c>
      <c r="B153" s="40" t="s">
        <v>234</v>
      </c>
      <c r="C153" s="41"/>
      <c r="D153" s="42" t="s">
        <v>233</v>
      </c>
      <c r="E153" s="43">
        <v>4000000</v>
      </c>
      <c r="F153" s="44">
        <f t="shared" si="7"/>
        <v>320000</v>
      </c>
      <c r="G153" s="45">
        <f t="shared" si="8"/>
        <v>4320000</v>
      </c>
      <c r="H153" s="46">
        <v>4320000</v>
      </c>
      <c r="I153" s="47">
        <f t="shared" si="6"/>
        <v>0</v>
      </c>
      <c r="J153" s="48">
        <v>45148</v>
      </c>
      <c r="K153" s="49">
        <v>45224</v>
      </c>
      <c r="L153" s="50">
        <v>4900996963</v>
      </c>
      <c r="M153" s="51"/>
      <c r="N153" s="52"/>
      <c r="O153" s="52"/>
      <c r="S153" s="53"/>
    </row>
    <row r="154" spans="1:19" s="2" customFormat="1" ht="16.5" customHeight="1" x14ac:dyDescent="0.35">
      <c r="A154" s="39" t="s">
        <v>171</v>
      </c>
      <c r="B154" s="40" t="s">
        <v>235</v>
      </c>
      <c r="C154" s="41">
        <v>2185</v>
      </c>
      <c r="D154" s="42">
        <v>45148</v>
      </c>
      <c r="E154" s="43">
        <v>17553500</v>
      </c>
      <c r="F154" s="44">
        <f t="shared" si="7"/>
        <v>1404280</v>
      </c>
      <c r="G154" s="45">
        <f t="shared" si="8"/>
        <v>18957780</v>
      </c>
      <c r="H154" s="46">
        <v>18957780</v>
      </c>
      <c r="I154" s="47">
        <f t="shared" si="6"/>
        <v>0</v>
      </c>
      <c r="J154" s="48">
        <v>45148</v>
      </c>
      <c r="K154" s="49">
        <v>45224</v>
      </c>
      <c r="L154" s="50">
        <v>4151997561</v>
      </c>
      <c r="M154" s="51"/>
      <c r="N154" s="52"/>
      <c r="O154" s="52"/>
      <c r="S154" s="53"/>
    </row>
    <row r="155" spans="1:19" s="2" customFormat="1" ht="16.5" customHeight="1" x14ac:dyDescent="0.35">
      <c r="A155" s="39" t="s">
        <v>29</v>
      </c>
      <c r="B155" s="40" t="s">
        <v>236</v>
      </c>
      <c r="C155" s="41"/>
      <c r="D155" s="42" t="s">
        <v>237</v>
      </c>
      <c r="E155" s="43">
        <v>5200000</v>
      </c>
      <c r="F155" s="44">
        <f t="shared" si="7"/>
        <v>416000</v>
      </c>
      <c r="G155" s="45">
        <f t="shared" si="8"/>
        <v>5616000</v>
      </c>
      <c r="H155" s="46">
        <v>5616000</v>
      </c>
      <c r="I155" s="47">
        <f t="shared" si="6"/>
        <v>0</v>
      </c>
      <c r="J155" s="48">
        <v>45148</v>
      </c>
      <c r="K155" s="49">
        <v>45224</v>
      </c>
      <c r="L155" s="50">
        <v>4900997322</v>
      </c>
      <c r="M155" s="51"/>
      <c r="N155" s="52"/>
      <c r="O155" s="52"/>
      <c r="S155" s="53"/>
    </row>
    <row r="156" spans="1:19" s="2" customFormat="1" ht="16.5" customHeight="1" x14ac:dyDescent="0.35">
      <c r="A156" s="39" t="s">
        <v>37</v>
      </c>
      <c r="B156" s="40" t="s">
        <v>238</v>
      </c>
      <c r="C156" s="41"/>
      <c r="D156" s="42" t="s">
        <v>239</v>
      </c>
      <c r="E156" s="43">
        <v>14960000</v>
      </c>
      <c r="F156" s="44">
        <f t="shared" si="7"/>
        <v>1196800</v>
      </c>
      <c r="G156" s="45">
        <f t="shared" si="8"/>
        <v>16156800</v>
      </c>
      <c r="H156" s="46">
        <v>16156800</v>
      </c>
      <c r="I156" s="47">
        <f t="shared" si="6"/>
        <v>0</v>
      </c>
      <c r="J156" s="48">
        <v>45148</v>
      </c>
      <c r="K156" s="49">
        <v>45224</v>
      </c>
      <c r="L156" s="50">
        <v>4900999944</v>
      </c>
      <c r="M156" s="51"/>
      <c r="N156" s="52"/>
      <c r="O156" s="52"/>
      <c r="S156" s="53"/>
    </row>
    <row r="157" spans="1:19" s="2" customFormat="1" ht="16.5" customHeight="1" x14ac:dyDescent="0.35">
      <c r="A157" s="39" t="s">
        <v>56</v>
      </c>
      <c r="B157" s="40" t="s">
        <v>240</v>
      </c>
      <c r="C157" s="41"/>
      <c r="D157" s="42" t="s">
        <v>239</v>
      </c>
      <c r="E157" s="43">
        <v>3120000</v>
      </c>
      <c r="F157" s="44">
        <f t="shared" si="7"/>
        <v>249600</v>
      </c>
      <c r="G157" s="45">
        <f t="shared" si="8"/>
        <v>3369600</v>
      </c>
      <c r="H157" s="46">
        <v>3369600</v>
      </c>
      <c r="I157" s="47">
        <f t="shared" si="6"/>
        <v>0</v>
      </c>
      <c r="J157" s="48">
        <v>45148</v>
      </c>
      <c r="K157" s="49">
        <v>45224</v>
      </c>
      <c r="L157" s="50">
        <v>4900999907</v>
      </c>
      <c r="M157" s="51"/>
      <c r="N157" s="52"/>
      <c r="O157" s="52"/>
      <c r="S157" s="53"/>
    </row>
    <row r="158" spans="1:19" s="2" customFormat="1" ht="16.5" customHeight="1" x14ac:dyDescent="0.35">
      <c r="A158" s="39" t="s">
        <v>59</v>
      </c>
      <c r="B158" s="40" t="s">
        <v>241</v>
      </c>
      <c r="C158" s="41"/>
      <c r="D158" s="42" t="s">
        <v>242</v>
      </c>
      <c r="E158" s="43">
        <v>2000000</v>
      </c>
      <c r="F158" s="44">
        <f t="shared" si="7"/>
        <v>160000</v>
      </c>
      <c r="G158" s="45">
        <f t="shared" si="8"/>
        <v>2160000</v>
      </c>
      <c r="H158" s="46">
        <v>2160000</v>
      </c>
      <c r="I158" s="47">
        <f t="shared" si="6"/>
        <v>0</v>
      </c>
      <c r="J158" s="48">
        <v>45148</v>
      </c>
      <c r="K158" s="49">
        <v>45224</v>
      </c>
      <c r="L158" s="50">
        <v>4152160030</v>
      </c>
      <c r="M158" s="51"/>
      <c r="N158" s="52"/>
      <c r="O158" s="52"/>
      <c r="S158" s="53"/>
    </row>
    <row r="159" spans="1:19" s="2" customFormat="1" ht="16.5" customHeight="1" x14ac:dyDescent="0.35">
      <c r="A159" s="39" t="s">
        <v>77</v>
      </c>
      <c r="B159" s="40" t="s">
        <v>243</v>
      </c>
      <c r="C159" s="41"/>
      <c r="D159" s="42" t="s">
        <v>244</v>
      </c>
      <c r="E159" s="43">
        <v>21500000</v>
      </c>
      <c r="F159" s="44">
        <f>+E159*0.1</f>
        <v>2150000</v>
      </c>
      <c r="G159" s="45">
        <f t="shared" si="8"/>
        <v>23650000</v>
      </c>
      <c r="H159" s="46">
        <v>23650000</v>
      </c>
      <c r="I159" s="47">
        <f t="shared" si="6"/>
        <v>0</v>
      </c>
      <c r="J159" s="48">
        <v>45126</v>
      </c>
      <c r="K159" s="49">
        <v>45214</v>
      </c>
      <c r="L159" s="50">
        <v>4150797988</v>
      </c>
      <c r="M159" s="51"/>
      <c r="N159" s="52"/>
      <c r="O159" s="52"/>
      <c r="S159" s="53"/>
    </row>
    <row r="160" spans="1:19" s="2" customFormat="1" ht="16.5" customHeight="1" x14ac:dyDescent="0.35">
      <c r="A160" s="39" t="s">
        <v>29</v>
      </c>
      <c r="B160" s="40" t="s">
        <v>245</v>
      </c>
      <c r="C160" s="41"/>
      <c r="D160" s="42" t="s">
        <v>244</v>
      </c>
      <c r="E160" s="43">
        <v>13520000</v>
      </c>
      <c r="F160" s="44">
        <f>+E160*0.1</f>
        <v>1352000</v>
      </c>
      <c r="G160" s="45">
        <f t="shared" si="8"/>
        <v>14872000</v>
      </c>
      <c r="H160" s="46">
        <v>14872000</v>
      </c>
      <c r="I160" s="47">
        <f t="shared" si="6"/>
        <v>0</v>
      </c>
      <c r="J160" s="48">
        <v>45126</v>
      </c>
      <c r="K160" s="49">
        <v>45214</v>
      </c>
      <c r="L160" s="50">
        <v>4900979029</v>
      </c>
      <c r="M160" s="51"/>
      <c r="N160" s="52"/>
      <c r="O160" s="52"/>
      <c r="S160" s="53"/>
    </row>
    <row r="161" spans="1:19" s="2" customFormat="1" ht="16.5" customHeight="1" x14ac:dyDescent="0.35">
      <c r="A161" s="39" t="s">
        <v>33</v>
      </c>
      <c r="B161" s="40" t="s">
        <v>246</v>
      </c>
      <c r="C161" s="41"/>
      <c r="D161" s="42" t="s">
        <v>244</v>
      </c>
      <c r="E161" s="43">
        <v>1920000</v>
      </c>
      <c r="F161" s="44">
        <f>+E161*0.1</f>
        <v>192000</v>
      </c>
      <c r="G161" s="45">
        <f t="shared" si="8"/>
        <v>2112000</v>
      </c>
      <c r="H161" s="46">
        <v>2112000</v>
      </c>
      <c r="I161" s="47">
        <f t="shared" si="6"/>
        <v>0</v>
      </c>
      <c r="J161" s="48">
        <v>45126</v>
      </c>
      <c r="K161" s="49">
        <v>45214</v>
      </c>
      <c r="L161" s="50">
        <v>4900978955</v>
      </c>
      <c r="M161" s="51"/>
      <c r="N161" s="52"/>
      <c r="O161" s="52"/>
      <c r="S161" s="53"/>
    </row>
    <row r="162" spans="1:19" s="2" customFormat="1" ht="16.5" customHeight="1" x14ac:dyDescent="0.35">
      <c r="A162" s="39" t="s">
        <v>247</v>
      </c>
      <c r="B162" s="40">
        <v>1713</v>
      </c>
      <c r="C162" s="41"/>
      <c r="D162" s="42">
        <v>45104</v>
      </c>
      <c r="E162" s="43">
        <v>2240000</v>
      </c>
      <c r="F162" s="44">
        <f>+E162*0.1</f>
        <v>224000</v>
      </c>
      <c r="G162" s="45">
        <f t="shared" si="8"/>
        <v>2464000</v>
      </c>
      <c r="H162" s="46">
        <v>2464000</v>
      </c>
      <c r="I162" s="47">
        <f t="shared" si="6"/>
        <v>0</v>
      </c>
      <c r="J162" s="48">
        <v>45126</v>
      </c>
      <c r="K162" s="49">
        <v>45214</v>
      </c>
      <c r="L162" s="50">
        <v>4150834880</v>
      </c>
      <c r="M162" s="51"/>
      <c r="N162" s="52"/>
      <c r="O162" s="52"/>
      <c r="S162" s="53"/>
    </row>
    <row r="163" spans="1:19" s="2" customFormat="1" ht="16.5" customHeight="1" x14ac:dyDescent="0.35">
      <c r="A163" s="39" t="s">
        <v>71</v>
      </c>
      <c r="B163" s="40" t="s">
        <v>248</v>
      </c>
      <c r="C163" s="41">
        <v>1230</v>
      </c>
      <c r="D163" s="42">
        <v>44814</v>
      </c>
      <c r="E163" s="43">
        <v>1160000</v>
      </c>
      <c r="F163" s="44">
        <f>+E163*0.08</f>
        <v>92800</v>
      </c>
      <c r="G163" s="45">
        <f t="shared" si="8"/>
        <v>1252800</v>
      </c>
      <c r="H163" s="46">
        <v>1252800</v>
      </c>
      <c r="I163" s="47">
        <f t="shared" si="6"/>
        <v>0</v>
      </c>
      <c r="J163" s="48">
        <v>44821</v>
      </c>
      <c r="K163" s="49">
        <v>44910</v>
      </c>
      <c r="L163" s="50">
        <v>4141532278</v>
      </c>
      <c r="M163" s="51" t="s">
        <v>249</v>
      </c>
      <c r="N163" s="52"/>
      <c r="O163" s="52"/>
      <c r="S163" s="53"/>
    </row>
    <row r="164" spans="1:19" s="2" customFormat="1" ht="16.5" customHeight="1" x14ac:dyDescent="0.35">
      <c r="A164" s="39" t="s">
        <v>29</v>
      </c>
      <c r="B164" s="40" t="s">
        <v>250</v>
      </c>
      <c r="C164" s="41"/>
      <c r="D164" s="42" t="s">
        <v>251</v>
      </c>
      <c r="E164" s="43">
        <v>5760000</v>
      </c>
      <c r="F164" s="44">
        <f>+E164*0.1</f>
        <v>576000</v>
      </c>
      <c r="G164" s="45">
        <f t="shared" si="8"/>
        <v>6336000</v>
      </c>
      <c r="H164" s="46">
        <v>6336000</v>
      </c>
      <c r="I164" s="47">
        <f t="shared" si="6"/>
        <v>0</v>
      </c>
      <c r="J164" s="48">
        <v>45126</v>
      </c>
      <c r="K164" s="49">
        <v>45214</v>
      </c>
      <c r="L164" s="50">
        <v>4900982512</v>
      </c>
      <c r="M164" s="51"/>
      <c r="N164" s="52"/>
      <c r="O164" s="52"/>
      <c r="S164" s="53"/>
    </row>
    <row r="165" spans="1:19" s="2" customFormat="1" ht="16.5" customHeight="1" x14ac:dyDescent="0.35">
      <c r="A165" s="39" t="s">
        <v>37</v>
      </c>
      <c r="B165" s="40" t="s">
        <v>252</v>
      </c>
      <c r="C165" s="41"/>
      <c r="D165" s="42" t="s">
        <v>251</v>
      </c>
      <c r="E165" s="43">
        <v>15840000</v>
      </c>
      <c r="F165" s="44">
        <f>+E165*0.1</f>
        <v>1584000</v>
      </c>
      <c r="G165" s="45">
        <f t="shared" si="8"/>
        <v>17424000</v>
      </c>
      <c r="H165" s="46">
        <v>17424000</v>
      </c>
      <c r="I165" s="47">
        <f t="shared" si="6"/>
        <v>0</v>
      </c>
      <c r="J165" s="48">
        <v>45126</v>
      </c>
      <c r="K165" s="49">
        <v>45214</v>
      </c>
      <c r="L165" s="50">
        <v>4900982806</v>
      </c>
      <c r="M165" s="51"/>
      <c r="N165" s="52"/>
      <c r="O165" s="52"/>
      <c r="S165" s="53"/>
    </row>
    <row r="166" spans="1:19" s="2" customFormat="1" ht="16.5" customHeight="1" x14ac:dyDescent="0.35">
      <c r="A166" s="39" t="s">
        <v>171</v>
      </c>
      <c r="B166" s="40" t="s">
        <v>253</v>
      </c>
      <c r="C166" s="41"/>
      <c r="D166" s="42" t="s">
        <v>254</v>
      </c>
      <c r="E166" s="43">
        <v>2084000</v>
      </c>
      <c r="F166" s="44">
        <f t="shared" ref="F166:F184" si="9">+E166*0.08</f>
        <v>166720</v>
      </c>
      <c r="G166" s="45">
        <f t="shared" si="8"/>
        <v>2250720</v>
      </c>
      <c r="H166" s="46">
        <v>2250720</v>
      </c>
      <c r="I166" s="47">
        <f t="shared" si="6"/>
        <v>0</v>
      </c>
      <c r="J166" s="48">
        <v>44814</v>
      </c>
      <c r="K166" s="49">
        <v>44890</v>
      </c>
      <c r="L166" s="50">
        <v>4141608852</v>
      </c>
      <c r="M166" s="51" t="s">
        <v>249</v>
      </c>
      <c r="N166" s="52"/>
      <c r="O166" s="52"/>
      <c r="S166" s="53"/>
    </row>
    <row r="167" spans="1:19" s="2" customFormat="1" ht="16.5" customHeight="1" x14ac:dyDescent="0.35">
      <c r="A167" s="39" t="s">
        <v>171</v>
      </c>
      <c r="B167" s="40" t="s">
        <v>255</v>
      </c>
      <c r="C167" s="41">
        <v>1965</v>
      </c>
      <c r="D167" s="42">
        <v>45126</v>
      </c>
      <c r="E167" s="43">
        <v>16445000</v>
      </c>
      <c r="F167" s="44">
        <f t="shared" si="9"/>
        <v>1315600</v>
      </c>
      <c r="G167" s="45">
        <f t="shared" si="8"/>
        <v>17760600</v>
      </c>
      <c r="H167" s="46">
        <v>17760600</v>
      </c>
      <c r="I167" s="47">
        <f t="shared" si="6"/>
        <v>0</v>
      </c>
      <c r="J167" s="48">
        <v>45126</v>
      </c>
      <c r="K167" s="49">
        <v>45214</v>
      </c>
      <c r="L167" s="50">
        <v>4151038134</v>
      </c>
      <c r="M167" s="51"/>
      <c r="N167" s="52"/>
      <c r="O167" s="52"/>
      <c r="S167" s="53"/>
    </row>
    <row r="168" spans="1:19" s="2" customFormat="1" ht="16.5" customHeight="1" x14ac:dyDescent="0.35">
      <c r="A168" s="39" t="s">
        <v>77</v>
      </c>
      <c r="B168" s="40" t="s">
        <v>256</v>
      </c>
      <c r="C168" s="41"/>
      <c r="D168" s="42" t="s">
        <v>257</v>
      </c>
      <c r="E168" s="43">
        <v>10400000</v>
      </c>
      <c r="F168" s="44">
        <f t="shared" si="9"/>
        <v>832000</v>
      </c>
      <c r="G168" s="45">
        <f t="shared" si="8"/>
        <v>11232000</v>
      </c>
      <c r="H168" s="46">
        <v>11232000</v>
      </c>
      <c r="I168" s="47">
        <f t="shared" si="6"/>
        <v>0</v>
      </c>
      <c r="J168" s="48">
        <v>45126</v>
      </c>
      <c r="K168" s="49">
        <v>45214</v>
      </c>
      <c r="L168" s="50">
        <v>4151026931</v>
      </c>
      <c r="M168" s="51"/>
      <c r="N168" s="52"/>
      <c r="O168" s="52"/>
      <c r="S168" s="53"/>
    </row>
    <row r="169" spans="1:19" s="2" customFormat="1" ht="16.5" customHeight="1" x14ac:dyDescent="0.35">
      <c r="A169" s="39" t="s">
        <v>33</v>
      </c>
      <c r="B169" s="40" t="s">
        <v>258</v>
      </c>
      <c r="C169" s="41"/>
      <c r="D169" s="42" t="s">
        <v>259</v>
      </c>
      <c r="E169" s="43">
        <v>4090000</v>
      </c>
      <c r="F169" s="44">
        <f t="shared" si="9"/>
        <v>327200</v>
      </c>
      <c r="G169" s="45">
        <f t="shared" si="8"/>
        <v>4417200</v>
      </c>
      <c r="H169" s="46">
        <v>4417200</v>
      </c>
      <c r="I169" s="47">
        <f t="shared" si="6"/>
        <v>0</v>
      </c>
      <c r="J169" s="48">
        <v>45126</v>
      </c>
      <c r="K169" s="49">
        <v>45214</v>
      </c>
      <c r="L169" s="50">
        <v>4900985753</v>
      </c>
      <c r="M169" s="51"/>
      <c r="N169" s="52"/>
      <c r="O169" s="52"/>
      <c r="S169" s="53"/>
    </row>
    <row r="170" spans="1:19" s="2" customFormat="1" ht="16.5" customHeight="1" x14ac:dyDescent="0.35">
      <c r="A170" s="39" t="s">
        <v>71</v>
      </c>
      <c r="B170" s="40" t="s">
        <v>260</v>
      </c>
      <c r="C170" s="41"/>
      <c r="D170" s="42" t="s">
        <v>259</v>
      </c>
      <c r="E170" s="43">
        <v>1040000</v>
      </c>
      <c r="F170" s="44">
        <f t="shared" si="9"/>
        <v>83200</v>
      </c>
      <c r="G170" s="45">
        <f t="shared" si="8"/>
        <v>1123200</v>
      </c>
      <c r="H170" s="46">
        <v>1123200</v>
      </c>
      <c r="I170" s="47">
        <f t="shared" si="6"/>
        <v>0</v>
      </c>
      <c r="J170" s="48">
        <v>45126</v>
      </c>
      <c r="K170" s="49">
        <v>45214</v>
      </c>
      <c r="L170" s="50">
        <v>4151229191</v>
      </c>
      <c r="M170" s="51"/>
      <c r="N170" s="52"/>
      <c r="O170" s="52"/>
      <c r="S170" s="53"/>
    </row>
    <row r="171" spans="1:19" s="2" customFormat="1" ht="16.5" customHeight="1" x14ac:dyDescent="0.35">
      <c r="A171" s="39" t="s">
        <v>37</v>
      </c>
      <c r="B171" s="40" t="s">
        <v>261</v>
      </c>
      <c r="C171" s="41"/>
      <c r="D171" s="42" t="s">
        <v>259</v>
      </c>
      <c r="E171" s="43">
        <v>520000</v>
      </c>
      <c r="F171" s="44">
        <f t="shared" si="9"/>
        <v>41600</v>
      </c>
      <c r="G171" s="45">
        <f t="shared" si="8"/>
        <v>561600</v>
      </c>
      <c r="H171" s="46">
        <v>561600</v>
      </c>
      <c r="I171" s="47">
        <f t="shared" si="6"/>
        <v>0</v>
      </c>
      <c r="J171" s="48">
        <v>45126</v>
      </c>
      <c r="K171" s="49">
        <v>45214</v>
      </c>
      <c r="L171" s="50">
        <v>4900986034</v>
      </c>
      <c r="M171" s="51"/>
      <c r="N171" s="52"/>
      <c r="O171" s="52"/>
      <c r="S171" s="53"/>
    </row>
    <row r="172" spans="1:19" s="2" customFormat="1" ht="16.5" customHeight="1" x14ac:dyDescent="0.35">
      <c r="A172" s="39" t="s">
        <v>29</v>
      </c>
      <c r="B172" s="40" t="s">
        <v>262</v>
      </c>
      <c r="C172" s="41"/>
      <c r="D172" s="42" t="s">
        <v>263</v>
      </c>
      <c r="E172" s="43">
        <v>8685000</v>
      </c>
      <c r="F172" s="44">
        <f t="shared" si="9"/>
        <v>694800</v>
      </c>
      <c r="G172" s="45">
        <f t="shared" si="8"/>
        <v>9379800</v>
      </c>
      <c r="H172" s="46">
        <v>9379800</v>
      </c>
      <c r="I172" s="47">
        <f t="shared" si="6"/>
        <v>0</v>
      </c>
      <c r="J172" s="48">
        <v>44814</v>
      </c>
      <c r="K172" s="49">
        <v>44890</v>
      </c>
      <c r="L172" s="50">
        <v>4900852504</v>
      </c>
      <c r="M172" s="51" t="s">
        <v>249</v>
      </c>
      <c r="N172" s="52"/>
      <c r="O172" s="52"/>
      <c r="S172" s="53"/>
    </row>
    <row r="173" spans="1:19" s="2" customFormat="1" ht="16.5" customHeight="1" x14ac:dyDescent="0.35">
      <c r="A173" s="39" t="s">
        <v>71</v>
      </c>
      <c r="B173" s="40" t="s">
        <v>264</v>
      </c>
      <c r="C173" s="41"/>
      <c r="D173" s="42" t="s">
        <v>265</v>
      </c>
      <c r="E173" s="43">
        <v>1320000</v>
      </c>
      <c r="F173" s="44">
        <f t="shared" si="9"/>
        <v>105600</v>
      </c>
      <c r="G173" s="45">
        <f t="shared" si="8"/>
        <v>1425600</v>
      </c>
      <c r="H173" s="46">
        <v>1425600</v>
      </c>
      <c r="I173" s="47">
        <f t="shared" si="6"/>
        <v>0</v>
      </c>
      <c r="J173" s="48">
        <v>44814</v>
      </c>
      <c r="K173" s="49">
        <v>44890</v>
      </c>
      <c r="L173" s="50">
        <v>4141721773</v>
      </c>
      <c r="M173" s="51" t="s">
        <v>249</v>
      </c>
      <c r="N173" s="52"/>
      <c r="O173" s="52"/>
      <c r="S173" s="53"/>
    </row>
    <row r="174" spans="1:19" s="2" customFormat="1" ht="16.5" customHeight="1" x14ac:dyDescent="0.35">
      <c r="A174" s="39" t="s">
        <v>71</v>
      </c>
      <c r="B174" s="40" t="s">
        <v>266</v>
      </c>
      <c r="C174" s="41"/>
      <c r="D174" s="42" t="s">
        <v>265</v>
      </c>
      <c r="E174" s="43">
        <v>840000</v>
      </c>
      <c r="F174" s="44">
        <f t="shared" si="9"/>
        <v>67200</v>
      </c>
      <c r="G174" s="45">
        <f t="shared" si="8"/>
        <v>907200</v>
      </c>
      <c r="H174" s="46">
        <v>907200</v>
      </c>
      <c r="I174" s="47">
        <f t="shared" si="6"/>
        <v>0</v>
      </c>
      <c r="J174" s="48">
        <v>44814</v>
      </c>
      <c r="K174" s="49">
        <v>44890</v>
      </c>
      <c r="L174" s="50">
        <v>4141721491</v>
      </c>
      <c r="M174" s="51" t="s">
        <v>249</v>
      </c>
      <c r="N174" s="52"/>
      <c r="O174" s="52"/>
      <c r="S174" s="53"/>
    </row>
    <row r="175" spans="1:19" s="2" customFormat="1" ht="16.5" customHeight="1" x14ac:dyDescent="0.35">
      <c r="A175" s="39" t="s">
        <v>171</v>
      </c>
      <c r="B175" s="40" t="s">
        <v>267</v>
      </c>
      <c r="C175" s="41">
        <v>1968</v>
      </c>
      <c r="D175" s="42" t="s">
        <v>268</v>
      </c>
      <c r="E175" s="43">
        <v>20648000</v>
      </c>
      <c r="F175" s="44">
        <f t="shared" si="9"/>
        <v>1651840</v>
      </c>
      <c r="G175" s="45">
        <f t="shared" si="8"/>
        <v>22299840</v>
      </c>
      <c r="H175" s="46">
        <v>22299840</v>
      </c>
      <c r="I175" s="47">
        <f t="shared" si="6"/>
        <v>0</v>
      </c>
      <c r="J175" s="48">
        <v>45126</v>
      </c>
      <c r="K175" s="49">
        <v>45214</v>
      </c>
      <c r="L175" s="50">
        <v>4151318523</v>
      </c>
      <c r="M175" s="51"/>
      <c r="N175" s="52"/>
      <c r="O175" s="52"/>
      <c r="S175" s="53"/>
    </row>
    <row r="176" spans="1:19" s="2" customFormat="1" ht="16.5" customHeight="1" x14ac:dyDescent="0.35">
      <c r="A176" s="39" t="s">
        <v>186</v>
      </c>
      <c r="B176" s="40" t="s">
        <v>269</v>
      </c>
      <c r="C176" s="41"/>
      <c r="D176" s="42" t="s">
        <v>270</v>
      </c>
      <c r="E176" s="43">
        <v>1920000</v>
      </c>
      <c r="F176" s="44">
        <f t="shared" si="9"/>
        <v>153600</v>
      </c>
      <c r="G176" s="45">
        <f t="shared" si="8"/>
        <v>2073600</v>
      </c>
      <c r="H176" s="46">
        <v>2073600</v>
      </c>
      <c r="I176" s="47">
        <f t="shared" si="6"/>
        <v>0</v>
      </c>
      <c r="J176" s="48">
        <v>45126</v>
      </c>
      <c r="K176" s="49">
        <v>45214</v>
      </c>
      <c r="L176" s="50">
        <v>4151217911</v>
      </c>
      <c r="M176" s="51"/>
      <c r="N176" s="52"/>
      <c r="O176" s="52"/>
      <c r="S176" s="53"/>
    </row>
    <row r="177" spans="1:19" s="2" customFormat="1" ht="16.5" customHeight="1" x14ac:dyDescent="0.35">
      <c r="A177" s="39" t="s">
        <v>71</v>
      </c>
      <c r="B177" s="40" t="s">
        <v>271</v>
      </c>
      <c r="C177" s="41"/>
      <c r="D177" s="42" t="s">
        <v>270</v>
      </c>
      <c r="E177" s="43">
        <v>2724000</v>
      </c>
      <c r="F177" s="44">
        <f t="shared" si="9"/>
        <v>217920</v>
      </c>
      <c r="G177" s="45">
        <f t="shared" si="8"/>
        <v>2941920</v>
      </c>
      <c r="H177" s="46">
        <v>2941920</v>
      </c>
      <c r="I177" s="47">
        <f t="shared" si="6"/>
        <v>0</v>
      </c>
      <c r="J177" s="48">
        <v>45126</v>
      </c>
      <c r="K177" s="49">
        <v>45214</v>
      </c>
      <c r="L177" s="50">
        <v>4151290483</v>
      </c>
      <c r="M177" s="51"/>
      <c r="N177" s="52"/>
      <c r="O177" s="52"/>
      <c r="S177" s="53"/>
    </row>
    <row r="178" spans="1:19" s="2" customFormat="1" ht="16.5" customHeight="1" x14ac:dyDescent="0.35">
      <c r="A178" s="39" t="s">
        <v>102</v>
      </c>
      <c r="B178" s="40">
        <v>1865</v>
      </c>
      <c r="C178" s="41"/>
      <c r="D178" s="42" t="s">
        <v>270</v>
      </c>
      <c r="E178" s="43">
        <v>1310000</v>
      </c>
      <c r="F178" s="44">
        <f t="shared" si="9"/>
        <v>104800</v>
      </c>
      <c r="G178" s="45">
        <f t="shared" si="8"/>
        <v>1414800</v>
      </c>
      <c r="H178" s="46">
        <v>1414800</v>
      </c>
      <c r="I178" s="47">
        <f t="shared" si="6"/>
        <v>0</v>
      </c>
      <c r="J178" s="48">
        <v>45126</v>
      </c>
      <c r="K178" s="49">
        <v>45214</v>
      </c>
      <c r="L178" s="50">
        <v>4151291174</v>
      </c>
      <c r="M178" s="51"/>
      <c r="N178" s="52"/>
      <c r="O178" s="52"/>
      <c r="S178" s="53"/>
    </row>
    <row r="179" spans="1:19" s="2" customFormat="1" ht="16.5" customHeight="1" x14ac:dyDescent="0.35">
      <c r="A179" s="39" t="s">
        <v>135</v>
      </c>
      <c r="B179" s="40" t="s">
        <v>272</v>
      </c>
      <c r="C179" s="41"/>
      <c r="D179" s="42" t="s">
        <v>273</v>
      </c>
      <c r="E179" s="43">
        <v>712000</v>
      </c>
      <c r="F179" s="44">
        <f t="shared" si="9"/>
        <v>56960</v>
      </c>
      <c r="G179" s="45">
        <f t="shared" si="8"/>
        <v>768960</v>
      </c>
      <c r="H179" s="46">
        <v>768960</v>
      </c>
      <c r="I179" s="47">
        <f t="shared" si="6"/>
        <v>0</v>
      </c>
      <c r="J179" s="48">
        <v>44814</v>
      </c>
      <c r="K179" s="49">
        <v>44890</v>
      </c>
      <c r="L179" s="50">
        <v>4141760479</v>
      </c>
      <c r="M179" s="51" t="s">
        <v>249</v>
      </c>
      <c r="N179" s="52"/>
      <c r="O179" s="52"/>
      <c r="S179" s="53"/>
    </row>
    <row r="180" spans="1:19" s="2" customFormat="1" ht="16.5" customHeight="1" x14ac:dyDescent="0.35">
      <c r="A180" s="39" t="s">
        <v>135</v>
      </c>
      <c r="B180" s="40" t="s">
        <v>274</v>
      </c>
      <c r="C180" s="41"/>
      <c r="D180" s="42" t="s">
        <v>273</v>
      </c>
      <c r="E180" s="43">
        <v>312000</v>
      </c>
      <c r="F180" s="44">
        <f t="shared" si="9"/>
        <v>24960</v>
      </c>
      <c r="G180" s="45">
        <f t="shared" si="8"/>
        <v>336960</v>
      </c>
      <c r="H180" s="46">
        <v>336960</v>
      </c>
      <c r="I180" s="47">
        <f t="shared" si="6"/>
        <v>0</v>
      </c>
      <c r="J180" s="48">
        <v>44814</v>
      </c>
      <c r="K180" s="49">
        <v>44890</v>
      </c>
      <c r="L180" s="50">
        <v>4141795779</v>
      </c>
      <c r="M180" s="51" t="s">
        <v>249</v>
      </c>
      <c r="N180" s="52"/>
      <c r="O180" s="52"/>
      <c r="S180" s="53"/>
    </row>
    <row r="181" spans="1:19" s="2" customFormat="1" ht="16.5" customHeight="1" x14ac:dyDescent="0.35">
      <c r="A181" s="39" t="s">
        <v>71</v>
      </c>
      <c r="B181" s="40" t="s">
        <v>275</v>
      </c>
      <c r="C181" s="41"/>
      <c r="D181" s="42" t="s">
        <v>273</v>
      </c>
      <c r="E181" s="43">
        <v>480000</v>
      </c>
      <c r="F181" s="44">
        <f t="shared" si="9"/>
        <v>38400</v>
      </c>
      <c r="G181" s="45">
        <f t="shared" si="8"/>
        <v>518400</v>
      </c>
      <c r="H181" s="46">
        <v>518400</v>
      </c>
      <c r="I181" s="47">
        <f t="shared" si="6"/>
        <v>0</v>
      </c>
      <c r="J181" s="48">
        <v>44814</v>
      </c>
      <c r="K181" s="49">
        <v>44890</v>
      </c>
      <c r="L181" s="50">
        <v>4141794358</v>
      </c>
      <c r="M181" s="51" t="s">
        <v>249</v>
      </c>
      <c r="N181" s="52"/>
      <c r="O181" s="52"/>
      <c r="S181" s="53"/>
    </row>
    <row r="182" spans="1:19" s="2" customFormat="1" ht="16.5" customHeight="1" x14ac:dyDescent="0.35">
      <c r="A182" s="85" t="s">
        <v>135</v>
      </c>
      <c r="B182" s="86" t="s">
        <v>276</v>
      </c>
      <c r="C182" s="87"/>
      <c r="D182" s="88" t="s">
        <v>270</v>
      </c>
      <c r="E182" s="43">
        <v>2000000</v>
      </c>
      <c r="F182" s="44">
        <f t="shared" si="9"/>
        <v>160000</v>
      </c>
      <c r="G182" s="45">
        <f t="shared" si="8"/>
        <v>2160000</v>
      </c>
      <c r="H182" s="46">
        <v>2160000</v>
      </c>
      <c r="I182" s="47">
        <f t="shared" si="6"/>
        <v>0</v>
      </c>
      <c r="J182" s="48">
        <v>45126</v>
      </c>
      <c r="K182" s="49">
        <v>45214</v>
      </c>
      <c r="L182" s="50">
        <v>4151300293</v>
      </c>
      <c r="M182" s="51"/>
      <c r="N182" s="52"/>
      <c r="O182" s="52"/>
      <c r="S182" s="53"/>
    </row>
    <row r="183" spans="1:19" s="2" customFormat="1" ht="16.5" customHeight="1" x14ac:dyDescent="0.35">
      <c r="A183" s="85" t="s">
        <v>77</v>
      </c>
      <c r="B183" s="86" t="s">
        <v>277</v>
      </c>
      <c r="C183" s="87"/>
      <c r="D183" s="88" t="s">
        <v>270</v>
      </c>
      <c r="E183" s="43">
        <v>4150000</v>
      </c>
      <c r="F183" s="44">
        <f t="shared" si="9"/>
        <v>332000</v>
      </c>
      <c r="G183" s="45">
        <f t="shared" si="8"/>
        <v>4482000</v>
      </c>
      <c r="H183" s="46">
        <v>4482000</v>
      </c>
      <c r="I183" s="47">
        <f t="shared" si="6"/>
        <v>0</v>
      </c>
      <c r="J183" s="48">
        <v>45126</v>
      </c>
      <c r="K183" s="49">
        <v>45214</v>
      </c>
      <c r="L183" s="50">
        <v>4151317587</v>
      </c>
      <c r="M183" s="51"/>
      <c r="N183" s="52"/>
      <c r="O183" s="52"/>
      <c r="S183" s="53"/>
    </row>
    <row r="184" spans="1:19" s="2" customFormat="1" ht="16.5" customHeight="1" x14ac:dyDescent="0.35">
      <c r="A184" s="85" t="s">
        <v>185</v>
      </c>
      <c r="B184" s="86" t="s">
        <v>278</v>
      </c>
      <c r="C184" s="87"/>
      <c r="D184" s="88" t="s">
        <v>215</v>
      </c>
      <c r="E184" s="43">
        <v>4160000</v>
      </c>
      <c r="F184" s="44">
        <f t="shared" si="9"/>
        <v>332800</v>
      </c>
      <c r="G184" s="45">
        <f t="shared" si="8"/>
        <v>4492800</v>
      </c>
      <c r="H184" s="46">
        <v>4492800</v>
      </c>
      <c r="I184" s="47">
        <f t="shared" si="6"/>
        <v>0</v>
      </c>
      <c r="J184" s="48">
        <v>45126</v>
      </c>
      <c r="K184" s="49">
        <v>45214</v>
      </c>
      <c r="L184" s="50">
        <v>4900989529</v>
      </c>
      <c r="M184" s="51"/>
      <c r="N184" s="52"/>
      <c r="O184" s="52"/>
      <c r="S184" s="53"/>
    </row>
    <row r="185" spans="1:19" s="2" customFormat="1" ht="16.5" customHeight="1" x14ac:dyDescent="0.35">
      <c r="A185" s="85" t="s">
        <v>77</v>
      </c>
      <c r="B185" s="86" t="s">
        <v>279</v>
      </c>
      <c r="C185" s="87"/>
      <c r="D185" s="88" t="s">
        <v>280</v>
      </c>
      <c r="E185" s="43">
        <v>3440000</v>
      </c>
      <c r="F185" s="44">
        <f t="shared" ref="F185:F203" si="10">+E185*0.1</f>
        <v>344000</v>
      </c>
      <c r="G185" s="45">
        <f t="shared" si="8"/>
        <v>3784000</v>
      </c>
      <c r="H185" s="46">
        <v>3784000</v>
      </c>
      <c r="I185" s="47">
        <f t="shared" si="6"/>
        <v>0</v>
      </c>
      <c r="J185" s="48">
        <v>45106</v>
      </c>
      <c r="K185" s="49">
        <v>45184</v>
      </c>
      <c r="L185" s="50">
        <v>4150236588</v>
      </c>
      <c r="M185" s="51"/>
      <c r="N185" s="52"/>
      <c r="O185" s="52"/>
      <c r="S185" s="53"/>
    </row>
    <row r="186" spans="1:19" s="2" customFormat="1" ht="16.5" customHeight="1" x14ac:dyDescent="0.35">
      <c r="A186" s="85" t="s">
        <v>29</v>
      </c>
      <c r="B186" s="86" t="s">
        <v>281</v>
      </c>
      <c r="C186" s="87"/>
      <c r="D186" s="88" t="s">
        <v>282</v>
      </c>
      <c r="E186" s="43">
        <v>8000000</v>
      </c>
      <c r="F186" s="44">
        <f t="shared" si="10"/>
        <v>800000</v>
      </c>
      <c r="G186" s="45">
        <f t="shared" si="8"/>
        <v>8800000</v>
      </c>
      <c r="H186" s="46">
        <v>8800000</v>
      </c>
      <c r="I186" s="47">
        <f t="shared" si="6"/>
        <v>0</v>
      </c>
      <c r="J186" s="48">
        <v>45106</v>
      </c>
      <c r="K186" s="49">
        <v>45184</v>
      </c>
      <c r="L186" s="50">
        <v>4900971195</v>
      </c>
      <c r="M186" s="51"/>
      <c r="N186" s="52"/>
      <c r="O186" s="52"/>
      <c r="S186" s="53"/>
    </row>
    <row r="187" spans="1:19" s="2" customFormat="1" ht="16.5" customHeight="1" x14ac:dyDescent="0.35">
      <c r="A187" s="85" t="s">
        <v>33</v>
      </c>
      <c r="B187" s="86" t="s">
        <v>283</v>
      </c>
      <c r="C187" s="87"/>
      <c r="D187" s="88" t="s">
        <v>284</v>
      </c>
      <c r="E187" s="43">
        <v>22605000</v>
      </c>
      <c r="F187" s="44">
        <f t="shared" si="10"/>
        <v>2260500</v>
      </c>
      <c r="G187" s="45">
        <f t="shared" si="8"/>
        <v>24865500</v>
      </c>
      <c r="H187" s="46">
        <v>24865500</v>
      </c>
      <c r="I187" s="47">
        <f t="shared" si="6"/>
        <v>0</v>
      </c>
      <c r="J187" s="48">
        <v>45106</v>
      </c>
      <c r="K187" s="49">
        <v>45184</v>
      </c>
      <c r="L187" s="50">
        <v>4150369365</v>
      </c>
      <c r="M187" s="51"/>
      <c r="N187" s="52"/>
      <c r="O187" s="52"/>
      <c r="S187" s="53"/>
    </row>
    <row r="188" spans="1:19" s="2" customFormat="1" ht="16.5" customHeight="1" x14ac:dyDescent="0.35">
      <c r="A188" s="85" t="s">
        <v>171</v>
      </c>
      <c r="B188" s="86" t="s">
        <v>285</v>
      </c>
      <c r="C188" s="87">
        <v>1730</v>
      </c>
      <c r="D188" s="88">
        <v>45106</v>
      </c>
      <c r="E188" s="43">
        <v>35235000</v>
      </c>
      <c r="F188" s="44">
        <f t="shared" si="10"/>
        <v>3523500</v>
      </c>
      <c r="G188" s="45">
        <f t="shared" si="8"/>
        <v>38758500</v>
      </c>
      <c r="H188" s="46">
        <v>38758500</v>
      </c>
      <c r="I188" s="47">
        <f t="shared" si="6"/>
        <v>0</v>
      </c>
      <c r="J188" s="48">
        <v>45106</v>
      </c>
      <c r="K188" s="49">
        <v>45184</v>
      </c>
      <c r="L188" s="50">
        <v>4150394092</v>
      </c>
      <c r="M188" s="51"/>
      <c r="N188" s="52"/>
      <c r="O188" s="52"/>
      <c r="S188" s="53"/>
    </row>
    <row r="189" spans="1:19" s="2" customFormat="1" ht="16.5" customHeight="1" x14ac:dyDescent="0.35">
      <c r="A189" s="85" t="s">
        <v>71</v>
      </c>
      <c r="B189" s="86">
        <v>1586</v>
      </c>
      <c r="C189" s="87"/>
      <c r="D189" s="88" t="s">
        <v>286</v>
      </c>
      <c r="E189" s="43">
        <v>3840000</v>
      </c>
      <c r="F189" s="44">
        <f t="shared" si="10"/>
        <v>384000</v>
      </c>
      <c r="G189" s="45">
        <f t="shared" si="8"/>
        <v>4224000</v>
      </c>
      <c r="H189" s="46">
        <v>4224000</v>
      </c>
      <c r="I189" s="47">
        <f t="shared" si="6"/>
        <v>0</v>
      </c>
      <c r="J189" s="48">
        <v>45106</v>
      </c>
      <c r="K189" s="49">
        <v>45184</v>
      </c>
      <c r="L189" s="50">
        <v>4150552507</v>
      </c>
      <c r="M189" s="51"/>
      <c r="N189" s="52"/>
      <c r="O189" s="52"/>
      <c r="S189" s="53"/>
    </row>
    <row r="190" spans="1:19" s="2" customFormat="1" ht="16.5" customHeight="1" x14ac:dyDescent="0.35">
      <c r="A190" s="85" t="s">
        <v>29</v>
      </c>
      <c r="B190" s="86" t="s">
        <v>287</v>
      </c>
      <c r="C190" s="87">
        <v>1731</v>
      </c>
      <c r="D190" s="88">
        <v>45106</v>
      </c>
      <c r="E190" s="43">
        <v>5605000</v>
      </c>
      <c r="F190" s="44">
        <f t="shared" si="10"/>
        <v>560500</v>
      </c>
      <c r="G190" s="45">
        <f t="shared" si="8"/>
        <v>6165500</v>
      </c>
      <c r="H190" s="46">
        <v>6165500</v>
      </c>
      <c r="I190" s="47">
        <f t="shared" si="6"/>
        <v>0</v>
      </c>
      <c r="J190" s="48">
        <v>45106</v>
      </c>
      <c r="K190" s="49">
        <v>45184</v>
      </c>
      <c r="L190" s="50">
        <v>4900976239</v>
      </c>
      <c r="M190" s="51"/>
      <c r="N190" s="52"/>
      <c r="O190" s="52"/>
      <c r="S190" s="53"/>
    </row>
    <row r="191" spans="1:19" s="2" customFormat="1" ht="16.5" customHeight="1" x14ac:dyDescent="0.35">
      <c r="A191" s="85" t="s">
        <v>37</v>
      </c>
      <c r="B191" s="86" t="s">
        <v>288</v>
      </c>
      <c r="C191" s="87"/>
      <c r="D191" s="88" t="s">
        <v>286</v>
      </c>
      <c r="E191" s="43">
        <v>21920000</v>
      </c>
      <c r="F191" s="44">
        <f t="shared" si="10"/>
        <v>2192000</v>
      </c>
      <c r="G191" s="45">
        <f t="shared" si="8"/>
        <v>24112000</v>
      </c>
      <c r="H191" s="46">
        <v>24112000</v>
      </c>
      <c r="I191" s="47">
        <f t="shared" si="6"/>
        <v>0</v>
      </c>
      <c r="J191" s="48">
        <v>45106</v>
      </c>
      <c r="K191" s="49">
        <v>45184</v>
      </c>
      <c r="L191" s="50">
        <v>4900976019</v>
      </c>
      <c r="M191" s="51"/>
      <c r="N191" s="52"/>
      <c r="O191" s="52"/>
      <c r="S191" s="53"/>
    </row>
    <row r="192" spans="1:19" s="2" customFormat="1" ht="16.5" customHeight="1" x14ac:dyDescent="0.35">
      <c r="A192" s="85" t="s">
        <v>77</v>
      </c>
      <c r="B192" s="86" t="s">
        <v>289</v>
      </c>
      <c r="C192" s="87">
        <v>1732</v>
      </c>
      <c r="D192" s="88">
        <v>45106</v>
      </c>
      <c r="E192" s="43">
        <v>16636000</v>
      </c>
      <c r="F192" s="44">
        <f t="shared" si="10"/>
        <v>1663600</v>
      </c>
      <c r="G192" s="45">
        <f t="shared" si="8"/>
        <v>18299600</v>
      </c>
      <c r="H192" s="46">
        <v>18299600</v>
      </c>
      <c r="I192" s="47">
        <f t="shared" si="6"/>
        <v>0</v>
      </c>
      <c r="J192" s="48">
        <v>45106</v>
      </c>
      <c r="K192" s="49">
        <v>45184</v>
      </c>
      <c r="L192" s="50">
        <v>4150608015</v>
      </c>
      <c r="M192" s="51"/>
      <c r="N192" s="52"/>
      <c r="O192" s="52"/>
      <c r="S192" s="53"/>
    </row>
    <row r="193" spans="1:23" s="2" customFormat="1" ht="16.5" customHeight="1" x14ac:dyDescent="0.35">
      <c r="A193" s="85" t="s">
        <v>171</v>
      </c>
      <c r="B193" s="86" t="s">
        <v>290</v>
      </c>
      <c r="C193" s="87">
        <v>1733</v>
      </c>
      <c r="D193" s="88">
        <v>45106</v>
      </c>
      <c r="E193" s="43">
        <v>9056000</v>
      </c>
      <c r="F193" s="44">
        <f t="shared" si="10"/>
        <v>905600</v>
      </c>
      <c r="G193" s="45">
        <f t="shared" si="8"/>
        <v>9961600</v>
      </c>
      <c r="H193" s="46">
        <v>9961600</v>
      </c>
      <c r="I193" s="47">
        <f t="shared" si="6"/>
        <v>0</v>
      </c>
      <c r="J193" s="48">
        <v>45106</v>
      </c>
      <c r="K193" s="49">
        <v>45184</v>
      </c>
      <c r="L193" s="50">
        <v>4150797416</v>
      </c>
      <c r="M193" s="51"/>
      <c r="N193" s="52"/>
      <c r="O193" s="52"/>
      <c r="S193" s="53"/>
    </row>
    <row r="194" spans="1:23" s="68" customFormat="1" ht="16.5" customHeight="1" x14ac:dyDescent="0.35">
      <c r="A194" s="85" t="s">
        <v>37</v>
      </c>
      <c r="B194" s="86" t="s">
        <v>291</v>
      </c>
      <c r="C194" s="87"/>
      <c r="D194" s="88" t="s">
        <v>244</v>
      </c>
      <c r="E194" s="43">
        <v>18080000</v>
      </c>
      <c r="F194" s="44">
        <f t="shared" si="10"/>
        <v>1808000</v>
      </c>
      <c r="G194" s="45">
        <f t="shared" si="8"/>
        <v>19888000</v>
      </c>
      <c r="H194" s="46">
        <v>19888000</v>
      </c>
      <c r="I194" s="47">
        <f t="shared" si="6"/>
        <v>0</v>
      </c>
      <c r="J194" s="48">
        <v>45106</v>
      </c>
      <c r="K194" s="49">
        <v>45184</v>
      </c>
      <c r="L194" s="50">
        <v>4900979461</v>
      </c>
      <c r="M194" s="51"/>
      <c r="N194" s="52"/>
      <c r="O194" s="52"/>
      <c r="P194" s="2"/>
      <c r="Q194" s="2"/>
      <c r="R194" s="2"/>
      <c r="S194" s="53"/>
      <c r="T194" s="2"/>
      <c r="U194" s="2"/>
      <c r="V194" s="2"/>
      <c r="W194" s="2"/>
    </row>
    <row r="195" spans="1:23" s="68" customFormat="1" ht="16.5" customHeight="1" x14ac:dyDescent="0.35">
      <c r="A195" s="85" t="s">
        <v>59</v>
      </c>
      <c r="B195" s="86">
        <v>1711</v>
      </c>
      <c r="C195" s="87"/>
      <c r="D195" s="88">
        <v>45103</v>
      </c>
      <c r="E195" s="43">
        <v>5120000</v>
      </c>
      <c r="F195" s="44">
        <f t="shared" si="10"/>
        <v>512000</v>
      </c>
      <c r="G195" s="45">
        <f t="shared" si="8"/>
        <v>5632000</v>
      </c>
      <c r="H195" s="46">
        <v>5632000</v>
      </c>
      <c r="I195" s="47">
        <f t="shared" si="6"/>
        <v>0</v>
      </c>
      <c r="J195" s="48">
        <v>45106</v>
      </c>
      <c r="K195" s="49">
        <v>45184</v>
      </c>
      <c r="L195" s="50">
        <v>4150871088</v>
      </c>
      <c r="M195" s="51"/>
      <c r="N195" s="52"/>
      <c r="O195" s="52"/>
      <c r="P195" s="2"/>
      <c r="Q195" s="2"/>
      <c r="R195" s="2"/>
      <c r="S195" s="53"/>
      <c r="T195" s="2"/>
      <c r="U195" s="2"/>
      <c r="V195" s="2"/>
      <c r="W195" s="2"/>
    </row>
    <row r="196" spans="1:23" s="2" customFormat="1" ht="16.5" customHeight="1" x14ac:dyDescent="0.35">
      <c r="A196" s="85" t="s">
        <v>71</v>
      </c>
      <c r="B196" s="86">
        <v>1724</v>
      </c>
      <c r="C196" s="87"/>
      <c r="D196" s="88">
        <v>45104</v>
      </c>
      <c r="E196" s="43">
        <v>1200000</v>
      </c>
      <c r="F196" s="44">
        <f t="shared" si="10"/>
        <v>120000</v>
      </c>
      <c r="G196" s="45">
        <f t="shared" si="8"/>
        <v>1320000</v>
      </c>
      <c r="H196" s="46">
        <v>1320000</v>
      </c>
      <c r="I196" s="47">
        <f t="shared" si="6"/>
        <v>0</v>
      </c>
      <c r="J196" s="48">
        <v>45106</v>
      </c>
      <c r="K196" s="49">
        <v>45184</v>
      </c>
      <c r="L196" s="50">
        <v>4150904750</v>
      </c>
      <c r="M196" s="51"/>
      <c r="N196" s="52"/>
      <c r="O196" s="52"/>
      <c r="S196" s="53"/>
    </row>
    <row r="197" spans="1:23" s="2" customFormat="1" ht="16.5" customHeight="1" x14ac:dyDescent="0.35">
      <c r="A197" s="85" t="s">
        <v>29</v>
      </c>
      <c r="B197" s="86">
        <v>1265</v>
      </c>
      <c r="C197" s="87"/>
      <c r="D197" s="88">
        <v>45058</v>
      </c>
      <c r="E197" s="43">
        <v>936000</v>
      </c>
      <c r="F197" s="44">
        <f t="shared" si="10"/>
        <v>93600</v>
      </c>
      <c r="G197" s="45">
        <f t="shared" si="8"/>
        <v>1029600</v>
      </c>
      <c r="H197" s="46">
        <v>1029600</v>
      </c>
      <c r="I197" s="47">
        <f t="shared" si="6"/>
        <v>0</v>
      </c>
      <c r="J197" s="48">
        <v>45090</v>
      </c>
      <c r="K197" s="49">
        <v>45163</v>
      </c>
      <c r="L197" s="50">
        <v>4900956544</v>
      </c>
      <c r="M197" s="51"/>
      <c r="N197" s="52"/>
      <c r="O197" s="52"/>
      <c r="S197" s="53"/>
    </row>
    <row r="198" spans="1:23" s="2" customFormat="1" ht="16.5" customHeight="1" x14ac:dyDescent="0.35">
      <c r="A198" s="85" t="s">
        <v>29</v>
      </c>
      <c r="B198" s="86">
        <v>1283</v>
      </c>
      <c r="C198" s="87">
        <v>1525</v>
      </c>
      <c r="D198" s="88">
        <v>45090</v>
      </c>
      <c r="E198" s="43">
        <v>6845000</v>
      </c>
      <c r="F198" s="44">
        <f t="shared" si="10"/>
        <v>684500</v>
      </c>
      <c r="G198" s="45">
        <f t="shared" si="8"/>
        <v>7529500</v>
      </c>
      <c r="H198" s="46">
        <v>7529500</v>
      </c>
      <c r="I198" s="47">
        <f t="shared" si="6"/>
        <v>0</v>
      </c>
      <c r="J198" s="48">
        <v>45090</v>
      </c>
      <c r="K198" s="49">
        <v>45163</v>
      </c>
      <c r="L198" s="50">
        <v>4900957960</v>
      </c>
      <c r="M198" s="51"/>
      <c r="N198" s="52"/>
      <c r="O198" s="52"/>
      <c r="S198" s="53"/>
    </row>
    <row r="199" spans="1:23" s="2" customFormat="1" ht="16.5" customHeight="1" x14ac:dyDescent="0.35">
      <c r="A199" s="85" t="s">
        <v>171</v>
      </c>
      <c r="B199" s="86">
        <v>1303</v>
      </c>
      <c r="C199" s="87">
        <v>1526</v>
      </c>
      <c r="D199" s="88">
        <v>45090</v>
      </c>
      <c r="E199" s="43">
        <v>21558000</v>
      </c>
      <c r="F199" s="44">
        <f t="shared" si="10"/>
        <v>2155800</v>
      </c>
      <c r="G199" s="45">
        <f t="shared" si="8"/>
        <v>23713800</v>
      </c>
      <c r="H199" s="46">
        <v>23713800</v>
      </c>
      <c r="I199" s="47">
        <f t="shared" si="6"/>
        <v>0</v>
      </c>
      <c r="J199" s="48">
        <v>45090</v>
      </c>
      <c r="K199" s="49">
        <v>45163</v>
      </c>
      <c r="L199" s="50">
        <v>4149630996</v>
      </c>
      <c r="M199" s="51"/>
      <c r="N199" s="52"/>
      <c r="O199" s="52"/>
      <c r="S199" s="53"/>
    </row>
    <row r="200" spans="1:23" s="2" customFormat="1" ht="16.5" customHeight="1" x14ac:dyDescent="0.35">
      <c r="A200" s="85" t="s">
        <v>37</v>
      </c>
      <c r="B200" s="86">
        <v>1312</v>
      </c>
      <c r="C200" s="87"/>
      <c r="D200" s="88">
        <v>45066</v>
      </c>
      <c r="E200" s="43">
        <v>6440000</v>
      </c>
      <c r="F200" s="44">
        <f t="shared" si="10"/>
        <v>644000</v>
      </c>
      <c r="G200" s="45">
        <f t="shared" si="8"/>
        <v>7084000</v>
      </c>
      <c r="H200" s="46">
        <v>7084000</v>
      </c>
      <c r="I200" s="47">
        <f t="shared" ref="I200:I263" si="11">G200-H200</f>
        <v>0</v>
      </c>
      <c r="J200" s="48">
        <v>45090</v>
      </c>
      <c r="K200" s="49">
        <v>45163</v>
      </c>
      <c r="L200" s="50">
        <v>4900961045</v>
      </c>
      <c r="M200" s="51"/>
      <c r="N200" s="52"/>
      <c r="O200" s="52"/>
      <c r="S200" s="53"/>
    </row>
    <row r="201" spans="1:23" s="2" customFormat="1" ht="16.5" customHeight="1" x14ac:dyDescent="0.35">
      <c r="A201" s="85" t="s">
        <v>171</v>
      </c>
      <c r="B201" s="86">
        <v>1345</v>
      </c>
      <c r="C201" s="87"/>
      <c r="D201" s="88">
        <v>45066</v>
      </c>
      <c r="E201" s="43">
        <v>1560000</v>
      </c>
      <c r="F201" s="44">
        <f t="shared" si="10"/>
        <v>156000</v>
      </c>
      <c r="G201" s="45">
        <f t="shared" si="8"/>
        <v>1716000</v>
      </c>
      <c r="H201" s="46">
        <v>1716000</v>
      </c>
      <c r="I201" s="47">
        <f t="shared" si="11"/>
        <v>0</v>
      </c>
      <c r="J201" s="48">
        <v>45090</v>
      </c>
      <c r="K201" s="49">
        <v>45163</v>
      </c>
      <c r="L201" s="50">
        <v>4900961471</v>
      </c>
      <c r="M201" s="51"/>
      <c r="N201" s="52"/>
      <c r="O201" s="52"/>
      <c r="S201" s="53"/>
    </row>
    <row r="202" spans="1:23" s="2" customFormat="1" ht="16.5" customHeight="1" x14ac:dyDescent="0.35">
      <c r="A202" s="85" t="s">
        <v>29</v>
      </c>
      <c r="B202" s="86">
        <v>1346</v>
      </c>
      <c r="C202" s="87">
        <v>1527</v>
      </c>
      <c r="D202" s="88">
        <v>45090</v>
      </c>
      <c r="E202" s="43">
        <v>2560000</v>
      </c>
      <c r="F202" s="44">
        <f t="shared" si="10"/>
        <v>256000</v>
      </c>
      <c r="G202" s="45">
        <f t="shared" si="8"/>
        <v>2816000</v>
      </c>
      <c r="H202" s="46">
        <v>2816000</v>
      </c>
      <c r="I202" s="47">
        <f t="shared" si="11"/>
        <v>0</v>
      </c>
      <c r="J202" s="48">
        <v>45090</v>
      </c>
      <c r="K202" s="49">
        <v>45163</v>
      </c>
      <c r="L202" s="50">
        <v>4900961552</v>
      </c>
      <c r="M202" s="51"/>
      <c r="N202" s="52"/>
      <c r="O202" s="52"/>
      <c r="S202" s="53"/>
    </row>
    <row r="203" spans="1:23" s="2" customFormat="1" ht="16.5" customHeight="1" x14ac:dyDescent="0.35">
      <c r="A203" s="85" t="s">
        <v>191</v>
      </c>
      <c r="B203" s="86">
        <v>1350</v>
      </c>
      <c r="C203" s="87"/>
      <c r="D203" s="88">
        <v>45069</v>
      </c>
      <c r="E203" s="43">
        <v>10080000</v>
      </c>
      <c r="F203" s="44">
        <f t="shared" si="10"/>
        <v>1008000</v>
      </c>
      <c r="G203" s="45">
        <f t="shared" si="8"/>
        <v>11088000</v>
      </c>
      <c r="H203" s="46">
        <v>11088000</v>
      </c>
      <c r="I203" s="47">
        <f t="shared" si="11"/>
        <v>0</v>
      </c>
      <c r="J203" s="48">
        <v>45090</v>
      </c>
      <c r="K203" s="49">
        <v>45163</v>
      </c>
      <c r="L203" s="50">
        <v>4149739383</v>
      </c>
      <c r="M203" s="51"/>
      <c r="N203" s="52"/>
      <c r="O203" s="52"/>
      <c r="S203" s="53"/>
    </row>
    <row r="204" spans="1:23" s="2" customFormat="1" ht="16.5" customHeight="1" x14ac:dyDescent="0.35">
      <c r="A204" s="85" t="s">
        <v>71</v>
      </c>
      <c r="B204" s="86" t="s">
        <v>292</v>
      </c>
      <c r="C204" s="87"/>
      <c r="D204" s="88">
        <v>44813</v>
      </c>
      <c r="E204" s="43">
        <v>960000</v>
      </c>
      <c r="F204" s="44">
        <f>+E204*0.08</f>
        <v>76800</v>
      </c>
      <c r="G204" s="45">
        <f t="shared" si="8"/>
        <v>1036800</v>
      </c>
      <c r="H204" s="46">
        <v>1036800</v>
      </c>
      <c r="I204" s="47">
        <f t="shared" si="11"/>
        <v>0</v>
      </c>
      <c r="J204" s="48">
        <v>44846</v>
      </c>
      <c r="K204" s="49">
        <v>45000</v>
      </c>
      <c r="L204" s="50">
        <v>4142335894</v>
      </c>
      <c r="M204" s="51" t="s">
        <v>293</v>
      </c>
      <c r="N204" s="52"/>
      <c r="O204" s="52"/>
      <c r="S204" s="53"/>
    </row>
    <row r="205" spans="1:23" s="2" customFormat="1" ht="16.5" customHeight="1" x14ac:dyDescent="0.35">
      <c r="A205" s="85" t="s">
        <v>33</v>
      </c>
      <c r="B205" s="86">
        <v>1359</v>
      </c>
      <c r="C205" s="87"/>
      <c r="D205" s="88">
        <v>45069</v>
      </c>
      <c r="E205" s="43">
        <v>2080000</v>
      </c>
      <c r="F205" s="44">
        <f t="shared" ref="F205:F225" si="12">+E205*0.1</f>
        <v>208000</v>
      </c>
      <c r="G205" s="45">
        <f t="shared" si="8"/>
        <v>2288000</v>
      </c>
      <c r="H205" s="46">
        <v>2288000</v>
      </c>
      <c r="I205" s="47">
        <f t="shared" si="11"/>
        <v>0</v>
      </c>
      <c r="J205" s="48">
        <v>45090</v>
      </c>
      <c r="K205" s="49">
        <v>45163</v>
      </c>
      <c r="L205" s="50">
        <v>4900962334</v>
      </c>
      <c r="M205" s="51"/>
      <c r="N205" s="52"/>
      <c r="O205" s="52"/>
      <c r="S205" s="53"/>
    </row>
    <row r="206" spans="1:23" s="2" customFormat="1" ht="16.5" customHeight="1" x14ac:dyDescent="0.35">
      <c r="A206" s="85" t="s">
        <v>171</v>
      </c>
      <c r="B206" s="86" t="s">
        <v>294</v>
      </c>
      <c r="C206" s="87">
        <v>1528</v>
      </c>
      <c r="D206" s="88">
        <v>45090</v>
      </c>
      <c r="E206" s="43">
        <v>18196000</v>
      </c>
      <c r="F206" s="44">
        <f t="shared" si="12"/>
        <v>1819600</v>
      </c>
      <c r="G206" s="45">
        <f t="shared" si="8"/>
        <v>20015600</v>
      </c>
      <c r="H206" s="46">
        <v>20015600</v>
      </c>
      <c r="I206" s="47">
        <f t="shared" si="11"/>
        <v>0</v>
      </c>
      <c r="J206" s="48">
        <v>45090</v>
      </c>
      <c r="K206" s="49">
        <v>45163</v>
      </c>
      <c r="L206" s="50">
        <v>4149917332</v>
      </c>
      <c r="M206" s="51"/>
      <c r="N206" s="52"/>
      <c r="O206" s="52"/>
      <c r="S206" s="53"/>
    </row>
    <row r="207" spans="1:23" s="2" customFormat="1" ht="16.5" customHeight="1" x14ac:dyDescent="0.35">
      <c r="A207" s="85" t="s">
        <v>37</v>
      </c>
      <c r="B207" s="86" t="s">
        <v>295</v>
      </c>
      <c r="C207" s="87"/>
      <c r="D207" s="88" t="s">
        <v>296</v>
      </c>
      <c r="E207" s="43">
        <v>1040000</v>
      </c>
      <c r="F207" s="44">
        <f t="shared" si="12"/>
        <v>104000</v>
      </c>
      <c r="G207" s="45">
        <f t="shared" si="8"/>
        <v>1144000</v>
      </c>
      <c r="H207" s="46">
        <v>1144000</v>
      </c>
      <c r="I207" s="47">
        <f t="shared" si="11"/>
        <v>0</v>
      </c>
      <c r="J207" s="48">
        <v>45090</v>
      </c>
      <c r="K207" s="49">
        <v>45163</v>
      </c>
      <c r="L207" s="50">
        <v>4900963735</v>
      </c>
      <c r="M207" s="51"/>
      <c r="N207" s="52"/>
      <c r="O207" s="52"/>
      <c r="S207" s="53"/>
    </row>
    <row r="208" spans="1:23" s="2" customFormat="1" ht="16.5" customHeight="1" x14ac:dyDescent="0.35">
      <c r="A208" s="85" t="s">
        <v>29</v>
      </c>
      <c r="B208" s="86" t="s">
        <v>297</v>
      </c>
      <c r="C208" s="87"/>
      <c r="D208" s="88" t="s">
        <v>296</v>
      </c>
      <c r="E208" s="43">
        <v>3120000</v>
      </c>
      <c r="F208" s="44">
        <f t="shared" si="12"/>
        <v>312000</v>
      </c>
      <c r="G208" s="45">
        <f t="shared" si="8"/>
        <v>3432000</v>
      </c>
      <c r="H208" s="46">
        <v>3432000</v>
      </c>
      <c r="I208" s="47">
        <f t="shared" si="11"/>
        <v>0</v>
      </c>
      <c r="J208" s="48">
        <v>45090</v>
      </c>
      <c r="K208" s="49">
        <v>45163</v>
      </c>
      <c r="L208" s="50">
        <v>4900963488</v>
      </c>
      <c r="M208" s="51"/>
      <c r="N208" s="52"/>
      <c r="O208" s="52"/>
      <c r="S208" s="53"/>
    </row>
    <row r="209" spans="1:19" s="2" customFormat="1" ht="16.5" customHeight="1" x14ac:dyDescent="0.35">
      <c r="A209" s="85" t="s">
        <v>29</v>
      </c>
      <c r="B209" s="86" t="s">
        <v>298</v>
      </c>
      <c r="C209" s="87"/>
      <c r="D209" s="88" t="s">
        <v>296</v>
      </c>
      <c r="E209" s="43">
        <v>1920000</v>
      </c>
      <c r="F209" s="44">
        <f t="shared" si="12"/>
        <v>192000</v>
      </c>
      <c r="G209" s="45">
        <f t="shared" si="8"/>
        <v>2112000</v>
      </c>
      <c r="H209" s="46">
        <v>2112000</v>
      </c>
      <c r="I209" s="47">
        <f t="shared" si="11"/>
        <v>0</v>
      </c>
      <c r="J209" s="48">
        <v>45090</v>
      </c>
      <c r="K209" s="49">
        <v>45163</v>
      </c>
      <c r="L209" s="50">
        <v>4900964438</v>
      </c>
      <c r="M209" s="51"/>
      <c r="N209" s="52"/>
      <c r="O209" s="52"/>
      <c r="S209" s="53"/>
    </row>
    <row r="210" spans="1:19" s="2" customFormat="1" ht="16.5" customHeight="1" x14ac:dyDescent="0.35">
      <c r="A210" s="85" t="s">
        <v>171</v>
      </c>
      <c r="B210" s="86" t="s">
        <v>299</v>
      </c>
      <c r="C210" s="87"/>
      <c r="D210" s="88" t="s">
        <v>300</v>
      </c>
      <c r="E210" s="43">
        <v>22605000</v>
      </c>
      <c r="F210" s="44">
        <f t="shared" si="12"/>
        <v>2260500</v>
      </c>
      <c r="G210" s="45">
        <f t="shared" si="8"/>
        <v>24865500</v>
      </c>
      <c r="H210" s="46">
        <v>24865500</v>
      </c>
      <c r="I210" s="47">
        <f t="shared" si="11"/>
        <v>0</v>
      </c>
      <c r="J210" s="48">
        <v>45090</v>
      </c>
      <c r="K210" s="49">
        <v>45163</v>
      </c>
      <c r="L210" s="50">
        <v>4150011593</v>
      </c>
      <c r="M210" s="51"/>
      <c r="N210" s="52"/>
      <c r="O210" s="52"/>
      <c r="S210" s="53"/>
    </row>
    <row r="211" spans="1:19" s="2" customFormat="1" ht="16.5" customHeight="1" x14ac:dyDescent="0.35">
      <c r="A211" s="85" t="s">
        <v>185</v>
      </c>
      <c r="B211" s="86" t="s">
        <v>301</v>
      </c>
      <c r="C211" s="87"/>
      <c r="D211" s="88" t="s">
        <v>302</v>
      </c>
      <c r="E211" s="43">
        <v>904500</v>
      </c>
      <c r="F211" s="44">
        <f t="shared" si="12"/>
        <v>90450</v>
      </c>
      <c r="G211" s="45">
        <f t="shared" si="8"/>
        <v>994950</v>
      </c>
      <c r="H211" s="46">
        <v>994950</v>
      </c>
      <c r="I211" s="47">
        <f t="shared" si="11"/>
        <v>0</v>
      </c>
      <c r="J211" s="48">
        <v>45090</v>
      </c>
      <c r="K211" s="49">
        <v>45163</v>
      </c>
      <c r="L211" s="50">
        <v>4900965480</v>
      </c>
      <c r="M211" s="51"/>
      <c r="N211" s="52"/>
      <c r="O211" s="52"/>
      <c r="S211" s="53"/>
    </row>
    <row r="212" spans="1:19" s="2" customFormat="1" ht="16.5" customHeight="1" x14ac:dyDescent="0.35">
      <c r="A212" s="85" t="s">
        <v>303</v>
      </c>
      <c r="B212" s="86" t="s">
        <v>304</v>
      </c>
      <c r="C212" s="87"/>
      <c r="D212" s="88" t="s">
        <v>305</v>
      </c>
      <c r="E212" s="43">
        <v>800000</v>
      </c>
      <c r="F212" s="44">
        <f t="shared" si="12"/>
        <v>80000</v>
      </c>
      <c r="G212" s="45">
        <f t="shared" si="8"/>
        <v>880000</v>
      </c>
      <c r="H212" s="46">
        <v>880000</v>
      </c>
      <c r="I212" s="47">
        <f t="shared" si="11"/>
        <v>0</v>
      </c>
      <c r="J212" s="48">
        <v>45090</v>
      </c>
      <c r="K212" s="49">
        <v>45163</v>
      </c>
      <c r="L212" s="50">
        <v>4149994429</v>
      </c>
      <c r="M212" s="51"/>
      <c r="N212" s="52"/>
      <c r="O212" s="52"/>
      <c r="S212" s="53"/>
    </row>
    <row r="213" spans="1:19" s="2" customFormat="1" ht="16.5" customHeight="1" x14ac:dyDescent="0.35">
      <c r="A213" s="85" t="s">
        <v>33</v>
      </c>
      <c r="B213" s="86" t="s">
        <v>306</v>
      </c>
      <c r="C213" s="87">
        <v>1529</v>
      </c>
      <c r="D213" s="88">
        <v>45090</v>
      </c>
      <c r="E213" s="43">
        <v>1552000</v>
      </c>
      <c r="F213" s="44">
        <f t="shared" si="12"/>
        <v>155200</v>
      </c>
      <c r="G213" s="45">
        <f t="shared" si="8"/>
        <v>1707200</v>
      </c>
      <c r="H213" s="46">
        <v>1707200</v>
      </c>
      <c r="I213" s="47">
        <f t="shared" si="11"/>
        <v>0</v>
      </c>
      <c r="J213" s="48">
        <v>45090</v>
      </c>
      <c r="K213" s="49">
        <v>45163</v>
      </c>
      <c r="L213" s="50">
        <v>4900968094</v>
      </c>
      <c r="M213" s="51"/>
      <c r="N213" s="52"/>
      <c r="O213" s="52"/>
      <c r="S213" s="53"/>
    </row>
    <row r="214" spans="1:19" s="2" customFormat="1" ht="16.5" customHeight="1" x14ac:dyDescent="0.35">
      <c r="A214" s="85" t="s">
        <v>29</v>
      </c>
      <c r="B214" s="86" t="s">
        <v>307</v>
      </c>
      <c r="C214" s="87"/>
      <c r="D214" s="88" t="s">
        <v>308</v>
      </c>
      <c r="E214" s="43">
        <v>15680000</v>
      </c>
      <c r="F214" s="44">
        <f t="shared" si="12"/>
        <v>1568000</v>
      </c>
      <c r="G214" s="45">
        <f t="shared" si="8"/>
        <v>17248000</v>
      </c>
      <c r="H214" s="46">
        <v>17248000</v>
      </c>
      <c r="I214" s="47">
        <f t="shared" si="11"/>
        <v>0</v>
      </c>
      <c r="J214" s="48">
        <v>45090</v>
      </c>
      <c r="K214" s="49">
        <v>45163</v>
      </c>
      <c r="L214" s="50">
        <v>4900968239</v>
      </c>
      <c r="M214" s="51"/>
      <c r="N214" s="52"/>
      <c r="O214" s="52"/>
      <c r="S214" s="53"/>
    </row>
    <row r="215" spans="1:19" s="2" customFormat="1" ht="16.5" customHeight="1" x14ac:dyDescent="0.35">
      <c r="A215" s="85" t="s">
        <v>37</v>
      </c>
      <c r="B215" s="86" t="s">
        <v>309</v>
      </c>
      <c r="C215" s="87"/>
      <c r="D215" s="88" t="s">
        <v>280</v>
      </c>
      <c r="E215" s="43">
        <v>31908000</v>
      </c>
      <c r="F215" s="44">
        <f t="shared" si="12"/>
        <v>3190800</v>
      </c>
      <c r="G215" s="45">
        <f t="shared" ref="G215:G278" si="13">E215+F215</f>
        <v>35098800</v>
      </c>
      <c r="H215" s="46">
        <v>35098800</v>
      </c>
      <c r="I215" s="47">
        <f t="shared" si="11"/>
        <v>0</v>
      </c>
      <c r="J215" s="48">
        <v>45090</v>
      </c>
      <c r="K215" s="49">
        <v>45163</v>
      </c>
      <c r="L215" s="50">
        <v>4900968765</v>
      </c>
      <c r="M215" s="51"/>
      <c r="N215" s="52"/>
      <c r="O215" s="52"/>
      <c r="S215" s="53"/>
    </row>
    <row r="216" spans="1:19" s="2" customFormat="1" ht="16.5" customHeight="1" x14ac:dyDescent="0.35">
      <c r="A216" s="85" t="s">
        <v>303</v>
      </c>
      <c r="B216" s="86" t="s">
        <v>310</v>
      </c>
      <c r="C216" s="87"/>
      <c r="D216" s="88" t="s">
        <v>280</v>
      </c>
      <c r="E216" s="43">
        <v>1740000</v>
      </c>
      <c r="F216" s="44">
        <f t="shared" si="12"/>
        <v>174000</v>
      </c>
      <c r="G216" s="45">
        <f t="shared" si="13"/>
        <v>1914000</v>
      </c>
      <c r="H216" s="46">
        <v>1914000</v>
      </c>
      <c r="I216" s="47">
        <f t="shared" si="11"/>
        <v>0</v>
      </c>
      <c r="J216" s="48">
        <v>45090</v>
      </c>
      <c r="K216" s="49">
        <v>45163</v>
      </c>
      <c r="L216" s="50">
        <v>4150205112</v>
      </c>
      <c r="M216" s="51"/>
      <c r="N216" s="52"/>
      <c r="O216" s="52"/>
      <c r="S216" s="53"/>
    </row>
    <row r="217" spans="1:19" s="2" customFormat="1" ht="16.5" customHeight="1" x14ac:dyDescent="0.35">
      <c r="A217" s="85" t="s">
        <v>33</v>
      </c>
      <c r="B217" s="86" t="s">
        <v>311</v>
      </c>
      <c r="C217" s="87"/>
      <c r="D217" s="88" t="s">
        <v>280</v>
      </c>
      <c r="E217" s="43">
        <v>1040000</v>
      </c>
      <c r="F217" s="44">
        <f t="shared" si="12"/>
        <v>104000</v>
      </c>
      <c r="G217" s="45">
        <f t="shared" si="13"/>
        <v>1144000</v>
      </c>
      <c r="H217" s="46">
        <v>1144000</v>
      </c>
      <c r="I217" s="47">
        <f t="shared" si="11"/>
        <v>0</v>
      </c>
      <c r="J217" s="48">
        <v>45090</v>
      </c>
      <c r="K217" s="49">
        <v>45163</v>
      </c>
      <c r="L217" s="50">
        <v>4900969447</v>
      </c>
      <c r="M217" s="51"/>
      <c r="N217" s="52"/>
      <c r="O217" s="52"/>
      <c r="S217" s="53"/>
    </row>
    <row r="218" spans="1:19" s="2" customFormat="1" ht="16.5" customHeight="1" x14ac:dyDescent="0.35">
      <c r="A218" s="85" t="s">
        <v>77</v>
      </c>
      <c r="B218" s="86" t="s">
        <v>312</v>
      </c>
      <c r="C218" s="87"/>
      <c r="D218" s="88" t="s">
        <v>280</v>
      </c>
      <c r="E218" s="43">
        <v>12000000</v>
      </c>
      <c r="F218" s="44">
        <f t="shared" si="12"/>
        <v>1200000</v>
      </c>
      <c r="G218" s="45">
        <f t="shared" si="13"/>
        <v>13200000</v>
      </c>
      <c r="H218" s="46">
        <v>13200000</v>
      </c>
      <c r="I218" s="47">
        <f t="shared" si="11"/>
        <v>0</v>
      </c>
      <c r="J218" s="48">
        <v>45090</v>
      </c>
      <c r="K218" s="49">
        <v>45163</v>
      </c>
      <c r="L218" s="50">
        <v>4150252839</v>
      </c>
      <c r="M218" s="51"/>
      <c r="N218" s="52"/>
      <c r="O218" s="52"/>
      <c r="S218" s="53"/>
    </row>
    <row r="219" spans="1:19" s="2" customFormat="1" ht="16.5" customHeight="1" x14ac:dyDescent="0.35">
      <c r="A219" s="85" t="s">
        <v>33</v>
      </c>
      <c r="B219" s="86" t="s">
        <v>313</v>
      </c>
      <c r="C219" s="87">
        <v>1530</v>
      </c>
      <c r="D219" s="88">
        <v>45090</v>
      </c>
      <c r="E219" s="43">
        <v>3922500</v>
      </c>
      <c r="F219" s="44">
        <f t="shared" si="12"/>
        <v>392250</v>
      </c>
      <c r="G219" s="45">
        <f t="shared" si="13"/>
        <v>4314750</v>
      </c>
      <c r="H219" s="46">
        <v>4314750</v>
      </c>
      <c r="I219" s="47">
        <f t="shared" si="11"/>
        <v>0</v>
      </c>
      <c r="J219" s="48">
        <v>45090</v>
      </c>
      <c r="K219" s="49">
        <v>45163</v>
      </c>
      <c r="L219" s="50">
        <v>4900971104</v>
      </c>
      <c r="M219" s="51"/>
      <c r="N219" s="52"/>
      <c r="O219" s="52"/>
      <c r="S219" s="53"/>
    </row>
    <row r="220" spans="1:19" s="2" customFormat="1" ht="16.5" customHeight="1" x14ac:dyDescent="0.35">
      <c r="A220" s="85" t="s">
        <v>37</v>
      </c>
      <c r="B220" s="86" t="s">
        <v>314</v>
      </c>
      <c r="C220" s="87"/>
      <c r="D220" s="88" t="s">
        <v>282</v>
      </c>
      <c r="E220" s="43">
        <v>14800000</v>
      </c>
      <c r="F220" s="44">
        <f t="shared" si="12"/>
        <v>1480000</v>
      </c>
      <c r="G220" s="45">
        <f t="shared" si="13"/>
        <v>16280000</v>
      </c>
      <c r="H220" s="46">
        <v>16280000</v>
      </c>
      <c r="I220" s="47">
        <f t="shared" si="11"/>
        <v>0</v>
      </c>
      <c r="J220" s="48">
        <v>45090</v>
      </c>
      <c r="K220" s="49">
        <v>45163</v>
      </c>
      <c r="L220" s="50">
        <v>4900971528</v>
      </c>
      <c r="M220" s="51"/>
      <c r="N220" s="52"/>
      <c r="O220" s="52"/>
      <c r="S220" s="53"/>
    </row>
    <row r="221" spans="1:19" s="2" customFormat="1" ht="16.5" customHeight="1" x14ac:dyDescent="0.35">
      <c r="A221" s="85" t="s">
        <v>33</v>
      </c>
      <c r="B221" s="86" t="s">
        <v>315</v>
      </c>
      <c r="C221" s="87"/>
      <c r="D221" s="88" t="s">
        <v>316</v>
      </c>
      <c r="E221" s="43">
        <v>1920000</v>
      </c>
      <c r="F221" s="44">
        <f t="shared" si="12"/>
        <v>192000</v>
      </c>
      <c r="G221" s="45">
        <f t="shared" si="13"/>
        <v>2112000</v>
      </c>
      <c r="H221" s="46">
        <v>2112000</v>
      </c>
      <c r="I221" s="47">
        <f t="shared" si="11"/>
        <v>0</v>
      </c>
      <c r="J221" s="48">
        <v>45063</v>
      </c>
      <c r="K221" s="49">
        <v>45153</v>
      </c>
      <c r="L221" s="50">
        <v>4900950708</v>
      </c>
      <c r="M221" s="51"/>
      <c r="N221" s="52"/>
      <c r="O221" s="52"/>
      <c r="S221" s="53"/>
    </row>
    <row r="222" spans="1:19" s="2" customFormat="1" ht="16.5" customHeight="1" x14ac:dyDescent="0.35">
      <c r="A222" s="85" t="s">
        <v>29</v>
      </c>
      <c r="B222" s="86" t="s">
        <v>317</v>
      </c>
      <c r="C222" s="87"/>
      <c r="D222" s="88" t="s">
        <v>316</v>
      </c>
      <c r="E222" s="43">
        <v>7798500</v>
      </c>
      <c r="F222" s="44">
        <f t="shared" si="12"/>
        <v>779850</v>
      </c>
      <c r="G222" s="45">
        <f t="shared" si="13"/>
        <v>8578350</v>
      </c>
      <c r="H222" s="46">
        <v>8578350</v>
      </c>
      <c r="I222" s="47">
        <f t="shared" si="11"/>
        <v>0</v>
      </c>
      <c r="J222" s="48">
        <v>45063</v>
      </c>
      <c r="K222" s="49">
        <v>45153</v>
      </c>
      <c r="L222" s="50">
        <v>4900950777</v>
      </c>
      <c r="M222" s="51"/>
      <c r="N222" s="52"/>
      <c r="O222" s="52"/>
      <c r="S222" s="53"/>
    </row>
    <row r="223" spans="1:19" s="2" customFormat="1" ht="16.5" customHeight="1" x14ac:dyDescent="0.35">
      <c r="A223" s="85" t="s">
        <v>77</v>
      </c>
      <c r="B223" s="86" t="s">
        <v>318</v>
      </c>
      <c r="C223" s="87"/>
      <c r="D223" s="88" t="s">
        <v>319</v>
      </c>
      <c r="E223" s="43">
        <v>12960000</v>
      </c>
      <c r="F223" s="44">
        <f t="shared" si="12"/>
        <v>1296000</v>
      </c>
      <c r="G223" s="45">
        <f t="shared" si="13"/>
        <v>14256000</v>
      </c>
      <c r="H223" s="46">
        <v>14256000</v>
      </c>
      <c r="I223" s="47">
        <f t="shared" si="11"/>
        <v>0</v>
      </c>
      <c r="J223" s="48">
        <v>45063</v>
      </c>
      <c r="K223" s="49">
        <v>45153</v>
      </c>
      <c r="L223" s="50">
        <v>4149108750</v>
      </c>
      <c r="M223" s="51"/>
      <c r="N223" s="52"/>
      <c r="O223" s="52"/>
      <c r="S223" s="53"/>
    </row>
    <row r="224" spans="1:19" s="2" customFormat="1" ht="16.5" customHeight="1" x14ac:dyDescent="0.35">
      <c r="A224" s="85" t="s">
        <v>29</v>
      </c>
      <c r="B224" s="86" t="s">
        <v>320</v>
      </c>
      <c r="C224" s="87">
        <v>1295</v>
      </c>
      <c r="D224" s="88">
        <v>45063</v>
      </c>
      <c r="E224" s="43">
        <v>1920000</v>
      </c>
      <c r="F224" s="44">
        <f t="shared" si="12"/>
        <v>192000</v>
      </c>
      <c r="G224" s="45">
        <f t="shared" si="13"/>
        <v>2112000</v>
      </c>
      <c r="H224" s="89">
        <v>2112000</v>
      </c>
      <c r="I224" s="47">
        <f t="shared" si="11"/>
        <v>0</v>
      </c>
      <c r="J224" s="48">
        <v>45063</v>
      </c>
      <c r="K224" s="49">
        <v>45153</v>
      </c>
      <c r="L224" s="50">
        <v>4900951998</v>
      </c>
      <c r="M224" s="51"/>
      <c r="N224" s="52"/>
      <c r="O224" s="52"/>
      <c r="S224" s="53"/>
    </row>
    <row r="225" spans="1:19" s="2" customFormat="1" ht="16.5" customHeight="1" x14ac:dyDescent="0.35">
      <c r="A225" s="85" t="s">
        <v>321</v>
      </c>
      <c r="B225" s="86" t="s">
        <v>322</v>
      </c>
      <c r="C225" s="87"/>
      <c r="D225" s="88" t="s">
        <v>323</v>
      </c>
      <c r="E225" s="43">
        <v>2512000</v>
      </c>
      <c r="F225" s="44">
        <f t="shared" si="12"/>
        <v>251200</v>
      </c>
      <c r="G225" s="45">
        <f t="shared" si="13"/>
        <v>2763200</v>
      </c>
      <c r="H225" s="46">
        <v>2763200</v>
      </c>
      <c r="I225" s="47">
        <f t="shared" si="11"/>
        <v>0</v>
      </c>
      <c r="J225" s="48">
        <v>45063</v>
      </c>
      <c r="K225" s="49">
        <v>45153</v>
      </c>
      <c r="L225" s="50">
        <v>4149108414</v>
      </c>
      <c r="M225" s="51"/>
      <c r="N225" s="52"/>
      <c r="O225" s="52"/>
      <c r="S225" s="53"/>
    </row>
    <row r="226" spans="1:19" s="2" customFormat="1" ht="16.5" customHeight="1" x14ac:dyDescent="0.35">
      <c r="A226" s="85" t="s">
        <v>71</v>
      </c>
      <c r="B226" s="86" t="s">
        <v>324</v>
      </c>
      <c r="C226" s="87"/>
      <c r="D226" s="88" t="s">
        <v>325</v>
      </c>
      <c r="E226" s="43">
        <v>960000</v>
      </c>
      <c r="F226" s="44">
        <f>+E226*0.08</f>
        <v>76800</v>
      </c>
      <c r="G226" s="45">
        <f t="shared" si="13"/>
        <v>1036800</v>
      </c>
      <c r="H226" s="46">
        <v>1036800</v>
      </c>
      <c r="I226" s="47">
        <f t="shared" si="11"/>
        <v>0</v>
      </c>
      <c r="J226" s="48">
        <v>44846</v>
      </c>
      <c r="K226" s="49">
        <v>45000</v>
      </c>
      <c r="L226" s="50">
        <v>4142414426</v>
      </c>
      <c r="M226" s="51" t="s">
        <v>293</v>
      </c>
      <c r="N226" s="52"/>
      <c r="O226" s="52"/>
      <c r="S226" s="53"/>
    </row>
    <row r="227" spans="1:19" s="2" customFormat="1" ht="16.5" customHeight="1" x14ac:dyDescent="0.35">
      <c r="A227" s="85" t="s">
        <v>326</v>
      </c>
      <c r="B227" s="86" t="s">
        <v>327</v>
      </c>
      <c r="C227" s="87">
        <v>1546</v>
      </c>
      <c r="D227" s="88">
        <v>44846</v>
      </c>
      <c r="E227" s="43">
        <v>2685000</v>
      </c>
      <c r="F227" s="44">
        <f>+E227*0.08</f>
        <v>214800</v>
      </c>
      <c r="G227" s="45">
        <f t="shared" si="13"/>
        <v>2899800</v>
      </c>
      <c r="H227" s="46">
        <v>2899800</v>
      </c>
      <c r="I227" s="47">
        <f t="shared" si="11"/>
        <v>0</v>
      </c>
      <c r="J227" s="48">
        <v>44846</v>
      </c>
      <c r="K227" s="49">
        <v>45000</v>
      </c>
      <c r="L227" s="50">
        <v>4142475715</v>
      </c>
      <c r="M227" s="51" t="s">
        <v>293</v>
      </c>
      <c r="N227" s="52"/>
      <c r="O227" s="52"/>
      <c r="S227" s="53"/>
    </row>
    <row r="228" spans="1:19" s="2" customFormat="1" ht="16.5" customHeight="1" x14ac:dyDescent="0.35">
      <c r="A228" s="85" t="s">
        <v>71</v>
      </c>
      <c r="B228" s="86" t="s">
        <v>328</v>
      </c>
      <c r="C228" s="87"/>
      <c r="D228" s="88" t="s">
        <v>323</v>
      </c>
      <c r="E228" s="43">
        <v>2020000</v>
      </c>
      <c r="F228" s="44">
        <f>+E228*0.1</f>
        <v>202000</v>
      </c>
      <c r="G228" s="45">
        <f t="shared" si="13"/>
        <v>2222000</v>
      </c>
      <c r="H228" s="46">
        <v>2222000</v>
      </c>
      <c r="I228" s="47">
        <f t="shared" si="11"/>
        <v>0</v>
      </c>
      <c r="J228" s="48">
        <v>45063</v>
      </c>
      <c r="K228" s="49">
        <v>45153</v>
      </c>
      <c r="L228" s="50">
        <v>4149178153</v>
      </c>
      <c r="M228" s="51"/>
      <c r="N228" s="52"/>
      <c r="O228" s="52"/>
      <c r="S228" s="53"/>
    </row>
    <row r="229" spans="1:19" s="2" customFormat="1" ht="16.5" customHeight="1" x14ac:dyDescent="0.35">
      <c r="A229" s="85" t="s">
        <v>59</v>
      </c>
      <c r="B229" s="86" t="s">
        <v>329</v>
      </c>
      <c r="C229" s="87"/>
      <c r="D229" s="88" t="s">
        <v>330</v>
      </c>
      <c r="E229" s="43">
        <v>4560000</v>
      </c>
      <c r="F229" s="44">
        <f>+E229*0.1</f>
        <v>456000</v>
      </c>
      <c r="G229" s="45">
        <f t="shared" si="13"/>
        <v>5016000</v>
      </c>
      <c r="H229" s="46">
        <v>5016000</v>
      </c>
      <c r="I229" s="47">
        <f t="shared" si="11"/>
        <v>0</v>
      </c>
      <c r="J229" s="48">
        <v>45063</v>
      </c>
      <c r="K229" s="49">
        <v>45153</v>
      </c>
      <c r="L229" s="50">
        <v>4149167548</v>
      </c>
      <c r="M229" s="51"/>
      <c r="N229" s="52"/>
      <c r="O229" s="52"/>
      <c r="S229" s="53"/>
    </row>
    <row r="230" spans="1:19" s="2" customFormat="1" ht="16.5" customHeight="1" x14ac:dyDescent="0.35">
      <c r="A230" s="85" t="s">
        <v>303</v>
      </c>
      <c r="B230" s="86" t="s">
        <v>331</v>
      </c>
      <c r="C230" s="87"/>
      <c r="D230" s="88" t="s">
        <v>330</v>
      </c>
      <c r="E230" s="43">
        <v>2600000</v>
      </c>
      <c r="F230" s="44">
        <f>+E230*0.1</f>
        <v>260000</v>
      </c>
      <c r="G230" s="45">
        <f t="shared" si="13"/>
        <v>2860000</v>
      </c>
      <c r="H230" s="46">
        <v>2860000</v>
      </c>
      <c r="I230" s="47">
        <f t="shared" si="11"/>
        <v>0</v>
      </c>
      <c r="J230" s="48">
        <v>45063</v>
      </c>
      <c r="K230" s="49">
        <v>45153</v>
      </c>
      <c r="L230" s="50">
        <v>4149169841</v>
      </c>
      <c r="M230" s="51"/>
      <c r="N230" s="52"/>
      <c r="O230" s="52"/>
      <c r="S230" s="53"/>
    </row>
    <row r="231" spans="1:19" s="2" customFormat="1" ht="16.5" customHeight="1" x14ac:dyDescent="0.35">
      <c r="A231" s="85" t="s">
        <v>37</v>
      </c>
      <c r="B231" s="86" t="s">
        <v>332</v>
      </c>
      <c r="C231" s="87"/>
      <c r="D231" s="88" t="s">
        <v>333</v>
      </c>
      <c r="E231" s="43">
        <v>18400000</v>
      </c>
      <c r="F231" s="44">
        <f>+E231*0.1</f>
        <v>1840000</v>
      </c>
      <c r="G231" s="45">
        <f t="shared" si="13"/>
        <v>20240000</v>
      </c>
      <c r="H231" s="46">
        <v>20240000</v>
      </c>
      <c r="I231" s="47">
        <f t="shared" si="11"/>
        <v>0</v>
      </c>
      <c r="J231" s="48">
        <v>45063</v>
      </c>
      <c r="K231" s="49">
        <v>45153</v>
      </c>
      <c r="L231" s="50">
        <v>4900953211</v>
      </c>
      <c r="M231" s="51"/>
      <c r="N231" s="52"/>
      <c r="O231" s="52"/>
      <c r="S231" s="53"/>
    </row>
    <row r="232" spans="1:19" s="2" customFormat="1" ht="16.5" customHeight="1" x14ac:dyDescent="0.35">
      <c r="A232" s="85" t="s">
        <v>29</v>
      </c>
      <c r="B232" s="86" t="s">
        <v>334</v>
      </c>
      <c r="C232" s="87">
        <v>1294</v>
      </c>
      <c r="D232" s="88">
        <v>45063</v>
      </c>
      <c r="E232" s="43">
        <v>3552000</v>
      </c>
      <c r="F232" s="44">
        <f>+E232*0.1</f>
        <v>355200</v>
      </c>
      <c r="G232" s="45">
        <f t="shared" si="13"/>
        <v>3907200</v>
      </c>
      <c r="H232" s="46">
        <v>3907200</v>
      </c>
      <c r="I232" s="47">
        <f t="shared" si="11"/>
        <v>0</v>
      </c>
      <c r="J232" s="48">
        <v>45063</v>
      </c>
      <c r="K232" s="49">
        <v>45153</v>
      </c>
      <c r="L232" s="50">
        <v>4900954627</v>
      </c>
      <c r="M232" s="51"/>
      <c r="N232" s="52"/>
      <c r="O232" s="52"/>
      <c r="S232" s="53"/>
    </row>
    <row r="233" spans="1:19" s="2" customFormat="1" ht="16.5" customHeight="1" x14ac:dyDescent="0.35">
      <c r="A233" s="85" t="s">
        <v>335</v>
      </c>
      <c r="B233" s="86" t="s">
        <v>336</v>
      </c>
      <c r="C233" s="87"/>
      <c r="D233" s="88" t="s">
        <v>337</v>
      </c>
      <c r="E233" s="43">
        <v>1040000</v>
      </c>
      <c r="F233" s="44">
        <f>+E233*0.08</f>
        <v>83200</v>
      </c>
      <c r="G233" s="45">
        <f t="shared" si="13"/>
        <v>1123200</v>
      </c>
      <c r="H233" s="46">
        <v>1123200</v>
      </c>
      <c r="I233" s="47">
        <f t="shared" si="11"/>
        <v>0</v>
      </c>
      <c r="J233" s="48">
        <v>44846</v>
      </c>
      <c r="K233" s="49">
        <v>45000</v>
      </c>
      <c r="L233" s="50">
        <v>4142483606</v>
      </c>
      <c r="M233" s="51" t="s">
        <v>293</v>
      </c>
      <c r="N233" s="52"/>
      <c r="O233" s="52"/>
      <c r="S233" s="53"/>
    </row>
    <row r="234" spans="1:19" s="2" customFormat="1" ht="16.5" customHeight="1" x14ac:dyDescent="0.35">
      <c r="A234" s="85" t="s">
        <v>29</v>
      </c>
      <c r="B234" s="86" t="s">
        <v>338</v>
      </c>
      <c r="C234" s="87">
        <v>1547</v>
      </c>
      <c r="D234" s="88">
        <v>44846</v>
      </c>
      <c r="E234" s="43">
        <v>912600</v>
      </c>
      <c r="F234" s="44">
        <f>+E234*0.08</f>
        <v>73008</v>
      </c>
      <c r="G234" s="45">
        <f t="shared" si="13"/>
        <v>985608</v>
      </c>
      <c r="H234" s="46">
        <v>985608</v>
      </c>
      <c r="I234" s="47">
        <f t="shared" si="11"/>
        <v>0</v>
      </c>
      <c r="J234" s="48">
        <v>44846</v>
      </c>
      <c r="K234" s="49">
        <v>45000</v>
      </c>
      <c r="L234" s="50">
        <v>4142436299</v>
      </c>
      <c r="M234" s="51" t="s">
        <v>293</v>
      </c>
      <c r="N234" s="52"/>
      <c r="O234" s="52"/>
      <c r="S234" s="53"/>
    </row>
    <row r="235" spans="1:19" s="2" customFormat="1" ht="16.5" customHeight="1" x14ac:dyDescent="0.35">
      <c r="A235" s="85" t="s">
        <v>339</v>
      </c>
      <c r="B235" s="86" t="s">
        <v>340</v>
      </c>
      <c r="C235" s="87"/>
      <c r="D235" s="88" t="s">
        <v>337</v>
      </c>
      <c r="E235" s="43">
        <v>995000</v>
      </c>
      <c r="F235" s="44">
        <f>+E235*0.08</f>
        <v>79600</v>
      </c>
      <c r="G235" s="45">
        <f t="shared" si="13"/>
        <v>1074600</v>
      </c>
      <c r="H235" s="46">
        <v>1074600</v>
      </c>
      <c r="I235" s="47">
        <f t="shared" si="11"/>
        <v>0</v>
      </c>
      <c r="J235" s="48">
        <v>44846</v>
      </c>
      <c r="K235" s="49">
        <v>45000</v>
      </c>
      <c r="L235" s="50">
        <v>4142488555</v>
      </c>
      <c r="M235" s="51" t="s">
        <v>293</v>
      </c>
      <c r="N235" s="52"/>
      <c r="O235" s="52"/>
      <c r="S235" s="53"/>
    </row>
    <row r="236" spans="1:19" s="2" customFormat="1" ht="16.5" customHeight="1" x14ac:dyDescent="0.35">
      <c r="A236" s="85" t="s">
        <v>33</v>
      </c>
      <c r="B236" s="86" t="s">
        <v>341</v>
      </c>
      <c r="C236" s="87"/>
      <c r="D236" s="88" t="s">
        <v>333</v>
      </c>
      <c r="E236" s="43">
        <v>1040000</v>
      </c>
      <c r="F236" s="44">
        <f>+E236*0.1</f>
        <v>104000</v>
      </c>
      <c r="G236" s="45">
        <f t="shared" si="13"/>
        <v>1144000</v>
      </c>
      <c r="H236" s="46">
        <v>1144000</v>
      </c>
      <c r="I236" s="47">
        <f t="shared" si="11"/>
        <v>0</v>
      </c>
      <c r="J236" s="48">
        <v>45063</v>
      </c>
      <c r="K236" s="49">
        <v>45153</v>
      </c>
      <c r="L236" s="50">
        <v>4900952485</v>
      </c>
      <c r="M236" s="51"/>
      <c r="N236" s="52"/>
      <c r="O236" s="52"/>
      <c r="S236" s="53"/>
    </row>
    <row r="237" spans="1:19" s="2" customFormat="1" ht="16.5" customHeight="1" x14ac:dyDescent="0.35">
      <c r="A237" s="85" t="s">
        <v>29</v>
      </c>
      <c r="B237" s="86" t="s">
        <v>342</v>
      </c>
      <c r="C237" s="87"/>
      <c r="D237" s="88" t="s">
        <v>343</v>
      </c>
      <c r="E237" s="43">
        <v>1440000</v>
      </c>
      <c r="F237" s="44">
        <f>+E237*0.1</f>
        <v>144000</v>
      </c>
      <c r="G237" s="45">
        <f t="shared" si="13"/>
        <v>1584000</v>
      </c>
      <c r="H237" s="46">
        <v>1584000</v>
      </c>
      <c r="I237" s="47">
        <f t="shared" si="11"/>
        <v>0</v>
      </c>
      <c r="J237" s="48">
        <v>45063</v>
      </c>
      <c r="K237" s="49">
        <v>45153</v>
      </c>
      <c r="L237" s="50">
        <v>4900955353</v>
      </c>
      <c r="M237" s="51"/>
      <c r="N237" s="52"/>
      <c r="O237" s="52"/>
      <c r="S237" s="53"/>
    </row>
    <row r="238" spans="1:19" s="2" customFormat="1" ht="16.5" customHeight="1" x14ac:dyDescent="0.35">
      <c r="A238" s="85" t="s">
        <v>37</v>
      </c>
      <c r="B238" s="86">
        <v>1280</v>
      </c>
      <c r="C238" s="87"/>
      <c r="D238" s="88">
        <v>44819</v>
      </c>
      <c r="E238" s="43">
        <v>6168000</v>
      </c>
      <c r="F238" s="44">
        <f>+E238*0.08</f>
        <v>493440</v>
      </c>
      <c r="G238" s="45">
        <f t="shared" si="13"/>
        <v>6661440</v>
      </c>
      <c r="H238" s="46">
        <v>6661440</v>
      </c>
      <c r="I238" s="47">
        <f t="shared" si="11"/>
        <v>0</v>
      </c>
      <c r="J238" s="48">
        <v>44846</v>
      </c>
      <c r="K238" s="49">
        <v>45000</v>
      </c>
      <c r="L238" s="50">
        <v>4900862553</v>
      </c>
      <c r="M238" s="51" t="s">
        <v>293</v>
      </c>
      <c r="N238" s="52"/>
      <c r="O238" s="52"/>
      <c r="S238" s="53"/>
    </row>
    <row r="239" spans="1:19" s="2" customFormat="1" ht="16.5" customHeight="1" x14ac:dyDescent="0.35">
      <c r="A239" s="85" t="s">
        <v>29</v>
      </c>
      <c r="B239" s="86">
        <v>1285</v>
      </c>
      <c r="C239" s="87"/>
      <c r="D239" s="88">
        <v>44820</v>
      </c>
      <c r="E239" s="43">
        <v>8935000</v>
      </c>
      <c r="F239" s="44">
        <f>+E239*0.08</f>
        <v>714800</v>
      </c>
      <c r="G239" s="45">
        <f t="shared" si="13"/>
        <v>9649800</v>
      </c>
      <c r="H239" s="46">
        <v>9649800</v>
      </c>
      <c r="I239" s="47">
        <f t="shared" si="11"/>
        <v>0</v>
      </c>
      <c r="J239" s="48">
        <v>44846</v>
      </c>
      <c r="K239" s="49">
        <v>45000</v>
      </c>
      <c r="L239" s="50">
        <v>4900863296</v>
      </c>
      <c r="M239" s="51" t="s">
        <v>293</v>
      </c>
      <c r="N239" s="52"/>
      <c r="O239" s="52"/>
      <c r="S239" s="53"/>
    </row>
    <row r="240" spans="1:19" s="2" customFormat="1" ht="16.5" customHeight="1" x14ac:dyDescent="0.35">
      <c r="A240" s="85" t="s">
        <v>37</v>
      </c>
      <c r="B240" s="86">
        <v>1286</v>
      </c>
      <c r="C240" s="87"/>
      <c r="D240" s="88">
        <v>44820</v>
      </c>
      <c r="E240" s="43">
        <v>1872000</v>
      </c>
      <c r="F240" s="44">
        <f>+E240*0.08</f>
        <v>149760</v>
      </c>
      <c r="G240" s="45">
        <f t="shared" si="13"/>
        <v>2021760</v>
      </c>
      <c r="H240" s="46">
        <v>2021760</v>
      </c>
      <c r="I240" s="47">
        <f t="shared" si="11"/>
        <v>0</v>
      </c>
      <c r="J240" s="48">
        <v>44846</v>
      </c>
      <c r="K240" s="49">
        <v>45000</v>
      </c>
      <c r="L240" s="50">
        <v>4142582470</v>
      </c>
      <c r="M240" s="51" t="s">
        <v>344</v>
      </c>
      <c r="N240" s="52"/>
      <c r="O240" s="52"/>
      <c r="S240" s="53"/>
    </row>
    <row r="241" spans="1:23" s="68" customFormat="1" ht="16.5" customHeight="1" x14ac:dyDescent="0.35">
      <c r="A241" s="85" t="s">
        <v>37</v>
      </c>
      <c r="B241" s="86">
        <v>1262</v>
      </c>
      <c r="C241" s="87"/>
      <c r="D241" s="88">
        <v>45058</v>
      </c>
      <c r="E241" s="43">
        <v>14480000</v>
      </c>
      <c r="F241" s="44">
        <f>+E241*0.1</f>
        <v>1448000</v>
      </c>
      <c r="G241" s="45">
        <f t="shared" si="13"/>
        <v>15928000</v>
      </c>
      <c r="H241" s="46">
        <v>15928000</v>
      </c>
      <c r="I241" s="47">
        <f t="shared" si="11"/>
        <v>0</v>
      </c>
      <c r="J241" s="48">
        <v>45063</v>
      </c>
      <c r="K241" s="49">
        <v>45153</v>
      </c>
      <c r="L241" s="50">
        <v>4900956829</v>
      </c>
      <c r="M241" s="51"/>
      <c r="N241" s="52"/>
      <c r="O241" s="52"/>
      <c r="P241" s="2"/>
      <c r="Q241" s="2"/>
      <c r="R241" s="2"/>
      <c r="S241" s="53"/>
      <c r="T241" s="2"/>
      <c r="U241" s="2"/>
      <c r="V241" s="2"/>
      <c r="W241" s="2"/>
    </row>
    <row r="242" spans="1:23" s="2" customFormat="1" ht="16.5" customHeight="1" x14ac:dyDescent="0.35">
      <c r="A242" s="85" t="s">
        <v>33</v>
      </c>
      <c r="B242" s="86" t="s">
        <v>345</v>
      </c>
      <c r="C242" s="87"/>
      <c r="D242" s="88" t="s">
        <v>346</v>
      </c>
      <c r="E242" s="43">
        <v>640000</v>
      </c>
      <c r="F242" s="44">
        <f>+E242*0.1</f>
        <v>64000</v>
      </c>
      <c r="G242" s="45">
        <f t="shared" si="13"/>
        <v>704000</v>
      </c>
      <c r="H242" s="46">
        <v>704000</v>
      </c>
      <c r="I242" s="47">
        <f t="shared" si="11"/>
        <v>0</v>
      </c>
      <c r="J242" s="48">
        <v>45050</v>
      </c>
      <c r="K242" s="49">
        <v>45132</v>
      </c>
      <c r="L242" s="65">
        <v>4900943442</v>
      </c>
      <c r="M242" s="51"/>
      <c r="N242" s="52"/>
      <c r="O242" s="52"/>
      <c r="S242" s="53"/>
    </row>
    <row r="243" spans="1:23" s="2" customFormat="1" ht="16.5" customHeight="1" x14ac:dyDescent="0.35">
      <c r="A243" s="85" t="s">
        <v>339</v>
      </c>
      <c r="B243" s="90" t="s">
        <v>347</v>
      </c>
      <c r="C243" s="87">
        <v>1554</v>
      </c>
      <c r="D243" s="88">
        <v>44846</v>
      </c>
      <c r="E243" s="43">
        <v>1650000</v>
      </c>
      <c r="F243" s="44">
        <f>+E243*0.08</f>
        <v>132000</v>
      </c>
      <c r="G243" s="54">
        <f t="shared" si="13"/>
        <v>1782000</v>
      </c>
      <c r="H243" s="46">
        <v>1782000</v>
      </c>
      <c r="I243" s="47">
        <f t="shared" si="11"/>
        <v>0</v>
      </c>
      <c r="J243" s="48">
        <v>44846</v>
      </c>
      <c r="K243" s="49">
        <v>45000</v>
      </c>
      <c r="L243" s="50">
        <v>4142637235</v>
      </c>
      <c r="M243" s="51" t="s">
        <v>293</v>
      </c>
      <c r="N243" s="52"/>
      <c r="O243" s="52"/>
      <c r="S243" s="53"/>
    </row>
    <row r="244" spans="1:23" s="2" customFormat="1" ht="16.5" customHeight="1" x14ac:dyDescent="0.35">
      <c r="A244" s="85" t="s">
        <v>71</v>
      </c>
      <c r="B244" s="86" t="s">
        <v>348</v>
      </c>
      <c r="C244" s="87"/>
      <c r="D244" s="88" t="s">
        <v>41</v>
      </c>
      <c r="E244" s="43">
        <v>520000</v>
      </c>
      <c r="F244" s="44">
        <f>+E244*0.08</f>
        <v>41600</v>
      </c>
      <c r="G244" s="54">
        <f t="shared" si="13"/>
        <v>561600</v>
      </c>
      <c r="H244" s="46">
        <v>561600</v>
      </c>
      <c r="I244" s="47">
        <f t="shared" si="11"/>
        <v>0</v>
      </c>
      <c r="J244" s="48">
        <v>44846</v>
      </c>
      <c r="K244" s="49">
        <v>45000</v>
      </c>
      <c r="L244" s="50">
        <v>4142612289</v>
      </c>
      <c r="M244" s="51" t="s">
        <v>293</v>
      </c>
      <c r="N244" s="52"/>
      <c r="O244" s="52"/>
      <c r="S244" s="53"/>
    </row>
    <row r="245" spans="1:23" s="2" customFormat="1" ht="16.5" customHeight="1" x14ac:dyDescent="0.35">
      <c r="A245" s="85" t="s">
        <v>339</v>
      </c>
      <c r="B245" s="86" t="s">
        <v>349</v>
      </c>
      <c r="C245" s="87"/>
      <c r="D245" s="88" t="s">
        <v>41</v>
      </c>
      <c r="E245" s="43">
        <v>1040000</v>
      </c>
      <c r="F245" s="44">
        <f>+E245*0.08</f>
        <v>83200</v>
      </c>
      <c r="G245" s="54">
        <f t="shared" si="13"/>
        <v>1123200</v>
      </c>
      <c r="H245" s="46">
        <v>1123200</v>
      </c>
      <c r="I245" s="47">
        <f t="shared" si="11"/>
        <v>0</v>
      </c>
      <c r="J245" s="48">
        <v>44846</v>
      </c>
      <c r="K245" s="49">
        <v>45000</v>
      </c>
      <c r="L245" s="50">
        <v>4142636776</v>
      </c>
      <c r="M245" s="51" t="s">
        <v>293</v>
      </c>
      <c r="N245" s="52"/>
      <c r="O245" s="52"/>
      <c r="S245" s="53"/>
    </row>
    <row r="246" spans="1:23" s="2" customFormat="1" ht="16.5" customHeight="1" x14ac:dyDescent="0.35">
      <c r="A246" s="85" t="s">
        <v>339</v>
      </c>
      <c r="B246" s="86" t="s">
        <v>350</v>
      </c>
      <c r="C246" s="87"/>
      <c r="D246" s="88" t="s">
        <v>41</v>
      </c>
      <c r="E246" s="43">
        <v>1024000</v>
      </c>
      <c r="F246" s="44">
        <f>+E246*0.08</f>
        <v>81920</v>
      </c>
      <c r="G246" s="54">
        <f t="shared" si="13"/>
        <v>1105920</v>
      </c>
      <c r="H246" s="46">
        <v>1105920</v>
      </c>
      <c r="I246" s="47">
        <f t="shared" si="11"/>
        <v>0</v>
      </c>
      <c r="J246" s="48">
        <v>44846</v>
      </c>
      <c r="K246" s="49">
        <v>45000</v>
      </c>
      <c r="L246" s="50">
        <v>4142638014</v>
      </c>
      <c r="M246" s="51" t="s">
        <v>293</v>
      </c>
      <c r="N246" s="52"/>
      <c r="O246" s="52"/>
      <c r="S246" s="53"/>
    </row>
    <row r="247" spans="1:23" s="2" customFormat="1" ht="16.5" customHeight="1" x14ac:dyDescent="0.35">
      <c r="A247" s="85" t="s">
        <v>33</v>
      </c>
      <c r="B247" s="86" t="s">
        <v>351</v>
      </c>
      <c r="C247" s="87">
        <v>1555</v>
      </c>
      <c r="D247" s="88">
        <v>44846</v>
      </c>
      <c r="E247" s="43">
        <v>728000</v>
      </c>
      <c r="F247" s="44">
        <f>+E247*0.08</f>
        <v>58240</v>
      </c>
      <c r="G247" s="54">
        <f t="shared" si="13"/>
        <v>786240</v>
      </c>
      <c r="H247" s="46">
        <v>786240</v>
      </c>
      <c r="I247" s="47">
        <f t="shared" si="11"/>
        <v>0</v>
      </c>
      <c r="J247" s="48">
        <v>44846</v>
      </c>
      <c r="K247" s="49">
        <v>45000</v>
      </c>
      <c r="L247" s="50">
        <v>4900864629</v>
      </c>
      <c r="M247" s="51" t="s">
        <v>293</v>
      </c>
      <c r="N247" s="52"/>
      <c r="O247" s="52"/>
      <c r="S247" s="53"/>
    </row>
    <row r="248" spans="1:23" s="2" customFormat="1" ht="16.5" customHeight="1" x14ac:dyDescent="0.35">
      <c r="A248" s="85" t="s">
        <v>29</v>
      </c>
      <c r="B248" s="86" t="s">
        <v>352</v>
      </c>
      <c r="C248" s="87"/>
      <c r="D248" s="88" t="s">
        <v>346</v>
      </c>
      <c r="E248" s="43">
        <v>1720000</v>
      </c>
      <c r="F248" s="44">
        <f>+E248*0.1</f>
        <v>172000</v>
      </c>
      <c r="G248" s="45">
        <f t="shared" si="13"/>
        <v>1892000</v>
      </c>
      <c r="H248" s="46">
        <v>1892000</v>
      </c>
      <c r="I248" s="47">
        <f t="shared" si="11"/>
        <v>0</v>
      </c>
      <c r="J248" s="48">
        <v>45050</v>
      </c>
      <c r="K248" s="49">
        <v>45132</v>
      </c>
      <c r="L248" s="65">
        <v>4900943535</v>
      </c>
      <c r="M248" s="51"/>
      <c r="N248" s="52"/>
      <c r="O248" s="52"/>
      <c r="S248" s="53"/>
    </row>
    <row r="249" spans="1:23" s="2" customFormat="1" ht="16.5" customHeight="1" x14ac:dyDescent="0.35">
      <c r="A249" s="85" t="s">
        <v>326</v>
      </c>
      <c r="B249" s="86" t="s">
        <v>353</v>
      </c>
      <c r="C249" s="87"/>
      <c r="D249" s="88" t="s">
        <v>354</v>
      </c>
      <c r="E249" s="43">
        <v>543000</v>
      </c>
      <c r="F249" s="44">
        <f t="shared" ref="F249:F287" si="14">+E249*0.08</f>
        <v>43440</v>
      </c>
      <c r="G249" s="54">
        <f t="shared" si="13"/>
        <v>586440</v>
      </c>
      <c r="H249" s="54">
        <v>586440</v>
      </c>
      <c r="I249" s="47">
        <f t="shared" si="11"/>
        <v>0</v>
      </c>
      <c r="J249" s="48">
        <v>44846</v>
      </c>
      <c r="K249" s="49">
        <v>45000</v>
      </c>
      <c r="L249" s="50">
        <v>4142635119</v>
      </c>
      <c r="M249" s="51" t="s">
        <v>293</v>
      </c>
      <c r="N249" s="52"/>
      <c r="O249" s="52"/>
      <c r="S249" s="53"/>
    </row>
    <row r="250" spans="1:23" s="2" customFormat="1" ht="16.5" customHeight="1" x14ac:dyDescent="0.35">
      <c r="A250" s="85" t="s">
        <v>33</v>
      </c>
      <c r="B250" s="86" t="s">
        <v>355</v>
      </c>
      <c r="C250" s="87"/>
      <c r="D250" s="88" t="s">
        <v>354</v>
      </c>
      <c r="E250" s="43">
        <v>1040000</v>
      </c>
      <c r="F250" s="44">
        <f t="shared" si="14"/>
        <v>83200</v>
      </c>
      <c r="G250" s="54">
        <f t="shared" si="13"/>
        <v>1123200</v>
      </c>
      <c r="H250" s="46">
        <v>1123200</v>
      </c>
      <c r="I250" s="47">
        <f t="shared" si="11"/>
        <v>0</v>
      </c>
      <c r="J250" s="48">
        <v>44846</v>
      </c>
      <c r="K250" s="49">
        <v>45000</v>
      </c>
      <c r="L250" s="50">
        <v>4900864990</v>
      </c>
      <c r="M250" s="51" t="s">
        <v>293</v>
      </c>
      <c r="N250" s="52"/>
      <c r="O250" s="52"/>
      <c r="S250" s="53"/>
    </row>
    <row r="251" spans="1:23" s="2" customFormat="1" ht="16.5" customHeight="1" x14ac:dyDescent="0.35">
      <c r="A251" s="85" t="s">
        <v>71</v>
      </c>
      <c r="B251" s="86" t="s">
        <v>356</v>
      </c>
      <c r="C251" s="87"/>
      <c r="D251" s="88" t="s">
        <v>354</v>
      </c>
      <c r="E251" s="43">
        <v>312000</v>
      </c>
      <c r="F251" s="44">
        <f t="shared" si="14"/>
        <v>24960</v>
      </c>
      <c r="G251" s="54">
        <f t="shared" si="13"/>
        <v>336960</v>
      </c>
      <c r="H251" s="46">
        <v>336960</v>
      </c>
      <c r="I251" s="47">
        <f t="shared" si="11"/>
        <v>0</v>
      </c>
      <c r="J251" s="48">
        <v>44846</v>
      </c>
      <c r="K251" s="49">
        <v>45000</v>
      </c>
      <c r="L251" s="50">
        <v>4142652556</v>
      </c>
      <c r="M251" s="51" t="s">
        <v>293</v>
      </c>
      <c r="N251" s="52"/>
      <c r="O251" s="52"/>
      <c r="S251" s="53"/>
    </row>
    <row r="252" spans="1:23" s="2" customFormat="1" ht="16.5" customHeight="1" x14ac:dyDescent="0.35">
      <c r="A252" s="85" t="s">
        <v>59</v>
      </c>
      <c r="B252" s="86" t="s">
        <v>357</v>
      </c>
      <c r="C252" s="87"/>
      <c r="D252" s="88" t="s">
        <v>354</v>
      </c>
      <c r="E252" s="43">
        <v>1392000</v>
      </c>
      <c r="F252" s="44">
        <f t="shared" si="14"/>
        <v>111360</v>
      </c>
      <c r="G252" s="54">
        <f t="shared" si="13"/>
        <v>1503360</v>
      </c>
      <c r="H252" s="46">
        <v>1503360</v>
      </c>
      <c r="I252" s="47">
        <f t="shared" si="11"/>
        <v>0</v>
      </c>
      <c r="J252" s="48">
        <v>44846</v>
      </c>
      <c r="K252" s="49">
        <v>45000</v>
      </c>
      <c r="L252" s="50">
        <v>4142666378</v>
      </c>
      <c r="M252" s="51" t="s">
        <v>293</v>
      </c>
      <c r="N252" s="52"/>
      <c r="O252" s="52"/>
      <c r="S252" s="53"/>
    </row>
    <row r="253" spans="1:23" s="2" customFormat="1" ht="16.5" customHeight="1" x14ac:dyDescent="0.35">
      <c r="A253" s="85" t="s">
        <v>71</v>
      </c>
      <c r="B253" s="86" t="s">
        <v>358</v>
      </c>
      <c r="C253" s="87"/>
      <c r="D253" s="88" t="s">
        <v>354</v>
      </c>
      <c r="E253" s="43">
        <v>780000</v>
      </c>
      <c r="F253" s="44">
        <f t="shared" si="14"/>
        <v>62400</v>
      </c>
      <c r="G253" s="54">
        <f t="shared" si="13"/>
        <v>842400</v>
      </c>
      <c r="H253" s="46">
        <v>842400</v>
      </c>
      <c r="I253" s="47">
        <f t="shared" si="11"/>
        <v>0</v>
      </c>
      <c r="J253" s="48">
        <v>44846</v>
      </c>
      <c r="K253" s="49">
        <v>45000</v>
      </c>
      <c r="L253" s="50">
        <v>4142713945</v>
      </c>
      <c r="M253" s="51" t="s">
        <v>293</v>
      </c>
      <c r="N253" s="52"/>
      <c r="O253" s="52"/>
      <c r="S253" s="53"/>
    </row>
    <row r="254" spans="1:23" s="2" customFormat="1" ht="16.5" customHeight="1" x14ac:dyDescent="0.35">
      <c r="A254" s="85" t="s">
        <v>123</v>
      </c>
      <c r="B254" s="86" t="s">
        <v>359</v>
      </c>
      <c r="C254" s="87"/>
      <c r="D254" s="88" t="s">
        <v>354</v>
      </c>
      <c r="E254" s="43">
        <v>5600000</v>
      </c>
      <c r="F254" s="44">
        <f t="shared" si="14"/>
        <v>448000</v>
      </c>
      <c r="G254" s="54">
        <f t="shared" si="13"/>
        <v>6048000</v>
      </c>
      <c r="H254" s="46">
        <v>6048000</v>
      </c>
      <c r="I254" s="47">
        <f t="shared" si="11"/>
        <v>0</v>
      </c>
      <c r="J254" s="48">
        <v>44846</v>
      </c>
      <c r="K254" s="49">
        <v>45000</v>
      </c>
      <c r="L254" s="50">
        <v>4142718983</v>
      </c>
      <c r="M254" s="51" t="s">
        <v>293</v>
      </c>
      <c r="N254" s="52"/>
      <c r="O254" s="52"/>
      <c r="S254" s="53"/>
    </row>
    <row r="255" spans="1:23" s="2" customFormat="1" ht="16.5" customHeight="1" x14ac:dyDescent="0.35">
      <c r="A255" s="85" t="s">
        <v>29</v>
      </c>
      <c r="B255" s="86" t="s">
        <v>360</v>
      </c>
      <c r="C255" s="87"/>
      <c r="D255" s="88">
        <v>44825</v>
      </c>
      <c r="E255" s="43">
        <v>494000</v>
      </c>
      <c r="F255" s="44">
        <f t="shared" si="14"/>
        <v>39520</v>
      </c>
      <c r="G255" s="54">
        <f t="shared" si="13"/>
        <v>533520</v>
      </c>
      <c r="H255" s="46">
        <v>533520</v>
      </c>
      <c r="I255" s="47">
        <f t="shared" si="11"/>
        <v>0</v>
      </c>
      <c r="J255" s="48">
        <v>44846</v>
      </c>
      <c r="K255" s="49">
        <v>45000</v>
      </c>
      <c r="L255" s="50">
        <v>4900865919</v>
      </c>
      <c r="M255" s="51" t="s">
        <v>293</v>
      </c>
      <c r="N255" s="52"/>
      <c r="O255" s="52"/>
      <c r="S255" s="53"/>
    </row>
    <row r="256" spans="1:23" s="2" customFormat="1" ht="16.5" customHeight="1" x14ac:dyDescent="0.35">
      <c r="A256" s="85" t="s">
        <v>71</v>
      </c>
      <c r="B256" s="86" t="s">
        <v>361</v>
      </c>
      <c r="C256" s="87"/>
      <c r="D256" s="88">
        <v>44825</v>
      </c>
      <c r="E256" s="43">
        <v>520000</v>
      </c>
      <c r="F256" s="44">
        <f t="shared" si="14"/>
        <v>41600</v>
      </c>
      <c r="G256" s="54">
        <f t="shared" si="13"/>
        <v>561600</v>
      </c>
      <c r="H256" s="46">
        <v>561600</v>
      </c>
      <c r="I256" s="47">
        <f t="shared" si="11"/>
        <v>0</v>
      </c>
      <c r="J256" s="48">
        <v>44846</v>
      </c>
      <c r="K256" s="49">
        <v>45000</v>
      </c>
      <c r="L256" s="50">
        <v>4142688956</v>
      </c>
      <c r="M256" s="51" t="s">
        <v>293</v>
      </c>
      <c r="N256" s="52"/>
      <c r="O256" s="52"/>
      <c r="S256" s="53"/>
    </row>
    <row r="257" spans="1:19" s="2" customFormat="1" ht="16.5" customHeight="1" x14ac:dyDescent="0.35">
      <c r="A257" s="85" t="s">
        <v>71</v>
      </c>
      <c r="B257" s="86" t="s">
        <v>362</v>
      </c>
      <c r="C257" s="87"/>
      <c r="D257" s="88" t="s">
        <v>363</v>
      </c>
      <c r="E257" s="43">
        <v>960000</v>
      </c>
      <c r="F257" s="44">
        <f t="shared" si="14"/>
        <v>76800</v>
      </c>
      <c r="G257" s="45">
        <f t="shared" si="13"/>
        <v>1036800</v>
      </c>
      <c r="H257" s="46">
        <v>1036800</v>
      </c>
      <c r="I257" s="47">
        <f t="shared" si="11"/>
        <v>0</v>
      </c>
      <c r="J257" s="48">
        <v>44846</v>
      </c>
      <c r="K257" s="49">
        <v>45000</v>
      </c>
      <c r="L257" s="50">
        <v>4142764007</v>
      </c>
      <c r="M257" s="51" t="s">
        <v>293</v>
      </c>
      <c r="N257" s="52"/>
      <c r="O257" s="52"/>
      <c r="S257" s="53"/>
    </row>
    <row r="258" spans="1:19" s="2" customFormat="1" ht="16.5" customHeight="1" x14ac:dyDescent="0.35">
      <c r="A258" s="85" t="s">
        <v>71</v>
      </c>
      <c r="B258" s="86" t="s">
        <v>364</v>
      </c>
      <c r="C258" s="87"/>
      <c r="D258" s="88" t="s">
        <v>363</v>
      </c>
      <c r="E258" s="43">
        <v>640000</v>
      </c>
      <c r="F258" s="44">
        <f t="shared" si="14"/>
        <v>51200</v>
      </c>
      <c r="G258" s="45">
        <f t="shared" si="13"/>
        <v>691200</v>
      </c>
      <c r="H258" s="46">
        <v>691200</v>
      </c>
      <c r="I258" s="47">
        <f t="shared" si="11"/>
        <v>0</v>
      </c>
      <c r="J258" s="48">
        <v>44846</v>
      </c>
      <c r="K258" s="49">
        <v>45000</v>
      </c>
      <c r="L258" s="50">
        <v>4142761937</v>
      </c>
      <c r="M258" s="51" t="s">
        <v>293</v>
      </c>
      <c r="N258" s="52"/>
      <c r="O258" s="52"/>
      <c r="S258" s="53"/>
    </row>
    <row r="259" spans="1:19" s="2" customFormat="1" ht="16.5" customHeight="1" x14ac:dyDescent="0.35">
      <c r="A259" s="85" t="s">
        <v>303</v>
      </c>
      <c r="B259" s="86" t="s">
        <v>365</v>
      </c>
      <c r="C259" s="87"/>
      <c r="D259" s="88" t="s">
        <v>363</v>
      </c>
      <c r="E259" s="43">
        <v>1350000</v>
      </c>
      <c r="F259" s="44">
        <f t="shared" si="14"/>
        <v>108000</v>
      </c>
      <c r="G259" s="45">
        <f t="shared" si="13"/>
        <v>1458000</v>
      </c>
      <c r="H259" s="46">
        <v>1458000</v>
      </c>
      <c r="I259" s="47">
        <f t="shared" si="11"/>
        <v>0</v>
      </c>
      <c r="J259" s="48">
        <v>44846</v>
      </c>
      <c r="K259" s="49">
        <v>45000</v>
      </c>
      <c r="L259" s="50">
        <v>4142780649</v>
      </c>
      <c r="M259" s="51" t="s">
        <v>293</v>
      </c>
      <c r="N259" s="52"/>
      <c r="O259" s="52"/>
      <c r="S259" s="53"/>
    </row>
    <row r="260" spans="1:19" s="2" customFormat="1" ht="16.5" customHeight="1" x14ac:dyDescent="0.35">
      <c r="A260" s="85" t="s">
        <v>37</v>
      </c>
      <c r="B260" s="86" t="s">
        <v>366</v>
      </c>
      <c r="C260" s="87"/>
      <c r="D260" s="88" t="s">
        <v>367</v>
      </c>
      <c r="E260" s="43">
        <v>4680000</v>
      </c>
      <c r="F260" s="44">
        <f t="shared" si="14"/>
        <v>374400</v>
      </c>
      <c r="G260" s="45">
        <f t="shared" si="13"/>
        <v>5054400</v>
      </c>
      <c r="H260" s="46">
        <v>5054400</v>
      </c>
      <c r="I260" s="47">
        <f t="shared" si="11"/>
        <v>0</v>
      </c>
      <c r="J260" s="48">
        <v>44846</v>
      </c>
      <c r="K260" s="49">
        <v>45000</v>
      </c>
      <c r="L260" s="50">
        <v>4900867560</v>
      </c>
      <c r="M260" s="51" t="s">
        <v>344</v>
      </c>
      <c r="N260" s="52"/>
      <c r="O260" s="52"/>
      <c r="S260" s="53"/>
    </row>
    <row r="261" spans="1:19" s="2" customFormat="1" ht="16.5" customHeight="1" x14ac:dyDescent="0.35">
      <c r="A261" s="85" t="s">
        <v>37</v>
      </c>
      <c r="B261" s="86" t="s">
        <v>368</v>
      </c>
      <c r="C261" s="87"/>
      <c r="D261" s="88" t="s">
        <v>367</v>
      </c>
      <c r="E261" s="43">
        <v>960000</v>
      </c>
      <c r="F261" s="44">
        <f t="shared" si="14"/>
        <v>76800</v>
      </c>
      <c r="G261" s="45">
        <f t="shared" si="13"/>
        <v>1036800</v>
      </c>
      <c r="H261" s="46">
        <v>1036800</v>
      </c>
      <c r="I261" s="47">
        <f t="shared" si="11"/>
        <v>0</v>
      </c>
      <c r="J261" s="48">
        <v>44846</v>
      </c>
      <c r="K261" s="49">
        <v>45000</v>
      </c>
      <c r="L261" s="50">
        <v>4900867605</v>
      </c>
      <c r="M261" s="51" t="s">
        <v>293</v>
      </c>
      <c r="N261" s="52"/>
      <c r="O261" s="52"/>
      <c r="S261" s="53"/>
    </row>
    <row r="262" spans="1:19" s="2" customFormat="1" ht="16.5" customHeight="1" x14ac:dyDescent="0.35">
      <c r="A262" s="85" t="s">
        <v>37</v>
      </c>
      <c r="B262" s="86" t="s">
        <v>369</v>
      </c>
      <c r="C262" s="87"/>
      <c r="D262" s="88" t="s">
        <v>367</v>
      </c>
      <c r="E262" s="43">
        <v>4800000</v>
      </c>
      <c r="F262" s="44">
        <f t="shared" si="14"/>
        <v>384000</v>
      </c>
      <c r="G262" s="45">
        <f t="shared" si="13"/>
        <v>5184000</v>
      </c>
      <c r="H262" s="46">
        <v>5184000</v>
      </c>
      <c r="I262" s="47">
        <f t="shared" si="11"/>
        <v>0</v>
      </c>
      <c r="J262" s="48">
        <v>44846</v>
      </c>
      <c r="K262" s="49">
        <v>45000</v>
      </c>
      <c r="L262" s="50">
        <v>4900867584</v>
      </c>
      <c r="M262" s="51" t="s">
        <v>293</v>
      </c>
      <c r="N262" s="52"/>
      <c r="O262" s="52"/>
      <c r="S262" s="53"/>
    </row>
    <row r="263" spans="1:19" s="2" customFormat="1" ht="16.5" customHeight="1" x14ac:dyDescent="0.35">
      <c r="A263" s="85" t="s">
        <v>29</v>
      </c>
      <c r="B263" s="86" t="s">
        <v>370</v>
      </c>
      <c r="C263" s="87"/>
      <c r="D263" s="88" t="s">
        <v>367</v>
      </c>
      <c r="E263" s="43">
        <v>2332000</v>
      </c>
      <c r="F263" s="44">
        <f t="shared" si="14"/>
        <v>186560</v>
      </c>
      <c r="G263" s="45">
        <f t="shared" si="13"/>
        <v>2518560</v>
      </c>
      <c r="H263" s="46">
        <v>2518560</v>
      </c>
      <c r="I263" s="47">
        <f t="shared" si="11"/>
        <v>0</v>
      </c>
      <c r="J263" s="48">
        <v>44846</v>
      </c>
      <c r="K263" s="49">
        <v>45000</v>
      </c>
      <c r="L263" s="50">
        <v>4900867643</v>
      </c>
      <c r="M263" s="51" t="s">
        <v>293</v>
      </c>
      <c r="N263" s="52"/>
      <c r="O263" s="52"/>
      <c r="S263" s="53"/>
    </row>
    <row r="264" spans="1:19" s="2" customFormat="1" ht="16.5" customHeight="1" x14ac:dyDescent="0.35">
      <c r="A264" s="85" t="s">
        <v>37</v>
      </c>
      <c r="B264" s="86" t="s">
        <v>371</v>
      </c>
      <c r="C264" s="87"/>
      <c r="D264" s="88" t="s">
        <v>372</v>
      </c>
      <c r="E264" s="43">
        <v>4960000</v>
      </c>
      <c r="F264" s="44">
        <f t="shared" si="14"/>
        <v>396800</v>
      </c>
      <c r="G264" s="45">
        <f t="shared" si="13"/>
        <v>5356800</v>
      </c>
      <c r="H264" s="46">
        <v>5356800</v>
      </c>
      <c r="I264" s="47">
        <f t="shared" ref="I264:I327" si="15">G264-H264</f>
        <v>0</v>
      </c>
      <c r="J264" s="48">
        <v>44846</v>
      </c>
      <c r="K264" s="49">
        <v>45000</v>
      </c>
      <c r="L264" s="50">
        <v>4900867705</v>
      </c>
      <c r="M264" s="51" t="s">
        <v>293</v>
      </c>
      <c r="N264" s="52"/>
      <c r="O264" s="52"/>
      <c r="S264" s="53"/>
    </row>
    <row r="265" spans="1:19" s="2" customFormat="1" ht="16.5" customHeight="1" x14ac:dyDescent="0.35">
      <c r="A265" s="85" t="s">
        <v>37</v>
      </c>
      <c r="B265" s="86" t="s">
        <v>373</v>
      </c>
      <c r="C265" s="87"/>
      <c r="D265" s="88" t="s">
        <v>372</v>
      </c>
      <c r="E265" s="43">
        <v>476000</v>
      </c>
      <c r="F265" s="44">
        <f t="shared" si="14"/>
        <v>38080</v>
      </c>
      <c r="G265" s="45">
        <f t="shared" si="13"/>
        <v>514080</v>
      </c>
      <c r="H265" s="46">
        <v>514080</v>
      </c>
      <c r="I265" s="47">
        <f t="shared" si="15"/>
        <v>0</v>
      </c>
      <c r="J265" s="48">
        <v>44846</v>
      </c>
      <c r="K265" s="49">
        <v>45000</v>
      </c>
      <c r="L265" s="50">
        <v>4900867712</v>
      </c>
      <c r="M265" s="51" t="s">
        <v>293</v>
      </c>
      <c r="N265" s="52"/>
      <c r="O265" s="52"/>
      <c r="S265" s="53"/>
    </row>
    <row r="266" spans="1:19" s="2" customFormat="1" ht="16.5" customHeight="1" x14ac:dyDescent="0.35">
      <c r="A266" s="85" t="s">
        <v>113</v>
      </c>
      <c r="B266" s="86" t="s">
        <v>374</v>
      </c>
      <c r="C266" s="87"/>
      <c r="D266" s="88" t="s">
        <v>372</v>
      </c>
      <c r="E266" s="43">
        <v>696000</v>
      </c>
      <c r="F266" s="44">
        <f t="shared" si="14"/>
        <v>55680</v>
      </c>
      <c r="G266" s="45">
        <f t="shared" si="13"/>
        <v>751680</v>
      </c>
      <c r="H266" s="46">
        <v>751680</v>
      </c>
      <c r="I266" s="47">
        <f t="shared" si="15"/>
        <v>0</v>
      </c>
      <c r="J266" s="48">
        <v>44846</v>
      </c>
      <c r="K266" s="49">
        <v>45000</v>
      </c>
      <c r="L266" s="50">
        <v>4142820155</v>
      </c>
      <c r="M266" s="51" t="s">
        <v>293</v>
      </c>
      <c r="N266" s="52"/>
      <c r="O266" s="52"/>
      <c r="S266" s="53"/>
    </row>
    <row r="267" spans="1:19" s="2" customFormat="1" ht="16.5" customHeight="1" x14ac:dyDescent="0.35">
      <c r="A267" s="85" t="s">
        <v>71</v>
      </c>
      <c r="B267" s="86" t="s">
        <v>375</v>
      </c>
      <c r="C267" s="87"/>
      <c r="D267" s="88" t="s">
        <v>372</v>
      </c>
      <c r="E267" s="43">
        <v>1968000</v>
      </c>
      <c r="F267" s="44">
        <f t="shared" si="14"/>
        <v>157440</v>
      </c>
      <c r="G267" s="45">
        <f t="shared" si="13"/>
        <v>2125440</v>
      </c>
      <c r="H267" s="46">
        <v>2125440</v>
      </c>
      <c r="I267" s="47">
        <f t="shared" si="15"/>
        <v>0</v>
      </c>
      <c r="J267" s="48">
        <v>44846</v>
      </c>
      <c r="K267" s="49">
        <v>45000</v>
      </c>
      <c r="L267" s="50">
        <v>4142838014</v>
      </c>
      <c r="M267" s="51" t="s">
        <v>293</v>
      </c>
      <c r="N267" s="52"/>
      <c r="O267" s="52"/>
      <c r="S267" s="53"/>
    </row>
    <row r="268" spans="1:19" s="2" customFormat="1" ht="16.5" customHeight="1" x14ac:dyDescent="0.35">
      <c r="A268" s="85" t="s">
        <v>339</v>
      </c>
      <c r="B268" s="86" t="s">
        <v>297</v>
      </c>
      <c r="C268" s="87"/>
      <c r="D268" s="88" t="s">
        <v>372</v>
      </c>
      <c r="E268" s="43">
        <v>4140000</v>
      </c>
      <c r="F268" s="44">
        <f t="shared" si="14"/>
        <v>331200</v>
      </c>
      <c r="G268" s="45">
        <f t="shared" si="13"/>
        <v>4471200</v>
      </c>
      <c r="H268" s="46">
        <v>4471200</v>
      </c>
      <c r="I268" s="47">
        <f t="shared" si="15"/>
        <v>0</v>
      </c>
      <c r="J268" s="48">
        <v>44846</v>
      </c>
      <c r="K268" s="49">
        <v>45000</v>
      </c>
      <c r="L268" s="50">
        <v>4142872204</v>
      </c>
      <c r="M268" s="51" t="s">
        <v>293</v>
      </c>
      <c r="N268" s="52"/>
      <c r="O268" s="52"/>
      <c r="S268" s="53"/>
    </row>
    <row r="269" spans="1:19" s="2" customFormat="1" ht="16.5" customHeight="1" x14ac:dyDescent="0.35">
      <c r="A269" s="85" t="s">
        <v>339</v>
      </c>
      <c r="B269" s="86">
        <v>1397</v>
      </c>
      <c r="C269" s="87"/>
      <c r="D269" s="88" t="s">
        <v>376</v>
      </c>
      <c r="E269" s="43">
        <v>2080000</v>
      </c>
      <c r="F269" s="44">
        <f t="shared" si="14"/>
        <v>166400</v>
      </c>
      <c r="G269" s="45">
        <f t="shared" si="13"/>
        <v>2246400</v>
      </c>
      <c r="H269" s="46">
        <v>2246400</v>
      </c>
      <c r="I269" s="47">
        <f t="shared" si="15"/>
        <v>0</v>
      </c>
      <c r="J269" s="48">
        <v>44846</v>
      </c>
      <c r="K269" s="49">
        <v>45000</v>
      </c>
      <c r="L269" s="50">
        <v>4142875786</v>
      </c>
      <c r="M269" s="51" t="s">
        <v>293</v>
      </c>
      <c r="N269" s="52"/>
      <c r="O269" s="52"/>
      <c r="S269" s="53"/>
    </row>
    <row r="270" spans="1:19" s="2" customFormat="1" ht="16.5" customHeight="1" x14ac:dyDescent="0.35">
      <c r="A270" s="85" t="s">
        <v>33</v>
      </c>
      <c r="B270" s="86" t="s">
        <v>377</v>
      </c>
      <c r="C270" s="87"/>
      <c r="D270" s="88" t="s">
        <v>378</v>
      </c>
      <c r="E270" s="43">
        <v>640000</v>
      </c>
      <c r="F270" s="44">
        <f t="shared" si="14"/>
        <v>51200</v>
      </c>
      <c r="G270" s="45">
        <f t="shared" si="13"/>
        <v>691200</v>
      </c>
      <c r="H270" s="46">
        <v>691200</v>
      </c>
      <c r="I270" s="47">
        <f t="shared" si="15"/>
        <v>0</v>
      </c>
      <c r="J270" s="48">
        <v>44846</v>
      </c>
      <c r="K270" s="49">
        <v>45000</v>
      </c>
      <c r="L270" s="50">
        <v>4900868925</v>
      </c>
      <c r="M270" s="51" t="s">
        <v>293</v>
      </c>
      <c r="N270" s="52"/>
      <c r="O270" s="52"/>
      <c r="S270" s="53"/>
    </row>
    <row r="271" spans="1:19" s="2" customFormat="1" ht="16.5" customHeight="1" x14ac:dyDescent="0.35">
      <c r="A271" s="85" t="s">
        <v>29</v>
      </c>
      <c r="B271" s="86" t="s">
        <v>304</v>
      </c>
      <c r="C271" s="87"/>
      <c r="D271" s="88" t="s">
        <v>378</v>
      </c>
      <c r="E271" s="43">
        <v>2640000</v>
      </c>
      <c r="F271" s="44">
        <f t="shared" si="14"/>
        <v>211200</v>
      </c>
      <c r="G271" s="45">
        <f t="shared" si="13"/>
        <v>2851200</v>
      </c>
      <c r="H271" s="46">
        <v>2851200</v>
      </c>
      <c r="I271" s="47">
        <f t="shared" si="15"/>
        <v>0</v>
      </c>
      <c r="J271" s="48">
        <v>44846</v>
      </c>
      <c r="K271" s="49">
        <v>45000</v>
      </c>
      <c r="L271" s="50">
        <v>4900868987</v>
      </c>
      <c r="M271" s="51" t="s">
        <v>293</v>
      </c>
      <c r="N271" s="52"/>
      <c r="O271" s="52"/>
      <c r="S271" s="53"/>
    </row>
    <row r="272" spans="1:19" s="2" customFormat="1" ht="16.5" customHeight="1" x14ac:dyDescent="0.35">
      <c r="A272" s="85" t="s">
        <v>71</v>
      </c>
      <c r="B272" s="86" t="s">
        <v>379</v>
      </c>
      <c r="C272" s="87"/>
      <c r="D272" s="88" t="s">
        <v>378</v>
      </c>
      <c r="E272" s="43">
        <v>640000</v>
      </c>
      <c r="F272" s="44">
        <f t="shared" si="14"/>
        <v>51200</v>
      </c>
      <c r="G272" s="45">
        <f t="shared" si="13"/>
        <v>691200</v>
      </c>
      <c r="H272" s="46">
        <v>691200</v>
      </c>
      <c r="I272" s="47">
        <f t="shared" si="15"/>
        <v>0</v>
      </c>
      <c r="J272" s="48">
        <v>44846</v>
      </c>
      <c r="K272" s="49">
        <v>45000</v>
      </c>
      <c r="L272" s="50">
        <v>4142933444</v>
      </c>
      <c r="M272" s="51" t="s">
        <v>293</v>
      </c>
      <c r="N272" s="52"/>
      <c r="O272" s="52"/>
      <c r="S272" s="53"/>
    </row>
    <row r="273" spans="1:19" s="2" customFormat="1" ht="16.5" customHeight="1" x14ac:dyDescent="0.35">
      <c r="A273" s="85" t="s">
        <v>37</v>
      </c>
      <c r="B273" s="86" t="s">
        <v>380</v>
      </c>
      <c r="C273" s="87"/>
      <c r="D273" s="88" t="s">
        <v>378</v>
      </c>
      <c r="E273" s="43">
        <v>3940000</v>
      </c>
      <c r="F273" s="44">
        <f t="shared" si="14"/>
        <v>315200</v>
      </c>
      <c r="G273" s="45">
        <f t="shared" si="13"/>
        <v>4255200</v>
      </c>
      <c r="H273" s="46">
        <v>4255200</v>
      </c>
      <c r="I273" s="47">
        <f t="shared" si="15"/>
        <v>0</v>
      </c>
      <c r="J273" s="48">
        <v>44846</v>
      </c>
      <c r="K273" s="49">
        <v>45000</v>
      </c>
      <c r="L273" s="50">
        <v>4900869069</v>
      </c>
      <c r="M273" s="51" t="s">
        <v>293</v>
      </c>
      <c r="N273" s="52"/>
      <c r="O273" s="52"/>
      <c r="S273" s="53"/>
    </row>
    <row r="274" spans="1:19" s="2" customFormat="1" ht="16.5" customHeight="1" x14ac:dyDescent="0.35">
      <c r="A274" s="85" t="s">
        <v>37</v>
      </c>
      <c r="B274" s="86" t="s">
        <v>381</v>
      </c>
      <c r="C274" s="87"/>
      <c r="D274" s="88" t="s">
        <v>378</v>
      </c>
      <c r="E274" s="43">
        <v>792000</v>
      </c>
      <c r="F274" s="44">
        <f t="shared" si="14"/>
        <v>63360</v>
      </c>
      <c r="G274" s="45">
        <f t="shared" si="13"/>
        <v>855360</v>
      </c>
      <c r="H274" s="46">
        <v>855360</v>
      </c>
      <c r="I274" s="47">
        <f t="shared" si="15"/>
        <v>0</v>
      </c>
      <c r="J274" s="48">
        <v>44846</v>
      </c>
      <c r="K274" s="49">
        <v>45000</v>
      </c>
      <c r="L274" s="50">
        <v>4900869173</v>
      </c>
      <c r="M274" s="51" t="s">
        <v>293</v>
      </c>
      <c r="N274" s="52"/>
      <c r="O274" s="52"/>
      <c r="S274" s="53"/>
    </row>
    <row r="275" spans="1:19" s="2" customFormat="1" ht="16.5" customHeight="1" x14ac:dyDescent="0.35">
      <c r="A275" s="85" t="s">
        <v>171</v>
      </c>
      <c r="B275" s="86" t="s">
        <v>382</v>
      </c>
      <c r="C275" s="87"/>
      <c r="D275" s="88" t="s">
        <v>383</v>
      </c>
      <c r="E275" s="43">
        <v>7204000</v>
      </c>
      <c r="F275" s="44">
        <f t="shared" si="14"/>
        <v>576320</v>
      </c>
      <c r="G275" s="45">
        <f t="shared" si="13"/>
        <v>7780320</v>
      </c>
      <c r="H275" s="46">
        <v>7780320</v>
      </c>
      <c r="I275" s="47">
        <f t="shared" si="15"/>
        <v>0</v>
      </c>
      <c r="J275" s="48">
        <v>44846</v>
      </c>
      <c r="K275" s="49">
        <v>45000</v>
      </c>
      <c r="L275" s="50">
        <v>4142972057</v>
      </c>
      <c r="M275" s="51" t="s">
        <v>293</v>
      </c>
      <c r="N275" s="52"/>
      <c r="O275" s="52"/>
      <c r="S275" s="53"/>
    </row>
    <row r="276" spans="1:19" s="2" customFormat="1" ht="16.5" customHeight="1" x14ac:dyDescent="0.35">
      <c r="A276" s="85" t="s">
        <v>37</v>
      </c>
      <c r="B276" s="86" t="s">
        <v>384</v>
      </c>
      <c r="C276" s="87"/>
      <c r="D276" s="88" t="s">
        <v>385</v>
      </c>
      <c r="E276" s="43">
        <v>8040000</v>
      </c>
      <c r="F276" s="44">
        <f t="shared" si="14"/>
        <v>643200</v>
      </c>
      <c r="G276" s="45">
        <f t="shared" si="13"/>
        <v>8683200</v>
      </c>
      <c r="H276" s="46">
        <v>8683200</v>
      </c>
      <c r="I276" s="47">
        <f t="shared" si="15"/>
        <v>0</v>
      </c>
      <c r="J276" s="48">
        <v>44846</v>
      </c>
      <c r="K276" s="49">
        <v>45000</v>
      </c>
      <c r="L276" s="50">
        <v>4900870761</v>
      </c>
      <c r="M276" s="51" t="s">
        <v>293</v>
      </c>
      <c r="N276" s="52"/>
      <c r="O276" s="52"/>
      <c r="S276" s="53"/>
    </row>
    <row r="277" spans="1:19" s="2" customFormat="1" ht="16.5" customHeight="1" x14ac:dyDescent="0.35">
      <c r="A277" s="85" t="s">
        <v>37</v>
      </c>
      <c r="B277" s="86" t="s">
        <v>386</v>
      </c>
      <c r="C277" s="87">
        <v>1556</v>
      </c>
      <c r="D277" s="88">
        <v>44847</v>
      </c>
      <c r="E277" s="43">
        <v>3645000</v>
      </c>
      <c r="F277" s="44">
        <f t="shared" si="14"/>
        <v>291600</v>
      </c>
      <c r="G277" s="45">
        <f t="shared" si="13"/>
        <v>3936600</v>
      </c>
      <c r="H277" s="46">
        <v>3936600</v>
      </c>
      <c r="I277" s="47">
        <f t="shared" si="15"/>
        <v>0</v>
      </c>
      <c r="J277" s="48">
        <v>44846</v>
      </c>
      <c r="K277" s="49">
        <v>45000</v>
      </c>
      <c r="L277" s="50">
        <v>4900870798</v>
      </c>
      <c r="M277" s="51" t="s">
        <v>293</v>
      </c>
      <c r="N277" s="52"/>
      <c r="O277" s="52"/>
      <c r="S277" s="53"/>
    </row>
    <row r="278" spans="1:19" s="2" customFormat="1" ht="16.5" customHeight="1" x14ac:dyDescent="0.35">
      <c r="A278" s="85" t="s">
        <v>29</v>
      </c>
      <c r="B278" s="86" t="s">
        <v>387</v>
      </c>
      <c r="C278" s="87"/>
      <c r="D278" s="88" t="s">
        <v>385</v>
      </c>
      <c r="E278" s="43">
        <v>2544000</v>
      </c>
      <c r="F278" s="44">
        <f t="shared" si="14"/>
        <v>203520</v>
      </c>
      <c r="G278" s="45">
        <f t="shared" si="13"/>
        <v>2747520</v>
      </c>
      <c r="H278" s="46">
        <v>2747520</v>
      </c>
      <c r="I278" s="47">
        <f t="shared" si="15"/>
        <v>0</v>
      </c>
      <c r="J278" s="48">
        <v>44846</v>
      </c>
      <c r="K278" s="49">
        <v>45000</v>
      </c>
      <c r="L278" s="50">
        <v>4900870944</v>
      </c>
      <c r="M278" s="51" t="s">
        <v>293</v>
      </c>
      <c r="N278" s="52"/>
      <c r="O278" s="52"/>
      <c r="S278" s="53"/>
    </row>
    <row r="279" spans="1:19" s="2" customFormat="1" ht="16.5" customHeight="1" x14ac:dyDescent="0.35">
      <c r="A279" s="85" t="s">
        <v>339</v>
      </c>
      <c r="B279" s="86" t="s">
        <v>388</v>
      </c>
      <c r="C279" s="87"/>
      <c r="D279" s="88" t="s">
        <v>389</v>
      </c>
      <c r="E279" s="43">
        <v>3340000</v>
      </c>
      <c r="F279" s="44">
        <f t="shared" si="14"/>
        <v>267200</v>
      </c>
      <c r="G279" s="45">
        <f t="shared" ref="G279:G342" si="16">E279+F279</f>
        <v>3607200</v>
      </c>
      <c r="H279" s="46">
        <v>3607200</v>
      </c>
      <c r="I279" s="47">
        <f t="shared" si="15"/>
        <v>0</v>
      </c>
      <c r="J279" s="48">
        <v>44862</v>
      </c>
      <c r="K279" s="49">
        <v>45000</v>
      </c>
      <c r="L279" s="50">
        <v>4143038789</v>
      </c>
      <c r="M279" s="51" t="s">
        <v>293</v>
      </c>
      <c r="N279" s="52"/>
      <c r="O279" s="52"/>
      <c r="S279" s="53"/>
    </row>
    <row r="280" spans="1:19" s="2" customFormat="1" ht="16.5" customHeight="1" x14ac:dyDescent="0.35">
      <c r="A280" s="85" t="s">
        <v>71</v>
      </c>
      <c r="B280" s="86" t="s">
        <v>390</v>
      </c>
      <c r="C280" s="87"/>
      <c r="D280" s="88" t="s">
        <v>389</v>
      </c>
      <c r="E280" s="43">
        <v>520000</v>
      </c>
      <c r="F280" s="44">
        <f t="shared" si="14"/>
        <v>41600</v>
      </c>
      <c r="G280" s="45">
        <f t="shared" si="16"/>
        <v>561600</v>
      </c>
      <c r="H280" s="46">
        <v>561600</v>
      </c>
      <c r="I280" s="47">
        <f t="shared" si="15"/>
        <v>0</v>
      </c>
      <c r="J280" s="48">
        <v>44862</v>
      </c>
      <c r="K280" s="49">
        <v>45000</v>
      </c>
      <c r="L280" s="50">
        <v>4143130551</v>
      </c>
      <c r="M280" s="51" t="s">
        <v>293</v>
      </c>
      <c r="N280" s="52"/>
      <c r="O280" s="52"/>
      <c r="S280" s="53"/>
    </row>
    <row r="281" spans="1:19" s="82" customFormat="1" ht="16.5" customHeight="1" x14ac:dyDescent="0.35">
      <c r="A281" s="91" t="s">
        <v>339</v>
      </c>
      <c r="B281" s="92" t="s">
        <v>391</v>
      </c>
      <c r="C281" s="93">
        <v>1700</v>
      </c>
      <c r="D281" s="94">
        <v>44862</v>
      </c>
      <c r="E281" s="74">
        <v>832000</v>
      </c>
      <c r="F281" s="74">
        <f t="shared" si="14"/>
        <v>66560</v>
      </c>
      <c r="G281" s="45">
        <f t="shared" si="16"/>
        <v>898560</v>
      </c>
      <c r="H281" s="46">
        <v>898560</v>
      </c>
      <c r="I281" s="76">
        <f t="shared" si="15"/>
        <v>0</v>
      </c>
      <c r="J281" s="77">
        <v>44862</v>
      </c>
      <c r="K281" s="78">
        <v>45000</v>
      </c>
      <c r="L281" s="79">
        <v>4143145135</v>
      </c>
      <c r="M281" s="80" t="s">
        <v>293</v>
      </c>
      <c r="N281" s="81"/>
      <c r="O281" s="81"/>
      <c r="S281" s="83"/>
    </row>
    <row r="282" spans="1:19" s="2" customFormat="1" ht="16.5" customHeight="1" x14ac:dyDescent="0.35">
      <c r="A282" s="85" t="s">
        <v>71</v>
      </c>
      <c r="B282" s="86" t="s">
        <v>392</v>
      </c>
      <c r="C282" s="87"/>
      <c r="D282" s="88" t="s">
        <v>393</v>
      </c>
      <c r="E282" s="43">
        <v>1640000</v>
      </c>
      <c r="F282" s="44">
        <f t="shared" si="14"/>
        <v>131200</v>
      </c>
      <c r="G282" s="45">
        <f t="shared" si="16"/>
        <v>1771200</v>
      </c>
      <c r="H282" s="46">
        <v>1771200</v>
      </c>
      <c r="I282" s="47">
        <f t="shared" si="15"/>
        <v>0</v>
      </c>
      <c r="J282" s="48">
        <v>44862</v>
      </c>
      <c r="K282" s="49">
        <v>45000</v>
      </c>
      <c r="L282" s="50">
        <v>4143144097</v>
      </c>
      <c r="M282" s="51" t="s">
        <v>293</v>
      </c>
      <c r="N282" s="52"/>
      <c r="O282" s="52"/>
      <c r="S282" s="53"/>
    </row>
    <row r="283" spans="1:19" s="2" customFormat="1" ht="16.5" customHeight="1" x14ac:dyDescent="0.35">
      <c r="A283" s="85" t="s">
        <v>33</v>
      </c>
      <c r="B283" s="86" t="s">
        <v>312</v>
      </c>
      <c r="C283" s="87"/>
      <c r="D283" s="88" t="s">
        <v>394</v>
      </c>
      <c r="E283" s="43">
        <v>960000</v>
      </c>
      <c r="F283" s="44">
        <f t="shared" si="14"/>
        <v>76800</v>
      </c>
      <c r="G283" s="45">
        <f t="shared" si="16"/>
        <v>1036800</v>
      </c>
      <c r="H283" s="46">
        <v>1036800</v>
      </c>
      <c r="I283" s="47">
        <f t="shared" si="15"/>
        <v>0</v>
      </c>
      <c r="J283" s="48">
        <v>44862</v>
      </c>
      <c r="K283" s="49">
        <v>45000</v>
      </c>
      <c r="L283" s="50">
        <v>4900873359</v>
      </c>
      <c r="M283" s="51" t="s">
        <v>293</v>
      </c>
      <c r="N283" s="52"/>
      <c r="O283" s="52"/>
      <c r="S283" s="53"/>
    </row>
    <row r="284" spans="1:19" s="2" customFormat="1" ht="16.5" customHeight="1" x14ac:dyDescent="0.35">
      <c r="A284" s="85" t="s">
        <v>29</v>
      </c>
      <c r="B284" s="86" t="s">
        <v>395</v>
      </c>
      <c r="C284" s="87"/>
      <c r="D284" s="88" t="s">
        <v>394</v>
      </c>
      <c r="E284" s="43">
        <v>14205000</v>
      </c>
      <c r="F284" s="44">
        <f t="shared" si="14"/>
        <v>1136400</v>
      </c>
      <c r="G284" s="45">
        <f t="shared" si="16"/>
        <v>15341400</v>
      </c>
      <c r="H284" s="46">
        <v>15341400</v>
      </c>
      <c r="I284" s="47">
        <f t="shared" si="15"/>
        <v>0</v>
      </c>
      <c r="J284" s="48">
        <v>44862</v>
      </c>
      <c r="K284" s="49">
        <v>45000</v>
      </c>
      <c r="L284" s="50">
        <v>4900873304</v>
      </c>
      <c r="M284" s="51" t="s">
        <v>293</v>
      </c>
      <c r="N284" s="52"/>
      <c r="O284" s="52"/>
      <c r="S284" s="53"/>
    </row>
    <row r="285" spans="1:19" s="2" customFormat="1" ht="16.5" customHeight="1" x14ac:dyDescent="0.35">
      <c r="A285" s="85" t="s">
        <v>37</v>
      </c>
      <c r="B285" s="86" t="s">
        <v>396</v>
      </c>
      <c r="C285" s="87"/>
      <c r="D285" s="88" t="s">
        <v>394</v>
      </c>
      <c r="E285" s="43">
        <v>12405000</v>
      </c>
      <c r="F285" s="44">
        <f t="shared" si="14"/>
        <v>992400</v>
      </c>
      <c r="G285" s="45">
        <f t="shared" si="16"/>
        <v>13397400</v>
      </c>
      <c r="H285" s="46">
        <v>13397400</v>
      </c>
      <c r="I285" s="47">
        <f t="shared" si="15"/>
        <v>0</v>
      </c>
      <c r="J285" s="48">
        <v>44862</v>
      </c>
      <c r="K285" s="49">
        <v>45000</v>
      </c>
      <c r="L285" s="50">
        <v>4900873271</v>
      </c>
      <c r="M285" s="51" t="s">
        <v>293</v>
      </c>
      <c r="N285" s="52"/>
      <c r="O285" s="52"/>
      <c r="S285" s="53"/>
    </row>
    <row r="286" spans="1:19" s="2" customFormat="1" ht="16.5" customHeight="1" x14ac:dyDescent="0.35">
      <c r="A286" s="85" t="s">
        <v>37</v>
      </c>
      <c r="B286" s="86" t="s">
        <v>397</v>
      </c>
      <c r="C286" s="87"/>
      <c r="D286" s="88" t="s">
        <v>394</v>
      </c>
      <c r="E286" s="43">
        <v>480000</v>
      </c>
      <c r="F286" s="44">
        <f t="shared" si="14"/>
        <v>38400</v>
      </c>
      <c r="G286" s="45">
        <f t="shared" si="16"/>
        <v>518400</v>
      </c>
      <c r="H286" s="46">
        <v>518400</v>
      </c>
      <c r="I286" s="47">
        <f t="shared" si="15"/>
        <v>0</v>
      </c>
      <c r="J286" s="48">
        <v>44862</v>
      </c>
      <c r="K286" s="49">
        <v>45000</v>
      </c>
      <c r="L286" s="50">
        <v>4900873319</v>
      </c>
      <c r="M286" s="51" t="s">
        <v>293</v>
      </c>
      <c r="N286" s="52"/>
      <c r="O286" s="52"/>
      <c r="S286" s="53"/>
    </row>
    <row r="287" spans="1:19" s="2" customFormat="1" ht="16.5" customHeight="1" x14ac:dyDescent="0.35">
      <c r="A287" s="85" t="s">
        <v>339</v>
      </c>
      <c r="B287" s="86" t="s">
        <v>398</v>
      </c>
      <c r="C287" s="87"/>
      <c r="D287" s="88" t="s">
        <v>47</v>
      </c>
      <c r="E287" s="43">
        <v>1600000</v>
      </c>
      <c r="F287" s="44">
        <f t="shared" si="14"/>
        <v>128000</v>
      </c>
      <c r="G287" s="45">
        <f t="shared" si="16"/>
        <v>1728000</v>
      </c>
      <c r="H287" s="46">
        <v>1728000</v>
      </c>
      <c r="I287" s="47">
        <f t="shared" si="15"/>
        <v>0</v>
      </c>
      <c r="J287" s="48">
        <v>44862</v>
      </c>
      <c r="K287" s="49">
        <v>45000</v>
      </c>
      <c r="L287" s="50">
        <v>4143264431</v>
      </c>
      <c r="M287" s="51" t="s">
        <v>293</v>
      </c>
      <c r="N287" s="52"/>
      <c r="O287" s="52"/>
      <c r="S287" s="53"/>
    </row>
    <row r="288" spans="1:19" s="2" customFormat="1" ht="16.5" customHeight="1" x14ac:dyDescent="0.35">
      <c r="A288" s="85" t="s">
        <v>171</v>
      </c>
      <c r="B288" s="86" t="s">
        <v>399</v>
      </c>
      <c r="C288" s="87">
        <v>1190</v>
      </c>
      <c r="D288" s="88">
        <v>45050</v>
      </c>
      <c r="E288" s="43">
        <v>14564000</v>
      </c>
      <c r="F288" s="44">
        <f>+E288*0.1</f>
        <v>1456400</v>
      </c>
      <c r="G288" s="45">
        <f t="shared" si="16"/>
        <v>16020400</v>
      </c>
      <c r="H288" s="46">
        <v>16020400</v>
      </c>
      <c r="I288" s="47">
        <f t="shared" si="15"/>
        <v>0</v>
      </c>
      <c r="J288" s="48">
        <v>45050</v>
      </c>
      <c r="K288" s="49">
        <v>45132</v>
      </c>
      <c r="L288" s="65">
        <v>4148431349</v>
      </c>
      <c r="M288" s="51"/>
      <c r="N288" s="52"/>
      <c r="O288" s="52"/>
      <c r="S288" s="53"/>
    </row>
    <row r="289" spans="1:19" s="2" customFormat="1" ht="16.5" customHeight="1" x14ac:dyDescent="0.35">
      <c r="A289" s="85" t="s">
        <v>171</v>
      </c>
      <c r="B289" s="86" t="s">
        <v>400</v>
      </c>
      <c r="C289" s="87"/>
      <c r="D289" s="88" t="s">
        <v>401</v>
      </c>
      <c r="E289" s="43">
        <v>6004000</v>
      </c>
      <c r="F289" s="44">
        <f t="shared" ref="F289:F319" si="17">+E289*0.08</f>
        <v>480320</v>
      </c>
      <c r="G289" s="45">
        <f t="shared" si="16"/>
        <v>6484320</v>
      </c>
      <c r="H289" s="46">
        <v>6484320</v>
      </c>
      <c r="I289" s="47">
        <f t="shared" si="15"/>
        <v>0</v>
      </c>
      <c r="J289" s="48">
        <v>44862</v>
      </c>
      <c r="K289" s="49">
        <v>45000</v>
      </c>
      <c r="L289" s="50">
        <v>4143328815</v>
      </c>
      <c r="M289" s="51" t="s">
        <v>293</v>
      </c>
      <c r="N289" s="52"/>
      <c r="O289" s="52"/>
      <c r="S289" s="53"/>
    </row>
    <row r="290" spans="1:19" s="2" customFormat="1" ht="16.5" customHeight="1" x14ac:dyDescent="0.35">
      <c r="A290" s="85" t="s">
        <v>71</v>
      </c>
      <c r="B290" s="86" t="s">
        <v>402</v>
      </c>
      <c r="C290" s="87"/>
      <c r="D290" s="88" t="s">
        <v>401</v>
      </c>
      <c r="E290" s="43">
        <v>520000</v>
      </c>
      <c r="F290" s="44">
        <f t="shared" si="17"/>
        <v>41600</v>
      </c>
      <c r="G290" s="45">
        <f t="shared" si="16"/>
        <v>561600</v>
      </c>
      <c r="H290" s="46">
        <v>561600</v>
      </c>
      <c r="I290" s="47">
        <f t="shared" si="15"/>
        <v>0</v>
      </c>
      <c r="J290" s="48">
        <v>44862</v>
      </c>
      <c r="K290" s="49">
        <v>45000</v>
      </c>
      <c r="L290" s="50">
        <v>4143308659</v>
      </c>
      <c r="M290" s="51" t="s">
        <v>293</v>
      </c>
      <c r="N290" s="52"/>
      <c r="O290" s="52"/>
      <c r="S290" s="53"/>
    </row>
    <row r="291" spans="1:19" s="2" customFormat="1" ht="16.5" customHeight="1" x14ac:dyDescent="0.35">
      <c r="A291" s="85" t="s">
        <v>71</v>
      </c>
      <c r="B291" s="86" t="s">
        <v>403</v>
      </c>
      <c r="C291" s="87"/>
      <c r="D291" s="88" t="s">
        <v>401</v>
      </c>
      <c r="E291" s="43">
        <v>1584000</v>
      </c>
      <c r="F291" s="44">
        <f t="shared" si="17"/>
        <v>126720</v>
      </c>
      <c r="G291" s="45">
        <f t="shared" si="16"/>
        <v>1710720</v>
      </c>
      <c r="H291" s="46">
        <v>1710720</v>
      </c>
      <c r="I291" s="47">
        <f t="shared" si="15"/>
        <v>0</v>
      </c>
      <c r="J291" s="48">
        <v>44862</v>
      </c>
      <c r="K291" s="49">
        <v>45000</v>
      </c>
      <c r="L291" s="50">
        <v>4143308035</v>
      </c>
      <c r="M291" s="51" t="s">
        <v>293</v>
      </c>
      <c r="N291" s="52"/>
      <c r="O291" s="52"/>
      <c r="S291" s="53"/>
    </row>
    <row r="292" spans="1:19" s="2" customFormat="1" ht="16.5" customHeight="1" x14ac:dyDescent="0.35">
      <c r="A292" s="85" t="s">
        <v>71</v>
      </c>
      <c r="B292" s="86" t="s">
        <v>404</v>
      </c>
      <c r="C292" s="87"/>
      <c r="D292" s="88" t="s">
        <v>401</v>
      </c>
      <c r="E292" s="43">
        <v>960000</v>
      </c>
      <c r="F292" s="44">
        <f t="shared" si="17"/>
        <v>76800</v>
      </c>
      <c r="G292" s="45">
        <f t="shared" si="16"/>
        <v>1036800</v>
      </c>
      <c r="H292" s="46">
        <v>1036800</v>
      </c>
      <c r="I292" s="47">
        <f t="shared" si="15"/>
        <v>0</v>
      </c>
      <c r="J292" s="48">
        <v>44862</v>
      </c>
      <c r="K292" s="49">
        <v>45000</v>
      </c>
      <c r="L292" s="50">
        <v>4143332364</v>
      </c>
      <c r="M292" s="51" t="s">
        <v>293</v>
      </c>
      <c r="N292" s="52"/>
      <c r="O292" s="52"/>
      <c r="S292" s="53"/>
    </row>
    <row r="293" spans="1:19" s="2" customFormat="1" ht="16.5" customHeight="1" x14ac:dyDescent="0.35">
      <c r="A293" s="85" t="s">
        <v>71</v>
      </c>
      <c r="B293" s="86" t="s">
        <v>405</v>
      </c>
      <c r="C293" s="87"/>
      <c r="D293" s="88" t="s">
        <v>401</v>
      </c>
      <c r="E293" s="43">
        <v>660000</v>
      </c>
      <c r="F293" s="44">
        <f t="shared" si="17"/>
        <v>52800</v>
      </c>
      <c r="G293" s="45">
        <f t="shared" si="16"/>
        <v>712800</v>
      </c>
      <c r="H293" s="46">
        <v>712800</v>
      </c>
      <c r="I293" s="47">
        <f t="shared" si="15"/>
        <v>0</v>
      </c>
      <c r="J293" s="48">
        <v>44862</v>
      </c>
      <c r="K293" s="49">
        <v>45000</v>
      </c>
      <c r="L293" s="50">
        <v>4143334446</v>
      </c>
      <c r="M293" s="51" t="s">
        <v>293</v>
      </c>
      <c r="N293" s="52"/>
      <c r="O293" s="52"/>
      <c r="S293" s="53"/>
    </row>
    <row r="294" spans="1:19" s="2" customFormat="1" ht="16.5" customHeight="1" x14ac:dyDescent="0.35">
      <c r="A294" s="85" t="s">
        <v>37</v>
      </c>
      <c r="B294" s="86" t="s">
        <v>406</v>
      </c>
      <c r="C294" s="87"/>
      <c r="D294" s="88" t="s">
        <v>407</v>
      </c>
      <c r="E294" s="43">
        <v>4255000</v>
      </c>
      <c r="F294" s="44">
        <f t="shared" si="17"/>
        <v>340400</v>
      </c>
      <c r="G294" s="45">
        <f t="shared" si="16"/>
        <v>4595400</v>
      </c>
      <c r="H294" s="46">
        <v>4595400</v>
      </c>
      <c r="I294" s="47">
        <f t="shared" si="15"/>
        <v>0</v>
      </c>
      <c r="J294" s="48">
        <v>44862</v>
      </c>
      <c r="K294" s="49">
        <v>45000</v>
      </c>
      <c r="L294" s="50">
        <v>4900874801</v>
      </c>
      <c r="M294" s="51" t="s">
        <v>293</v>
      </c>
      <c r="N294" s="52"/>
      <c r="O294" s="52"/>
      <c r="S294" s="53"/>
    </row>
    <row r="295" spans="1:19" s="2" customFormat="1" ht="16.5" customHeight="1" x14ac:dyDescent="0.35">
      <c r="A295" s="85" t="s">
        <v>37</v>
      </c>
      <c r="B295" s="86" t="s">
        <v>408</v>
      </c>
      <c r="C295" s="87"/>
      <c r="D295" s="88" t="s">
        <v>407</v>
      </c>
      <c r="E295" s="43">
        <v>2960000</v>
      </c>
      <c r="F295" s="44">
        <f t="shared" si="17"/>
        <v>236800</v>
      </c>
      <c r="G295" s="45">
        <f t="shared" si="16"/>
        <v>3196800</v>
      </c>
      <c r="H295" s="46">
        <v>3196800</v>
      </c>
      <c r="I295" s="47">
        <f t="shared" si="15"/>
        <v>0</v>
      </c>
      <c r="J295" s="48">
        <v>44862</v>
      </c>
      <c r="K295" s="49">
        <v>45000</v>
      </c>
      <c r="L295" s="50">
        <v>4900875063</v>
      </c>
      <c r="M295" s="51" t="s">
        <v>293</v>
      </c>
      <c r="N295" s="52"/>
      <c r="O295" s="52"/>
      <c r="S295" s="53"/>
    </row>
    <row r="296" spans="1:19" s="2" customFormat="1" ht="16.5" customHeight="1" x14ac:dyDescent="0.35">
      <c r="A296" s="85" t="s">
        <v>29</v>
      </c>
      <c r="B296" s="86" t="s">
        <v>409</v>
      </c>
      <c r="C296" s="87"/>
      <c r="D296" s="88" t="s">
        <v>407</v>
      </c>
      <c r="E296" s="43">
        <v>8661000</v>
      </c>
      <c r="F296" s="44">
        <f t="shared" si="17"/>
        <v>692880</v>
      </c>
      <c r="G296" s="45">
        <f t="shared" si="16"/>
        <v>9353880</v>
      </c>
      <c r="H296" s="46">
        <v>9353880</v>
      </c>
      <c r="I296" s="47">
        <f t="shared" si="15"/>
        <v>0</v>
      </c>
      <c r="J296" s="48">
        <v>44862</v>
      </c>
      <c r="K296" s="49">
        <v>45000</v>
      </c>
      <c r="L296" s="50">
        <v>4900874990</v>
      </c>
      <c r="M296" s="51" t="s">
        <v>293</v>
      </c>
      <c r="N296" s="52"/>
      <c r="O296" s="52"/>
      <c r="S296" s="53"/>
    </row>
    <row r="297" spans="1:19" s="2" customFormat="1" ht="16.5" customHeight="1" x14ac:dyDescent="0.35">
      <c r="A297" s="85" t="s">
        <v>33</v>
      </c>
      <c r="B297" s="86" t="s">
        <v>410</v>
      </c>
      <c r="C297" s="87"/>
      <c r="D297" s="88" t="s">
        <v>407</v>
      </c>
      <c r="E297" s="43">
        <v>1920000</v>
      </c>
      <c r="F297" s="43">
        <f t="shared" si="17"/>
        <v>153600</v>
      </c>
      <c r="G297" s="95">
        <f t="shared" si="16"/>
        <v>2073600</v>
      </c>
      <c r="H297" s="96">
        <v>2073600</v>
      </c>
      <c r="I297" s="47">
        <f t="shared" si="15"/>
        <v>0</v>
      </c>
      <c r="J297" s="48">
        <v>44862</v>
      </c>
      <c r="K297" s="97">
        <v>45000</v>
      </c>
      <c r="L297" s="50">
        <v>4900875058</v>
      </c>
      <c r="M297" s="51" t="s">
        <v>293</v>
      </c>
      <c r="N297" s="52"/>
      <c r="O297" s="52"/>
      <c r="S297" s="53"/>
    </row>
    <row r="298" spans="1:19" s="82" customFormat="1" ht="16.5" customHeight="1" x14ac:dyDescent="0.35">
      <c r="A298" s="91" t="s">
        <v>71</v>
      </c>
      <c r="B298" s="92" t="s">
        <v>411</v>
      </c>
      <c r="C298" s="93">
        <v>1698</v>
      </c>
      <c r="D298" s="94">
        <v>44862</v>
      </c>
      <c r="E298" s="74">
        <v>576000</v>
      </c>
      <c r="F298" s="74">
        <f t="shared" si="17"/>
        <v>46080</v>
      </c>
      <c r="G298" s="45">
        <f t="shared" si="16"/>
        <v>622080</v>
      </c>
      <c r="H298" s="46">
        <v>622080</v>
      </c>
      <c r="I298" s="76">
        <f t="shared" si="15"/>
        <v>0</v>
      </c>
      <c r="J298" s="77">
        <v>44862</v>
      </c>
      <c r="K298" s="98">
        <v>45000</v>
      </c>
      <c r="L298" s="79">
        <v>4143516976</v>
      </c>
      <c r="M298" s="80" t="s">
        <v>293</v>
      </c>
      <c r="N298" s="81"/>
      <c r="O298" s="81"/>
      <c r="S298" s="83"/>
    </row>
    <row r="299" spans="1:19" s="2" customFormat="1" ht="16.5" customHeight="1" x14ac:dyDescent="0.35">
      <c r="A299" s="85" t="s">
        <v>71</v>
      </c>
      <c r="B299" s="86" t="s">
        <v>412</v>
      </c>
      <c r="C299" s="87"/>
      <c r="D299" s="88" t="s">
        <v>413</v>
      </c>
      <c r="E299" s="43">
        <v>1920000</v>
      </c>
      <c r="F299" s="44">
        <f t="shared" si="17"/>
        <v>153600</v>
      </c>
      <c r="G299" s="45">
        <f t="shared" si="16"/>
        <v>2073600</v>
      </c>
      <c r="H299" s="46">
        <v>2073600</v>
      </c>
      <c r="I299" s="47">
        <f t="shared" si="15"/>
        <v>0</v>
      </c>
      <c r="J299" s="48">
        <v>44862</v>
      </c>
      <c r="K299" s="97">
        <v>45000</v>
      </c>
      <c r="L299" s="50">
        <v>4143555139</v>
      </c>
      <c r="M299" s="51" t="s">
        <v>293</v>
      </c>
      <c r="N299" s="52"/>
      <c r="O299" s="52"/>
      <c r="S299" s="53"/>
    </row>
    <row r="300" spans="1:19" s="2" customFormat="1" ht="16.5" customHeight="1" x14ac:dyDescent="0.35">
      <c r="A300" s="85" t="s">
        <v>29</v>
      </c>
      <c r="B300" s="86" t="s">
        <v>414</v>
      </c>
      <c r="C300" s="87"/>
      <c r="D300" s="88" t="s">
        <v>413</v>
      </c>
      <c r="E300" s="43">
        <v>1040000</v>
      </c>
      <c r="F300" s="44">
        <f t="shared" si="17"/>
        <v>83200</v>
      </c>
      <c r="G300" s="45">
        <f t="shared" si="16"/>
        <v>1123200</v>
      </c>
      <c r="H300" s="46">
        <v>1123200</v>
      </c>
      <c r="I300" s="47">
        <f t="shared" si="15"/>
        <v>0</v>
      </c>
      <c r="J300" s="48">
        <v>44862</v>
      </c>
      <c r="K300" s="49">
        <v>45000</v>
      </c>
      <c r="L300" s="50">
        <v>4143554444</v>
      </c>
      <c r="M300" s="51" t="s">
        <v>293</v>
      </c>
      <c r="N300" s="52"/>
      <c r="O300" s="52"/>
      <c r="S300" s="53"/>
    </row>
    <row r="301" spans="1:19" s="2" customFormat="1" ht="16.5" customHeight="1" x14ac:dyDescent="0.35">
      <c r="A301" s="85" t="s">
        <v>171</v>
      </c>
      <c r="B301" s="86" t="s">
        <v>415</v>
      </c>
      <c r="C301" s="87"/>
      <c r="D301" s="88" t="s">
        <v>413</v>
      </c>
      <c r="E301" s="43">
        <v>6644000</v>
      </c>
      <c r="F301" s="44">
        <f t="shared" si="17"/>
        <v>531520</v>
      </c>
      <c r="G301" s="45">
        <f t="shared" si="16"/>
        <v>7175520</v>
      </c>
      <c r="H301" s="46">
        <v>7175520</v>
      </c>
      <c r="I301" s="47">
        <f t="shared" si="15"/>
        <v>0</v>
      </c>
      <c r="J301" s="48">
        <v>44862</v>
      </c>
      <c r="K301" s="49">
        <v>45000</v>
      </c>
      <c r="L301" s="50">
        <v>4143571835</v>
      </c>
      <c r="M301" s="51" t="s">
        <v>293</v>
      </c>
      <c r="N301" s="52"/>
      <c r="O301" s="52"/>
      <c r="S301" s="53"/>
    </row>
    <row r="302" spans="1:19" s="82" customFormat="1" ht="16.5" customHeight="1" x14ac:dyDescent="0.35">
      <c r="A302" s="91" t="s">
        <v>81</v>
      </c>
      <c r="B302" s="92" t="s">
        <v>416</v>
      </c>
      <c r="C302" s="93">
        <v>1699</v>
      </c>
      <c r="D302" s="94">
        <v>44862</v>
      </c>
      <c r="E302" s="74">
        <v>1948000</v>
      </c>
      <c r="F302" s="74">
        <f t="shared" si="17"/>
        <v>155840</v>
      </c>
      <c r="G302" s="45">
        <f t="shared" si="16"/>
        <v>2103840</v>
      </c>
      <c r="H302" s="46">
        <v>2103840</v>
      </c>
      <c r="I302" s="76">
        <f t="shared" si="15"/>
        <v>0</v>
      </c>
      <c r="J302" s="77">
        <v>44862</v>
      </c>
      <c r="K302" s="78">
        <v>45000</v>
      </c>
      <c r="L302" s="79">
        <v>4143595487</v>
      </c>
      <c r="M302" s="80" t="s">
        <v>293</v>
      </c>
      <c r="N302" s="81"/>
      <c r="O302" s="81"/>
      <c r="S302" s="83"/>
    </row>
    <row r="303" spans="1:19" s="2" customFormat="1" ht="16.5" customHeight="1" x14ac:dyDescent="0.35">
      <c r="A303" s="85" t="s">
        <v>37</v>
      </c>
      <c r="B303" s="86" t="s">
        <v>417</v>
      </c>
      <c r="C303" s="87"/>
      <c r="D303" s="88" t="s">
        <v>418</v>
      </c>
      <c r="E303" s="43">
        <v>5840000</v>
      </c>
      <c r="F303" s="44">
        <f t="shared" si="17"/>
        <v>467200</v>
      </c>
      <c r="G303" s="45">
        <f t="shared" si="16"/>
        <v>6307200</v>
      </c>
      <c r="H303" s="46">
        <v>6307200</v>
      </c>
      <c r="I303" s="47">
        <f t="shared" si="15"/>
        <v>0</v>
      </c>
      <c r="J303" s="48">
        <v>44862</v>
      </c>
      <c r="K303" s="49">
        <v>45000</v>
      </c>
      <c r="L303" s="50">
        <v>4900878238</v>
      </c>
      <c r="M303" s="51" t="s">
        <v>293</v>
      </c>
      <c r="N303" s="52"/>
      <c r="O303" s="52"/>
      <c r="S303" s="53"/>
    </row>
    <row r="304" spans="1:19" s="2" customFormat="1" ht="16.5" customHeight="1" x14ac:dyDescent="0.35">
      <c r="A304" s="85" t="s">
        <v>37</v>
      </c>
      <c r="B304" s="86" t="s">
        <v>419</v>
      </c>
      <c r="C304" s="87"/>
      <c r="D304" s="88" t="s">
        <v>418</v>
      </c>
      <c r="E304" s="43">
        <v>2232000</v>
      </c>
      <c r="F304" s="44">
        <f t="shared" si="17"/>
        <v>178560</v>
      </c>
      <c r="G304" s="45">
        <f t="shared" si="16"/>
        <v>2410560</v>
      </c>
      <c r="H304" s="46">
        <v>2410560</v>
      </c>
      <c r="I304" s="47">
        <f t="shared" si="15"/>
        <v>0</v>
      </c>
      <c r="J304" s="48">
        <v>44862</v>
      </c>
      <c r="K304" s="49">
        <v>45000</v>
      </c>
      <c r="L304" s="50">
        <v>4900878262</v>
      </c>
      <c r="M304" s="51" t="s">
        <v>293</v>
      </c>
      <c r="N304" s="52"/>
      <c r="O304" s="52"/>
      <c r="S304" s="53"/>
    </row>
    <row r="305" spans="1:19" s="2" customFormat="1" ht="16.5" customHeight="1" x14ac:dyDescent="0.35">
      <c r="A305" s="85" t="s">
        <v>29</v>
      </c>
      <c r="B305" s="86" t="s">
        <v>420</v>
      </c>
      <c r="C305" s="87">
        <v>1888</v>
      </c>
      <c r="D305" s="88">
        <v>44881</v>
      </c>
      <c r="E305" s="43">
        <v>3061000</v>
      </c>
      <c r="F305" s="44">
        <f t="shared" si="17"/>
        <v>244880</v>
      </c>
      <c r="G305" s="45">
        <f t="shared" si="16"/>
        <v>3305880</v>
      </c>
      <c r="H305" s="46">
        <v>3305880</v>
      </c>
      <c r="I305" s="47">
        <f t="shared" si="15"/>
        <v>0</v>
      </c>
      <c r="J305" s="48">
        <v>44881</v>
      </c>
      <c r="K305" s="49">
        <v>45000</v>
      </c>
      <c r="L305" s="50">
        <v>4900878472</v>
      </c>
      <c r="M305" s="51" t="s">
        <v>293</v>
      </c>
      <c r="N305" s="52"/>
      <c r="O305" s="52"/>
      <c r="S305" s="53"/>
    </row>
    <row r="306" spans="1:19" s="2" customFormat="1" ht="16.5" customHeight="1" x14ac:dyDescent="0.35">
      <c r="A306" s="85" t="s">
        <v>77</v>
      </c>
      <c r="B306" s="86" t="s">
        <v>421</v>
      </c>
      <c r="C306" s="87"/>
      <c r="D306" s="88" t="s">
        <v>418</v>
      </c>
      <c r="E306" s="43">
        <v>5120000</v>
      </c>
      <c r="F306" s="44">
        <f t="shared" si="17"/>
        <v>409600</v>
      </c>
      <c r="G306" s="45">
        <f t="shared" si="16"/>
        <v>5529600</v>
      </c>
      <c r="H306" s="46">
        <v>5529600</v>
      </c>
      <c r="I306" s="47">
        <f t="shared" si="15"/>
        <v>0</v>
      </c>
      <c r="J306" s="48">
        <v>44862</v>
      </c>
      <c r="K306" s="49">
        <v>45000</v>
      </c>
      <c r="L306" s="50">
        <v>4143638709</v>
      </c>
      <c r="M306" s="51" t="s">
        <v>293</v>
      </c>
      <c r="N306" s="52"/>
      <c r="O306" s="52"/>
      <c r="S306" s="53"/>
    </row>
    <row r="307" spans="1:19" s="2" customFormat="1" ht="16.5" customHeight="1" x14ac:dyDescent="0.35">
      <c r="A307" s="85" t="s">
        <v>33</v>
      </c>
      <c r="B307" s="86" t="s">
        <v>422</v>
      </c>
      <c r="C307" s="87"/>
      <c r="D307" s="88" t="s">
        <v>418</v>
      </c>
      <c r="E307" s="43">
        <v>1680000</v>
      </c>
      <c r="F307" s="44">
        <f t="shared" si="17"/>
        <v>134400</v>
      </c>
      <c r="G307" s="45">
        <f t="shared" si="16"/>
        <v>1814400</v>
      </c>
      <c r="H307" s="46">
        <v>1814400</v>
      </c>
      <c r="I307" s="47">
        <f t="shared" si="15"/>
        <v>0</v>
      </c>
      <c r="J307" s="48">
        <v>44862</v>
      </c>
      <c r="K307" s="49">
        <v>45000</v>
      </c>
      <c r="L307" s="50">
        <v>4900878526</v>
      </c>
      <c r="M307" s="51" t="s">
        <v>293</v>
      </c>
      <c r="N307" s="52"/>
      <c r="O307" s="52"/>
      <c r="S307" s="53"/>
    </row>
    <row r="308" spans="1:19" s="2" customFormat="1" ht="16.5" customHeight="1" x14ac:dyDescent="0.35">
      <c r="A308" s="85" t="s">
        <v>77</v>
      </c>
      <c r="B308" s="86" t="s">
        <v>423</v>
      </c>
      <c r="C308" s="87"/>
      <c r="D308" s="88" t="s">
        <v>424</v>
      </c>
      <c r="E308" s="43">
        <v>4085000</v>
      </c>
      <c r="F308" s="44">
        <f t="shared" si="17"/>
        <v>326800</v>
      </c>
      <c r="G308" s="45">
        <f t="shared" si="16"/>
        <v>4411800</v>
      </c>
      <c r="H308" s="46">
        <v>4411800</v>
      </c>
      <c r="I308" s="47">
        <f t="shared" si="15"/>
        <v>0</v>
      </c>
      <c r="J308" s="48">
        <v>44881</v>
      </c>
      <c r="K308" s="49">
        <v>45000</v>
      </c>
      <c r="L308" s="50">
        <v>4143684186</v>
      </c>
      <c r="M308" s="51" t="s">
        <v>293</v>
      </c>
      <c r="N308" s="52"/>
      <c r="O308" s="52"/>
      <c r="S308" s="53"/>
    </row>
    <row r="309" spans="1:19" s="2" customFormat="1" ht="16.5" customHeight="1" x14ac:dyDescent="0.35">
      <c r="A309" s="85" t="s">
        <v>37</v>
      </c>
      <c r="B309" s="86" t="s">
        <v>425</v>
      </c>
      <c r="C309" s="87"/>
      <c r="D309" s="88" t="s">
        <v>424</v>
      </c>
      <c r="E309" s="43">
        <v>5616000</v>
      </c>
      <c r="F309" s="44">
        <f t="shared" si="17"/>
        <v>449280</v>
      </c>
      <c r="G309" s="45">
        <f t="shared" si="16"/>
        <v>6065280</v>
      </c>
      <c r="H309" s="46">
        <v>6065280</v>
      </c>
      <c r="I309" s="47">
        <f t="shared" si="15"/>
        <v>0</v>
      </c>
      <c r="J309" s="48">
        <v>44862</v>
      </c>
      <c r="K309" s="49">
        <v>45000</v>
      </c>
      <c r="L309" s="50">
        <v>4143698864</v>
      </c>
      <c r="M309" s="51" t="s">
        <v>293</v>
      </c>
      <c r="N309" s="52"/>
      <c r="O309" s="52"/>
      <c r="S309" s="53"/>
    </row>
    <row r="310" spans="1:19" s="2" customFormat="1" ht="16.5" customHeight="1" x14ac:dyDescent="0.35">
      <c r="A310" s="85" t="s">
        <v>135</v>
      </c>
      <c r="B310" s="86" t="s">
        <v>426</v>
      </c>
      <c r="C310" s="87"/>
      <c r="D310" s="88" t="s">
        <v>424</v>
      </c>
      <c r="E310" s="43">
        <v>520000</v>
      </c>
      <c r="F310" s="44">
        <f t="shared" si="17"/>
        <v>41600</v>
      </c>
      <c r="G310" s="45">
        <f t="shared" si="16"/>
        <v>561600</v>
      </c>
      <c r="H310" s="46">
        <v>561600</v>
      </c>
      <c r="I310" s="47">
        <f t="shared" si="15"/>
        <v>0</v>
      </c>
      <c r="J310" s="48">
        <v>44862</v>
      </c>
      <c r="K310" s="49">
        <v>45000</v>
      </c>
      <c r="L310" s="50">
        <v>4143726729</v>
      </c>
      <c r="M310" s="51" t="s">
        <v>293</v>
      </c>
      <c r="N310" s="52"/>
      <c r="O310" s="52"/>
      <c r="S310" s="53"/>
    </row>
    <row r="311" spans="1:19" s="2" customFormat="1" ht="16.5" customHeight="1" x14ac:dyDescent="0.35">
      <c r="A311" s="85" t="s">
        <v>33</v>
      </c>
      <c r="B311" s="86" t="s">
        <v>427</v>
      </c>
      <c r="C311" s="87"/>
      <c r="D311" s="88" t="s">
        <v>424</v>
      </c>
      <c r="E311" s="43">
        <v>2080000</v>
      </c>
      <c r="F311" s="44">
        <f t="shared" si="17"/>
        <v>166400</v>
      </c>
      <c r="G311" s="45">
        <f t="shared" si="16"/>
        <v>2246400</v>
      </c>
      <c r="H311" s="46">
        <v>2246400</v>
      </c>
      <c r="I311" s="47">
        <f t="shared" si="15"/>
        <v>0</v>
      </c>
      <c r="J311" s="48">
        <v>44881</v>
      </c>
      <c r="K311" s="49">
        <v>45000</v>
      </c>
      <c r="L311" s="50">
        <v>4900878746</v>
      </c>
      <c r="M311" s="51" t="s">
        <v>293</v>
      </c>
      <c r="N311" s="52"/>
      <c r="O311" s="52"/>
      <c r="S311" s="53"/>
    </row>
    <row r="312" spans="1:19" s="2" customFormat="1" ht="16.5" customHeight="1" x14ac:dyDescent="0.35">
      <c r="A312" s="85" t="s">
        <v>71</v>
      </c>
      <c r="B312" s="86" t="s">
        <v>428</v>
      </c>
      <c r="C312" s="87"/>
      <c r="D312" s="88" t="s">
        <v>429</v>
      </c>
      <c r="E312" s="43">
        <v>1584000</v>
      </c>
      <c r="F312" s="44">
        <f t="shared" si="17"/>
        <v>126720</v>
      </c>
      <c r="G312" s="45">
        <f t="shared" si="16"/>
        <v>1710720</v>
      </c>
      <c r="H312" s="46">
        <v>1710720</v>
      </c>
      <c r="I312" s="47">
        <f t="shared" si="15"/>
        <v>0</v>
      </c>
      <c r="J312" s="48">
        <v>44862</v>
      </c>
      <c r="K312" s="49">
        <v>44972</v>
      </c>
      <c r="L312" s="50">
        <v>4143770101</v>
      </c>
      <c r="M312" s="51" t="s">
        <v>293</v>
      </c>
      <c r="N312" s="52"/>
      <c r="O312" s="52"/>
      <c r="S312" s="53"/>
    </row>
    <row r="313" spans="1:19" s="2" customFormat="1" ht="16.5" customHeight="1" x14ac:dyDescent="0.35">
      <c r="A313" s="85" t="s">
        <v>71</v>
      </c>
      <c r="B313" s="86" t="s">
        <v>430</v>
      </c>
      <c r="C313" s="87"/>
      <c r="D313" s="88" t="s">
        <v>431</v>
      </c>
      <c r="E313" s="43">
        <v>1328000</v>
      </c>
      <c r="F313" s="44">
        <f t="shared" si="17"/>
        <v>106240</v>
      </c>
      <c r="G313" s="45">
        <f t="shared" si="16"/>
        <v>1434240</v>
      </c>
      <c r="H313" s="46">
        <v>1434240</v>
      </c>
      <c r="I313" s="47">
        <f t="shared" si="15"/>
        <v>0</v>
      </c>
      <c r="J313" s="48">
        <v>44881</v>
      </c>
      <c r="K313" s="49">
        <v>45000</v>
      </c>
      <c r="L313" s="50">
        <v>4143839862</v>
      </c>
      <c r="M313" s="51" t="s">
        <v>293</v>
      </c>
      <c r="N313" s="52"/>
      <c r="O313" s="52"/>
      <c r="S313" s="53"/>
    </row>
    <row r="314" spans="1:19" s="2" customFormat="1" ht="16.5" customHeight="1" x14ac:dyDescent="0.35">
      <c r="A314" s="85" t="s">
        <v>135</v>
      </c>
      <c r="B314" s="86" t="s">
        <v>432</v>
      </c>
      <c r="C314" s="87"/>
      <c r="D314" s="88" t="s">
        <v>431</v>
      </c>
      <c r="E314" s="43">
        <v>520000</v>
      </c>
      <c r="F314" s="44">
        <f t="shared" si="17"/>
        <v>41600</v>
      </c>
      <c r="G314" s="45">
        <f t="shared" si="16"/>
        <v>561600</v>
      </c>
      <c r="H314" s="46">
        <v>561600</v>
      </c>
      <c r="I314" s="47">
        <f t="shared" si="15"/>
        <v>0</v>
      </c>
      <c r="J314" s="48">
        <v>44881</v>
      </c>
      <c r="K314" s="49">
        <v>45000</v>
      </c>
      <c r="L314" s="50">
        <v>4143823016</v>
      </c>
      <c r="M314" s="51" t="s">
        <v>293</v>
      </c>
      <c r="N314" s="52"/>
      <c r="O314" s="52"/>
      <c r="S314" s="53"/>
    </row>
    <row r="315" spans="1:19" s="2" customFormat="1" ht="16.5" customHeight="1" x14ac:dyDescent="0.35">
      <c r="A315" s="85" t="s">
        <v>37</v>
      </c>
      <c r="B315" s="86" t="s">
        <v>433</v>
      </c>
      <c r="C315" s="87">
        <v>1889</v>
      </c>
      <c r="D315" s="88">
        <v>44881</v>
      </c>
      <c r="E315" s="43">
        <v>14654000</v>
      </c>
      <c r="F315" s="44">
        <f t="shared" si="17"/>
        <v>1172320</v>
      </c>
      <c r="G315" s="45">
        <f t="shared" si="16"/>
        <v>15826320</v>
      </c>
      <c r="H315" s="46">
        <v>15826320</v>
      </c>
      <c r="I315" s="47">
        <f t="shared" si="15"/>
        <v>0</v>
      </c>
      <c r="J315" s="48">
        <v>44881</v>
      </c>
      <c r="K315" s="49">
        <v>45275</v>
      </c>
      <c r="L315" s="50">
        <v>4900880529</v>
      </c>
      <c r="M315" s="51" t="s">
        <v>293</v>
      </c>
      <c r="N315" s="52"/>
      <c r="O315" s="52"/>
      <c r="S315" s="53"/>
    </row>
    <row r="316" spans="1:19" s="2" customFormat="1" ht="16.5" customHeight="1" x14ac:dyDescent="0.35">
      <c r="A316" s="85" t="s">
        <v>37</v>
      </c>
      <c r="B316" s="86" t="s">
        <v>434</v>
      </c>
      <c r="C316" s="87"/>
      <c r="D316" s="88" t="s">
        <v>431</v>
      </c>
      <c r="E316" s="43">
        <v>1104000</v>
      </c>
      <c r="F316" s="44">
        <f t="shared" si="17"/>
        <v>88320</v>
      </c>
      <c r="G316" s="45">
        <f t="shared" si="16"/>
        <v>1192320</v>
      </c>
      <c r="H316" s="46">
        <v>1192320</v>
      </c>
      <c r="I316" s="47">
        <f t="shared" si="15"/>
        <v>0</v>
      </c>
      <c r="J316" s="48">
        <v>44881</v>
      </c>
      <c r="K316" s="49">
        <v>45000</v>
      </c>
      <c r="L316" s="50">
        <v>4900880600</v>
      </c>
      <c r="M316" s="51" t="s">
        <v>293</v>
      </c>
      <c r="N316" s="52"/>
      <c r="O316" s="52"/>
      <c r="S316" s="53"/>
    </row>
    <row r="317" spans="1:19" s="2" customFormat="1" ht="16.5" customHeight="1" x14ac:dyDescent="0.35">
      <c r="A317" s="85" t="s">
        <v>29</v>
      </c>
      <c r="B317" s="86" t="s">
        <v>435</v>
      </c>
      <c r="C317" s="87"/>
      <c r="D317" s="88" t="s">
        <v>431</v>
      </c>
      <c r="E317" s="43">
        <v>7485000</v>
      </c>
      <c r="F317" s="44">
        <f t="shared" si="17"/>
        <v>598800</v>
      </c>
      <c r="G317" s="45">
        <f t="shared" si="16"/>
        <v>8083800</v>
      </c>
      <c r="H317" s="46">
        <v>8083800</v>
      </c>
      <c r="I317" s="47">
        <f t="shared" si="15"/>
        <v>0</v>
      </c>
      <c r="J317" s="48">
        <v>44881</v>
      </c>
      <c r="K317" s="49">
        <v>45000</v>
      </c>
      <c r="L317" s="50">
        <v>4900880444</v>
      </c>
      <c r="M317" s="51" t="s">
        <v>293</v>
      </c>
      <c r="N317" s="52"/>
      <c r="O317" s="52"/>
      <c r="S317" s="53"/>
    </row>
    <row r="318" spans="1:19" s="2" customFormat="1" ht="16.5" customHeight="1" x14ac:dyDescent="0.35">
      <c r="A318" s="85" t="s">
        <v>33</v>
      </c>
      <c r="B318" s="86" t="s">
        <v>436</v>
      </c>
      <c r="C318" s="87">
        <v>1900</v>
      </c>
      <c r="D318" s="88">
        <v>44881</v>
      </c>
      <c r="E318" s="43">
        <v>7858000</v>
      </c>
      <c r="F318" s="44">
        <f t="shared" si="17"/>
        <v>628640</v>
      </c>
      <c r="G318" s="45">
        <f t="shared" si="16"/>
        <v>8486640</v>
      </c>
      <c r="H318" s="46">
        <v>8486640</v>
      </c>
      <c r="I318" s="47">
        <f t="shared" si="15"/>
        <v>0</v>
      </c>
      <c r="J318" s="48">
        <v>44881</v>
      </c>
      <c r="K318" s="49">
        <v>45000</v>
      </c>
      <c r="L318" s="50">
        <v>4900880862</v>
      </c>
      <c r="M318" s="51" t="s">
        <v>293</v>
      </c>
      <c r="N318" s="52"/>
      <c r="O318" s="52"/>
      <c r="S318" s="53"/>
    </row>
    <row r="319" spans="1:19" s="2" customFormat="1" ht="16.5" customHeight="1" x14ac:dyDescent="0.35">
      <c r="A319" s="85" t="s">
        <v>77</v>
      </c>
      <c r="B319" s="86" t="s">
        <v>437</v>
      </c>
      <c r="C319" s="87"/>
      <c r="D319" s="88" t="s">
        <v>438</v>
      </c>
      <c r="E319" s="43">
        <v>2900000</v>
      </c>
      <c r="F319" s="44">
        <f t="shared" si="17"/>
        <v>232000</v>
      </c>
      <c r="G319" s="45">
        <f t="shared" si="16"/>
        <v>3132000</v>
      </c>
      <c r="H319" s="46">
        <v>3132000</v>
      </c>
      <c r="I319" s="62">
        <f t="shared" si="15"/>
        <v>0</v>
      </c>
      <c r="J319" s="48">
        <v>44881</v>
      </c>
      <c r="K319" s="49">
        <v>45000</v>
      </c>
      <c r="L319" s="50">
        <v>4143885249</v>
      </c>
      <c r="M319" s="51" t="s">
        <v>293</v>
      </c>
      <c r="N319" s="52"/>
      <c r="O319" s="52"/>
      <c r="S319" s="53"/>
    </row>
    <row r="320" spans="1:19" s="2" customFormat="1" ht="16.5" customHeight="1" x14ac:dyDescent="0.35">
      <c r="A320" s="85" t="s">
        <v>135</v>
      </c>
      <c r="B320" s="86" t="s">
        <v>439</v>
      </c>
      <c r="C320" s="87"/>
      <c r="D320" s="88" t="s">
        <v>440</v>
      </c>
      <c r="E320" s="43">
        <v>12000000</v>
      </c>
      <c r="F320" s="44">
        <f>+E320*0.1</f>
        <v>1200000</v>
      </c>
      <c r="G320" s="45">
        <f t="shared" si="16"/>
        <v>13200000</v>
      </c>
      <c r="H320" s="46">
        <v>13200000</v>
      </c>
      <c r="I320" s="47">
        <f t="shared" si="15"/>
        <v>0</v>
      </c>
      <c r="J320" s="48">
        <v>45050</v>
      </c>
      <c r="K320" s="49">
        <v>45132</v>
      </c>
      <c r="L320" s="65">
        <v>4148425847</v>
      </c>
      <c r="M320" s="51"/>
      <c r="N320" s="52"/>
      <c r="O320" s="52"/>
      <c r="S320" s="53"/>
    </row>
    <row r="321" spans="1:23" s="2" customFormat="1" ht="16.5" customHeight="1" x14ac:dyDescent="0.35">
      <c r="A321" s="85" t="s">
        <v>37</v>
      </c>
      <c r="B321" s="86" t="s">
        <v>441</v>
      </c>
      <c r="C321" s="87"/>
      <c r="D321" s="88" t="s">
        <v>438</v>
      </c>
      <c r="E321" s="43">
        <v>74880000</v>
      </c>
      <c r="F321" s="44">
        <f t="shared" ref="F321:F334" si="18">+E321*0.08</f>
        <v>5990400</v>
      </c>
      <c r="G321" s="45">
        <f t="shared" si="16"/>
        <v>80870400</v>
      </c>
      <c r="H321" s="46">
        <v>80870400</v>
      </c>
      <c r="I321" s="47">
        <f t="shared" si="15"/>
        <v>0</v>
      </c>
      <c r="J321" s="48">
        <v>44881</v>
      </c>
      <c r="K321" s="49">
        <v>45000</v>
      </c>
      <c r="L321" s="50">
        <v>4143928559</v>
      </c>
      <c r="M321" s="51" t="s">
        <v>293</v>
      </c>
      <c r="N321" s="52"/>
      <c r="O321" s="52"/>
      <c r="S321" s="53"/>
    </row>
    <row r="322" spans="1:23" s="2" customFormat="1" ht="16.5" customHeight="1" x14ac:dyDescent="0.35">
      <c r="A322" s="85" t="s">
        <v>71</v>
      </c>
      <c r="B322" s="86" t="s">
        <v>442</v>
      </c>
      <c r="C322" s="87"/>
      <c r="D322" s="88" t="s">
        <v>438</v>
      </c>
      <c r="E322" s="43">
        <v>960000</v>
      </c>
      <c r="F322" s="44">
        <f t="shared" si="18"/>
        <v>76800</v>
      </c>
      <c r="G322" s="45">
        <f t="shared" si="16"/>
        <v>1036800</v>
      </c>
      <c r="H322" s="46">
        <v>1036800</v>
      </c>
      <c r="I322" s="47">
        <f t="shared" si="15"/>
        <v>0</v>
      </c>
      <c r="J322" s="48">
        <v>44881</v>
      </c>
      <c r="K322" s="49">
        <v>45000</v>
      </c>
      <c r="L322" s="50">
        <v>4143933698</v>
      </c>
      <c r="M322" s="51" t="s">
        <v>293</v>
      </c>
      <c r="N322" s="52"/>
      <c r="O322" s="52"/>
      <c r="S322" s="53"/>
    </row>
    <row r="323" spans="1:23" s="2" customFormat="1" ht="16.5" customHeight="1" x14ac:dyDescent="0.35">
      <c r="A323" s="85" t="s">
        <v>71</v>
      </c>
      <c r="B323" s="86" t="s">
        <v>443</v>
      </c>
      <c r="C323" s="87"/>
      <c r="D323" s="88" t="s">
        <v>438</v>
      </c>
      <c r="E323" s="43">
        <v>800000</v>
      </c>
      <c r="F323" s="44">
        <f t="shared" si="18"/>
        <v>64000</v>
      </c>
      <c r="G323" s="45">
        <f t="shared" si="16"/>
        <v>864000</v>
      </c>
      <c r="H323" s="46">
        <v>864000</v>
      </c>
      <c r="I323" s="47">
        <f t="shared" si="15"/>
        <v>0</v>
      </c>
      <c r="J323" s="48">
        <v>44881</v>
      </c>
      <c r="K323" s="49">
        <v>45000</v>
      </c>
      <c r="L323" s="50">
        <v>4143907015</v>
      </c>
      <c r="M323" s="51" t="s">
        <v>293</v>
      </c>
      <c r="N323" s="52"/>
      <c r="O323" s="52"/>
      <c r="S323" s="53"/>
    </row>
    <row r="324" spans="1:23" s="2" customFormat="1" ht="16.5" customHeight="1" x14ac:dyDescent="0.35">
      <c r="A324" s="85" t="s">
        <v>71</v>
      </c>
      <c r="B324" s="86" t="s">
        <v>252</v>
      </c>
      <c r="C324" s="87"/>
      <c r="D324" s="88" t="s">
        <v>444</v>
      </c>
      <c r="E324" s="43">
        <v>1600000</v>
      </c>
      <c r="F324" s="44">
        <f t="shared" si="18"/>
        <v>128000</v>
      </c>
      <c r="G324" s="45">
        <f t="shared" si="16"/>
        <v>1728000</v>
      </c>
      <c r="H324" s="46">
        <v>1728000</v>
      </c>
      <c r="I324" s="47">
        <f t="shared" si="15"/>
        <v>0</v>
      </c>
      <c r="J324" s="48">
        <v>44881</v>
      </c>
      <c r="K324" s="49">
        <v>45000</v>
      </c>
      <c r="L324" s="50">
        <v>4143968964</v>
      </c>
      <c r="M324" s="51" t="s">
        <v>293</v>
      </c>
      <c r="N324" s="52"/>
      <c r="O324" s="52"/>
      <c r="S324" s="53"/>
    </row>
    <row r="325" spans="1:23" s="2" customFormat="1" ht="16.5" customHeight="1" x14ac:dyDescent="0.35">
      <c r="A325" s="85" t="s">
        <v>37</v>
      </c>
      <c r="B325" s="86" t="s">
        <v>445</v>
      </c>
      <c r="C325" s="87"/>
      <c r="D325" s="88" t="s">
        <v>446</v>
      </c>
      <c r="E325" s="43">
        <v>3600000</v>
      </c>
      <c r="F325" s="44">
        <f t="shared" si="18"/>
        <v>288000</v>
      </c>
      <c r="G325" s="45">
        <f t="shared" si="16"/>
        <v>3888000</v>
      </c>
      <c r="H325" s="46">
        <v>3888000</v>
      </c>
      <c r="I325" s="47">
        <f t="shared" si="15"/>
        <v>0</v>
      </c>
      <c r="J325" s="48">
        <v>44881</v>
      </c>
      <c r="K325" s="49">
        <v>45000</v>
      </c>
      <c r="L325" s="50">
        <v>4900882795</v>
      </c>
      <c r="M325" s="51" t="s">
        <v>293</v>
      </c>
      <c r="N325" s="52"/>
      <c r="O325" s="52"/>
      <c r="S325" s="53"/>
    </row>
    <row r="326" spans="1:23" s="2" customFormat="1" ht="16.5" customHeight="1" x14ac:dyDescent="0.35">
      <c r="A326" s="85" t="s">
        <v>29</v>
      </c>
      <c r="B326" s="86" t="s">
        <v>447</v>
      </c>
      <c r="C326" s="87"/>
      <c r="D326" s="88" t="s">
        <v>446</v>
      </c>
      <c r="E326" s="43">
        <v>2368000</v>
      </c>
      <c r="F326" s="44">
        <f t="shared" si="18"/>
        <v>189440</v>
      </c>
      <c r="G326" s="45">
        <f t="shared" si="16"/>
        <v>2557440</v>
      </c>
      <c r="H326" s="46">
        <v>2557440</v>
      </c>
      <c r="I326" s="47">
        <f t="shared" si="15"/>
        <v>0</v>
      </c>
      <c r="J326" s="48">
        <v>44881</v>
      </c>
      <c r="K326" s="49">
        <v>45000</v>
      </c>
      <c r="L326" s="50">
        <v>4900883000</v>
      </c>
      <c r="M326" s="51" t="s">
        <v>293</v>
      </c>
      <c r="N326" s="52"/>
      <c r="O326" s="52"/>
      <c r="S326" s="53"/>
    </row>
    <row r="327" spans="1:23" s="2" customFormat="1" ht="16.5" customHeight="1" x14ac:dyDescent="0.35">
      <c r="A327" s="85" t="s">
        <v>33</v>
      </c>
      <c r="B327" s="86" t="s">
        <v>448</v>
      </c>
      <c r="C327" s="87"/>
      <c r="D327" s="88" t="s">
        <v>446</v>
      </c>
      <c r="E327" s="43">
        <v>312000</v>
      </c>
      <c r="F327" s="44">
        <f t="shared" si="18"/>
        <v>24960</v>
      </c>
      <c r="G327" s="45">
        <f t="shared" si="16"/>
        <v>336960</v>
      </c>
      <c r="H327" s="46">
        <v>336960</v>
      </c>
      <c r="I327" s="47">
        <f t="shared" si="15"/>
        <v>0</v>
      </c>
      <c r="J327" s="48">
        <v>44881</v>
      </c>
      <c r="K327" s="49">
        <v>45000</v>
      </c>
      <c r="L327" s="50">
        <v>4900883033</v>
      </c>
      <c r="M327" s="51" t="s">
        <v>293</v>
      </c>
      <c r="N327" s="52"/>
      <c r="O327" s="52"/>
      <c r="S327" s="53"/>
    </row>
    <row r="328" spans="1:23" s="2" customFormat="1" ht="16.5" customHeight="1" x14ac:dyDescent="0.35">
      <c r="A328" s="85" t="s">
        <v>71</v>
      </c>
      <c r="B328" s="86" t="s">
        <v>449</v>
      </c>
      <c r="C328" s="87"/>
      <c r="D328" s="88" t="s">
        <v>450</v>
      </c>
      <c r="E328" s="43">
        <v>960000</v>
      </c>
      <c r="F328" s="44">
        <f t="shared" si="18"/>
        <v>76800</v>
      </c>
      <c r="G328" s="45">
        <f t="shared" si="16"/>
        <v>1036800</v>
      </c>
      <c r="H328" s="46">
        <v>1036800</v>
      </c>
      <c r="I328" s="47">
        <f t="shared" ref="I328:I391" si="19">G328-H328</f>
        <v>0</v>
      </c>
      <c r="J328" s="48">
        <v>44881</v>
      </c>
      <c r="K328" s="49">
        <v>45000</v>
      </c>
      <c r="L328" s="50">
        <v>4144048538</v>
      </c>
      <c r="M328" s="51" t="s">
        <v>293</v>
      </c>
      <c r="N328" s="52"/>
      <c r="O328" s="52"/>
      <c r="S328" s="53"/>
    </row>
    <row r="329" spans="1:23" s="2" customFormat="1" ht="16.5" customHeight="1" x14ac:dyDescent="0.35">
      <c r="A329" s="85" t="s">
        <v>71</v>
      </c>
      <c r="B329" s="86" t="s">
        <v>451</v>
      </c>
      <c r="C329" s="87"/>
      <c r="D329" s="88" t="s">
        <v>450</v>
      </c>
      <c r="E329" s="43">
        <v>960000</v>
      </c>
      <c r="F329" s="44">
        <f t="shared" si="18"/>
        <v>76800</v>
      </c>
      <c r="G329" s="45">
        <f t="shared" si="16"/>
        <v>1036800</v>
      </c>
      <c r="H329" s="46">
        <v>1036800</v>
      </c>
      <c r="I329" s="47">
        <f t="shared" si="19"/>
        <v>0</v>
      </c>
      <c r="J329" s="48">
        <v>44881</v>
      </c>
      <c r="K329" s="49">
        <v>45000</v>
      </c>
      <c r="L329" s="50">
        <v>4144052349</v>
      </c>
      <c r="M329" s="51" t="s">
        <v>293</v>
      </c>
      <c r="N329" s="52"/>
      <c r="O329" s="52"/>
      <c r="S329" s="53"/>
    </row>
    <row r="330" spans="1:23" s="2" customFormat="1" ht="16.5" customHeight="1" x14ac:dyDescent="0.35">
      <c r="A330" s="85" t="s">
        <v>71</v>
      </c>
      <c r="B330" s="86" t="s">
        <v>452</v>
      </c>
      <c r="C330" s="87">
        <v>1898</v>
      </c>
      <c r="D330" s="88">
        <v>44881</v>
      </c>
      <c r="E330" s="43">
        <v>1160000</v>
      </c>
      <c r="F330" s="44">
        <f t="shared" si="18"/>
        <v>92800</v>
      </c>
      <c r="G330" s="45">
        <f t="shared" si="16"/>
        <v>1252800</v>
      </c>
      <c r="H330" s="46">
        <v>1252800</v>
      </c>
      <c r="I330" s="47">
        <f t="shared" si="19"/>
        <v>0</v>
      </c>
      <c r="J330" s="48">
        <v>44881</v>
      </c>
      <c r="K330" s="49">
        <v>45000</v>
      </c>
      <c r="L330" s="50">
        <v>4144112820</v>
      </c>
      <c r="M330" s="51" t="s">
        <v>293</v>
      </c>
      <c r="N330" s="99">
        <v>4144169876</v>
      </c>
      <c r="O330" s="52"/>
      <c r="S330" s="53"/>
    </row>
    <row r="331" spans="1:23" s="2" customFormat="1" ht="16.5" customHeight="1" x14ac:dyDescent="0.35">
      <c r="A331" s="85" t="s">
        <v>33</v>
      </c>
      <c r="B331" s="86" t="s">
        <v>261</v>
      </c>
      <c r="C331" s="87"/>
      <c r="D331" s="88" t="s">
        <v>453</v>
      </c>
      <c r="E331" s="43">
        <v>2216000</v>
      </c>
      <c r="F331" s="44">
        <f t="shared" si="18"/>
        <v>177280</v>
      </c>
      <c r="G331" s="45">
        <f t="shared" si="16"/>
        <v>2393280</v>
      </c>
      <c r="H331" s="46">
        <v>2393280</v>
      </c>
      <c r="I331" s="47">
        <f t="shared" si="19"/>
        <v>0</v>
      </c>
      <c r="J331" s="48">
        <v>44900</v>
      </c>
      <c r="K331" s="49">
        <v>45000</v>
      </c>
      <c r="L331" s="50">
        <v>4900884753</v>
      </c>
      <c r="M331" s="51" t="s">
        <v>293</v>
      </c>
      <c r="N331" s="52"/>
      <c r="O331" s="52"/>
      <c r="S331" s="53"/>
    </row>
    <row r="332" spans="1:23" s="2" customFormat="1" ht="16.5" customHeight="1" x14ac:dyDescent="0.35">
      <c r="A332" s="85" t="s">
        <v>29</v>
      </c>
      <c r="B332" s="86" t="s">
        <v>454</v>
      </c>
      <c r="C332" s="87"/>
      <c r="D332" s="88" t="s">
        <v>453</v>
      </c>
      <c r="E332" s="43">
        <v>312000</v>
      </c>
      <c r="F332" s="44">
        <f t="shared" si="18"/>
        <v>24960</v>
      </c>
      <c r="G332" s="45">
        <f t="shared" si="16"/>
        <v>336960</v>
      </c>
      <c r="H332" s="46">
        <v>336960</v>
      </c>
      <c r="I332" s="47">
        <f t="shared" si="19"/>
        <v>0</v>
      </c>
      <c r="J332" s="48">
        <v>44900</v>
      </c>
      <c r="K332" s="49">
        <v>45000</v>
      </c>
      <c r="L332" s="50">
        <v>4900884747</v>
      </c>
      <c r="M332" s="51" t="s">
        <v>293</v>
      </c>
      <c r="N332" s="52"/>
      <c r="O332" s="52"/>
      <c r="S332" s="53"/>
    </row>
    <row r="333" spans="1:23" s="2" customFormat="1" ht="16.5" customHeight="1" x14ac:dyDescent="0.35">
      <c r="A333" s="85" t="s">
        <v>37</v>
      </c>
      <c r="B333" s="86" t="s">
        <v>455</v>
      </c>
      <c r="C333" s="87"/>
      <c r="D333" s="88" t="s">
        <v>453</v>
      </c>
      <c r="E333" s="43">
        <v>3080000</v>
      </c>
      <c r="F333" s="44">
        <f t="shared" si="18"/>
        <v>246400</v>
      </c>
      <c r="G333" s="45">
        <f t="shared" si="16"/>
        <v>3326400</v>
      </c>
      <c r="H333" s="46">
        <v>3326400</v>
      </c>
      <c r="I333" s="47">
        <f t="shared" si="19"/>
        <v>0</v>
      </c>
      <c r="J333" s="48">
        <v>44900</v>
      </c>
      <c r="K333" s="49">
        <v>45000</v>
      </c>
      <c r="L333" s="50">
        <v>4900884790</v>
      </c>
      <c r="M333" s="51" t="s">
        <v>293</v>
      </c>
      <c r="N333" s="52"/>
      <c r="O333" s="52"/>
      <c r="S333" s="53"/>
    </row>
    <row r="334" spans="1:23" s="2" customFormat="1" ht="16.5" customHeight="1" x14ac:dyDescent="0.35">
      <c r="A334" s="85" t="s">
        <v>77</v>
      </c>
      <c r="B334" s="86" t="s">
        <v>456</v>
      </c>
      <c r="C334" s="87"/>
      <c r="D334" s="88">
        <v>44879</v>
      </c>
      <c r="E334" s="43">
        <v>6740000</v>
      </c>
      <c r="F334" s="44">
        <f t="shared" si="18"/>
        <v>539200</v>
      </c>
      <c r="G334" s="45">
        <f t="shared" si="16"/>
        <v>7279200</v>
      </c>
      <c r="H334" s="46">
        <v>7279200</v>
      </c>
      <c r="I334" s="47">
        <f t="shared" si="19"/>
        <v>0</v>
      </c>
      <c r="J334" s="48">
        <v>44900</v>
      </c>
      <c r="K334" s="49">
        <v>45000</v>
      </c>
      <c r="L334" s="50">
        <v>4144230035</v>
      </c>
      <c r="M334" s="51" t="s">
        <v>293</v>
      </c>
      <c r="N334" s="52"/>
      <c r="O334" s="52"/>
      <c r="S334" s="53"/>
    </row>
    <row r="335" spans="1:23" s="82" customFormat="1" ht="16.5" customHeight="1" x14ac:dyDescent="0.35">
      <c r="A335" s="85" t="s">
        <v>33</v>
      </c>
      <c r="B335" s="86">
        <v>1024</v>
      </c>
      <c r="C335" s="87"/>
      <c r="D335" s="88">
        <v>45033</v>
      </c>
      <c r="E335" s="43">
        <v>3040000</v>
      </c>
      <c r="F335" s="44">
        <f>+E335*0.1</f>
        <v>304000</v>
      </c>
      <c r="G335" s="45">
        <f t="shared" si="16"/>
        <v>3344000</v>
      </c>
      <c r="H335" s="46">
        <v>3344000</v>
      </c>
      <c r="I335" s="47">
        <f t="shared" si="19"/>
        <v>0</v>
      </c>
      <c r="J335" s="48">
        <v>45050</v>
      </c>
      <c r="K335" s="49">
        <v>45132</v>
      </c>
      <c r="L335" s="50">
        <v>4900945609</v>
      </c>
      <c r="M335" s="51"/>
      <c r="N335" s="52"/>
      <c r="O335" s="52"/>
      <c r="P335" s="2"/>
      <c r="Q335" s="2"/>
      <c r="R335" s="2"/>
      <c r="S335" s="53"/>
      <c r="T335" s="2"/>
      <c r="U335" s="2"/>
      <c r="V335" s="2"/>
      <c r="W335" s="2"/>
    </row>
    <row r="336" spans="1:23" s="82" customFormat="1" ht="16.5" customHeight="1" x14ac:dyDescent="0.35">
      <c r="A336" s="85" t="s">
        <v>37</v>
      </c>
      <c r="B336" s="86">
        <v>1025</v>
      </c>
      <c r="C336" s="87"/>
      <c r="D336" s="88">
        <v>45033</v>
      </c>
      <c r="E336" s="43">
        <v>7680000</v>
      </c>
      <c r="F336" s="44">
        <f>+E336*0.1</f>
        <v>768000</v>
      </c>
      <c r="G336" s="45">
        <f t="shared" si="16"/>
        <v>8448000</v>
      </c>
      <c r="H336" s="46">
        <v>8448000</v>
      </c>
      <c r="I336" s="47">
        <f t="shared" si="19"/>
        <v>0</v>
      </c>
      <c r="J336" s="48">
        <v>45050</v>
      </c>
      <c r="K336" s="49">
        <v>45132</v>
      </c>
      <c r="L336" s="65">
        <v>4900945838</v>
      </c>
      <c r="M336" s="51"/>
      <c r="N336" s="52"/>
      <c r="O336" s="52"/>
      <c r="P336" s="2"/>
      <c r="Q336" s="2"/>
      <c r="R336" s="2"/>
      <c r="S336" s="53"/>
      <c r="T336" s="2"/>
      <c r="U336" s="2"/>
      <c r="V336" s="2"/>
      <c r="W336" s="2"/>
    </row>
    <row r="337" spans="1:23" s="82" customFormat="1" ht="16.5" customHeight="1" x14ac:dyDescent="0.35">
      <c r="A337" s="85" t="s">
        <v>29</v>
      </c>
      <c r="B337" s="86">
        <v>1026</v>
      </c>
      <c r="C337" s="87">
        <v>1191</v>
      </c>
      <c r="D337" s="88">
        <v>45050</v>
      </c>
      <c r="E337" s="43">
        <v>4800000</v>
      </c>
      <c r="F337" s="44">
        <f>+E337*0.1</f>
        <v>480000</v>
      </c>
      <c r="G337" s="45">
        <f t="shared" si="16"/>
        <v>5280000</v>
      </c>
      <c r="H337" s="46">
        <v>5280000</v>
      </c>
      <c r="I337" s="47">
        <f t="shared" si="19"/>
        <v>0</v>
      </c>
      <c r="J337" s="48">
        <v>45050</v>
      </c>
      <c r="K337" s="49">
        <v>45132</v>
      </c>
      <c r="L337" s="50">
        <v>4900945739</v>
      </c>
      <c r="M337" s="51"/>
      <c r="N337" s="52"/>
      <c r="O337" s="52"/>
      <c r="P337" s="2"/>
      <c r="Q337" s="2"/>
      <c r="R337" s="2"/>
      <c r="S337" s="53"/>
      <c r="T337" s="2"/>
      <c r="U337" s="2"/>
      <c r="V337" s="2"/>
      <c r="W337" s="2"/>
    </row>
    <row r="338" spans="1:23" s="2" customFormat="1" ht="16.5" customHeight="1" x14ac:dyDescent="0.35">
      <c r="A338" s="85" t="s">
        <v>29</v>
      </c>
      <c r="B338" s="86" t="s">
        <v>57</v>
      </c>
      <c r="C338" s="87"/>
      <c r="D338" s="88" t="s">
        <v>49</v>
      </c>
      <c r="E338" s="43">
        <v>11360000</v>
      </c>
      <c r="F338" s="44">
        <f>+E338*0.08</f>
        <v>908800</v>
      </c>
      <c r="G338" s="45">
        <f t="shared" si="16"/>
        <v>12268800</v>
      </c>
      <c r="H338" s="46">
        <v>12268800</v>
      </c>
      <c r="I338" s="47">
        <f t="shared" si="19"/>
        <v>0</v>
      </c>
      <c r="J338" s="48">
        <v>44900</v>
      </c>
      <c r="K338" s="49">
        <v>45275</v>
      </c>
      <c r="L338" s="50">
        <v>4900887450</v>
      </c>
      <c r="M338" s="51" t="s">
        <v>293</v>
      </c>
      <c r="N338" s="52"/>
      <c r="O338" s="52"/>
      <c r="S338" s="53"/>
    </row>
    <row r="339" spans="1:23" s="2" customFormat="1" ht="16.5" customHeight="1" x14ac:dyDescent="0.35">
      <c r="A339" s="85" t="s">
        <v>29</v>
      </c>
      <c r="B339" s="86" t="s">
        <v>457</v>
      </c>
      <c r="C339" s="87"/>
      <c r="D339" s="88" t="s">
        <v>53</v>
      </c>
      <c r="E339" s="43">
        <v>1920000</v>
      </c>
      <c r="F339" s="44">
        <f>+E339*0.08</f>
        <v>153600</v>
      </c>
      <c r="G339" s="45">
        <f t="shared" si="16"/>
        <v>2073600</v>
      </c>
      <c r="H339" s="46">
        <v>2073600</v>
      </c>
      <c r="I339" s="47">
        <f t="shared" si="19"/>
        <v>0</v>
      </c>
      <c r="J339" s="48">
        <v>44900</v>
      </c>
      <c r="K339" s="49">
        <v>45275</v>
      </c>
      <c r="L339" s="50">
        <v>4900888401</v>
      </c>
      <c r="M339" s="51" t="s">
        <v>293</v>
      </c>
      <c r="N339" s="52"/>
      <c r="O339" s="52"/>
      <c r="S339" s="53"/>
    </row>
    <row r="340" spans="1:23" s="82" customFormat="1" ht="16.5" customHeight="1" x14ac:dyDescent="0.35">
      <c r="A340" s="85" t="s">
        <v>37</v>
      </c>
      <c r="B340" s="86" t="s">
        <v>458</v>
      </c>
      <c r="C340" s="87"/>
      <c r="D340" s="88" t="s">
        <v>459</v>
      </c>
      <c r="E340" s="43">
        <v>6002000</v>
      </c>
      <c r="F340" s="44">
        <f>+E340*0.1</f>
        <v>600200</v>
      </c>
      <c r="G340" s="45">
        <f t="shared" si="16"/>
        <v>6602200</v>
      </c>
      <c r="H340" s="46">
        <v>6602200</v>
      </c>
      <c r="I340" s="47">
        <f t="shared" si="19"/>
        <v>0</v>
      </c>
      <c r="J340" s="48">
        <v>45050</v>
      </c>
      <c r="K340" s="49">
        <v>45132</v>
      </c>
      <c r="L340" s="65">
        <v>4900947346</v>
      </c>
      <c r="M340" s="51"/>
      <c r="N340" s="52"/>
      <c r="O340" s="52"/>
      <c r="P340" s="2"/>
      <c r="Q340" s="2"/>
      <c r="R340" s="2"/>
      <c r="S340" s="53"/>
      <c r="T340" s="2"/>
      <c r="U340" s="2"/>
      <c r="V340" s="2"/>
      <c r="W340" s="2"/>
    </row>
    <row r="341" spans="1:23" s="2" customFormat="1" ht="16.5" customHeight="1" x14ac:dyDescent="0.35">
      <c r="A341" s="85" t="s">
        <v>29</v>
      </c>
      <c r="B341" s="86" t="s">
        <v>460</v>
      </c>
      <c r="C341" s="87"/>
      <c r="D341" s="88" t="s">
        <v>461</v>
      </c>
      <c r="E341" s="43">
        <v>1280000</v>
      </c>
      <c r="F341" s="44">
        <f t="shared" ref="F341:F396" si="20">+E341*0.08</f>
        <v>102400</v>
      </c>
      <c r="G341" s="45">
        <f t="shared" si="16"/>
        <v>1382400</v>
      </c>
      <c r="H341" s="46">
        <v>1382400</v>
      </c>
      <c r="I341" s="47">
        <f t="shared" si="19"/>
        <v>0</v>
      </c>
      <c r="J341" s="48">
        <v>44900</v>
      </c>
      <c r="K341" s="49">
        <v>45275</v>
      </c>
      <c r="L341" s="50">
        <v>4900889834</v>
      </c>
      <c r="M341" s="51" t="s">
        <v>293</v>
      </c>
      <c r="N341" s="52"/>
      <c r="O341" s="52"/>
      <c r="S341" s="53"/>
    </row>
    <row r="342" spans="1:23" s="2" customFormat="1" ht="16.5" customHeight="1" x14ac:dyDescent="0.35">
      <c r="A342" s="85" t="s">
        <v>33</v>
      </c>
      <c r="B342" s="86" t="s">
        <v>462</v>
      </c>
      <c r="C342" s="87"/>
      <c r="D342" s="88" t="s">
        <v>461</v>
      </c>
      <c r="E342" s="43">
        <v>2856000</v>
      </c>
      <c r="F342" s="44">
        <f t="shared" si="20"/>
        <v>228480</v>
      </c>
      <c r="G342" s="45">
        <f t="shared" si="16"/>
        <v>3084480</v>
      </c>
      <c r="H342" s="46">
        <v>3084480</v>
      </c>
      <c r="I342" s="47">
        <f t="shared" si="19"/>
        <v>0</v>
      </c>
      <c r="J342" s="48">
        <v>44900</v>
      </c>
      <c r="K342" s="49">
        <v>45275</v>
      </c>
      <c r="L342" s="50">
        <v>4900889881</v>
      </c>
      <c r="M342" s="51" t="s">
        <v>293</v>
      </c>
      <c r="N342" s="52"/>
      <c r="O342" s="52"/>
      <c r="S342" s="53"/>
    </row>
    <row r="343" spans="1:23" s="2" customFormat="1" ht="16.5" customHeight="1" x14ac:dyDescent="0.35">
      <c r="A343" s="85" t="s">
        <v>37</v>
      </c>
      <c r="B343" s="86" t="s">
        <v>463</v>
      </c>
      <c r="C343" s="87"/>
      <c r="D343" s="88" t="s">
        <v>461</v>
      </c>
      <c r="E343" s="43">
        <v>4160000</v>
      </c>
      <c r="F343" s="44">
        <f t="shared" si="20"/>
        <v>332800</v>
      </c>
      <c r="G343" s="45">
        <f t="shared" ref="G343:G406" si="21">E343+F343</f>
        <v>4492800</v>
      </c>
      <c r="H343" s="46">
        <v>4492800</v>
      </c>
      <c r="I343" s="47">
        <f t="shared" si="19"/>
        <v>0</v>
      </c>
      <c r="J343" s="48">
        <v>44900</v>
      </c>
      <c r="K343" s="49">
        <v>45275</v>
      </c>
      <c r="L343" s="50">
        <v>4144477830</v>
      </c>
      <c r="M343" s="51" t="s">
        <v>293</v>
      </c>
      <c r="N343" s="52"/>
      <c r="O343" s="52"/>
      <c r="S343" s="53"/>
    </row>
    <row r="344" spans="1:23" s="2" customFormat="1" ht="16.5" customHeight="1" x14ac:dyDescent="0.35">
      <c r="A344" s="85" t="s">
        <v>37</v>
      </c>
      <c r="B344" s="86" t="s">
        <v>464</v>
      </c>
      <c r="C344" s="87"/>
      <c r="D344" s="88" t="s">
        <v>461</v>
      </c>
      <c r="E344" s="43">
        <v>10720000</v>
      </c>
      <c r="F344" s="44">
        <f t="shared" si="20"/>
        <v>857600</v>
      </c>
      <c r="G344" s="45">
        <f t="shared" si="21"/>
        <v>11577600</v>
      </c>
      <c r="H344" s="46">
        <v>11577600</v>
      </c>
      <c r="I344" s="47">
        <f t="shared" si="19"/>
        <v>0</v>
      </c>
      <c r="J344" s="48">
        <v>44900</v>
      </c>
      <c r="K344" s="49">
        <v>45275</v>
      </c>
      <c r="L344" s="50">
        <v>4900889845</v>
      </c>
      <c r="M344" s="51" t="s">
        <v>293</v>
      </c>
      <c r="N344" s="52"/>
      <c r="O344" s="52"/>
      <c r="S344" s="53"/>
    </row>
    <row r="345" spans="1:23" s="2" customFormat="1" ht="16.5" customHeight="1" x14ac:dyDescent="0.35">
      <c r="A345" s="85" t="s">
        <v>77</v>
      </c>
      <c r="B345" s="86" t="s">
        <v>465</v>
      </c>
      <c r="C345" s="87"/>
      <c r="D345" s="88" t="s">
        <v>466</v>
      </c>
      <c r="E345" s="43">
        <v>6160000</v>
      </c>
      <c r="F345" s="44">
        <f t="shared" si="20"/>
        <v>492800</v>
      </c>
      <c r="G345" s="45">
        <f t="shared" si="21"/>
        <v>6652800</v>
      </c>
      <c r="H345" s="46">
        <v>6652800</v>
      </c>
      <c r="I345" s="47">
        <f t="shared" si="19"/>
        <v>0</v>
      </c>
      <c r="J345" s="48">
        <v>44900</v>
      </c>
      <c r="K345" s="49">
        <v>45000</v>
      </c>
      <c r="L345" s="50">
        <v>4144482247</v>
      </c>
      <c r="M345" s="51" t="s">
        <v>293</v>
      </c>
      <c r="N345" s="52"/>
      <c r="O345" s="52"/>
      <c r="S345" s="53"/>
    </row>
    <row r="346" spans="1:23" s="2" customFormat="1" ht="16.5" customHeight="1" x14ac:dyDescent="0.35">
      <c r="A346" s="85" t="s">
        <v>37</v>
      </c>
      <c r="B346" s="86" t="s">
        <v>467</v>
      </c>
      <c r="C346" s="87"/>
      <c r="D346" s="88" t="s">
        <v>468</v>
      </c>
      <c r="E346" s="43">
        <v>3120000</v>
      </c>
      <c r="F346" s="44">
        <f t="shared" si="20"/>
        <v>249600</v>
      </c>
      <c r="G346" s="45">
        <f t="shared" si="21"/>
        <v>3369600</v>
      </c>
      <c r="H346" s="46">
        <v>3369600</v>
      </c>
      <c r="I346" s="47">
        <f t="shared" si="19"/>
        <v>0</v>
      </c>
      <c r="J346" s="48">
        <v>44900</v>
      </c>
      <c r="K346" s="49">
        <v>45275</v>
      </c>
      <c r="L346" s="50">
        <v>4144529725</v>
      </c>
      <c r="M346" s="51" t="s">
        <v>293</v>
      </c>
      <c r="N346" s="52"/>
      <c r="O346" s="52"/>
      <c r="S346" s="53"/>
    </row>
    <row r="347" spans="1:23" s="2" customFormat="1" ht="16.5" customHeight="1" x14ac:dyDescent="0.35">
      <c r="A347" s="85" t="s">
        <v>37</v>
      </c>
      <c r="B347" s="86" t="s">
        <v>469</v>
      </c>
      <c r="C347" s="87">
        <v>2538</v>
      </c>
      <c r="D347" s="88">
        <v>44909</v>
      </c>
      <c r="E347" s="43">
        <v>12739000</v>
      </c>
      <c r="F347" s="44">
        <f t="shared" si="20"/>
        <v>1019120</v>
      </c>
      <c r="G347" s="45">
        <f t="shared" si="21"/>
        <v>13758120</v>
      </c>
      <c r="H347" s="46">
        <v>13758120</v>
      </c>
      <c r="I347" s="47">
        <f t="shared" si="19"/>
        <v>0</v>
      </c>
      <c r="J347" s="48">
        <v>44907</v>
      </c>
      <c r="K347" s="49">
        <v>45031</v>
      </c>
      <c r="L347" s="50">
        <v>4900891013</v>
      </c>
      <c r="M347" s="51" t="s">
        <v>293</v>
      </c>
      <c r="N347" s="52"/>
      <c r="O347" s="52"/>
      <c r="S347" s="53"/>
    </row>
    <row r="348" spans="1:23" s="2" customFormat="1" ht="16.5" customHeight="1" x14ac:dyDescent="0.35">
      <c r="A348" s="85" t="s">
        <v>37</v>
      </c>
      <c r="B348" s="86" t="s">
        <v>470</v>
      </c>
      <c r="C348" s="87"/>
      <c r="D348" s="88" t="s">
        <v>468</v>
      </c>
      <c r="E348" s="43">
        <v>800000</v>
      </c>
      <c r="F348" s="44">
        <f t="shared" si="20"/>
        <v>64000</v>
      </c>
      <c r="G348" s="45">
        <f t="shared" si="21"/>
        <v>864000</v>
      </c>
      <c r="H348" s="46">
        <v>864000</v>
      </c>
      <c r="I348" s="47">
        <f t="shared" si="19"/>
        <v>0</v>
      </c>
      <c r="J348" s="48">
        <v>44900</v>
      </c>
      <c r="K348" s="49">
        <v>45000</v>
      </c>
      <c r="L348" s="50">
        <v>4900891045</v>
      </c>
      <c r="M348" s="51" t="s">
        <v>293</v>
      </c>
      <c r="N348" s="52"/>
      <c r="O348" s="52"/>
      <c r="S348" s="53"/>
    </row>
    <row r="349" spans="1:23" s="2" customFormat="1" ht="16.5" customHeight="1" x14ac:dyDescent="0.35">
      <c r="A349" s="85" t="s">
        <v>29</v>
      </c>
      <c r="B349" s="86" t="s">
        <v>471</v>
      </c>
      <c r="C349" s="87">
        <v>2539</v>
      </c>
      <c r="D349" s="88">
        <v>44909</v>
      </c>
      <c r="E349" s="43">
        <v>7558000</v>
      </c>
      <c r="F349" s="44">
        <f t="shared" si="20"/>
        <v>604640</v>
      </c>
      <c r="G349" s="45">
        <f t="shared" si="21"/>
        <v>8162640</v>
      </c>
      <c r="H349" s="46">
        <v>8162640</v>
      </c>
      <c r="I349" s="47">
        <f t="shared" si="19"/>
        <v>0</v>
      </c>
      <c r="J349" s="48">
        <v>44907</v>
      </c>
      <c r="K349" s="49">
        <v>45031</v>
      </c>
      <c r="L349" s="50">
        <v>4900890950</v>
      </c>
      <c r="M349" s="51" t="s">
        <v>293</v>
      </c>
      <c r="N349" s="52"/>
      <c r="O349" s="52"/>
      <c r="S349" s="53"/>
    </row>
    <row r="350" spans="1:23" s="2" customFormat="1" ht="16.5" customHeight="1" x14ac:dyDescent="0.35">
      <c r="A350" s="85" t="s">
        <v>33</v>
      </c>
      <c r="B350" s="86" t="s">
        <v>197</v>
      </c>
      <c r="C350" s="87">
        <v>2540</v>
      </c>
      <c r="D350" s="88">
        <v>44909</v>
      </c>
      <c r="E350" s="43">
        <v>2704500</v>
      </c>
      <c r="F350" s="44">
        <f t="shared" si="20"/>
        <v>216360</v>
      </c>
      <c r="G350" s="45">
        <f t="shared" si="21"/>
        <v>2920860</v>
      </c>
      <c r="H350" s="46">
        <v>2920860</v>
      </c>
      <c r="I350" s="47">
        <f t="shared" si="19"/>
        <v>0</v>
      </c>
      <c r="J350" s="48">
        <v>44907</v>
      </c>
      <c r="K350" s="49">
        <v>45031</v>
      </c>
      <c r="L350" s="50">
        <v>4900890977</v>
      </c>
      <c r="M350" s="51" t="s">
        <v>293</v>
      </c>
      <c r="N350" s="52"/>
      <c r="O350" s="52"/>
      <c r="S350" s="53"/>
    </row>
    <row r="351" spans="1:23" s="82" customFormat="1" ht="16.5" customHeight="1" x14ac:dyDescent="0.35">
      <c r="A351" s="91" t="s">
        <v>29</v>
      </c>
      <c r="B351" s="92" t="s">
        <v>472</v>
      </c>
      <c r="C351" s="93">
        <v>2542</v>
      </c>
      <c r="D351" s="94">
        <v>44909</v>
      </c>
      <c r="E351" s="74">
        <v>3987000</v>
      </c>
      <c r="F351" s="74">
        <f t="shared" si="20"/>
        <v>318960</v>
      </c>
      <c r="G351" s="54">
        <f t="shared" si="21"/>
        <v>4305960</v>
      </c>
      <c r="H351" s="75">
        <v>4305960</v>
      </c>
      <c r="I351" s="76">
        <f t="shared" si="19"/>
        <v>0</v>
      </c>
      <c r="J351" s="77">
        <v>44907</v>
      </c>
      <c r="K351" s="78">
        <v>45031</v>
      </c>
      <c r="L351" s="79">
        <v>4900891495</v>
      </c>
      <c r="M351" s="80" t="s">
        <v>293</v>
      </c>
      <c r="N351" s="81"/>
      <c r="O351" s="81"/>
      <c r="S351" s="83"/>
    </row>
    <row r="352" spans="1:23" s="2" customFormat="1" ht="16.5" customHeight="1" x14ac:dyDescent="0.35">
      <c r="A352" s="85" t="s">
        <v>37</v>
      </c>
      <c r="B352" s="86" t="s">
        <v>473</v>
      </c>
      <c r="C352" s="87"/>
      <c r="D352" s="88" t="s">
        <v>474</v>
      </c>
      <c r="E352" s="43">
        <v>320000</v>
      </c>
      <c r="F352" s="44">
        <f t="shared" si="20"/>
        <v>25600</v>
      </c>
      <c r="G352" s="45">
        <f t="shared" si="21"/>
        <v>345600</v>
      </c>
      <c r="H352" s="46">
        <v>345600</v>
      </c>
      <c r="I352" s="47">
        <f t="shared" si="19"/>
        <v>0</v>
      </c>
      <c r="J352" s="48">
        <v>44900</v>
      </c>
      <c r="K352" s="49">
        <v>45275</v>
      </c>
      <c r="L352" s="50">
        <v>4900891704</v>
      </c>
      <c r="M352" s="51" t="s">
        <v>293</v>
      </c>
      <c r="N352" s="52"/>
      <c r="O352" s="52"/>
      <c r="S352" s="53"/>
    </row>
    <row r="353" spans="1:19" s="2" customFormat="1" ht="16.5" customHeight="1" x14ac:dyDescent="0.35">
      <c r="A353" s="85" t="s">
        <v>475</v>
      </c>
      <c r="B353" s="86" t="s">
        <v>204</v>
      </c>
      <c r="C353" s="87"/>
      <c r="D353" s="88" t="s">
        <v>474</v>
      </c>
      <c r="E353" s="43">
        <v>5200000</v>
      </c>
      <c r="F353" s="44">
        <f t="shared" si="20"/>
        <v>416000</v>
      </c>
      <c r="G353" s="45">
        <f t="shared" si="21"/>
        <v>5616000</v>
      </c>
      <c r="H353" s="46">
        <v>5616000</v>
      </c>
      <c r="I353" s="47">
        <f t="shared" si="19"/>
        <v>0</v>
      </c>
      <c r="J353" s="48">
        <v>44900</v>
      </c>
      <c r="K353" s="49">
        <v>45275</v>
      </c>
      <c r="L353" s="50">
        <v>4144620327</v>
      </c>
      <c r="M353" s="51" t="s">
        <v>293</v>
      </c>
      <c r="N353" s="52"/>
      <c r="O353" s="52"/>
      <c r="S353" s="53"/>
    </row>
    <row r="354" spans="1:19" s="2" customFormat="1" ht="16.5" customHeight="1" x14ac:dyDescent="0.35">
      <c r="A354" s="85" t="s">
        <v>77</v>
      </c>
      <c r="B354" s="86" t="s">
        <v>476</v>
      </c>
      <c r="C354" s="87"/>
      <c r="D354" s="88" t="s">
        <v>477</v>
      </c>
      <c r="E354" s="43">
        <v>12840000</v>
      </c>
      <c r="F354" s="44">
        <f t="shared" si="20"/>
        <v>1027200</v>
      </c>
      <c r="G354" s="45">
        <f t="shared" si="21"/>
        <v>13867200</v>
      </c>
      <c r="H354" s="46">
        <v>13867200</v>
      </c>
      <c r="I354" s="47">
        <f t="shared" si="19"/>
        <v>0</v>
      </c>
      <c r="J354" s="48">
        <v>44907</v>
      </c>
      <c r="K354" s="49">
        <v>45031</v>
      </c>
      <c r="L354" s="50">
        <v>4144636070</v>
      </c>
      <c r="M354" s="51" t="s">
        <v>293</v>
      </c>
      <c r="N354" s="52"/>
      <c r="O354" s="52"/>
      <c r="S354" s="53"/>
    </row>
    <row r="355" spans="1:19" s="2" customFormat="1" ht="16.5" customHeight="1" x14ac:dyDescent="0.35">
      <c r="A355" s="85" t="s">
        <v>37</v>
      </c>
      <c r="B355" s="86" t="s">
        <v>478</v>
      </c>
      <c r="C355" s="87"/>
      <c r="D355" s="88" t="s">
        <v>479</v>
      </c>
      <c r="E355" s="43">
        <v>211200000</v>
      </c>
      <c r="F355" s="44">
        <f t="shared" si="20"/>
        <v>16896000</v>
      </c>
      <c r="G355" s="45">
        <f t="shared" si="21"/>
        <v>228096000</v>
      </c>
      <c r="H355" s="46">
        <v>228096000</v>
      </c>
      <c r="I355" s="47">
        <f t="shared" si="19"/>
        <v>0</v>
      </c>
      <c r="J355" s="48">
        <v>44907</v>
      </c>
      <c r="K355" s="49">
        <v>45031</v>
      </c>
      <c r="L355" s="50">
        <v>4900893513</v>
      </c>
      <c r="M355" s="51" t="s">
        <v>293</v>
      </c>
      <c r="N355" s="52"/>
      <c r="O355" s="52"/>
      <c r="S355" s="53"/>
    </row>
    <row r="356" spans="1:19" s="2" customFormat="1" ht="16.5" customHeight="1" x14ac:dyDescent="0.35">
      <c r="A356" s="85" t="s">
        <v>37</v>
      </c>
      <c r="B356" s="86" t="s">
        <v>480</v>
      </c>
      <c r="C356" s="87"/>
      <c r="D356" s="88" t="s">
        <v>479</v>
      </c>
      <c r="E356" s="43">
        <v>217455000</v>
      </c>
      <c r="F356" s="44">
        <f t="shared" si="20"/>
        <v>17396400</v>
      </c>
      <c r="G356" s="45">
        <f t="shared" si="21"/>
        <v>234851400</v>
      </c>
      <c r="H356" s="46">
        <v>234851400</v>
      </c>
      <c r="I356" s="47">
        <f t="shared" si="19"/>
        <v>0</v>
      </c>
      <c r="J356" s="48">
        <v>44907</v>
      </c>
      <c r="K356" s="49">
        <v>45031</v>
      </c>
      <c r="L356" s="50">
        <v>4900893392</v>
      </c>
      <c r="M356" s="51" t="s">
        <v>293</v>
      </c>
      <c r="N356" s="52"/>
      <c r="O356" s="52"/>
      <c r="S356" s="53"/>
    </row>
    <row r="357" spans="1:19" s="2" customFormat="1" ht="16.5" customHeight="1" x14ac:dyDescent="0.35">
      <c r="A357" s="85" t="s">
        <v>37</v>
      </c>
      <c r="B357" s="86" t="s">
        <v>481</v>
      </c>
      <c r="C357" s="87"/>
      <c r="D357" s="88" t="s">
        <v>479</v>
      </c>
      <c r="E357" s="43">
        <v>541013600</v>
      </c>
      <c r="F357" s="44">
        <f t="shared" si="20"/>
        <v>43281088</v>
      </c>
      <c r="G357" s="45">
        <f t="shared" si="21"/>
        <v>584294688</v>
      </c>
      <c r="H357" s="46">
        <v>584294688</v>
      </c>
      <c r="I357" s="47">
        <f t="shared" si="19"/>
        <v>0</v>
      </c>
      <c r="J357" s="48">
        <v>44907</v>
      </c>
      <c r="K357" s="49">
        <v>45000</v>
      </c>
      <c r="L357" s="50">
        <v>4900893552</v>
      </c>
      <c r="M357" s="51" t="s">
        <v>293</v>
      </c>
      <c r="N357" s="52"/>
      <c r="O357" s="52"/>
      <c r="S357" s="53"/>
    </row>
    <row r="358" spans="1:19" s="2" customFormat="1" ht="16.5" customHeight="1" x14ac:dyDescent="0.35">
      <c r="A358" s="85" t="s">
        <v>37</v>
      </c>
      <c r="B358" s="86" t="s">
        <v>482</v>
      </c>
      <c r="C358" s="87"/>
      <c r="D358" s="88" t="s">
        <v>479</v>
      </c>
      <c r="E358" s="43">
        <v>6240000</v>
      </c>
      <c r="F358" s="44">
        <f t="shared" si="20"/>
        <v>499200</v>
      </c>
      <c r="G358" s="45">
        <f t="shared" si="21"/>
        <v>6739200</v>
      </c>
      <c r="H358" s="46">
        <v>6739200</v>
      </c>
      <c r="I358" s="47">
        <f t="shared" si="19"/>
        <v>0</v>
      </c>
      <c r="J358" s="48">
        <v>44907</v>
      </c>
      <c r="K358" s="49">
        <v>45031</v>
      </c>
      <c r="L358" s="50">
        <v>4144748502</v>
      </c>
      <c r="M358" s="51" t="s">
        <v>293</v>
      </c>
      <c r="N358" s="52"/>
      <c r="O358" s="52"/>
      <c r="S358" s="53"/>
    </row>
    <row r="359" spans="1:19" s="2" customFormat="1" ht="16.5" customHeight="1" x14ac:dyDescent="0.35">
      <c r="A359" s="85" t="s">
        <v>37</v>
      </c>
      <c r="B359" s="86" t="s">
        <v>483</v>
      </c>
      <c r="C359" s="87">
        <v>2543</v>
      </c>
      <c r="D359" s="88">
        <v>44909</v>
      </c>
      <c r="E359" s="43">
        <v>3374366200</v>
      </c>
      <c r="F359" s="44">
        <f t="shared" si="20"/>
        <v>269949296</v>
      </c>
      <c r="G359" s="45">
        <f t="shared" si="21"/>
        <v>3644315496</v>
      </c>
      <c r="H359" s="46">
        <v>3644315496</v>
      </c>
      <c r="I359" s="47">
        <f t="shared" si="19"/>
        <v>0</v>
      </c>
      <c r="J359" s="48">
        <v>44907</v>
      </c>
      <c r="K359" s="49">
        <v>45000</v>
      </c>
      <c r="L359" s="50">
        <v>4900893551</v>
      </c>
      <c r="M359" s="51" t="s">
        <v>293</v>
      </c>
      <c r="N359" s="52"/>
      <c r="O359" s="52"/>
      <c r="S359" s="53"/>
    </row>
    <row r="360" spans="1:19" s="2" customFormat="1" ht="16.5" customHeight="1" x14ac:dyDescent="0.35">
      <c r="A360" s="85" t="s">
        <v>37</v>
      </c>
      <c r="B360" s="86" t="s">
        <v>484</v>
      </c>
      <c r="C360" s="87"/>
      <c r="D360" s="88" t="s">
        <v>479</v>
      </c>
      <c r="E360" s="43">
        <v>45396000</v>
      </c>
      <c r="F360" s="44">
        <f t="shared" si="20"/>
        <v>3631680</v>
      </c>
      <c r="G360" s="45">
        <f t="shared" si="21"/>
        <v>49027680</v>
      </c>
      <c r="H360" s="46">
        <v>49027680</v>
      </c>
      <c r="I360" s="47">
        <f t="shared" si="19"/>
        <v>0</v>
      </c>
      <c r="J360" s="48">
        <v>44907</v>
      </c>
      <c r="K360" s="49">
        <v>45031</v>
      </c>
      <c r="L360" s="50">
        <v>4900893812</v>
      </c>
      <c r="M360" s="51" t="s">
        <v>293</v>
      </c>
      <c r="N360" s="52"/>
      <c r="O360" s="52"/>
      <c r="S360" s="53"/>
    </row>
    <row r="361" spans="1:19" s="2" customFormat="1" ht="16.5" customHeight="1" x14ac:dyDescent="0.35">
      <c r="A361" s="85" t="s">
        <v>37</v>
      </c>
      <c r="B361" s="86" t="s">
        <v>485</v>
      </c>
      <c r="C361" s="87"/>
      <c r="D361" s="88" t="s">
        <v>479</v>
      </c>
      <c r="E361" s="43">
        <v>57024000</v>
      </c>
      <c r="F361" s="44">
        <f t="shared" si="20"/>
        <v>4561920</v>
      </c>
      <c r="G361" s="45">
        <f t="shared" si="21"/>
        <v>61585920</v>
      </c>
      <c r="H361" s="46">
        <v>61585920</v>
      </c>
      <c r="I361" s="47">
        <f t="shared" si="19"/>
        <v>0</v>
      </c>
      <c r="J361" s="48">
        <v>44907</v>
      </c>
      <c r="K361" s="49">
        <v>45031</v>
      </c>
      <c r="L361" s="50">
        <v>4900893904</v>
      </c>
      <c r="M361" s="51" t="s">
        <v>293</v>
      </c>
      <c r="N361" s="52"/>
      <c r="O361" s="52"/>
      <c r="S361" s="53"/>
    </row>
    <row r="362" spans="1:19" s="2" customFormat="1" ht="16.5" customHeight="1" x14ac:dyDescent="0.35">
      <c r="A362" s="85" t="s">
        <v>37</v>
      </c>
      <c r="B362" s="86" t="s">
        <v>486</v>
      </c>
      <c r="C362" s="87"/>
      <c r="D362" s="88" t="s">
        <v>479</v>
      </c>
      <c r="E362" s="43">
        <v>274770000</v>
      </c>
      <c r="F362" s="44">
        <f t="shared" si="20"/>
        <v>21981600</v>
      </c>
      <c r="G362" s="45">
        <f t="shared" si="21"/>
        <v>296751600</v>
      </c>
      <c r="H362" s="46">
        <v>296751600</v>
      </c>
      <c r="I362" s="47">
        <f t="shared" si="19"/>
        <v>0</v>
      </c>
      <c r="J362" s="48">
        <v>44907</v>
      </c>
      <c r="K362" s="49">
        <v>45031</v>
      </c>
      <c r="L362" s="50">
        <v>4900893366</v>
      </c>
      <c r="M362" s="51" t="s">
        <v>293</v>
      </c>
      <c r="N362" s="52"/>
      <c r="O362" s="52"/>
      <c r="S362" s="53"/>
    </row>
    <row r="363" spans="1:19" s="2" customFormat="1" ht="16.5" customHeight="1" x14ac:dyDescent="0.35">
      <c r="A363" s="85" t="s">
        <v>29</v>
      </c>
      <c r="B363" s="86" t="s">
        <v>487</v>
      </c>
      <c r="C363" s="87"/>
      <c r="D363" s="88" t="s">
        <v>488</v>
      </c>
      <c r="E363" s="43">
        <v>3080000</v>
      </c>
      <c r="F363" s="44">
        <f t="shared" si="20"/>
        <v>246400</v>
      </c>
      <c r="G363" s="45">
        <f t="shared" si="21"/>
        <v>3326400</v>
      </c>
      <c r="H363" s="46">
        <v>3326400</v>
      </c>
      <c r="I363" s="47">
        <f t="shared" si="19"/>
        <v>0</v>
      </c>
      <c r="J363" s="48">
        <v>44907</v>
      </c>
      <c r="K363" s="49">
        <v>45031</v>
      </c>
      <c r="L363" s="50">
        <v>4900894413</v>
      </c>
      <c r="M363" s="51" t="s">
        <v>293</v>
      </c>
      <c r="N363" s="52"/>
      <c r="O363" s="52"/>
      <c r="S363" s="53"/>
    </row>
    <row r="364" spans="1:19" s="2" customFormat="1" ht="16.5" customHeight="1" x14ac:dyDescent="0.35">
      <c r="A364" s="85" t="s">
        <v>37</v>
      </c>
      <c r="B364" s="86" t="s">
        <v>489</v>
      </c>
      <c r="C364" s="87"/>
      <c r="D364" s="88" t="s">
        <v>488</v>
      </c>
      <c r="E364" s="43">
        <v>8680000</v>
      </c>
      <c r="F364" s="44">
        <f t="shared" si="20"/>
        <v>694400</v>
      </c>
      <c r="G364" s="45">
        <f t="shared" si="21"/>
        <v>9374400</v>
      </c>
      <c r="H364" s="46">
        <v>9374400</v>
      </c>
      <c r="I364" s="47">
        <f t="shared" si="19"/>
        <v>0</v>
      </c>
      <c r="J364" s="48">
        <v>44907</v>
      </c>
      <c r="K364" s="49">
        <v>45031</v>
      </c>
      <c r="L364" s="50">
        <v>4900894201</v>
      </c>
      <c r="M364" s="51" t="s">
        <v>293</v>
      </c>
      <c r="N364" s="52"/>
      <c r="O364" s="52"/>
      <c r="S364" s="53"/>
    </row>
    <row r="365" spans="1:19" s="2" customFormat="1" ht="16.5" customHeight="1" x14ac:dyDescent="0.35">
      <c r="A365" s="85" t="s">
        <v>37</v>
      </c>
      <c r="B365" s="86" t="s">
        <v>490</v>
      </c>
      <c r="C365" s="87"/>
      <c r="D365" s="88" t="s">
        <v>488</v>
      </c>
      <c r="E365" s="43">
        <v>312000</v>
      </c>
      <c r="F365" s="44">
        <f t="shared" si="20"/>
        <v>24960</v>
      </c>
      <c r="G365" s="45">
        <f t="shared" si="21"/>
        <v>336960</v>
      </c>
      <c r="H365" s="46">
        <v>336960</v>
      </c>
      <c r="I365" s="47">
        <f t="shared" si="19"/>
        <v>0</v>
      </c>
      <c r="J365" s="48">
        <v>44907</v>
      </c>
      <c r="K365" s="49">
        <v>45000</v>
      </c>
      <c r="L365" s="50">
        <v>4900894218</v>
      </c>
      <c r="M365" s="51" t="s">
        <v>293</v>
      </c>
      <c r="N365" s="52"/>
      <c r="O365" s="52"/>
      <c r="S365" s="53"/>
    </row>
    <row r="366" spans="1:19" s="2" customFormat="1" ht="16.5" customHeight="1" x14ac:dyDescent="0.35">
      <c r="A366" s="85" t="s">
        <v>37</v>
      </c>
      <c r="B366" s="86" t="s">
        <v>491</v>
      </c>
      <c r="C366" s="87"/>
      <c r="D366" s="88" t="s">
        <v>488</v>
      </c>
      <c r="E366" s="43">
        <v>2080000</v>
      </c>
      <c r="F366" s="44">
        <f t="shared" si="20"/>
        <v>166400</v>
      </c>
      <c r="G366" s="45">
        <f t="shared" si="21"/>
        <v>2246400</v>
      </c>
      <c r="H366" s="46">
        <v>2246400</v>
      </c>
      <c r="I366" s="47">
        <f t="shared" si="19"/>
        <v>0</v>
      </c>
      <c r="J366" s="48">
        <v>44907</v>
      </c>
      <c r="K366" s="49">
        <v>45000</v>
      </c>
      <c r="L366" s="50">
        <v>4144865224</v>
      </c>
      <c r="M366" s="51" t="s">
        <v>293</v>
      </c>
      <c r="N366" s="52"/>
      <c r="O366" s="52"/>
      <c r="S366" s="53"/>
    </row>
    <row r="367" spans="1:19" s="2" customFormat="1" ht="16.5" customHeight="1" x14ac:dyDescent="0.35">
      <c r="A367" s="85" t="s">
        <v>33</v>
      </c>
      <c r="B367" s="86" t="s">
        <v>492</v>
      </c>
      <c r="C367" s="87">
        <v>2869</v>
      </c>
      <c r="D367" s="88">
        <v>44925</v>
      </c>
      <c r="E367" s="43">
        <v>3168000</v>
      </c>
      <c r="F367" s="44">
        <f t="shared" si="20"/>
        <v>253440</v>
      </c>
      <c r="G367" s="45">
        <f t="shared" si="21"/>
        <v>3421440</v>
      </c>
      <c r="H367" s="46">
        <v>3421440</v>
      </c>
      <c r="I367" s="47">
        <f t="shared" si="19"/>
        <v>0</v>
      </c>
      <c r="J367" s="48">
        <v>44922</v>
      </c>
      <c r="K367" s="49">
        <v>45031</v>
      </c>
      <c r="L367" s="50">
        <v>4900894544</v>
      </c>
      <c r="M367" s="51" t="s">
        <v>293</v>
      </c>
      <c r="N367" s="52"/>
      <c r="O367" s="52"/>
      <c r="S367" s="53"/>
    </row>
    <row r="368" spans="1:19" s="2" customFormat="1" ht="16.5" customHeight="1" x14ac:dyDescent="0.35">
      <c r="A368" s="85" t="s">
        <v>33</v>
      </c>
      <c r="B368" s="86" t="s">
        <v>493</v>
      </c>
      <c r="C368" s="87"/>
      <c r="D368" s="88" t="s">
        <v>494</v>
      </c>
      <c r="E368" s="43">
        <v>1160000</v>
      </c>
      <c r="F368" s="44">
        <f t="shared" si="20"/>
        <v>92800</v>
      </c>
      <c r="G368" s="45">
        <f t="shared" si="21"/>
        <v>1252800</v>
      </c>
      <c r="H368" s="46">
        <v>1252800</v>
      </c>
      <c r="I368" s="47">
        <f t="shared" si="19"/>
        <v>0</v>
      </c>
      <c r="J368" s="48">
        <v>44907</v>
      </c>
      <c r="K368" s="49">
        <v>45000</v>
      </c>
      <c r="L368" s="50">
        <v>4900894427</v>
      </c>
      <c r="M368" s="51" t="s">
        <v>293</v>
      </c>
      <c r="N368" s="52"/>
      <c r="O368" s="52"/>
      <c r="S368" s="53"/>
    </row>
    <row r="369" spans="1:19" s="2" customFormat="1" ht="16.5" customHeight="1" x14ac:dyDescent="0.35">
      <c r="A369" s="85" t="s">
        <v>29</v>
      </c>
      <c r="B369" s="86" t="s">
        <v>495</v>
      </c>
      <c r="C369" s="87"/>
      <c r="D369" s="88" t="s">
        <v>494</v>
      </c>
      <c r="E369" s="43">
        <v>77058000</v>
      </c>
      <c r="F369" s="44">
        <f t="shared" si="20"/>
        <v>6164640</v>
      </c>
      <c r="G369" s="45">
        <f t="shared" si="21"/>
        <v>83222640</v>
      </c>
      <c r="H369" s="46">
        <v>83222640</v>
      </c>
      <c r="I369" s="47">
        <f t="shared" si="19"/>
        <v>0</v>
      </c>
      <c r="J369" s="48">
        <v>44922</v>
      </c>
      <c r="K369" s="49">
        <v>45031</v>
      </c>
      <c r="L369" s="50">
        <v>4900894525</v>
      </c>
      <c r="M369" s="51" t="s">
        <v>293</v>
      </c>
      <c r="N369" s="52"/>
      <c r="O369" s="52"/>
      <c r="S369" s="53"/>
    </row>
    <row r="370" spans="1:19" s="2" customFormat="1" ht="16.5" customHeight="1" x14ac:dyDescent="0.35">
      <c r="A370" s="85" t="s">
        <v>33</v>
      </c>
      <c r="B370" s="86" t="s">
        <v>496</v>
      </c>
      <c r="C370" s="87"/>
      <c r="D370" s="88" t="s">
        <v>497</v>
      </c>
      <c r="E370" s="43">
        <v>255196200</v>
      </c>
      <c r="F370" s="44">
        <f t="shared" si="20"/>
        <v>20415696</v>
      </c>
      <c r="G370" s="45">
        <f t="shared" si="21"/>
        <v>275611896</v>
      </c>
      <c r="H370" s="46">
        <v>275611896</v>
      </c>
      <c r="I370" s="47">
        <f t="shared" si="19"/>
        <v>0</v>
      </c>
      <c r="J370" s="48">
        <v>44922</v>
      </c>
      <c r="K370" s="49">
        <v>45031</v>
      </c>
      <c r="L370" s="50">
        <v>4900895966</v>
      </c>
      <c r="M370" s="51" t="s">
        <v>293</v>
      </c>
      <c r="N370" s="52"/>
      <c r="O370" s="52"/>
      <c r="S370" s="53"/>
    </row>
    <row r="371" spans="1:19" s="2" customFormat="1" ht="16.5" customHeight="1" x14ac:dyDescent="0.35">
      <c r="A371" s="85" t="s">
        <v>29</v>
      </c>
      <c r="B371" s="86" t="s">
        <v>498</v>
      </c>
      <c r="C371" s="87"/>
      <c r="D371" s="88" t="s">
        <v>497</v>
      </c>
      <c r="E371" s="43">
        <v>1184175800</v>
      </c>
      <c r="F371" s="44">
        <f t="shared" si="20"/>
        <v>94734064</v>
      </c>
      <c r="G371" s="45">
        <f t="shared" si="21"/>
        <v>1278909864</v>
      </c>
      <c r="H371" s="46">
        <v>1278909864</v>
      </c>
      <c r="I371" s="47">
        <f t="shared" si="19"/>
        <v>0</v>
      </c>
      <c r="J371" s="48">
        <v>44907</v>
      </c>
      <c r="K371" s="49">
        <v>45000</v>
      </c>
      <c r="L371" s="50">
        <v>4900895960</v>
      </c>
      <c r="M371" s="51" t="s">
        <v>293</v>
      </c>
      <c r="N371" s="52"/>
      <c r="O371" s="52"/>
      <c r="S371" s="53"/>
    </row>
    <row r="372" spans="1:19" s="2" customFormat="1" ht="16.5" customHeight="1" x14ac:dyDescent="0.35">
      <c r="A372" s="85" t="s">
        <v>29</v>
      </c>
      <c r="B372" s="86" t="s">
        <v>187</v>
      </c>
      <c r="C372" s="87"/>
      <c r="D372" s="88" t="s">
        <v>499</v>
      </c>
      <c r="E372" s="43">
        <v>8280000</v>
      </c>
      <c r="F372" s="44">
        <f t="shared" si="20"/>
        <v>662400</v>
      </c>
      <c r="G372" s="45">
        <f t="shared" si="21"/>
        <v>8942400</v>
      </c>
      <c r="H372" s="46">
        <v>8942400</v>
      </c>
      <c r="I372" s="47">
        <f t="shared" si="19"/>
        <v>0</v>
      </c>
      <c r="J372" s="48">
        <v>44922</v>
      </c>
      <c r="K372" s="49">
        <v>45031</v>
      </c>
      <c r="L372" s="50">
        <v>4900895937</v>
      </c>
      <c r="M372" s="51" t="s">
        <v>293</v>
      </c>
      <c r="N372" s="52"/>
      <c r="O372" s="52"/>
      <c r="S372" s="53"/>
    </row>
    <row r="373" spans="1:19" s="2" customFormat="1" ht="16.5" customHeight="1" x14ac:dyDescent="0.35">
      <c r="A373" s="85" t="s">
        <v>29</v>
      </c>
      <c r="B373" s="86" t="s">
        <v>30</v>
      </c>
      <c r="C373" s="87"/>
      <c r="D373" s="88" t="s">
        <v>499</v>
      </c>
      <c r="E373" s="43">
        <v>18720000</v>
      </c>
      <c r="F373" s="44">
        <f t="shared" si="20"/>
        <v>1497600</v>
      </c>
      <c r="G373" s="45">
        <f t="shared" si="21"/>
        <v>20217600</v>
      </c>
      <c r="H373" s="46">
        <v>20217600</v>
      </c>
      <c r="I373" s="47">
        <f t="shared" si="19"/>
        <v>0</v>
      </c>
      <c r="J373" s="48">
        <v>44922</v>
      </c>
      <c r="K373" s="49">
        <v>45031</v>
      </c>
      <c r="L373" s="50">
        <v>4144973462</v>
      </c>
      <c r="M373" s="51" t="s">
        <v>293</v>
      </c>
      <c r="N373" s="52"/>
      <c r="O373" s="52"/>
      <c r="S373" s="53"/>
    </row>
    <row r="374" spans="1:19" s="2" customFormat="1" ht="16.5" customHeight="1" x14ac:dyDescent="0.35">
      <c r="A374" s="85" t="s">
        <v>29</v>
      </c>
      <c r="B374" s="86" t="s">
        <v>500</v>
      </c>
      <c r="C374" s="87"/>
      <c r="D374" s="88" t="s">
        <v>499</v>
      </c>
      <c r="E374" s="43">
        <v>4685000</v>
      </c>
      <c r="F374" s="44">
        <f t="shared" si="20"/>
        <v>374800</v>
      </c>
      <c r="G374" s="45">
        <f t="shared" si="21"/>
        <v>5059800</v>
      </c>
      <c r="H374" s="46">
        <v>5059800</v>
      </c>
      <c r="I374" s="47">
        <f t="shared" si="19"/>
        <v>0</v>
      </c>
      <c r="J374" s="48">
        <v>44922</v>
      </c>
      <c r="K374" s="49">
        <v>45031</v>
      </c>
      <c r="L374" s="50">
        <v>4900896556</v>
      </c>
      <c r="M374" s="51" t="s">
        <v>293</v>
      </c>
      <c r="N374" s="52"/>
      <c r="O374" s="52"/>
      <c r="S374" s="53"/>
    </row>
    <row r="375" spans="1:19" s="2" customFormat="1" ht="16.5" customHeight="1" x14ac:dyDescent="0.35">
      <c r="A375" s="85" t="s">
        <v>33</v>
      </c>
      <c r="B375" s="86" t="s">
        <v>192</v>
      </c>
      <c r="C375" s="87">
        <v>2830</v>
      </c>
      <c r="D375" s="88">
        <v>44922</v>
      </c>
      <c r="E375" s="43">
        <v>1950000</v>
      </c>
      <c r="F375" s="44">
        <f t="shared" si="20"/>
        <v>156000</v>
      </c>
      <c r="G375" s="45">
        <f t="shared" si="21"/>
        <v>2106000</v>
      </c>
      <c r="H375" s="46">
        <v>2106000</v>
      </c>
      <c r="I375" s="47">
        <f t="shared" si="19"/>
        <v>0</v>
      </c>
      <c r="J375" s="48">
        <v>44922</v>
      </c>
      <c r="K375" s="49">
        <v>45031</v>
      </c>
      <c r="L375" s="50">
        <v>4900896449</v>
      </c>
      <c r="M375" s="51" t="s">
        <v>293</v>
      </c>
      <c r="N375" s="52"/>
      <c r="O375" s="52"/>
      <c r="S375" s="53"/>
    </row>
    <row r="376" spans="1:19" s="2" customFormat="1" ht="16.5" customHeight="1" x14ac:dyDescent="0.35">
      <c r="A376" s="85" t="s">
        <v>33</v>
      </c>
      <c r="B376" s="86" t="s">
        <v>501</v>
      </c>
      <c r="C376" s="87">
        <v>2831</v>
      </c>
      <c r="D376" s="88">
        <v>44922</v>
      </c>
      <c r="E376" s="43">
        <v>16770000</v>
      </c>
      <c r="F376" s="44">
        <f t="shared" si="20"/>
        <v>1341600</v>
      </c>
      <c r="G376" s="45">
        <f t="shared" si="21"/>
        <v>18111600</v>
      </c>
      <c r="H376" s="46">
        <v>18111600</v>
      </c>
      <c r="I376" s="47">
        <f t="shared" si="19"/>
        <v>0</v>
      </c>
      <c r="J376" s="48">
        <v>44922</v>
      </c>
      <c r="K376" s="49">
        <v>45031</v>
      </c>
      <c r="L376" s="50">
        <v>4900896770</v>
      </c>
      <c r="M376" s="51" t="s">
        <v>293</v>
      </c>
      <c r="N376" s="52"/>
      <c r="O376" s="52"/>
      <c r="S376" s="53"/>
    </row>
    <row r="377" spans="1:19" s="2" customFormat="1" ht="16.5" customHeight="1" x14ac:dyDescent="0.35">
      <c r="A377" s="85" t="s">
        <v>37</v>
      </c>
      <c r="B377" s="86" t="s">
        <v>502</v>
      </c>
      <c r="C377" s="87"/>
      <c r="D377" s="88" t="s">
        <v>503</v>
      </c>
      <c r="E377" s="43">
        <v>199584000</v>
      </c>
      <c r="F377" s="44">
        <f t="shared" si="20"/>
        <v>15966720</v>
      </c>
      <c r="G377" s="45">
        <f t="shared" si="21"/>
        <v>215550720</v>
      </c>
      <c r="H377" s="46">
        <v>215550720</v>
      </c>
      <c r="I377" s="47">
        <f t="shared" si="19"/>
        <v>0</v>
      </c>
      <c r="J377" s="48">
        <v>44907</v>
      </c>
      <c r="K377" s="49">
        <v>45031</v>
      </c>
      <c r="L377" s="50">
        <v>4900896865</v>
      </c>
      <c r="M377" s="51" t="s">
        <v>293</v>
      </c>
      <c r="N377" s="52"/>
      <c r="O377" s="52"/>
      <c r="S377" s="53"/>
    </row>
    <row r="378" spans="1:19" s="2" customFormat="1" ht="16.5" customHeight="1" x14ac:dyDescent="0.35">
      <c r="A378" s="85" t="s">
        <v>37</v>
      </c>
      <c r="B378" s="86" t="s">
        <v>504</v>
      </c>
      <c r="C378" s="87"/>
      <c r="D378" s="88" t="s">
        <v>503</v>
      </c>
      <c r="E378" s="43">
        <v>58112000</v>
      </c>
      <c r="F378" s="44">
        <f t="shared" si="20"/>
        <v>4648960</v>
      </c>
      <c r="G378" s="45">
        <f t="shared" si="21"/>
        <v>62760960</v>
      </c>
      <c r="H378" s="46">
        <v>62760960</v>
      </c>
      <c r="I378" s="47">
        <f t="shared" si="19"/>
        <v>0</v>
      </c>
      <c r="J378" s="48">
        <v>44907</v>
      </c>
      <c r="K378" s="49">
        <v>45000</v>
      </c>
      <c r="L378" s="50">
        <v>4900897027</v>
      </c>
      <c r="M378" s="51" t="s">
        <v>293</v>
      </c>
      <c r="N378" s="52"/>
      <c r="O378" s="52"/>
      <c r="S378" s="53"/>
    </row>
    <row r="379" spans="1:19" s="2" customFormat="1" ht="16.5" customHeight="1" x14ac:dyDescent="0.35">
      <c r="A379" s="85" t="s">
        <v>37</v>
      </c>
      <c r="B379" s="86" t="s">
        <v>505</v>
      </c>
      <c r="C379" s="87"/>
      <c r="D379" s="88" t="s">
        <v>503</v>
      </c>
      <c r="E379" s="43">
        <v>3168000</v>
      </c>
      <c r="F379" s="44">
        <f t="shared" si="20"/>
        <v>253440</v>
      </c>
      <c r="G379" s="45">
        <f t="shared" si="21"/>
        <v>3421440</v>
      </c>
      <c r="H379" s="46">
        <v>3421440</v>
      </c>
      <c r="I379" s="47">
        <f t="shared" si="19"/>
        <v>0</v>
      </c>
      <c r="J379" s="48">
        <v>44907</v>
      </c>
      <c r="K379" s="49">
        <v>45000</v>
      </c>
      <c r="L379" s="50">
        <v>4900896883</v>
      </c>
      <c r="M379" s="51" t="s">
        <v>293</v>
      </c>
      <c r="N379" s="52"/>
      <c r="O379" s="52"/>
      <c r="S379" s="53"/>
    </row>
    <row r="380" spans="1:19" s="2" customFormat="1" ht="16.5" customHeight="1" x14ac:dyDescent="0.35">
      <c r="A380" s="85" t="s">
        <v>37</v>
      </c>
      <c r="B380" s="86" t="s">
        <v>506</v>
      </c>
      <c r="C380" s="87"/>
      <c r="D380" s="88" t="s">
        <v>503</v>
      </c>
      <c r="E380" s="43">
        <v>6336000</v>
      </c>
      <c r="F380" s="44">
        <f t="shared" si="20"/>
        <v>506880</v>
      </c>
      <c r="G380" s="45">
        <f t="shared" si="21"/>
        <v>6842880</v>
      </c>
      <c r="H380" s="46">
        <v>6842880</v>
      </c>
      <c r="I380" s="47">
        <f t="shared" si="19"/>
        <v>0</v>
      </c>
      <c r="J380" s="48">
        <v>44907</v>
      </c>
      <c r="K380" s="49">
        <v>45031</v>
      </c>
      <c r="L380" s="50">
        <v>4900896866</v>
      </c>
      <c r="M380" s="51" t="s">
        <v>293</v>
      </c>
      <c r="N380" s="52"/>
      <c r="O380" s="52"/>
      <c r="S380" s="53"/>
    </row>
    <row r="381" spans="1:19" s="2" customFormat="1" ht="16.5" customHeight="1" x14ac:dyDescent="0.35">
      <c r="A381" s="85" t="s">
        <v>37</v>
      </c>
      <c r="B381" s="86" t="s">
        <v>507</v>
      </c>
      <c r="C381" s="87"/>
      <c r="D381" s="88" t="s">
        <v>503</v>
      </c>
      <c r="E381" s="43">
        <v>119685600</v>
      </c>
      <c r="F381" s="44">
        <f t="shared" si="20"/>
        <v>9574848</v>
      </c>
      <c r="G381" s="45">
        <f t="shared" si="21"/>
        <v>129260448</v>
      </c>
      <c r="H381" s="46">
        <v>129260448</v>
      </c>
      <c r="I381" s="47">
        <f t="shared" si="19"/>
        <v>0</v>
      </c>
      <c r="J381" s="48">
        <v>44907</v>
      </c>
      <c r="K381" s="49">
        <v>45031</v>
      </c>
      <c r="L381" s="50">
        <v>4900894538</v>
      </c>
      <c r="M381" s="51" t="s">
        <v>293</v>
      </c>
      <c r="N381" s="52"/>
      <c r="O381" s="52"/>
      <c r="S381" s="53"/>
    </row>
    <row r="382" spans="1:19" s="2" customFormat="1" ht="16.5" customHeight="1" x14ac:dyDescent="0.35">
      <c r="A382" s="85" t="s">
        <v>37</v>
      </c>
      <c r="B382" s="86" t="s">
        <v>508</v>
      </c>
      <c r="C382" s="87"/>
      <c r="D382" s="88" t="s">
        <v>503</v>
      </c>
      <c r="E382" s="43">
        <v>1040000</v>
      </c>
      <c r="F382" s="44">
        <f t="shared" si="20"/>
        <v>83200</v>
      </c>
      <c r="G382" s="45">
        <f t="shared" si="21"/>
        <v>1123200</v>
      </c>
      <c r="H382" s="46">
        <v>1123200</v>
      </c>
      <c r="I382" s="47">
        <f t="shared" si="19"/>
        <v>0</v>
      </c>
      <c r="J382" s="48">
        <v>44907</v>
      </c>
      <c r="K382" s="49">
        <v>45000</v>
      </c>
      <c r="L382" s="50">
        <v>4900896886</v>
      </c>
      <c r="M382" s="51" t="s">
        <v>293</v>
      </c>
      <c r="N382" s="52"/>
      <c r="O382" s="52"/>
      <c r="S382" s="53"/>
    </row>
    <row r="383" spans="1:19" s="2" customFormat="1" ht="16.5" customHeight="1" x14ac:dyDescent="0.35">
      <c r="A383" s="85" t="s">
        <v>37</v>
      </c>
      <c r="B383" s="86" t="s">
        <v>509</v>
      </c>
      <c r="C383" s="87"/>
      <c r="D383" s="88" t="s">
        <v>503</v>
      </c>
      <c r="E383" s="43">
        <v>1040000</v>
      </c>
      <c r="F383" s="44">
        <f t="shared" si="20"/>
        <v>83200</v>
      </c>
      <c r="G383" s="45">
        <f t="shared" si="21"/>
        <v>1123200</v>
      </c>
      <c r="H383" s="46">
        <v>1123200</v>
      </c>
      <c r="I383" s="47">
        <f t="shared" si="19"/>
        <v>0</v>
      </c>
      <c r="J383" s="48">
        <v>44907</v>
      </c>
      <c r="K383" s="49">
        <v>45000</v>
      </c>
      <c r="L383" s="50">
        <v>4144973744</v>
      </c>
      <c r="M383" s="51" t="s">
        <v>293</v>
      </c>
      <c r="N383" s="52"/>
      <c r="O383" s="52"/>
      <c r="S383" s="53"/>
    </row>
    <row r="384" spans="1:19" s="2" customFormat="1" ht="16.5" customHeight="1" x14ac:dyDescent="0.35">
      <c r="A384" s="85" t="s">
        <v>37</v>
      </c>
      <c r="B384" s="86" t="s">
        <v>510</v>
      </c>
      <c r="C384" s="87"/>
      <c r="D384" s="88" t="s">
        <v>511</v>
      </c>
      <c r="E384" s="43">
        <v>1380000</v>
      </c>
      <c r="F384" s="44">
        <f t="shared" si="20"/>
        <v>110400</v>
      </c>
      <c r="G384" s="45">
        <f t="shared" si="21"/>
        <v>1490400</v>
      </c>
      <c r="H384" s="46">
        <v>1490400</v>
      </c>
      <c r="I384" s="47">
        <f t="shared" si="19"/>
        <v>0</v>
      </c>
      <c r="J384" s="48">
        <v>44922</v>
      </c>
      <c r="K384" s="49">
        <v>45031</v>
      </c>
      <c r="L384" s="50">
        <v>4900897275</v>
      </c>
      <c r="M384" s="51" t="s">
        <v>293</v>
      </c>
      <c r="N384" s="52"/>
      <c r="O384" s="52"/>
      <c r="S384" s="53"/>
    </row>
    <row r="385" spans="1:19" s="2" customFormat="1" ht="16.5" customHeight="1" x14ac:dyDescent="0.35">
      <c r="A385" s="85" t="s">
        <v>37</v>
      </c>
      <c r="B385" s="86" t="s">
        <v>512</v>
      </c>
      <c r="C385" s="87"/>
      <c r="D385" s="88" t="s">
        <v>513</v>
      </c>
      <c r="E385" s="43">
        <v>14180000</v>
      </c>
      <c r="F385" s="44">
        <f t="shared" si="20"/>
        <v>1134400</v>
      </c>
      <c r="G385" s="45">
        <f t="shared" si="21"/>
        <v>15314400</v>
      </c>
      <c r="H385" s="46">
        <v>15314400</v>
      </c>
      <c r="I385" s="47">
        <f t="shared" si="19"/>
        <v>0</v>
      </c>
      <c r="J385" s="48">
        <v>44922</v>
      </c>
      <c r="K385" s="49">
        <v>45031</v>
      </c>
      <c r="L385" s="50">
        <v>4900899145</v>
      </c>
      <c r="M385" s="51" t="s">
        <v>293</v>
      </c>
      <c r="N385" s="52"/>
      <c r="O385" s="52"/>
      <c r="S385" s="53"/>
    </row>
    <row r="386" spans="1:19" s="2" customFormat="1" ht="16.5" customHeight="1" x14ac:dyDescent="0.35">
      <c r="A386" s="85" t="s">
        <v>29</v>
      </c>
      <c r="B386" s="86" t="s">
        <v>514</v>
      </c>
      <c r="C386" s="87"/>
      <c r="D386" s="88" t="s">
        <v>515</v>
      </c>
      <c r="E386" s="43">
        <v>3080000</v>
      </c>
      <c r="F386" s="44">
        <f t="shared" si="20"/>
        <v>246400</v>
      </c>
      <c r="G386" s="45">
        <f t="shared" si="21"/>
        <v>3326400</v>
      </c>
      <c r="H386" s="46">
        <v>3326400</v>
      </c>
      <c r="I386" s="47">
        <f t="shared" si="19"/>
        <v>0</v>
      </c>
      <c r="J386" s="48">
        <v>44922</v>
      </c>
      <c r="K386" s="49">
        <v>45031</v>
      </c>
      <c r="L386" s="50">
        <v>4900899996</v>
      </c>
      <c r="M386" s="51" t="s">
        <v>293</v>
      </c>
      <c r="N386" s="52"/>
      <c r="O386" s="52"/>
      <c r="S386" s="53"/>
    </row>
    <row r="387" spans="1:19" s="2" customFormat="1" ht="16.5" customHeight="1" x14ac:dyDescent="0.35">
      <c r="A387" s="85" t="s">
        <v>37</v>
      </c>
      <c r="B387" s="86" t="s">
        <v>516</v>
      </c>
      <c r="C387" s="87"/>
      <c r="D387" s="88" t="s">
        <v>517</v>
      </c>
      <c r="E387" s="43">
        <v>1040000</v>
      </c>
      <c r="F387" s="44">
        <f t="shared" si="20"/>
        <v>83200</v>
      </c>
      <c r="G387" s="45">
        <f t="shared" si="21"/>
        <v>1123200</v>
      </c>
      <c r="H387" s="46">
        <v>1123200</v>
      </c>
      <c r="I387" s="47">
        <f t="shared" si="19"/>
        <v>0</v>
      </c>
      <c r="J387" s="48">
        <v>44922</v>
      </c>
      <c r="K387" s="49">
        <v>45031</v>
      </c>
      <c r="L387" s="50">
        <v>4145200997</v>
      </c>
      <c r="M387" s="51" t="s">
        <v>293</v>
      </c>
      <c r="N387" s="52"/>
      <c r="O387" s="52"/>
      <c r="S387" s="53"/>
    </row>
    <row r="388" spans="1:19" s="2" customFormat="1" ht="16.5" customHeight="1" x14ac:dyDescent="0.35">
      <c r="A388" s="85" t="s">
        <v>37</v>
      </c>
      <c r="B388" s="86" t="s">
        <v>518</v>
      </c>
      <c r="C388" s="87"/>
      <c r="D388" s="88" t="s">
        <v>517</v>
      </c>
      <c r="E388" s="43">
        <v>2960000</v>
      </c>
      <c r="F388" s="44">
        <f t="shared" si="20"/>
        <v>236800</v>
      </c>
      <c r="G388" s="45">
        <f t="shared" si="21"/>
        <v>3196800</v>
      </c>
      <c r="H388" s="46">
        <v>3196800</v>
      </c>
      <c r="I388" s="47">
        <f t="shared" si="19"/>
        <v>0</v>
      </c>
      <c r="J388" s="48">
        <v>44922</v>
      </c>
      <c r="K388" s="49">
        <v>45031</v>
      </c>
      <c r="L388" s="50">
        <v>4900900291</v>
      </c>
      <c r="M388" s="51" t="s">
        <v>293</v>
      </c>
      <c r="N388" s="52"/>
      <c r="O388" s="52"/>
      <c r="S388" s="53"/>
    </row>
    <row r="389" spans="1:19" s="2" customFormat="1" ht="16.5" customHeight="1" x14ac:dyDescent="0.35">
      <c r="A389" s="85" t="s">
        <v>37</v>
      </c>
      <c r="B389" s="86" t="s">
        <v>519</v>
      </c>
      <c r="C389" s="87"/>
      <c r="D389" s="88" t="s">
        <v>517</v>
      </c>
      <c r="E389" s="43">
        <v>32571000</v>
      </c>
      <c r="F389" s="44">
        <f t="shared" si="20"/>
        <v>2605680</v>
      </c>
      <c r="G389" s="45">
        <f t="shared" si="21"/>
        <v>35176680</v>
      </c>
      <c r="H389" s="46">
        <v>35176680</v>
      </c>
      <c r="I389" s="47">
        <f t="shared" si="19"/>
        <v>0</v>
      </c>
      <c r="J389" s="48">
        <v>44922</v>
      </c>
      <c r="K389" s="49">
        <v>45031</v>
      </c>
      <c r="L389" s="50">
        <v>4900900158</v>
      </c>
      <c r="M389" s="51" t="s">
        <v>293</v>
      </c>
      <c r="N389" s="52"/>
      <c r="O389" s="52"/>
      <c r="S389" s="53"/>
    </row>
    <row r="390" spans="1:19" s="2" customFormat="1" ht="16.5" customHeight="1" x14ac:dyDescent="0.35">
      <c r="A390" s="85" t="s">
        <v>29</v>
      </c>
      <c r="B390" s="86" t="s">
        <v>181</v>
      </c>
      <c r="C390" s="87"/>
      <c r="D390" s="88" t="s">
        <v>520</v>
      </c>
      <c r="E390" s="43">
        <v>4216000</v>
      </c>
      <c r="F390" s="44">
        <f t="shared" si="20"/>
        <v>337280</v>
      </c>
      <c r="G390" s="45">
        <f t="shared" si="21"/>
        <v>4553280</v>
      </c>
      <c r="H390" s="46">
        <v>4553280</v>
      </c>
      <c r="I390" s="47">
        <f t="shared" si="19"/>
        <v>0</v>
      </c>
      <c r="J390" s="48">
        <v>44922</v>
      </c>
      <c r="K390" s="49">
        <v>45031</v>
      </c>
      <c r="L390" s="50">
        <v>4900900836</v>
      </c>
      <c r="M390" s="51" t="s">
        <v>293</v>
      </c>
      <c r="N390" s="52"/>
      <c r="O390" s="52"/>
      <c r="S390" s="53"/>
    </row>
    <row r="391" spans="1:19" s="2" customFormat="1" ht="16.5" customHeight="1" x14ac:dyDescent="0.35">
      <c r="A391" s="85" t="s">
        <v>33</v>
      </c>
      <c r="B391" s="86" t="s">
        <v>521</v>
      </c>
      <c r="C391" s="87"/>
      <c r="D391" s="88" t="s">
        <v>520</v>
      </c>
      <c r="E391" s="43">
        <v>1317000</v>
      </c>
      <c r="F391" s="44">
        <f t="shared" si="20"/>
        <v>105360</v>
      </c>
      <c r="G391" s="45">
        <f t="shared" si="21"/>
        <v>1422360</v>
      </c>
      <c r="H391" s="46">
        <v>1422360</v>
      </c>
      <c r="I391" s="47">
        <f t="shared" si="19"/>
        <v>0</v>
      </c>
      <c r="J391" s="48">
        <v>44922</v>
      </c>
      <c r="K391" s="49">
        <v>45031</v>
      </c>
      <c r="L391" s="50">
        <v>4900900853</v>
      </c>
      <c r="M391" s="51" t="s">
        <v>293</v>
      </c>
      <c r="N391" s="52"/>
      <c r="O391" s="52"/>
      <c r="S391" s="53"/>
    </row>
    <row r="392" spans="1:19" s="2" customFormat="1" ht="16.5" customHeight="1" x14ac:dyDescent="0.35">
      <c r="A392" s="85" t="s">
        <v>33</v>
      </c>
      <c r="B392" s="86" t="s">
        <v>522</v>
      </c>
      <c r="C392" s="87"/>
      <c r="D392" s="88" t="s">
        <v>520</v>
      </c>
      <c r="E392" s="43">
        <v>2080000</v>
      </c>
      <c r="F392" s="44">
        <f t="shared" si="20"/>
        <v>166400</v>
      </c>
      <c r="G392" s="45">
        <f t="shared" si="21"/>
        <v>2246400</v>
      </c>
      <c r="H392" s="46">
        <v>2246400</v>
      </c>
      <c r="I392" s="47">
        <f t="shared" ref="I392:I455" si="22">G392-H392</f>
        <v>0</v>
      </c>
      <c r="J392" s="48">
        <v>44922</v>
      </c>
      <c r="K392" s="49">
        <v>45031</v>
      </c>
      <c r="L392" s="50">
        <v>4900900944</v>
      </c>
      <c r="M392" s="51" t="s">
        <v>293</v>
      </c>
      <c r="N392" s="52"/>
      <c r="O392" s="52"/>
      <c r="S392" s="53"/>
    </row>
    <row r="393" spans="1:19" s="2" customFormat="1" ht="16.5" customHeight="1" x14ac:dyDescent="0.35">
      <c r="A393" s="85" t="s">
        <v>37</v>
      </c>
      <c r="B393" s="86" t="s">
        <v>523</v>
      </c>
      <c r="C393" s="87"/>
      <c r="D393" s="88" t="s">
        <v>524</v>
      </c>
      <c r="E393" s="43">
        <v>1920000</v>
      </c>
      <c r="F393" s="44">
        <f t="shared" si="20"/>
        <v>153600</v>
      </c>
      <c r="G393" s="45">
        <f t="shared" si="21"/>
        <v>2073600</v>
      </c>
      <c r="H393" s="46">
        <v>2073600</v>
      </c>
      <c r="I393" s="47">
        <f t="shared" si="22"/>
        <v>0</v>
      </c>
      <c r="J393" s="48">
        <v>44936</v>
      </c>
      <c r="K393" s="49">
        <v>45061</v>
      </c>
      <c r="L393" s="50">
        <v>4900901675</v>
      </c>
      <c r="M393" s="51" t="s">
        <v>293</v>
      </c>
      <c r="N393" s="52"/>
      <c r="O393" s="52"/>
      <c r="S393" s="53"/>
    </row>
    <row r="394" spans="1:19" s="2" customFormat="1" ht="16.5" customHeight="1" x14ac:dyDescent="0.35">
      <c r="A394" s="85" t="s">
        <v>191</v>
      </c>
      <c r="B394" s="86" t="s">
        <v>525</v>
      </c>
      <c r="C394" s="87"/>
      <c r="D394" s="88" t="s">
        <v>526</v>
      </c>
      <c r="E394" s="43">
        <v>2304000</v>
      </c>
      <c r="F394" s="44">
        <f t="shared" si="20"/>
        <v>184320</v>
      </c>
      <c r="G394" s="45">
        <f t="shared" si="21"/>
        <v>2488320</v>
      </c>
      <c r="H394" s="46">
        <v>2488320</v>
      </c>
      <c r="I394" s="47">
        <f t="shared" si="22"/>
        <v>0</v>
      </c>
      <c r="J394" s="48">
        <v>44936</v>
      </c>
      <c r="K394" s="49">
        <v>45061</v>
      </c>
      <c r="L394" s="50">
        <v>4145234015</v>
      </c>
      <c r="M394" s="51" t="s">
        <v>293</v>
      </c>
      <c r="N394" s="52"/>
      <c r="O394" s="52"/>
      <c r="S394" s="53"/>
    </row>
    <row r="395" spans="1:19" s="2" customFormat="1" ht="16.5" customHeight="1" x14ac:dyDescent="0.35">
      <c r="A395" s="85" t="s">
        <v>185</v>
      </c>
      <c r="B395" s="86" t="s">
        <v>527</v>
      </c>
      <c r="C395" s="87"/>
      <c r="D395" s="88" t="s">
        <v>526</v>
      </c>
      <c r="E395" s="43">
        <v>21880000</v>
      </c>
      <c r="F395" s="44">
        <f t="shared" si="20"/>
        <v>1750400</v>
      </c>
      <c r="G395" s="45">
        <f t="shared" si="21"/>
        <v>23630400</v>
      </c>
      <c r="H395" s="46">
        <v>23630400</v>
      </c>
      <c r="I395" s="47">
        <f t="shared" si="22"/>
        <v>0</v>
      </c>
      <c r="J395" s="48">
        <v>44936</v>
      </c>
      <c r="K395" s="49">
        <v>45031</v>
      </c>
      <c r="L395" s="50">
        <v>4900904369</v>
      </c>
      <c r="M395" s="51" t="s">
        <v>293</v>
      </c>
      <c r="N395" s="52"/>
      <c r="O395" s="52"/>
      <c r="S395" s="53"/>
    </row>
    <row r="396" spans="1:19" s="2" customFormat="1" ht="16.5" customHeight="1" x14ac:dyDescent="0.35">
      <c r="A396" s="85" t="s">
        <v>29</v>
      </c>
      <c r="B396" s="86" t="s">
        <v>528</v>
      </c>
      <c r="C396" s="87"/>
      <c r="D396" s="88" t="s">
        <v>529</v>
      </c>
      <c r="E396" s="43">
        <v>11792000</v>
      </c>
      <c r="F396" s="44">
        <f t="shared" si="20"/>
        <v>943360</v>
      </c>
      <c r="G396" s="45">
        <f t="shared" si="21"/>
        <v>12735360</v>
      </c>
      <c r="H396" s="46">
        <v>12735360</v>
      </c>
      <c r="I396" s="47">
        <f t="shared" si="22"/>
        <v>0</v>
      </c>
      <c r="J396" s="48">
        <v>44936</v>
      </c>
      <c r="K396" s="49">
        <v>45061</v>
      </c>
      <c r="L396" s="50">
        <v>4900904612</v>
      </c>
      <c r="M396" s="51" t="s">
        <v>293</v>
      </c>
      <c r="N396" s="52"/>
      <c r="O396" s="52"/>
      <c r="S396" s="53"/>
    </row>
    <row r="397" spans="1:19" s="2" customFormat="1" ht="16.5" customHeight="1" x14ac:dyDescent="0.35">
      <c r="A397" s="85" t="s">
        <v>171</v>
      </c>
      <c r="B397" s="86" t="s">
        <v>530</v>
      </c>
      <c r="C397" s="87">
        <v>1192</v>
      </c>
      <c r="D397" s="88">
        <v>45050</v>
      </c>
      <c r="E397" s="43">
        <v>22685000</v>
      </c>
      <c r="F397" s="44">
        <f>+E397*0.1</f>
        <v>2268500</v>
      </c>
      <c r="G397" s="45">
        <f t="shared" si="21"/>
        <v>24953500</v>
      </c>
      <c r="H397" s="46">
        <v>24953500</v>
      </c>
      <c r="I397" s="47">
        <f t="shared" si="22"/>
        <v>0</v>
      </c>
      <c r="J397" s="48">
        <v>45050</v>
      </c>
      <c r="K397" s="49">
        <v>45132</v>
      </c>
      <c r="L397" s="50">
        <v>4148782401</v>
      </c>
      <c r="M397" s="51"/>
      <c r="N397" s="52"/>
      <c r="O397" s="52"/>
      <c r="S397" s="53"/>
    </row>
    <row r="398" spans="1:19" s="2" customFormat="1" ht="16.5" customHeight="1" x14ac:dyDescent="0.35">
      <c r="A398" s="85" t="s">
        <v>37</v>
      </c>
      <c r="B398" s="86" t="s">
        <v>531</v>
      </c>
      <c r="C398" s="87"/>
      <c r="D398" s="88" t="s">
        <v>532</v>
      </c>
      <c r="E398" s="43">
        <v>10400000</v>
      </c>
      <c r="F398" s="44">
        <f>+E398*0.08</f>
        <v>832000</v>
      </c>
      <c r="G398" s="45">
        <f t="shared" si="21"/>
        <v>11232000</v>
      </c>
      <c r="H398" s="46">
        <v>11232000</v>
      </c>
      <c r="I398" s="47">
        <f t="shared" si="22"/>
        <v>0</v>
      </c>
      <c r="J398" s="48">
        <v>44936</v>
      </c>
      <c r="K398" s="49">
        <v>45061</v>
      </c>
      <c r="L398" s="50">
        <v>4145526601</v>
      </c>
      <c r="M398" s="51" t="s">
        <v>293</v>
      </c>
      <c r="N398" s="52"/>
      <c r="O398" s="52"/>
      <c r="S398" s="53"/>
    </row>
    <row r="399" spans="1:19" s="2" customFormat="1" ht="16.5" customHeight="1" x14ac:dyDescent="0.35">
      <c r="A399" s="85" t="s">
        <v>33</v>
      </c>
      <c r="B399" s="86" t="s">
        <v>533</v>
      </c>
      <c r="C399" s="87"/>
      <c r="D399" s="88" t="s">
        <v>55</v>
      </c>
      <c r="E399" s="43">
        <v>2080000</v>
      </c>
      <c r="F399" s="44">
        <f>+E399*0.08</f>
        <v>166400</v>
      </c>
      <c r="G399" s="45">
        <f t="shared" si="21"/>
        <v>2246400</v>
      </c>
      <c r="H399" s="46">
        <v>2246400</v>
      </c>
      <c r="I399" s="47">
        <f t="shared" si="22"/>
        <v>0</v>
      </c>
      <c r="J399" s="48">
        <v>44936</v>
      </c>
      <c r="K399" s="49">
        <v>45061</v>
      </c>
      <c r="L399" s="50">
        <v>4900905316</v>
      </c>
      <c r="M399" s="51" t="s">
        <v>293</v>
      </c>
      <c r="N399" s="52"/>
      <c r="O399" s="52"/>
      <c r="S399" s="53"/>
    </row>
    <row r="400" spans="1:19" s="2" customFormat="1" ht="16.5" customHeight="1" x14ac:dyDescent="0.35">
      <c r="A400" s="85" t="s">
        <v>33</v>
      </c>
      <c r="B400" s="86" t="s">
        <v>534</v>
      </c>
      <c r="C400" s="87"/>
      <c r="D400" s="88" t="s">
        <v>535</v>
      </c>
      <c r="E400" s="43">
        <v>5202000</v>
      </c>
      <c r="F400" s="44">
        <f>+E400*0.1</f>
        <v>520200</v>
      </c>
      <c r="G400" s="45">
        <f t="shared" si="21"/>
        <v>5722200</v>
      </c>
      <c r="H400" s="46">
        <v>5722200</v>
      </c>
      <c r="I400" s="47">
        <f t="shared" si="22"/>
        <v>0</v>
      </c>
      <c r="J400" s="48">
        <v>45050</v>
      </c>
      <c r="K400" s="49">
        <v>45132</v>
      </c>
      <c r="L400" s="50">
        <v>4900948326</v>
      </c>
      <c r="M400" s="51"/>
      <c r="N400" s="52"/>
      <c r="O400" s="52"/>
      <c r="S400" s="53"/>
    </row>
    <row r="401" spans="1:19" s="2" customFormat="1" ht="16.5" customHeight="1" x14ac:dyDescent="0.35">
      <c r="A401" s="85" t="s">
        <v>29</v>
      </c>
      <c r="B401" s="86" t="s">
        <v>536</v>
      </c>
      <c r="C401" s="87"/>
      <c r="D401" s="88" t="s">
        <v>537</v>
      </c>
      <c r="E401" s="43">
        <v>20017000</v>
      </c>
      <c r="F401" s="44">
        <f>+E401*0.08</f>
        <v>1601360</v>
      </c>
      <c r="G401" s="45">
        <f t="shared" si="21"/>
        <v>21618360</v>
      </c>
      <c r="H401" s="46">
        <v>21618360</v>
      </c>
      <c r="I401" s="47">
        <f t="shared" si="22"/>
        <v>0</v>
      </c>
      <c r="J401" s="48">
        <v>44936</v>
      </c>
      <c r="K401" s="49">
        <v>45061</v>
      </c>
      <c r="L401" s="50">
        <v>4900906755</v>
      </c>
      <c r="M401" s="51" t="s">
        <v>293</v>
      </c>
      <c r="N401" s="52"/>
      <c r="O401" s="52"/>
      <c r="S401" s="53"/>
    </row>
    <row r="402" spans="1:19" s="2" customFormat="1" ht="16.5" customHeight="1" x14ac:dyDescent="0.35">
      <c r="A402" s="85" t="s">
        <v>37</v>
      </c>
      <c r="B402" s="86" t="s">
        <v>538</v>
      </c>
      <c r="C402" s="87"/>
      <c r="D402" s="88" t="s">
        <v>535</v>
      </c>
      <c r="E402" s="43">
        <v>3120000</v>
      </c>
      <c r="F402" s="44">
        <f t="shared" ref="F402:F465" si="23">+E402*0.1</f>
        <v>312000</v>
      </c>
      <c r="G402" s="45">
        <f t="shared" si="21"/>
        <v>3432000</v>
      </c>
      <c r="H402" s="46">
        <v>3432000</v>
      </c>
      <c r="I402" s="47">
        <f t="shared" si="22"/>
        <v>0</v>
      </c>
      <c r="J402" s="48">
        <v>45050</v>
      </c>
      <c r="K402" s="49">
        <v>45132</v>
      </c>
      <c r="L402" s="65">
        <v>4900948769</v>
      </c>
      <c r="M402" s="51"/>
      <c r="N402" s="52"/>
      <c r="O402" s="52"/>
      <c r="S402" s="53"/>
    </row>
    <row r="403" spans="1:19" s="2" customFormat="1" ht="16.5" customHeight="1" x14ac:dyDescent="0.35">
      <c r="A403" s="85" t="s">
        <v>29</v>
      </c>
      <c r="B403" s="86" t="s">
        <v>539</v>
      </c>
      <c r="C403" s="87">
        <v>1193</v>
      </c>
      <c r="D403" s="88">
        <v>45050</v>
      </c>
      <c r="E403" s="43">
        <v>6054500</v>
      </c>
      <c r="F403" s="44">
        <f t="shared" si="23"/>
        <v>605450</v>
      </c>
      <c r="G403" s="45">
        <f t="shared" si="21"/>
        <v>6659950</v>
      </c>
      <c r="H403" s="46">
        <v>6659950</v>
      </c>
      <c r="I403" s="47">
        <f t="shared" si="22"/>
        <v>0</v>
      </c>
      <c r="J403" s="48">
        <v>45050</v>
      </c>
      <c r="K403" s="49">
        <v>45132</v>
      </c>
      <c r="L403" s="50">
        <v>4900948882</v>
      </c>
      <c r="M403" s="51"/>
      <c r="N403" s="52"/>
      <c r="O403" s="52"/>
      <c r="S403" s="53"/>
    </row>
    <row r="404" spans="1:19" s="2" customFormat="1" ht="16.5" customHeight="1" x14ac:dyDescent="0.35">
      <c r="A404" s="85" t="s">
        <v>77</v>
      </c>
      <c r="B404" s="86" t="s">
        <v>540</v>
      </c>
      <c r="C404" s="87">
        <v>1194</v>
      </c>
      <c r="D404" s="88">
        <v>45050</v>
      </c>
      <c r="E404" s="43">
        <v>6885000</v>
      </c>
      <c r="F404" s="44">
        <f t="shared" si="23"/>
        <v>688500</v>
      </c>
      <c r="G404" s="45">
        <f t="shared" si="21"/>
        <v>7573500</v>
      </c>
      <c r="H404" s="46">
        <v>7573500</v>
      </c>
      <c r="I404" s="47">
        <f t="shared" si="22"/>
        <v>0</v>
      </c>
      <c r="J404" s="48">
        <v>45050</v>
      </c>
      <c r="K404" s="49">
        <v>45132</v>
      </c>
      <c r="L404" s="50">
        <v>4148940236</v>
      </c>
      <c r="M404" s="51"/>
      <c r="N404" s="52"/>
      <c r="O404" s="52"/>
      <c r="S404" s="53"/>
    </row>
    <row r="405" spans="1:19" s="2" customFormat="1" ht="16.5" customHeight="1" x14ac:dyDescent="0.35">
      <c r="A405" s="85" t="s">
        <v>171</v>
      </c>
      <c r="B405" s="86" t="s">
        <v>541</v>
      </c>
      <c r="C405" s="87">
        <v>1195</v>
      </c>
      <c r="D405" s="88">
        <v>45050</v>
      </c>
      <c r="E405" s="43">
        <v>27453500</v>
      </c>
      <c r="F405" s="44">
        <f t="shared" si="23"/>
        <v>2745350</v>
      </c>
      <c r="G405" s="45">
        <f t="shared" si="21"/>
        <v>30198850</v>
      </c>
      <c r="H405" s="46">
        <v>30198850</v>
      </c>
      <c r="I405" s="47">
        <f t="shared" si="22"/>
        <v>0</v>
      </c>
      <c r="J405" s="48">
        <v>45050</v>
      </c>
      <c r="K405" s="49">
        <v>45132</v>
      </c>
      <c r="L405" s="50">
        <v>4148972601</v>
      </c>
      <c r="M405" s="51"/>
      <c r="N405" s="52"/>
      <c r="O405" s="52"/>
      <c r="S405" s="53"/>
    </row>
    <row r="406" spans="1:19" s="2" customFormat="1" ht="16.5" customHeight="1" x14ac:dyDescent="0.35">
      <c r="A406" s="85" t="s">
        <v>37</v>
      </c>
      <c r="B406" s="86" t="s">
        <v>542</v>
      </c>
      <c r="C406" s="87"/>
      <c r="D406" s="88" t="s">
        <v>543</v>
      </c>
      <c r="E406" s="43">
        <v>13874000</v>
      </c>
      <c r="F406" s="44">
        <f t="shared" si="23"/>
        <v>1387400</v>
      </c>
      <c r="G406" s="45">
        <f t="shared" si="21"/>
        <v>15261400</v>
      </c>
      <c r="H406" s="46">
        <v>15261400</v>
      </c>
      <c r="I406" s="47">
        <f t="shared" si="22"/>
        <v>0</v>
      </c>
      <c r="J406" s="48">
        <v>45050</v>
      </c>
      <c r="K406" s="49">
        <v>45132</v>
      </c>
      <c r="L406" s="65">
        <v>4900949892</v>
      </c>
      <c r="M406" s="51"/>
      <c r="N406" s="52"/>
      <c r="O406" s="52"/>
      <c r="S406" s="53"/>
    </row>
    <row r="407" spans="1:19" s="2" customFormat="1" ht="16.5" customHeight="1" x14ac:dyDescent="0.35">
      <c r="A407" s="85" t="s">
        <v>33</v>
      </c>
      <c r="B407" s="86">
        <v>1129</v>
      </c>
      <c r="C407" s="87"/>
      <c r="D407" s="88">
        <v>45042</v>
      </c>
      <c r="E407" s="43">
        <v>2080000</v>
      </c>
      <c r="F407" s="44">
        <f t="shared" si="23"/>
        <v>208000</v>
      </c>
      <c r="G407" s="45">
        <f t="shared" ref="G407:G470" si="24">E407+F407</f>
        <v>2288000</v>
      </c>
      <c r="H407" s="46">
        <v>2288000</v>
      </c>
      <c r="I407" s="47">
        <f t="shared" si="22"/>
        <v>0</v>
      </c>
      <c r="J407" s="48">
        <v>45050</v>
      </c>
      <c r="K407" s="49">
        <v>45132</v>
      </c>
      <c r="L407" s="50">
        <v>4900949128</v>
      </c>
      <c r="M407" s="51"/>
      <c r="N407" s="52"/>
      <c r="O407" s="52"/>
      <c r="S407" s="53"/>
    </row>
    <row r="408" spans="1:19" s="2" customFormat="1" ht="16.5" customHeight="1" x14ac:dyDescent="0.35">
      <c r="A408" s="85" t="s">
        <v>29</v>
      </c>
      <c r="B408" s="86" t="s">
        <v>544</v>
      </c>
      <c r="C408" s="87"/>
      <c r="D408" s="88" t="s">
        <v>545</v>
      </c>
      <c r="E408" s="43">
        <v>4896000</v>
      </c>
      <c r="F408" s="44">
        <f t="shared" si="23"/>
        <v>489600</v>
      </c>
      <c r="G408" s="45">
        <f t="shared" si="24"/>
        <v>5385600</v>
      </c>
      <c r="H408" s="46">
        <v>5385600</v>
      </c>
      <c r="I408" s="47">
        <f t="shared" si="22"/>
        <v>0</v>
      </c>
      <c r="J408" s="48">
        <v>45050</v>
      </c>
      <c r="K408" s="49">
        <v>45132</v>
      </c>
      <c r="L408" s="50">
        <v>4900951280</v>
      </c>
      <c r="M408" s="51"/>
      <c r="N408" s="52"/>
      <c r="O408" s="52"/>
      <c r="S408" s="53"/>
    </row>
    <row r="409" spans="1:19" s="2" customFormat="1" ht="16.5" customHeight="1" x14ac:dyDescent="0.35">
      <c r="A409" s="85" t="s">
        <v>37</v>
      </c>
      <c r="B409" s="86" t="s">
        <v>546</v>
      </c>
      <c r="C409" s="87"/>
      <c r="D409" s="88" t="s">
        <v>547</v>
      </c>
      <c r="E409" s="43">
        <v>12084000</v>
      </c>
      <c r="F409" s="44">
        <f t="shared" si="23"/>
        <v>1208400</v>
      </c>
      <c r="G409" s="45">
        <f t="shared" si="24"/>
        <v>13292400</v>
      </c>
      <c r="H409" s="46">
        <v>13292400</v>
      </c>
      <c r="I409" s="47">
        <f t="shared" si="22"/>
        <v>0</v>
      </c>
      <c r="J409" s="48">
        <v>45050</v>
      </c>
      <c r="K409" s="49">
        <v>45132</v>
      </c>
      <c r="L409" s="65">
        <v>4900951839</v>
      </c>
      <c r="M409" s="51"/>
      <c r="N409" s="52"/>
      <c r="O409" s="52"/>
      <c r="S409" s="53"/>
    </row>
    <row r="410" spans="1:19" s="2" customFormat="1" ht="16.5" customHeight="1" x14ac:dyDescent="0.35">
      <c r="A410" s="85" t="s">
        <v>77</v>
      </c>
      <c r="B410" s="86" t="s">
        <v>548</v>
      </c>
      <c r="C410" s="87">
        <v>992</v>
      </c>
      <c r="D410" s="88">
        <v>44999</v>
      </c>
      <c r="E410" s="43">
        <v>13360000</v>
      </c>
      <c r="F410" s="44">
        <f t="shared" si="23"/>
        <v>1336000</v>
      </c>
      <c r="G410" s="45">
        <f t="shared" si="24"/>
        <v>14696000</v>
      </c>
      <c r="H410" s="46">
        <v>14696000</v>
      </c>
      <c r="I410" s="47">
        <f t="shared" si="22"/>
        <v>0</v>
      </c>
      <c r="J410" s="48">
        <v>45028</v>
      </c>
      <c r="K410" s="49">
        <v>45132</v>
      </c>
      <c r="L410" s="50">
        <v>4147677326</v>
      </c>
      <c r="M410" s="51"/>
      <c r="N410" s="52"/>
      <c r="O410" s="52"/>
      <c r="S410" s="53"/>
    </row>
    <row r="411" spans="1:19" s="2" customFormat="1" ht="16.5" customHeight="1" x14ac:dyDescent="0.35">
      <c r="A411" s="85" t="s">
        <v>29</v>
      </c>
      <c r="B411" s="86" t="s">
        <v>549</v>
      </c>
      <c r="C411" s="87"/>
      <c r="D411" s="88" t="s">
        <v>550</v>
      </c>
      <c r="E411" s="43">
        <v>1040000</v>
      </c>
      <c r="F411" s="44">
        <f t="shared" si="23"/>
        <v>104000</v>
      </c>
      <c r="G411" s="45">
        <f t="shared" si="24"/>
        <v>1144000</v>
      </c>
      <c r="H411" s="46">
        <v>1144000</v>
      </c>
      <c r="I411" s="47">
        <f t="shared" si="22"/>
        <v>0</v>
      </c>
      <c r="J411" s="48">
        <v>45028</v>
      </c>
      <c r="K411" s="49">
        <v>45132</v>
      </c>
      <c r="L411" s="50">
        <v>4147861029</v>
      </c>
      <c r="M411" s="51"/>
      <c r="N411" s="52"/>
      <c r="O411" s="52"/>
      <c r="S411" s="53"/>
    </row>
    <row r="412" spans="1:19" s="2" customFormat="1" ht="16.5" customHeight="1" x14ac:dyDescent="0.35">
      <c r="A412" s="85" t="s">
        <v>37</v>
      </c>
      <c r="B412" s="86" t="s">
        <v>551</v>
      </c>
      <c r="C412" s="87"/>
      <c r="D412" s="88" t="s">
        <v>552</v>
      </c>
      <c r="E412" s="43">
        <v>1820000</v>
      </c>
      <c r="F412" s="44">
        <f t="shared" si="23"/>
        <v>182000</v>
      </c>
      <c r="G412" s="45">
        <f t="shared" si="24"/>
        <v>2002000</v>
      </c>
      <c r="H412" s="46">
        <v>2002000</v>
      </c>
      <c r="I412" s="47">
        <f t="shared" si="22"/>
        <v>0</v>
      </c>
      <c r="J412" s="48">
        <v>45028</v>
      </c>
      <c r="K412" s="49">
        <v>45132</v>
      </c>
      <c r="L412" s="50">
        <v>4900938375</v>
      </c>
      <c r="M412" s="51"/>
      <c r="N412" s="52"/>
      <c r="O412" s="52"/>
      <c r="S412" s="53"/>
    </row>
    <row r="413" spans="1:19" s="2" customFormat="1" ht="16.5" customHeight="1" x14ac:dyDescent="0.35">
      <c r="A413" s="85" t="s">
        <v>77</v>
      </c>
      <c r="B413" s="86" t="s">
        <v>553</v>
      </c>
      <c r="C413" s="87">
        <v>991</v>
      </c>
      <c r="D413" s="88">
        <v>45029</v>
      </c>
      <c r="E413" s="43">
        <v>12838000</v>
      </c>
      <c r="F413" s="44">
        <f t="shared" si="23"/>
        <v>1283800</v>
      </c>
      <c r="G413" s="45">
        <f t="shared" si="24"/>
        <v>14121800</v>
      </c>
      <c r="H413" s="46">
        <v>14121800</v>
      </c>
      <c r="I413" s="47">
        <f t="shared" si="22"/>
        <v>0</v>
      </c>
      <c r="J413" s="48">
        <v>45028</v>
      </c>
      <c r="K413" s="49">
        <v>45132</v>
      </c>
      <c r="L413" s="50">
        <v>4147990855</v>
      </c>
      <c r="M413" s="51"/>
      <c r="N413" s="52"/>
      <c r="O413" s="52"/>
      <c r="S413" s="53"/>
    </row>
    <row r="414" spans="1:19" s="2" customFormat="1" ht="16.5" customHeight="1" x14ac:dyDescent="0.35">
      <c r="A414" s="85" t="s">
        <v>33</v>
      </c>
      <c r="B414" s="86" t="s">
        <v>554</v>
      </c>
      <c r="C414" s="87"/>
      <c r="D414" s="88" t="s">
        <v>552</v>
      </c>
      <c r="E414" s="43">
        <v>6010000</v>
      </c>
      <c r="F414" s="44">
        <f t="shared" si="23"/>
        <v>601000</v>
      </c>
      <c r="G414" s="45">
        <f t="shared" si="24"/>
        <v>6611000</v>
      </c>
      <c r="H414" s="84">
        <v>6611000</v>
      </c>
      <c r="I414" s="47">
        <f t="shared" si="22"/>
        <v>0</v>
      </c>
      <c r="J414" s="48">
        <v>45028</v>
      </c>
      <c r="K414" s="49">
        <v>45132</v>
      </c>
      <c r="L414" s="50">
        <v>4900938117</v>
      </c>
      <c r="M414" s="51"/>
      <c r="N414" s="52"/>
      <c r="O414" s="52"/>
      <c r="S414" s="53"/>
    </row>
    <row r="415" spans="1:19" s="2" customFormat="1" ht="16.5" customHeight="1" x14ac:dyDescent="0.35">
      <c r="A415" s="85" t="s">
        <v>37</v>
      </c>
      <c r="B415" s="86" t="s">
        <v>555</v>
      </c>
      <c r="C415" s="87">
        <v>990</v>
      </c>
      <c r="D415" s="88">
        <v>45029</v>
      </c>
      <c r="E415" s="43">
        <v>3042000</v>
      </c>
      <c r="F415" s="44">
        <f t="shared" si="23"/>
        <v>304200</v>
      </c>
      <c r="G415" s="45">
        <f t="shared" si="24"/>
        <v>3346200</v>
      </c>
      <c r="H415" s="46">
        <v>3346200</v>
      </c>
      <c r="I415" s="47">
        <f t="shared" si="22"/>
        <v>0</v>
      </c>
      <c r="J415" s="48">
        <v>45028</v>
      </c>
      <c r="K415" s="49">
        <v>45132</v>
      </c>
      <c r="L415" s="50">
        <v>4900940446</v>
      </c>
      <c r="M415" s="51"/>
      <c r="N415" s="52"/>
      <c r="O415" s="52"/>
      <c r="S415" s="53"/>
    </row>
    <row r="416" spans="1:19" s="2" customFormat="1" ht="16.5" customHeight="1" x14ac:dyDescent="0.35">
      <c r="A416" s="85" t="s">
        <v>33</v>
      </c>
      <c r="B416" s="86" t="s">
        <v>556</v>
      </c>
      <c r="C416" s="87"/>
      <c r="D416" s="88" t="s">
        <v>557</v>
      </c>
      <c r="E416" s="43">
        <v>8720000</v>
      </c>
      <c r="F416" s="44">
        <f t="shared" si="23"/>
        <v>872000</v>
      </c>
      <c r="G416" s="45">
        <f t="shared" si="24"/>
        <v>9592000</v>
      </c>
      <c r="H416" s="46">
        <v>9592000</v>
      </c>
      <c r="I416" s="47">
        <f t="shared" si="22"/>
        <v>0</v>
      </c>
      <c r="J416" s="48">
        <v>45028</v>
      </c>
      <c r="K416" s="49">
        <v>45132</v>
      </c>
      <c r="L416" s="50">
        <v>4900940219</v>
      </c>
      <c r="M416" s="51"/>
      <c r="N416" s="52"/>
      <c r="O416" s="52"/>
      <c r="S416" s="53"/>
    </row>
    <row r="417" spans="1:19" s="2" customFormat="1" ht="16.5" customHeight="1" x14ac:dyDescent="0.35">
      <c r="A417" s="85" t="s">
        <v>29</v>
      </c>
      <c r="B417" s="86" t="s">
        <v>558</v>
      </c>
      <c r="C417" s="87">
        <v>989</v>
      </c>
      <c r="D417" s="88">
        <v>45029</v>
      </c>
      <c r="E417" s="43">
        <v>2934000</v>
      </c>
      <c r="F417" s="44">
        <f t="shared" si="23"/>
        <v>293400</v>
      </c>
      <c r="G417" s="45">
        <f t="shared" si="24"/>
        <v>3227400</v>
      </c>
      <c r="H417" s="46">
        <v>3227400</v>
      </c>
      <c r="I417" s="47">
        <f t="shared" si="22"/>
        <v>0</v>
      </c>
      <c r="J417" s="48">
        <v>45028</v>
      </c>
      <c r="K417" s="49">
        <v>45132</v>
      </c>
      <c r="L417" s="50">
        <v>4900940345</v>
      </c>
      <c r="M417" s="51"/>
      <c r="N417" s="52"/>
      <c r="O417" s="52"/>
      <c r="S417" s="53"/>
    </row>
    <row r="418" spans="1:19" s="2" customFormat="1" ht="16.5" customHeight="1" x14ac:dyDescent="0.35">
      <c r="A418" s="85" t="s">
        <v>171</v>
      </c>
      <c r="B418" s="86" t="s">
        <v>559</v>
      </c>
      <c r="C418" s="87">
        <v>988</v>
      </c>
      <c r="D418" s="88">
        <v>45029</v>
      </c>
      <c r="E418" s="43">
        <v>21946500</v>
      </c>
      <c r="F418" s="44">
        <f t="shared" si="23"/>
        <v>2194650</v>
      </c>
      <c r="G418" s="45">
        <f t="shared" si="24"/>
        <v>24141150</v>
      </c>
      <c r="H418" s="46">
        <v>24141150</v>
      </c>
      <c r="I418" s="47">
        <f t="shared" si="22"/>
        <v>0</v>
      </c>
      <c r="J418" s="48">
        <v>45028</v>
      </c>
      <c r="K418" s="49">
        <v>45132</v>
      </c>
      <c r="L418" s="50">
        <v>4148203198</v>
      </c>
      <c r="M418" s="51"/>
      <c r="N418" s="52"/>
      <c r="O418" s="52"/>
      <c r="S418" s="53"/>
    </row>
    <row r="419" spans="1:19" s="2" customFormat="1" ht="16.5" customHeight="1" x14ac:dyDescent="0.35">
      <c r="A419" s="85" t="s">
        <v>77</v>
      </c>
      <c r="B419" s="86" t="s">
        <v>560</v>
      </c>
      <c r="C419" s="87"/>
      <c r="D419" s="88" t="s">
        <v>561</v>
      </c>
      <c r="E419" s="43">
        <v>21280000</v>
      </c>
      <c r="F419" s="44">
        <f t="shared" si="23"/>
        <v>2128000</v>
      </c>
      <c r="G419" s="45">
        <f t="shared" si="24"/>
        <v>23408000</v>
      </c>
      <c r="H419" s="46">
        <v>23408000</v>
      </c>
      <c r="I419" s="47">
        <f t="shared" si="22"/>
        <v>0</v>
      </c>
      <c r="J419" s="48">
        <v>45028</v>
      </c>
      <c r="K419" s="49">
        <v>45132</v>
      </c>
      <c r="L419" s="50">
        <v>4148215075</v>
      </c>
      <c r="M419" s="51"/>
      <c r="N419" s="52"/>
      <c r="O419" s="52"/>
      <c r="S419" s="53"/>
    </row>
    <row r="420" spans="1:19" s="2" customFormat="1" ht="16.5" customHeight="1" x14ac:dyDescent="0.35">
      <c r="A420" s="85" t="s">
        <v>37</v>
      </c>
      <c r="B420" s="86" t="s">
        <v>262</v>
      </c>
      <c r="C420" s="87"/>
      <c r="D420" s="88" t="s">
        <v>346</v>
      </c>
      <c r="E420" s="43">
        <v>936000</v>
      </c>
      <c r="F420" s="44">
        <f t="shared" si="23"/>
        <v>93600</v>
      </c>
      <c r="G420" s="45">
        <f t="shared" si="24"/>
        <v>1029600</v>
      </c>
      <c r="H420" s="46">
        <v>1029600</v>
      </c>
      <c r="I420" s="47">
        <f t="shared" si="22"/>
        <v>0</v>
      </c>
      <c r="J420" s="48">
        <v>45028</v>
      </c>
      <c r="K420" s="49">
        <v>45132</v>
      </c>
      <c r="L420" s="50">
        <v>4148379700</v>
      </c>
      <c r="M420" s="51"/>
      <c r="N420" s="52"/>
      <c r="O420" s="52"/>
      <c r="S420" s="53"/>
    </row>
    <row r="421" spans="1:19" s="2" customFormat="1" ht="16.5" customHeight="1" x14ac:dyDescent="0.35">
      <c r="A421" s="85" t="s">
        <v>37</v>
      </c>
      <c r="B421" s="86" t="s">
        <v>562</v>
      </c>
      <c r="C421" s="87">
        <v>987</v>
      </c>
      <c r="D421" s="88">
        <v>45029</v>
      </c>
      <c r="E421" s="43">
        <v>12828000</v>
      </c>
      <c r="F421" s="44">
        <f t="shared" si="23"/>
        <v>1282800</v>
      </c>
      <c r="G421" s="45">
        <f t="shared" si="24"/>
        <v>14110800</v>
      </c>
      <c r="H421" s="46">
        <v>14110800</v>
      </c>
      <c r="I421" s="47">
        <f t="shared" si="22"/>
        <v>0</v>
      </c>
      <c r="J421" s="48">
        <v>45028</v>
      </c>
      <c r="K421" s="49">
        <v>45132</v>
      </c>
      <c r="L421" s="50">
        <v>4900943269</v>
      </c>
      <c r="M421" s="51"/>
      <c r="N421" s="52"/>
      <c r="O421" s="52"/>
      <c r="S421" s="53"/>
    </row>
    <row r="422" spans="1:19" s="2" customFormat="1" ht="16.5" customHeight="1" x14ac:dyDescent="0.35">
      <c r="A422" s="85" t="s">
        <v>33</v>
      </c>
      <c r="B422" s="86" t="s">
        <v>117</v>
      </c>
      <c r="C422" s="87"/>
      <c r="D422" s="88" t="s">
        <v>563</v>
      </c>
      <c r="E422" s="43">
        <v>10090000</v>
      </c>
      <c r="F422" s="44">
        <f t="shared" si="23"/>
        <v>1009000</v>
      </c>
      <c r="G422" s="45">
        <f t="shared" si="24"/>
        <v>11099000</v>
      </c>
      <c r="H422" s="46">
        <v>11099000</v>
      </c>
      <c r="I422" s="47">
        <f t="shared" si="22"/>
        <v>0</v>
      </c>
      <c r="J422" s="48">
        <v>45006</v>
      </c>
      <c r="K422" s="49">
        <v>45132</v>
      </c>
      <c r="L422" s="50">
        <v>4900924470</v>
      </c>
      <c r="M422" s="51"/>
      <c r="N422" s="52"/>
      <c r="O422" s="52"/>
      <c r="S422" s="53"/>
    </row>
    <row r="423" spans="1:19" s="2" customFormat="1" ht="16.5" customHeight="1" x14ac:dyDescent="0.35">
      <c r="A423" s="85" t="s">
        <v>33</v>
      </c>
      <c r="B423" s="86" t="s">
        <v>564</v>
      </c>
      <c r="C423" s="87"/>
      <c r="D423" s="88" t="s">
        <v>565</v>
      </c>
      <c r="E423" s="43">
        <v>2080000</v>
      </c>
      <c r="F423" s="44">
        <f t="shared" si="23"/>
        <v>208000</v>
      </c>
      <c r="G423" s="45">
        <f t="shared" si="24"/>
        <v>2288000</v>
      </c>
      <c r="H423" s="46">
        <v>2288000</v>
      </c>
      <c r="I423" s="47">
        <f t="shared" si="22"/>
        <v>0</v>
      </c>
      <c r="J423" s="48">
        <v>45006</v>
      </c>
      <c r="K423" s="49">
        <v>45132</v>
      </c>
      <c r="L423" s="50">
        <v>4900926504</v>
      </c>
      <c r="M423" s="51"/>
      <c r="N423" s="52"/>
      <c r="O423" s="52"/>
      <c r="S423" s="53"/>
    </row>
    <row r="424" spans="1:19" s="2" customFormat="1" ht="16.5" customHeight="1" x14ac:dyDescent="0.35">
      <c r="A424" s="85" t="s">
        <v>33</v>
      </c>
      <c r="B424" s="86" t="s">
        <v>566</v>
      </c>
      <c r="C424" s="87">
        <v>767</v>
      </c>
      <c r="D424" s="88">
        <v>45006</v>
      </c>
      <c r="E424" s="43">
        <v>20330000</v>
      </c>
      <c r="F424" s="44">
        <f t="shared" si="23"/>
        <v>2033000</v>
      </c>
      <c r="G424" s="45">
        <f t="shared" si="24"/>
        <v>22363000</v>
      </c>
      <c r="H424" s="46">
        <v>22363000</v>
      </c>
      <c r="I424" s="47">
        <f t="shared" si="22"/>
        <v>0</v>
      </c>
      <c r="J424" s="48">
        <v>45006</v>
      </c>
      <c r="K424" s="49">
        <v>45132</v>
      </c>
      <c r="L424" s="50">
        <v>4900927577</v>
      </c>
      <c r="M424" s="51"/>
      <c r="N424" s="52"/>
      <c r="O424" s="52"/>
      <c r="S424" s="53"/>
    </row>
    <row r="425" spans="1:19" s="2" customFormat="1" ht="16.5" customHeight="1" x14ac:dyDescent="0.35">
      <c r="A425" s="85" t="s">
        <v>77</v>
      </c>
      <c r="B425" s="86" t="s">
        <v>567</v>
      </c>
      <c r="C425" s="87"/>
      <c r="D425" s="88" t="s">
        <v>568</v>
      </c>
      <c r="E425" s="43">
        <v>7760000</v>
      </c>
      <c r="F425" s="44">
        <f t="shared" si="23"/>
        <v>776000</v>
      </c>
      <c r="G425" s="45">
        <f t="shared" si="24"/>
        <v>8536000</v>
      </c>
      <c r="H425" s="46">
        <v>8536000</v>
      </c>
      <c r="I425" s="47">
        <f t="shared" si="22"/>
        <v>0</v>
      </c>
      <c r="J425" s="48">
        <v>45006</v>
      </c>
      <c r="K425" s="49">
        <v>45132</v>
      </c>
      <c r="L425" s="50">
        <v>4147174581</v>
      </c>
      <c r="M425" s="51"/>
      <c r="N425" s="52"/>
      <c r="O425" s="52"/>
      <c r="S425" s="53"/>
    </row>
    <row r="426" spans="1:19" s="2" customFormat="1" ht="16.5" customHeight="1" x14ac:dyDescent="0.35">
      <c r="A426" s="85" t="s">
        <v>37</v>
      </c>
      <c r="B426" s="86" t="s">
        <v>569</v>
      </c>
      <c r="C426" s="87"/>
      <c r="D426" s="88" t="s">
        <v>568</v>
      </c>
      <c r="E426" s="43">
        <v>11568000</v>
      </c>
      <c r="F426" s="44">
        <f t="shared" si="23"/>
        <v>1156800</v>
      </c>
      <c r="G426" s="45">
        <f t="shared" si="24"/>
        <v>12724800</v>
      </c>
      <c r="H426" s="46">
        <v>12724800</v>
      </c>
      <c r="I426" s="47">
        <f t="shared" si="22"/>
        <v>0</v>
      </c>
      <c r="J426" s="48">
        <v>45006</v>
      </c>
      <c r="K426" s="49">
        <v>45132</v>
      </c>
      <c r="L426" s="50">
        <v>4900927795</v>
      </c>
      <c r="M426" s="51"/>
      <c r="N426" s="52"/>
      <c r="O426" s="52"/>
      <c r="S426" s="53"/>
    </row>
    <row r="427" spans="1:19" s="2" customFormat="1" ht="16.5" customHeight="1" x14ac:dyDescent="0.35">
      <c r="A427" s="85" t="s">
        <v>37</v>
      </c>
      <c r="B427" s="86" t="s">
        <v>570</v>
      </c>
      <c r="C427" s="87"/>
      <c r="D427" s="88" t="s">
        <v>568</v>
      </c>
      <c r="E427" s="43">
        <v>3200000</v>
      </c>
      <c r="F427" s="44">
        <f t="shared" si="23"/>
        <v>320000</v>
      </c>
      <c r="G427" s="45">
        <f t="shared" si="24"/>
        <v>3520000</v>
      </c>
      <c r="H427" s="46">
        <v>3520000</v>
      </c>
      <c r="I427" s="47">
        <f t="shared" si="22"/>
        <v>0</v>
      </c>
      <c r="J427" s="48">
        <v>45006</v>
      </c>
      <c r="K427" s="49">
        <v>45132</v>
      </c>
      <c r="L427" s="50">
        <v>4900927783</v>
      </c>
      <c r="M427" s="51"/>
      <c r="N427" s="52"/>
      <c r="O427" s="52"/>
      <c r="S427" s="53"/>
    </row>
    <row r="428" spans="1:19" s="2" customFormat="1" ht="16.5" customHeight="1" x14ac:dyDescent="0.35">
      <c r="A428" s="85" t="s">
        <v>37</v>
      </c>
      <c r="B428" s="86" t="s">
        <v>571</v>
      </c>
      <c r="C428" s="87"/>
      <c r="D428" s="88" t="s">
        <v>572</v>
      </c>
      <c r="E428" s="43">
        <v>6240000</v>
      </c>
      <c r="F428" s="44">
        <f t="shared" si="23"/>
        <v>624000</v>
      </c>
      <c r="G428" s="45">
        <f t="shared" si="24"/>
        <v>6864000</v>
      </c>
      <c r="H428" s="46">
        <v>6864000</v>
      </c>
      <c r="I428" s="47">
        <f t="shared" si="22"/>
        <v>0</v>
      </c>
      <c r="J428" s="48">
        <v>45006</v>
      </c>
      <c r="K428" s="49">
        <v>45132</v>
      </c>
      <c r="L428" s="50">
        <v>4900930517</v>
      </c>
      <c r="M428" s="51"/>
      <c r="N428" s="52"/>
      <c r="O428" s="52"/>
      <c r="S428" s="53"/>
    </row>
    <row r="429" spans="1:19" s="2" customFormat="1" ht="16.5" customHeight="1" x14ac:dyDescent="0.35">
      <c r="A429" s="85" t="s">
        <v>37</v>
      </c>
      <c r="B429" s="86" t="s">
        <v>573</v>
      </c>
      <c r="C429" s="87"/>
      <c r="D429" s="88" t="s">
        <v>572</v>
      </c>
      <c r="E429" s="43">
        <v>7680000</v>
      </c>
      <c r="F429" s="44">
        <f t="shared" si="23"/>
        <v>768000</v>
      </c>
      <c r="G429" s="45">
        <f t="shared" si="24"/>
        <v>8448000</v>
      </c>
      <c r="H429" s="46">
        <v>8448000</v>
      </c>
      <c r="I429" s="47">
        <f t="shared" si="22"/>
        <v>0</v>
      </c>
      <c r="J429" s="48">
        <v>45006</v>
      </c>
      <c r="K429" s="49">
        <v>45132</v>
      </c>
      <c r="L429" s="50">
        <v>4900930524</v>
      </c>
      <c r="M429" s="51"/>
      <c r="N429" s="52"/>
      <c r="O429" s="52"/>
      <c r="S429" s="53"/>
    </row>
    <row r="430" spans="1:19" s="2" customFormat="1" ht="16.5" customHeight="1" x14ac:dyDescent="0.35">
      <c r="A430" s="85" t="s">
        <v>37</v>
      </c>
      <c r="B430" s="86" t="s">
        <v>574</v>
      </c>
      <c r="C430" s="87"/>
      <c r="D430" s="88" t="s">
        <v>575</v>
      </c>
      <c r="E430" s="43">
        <v>2080000</v>
      </c>
      <c r="F430" s="44">
        <f t="shared" si="23"/>
        <v>208000</v>
      </c>
      <c r="G430" s="45">
        <f t="shared" si="24"/>
        <v>2288000</v>
      </c>
      <c r="H430" s="46">
        <v>2288000</v>
      </c>
      <c r="I430" s="47">
        <f t="shared" si="22"/>
        <v>0</v>
      </c>
      <c r="J430" s="48">
        <v>45006</v>
      </c>
      <c r="K430" s="49">
        <v>45132</v>
      </c>
      <c r="L430" s="50">
        <v>4900930795</v>
      </c>
      <c r="M430" s="51"/>
      <c r="N430" s="52"/>
      <c r="O430" s="52"/>
      <c r="S430" s="53"/>
    </row>
    <row r="431" spans="1:19" s="2" customFormat="1" ht="16.5" customHeight="1" x14ac:dyDescent="0.35">
      <c r="A431" s="85" t="s">
        <v>33</v>
      </c>
      <c r="B431" s="86" t="s">
        <v>576</v>
      </c>
      <c r="C431" s="87"/>
      <c r="D431" s="88" t="s">
        <v>575</v>
      </c>
      <c r="E431" s="43">
        <v>1584000</v>
      </c>
      <c r="F431" s="44">
        <f t="shared" si="23"/>
        <v>158400</v>
      </c>
      <c r="G431" s="45">
        <f t="shared" si="24"/>
        <v>1742400</v>
      </c>
      <c r="H431" s="46">
        <v>1742400</v>
      </c>
      <c r="I431" s="47">
        <f t="shared" si="22"/>
        <v>0</v>
      </c>
      <c r="J431" s="48">
        <v>45006</v>
      </c>
      <c r="K431" s="49">
        <v>45132</v>
      </c>
      <c r="L431" s="50">
        <v>4900930811</v>
      </c>
      <c r="M431" s="51"/>
      <c r="N431" s="52"/>
      <c r="O431" s="52"/>
      <c r="S431" s="53"/>
    </row>
    <row r="432" spans="1:19" s="2" customFormat="1" ht="16.5" customHeight="1" x14ac:dyDescent="0.35">
      <c r="A432" s="85" t="s">
        <v>33</v>
      </c>
      <c r="B432" s="86" t="s">
        <v>577</v>
      </c>
      <c r="C432" s="87"/>
      <c r="D432" s="88" t="s">
        <v>575</v>
      </c>
      <c r="E432" s="43">
        <v>2080000</v>
      </c>
      <c r="F432" s="44">
        <f t="shared" si="23"/>
        <v>208000</v>
      </c>
      <c r="G432" s="45">
        <f t="shared" si="24"/>
        <v>2288000</v>
      </c>
      <c r="H432" s="46">
        <v>2288000</v>
      </c>
      <c r="I432" s="47">
        <f t="shared" si="22"/>
        <v>0</v>
      </c>
      <c r="J432" s="48">
        <v>45006</v>
      </c>
      <c r="K432" s="49">
        <v>45132</v>
      </c>
      <c r="L432" s="50">
        <v>4900928478</v>
      </c>
      <c r="M432" s="51"/>
      <c r="N432" s="52"/>
      <c r="O432" s="52"/>
      <c r="S432" s="53"/>
    </row>
    <row r="433" spans="1:19" s="2" customFormat="1" ht="16.5" customHeight="1" x14ac:dyDescent="0.35">
      <c r="A433" s="85" t="s">
        <v>29</v>
      </c>
      <c r="B433" s="86" t="s">
        <v>578</v>
      </c>
      <c r="C433" s="87"/>
      <c r="D433" s="88" t="s">
        <v>575</v>
      </c>
      <c r="E433" s="43">
        <v>8880000</v>
      </c>
      <c r="F433" s="44">
        <f t="shared" si="23"/>
        <v>888000</v>
      </c>
      <c r="G433" s="45">
        <f t="shared" si="24"/>
        <v>9768000</v>
      </c>
      <c r="H433" s="46">
        <v>9768000</v>
      </c>
      <c r="I433" s="47">
        <f t="shared" si="22"/>
        <v>0</v>
      </c>
      <c r="J433" s="48">
        <v>45006</v>
      </c>
      <c r="K433" s="49">
        <v>45132</v>
      </c>
      <c r="L433" s="50">
        <v>4900930834</v>
      </c>
      <c r="M433" s="51"/>
      <c r="N433" s="52"/>
      <c r="O433" s="52"/>
      <c r="S433" s="53"/>
    </row>
    <row r="434" spans="1:19" s="2" customFormat="1" ht="16.5" customHeight="1" x14ac:dyDescent="0.35">
      <c r="A434" s="85" t="s">
        <v>33</v>
      </c>
      <c r="B434" s="86">
        <v>663</v>
      </c>
      <c r="C434" s="87"/>
      <c r="D434" s="88">
        <v>44996</v>
      </c>
      <c r="E434" s="43">
        <v>6925000</v>
      </c>
      <c r="F434" s="44">
        <f t="shared" si="23"/>
        <v>692500</v>
      </c>
      <c r="G434" s="45">
        <f t="shared" si="24"/>
        <v>7617500</v>
      </c>
      <c r="H434" s="46">
        <v>7617500</v>
      </c>
      <c r="I434" s="47">
        <f t="shared" si="22"/>
        <v>0</v>
      </c>
      <c r="J434" s="48">
        <v>45006</v>
      </c>
      <c r="K434" s="49">
        <v>45132</v>
      </c>
      <c r="L434" s="50">
        <v>4900933454</v>
      </c>
      <c r="M434" s="51"/>
      <c r="N434" s="52"/>
      <c r="O434" s="52"/>
      <c r="S434" s="53"/>
    </row>
    <row r="435" spans="1:19" s="2" customFormat="1" ht="16.5" customHeight="1" x14ac:dyDescent="0.35">
      <c r="A435" s="85" t="s">
        <v>29</v>
      </c>
      <c r="B435" s="86">
        <v>664</v>
      </c>
      <c r="C435" s="87">
        <v>766</v>
      </c>
      <c r="D435" s="88">
        <v>45006</v>
      </c>
      <c r="E435" s="43">
        <v>8971500</v>
      </c>
      <c r="F435" s="44">
        <f t="shared" si="23"/>
        <v>897150</v>
      </c>
      <c r="G435" s="45">
        <f t="shared" si="24"/>
        <v>9868650</v>
      </c>
      <c r="H435" s="46">
        <v>9868650</v>
      </c>
      <c r="I435" s="47">
        <f t="shared" si="22"/>
        <v>0</v>
      </c>
      <c r="J435" s="48">
        <v>45006</v>
      </c>
      <c r="K435" s="49">
        <v>45132</v>
      </c>
      <c r="L435" s="50">
        <v>4900933499</v>
      </c>
      <c r="M435" s="51"/>
      <c r="N435" s="52"/>
      <c r="O435" s="52"/>
      <c r="S435" s="53"/>
    </row>
    <row r="436" spans="1:19" s="2" customFormat="1" ht="16.5" customHeight="1" x14ac:dyDescent="0.35">
      <c r="A436" s="85" t="s">
        <v>37</v>
      </c>
      <c r="B436" s="86" t="s">
        <v>579</v>
      </c>
      <c r="C436" s="87"/>
      <c r="D436" s="88" t="s">
        <v>580</v>
      </c>
      <c r="E436" s="43">
        <v>936000</v>
      </c>
      <c r="F436" s="44">
        <f t="shared" si="23"/>
        <v>93600</v>
      </c>
      <c r="G436" s="45">
        <f t="shared" si="24"/>
        <v>1029600</v>
      </c>
      <c r="H436" s="46">
        <v>1029600</v>
      </c>
      <c r="I436" s="47">
        <f t="shared" si="22"/>
        <v>0</v>
      </c>
      <c r="J436" s="48">
        <v>45006</v>
      </c>
      <c r="K436" s="49">
        <v>45132</v>
      </c>
      <c r="L436" s="50">
        <v>4147558652</v>
      </c>
      <c r="M436" s="51"/>
      <c r="N436" s="52"/>
      <c r="O436" s="52"/>
      <c r="S436" s="53"/>
    </row>
    <row r="437" spans="1:19" s="2" customFormat="1" ht="16.5" customHeight="1" x14ac:dyDescent="0.35">
      <c r="A437" s="85" t="s">
        <v>37</v>
      </c>
      <c r="B437" s="86" t="s">
        <v>581</v>
      </c>
      <c r="C437" s="87"/>
      <c r="D437" s="88" t="s">
        <v>580</v>
      </c>
      <c r="E437" s="43">
        <v>2080000</v>
      </c>
      <c r="F437" s="44">
        <f t="shared" si="23"/>
        <v>208000</v>
      </c>
      <c r="G437" s="45">
        <f t="shared" si="24"/>
        <v>2288000</v>
      </c>
      <c r="H437" s="46">
        <v>2288000</v>
      </c>
      <c r="I437" s="47">
        <f t="shared" si="22"/>
        <v>0</v>
      </c>
      <c r="J437" s="48">
        <v>45006</v>
      </c>
      <c r="K437" s="49">
        <v>45132</v>
      </c>
      <c r="L437" s="50">
        <v>4900934530</v>
      </c>
      <c r="M437" s="51"/>
      <c r="N437" s="52"/>
      <c r="O437" s="52"/>
      <c r="S437" s="53"/>
    </row>
    <row r="438" spans="1:19" s="2" customFormat="1" ht="16.5" customHeight="1" x14ac:dyDescent="0.35">
      <c r="A438" s="85" t="s">
        <v>29</v>
      </c>
      <c r="B438" s="86" t="s">
        <v>582</v>
      </c>
      <c r="C438" s="87"/>
      <c r="D438" s="88" t="s">
        <v>583</v>
      </c>
      <c r="E438" s="43">
        <v>37050000</v>
      </c>
      <c r="F438" s="44">
        <f t="shared" si="23"/>
        <v>3705000</v>
      </c>
      <c r="G438" s="45">
        <f t="shared" si="24"/>
        <v>40755000</v>
      </c>
      <c r="H438" s="46">
        <v>40755000</v>
      </c>
      <c r="I438" s="47">
        <f t="shared" si="22"/>
        <v>0</v>
      </c>
      <c r="J438" s="48">
        <v>44979</v>
      </c>
      <c r="K438" s="49">
        <v>45061</v>
      </c>
      <c r="L438" s="50">
        <v>4900914834</v>
      </c>
      <c r="M438" s="51"/>
      <c r="N438" s="52"/>
      <c r="O438" s="52"/>
      <c r="S438" s="53"/>
    </row>
    <row r="439" spans="1:19" s="2" customFormat="1" ht="16.5" customHeight="1" x14ac:dyDescent="0.35">
      <c r="A439" s="85" t="s">
        <v>33</v>
      </c>
      <c r="B439" s="86" t="s">
        <v>584</v>
      </c>
      <c r="C439" s="87"/>
      <c r="D439" s="88" t="s">
        <v>585</v>
      </c>
      <c r="E439" s="43">
        <v>22410000</v>
      </c>
      <c r="F439" s="44">
        <f t="shared" si="23"/>
        <v>2241000</v>
      </c>
      <c r="G439" s="45">
        <f t="shared" si="24"/>
        <v>24651000</v>
      </c>
      <c r="H439" s="46">
        <v>24651000</v>
      </c>
      <c r="I439" s="47">
        <f t="shared" si="22"/>
        <v>0</v>
      </c>
      <c r="J439" s="48">
        <v>44979</v>
      </c>
      <c r="K439" s="49">
        <v>45061</v>
      </c>
      <c r="L439" s="50">
        <v>4900914601</v>
      </c>
      <c r="M439" s="51"/>
      <c r="N439" s="52"/>
      <c r="O439" s="52"/>
      <c r="S439" s="53"/>
    </row>
    <row r="440" spans="1:19" s="2" customFormat="1" ht="16.5" customHeight="1" x14ac:dyDescent="0.35">
      <c r="A440" s="85" t="s">
        <v>29</v>
      </c>
      <c r="B440" s="86" t="s">
        <v>586</v>
      </c>
      <c r="C440" s="87">
        <v>502</v>
      </c>
      <c r="D440" s="88">
        <v>44979</v>
      </c>
      <c r="E440" s="43">
        <v>11303000</v>
      </c>
      <c r="F440" s="44">
        <f t="shared" si="23"/>
        <v>1130300</v>
      </c>
      <c r="G440" s="45">
        <f t="shared" si="24"/>
        <v>12433300</v>
      </c>
      <c r="H440" s="46">
        <v>12433300</v>
      </c>
      <c r="I440" s="47">
        <f t="shared" si="22"/>
        <v>0</v>
      </c>
      <c r="J440" s="48">
        <v>44979</v>
      </c>
      <c r="K440" s="49">
        <v>45061</v>
      </c>
      <c r="L440" s="50">
        <v>4900917874</v>
      </c>
      <c r="M440" s="51"/>
      <c r="N440" s="52"/>
      <c r="O440" s="52"/>
      <c r="S440" s="53"/>
    </row>
    <row r="441" spans="1:19" s="2" customFormat="1" ht="16.5" customHeight="1" x14ac:dyDescent="0.35">
      <c r="A441" s="85" t="s">
        <v>29</v>
      </c>
      <c r="B441" s="86" t="s">
        <v>587</v>
      </c>
      <c r="C441" s="87"/>
      <c r="D441" s="88" t="s">
        <v>588</v>
      </c>
      <c r="E441" s="43">
        <v>1872000</v>
      </c>
      <c r="F441" s="44">
        <f t="shared" si="23"/>
        <v>187200</v>
      </c>
      <c r="G441" s="45">
        <f t="shared" si="24"/>
        <v>2059200</v>
      </c>
      <c r="H441" s="46">
        <v>2059200</v>
      </c>
      <c r="I441" s="47">
        <f t="shared" si="22"/>
        <v>0</v>
      </c>
      <c r="J441" s="48">
        <v>44979</v>
      </c>
      <c r="K441" s="49">
        <v>45061</v>
      </c>
      <c r="L441" s="50">
        <v>4146479522</v>
      </c>
      <c r="M441" s="51"/>
      <c r="N441" s="52"/>
      <c r="O441" s="52"/>
      <c r="S441" s="53"/>
    </row>
    <row r="442" spans="1:19" s="2" customFormat="1" ht="16.5" customHeight="1" x14ac:dyDescent="0.35">
      <c r="A442" s="85" t="s">
        <v>77</v>
      </c>
      <c r="B442" s="86" t="s">
        <v>589</v>
      </c>
      <c r="C442" s="87">
        <v>576</v>
      </c>
      <c r="D442" s="88">
        <v>44987</v>
      </c>
      <c r="E442" s="43">
        <v>9008000</v>
      </c>
      <c r="F442" s="44">
        <f t="shared" si="23"/>
        <v>900800</v>
      </c>
      <c r="G442" s="45">
        <f t="shared" si="24"/>
        <v>9908800</v>
      </c>
      <c r="H442" s="46">
        <v>9908800</v>
      </c>
      <c r="I442" s="47">
        <f t="shared" si="22"/>
        <v>0</v>
      </c>
      <c r="J442" s="48">
        <v>44979</v>
      </c>
      <c r="K442" s="49">
        <v>45071</v>
      </c>
      <c r="L442" s="50">
        <v>4146429784</v>
      </c>
      <c r="M442" s="51"/>
      <c r="N442" s="52"/>
      <c r="O442" s="52"/>
      <c r="S442" s="53"/>
    </row>
    <row r="443" spans="1:19" s="2" customFormat="1" ht="16.5" customHeight="1" x14ac:dyDescent="0.35">
      <c r="A443" s="85" t="s">
        <v>77</v>
      </c>
      <c r="B443" s="86" t="s">
        <v>590</v>
      </c>
      <c r="C443" s="87"/>
      <c r="D443" s="88" t="s">
        <v>591</v>
      </c>
      <c r="E443" s="43">
        <v>3580000</v>
      </c>
      <c r="F443" s="44">
        <f t="shared" si="23"/>
        <v>358000</v>
      </c>
      <c r="G443" s="45">
        <f t="shared" si="24"/>
        <v>3938000</v>
      </c>
      <c r="H443" s="46">
        <v>3938000</v>
      </c>
      <c r="I443" s="47">
        <f t="shared" si="22"/>
        <v>0</v>
      </c>
      <c r="J443" s="48">
        <v>44979</v>
      </c>
      <c r="K443" s="49">
        <v>45061</v>
      </c>
      <c r="L443" s="50">
        <v>4146503189</v>
      </c>
      <c r="M443" s="51"/>
      <c r="N443" s="52"/>
      <c r="O443" s="52"/>
      <c r="S443" s="53"/>
    </row>
    <row r="444" spans="1:19" s="2" customFormat="1" ht="16.5" customHeight="1" x14ac:dyDescent="0.35">
      <c r="A444" s="85" t="s">
        <v>37</v>
      </c>
      <c r="B444" s="86" t="s">
        <v>592</v>
      </c>
      <c r="C444" s="87"/>
      <c r="D444" s="88" t="s">
        <v>593</v>
      </c>
      <c r="E444" s="43">
        <v>4952000</v>
      </c>
      <c r="F444" s="44">
        <f t="shared" si="23"/>
        <v>495200</v>
      </c>
      <c r="G444" s="45">
        <f t="shared" si="24"/>
        <v>5447200</v>
      </c>
      <c r="H444" s="46">
        <v>5447200</v>
      </c>
      <c r="I444" s="47">
        <f t="shared" si="22"/>
        <v>0</v>
      </c>
      <c r="J444" s="48">
        <v>44979</v>
      </c>
      <c r="K444" s="49">
        <v>45061</v>
      </c>
      <c r="L444" s="50">
        <v>4900915519</v>
      </c>
      <c r="M444" s="51"/>
      <c r="N444" s="52"/>
      <c r="O444" s="52"/>
      <c r="S444" s="53"/>
    </row>
    <row r="445" spans="1:19" s="2" customFormat="1" ht="16.5" customHeight="1" x14ac:dyDescent="0.35">
      <c r="A445" s="85" t="s">
        <v>37</v>
      </c>
      <c r="B445" s="86" t="s">
        <v>594</v>
      </c>
      <c r="C445" s="87"/>
      <c r="D445" s="88" t="s">
        <v>593</v>
      </c>
      <c r="E445" s="43">
        <v>8400000</v>
      </c>
      <c r="F445" s="44">
        <f t="shared" si="23"/>
        <v>840000</v>
      </c>
      <c r="G445" s="45">
        <f t="shared" si="24"/>
        <v>9240000</v>
      </c>
      <c r="H445" s="46">
        <v>9240000</v>
      </c>
      <c r="I445" s="47">
        <f t="shared" si="22"/>
        <v>0</v>
      </c>
      <c r="J445" s="48">
        <v>44979</v>
      </c>
      <c r="K445" s="49">
        <v>45061</v>
      </c>
      <c r="L445" s="50">
        <v>4900917832</v>
      </c>
      <c r="M445" s="51"/>
      <c r="N445" s="52"/>
      <c r="O445" s="52"/>
      <c r="S445" s="53"/>
    </row>
    <row r="446" spans="1:19" s="2" customFormat="1" ht="16.5" customHeight="1" x14ac:dyDescent="0.35">
      <c r="A446" s="85" t="s">
        <v>37</v>
      </c>
      <c r="B446" s="86" t="s">
        <v>595</v>
      </c>
      <c r="C446" s="87"/>
      <c r="D446" s="88" t="s">
        <v>593</v>
      </c>
      <c r="E446" s="43">
        <v>7400000</v>
      </c>
      <c r="F446" s="44">
        <f t="shared" si="23"/>
        <v>740000</v>
      </c>
      <c r="G446" s="45">
        <f t="shared" si="24"/>
        <v>8140000</v>
      </c>
      <c r="H446" s="46">
        <v>8140000</v>
      </c>
      <c r="I446" s="47">
        <f t="shared" si="22"/>
        <v>0</v>
      </c>
      <c r="J446" s="48">
        <v>44979</v>
      </c>
      <c r="K446" s="49">
        <v>45061</v>
      </c>
      <c r="L446" s="50">
        <v>4900917819</v>
      </c>
      <c r="M446" s="51"/>
      <c r="N446" s="52"/>
      <c r="O446" s="52"/>
      <c r="S446" s="53"/>
    </row>
    <row r="447" spans="1:19" s="2" customFormat="1" ht="16.5" customHeight="1" x14ac:dyDescent="0.35">
      <c r="A447" s="85" t="s">
        <v>37</v>
      </c>
      <c r="B447" s="86" t="s">
        <v>596</v>
      </c>
      <c r="C447" s="87"/>
      <c r="D447" s="88" t="s">
        <v>593</v>
      </c>
      <c r="E447" s="43">
        <v>29790000</v>
      </c>
      <c r="F447" s="44">
        <f t="shared" si="23"/>
        <v>2979000</v>
      </c>
      <c r="G447" s="45">
        <f t="shared" si="24"/>
        <v>32769000</v>
      </c>
      <c r="H447" s="46">
        <v>32769000</v>
      </c>
      <c r="I447" s="47">
        <f t="shared" si="22"/>
        <v>0</v>
      </c>
      <c r="J447" s="48">
        <v>44979</v>
      </c>
      <c r="K447" s="49">
        <v>45061</v>
      </c>
      <c r="L447" s="50">
        <v>4900916048</v>
      </c>
      <c r="M447" s="51"/>
      <c r="N447" s="52"/>
      <c r="O447" s="52"/>
      <c r="S447" s="53"/>
    </row>
    <row r="448" spans="1:19" s="2" customFormat="1" ht="16.5" customHeight="1" x14ac:dyDescent="0.35">
      <c r="A448" s="85" t="s">
        <v>37</v>
      </c>
      <c r="B448" s="86" t="s">
        <v>597</v>
      </c>
      <c r="C448" s="87">
        <v>503</v>
      </c>
      <c r="D448" s="88">
        <v>44979</v>
      </c>
      <c r="E448" s="43">
        <v>18253000</v>
      </c>
      <c r="F448" s="44">
        <f t="shared" si="23"/>
        <v>1825300</v>
      </c>
      <c r="G448" s="45">
        <f t="shared" si="24"/>
        <v>20078300</v>
      </c>
      <c r="H448" s="46">
        <v>20078300</v>
      </c>
      <c r="I448" s="47">
        <f t="shared" si="22"/>
        <v>0</v>
      </c>
      <c r="J448" s="48">
        <v>44979</v>
      </c>
      <c r="K448" s="49">
        <v>45061</v>
      </c>
      <c r="L448" s="50">
        <v>4900916039</v>
      </c>
      <c r="M448" s="51"/>
      <c r="N448" s="52"/>
      <c r="O448" s="52"/>
      <c r="S448" s="53"/>
    </row>
    <row r="449" spans="1:19" s="2" customFormat="1" ht="16.5" customHeight="1" x14ac:dyDescent="0.35">
      <c r="A449" s="85" t="s">
        <v>37</v>
      </c>
      <c r="B449" s="86" t="s">
        <v>598</v>
      </c>
      <c r="C449" s="87"/>
      <c r="D449" s="88" t="s">
        <v>593</v>
      </c>
      <c r="E449" s="43">
        <v>624000</v>
      </c>
      <c r="F449" s="44">
        <f t="shared" si="23"/>
        <v>62400</v>
      </c>
      <c r="G449" s="45">
        <f t="shared" si="24"/>
        <v>686400</v>
      </c>
      <c r="H449" s="46">
        <v>686400</v>
      </c>
      <c r="I449" s="47">
        <f t="shared" si="22"/>
        <v>0</v>
      </c>
      <c r="J449" s="48">
        <v>44979</v>
      </c>
      <c r="K449" s="49">
        <v>45061</v>
      </c>
      <c r="L449" s="50">
        <v>4900919931</v>
      </c>
      <c r="M449" s="51"/>
      <c r="N449" s="52"/>
      <c r="O449" s="52"/>
      <c r="S449" s="53"/>
    </row>
    <row r="450" spans="1:19" s="2" customFormat="1" ht="16.5" customHeight="1" x14ac:dyDescent="0.35">
      <c r="A450" s="85" t="s">
        <v>29</v>
      </c>
      <c r="B450" s="86" t="s">
        <v>599</v>
      </c>
      <c r="C450" s="87"/>
      <c r="D450" s="88" t="s">
        <v>600</v>
      </c>
      <c r="E450" s="43">
        <v>1040000</v>
      </c>
      <c r="F450" s="44">
        <f t="shared" si="23"/>
        <v>104000</v>
      </c>
      <c r="G450" s="45">
        <f t="shared" si="24"/>
        <v>1144000</v>
      </c>
      <c r="H450" s="46">
        <v>1144000</v>
      </c>
      <c r="I450" s="47">
        <f t="shared" si="22"/>
        <v>0</v>
      </c>
      <c r="J450" s="48">
        <v>44979</v>
      </c>
      <c r="K450" s="49">
        <v>45061</v>
      </c>
      <c r="L450" s="50">
        <v>4900920250</v>
      </c>
      <c r="M450" s="51"/>
      <c r="N450" s="52"/>
      <c r="O450" s="52"/>
      <c r="S450" s="53"/>
    </row>
    <row r="451" spans="1:19" s="2" customFormat="1" ht="16.5" customHeight="1" x14ac:dyDescent="0.35">
      <c r="A451" s="85" t="s">
        <v>29</v>
      </c>
      <c r="B451" s="86" t="s">
        <v>601</v>
      </c>
      <c r="C451" s="87"/>
      <c r="D451" s="88" t="s">
        <v>600</v>
      </c>
      <c r="E451" s="43">
        <v>1752000</v>
      </c>
      <c r="F451" s="44">
        <f t="shared" si="23"/>
        <v>175200</v>
      </c>
      <c r="G451" s="45">
        <f t="shared" si="24"/>
        <v>1927200</v>
      </c>
      <c r="H451" s="46">
        <v>1927200</v>
      </c>
      <c r="I451" s="47">
        <f t="shared" si="22"/>
        <v>0</v>
      </c>
      <c r="J451" s="48">
        <v>44979</v>
      </c>
      <c r="K451" s="49">
        <v>45061</v>
      </c>
      <c r="L451" s="50">
        <v>4900921193</v>
      </c>
      <c r="M451" s="51"/>
      <c r="N451" s="52"/>
      <c r="O451" s="52"/>
      <c r="S451" s="53"/>
    </row>
    <row r="452" spans="1:19" s="2" customFormat="1" ht="16.5" customHeight="1" x14ac:dyDescent="0.35">
      <c r="A452" s="85" t="s">
        <v>33</v>
      </c>
      <c r="B452" s="86" t="s">
        <v>602</v>
      </c>
      <c r="C452" s="87"/>
      <c r="D452" s="88" t="s">
        <v>600</v>
      </c>
      <c r="E452" s="43">
        <v>312000</v>
      </c>
      <c r="F452" s="44">
        <f t="shared" si="23"/>
        <v>31200</v>
      </c>
      <c r="G452" s="45">
        <f t="shared" si="24"/>
        <v>343200</v>
      </c>
      <c r="H452" s="46">
        <v>343200</v>
      </c>
      <c r="I452" s="47">
        <f t="shared" si="22"/>
        <v>0</v>
      </c>
      <c r="J452" s="48">
        <v>44979</v>
      </c>
      <c r="K452" s="49">
        <v>45061</v>
      </c>
      <c r="L452" s="50">
        <v>4900921112</v>
      </c>
      <c r="M452" s="51"/>
      <c r="N452" s="52"/>
      <c r="O452" s="52"/>
      <c r="S452" s="53"/>
    </row>
    <row r="453" spans="1:19" s="2" customFormat="1" ht="16.5" customHeight="1" x14ac:dyDescent="0.35">
      <c r="A453" s="85" t="s">
        <v>37</v>
      </c>
      <c r="B453" s="86" t="s">
        <v>603</v>
      </c>
      <c r="C453" s="87"/>
      <c r="D453" s="88" t="s">
        <v>600</v>
      </c>
      <c r="E453" s="43">
        <v>11005000</v>
      </c>
      <c r="F453" s="44">
        <f t="shared" si="23"/>
        <v>1100500</v>
      </c>
      <c r="G453" s="45">
        <f t="shared" si="24"/>
        <v>12105500</v>
      </c>
      <c r="H453" s="46">
        <v>12105500</v>
      </c>
      <c r="I453" s="47">
        <f t="shared" si="22"/>
        <v>0</v>
      </c>
      <c r="J453" s="48">
        <v>44979</v>
      </c>
      <c r="K453" s="49">
        <v>45061</v>
      </c>
      <c r="L453" s="50">
        <v>4900921307</v>
      </c>
      <c r="M453" s="51"/>
      <c r="N453" s="52"/>
      <c r="O453" s="52"/>
      <c r="S453" s="53"/>
    </row>
    <row r="454" spans="1:19" s="2" customFormat="1" ht="16.5" customHeight="1" x14ac:dyDescent="0.35">
      <c r="A454" s="85" t="s">
        <v>77</v>
      </c>
      <c r="B454" s="86" t="s">
        <v>86</v>
      </c>
      <c r="C454" s="87"/>
      <c r="D454" s="88" t="s">
        <v>604</v>
      </c>
      <c r="E454" s="43">
        <v>8128000</v>
      </c>
      <c r="F454" s="44">
        <f t="shared" si="23"/>
        <v>812800</v>
      </c>
      <c r="G454" s="45">
        <f t="shared" si="24"/>
        <v>8940800</v>
      </c>
      <c r="H454" s="46">
        <v>8940800</v>
      </c>
      <c r="I454" s="47">
        <f t="shared" si="22"/>
        <v>0</v>
      </c>
      <c r="J454" s="48">
        <v>44979</v>
      </c>
      <c r="K454" s="49">
        <v>45061</v>
      </c>
      <c r="L454" s="50">
        <v>4146763869</v>
      </c>
      <c r="M454" s="51"/>
      <c r="N454" s="52"/>
      <c r="O454" s="52"/>
      <c r="S454" s="53"/>
    </row>
    <row r="455" spans="1:19" s="2" customFormat="1" ht="16.5" customHeight="1" x14ac:dyDescent="0.35">
      <c r="A455" s="85" t="s">
        <v>37</v>
      </c>
      <c r="B455" s="86" t="s">
        <v>605</v>
      </c>
      <c r="C455" s="87"/>
      <c r="D455" s="88" t="s">
        <v>563</v>
      </c>
      <c r="E455" s="43">
        <v>6080000</v>
      </c>
      <c r="F455" s="44">
        <f t="shared" si="23"/>
        <v>608000</v>
      </c>
      <c r="G455" s="45">
        <f t="shared" si="24"/>
        <v>6688000</v>
      </c>
      <c r="H455" s="46">
        <v>6688000</v>
      </c>
      <c r="I455" s="47">
        <f t="shared" si="22"/>
        <v>0</v>
      </c>
      <c r="J455" s="48">
        <v>44979</v>
      </c>
      <c r="K455" s="49">
        <v>45061</v>
      </c>
      <c r="L455" s="50">
        <v>4900923651</v>
      </c>
      <c r="M455" s="51"/>
      <c r="N455" s="52"/>
      <c r="O455" s="52"/>
      <c r="S455" s="53"/>
    </row>
    <row r="456" spans="1:19" s="2" customFormat="1" ht="16.5" customHeight="1" x14ac:dyDescent="0.35">
      <c r="A456" s="85" t="s">
        <v>37</v>
      </c>
      <c r="B456" s="86" t="s">
        <v>606</v>
      </c>
      <c r="C456" s="87"/>
      <c r="D456" s="88" t="s">
        <v>563</v>
      </c>
      <c r="E456" s="43">
        <v>59321000</v>
      </c>
      <c r="F456" s="44">
        <f t="shared" si="23"/>
        <v>5932100</v>
      </c>
      <c r="G456" s="45">
        <f t="shared" si="24"/>
        <v>65253100</v>
      </c>
      <c r="H456" s="46">
        <v>65253100</v>
      </c>
      <c r="I456" s="47">
        <f t="shared" ref="I456:I519" si="25">G456-H456</f>
        <v>0</v>
      </c>
      <c r="J456" s="48">
        <v>44979</v>
      </c>
      <c r="K456" s="49">
        <v>45061</v>
      </c>
      <c r="L456" s="50">
        <v>4900925011</v>
      </c>
      <c r="M456" s="51"/>
      <c r="N456" s="52"/>
      <c r="O456" s="52"/>
      <c r="S456" s="53"/>
    </row>
    <row r="457" spans="1:19" s="2" customFormat="1" ht="16.5" customHeight="1" x14ac:dyDescent="0.35">
      <c r="A457" s="85" t="s">
        <v>71</v>
      </c>
      <c r="B457" s="86" t="s">
        <v>607</v>
      </c>
      <c r="C457" s="87"/>
      <c r="D457" s="88" t="s">
        <v>608</v>
      </c>
      <c r="E457" s="43">
        <v>7771000</v>
      </c>
      <c r="F457" s="44">
        <f t="shared" si="23"/>
        <v>777100</v>
      </c>
      <c r="G457" s="45">
        <f t="shared" si="24"/>
        <v>8548100</v>
      </c>
      <c r="H457" s="46">
        <v>8548100</v>
      </c>
      <c r="I457" s="47">
        <f t="shared" si="25"/>
        <v>0</v>
      </c>
      <c r="J457" s="48">
        <v>44959</v>
      </c>
      <c r="K457" s="49">
        <v>45061</v>
      </c>
      <c r="L457" s="50">
        <v>4145591315</v>
      </c>
      <c r="M457" s="51"/>
      <c r="N457" s="52"/>
      <c r="O457" s="52"/>
      <c r="S457" s="53"/>
    </row>
    <row r="458" spans="1:19" s="2" customFormat="1" ht="16.5" customHeight="1" x14ac:dyDescent="0.35">
      <c r="A458" s="85" t="s">
        <v>71</v>
      </c>
      <c r="B458" s="86" t="s">
        <v>609</v>
      </c>
      <c r="C458" s="87"/>
      <c r="D458" s="88" t="s">
        <v>608</v>
      </c>
      <c r="E458" s="43">
        <v>7771000</v>
      </c>
      <c r="F458" s="44">
        <f t="shared" si="23"/>
        <v>777100</v>
      </c>
      <c r="G458" s="45">
        <f t="shared" si="24"/>
        <v>8548100</v>
      </c>
      <c r="H458" s="46">
        <v>8548100</v>
      </c>
      <c r="I458" s="47">
        <f t="shared" si="25"/>
        <v>0</v>
      </c>
      <c r="J458" s="48">
        <v>44959</v>
      </c>
      <c r="K458" s="49">
        <v>45061</v>
      </c>
      <c r="L458" s="50">
        <v>4145591229</v>
      </c>
      <c r="M458" s="51"/>
      <c r="N458" s="52"/>
      <c r="O458" s="52"/>
      <c r="S458" s="53"/>
    </row>
    <row r="459" spans="1:19" s="2" customFormat="1" ht="16.5" customHeight="1" x14ac:dyDescent="0.35">
      <c r="A459" s="85" t="s">
        <v>71</v>
      </c>
      <c r="B459" s="86" t="s">
        <v>610</v>
      </c>
      <c r="C459" s="87"/>
      <c r="D459" s="88" t="s">
        <v>608</v>
      </c>
      <c r="E459" s="43">
        <v>7771000</v>
      </c>
      <c r="F459" s="44">
        <f t="shared" si="23"/>
        <v>777100</v>
      </c>
      <c r="G459" s="45">
        <f t="shared" si="24"/>
        <v>8548100</v>
      </c>
      <c r="H459" s="46">
        <v>8548100</v>
      </c>
      <c r="I459" s="47">
        <f t="shared" si="25"/>
        <v>0</v>
      </c>
      <c r="J459" s="48">
        <v>44959</v>
      </c>
      <c r="K459" s="49">
        <v>45061</v>
      </c>
      <c r="L459" s="50">
        <v>4145591481</v>
      </c>
      <c r="M459" s="51"/>
      <c r="N459" s="52"/>
      <c r="O459" s="52"/>
      <c r="S459" s="53"/>
    </row>
    <row r="460" spans="1:19" s="2" customFormat="1" ht="16.5" customHeight="1" x14ac:dyDescent="0.35">
      <c r="A460" s="85" t="s">
        <v>29</v>
      </c>
      <c r="B460" s="86" t="s">
        <v>611</v>
      </c>
      <c r="C460" s="87"/>
      <c r="D460" s="88" t="s">
        <v>608</v>
      </c>
      <c r="E460" s="43">
        <v>9520000</v>
      </c>
      <c r="F460" s="44">
        <f t="shared" si="23"/>
        <v>952000</v>
      </c>
      <c r="G460" s="45">
        <f t="shared" si="24"/>
        <v>10472000</v>
      </c>
      <c r="H460" s="46">
        <v>10472000</v>
      </c>
      <c r="I460" s="47">
        <f t="shared" si="25"/>
        <v>0</v>
      </c>
      <c r="J460" s="48">
        <v>44959</v>
      </c>
      <c r="K460" s="49">
        <v>45061</v>
      </c>
      <c r="L460" s="50">
        <v>4900909771</v>
      </c>
      <c r="M460" s="51"/>
      <c r="N460" s="52"/>
      <c r="O460" s="52"/>
      <c r="S460" s="53"/>
    </row>
    <row r="461" spans="1:19" s="2" customFormat="1" ht="16.5" customHeight="1" x14ac:dyDescent="0.35">
      <c r="A461" s="85" t="s">
        <v>135</v>
      </c>
      <c r="B461" s="86" t="s">
        <v>612</v>
      </c>
      <c r="C461" s="87">
        <v>266</v>
      </c>
      <c r="D461" s="88">
        <v>44959</v>
      </c>
      <c r="E461" s="43">
        <v>11508400</v>
      </c>
      <c r="F461" s="44">
        <f t="shared" si="23"/>
        <v>1150840</v>
      </c>
      <c r="G461" s="45">
        <f t="shared" si="24"/>
        <v>12659240</v>
      </c>
      <c r="H461" s="46">
        <v>12659240</v>
      </c>
      <c r="I461" s="47">
        <f t="shared" si="25"/>
        <v>0</v>
      </c>
      <c r="J461" s="48">
        <v>44959</v>
      </c>
      <c r="K461" s="49">
        <v>45061</v>
      </c>
      <c r="L461" s="50">
        <v>4145920431</v>
      </c>
      <c r="M461" s="51"/>
      <c r="N461" s="52"/>
      <c r="O461" s="52"/>
      <c r="S461" s="53"/>
    </row>
    <row r="462" spans="1:19" s="2" customFormat="1" ht="16.5" customHeight="1" x14ac:dyDescent="0.35">
      <c r="A462" s="85" t="s">
        <v>135</v>
      </c>
      <c r="B462" s="86" t="s">
        <v>613</v>
      </c>
      <c r="C462" s="87">
        <v>440</v>
      </c>
      <c r="D462" s="88">
        <v>44971</v>
      </c>
      <c r="E462" s="43">
        <v>9580000</v>
      </c>
      <c r="F462" s="44">
        <f t="shared" si="23"/>
        <v>958000</v>
      </c>
      <c r="G462" s="45">
        <f t="shared" si="24"/>
        <v>10538000</v>
      </c>
      <c r="H462" s="46">
        <v>10538000</v>
      </c>
      <c r="I462" s="47">
        <f t="shared" si="25"/>
        <v>0</v>
      </c>
      <c r="J462" s="48">
        <v>44959</v>
      </c>
      <c r="K462" s="49">
        <v>45061</v>
      </c>
      <c r="L462" s="50">
        <v>4145955883</v>
      </c>
      <c r="M462" s="51"/>
      <c r="N462" s="52"/>
      <c r="O462" s="52"/>
      <c r="S462" s="53"/>
    </row>
    <row r="463" spans="1:19" s="2" customFormat="1" ht="16.5" customHeight="1" x14ac:dyDescent="0.35">
      <c r="A463" s="85" t="s">
        <v>71</v>
      </c>
      <c r="B463" s="86" t="s">
        <v>614</v>
      </c>
      <c r="C463" s="87">
        <v>439</v>
      </c>
      <c r="D463" s="88">
        <v>44970</v>
      </c>
      <c r="E463" s="43">
        <v>25005400</v>
      </c>
      <c r="F463" s="44">
        <f t="shared" si="23"/>
        <v>2500540</v>
      </c>
      <c r="G463" s="45">
        <f t="shared" si="24"/>
        <v>27505940</v>
      </c>
      <c r="H463" s="46">
        <v>27505940</v>
      </c>
      <c r="I463" s="47">
        <f t="shared" si="25"/>
        <v>0</v>
      </c>
      <c r="J463" s="48">
        <v>44959</v>
      </c>
      <c r="K463" s="49">
        <v>45061</v>
      </c>
      <c r="L463" s="50">
        <v>4145881746</v>
      </c>
      <c r="M463" s="51"/>
      <c r="N463" s="52"/>
      <c r="O463" s="52"/>
      <c r="S463" s="53"/>
    </row>
    <row r="464" spans="1:19" s="2" customFormat="1" ht="16.5" customHeight="1" x14ac:dyDescent="0.35">
      <c r="A464" s="85" t="s">
        <v>59</v>
      </c>
      <c r="B464" s="86" t="s">
        <v>615</v>
      </c>
      <c r="C464" s="87">
        <v>438</v>
      </c>
      <c r="D464" s="88">
        <v>44971</v>
      </c>
      <c r="E464" s="43">
        <v>19023400</v>
      </c>
      <c r="F464" s="44">
        <f t="shared" si="23"/>
        <v>1902340</v>
      </c>
      <c r="G464" s="45">
        <f t="shared" si="24"/>
        <v>20925740</v>
      </c>
      <c r="H464" s="46">
        <v>20925740</v>
      </c>
      <c r="I464" s="47">
        <f t="shared" si="25"/>
        <v>0</v>
      </c>
      <c r="J464" s="48">
        <v>44959</v>
      </c>
      <c r="K464" s="49">
        <v>45061</v>
      </c>
      <c r="L464" s="50">
        <v>4145997385</v>
      </c>
      <c r="M464" s="51"/>
      <c r="N464" s="52"/>
      <c r="O464" s="52"/>
      <c r="S464" s="53"/>
    </row>
    <row r="465" spans="1:19" s="2" customFormat="1" ht="16.5" customHeight="1" x14ac:dyDescent="0.35">
      <c r="A465" s="85" t="s">
        <v>71</v>
      </c>
      <c r="B465" s="86">
        <v>199</v>
      </c>
      <c r="C465" s="87">
        <v>420</v>
      </c>
      <c r="D465" s="88">
        <v>44970</v>
      </c>
      <c r="E465" s="43">
        <v>32857000</v>
      </c>
      <c r="F465" s="44">
        <f t="shared" si="23"/>
        <v>3285700</v>
      </c>
      <c r="G465" s="45">
        <f t="shared" si="24"/>
        <v>36142700</v>
      </c>
      <c r="H465" s="46">
        <v>36142700</v>
      </c>
      <c r="I465" s="47">
        <f t="shared" si="25"/>
        <v>0</v>
      </c>
      <c r="J465" s="48">
        <v>44959</v>
      </c>
      <c r="K465" s="49">
        <v>45132</v>
      </c>
      <c r="L465" s="50">
        <v>4146051176</v>
      </c>
      <c r="M465" s="51"/>
      <c r="N465" s="52"/>
      <c r="O465" s="52"/>
      <c r="S465" s="53"/>
    </row>
    <row r="466" spans="1:19" s="2" customFormat="1" ht="16.5" customHeight="1" x14ac:dyDescent="0.35">
      <c r="A466" s="85" t="s">
        <v>33</v>
      </c>
      <c r="B466" s="86" t="s">
        <v>616</v>
      </c>
      <c r="C466" s="87">
        <v>196</v>
      </c>
      <c r="D466" s="88">
        <v>44938</v>
      </c>
      <c r="E466" s="43">
        <v>2216000</v>
      </c>
      <c r="F466" s="44">
        <f>+E466*0.08</f>
        <v>177280</v>
      </c>
      <c r="G466" s="45">
        <f t="shared" si="24"/>
        <v>2393280</v>
      </c>
      <c r="H466" s="46">
        <v>2393280</v>
      </c>
      <c r="I466" s="47">
        <f t="shared" si="25"/>
        <v>0</v>
      </c>
      <c r="J466" s="48">
        <v>44936</v>
      </c>
      <c r="K466" s="49">
        <v>45061</v>
      </c>
      <c r="L466" s="50">
        <v>4900904626</v>
      </c>
      <c r="M466" s="51"/>
      <c r="N466" s="52"/>
      <c r="O466" s="52"/>
      <c r="S466" s="53"/>
    </row>
    <row r="467" spans="1:19" s="2" customFormat="1" ht="16.5" customHeight="1" x14ac:dyDescent="0.35">
      <c r="A467" s="85" t="s">
        <v>77</v>
      </c>
      <c r="B467" s="86" t="s">
        <v>617</v>
      </c>
      <c r="C467" s="87"/>
      <c r="D467" s="88" t="s">
        <v>618</v>
      </c>
      <c r="E467" s="43">
        <v>6160000</v>
      </c>
      <c r="F467" s="44">
        <f t="shared" ref="F467:F510" si="26">+E467*0.1</f>
        <v>616000</v>
      </c>
      <c r="G467" s="45">
        <f t="shared" si="24"/>
        <v>6776000</v>
      </c>
      <c r="H467" s="46">
        <v>6776000</v>
      </c>
      <c r="I467" s="47">
        <f t="shared" si="25"/>
        <v>0</v>
      </c>
      <c r="J467" s="48">
        <v>44936</v>
      </c>
      <c r="K467" s="49">
        <v>45061</v>
      </c>
      <c r="L467" s="50">
        <v>4145709263</v>
      </c>
      <c r="M467" s="51"/>
      <c r="N467" s="52"/>
      <c r="O467" s="52"/>
      <c r="S467" s="53"/>
    </row>
    <row r="468" spans="1:19" s="2" customFormat="1" ht="16.5" customHeight="1" x14ac:dyDescent="0.35">
      <c r="A468" s="85" t="s">
        <v>77</v>
      </c>
      <c r="B468" s="86" t="s">
        <v>619</v>
      </c>
      <c r="C468" s="87"/>
      <c r="D468" s="88" t="s">
        <v>618</v>
      </c>
      <c r="E468" s="43">
        <v>29604000</v>
      </c>
      <c r="F468" s="44">
        <f t="shared" si="26"/>
        <v>2960400</v>
      </c>
      <c r="G468" s="45">
        <f t="shared" si="24"/>
        <v>32564400</v>
      </c>
      <c r="H468" s="46">
        <v>32564400</v>
      </c>
      <c r="I468" s="47">
        <f t="shared" si="25"/>
        <v>0</v>
      </c>
      <c r="J468" s="48">
        <v>44936</v>
      </c>
      <c r="K468" s="49">
        <v>45061</v>
      </c>
      <c r="L468" s="50">
        <v>4145714766</v>
      </c>
      <c r="M468" s="51"/>
      <c r="N468" s="52"/>
      <c r="O468" s="52"/>
      <c r="S468" s="53"/>
    </row>
    <row r="469" spans="1:19" s="2" customFormat="1" ht="16.5" customHeight="1" x14ac:dyDescent="0.35">
      <c r="A469" s="85" t="s">
        <v>620</v>
      </c>
      <c r="B469" s="86" t="s">
        <v>621</v>
      </c>
      <c r="C469" s="87"/>
      <c r="D469" s="88" t="s">
        <v>618</v>
      </c>
      <c r="E469" s="43">
        <v>5520000</v>
      </c>
      <c r="F469" s="44">
        <f t="shared" si="26"/>
        <v>552000</v>
      </c>
      <c r="G469" s="45">
        <f t="shared" si="24"/>
        <v>6072000</v>
      </c>
      <c r="H469" s="46">
        <v>6072000</v>
      </c>
      <c r="I469" s="47">
        <f t="shared" si="25"/>
        <v>0</v>
      </c>
      <c r="J469" s="48">
        <v>44936</v>
      </c>
      <c r="K469" s="49">
        <v>45061</v>
      </c>
      <c r="L469" s="50">
        <v>4145765217</v>
      </c>
      <c r="M469" s="51"/>
      <c r="N469" s="52"/>
      <c r="O469" s="52"/>
      <c r="S469" s="53"/>
    </row>
    <row r="470" spans="1:19" s="2" customFormat="1" ht="16.5" customHeight="1" x14ac:dyDescent="0.35">
      <c r="A470" s="85" t="s">
        <v>71</v>
      </c>
      <c r="B470" s="86" t="s">
        <v>622</v>
      </c>
      <c r="C470" s="87"/>
      <c r="D470" s="88" t="s">
        <v>623</v>
      </c>
      <c r="E470" s="43">
        <v>49418800</v>
      </c>
      <c r="F470" s="44">
        <f t="shared" si="26"/>
        <v>4941880</v>
      </c>
      <c r="G470" s="45">
        <f t="shared" si="24"/>
        <v>54360680</v>
      </c>
      <c r="H470" s="46">
        <v>54360680</v>
      </c>
      <c r="I470" s="47">
        <f t="shared" si="25"/>
        <v>0</v>
      </c>
      <c r="J470" s="48">
        <v>44936</v>
      </c>
      <c r="K470" s="49">
        <v>45153</v>
      </c>
      <c r="L470" s="50">
        <v>4145590915</v>
      </c>
      <c r="M470" s="51"/>
      <c r="N470" s="52"/>
      <c r="O470" s="52"/>
      <c r="S470" s="53"/>
    </row>
    <row r="471" spans="1:19" s="2" customFormat="1" ht="16.5" customHeight="1" x14ac:dyDescent="0.35">
      <c r="A471" s="85" t="s">
        <v>37</v>
      </c>
      <c r="B471" s="86" t="s">
        <v>163</v>
      </c>
      <c r="C471" s="87"/>
      <c r="D471" s="88" t="s">
        <v>608</v>
      </c>
      <c r="E471" s="43">
        <v>3040000</v>
      </c>
      <c r="F471" s="44">
        <f t="shared" si="26"/>
        <v>304000</v>
      </c>
      <c r="G471" s="45">
        <f t="shared" ref="G471:G534" si="27">E471+F471</f>
        <v>3344000</v>
      </c>
      <c r="H471" s="46">
        <v>3344000</v>
      </c>
      <c r="I471" s="47">
        <f t="shared" si="25"/>
        <v>0</v>
      </c>
      <c r="J471" s="48">
        <v>44936</v>
      </c>
      <c r="K471" s="49">
        <v>45061</v>
      </c>
      <c r="L471" s="50">
        <v>4900909491</v>
      </c>
      <c r="M471" s="51"/>
      <c r="N471" s="52"/>
      <c r="O471" s="52"/>
      <c r="S471" s="53"/>
    </row>
    <row r="472" spans="1:19" s="2" customFormat="1" ht="16.5" customHeight="1" x14ac:dyDescent="0.35">
      <c r="A472" s="85" t="s">
        <v>71</v>
      </c>
      <c r="B472" s="86" t="s">
        <v>624</v>
      </c>
      <c r="C472" s="87"/>
      <c r="D472" s="88" t="s">
        <v>608</v>
      </c>
      <c r="E472" s="43">
        <v>12436000</v>
      </c>
      <c r="F472" s="44">
        <f t="shared" si="26"/>
        <v>1243600</v>
      </c>
      <c r="G472" s="45">
        <f t="shared" si="27"/>
        <v>13679600</v>
      </c>
      <c r="H472" s="46">
        <v>13679600</v>
      </c>
      <c r="I472" s="47">
        <f t="shared" si="25"/>
        <v>0</v>
      </c>
      <c r="J472" s="48">
        <v>44936</v>
      </c>
      <c r="K472" s="49">
        <v>45061</v>
      </c>
      <c r="L472" s="50">
        <v>4145590786</v>
      </c>
      <c r="M472" s="51"/>
      <c r="N472" s="52"/>
      <c r="O472" s="52"/>
      <c r="S472" s="53"/>
    </row>
    <row r="473" spans="1:19" s="2" customFormat="1" ht="16.5" customHeight="1" x14ac:dyDescent="0.35">
      <c r="A473" s="85" t="s">
        <v>71</v>
      </c>
      <c r="B473" s="86" t="s">
        <v>625</v>
      </c>
      <c r="C473" s="87"/>
      <c r="D473" s="88" t="s">
        <v>608</v>
      </c>
      <c r="E473" s="43">
        <v>8596000</v>
      </c>
      <c r="F473" s="44">
        <f t="shared" si="26"/>
        <v>859600</v>
      </c>
      <c r="G473" s="45">
        <f t="shared" si="27"/>
        <v>9455600</v>
      </c>
      <c r="H473" s="46">
        <v>9455600</v>
      </c>
      <c r="I473" s="47">
        <f t="shared" si="25"/>
        <v>0</v>
      </c>
      <c r="J473" s="48">
        <v>44936</v>
      </c>
      <c r="K473" s="49">
        <v>45153</v>
      </c>
      <c r="L473" s="50">
        <v>4145591048</v>
      </c>
      <c r="M473" s="51"/>
      <c r="N473" s="52"/>
      <c r="O473" s="52"/>
      <c r="S473" s="53"/>
    </row>
    <row r="474" spans="1:19" s="2" customFormat="1" ht="16.5" customHeight="1" x14ac:dyDescent="0.35">
      <c r="A474" s="85" t="s">
        <v>71</v>
      </c>
      <c r="B474" s="86" t="s">
        <v>626</v>
      </c>
      <c r="C474" s="87"/>
      <c r="D474" s="88" t="s">
        <v>608</v>
      </c>
      <c r="E474" s="43">
        <v>16276000</v>
      </c>
      <c r="F474" s="44">
        <f t="shared" si="26"/>
        <v>1627600</v>
      </c>
      <c r="G474" s="45">
        <f t="shared" si="27"/>
        <v>17903600</v>
      </c>
      <c r="H474" s="46">
        <v>17903600</v>
      </c>
      <c r="I474" s="47">
        <f t="shared" si="25"/>
        <v>0</v>
      </c>
      <c r="J474" s="48">
        <v>44936</v>
      </c>
      <c r="K474" s="49">
        <v>45061</v>
      </c>
      <c r="L474" s="50">
        <v>4145590856</v>
      </c>
      <c r="M474" s="51"/>
      <c r="N474" s="52"/>
      <c r="O474" s="52"/>
      <c r="S474" s="53"/>
    </row>
    <row r="475" spans="1:19" s="2" customFormat="1" ht="16.5" customHeight="1" x14ac:dyDescent="0.35">
      <c r="A475" s="85" t="s">
        <v>135</v>
      </c>
      <c r="B475" s="86" t="s">
        <v>627</v>
      </c>
      <c r="C475" s="87"/>
      <c r="D475" s="88" t="s">
        <v>608</v>
      </c>
      <c r="E475" s="43">
        <v>12436000</v>
      </c>
      <c r="F475" s="44">
        <f t="shared" si="26"/>
        <v>1243600</v>
      </c>
      <c r="G475" s="45">
        <f t="shared" si="27"/>
        <v>13679600</v>
      </c>
      <c r="H475" s="46">
        <v>13679600</v>
      </c>
      <c r="I475" s="47">
        <f t="shared" si="25"/>
        <v>0</v>
      </c>
      <c r="J475" s="48">
        <v>44936</v>
      </c>
      <c r="K475" s="49">
        <v>45061</v>
      </c>
      <c r="L475" s="50">
        <v>4145591092</v>
      </c>
      <c r="M475" s="51"/>
      <c r="N475" s="52"/>
      <c r="O475" s="52"/>
      <c r="S475" s="53"/>
    </row>
    <row r="476" spans="1:19" s="2" customFormat="1" ht="16.5" customHeight="1" x14ac:dyDescent="0.35">
      <c r="A476" s="85" t="s">
        <v>59</v>
      </c>
      <c r="B476" s="86" t="s">
        <v>628</v>
      </c>
      <c r="C476" s="87"/>
      <c r="D476" s="88" t="s">
        <v>608</v>
      </c>
      <c r="E476" s="43">
        <v>8416000</v>
      </c>
      <c r="F476" s="44">
        <f t="shared" si="26"/>
        <v>841600</v>
      </c>
      <c r="G476" s="45">
        <f t="shared" si="27"/>
        <v>9257600</v>
      </c>
      <c r="H476" s="46">
        <v>9257600</v>
      </c>
      <c r="I476" s="47">
        <f t="shared" si="25"/>
        <v>0</v>
      </c>
      <c r="J476" s="48">
        <v>44936</v>
      </c>
      <c r="K476" s="49">
        <v>45061</v>
      </c>
      <c r="L476" s="50">
        <v>4145591160</v>
      </c>
      <c r="M476" s="51"/>
      <c r="N476" s="52"/>
      <c r="O476" s="52"/>
      <c r="S476" s="53"/>
    </row>
    <row r="477" spans="1:19" s="2" customFormat="1" ht="16.5" customHeight="1" x14ac:dyDescent="0.35">
      <c r="A477" s="85" t="s">
        <v>71</v>
      </c>
      <c r="B477" s="86" t="s">
        <v>629</v>
      </c>
      <c r="C477" s="87"/>
      <c r="D477" s="88" t="s">
        <v>608</v>
      </c>
      <c r="E477" s="43">
        <v>7120000</v>
      </c>
      <c r="F477" s="44">
        <f t="shared" si="26"/>
        <v>712000</v>
      </c>
      <c r="G477" s="45">
        <f t="shared" si="27"/>
        <v>7832000</v>
      </c>
      <c r="H477" s="46">
        <v>7832000</v>
      </c>
      <c r="I477" s="47">
        <f t="shared" si="25"/>
        <v>0</v>
      </c>
      <c r="J477" s="48">
        <v>44936</v>
      </c>
      <c r="K477" s="49">
        <v>45031</v>
      </c>
      <c r="L477" s="50">
        <v>4145591240</v>
      </c>
      <c r="M477" s="51"/>
      <c r="N477" s="52"/>
      <c r="O477" s="52"/>
      <c r="S477" s="53"/>
    </row>
    <row r="478" spans="1:19" s="2" customFormat="1" ht="16.5" customHeight="1" x14ac:dyDescent="0.35">
      <c r="A478" s="85" t="s">
        <v>71</v>
      </c>
      <c r="B478" s="86" t="s">
        <v>630</v>
      </c>
      <c r="C478" s="87"/>
      <c r="D478" s="88" t="s">
        <v>608</v>
      </c>
      <c r="E478" s="43">
        <v>7771000</v>
      </c>
      <c r="F478" s="44">
        <f t="shared" si="26"/>
        <v>777100</v>
      </c>
      <c r="G478" s="45">
        <f t="shared" si="27"/>
        <v>8548100</v>
      </c>
      <c r="H478" s="46">
        <v>8548100</v>
      </c>
      <c r="I478" s="47">
        <f t="shared" si="25"/>
        <v>0</v>
      </c>
      <c r="J478" s="48">
        <v>44936</v>
      </c>
      <c r="K478" s="49">
        <v>45061</v>
      </c>
      <c r="L478" s="50">
        <v>4145591285</v>
      </c>
      <c r="M478" s="51"/>
      <c r="N478" s="52"/>
      <c r="O478" s="52"/>
      <c r="S478" s="53"/>
    </row>
    <row r="479" spans="1:19" s="2" customFormat="1" ht="16.5" customHeight="1" x14ac:dyDescent="0.35">
      <c r="A479" s="85" t="s">
        <v>71</v>
      </c>
      <c r="B479" s="86" t="s">
        <v>631</v>
      </c>
      <c r="C479" s="87"/>
      <c r="D479" s="88" t="s">
        <v>608</v>
      </c>
      <c r="E479" s="43">
        <v>7771000</v>
      </c>
      <c r="F479" s="44">
        <f t="shared" si="26"/>
        <v>777100</v>
      </c>
      <c r="G479" s="45">
        <f t="shared" si="27"/>
        <v>8548100</v>
      </c>
      <c r="H479" s="46">
        <v>8548100</v>
      </c>
      <c r="I479" s="47">
        <f t="shared" si="25"/>
        <v>0</v>
      </c>
      <c r="J479" s="48">
        <v>44936</v>
      </c>
      <c r="K479" s="49">
        <v>45061</v>
      </c>
      <c r="L479" s="50">
        <v>4145591354</v>
      </c>
      <c r="M479" s="51"/>
      <c r="N479" s="52"/>
      <c r="O479" s="52"/>
      <c r="S479" s="53"/>
    </row>
    <row r="480" spans="1:19" s="2" customFormat="1" ht="16.5" customHeight="1" x14ac:dyDescent="0.35">
      <c r="A480" s="85" t="s">
        <v>632</v>
      </c>
      <c r="B480" s="86" t="s">
        <v>633</v>
      </c>
      <c r="C480" s="87"/>
      <c r="D480" s="88" t="s">
        <v>608</v>
      </c>
      <c r="E480" s="43">
        <v>6115000</v>
      </c>
      <c r="F480" s="44">
        <f t="shared" si="26"/>
        <v>611500</v>
      </c>
      <c r="G480" s="45">
        <f t="shared" si="27"/>
        <v>6726500</v>
      </c>
      <c r="H480" s="46">
        <v>6726500</v>
      </c>
      <c r="I480" s="47">
        <f t="shared" si="25"/>
        <v>0</v>
      </c>
      <c r="J480" s="48">
        <v>44936</v>
      </c>
      <c r="K480" s="49">
        <v>45061</v>
      </c>
      <c r="L480" s="50">
        <v>4145591364</v>
      </c>
      <c r="M480" s="51"/>
      <c r="N480" s="52"/>
      <c r="O480" s="52"/>
      <c r="S480" s="53"/>
    </row>
    <row r="481" spans="1:19" s="2" customFormat="1" ht="16.5" customHeight="1" x14ac:dyDescent="0.35">
      <c r="A481" s="85" t="s">
        <v>90</v>
      </c>
      <c r="B481" s="86" t="s">
        <v>634</v>
      </c>
      <c r="C481" s="87"/>
      <c r="D481" s="88" t="s">
        <v>608</v>
      </c>
      <c r="E481" s="43">
        <v>16816000</v>
      </c>
      <c r="F481" s="44">
        <f t="shared" si="26"/>
        <v>1681600</v>
      </c>
      <c r="G481" s="45">
        <f t="shared" si="27"/>
        <v>18497600</v>
      </c>
      <c r="H481" s="46">
        <v>18497600</v>
      </c>
      <c r="I481" s="47">
        <f t="shared" si="25"/>
        <v>0</v>
      </c>
      <c r="J481" s="48">
        <v>44936</v>
      </c>
      <c r="K481" s="49">
        <v>45061</v>
      </c>
      <c r="L481" s="50">
        <v>4145591424</v>
      </c>
      <c r="M481" s="51"/>
      <c r="N481" s="52"/>
      <c r="O481" s="52"/>
      <c r="S481" s="53"/>
    </row>
    <row r="482" spans="1:19" s="2" customFormat="1" ht="16.5" customHeight="1" x14ac:dyDescent="0.35">
      <c r="A482" s="85" t="s">
        <v>81</v>
      </c>
      <c r="B482" s="86" t="s">
        <v>635</v>
      </c>
      <c r="C482" s="87"/>
      <c r="D482" s="88" t="s">
        <v>608</v>
      </c>
      <c r="E482" s="43">
        <v>7771000</v>
      </c>
      <c r="F482" s="44">
        <f t="shared" si="26"/>
        <v>777100</v>
      </c>
      <c r="G482" s="45">
        <f t="shared" si="27"/>
        <v>8548100</v>
      </c>
      <c r="H482" s="46">
        <v>8548100</v>
      </c>
      <c r="I482" s="47">
        <f t="shared" si="25"/>
        <v>0</v>
      </c>
      <c r="J482" s="48">
        <v>44936</v>
      </c>
      <c r="K482" s="49">
        <v>45061</v>
      </c>
      <c r="L482" s="50">
        <v>4145591455</v>
      </c>
      <c r="M482" s="51"/>
      <c r="N482" s="52"/>
      <c r="O482" s="52"/>
      <c r="S482" s="53"/>
    </row>
    <row r="483" spans="1:19" s="2" customFormat="1" ht="16.5" customHeight="1" x14ac:dyDescent="0.35">
      <c r="A483" s="85" t="s">
        <v>636</v>
      </c>
      <c r="B483" s="86" t="s">
        <v>637</v>
      </c>
      <c r="C483" s="87">
        <v>197</v>
      </c>
      <c r="D483" s="88">
        <v>44938</v>
      </c>
      <c r="E483" s="43">
        <v>4480000</v>
      </c>
      <c r="F483" s="44">
        <f t="shared" si="26"/>
        <v>448000</v>
      </c>
      <c r="G483" s="45">
        <f t="shared" si="27"/>
        <v>4928000</v>
      </c>
      <c r="H483" s="46">
        <v>4928000</v>
      </c>
      <c r="I483" s="47">
        <f t="shared" si="25"/>
        <v>0</v>
      </c>
      <c r="J483" s="48">
        <v>44936</v>
      </c>
      <c r="K483" s="49">
        <v>45061</v>
      </c>
      <c r="L483" s="50">
        <v>4145591495</v>
      </c>
      <c r="M483" s="51"/>
      <c r="N483" s="52"/>
      <c r="O483" s="52"/>
      <c r="S483" s="53"/>
    </row>
    <row r="484" spans="1:19" s="2" customFormat="1" ht="16.5" customHeight="1" x14ac:dyDescent="0.35">
      <c r="A484" s="85" t="s">
        <v>69</v>
      </c>
      <c r="B484" s="86" t="s">
        <v>638</v>
      </c>
      <c r="C484" s="87"/>
      <c r="D484" s="88" t="s">
        <v>608</v>
      </c>
      <c r="E484" s="43">
        <v>3100000</v>
      </c>
      <c r="F484" s="44">
        <f t="shared" si="26"/>
        <v>310000</v>
      </c>
      <c r="G484" s="45">
        <f t="shared" si="27"/>
        <v>3410000</v>
      </c>
      <c r="H484" s="46">
        <v>3410000</v>
      </c>
      <c r="I484" s="47">
        <f t="shared" si="25"/>
        <v>0</v>
      </c>
      <c r="J484" s="48">
        <v>44936</v>
      </c>
      <c r="K484" s="49">
        <v>45061</v>
      </c>
      <c r="L484" s="50">
        <v>4145591499</v>
      </c>
      <c r="M484" s="51"/>
      <c r="N484" s="52"/>
      <c r="O484" s="52"/>
      <c r="S484" s="53"/>
    </row>
    <row r="485" spans="1:19" s="2" customFormat="1" ht="16.5" customHeight="1" x14ac:dyDescent="0.35">
      <c r="A485" s="85" t="s">
        <v>186</v>
      </c>
      <c r="B485" s="86" t="s">
        <v>639</v>
      </c>
      <c r="C485" s="87"/>
      <c r="D485" s="88" t="s">
        <v>608</v>
      </c>
      <c r="E485" s="43">
        <v>7771000</v>
      </c>
      <c r="F485" s="44">
        <f t="shared" si="26"/>
        <v>777100</v>
      </c>
      <c r="G485" s="45">
        <f t="shared" si="27"/>
        <v>8548100</v>
      </c>
      <c r="H485" s="46">
        <v>8548100</v>
      </c>
      <c r="I485" s="47">
        <f t="shared" si="25"/>
        <v>0</v>
      </c>
      <c r="J485" s="48">
        <v>44936</v>
      </c>
      <c r="K485" s="49">
        <v>45061</v>
      </c>
      <c r="L485" s="50">
        <v>4145591519</v>
      </c>
      <c r="M485" s="51"/>
      <c r="N485" s="52"/>
      <c r="O485" s="52"/>
      <c r="S485" s="53"/>
    </row>
    <row r="486" spans="1:19" s="2" customFormat="1" ht="16.5" customHeight="1" x14ac:dyDescent="0.35">
      <c r="A486" s="85" t="s">
        <v>85</v>
      </c>
      <c r="B486" s="86" t="s">
        <v>640</v>
      </c>
      <c r="C486" s="87"/>
      <c r="D486" s="88" t="s">
        <v>608</v>
      </c>
      <c r="E486" s="43">
        <v>6115000</v>
      </c>
      <c r="F486" s="44">
        <f t="shared" si="26"/>
        <v>611500</v>
      </c>
      <c r="G486" s="45">
        <f t="shared" si="27"/>
        <v>6726500</v>
      </c>
      <c r="H486" s="46">
        <v>6726500</v>
      </c>
      <c r="I486" s="47">
        <f t="shared" si="25"/>
        <v>0</v>
      </c>
      <c r="J486" s="48">
        <v>44936</v>
      </c>
      <c r="K486" s="49">
        <v>45061</v>
      </c>
      <c r="L486" s="50">
        <v>4145591575</v>
      </c>
      <c r="M486" s="51"/>
      <c r="N486" s="52"/>
      <c r="O486" s="52"/>
      <c r="S486" s="53"/>
    </row>
    <row r="487" spans="1:19" s="2" customFormat="1" ht="16.5" customHeight="1" x14ac:dyDescent="0.35">
      <c r="A487" s="85" t="s">
        <v>123</v>
      </c>
      <c r="B487" s="86" t="s">
        <v>641</v>
      </c>
      <c r="C487" s="87"/>
      <c r="D487" s="88" t="s">
        <v>608</v>
      </c>
      <c r="E487" s="43">
        <v>7771000</v>
      </c>
      <c r="F487" s="44">
        <f t="shared" si="26"/>
        <v>777100</v>
      </c>
      <c r="G487" s="45">
        <f t="shared" si="27"/>
        <v>8548100</v>
      </c>
      <c r="H487" s="46">
        <v>8548100</v>
      </c>
      <c r="I487" s="47">
        <f t="shared" si="25"/>
        <v>0</v>
      </c>
      <c r="J487" s="48">
        <v>44936</v>
      </c>
      <c r="K487" s="49">
        <v>45061</v>
      </c>
      <c r="L487" s="50">
        <v>4145591610</v>
      </c>
      <c r="M487" s="51"/>
      <c r="N487" s="52"/>
      <c r="O487" s="52"/>
      <c r="S487" s="53"/>
    </row>
    <row r="488" spans="1:19" s="2" customFormat="1" ht="16.5" customHeight="1" x14ac:dyDescent="0.35">
      <c r="A488" s="85" t="s">
        <v>71</v>
      </c>
      <c r="B488" s="86" t="s">
        <v>642</v>
      </c>
      <c r="C488" s="87"/>
      <c r="D488" s="88" t="s">
        <v>608</v>
      </c>
      <c r="E488" s="43">
        <v>7771000</v>
      </c>
      <c r="F488" s="44">
        <f t="shared" si="26"/>
        <v>777100</v>
      </c>
      <c r="G488" s="45">
        <f t="shared" si="27"/>
        <v>8548100</v>
      </c>
      <c r="H488" s="46">
        <v>8548100</v>
      </c>
      <c r="I488" s="47">
        <f t="shared" si="25"/>
        <v>0</v>
      </c>
      <c r="J488" s="48">
        <v>44936</v>
      </c>
      <c r="K488" s="49">
        <v>45061</v>
      </c>
      <c r="L488" s="50">
        <v>4145591673</v>
      </c>
      <c r="M488" s="51"/>
      <c r="N488" s="52"/>
      <c r="O488" s="52"/>
      <c r="S488" s="53"/>
    </row>
    <row r="489" spans="1:19" s="2" customFormat="1" ht="16.5" customHeight="1" x14ac:dyDescent="0.35">
      <c r="A489" s="85" t="s">
        <v>71</v>
      </c>
      <c r="B489" s="86" t="s">
        <v>643</v>
      </c>
      <c r="C489" s="87"/>
      <c r="D489" s="88" t="s">
        <v>608</v>
      </c>
      <c r="E489" s="43">
        <v>4756000</v>
      </c>
      <c r="F489" s="44">
        <f t="shared" si="26"/>
        <v>475600</v>
      </c>
      <c r="G489" s="45">
        <f t="shared" si="27"/>
        <v>5231600</v>
      </c>
      <c r="H489" s="46">
        <v>5231600</v>
      </c>
      <c r="I489" s="47">
        <f t="shared" si="25"/>
        <v>0</v>
      </c>
      <c r="J489" s="48">
        <v>44936</v>
      </c>
      <c r="K489" s="49">
        <v>45061</v>
      </c>
      <c r="L489" s="50">
        <v>4145591715</v>
      </c>
      <c r="M489" s="51"/>
      <c r="N489" s="52"/>
      <c r="O489" s="52"/>
      <c r="S489" s="53"/>
    </row>
    <row r="490" spans="1:19" s="112" customFormat="1" ht="16.5" customHeight="1" x14ac:dyDescent="0.35">
      <c r="A490" s="100" t="s">
        <v>37</v>
      </c>
      <c r="B490" s="101" t="s">
        <v>644</v>
      </c>
      <c r="C490" s="102">
        <v>1524</v>
      </c>
      <c r="D490" s="103">
        <v>45090</v>
      </c>
      <c r="E490" s="104">
        <v>8880000</v>
      </c>
      <c r="F490" s="44">
        <f t="shared" si="26"/>
        <v>888000</v>
      </c>
      <c r="G490" s="105">
        <f t="shared" si="27"/>
        <v>9768000</v>
      </c>
      <c r="H490" s="104">
        <v>9768000</v>
      </c>
      <c r="I490" s="106">
        <f t="shared" si="25"/>
        <v>0</v>
      </c>
      <c r="J490" s="107">
        <v>45090</v>
      </c>
      <c r="K490" s="108">
        <v>45163</v>
      </c>
      <c r="L490" s="109">
        <v>4900935703</v>
      </c>
      <c r="M490" s="110" t="s">
        <v>645</v>
      </c>
      <c r="N490" s="111"/>
      <c r="O490" s="111"/>
      <c r="S490" s="113"/>
    </row>
    <row r="491" spans="1:19" s="2" customFormat="1" ht="16.5" customHeight="1" x14ac:dyDescent="0.35">
      <c r="A491" s="85" t="s">
        <v>59</v>
      </c>
      <c r="B491" s="86" t="s">
        <v>646</v>
      </c>
      <c r="C491" s="87"/>
      <c r="D491" s="88" t="s">
        <v>608</v>
      </c>
      <c r="E491" s="43">
        <v>4756000</v>
      </c>
      <c r="F491" s="44">
        <f t="shared" si="26"/>
        <v>475600</v>
      </c>
      <c r="G491" s="45">
        <f t="shared" si="27"/>
        <v>5231600</v>
      </c>
      <c r="H491" s="46">
        <v>5231600</v>
      </c>
      <c r="I491" s="47">
        <f t="shared" si="25"/>
        <v>0</v>
      </c>
      <c r="J491" s="48">
        <v>44936</v>
      </c>
      <c r="K491" s="49">
        <v>45061</v>
      </c>
      <c r="L491" s="50">
        <v>4145591745</v>
      </c>
      <c r="M491" s="51"/>
      <c r="N491" s="52"/>
      <c r="O491" s="52"/>
      <c r="S491" s="53"/>
    </row>
    <row r="492" spans="1:19" s="2" customFormat="1" ht="16.5" customHeight="1" x14ac:dyDescent="0.35">
      <c r="A492" s="85" t="s">
        <v>135</v>
      </c>
      <c r="B492" s="86" t="s">
        <v>647</v>
      </c>
      <c r="C492" s="87"/>
      <c r="D492" s="88" t="s">
        <v>608</v>
      </c>
      <c r="E492" s="43">
        <v>6115000</v>
      </c>
      <c r="F492" s="44">
        <f t="shared" si="26"/>
        <v>611500</v>
      </c>
      <c r="G492" s="45">
        <f t="shared" si="27"/>
        <v>6726500</v>
      </c>
      <c r="H492" s="46">
        <v>6726500</v>
      </c>
      <c r="I492" s="47">
        <f t="shared" si="25"/>
        <v>0</v>
      </c>
      <c r="J492" s="48">
        <v>44936</v>
      </c>
      <c r="K492" s="49">
        <v>45061</v>
      </c>
      <c r="L492" s="50">
        <v>4145591785</v>
      </c>
      <c r="M492" s="51"/>
      <c r="N492" s="52"/>
      <c r="O492" s="52"/>
      <c r="S492" s="53"/>
    </row>
    <row r="493" spans="1:19" s="2" customFormat="1" ht="16.5" customHeight="1" x14ac:dyDescent="0.35">
      <c r="A493" s="85" t="s">
        <v>71</v>
      </c>
      <c r="B493" s="86" t="s">
        <v>648</v>
      </c>
      <c r="C493" s="87"/>
      <c r="D493" s="88" t="s">
        <v>608</v>
      </c>
      <c r="E493" s="43">
        <v>7771000</v>
      </c>
      <c r="F493" s="44">
        <f t="shared" si="26"/>
        <v>777100</v>
      </c>
      <c r="G493" s="45">
        <f t="shared" si="27"/>
        <v>8548100</v>
      </c>
      <c r="H493" s="46">
        <v>8548100</v>
      </c>
      <c r="I493" s="47">
        <f t="shared" si="25"/>
        <v>0</v>
      </c>
      <c r="J493" s="48">
        <v>44936</v>
      </c>
      <c r="K493" s="49">
        <v>45061</v>
      </c>
      <c r="L493" s="50">
        <v>4145591885</v>
      </c>
      <c r="M493" s="51"/>
      <c r="N493" s="52"/>
      <c r="O493" s="52"/>
      <c r="S493" s="53"/>
    </row>
    <row r="494" spans="1:19" s="2" customFormat="1" ht="16.5" customHeight="1" x14ac:dyDescent="0.35">
      <c r="A494" s="85" t="s">
        <v>71</v>
      </c>
      <c r="B494" s="86" t="s">
        <v>649</v>
      </c>
      <c r="C494" s="87"/>
      <c r="D494" s="88" t="s">
        <v>608</v>
      </c>
      <c r="E494" s="43">
        <v>7771000</v>
      </c>
      <c r="F494" s="44">
        <f t="shared" si="26"/>
        <v>777100</v>
      </c>
      <c r="G494" s="45">
        <f t="shared" si="27"/>
        <v>8548100</v>
      </c>
      <c r="H494" s="46">
        <v>8548100</v>
      </c>
      <c r="I494" s="47">
        <f t="shared" si="25"/>
        <v>0</v>
      </c>
      <c r="J494" s="48">
        <v>44936</v>
      </c>
      <c r="K494" s="49">
        <v>45061</v>
      </c>
      <c r="L494" s="50">
        <v>4145591833</v>
      </c>
      <c r="M494" s="51"/>
      <c r="N494" s="52"/>
      <c r="O494" s="52"/>
      <c r="S494" s="53"/>
    </row>
    <row r="495" spans="1:19" s="2" customFormat="1" ht="16.5" customHeight="1" x14ac:dyDescent="0.35">
      <c r="A495" s="85" t="s">
        <v>71</v>
      </c>
      <c r="B495" s="86" t="s">
        <v>650</v>
      </c>
      <c r="C495" s="87"/>
      <c r="D495" s="88" t="s">
        <v>608</v>
      </c>
      <c r="E495" s="43">
        <v>7771000</v>
      </c>
      <c r="F495" s="44">
        <f t="shared" si="26"/>
        <v>777100</v>
      </c>
      <c r="G495" s="45">
        <f t="shared" si="27"/>
        <v>8548100</v>
      </c>
      <c r="H495" s="89">
        <v>8548100</v>
      </c>
      <c r="I495" s="47">
        <f t="shared" si="25"/>
        <v>0</v>
      </c>
      <c r="J495" s="48">
        <v>44936</v>
      </c>
      <c r="K495" s="49">
        <v>45061</v>
      </c>
      <c r="L495" s="50">
        <v>4145592003</v>
      </c>
      <c r="M495" s="51"/>
      <c r="N495" s="52"/>
      <c r="O495" s="52"/>
      <c r="S495" s="53"/>
    </row>
    <row r="496" spans="1:19" s="2" customFormat="1" ht="16.5" customHeight="1" x14ac:dyDescent="0.35">
      <c r="A496" s="85" t="s">
        <v>71</v>
      </c>
      <c r="B496" s="86" t="s">
        <v>651</v>
      </c>
      <c r="C496" s="87"/>
      <c r="D496" s="88" t="s">
        <v>608</v>
      </c>
      <c r="E496" s="43">
        <v>7771000</v>
      </c>
      <c r="F496" s="44">
        <f t="shared" si="26"/>
        <v>777100</v>
      </c>
      <c r="G496" s="45">
        <f t="shared" si="27"/>
        <v>8548100</v>
      </c>
      <c r="H496" s="46">
        <v>8548100</v>
      </c>
      <c r="I496" s="47">
        <f t="shared" si="25"/>
        <v>0</v>
      </c>
      <c r="J496" s="48">
        <v>44936</v>
      </c>
      <c r="K496" s="49">
        <v>45061</v>
      </c>
      <c r="L496" s="50">
        <v>4145591826</v>
      </c>
      <c r="M496" s="51"/>
      <c r="N496" s="52"/>
      <c r="O496" s="52"/>
      <c r="S496" s="53"/>
    </row>
    <row r="497" spans="1:19" s="2" customFormat="1" ht="16.5" customHeight="1" x14ac:dyDescent="0.35">
      <c r="A497" s="85" t="s">
        <v>135</v>
      </c>
      <c r="B497" s="86" t="s">
        <v>652</v>
      </c>
      <c r="C497" s="87"/>
      <c r="D497" s="88" t="s">
        <v>608</v>
      </c>
      <c r="E497" s="43">
        <v>7771000</v>
      </c>
      <c r="F497" s="44">
        <f t="shared" si="26"/>
        <v>777100</v>
      </c>
      <c r="G497" s="45">
        <f t="shared" si="27"/>
        <v>8548100</v>
      </c>
      <c r="H497" s="46">
        <v>8548100</v>
      </c>
      <c r="I497" s="47">
        <f t="shared" si="25"/>
        <v>0</v>
      </c>
      <c r="J497" s="48">
        <v>44936</v>
      </c>
      <c r="K497" s="49">
        <v>45061</v>
      </c>
      <c r="L497" s="50">
        <v>4145590778</v>
      </c>
      <c r="M497" s="51"/>
      <c r="N497" s="52"/>
      <c r="O497" s="52"/>
      <c r="S497" s="53"/>
    </row>
    <row r="498" spans="1:19" s="2" customFormat="1" ht="16.5" customHeight="1" x14ac:dyDescent="0.35">
      <c r="A498" s="85" t="s">
        <v>71</v>
      </c>
      <c r="B498" s="86" t="s">
        <v>653</v>
      </c>
      <c r="C498" s="87"/>
      <c r="D498" s="88" t="s">
        <v>608</v>
      </c>
      <c r="E498" s="43">
        <v>7771000</v>
      </c>
      <c r="F498" s="44">
        <f t="shared" si="26"/>
        <v>777100</v>
      </c>
      <c r="G498" s="45">
        <f t="shared" si="27"/>
        <v>8548100</v>
      </c>
      <c r="H498" s="46">
        <v>8548100</v>
      </c>
      <c r="I498" s="47">
        <f t="shared" si="25"/>
        <v>0</v>
      </c>
      <c r="J498" s="48">
        <v>44936</v>
      </c>
      <c r="K498" s="49">
        <v>45061</v>
      </c>
      <c r="L498" s="50">
        <v>4145591665</v>
      </c>
      <c r="M498" s="51"/>
      <c r="N498" s="52"/>
      <c r="O498" s="52"/>
      <c r="S498" s="53"/>
    </row>
    <row r="499" spans="1:19" s="2" customFormat="1" ht="16.5" customHeight="1" x14ac:dyDescent="0.35">
      <c r="A499" s="85" t="s">
        <v>71</v>
      </c>
      <c r="B499" s="86" t="s">
        <v>654</v>
      </c>
      <c r="C499" s="87"/>
      <c r="D499" s="88" t="s">
        <v>608</v>
      </c>
      <c r="E499" s="43">
        <v>7771000</v>
      </c>
      <c r="F499" s="44">
        <f t="shared" si="26"/>
        <v>777100</v>
      </c>
      <c r="G499" s="45">
        <f t="shared" si="27"/>
        <v>8548100</v>
      </c>
      <c r="H499" s="46">
        <v>8548100</v>
      </c>
      <c r="I499" s="47">
        <f t="shared" si="25"/>
        <v>0</v>
      </c>
      <c r="J499" s="48">
        <v>44936</v>
      </c>
      <c r="K499" s="49">
        <v>45061</v>
      </c>
      <c r="L499" s="50">
        <v>4145591946</v>
      </c>
      <c r="M499" s="51"/>
      <c r="N499" s="52"/>
      <c r="O499" s="52"/>
      <c r="S499" s="53"/>
    </row>
    <row r="500" spans="1:19" s="2" customFormat="1" ht="16.5" customHeight="1" x14ac:dyDescent="0.35">
      <c r="A500" s="85" t="s">
        <v>71</v>
      </c>
      <c r="B500" s="86" t="s">
        <v>655</v>
      </c>
      <c r="C500" s="87"/>
      <c r="D500" s="88" t="s">
        <v>608</v>
      </c>
      <c r="E500" s="43">
        <v>7771000</v>
      </c>
      <c r="F500" s="44">
        <f t="shared" si="26"/>
        <v>777100</v>
      </c>
      <c r="G500" s="45">
        <f t="shared" si="27"/>
        <v>8548100</v>
      </c>
      <c r="H500" s="46">
        <v>8548100</v>
      </c>
      <c r="I500" s="47">
        <f t="shared" si="25"/>
        <v>0</v>
      </c>
      <c r="J500" s="48">
        <v>44936</v>
      </c>
      <c r="K500" s="49">
        <v>45061</v>
      </c>
      <c r="L500" s="50">
        <v>4145591996</v>
      </c>
      <c r="M500" s="51"/>
      <c r="N500" s="52"/>
      <c r="O500" s="52"/>
      <c r="S500" s="53"/>
    </row>
    <row r="501" spans="1:19" s="2" customFormat="1" ht="16.5" customHeight="1" x14ac:dyDescent="0.35">
      <c r="A501" s="85" t="s">
        <v>71</v>
      </c>
      <c r="B501" s="86" t="s">
        <v>656</v>
      </c>
      <c r="C501" s="87"/>
      <c r="D501" s="88" t="s">
        <v>608</v>
      </c>
      <c r="E501" s="43">
        <v>7771000</v>
      </c>
      <c r="F501" s="44">
        <f t="shared" si="26"/>
        <v>777100</v>
      </c>
      <c r="G501" s="45">
        <f t="shared" si="27"/>
        <v>8548100</v>
      </c>
      <c r="H501" s="46">
        <v>8548100</v>
      </c>
      <c r="I501" s="47">
        <f t="shared" si="25"/>
        <v>0</v>
      </c>
      <c r="J501" s="48">
        <v>44936</v>
      </c>
      <c r="K501" s="49">
        <v>45061</v>
      </c>
      <c r="L501" s="50">
        <v>4145592069</v>
      </c>
      <c r="M501" s="51"/>
      <c r="N501" s="52"/>
      <c r="O501" s="52"/>
      <c r="S501" s="53"/>
    </row>
    <row r="502" spans="1:19" s="2" customFormat="1" ht="16.5" customHeight="1" x14ac:dyDescent="0.35">
      <c r="A502" s="85" t="s">
        <v>71</v>
      </c>
      <c r="B502" s="86" t="s">
        <v>657</v>
      </c>
      <c r="C502" s="87"/>
      <c r="D502" s="88" t="s">
        <v>608</v>
      </c>
      <c r="E502" s="43">
        <v>7771000</v>
      </c>
      <c r="F502" s="44">
        <f t="shared" si="26"/>
        <v>777100</v>
      </c>
      <c r="G502" s="45">
        <f t="shared" si="27"/>
        <v>8548100</v>
      </c>
      <c r="H502" s="46">
        <v>8548100</v>
      </c>
      <c r="I502" s="47">
        <f t="shared" si="25"/>
        <v>0</v>
      </c>
      <c r="J502" s="48">
        <v>44936</v>
      </c>
      <c r="K502" s="49">
        <v>45061</v>
      </c>
      <c r="L502" s="50">
        <v>4145591985</v>
      </c>
      <c r="M502" s="51"/>
      <c r="N502" s="52"/>
      <c r="O502" s="52"/>
      <c r="S502" s="53"/>
    </row>
    <row r="503" spans="1:19" s="2" customFormat="1" ht="16.5" customHeight="1" x14ac:dyDescent="0.35">
      <c r="A503" s="85" t="s">
        <v>71</v>
      </c>
      <c r="B503" s="86" t="s">
        <v>658</v>
      </c>
      <c r="C503" s="87"/>
      <c r="D503" s="88" t="s">
        <v>608</v>
      </c>
      <c r="E503" s="43">
        <v>7771000</v>
      </c>
      <c r="F503" s="44">
        <f t="shared" si="26"/>
        <v>777100</v>
      </c>
      <c r="G503" s="45">
        <f t="shared" si="27"/>
        <v>8548100</v>
      </c>
      <c r="H503" s="46">
        <v>8548100</v>
      </c>
      <c r="I503" s="47">
        <f t="shared" si="25"/>
        <v>0</v>
      </c>
      <c r="J503" s="48">
        <v>44936</v>
      </c>
      <c r="K503" s="49">
        <v>45061</v>
      </c>
      <c r="L503" s="50">
        <v>4145592081</v>
      </c>
      <c r="M503" s="51"/>
      <c r="N503" s="52"/>
      <c r="O503" s="52"/>
      <c r="S503" s="53"/>
    </row>
    <row r="504" spans="1:19" s="2" customFormat="1" ht="16.5" customHeight="1" x14ac:dyDescent="0.35">
      <c r="A504" s="85" t="s">
        <v>71</v>
      </c>
      <c r="B504" s="86" t="s">
        <v>659</v>
      </c>
      <c r="C504" s="87"/>
      <c r="D504" s="88" t="s">
        <v>608</v>
      </c>
      <c r="E504" s="43">
        <v>7771000</v>
      </c>
      <c r="F504" s="44">
        <f t="shared" si="26"/>
        <v>777100</v>
      </c>
      <c r="G504" s="45">
        <f t="shared" si="27"/>
        <v>8548100</v>
      </c>
      <c r="H504" s="46">
        <v>8548100</v>
      </c>
      <c r="I504" s="47">
        <f t="shared" si="25"/>
        <v>0</v>
      </c>
      <c r="J504" s="48">
        <v>44936</v>
      </c>
      <c r="K504" s="49">
        <v>45061</v>
      </c>
      <c r="L504" s="50">
        <v>4145591907</v>
      </c>
      <c r="M504" s="51"/>
      <c r="N504" s="52"/>
      <c r="O504" s="52"/>
      <c r="S504" s="53"/>
    </row>
    <row r="505" spans="1:19" s="2" customFormat="1" ht="16.5" customHeight="1" x14ac:dyDescent="0.35">
      <c r="A505" s="85" t="s">
        <v>71</v>
      </c>
      <c r="B505" s="86" t="s">
        <v>660</v>
      </c>
      <c r="C505" s="87"/>
      <c r="D505" s="88" t="s">
        <v>608</v>
      </c>
      <c r="E505" s="43">
        <v>4756000</v>
      </c>
      <c r="F505" s="44">
        <f t="shared" si="26"/>
        <v>475600</v>
      </c>
      <c r="G505" s="45">
        <f t="shared" si="27"/>
        <v>5231600</v>
      </c>
      <c r="H505" s="46">
        <v>5231600</v>
      </c>
      <c r="I505" s="47">
        <f t="shared" si="25"/>
        <v>0</v>
      </c>
      <c r="J505" s="48">
        <v>44936</v>
      </c>
      <c r="K505" s="49">
        <v>45061</v>
      </c>
      <c r="L505" s="50">
        <v>4145592092</v>
      </c>
      <c r="M505" s="51"/>
      <c r="N505" s="52"/>
      <c r="O505" s="52"/>
      <c r="S505" s="53"/>
    </row>
    <row r="506" spans="1:19" s="2" customFormat="1" ht="16.5" customHeight="1" x14ac:dyDescent="0.35">
      <c r="A506" s="85" t="s">
        <v>620</v>
      </c>
      <c r="B506" s="86" t="s">
        <v>661</v>
      </c>
      <c r="C506" s="87"/>
      <c r="D506" s="88" t="s">
        <v>608</v>
      </c>
      <c r="E506" s="43">
        <v>7771000</v>
      </c>
      <c r="F506" s="44">
        <f t="shared" si="26"/>
        <v>777100</v>
      </c>
      <c r="G506" s="45">
        <f t="shared" si="27"/>
        <v>8548100</v>
      </c>
      <c r="H506" s="46">
        <v>8548100</v>
      </c>
      <c r="I506" s="47">
        <f t="shared" si="25"/>
        <v>0</v>
      </c>
      <c r="J506" s="48">
        <v>44936</v>
      </c>
      <c r="K506" s="49">
        <v>45061</v>
      </c>
      <c r="L506" s="50">
        <v>4145592140</v>
      </c>
      <c r="M506" s="51"/>
      <c r="N506" s="52"/>
      <c r="O506" s="52"/>
      <c r="S506" s="53"/>
    </row>
    <row r="507" spans="1:19" s="2" customFormat="1" ht="16.5" customHeight="1" x14ac:dyDescent="0.35">
      <c r="A507" s="85" t="s">
        <v>85</v>
      </c>
      <c r="B507" s="86" t="s">
        <v>662</v>
      </c>
      <c r="C507" s="87"/>
      <c r="D507" s="88" t="s">
        <v>608</v>
      </c>
      <c r="E507" s="43">
        <v>7771000</v>
      </c>
      <c r="F507" s="44">
        <f t="shared" si="26"/>
        <v>777100</v>
      </c>
      <c r="G507" s="45">
        <f t="shared" si="27"/>
        <v>8548100</v>
      </c>
      <c r="H507" s="46">
        <v>8548100</v>
      </c>
      <c r="I507" s="47">
        <f t="shared" si="25"/>
        <v>0</v>
      </c>
      <c r="J507" s="48">
        <v>44936</v>
      </c>
      <c r="K507" s="49">
        <v>45061</v>
      </c>
      <c r="L507" s="50">
        <v>4145592194</v>
      </c>
      <c r="M507" s="51"/>
      <c r="N507" s="52"/>
      <c r="O507" s="52"/>
      <c r="S507" s="53"/>
    </row>
    <row r="508" spans="1:19" s="2" customFormat="1" ht="16.5" customHeight="1" x14ac:dyDescent="0.35">
      <c r="A508" s="85" t="s">
        <v>83</v>
      </c>
      <c r="B508" s="86" t="s">
        <v>663</v>
      </c>
      <c r="C508" s="87"/>
      <c r="D508" s="88" t="s">
        <v>608</v>
      </c>
      <c r="E508" s="43">
        <v>7771000</v>
      </c>
      <c r="F508" s="44">
        <f t="shared" si="26"/>
        <v>777100</v>
      </c>
      <c r="G508" s="45">
        <f t="shared" si="27"/>
        <v>8548100</v>
      </c>
      <c r="H508" s="46">
        <v>8548100</v>
      </c>
      <c r="I508" s="47">
        <f t="shared" si="25"/>
        <v>0</v>
      </c>
      <c r="J508" s="48">
        <v>44936</v>
      </c>
      <c r="K508" s="49">
        <v>45061</v>
      </c>
      <c r="L508" s="50">
        <v>4145592219</v>
      </c>
      <c r="M508" s="51"/>
      <c r="N508" s="52"/>
      <c r="O508" s="52"/>
      <c r="S508" s="53"/>
    </row>
    <row r="509" spans="1:19" s="2" customFormat="1" ht="16.5" customHeight="1" x14ac:dyDescent="0.35">
      <c r="A509" s="85" t="s">
        <v>33</v>
      </c>
      <c r="B509" s="86" t="s">
        <v>664</v>
      </c>
      <c r="C509" s="87">
        <v>198</v>
      </c>
      <c r="D509" s="88">
        <v>44938</v>
      </c>
      <c r="E509" s="43">
        <v>7622000</v>
      </c>
      <c r="F509" s="44">
        <f t="shared" si="26"/>
        <v>762200</v>
      </c>
      <c r="G509" s="45">
        <f t="shared" si="27"/>
        <v>8384200</v>
      </c>
      <c r="H509" s="46">
        <v>8384200</v>
      </c>
      <c r="I509" s="47">
        <f t="shared" si="25"/>
        <v>0</v>
      </c>
      <c r="J509" s="48">
        <v>44936</v>
      </c>
      <c r="K509" s="49">
        <v>45061</v>
      </c>
      <c r="L509" s="50">
        <v>4900909808</v>
      </c>
      <c r="M509" s="51"/>
      <c r="N509" s="52"/>
      <c r="O509" s="52"/>
      <c r="S509" s="53"/>
    </row>
    <row r="510" spans="1:19" s="2" customFormat="1" ht="16.5" customHeight="1" x14ac:dyDescent="0.35">
      <c r="A510" s="85" t="s">
        <v>37</v>
      </c>
      <c r="B510" s="86" t="s">
        <v>665</v>
      </c>
      <c r="C510" s="87"/>
      <c r="D510" s="88" t="s">
        <v>666</v>
      </c>
      <c r="E510" s="43">
        <v>77200000</v>
      </c>
      <c r="F510" s="44">
        <f t="shared" si="26"/>
        <v>7720000</v>
      </c>
      <c r="G510" s="45">
        <f t="shared" si="27"/>
        <v>84920000</v>
      </c>
      <c r="H510" s="46">
        <v>84920000</v>
      </c>
      <c r="I510" s="47">
        <f t="shared" si="25"/>
        <v>0</v>
      </c>
      <c r="J510" s="48">
        <v>44936</v>
      </c>
      <c r="K510" s="49">
        <v>45061</v>
      </c>
      <c r="L510" s="50">
        <v>4900909437</v>
      </c>
      <c r="M510" s="51"/>
      <c r="N510" s="52"/>
      <c r="O510" s="52"/>
      <c r="S510" s="53"/>
    </row>
    <row r="511" spans="1:19" s="2" customFormat="1" ht="16.5" customHeight="1" x14ac:dyDescent="0.35">
      <c r="A511" s="85" t="s">
        <v>135</v>
      </c>
      <c r="B511" s="86" t="s">
        <v>667</v>
      </c>
      <c r="C511" s="87"/>
      <c r="D511" s="88" t="s">
        <v>668</v>
      </c>
      <c r="E511" s="43">
        <v>520000</v>
      </c>
      <c r="F511" s="44">
        <f t="shared" ref="F511:F574" si="28">+E511*0.08</f>
        <v>41600</v>
      </c>
      <c r="G511" s="45">
        <f t="shared" si="27"/>
        <v>561600</v>
      </c>
      <c r="H511" s="46">
        <v>561600</v>
      </c>
      <c r="I511" s="47">
        <f t="shared" si="25"/>
        <v>0</v>
      </c>
      <c r="J511" s="48">
        <v>44821</v>
      </c>
      <c r="K511" s="49">
        <v>44910</v>
      </c>
      <c r="L511" s="50">
        <v>4142179149</v>
      </c>
      <c r="M511" s="51"/>
      <c r="N511" s="52"/>
      <c r="O511" s="52"/>
      <c r="S511" s="53"/>
    </row>
    <row r="512" spans="1:19" s="2" customFormat="1" ht="16.5" customHeight="1" x14ac:dyDescent="0.35">
      <c r="A512" s="85" t="s">
        <v>71</v>
      </c>
      <c r="B512" s="86" t="s">
        <v>540</v>
      </c>
      <c r="C512" s="87"/>
      <c r="D512" s="88" t="s">
        <v>668</v>
      </c>
      <c r="E512" s="43">
        <v>1584000</v>
      </c>
      <c r="F512" s="44">
        <f t="shared" si="28"/>
        <v>126720</v>
      </c>
      <c r="G512" s="45">
        <f t="shared" si="27"/>
        <v>1710720</v>
      </c>
      <c r="H512" s="46">
        <v>1710720</v>
      </c>
      <c r="I512" s="47">
        <f t="shared" si="25"/>
        <v>0</v>
      </c>
      <c r="J512" s="48">
        <v>44821</v>
      </c>
      <c r="K512" s="49">
        <v>44910</v>
      </c>
      <c r="L512" s="50">
        <v>4142180429</v>
      </c>
      <c r="M512" s="51"/>
      <c r="N512" s="52"/>
      <c r="O512" s="52"/>
      <c r="S512" s="53"/>
    </row>
    <row r="513" spans="1:19" s="2" customFormat="1" ht="16.5" customHeight="1" x14ac:dyDescent="0.35">
      <c r="A513" s="85" t="s">
        <v>71</v>
      </c>
      <c r="B513" s="86" t="s">
        <v>669</v>
      </c>
      <c r="C513" s="87"/>
      <c r="D513" s="88" t="s">
        <v>668</v>
      </c>
      <c r="E513" s="43">
        <v>780000</v>
      </c>
      <c r="F513" s="44">
        <f t="shared" si="28"/>
        <v>62400</v>
      </c>
      <c r="G513" s="45">
        <f t="shared" si="27"/>
        <v>842400</v>
      </c>
      <c r="H513" s="46">
        <v>842400</v>
      </c>
      <c r="I513" s="47">
        <f t="shared" si="25"/>
        <v>0</v>
      </c>
      <c r="J513" s="48">
        <v>44821</v>
      </c>
      <c r="K513" s="49">
        <v>44910</v>
      </c>
      <c r="L513" s="50">
        <v>4142192813</v>
      </c>
      <c r="M513" s="51"/>
      <c r="N513" s="52"/>
      <c r="O513" s="52"/>
      <c r="S513" s="53"/>
    </row>
    <row r="514" spans="1:19" s="2" customFormat="1" ht="16.5" customHeight="1" x14ac:dyDescent="0.35">
      <c r="A514" s="85" t="s">
        <v>71</v>
      </c>
      <c r="B514" s="86" t="s">
        <v>670</v>
      </c>
      <c r="C514" s="87"/>
      <c r="D514" s="88" t="s">
        <v>668</v>
      </c>
      <c r="E514" s="43">
        <v>960000</v>
      </c>
      <c r="F514" s="44">
        <f t="shared" si="28"/>
        <v>76800</v>
      </c>
      <c r="G514" s="45">
        <f t="shared" si="27"/>
        <v>1036800</v>
      </c>
      <c r="H514" s="46">
        <v>1036800</v>
      </c>
      <c r="I514" s="47">
        <f t="shared" si="25"/>
        <v>0</v>
      </c>
      <c r="J514" s="48">
        <v>44821</v>
      </c>
      <c r="K514" s="49">
        <v>44910</v>
      </c>
      <c r="L514" s="50">
        <v>4142182225</v>
      </c>
      <c r="M514" s="51"/>
      <c r="N514" s="52"/>
      <c r="O514" s="52"/>
      <c r="S514" s="53"/>
    </row>
    <row r="515" spans="1:19" s="2" customFormat="1" ht="16.5" customHeight="1" x14ac:dyDescent="0.35">
      <c r="A515" s="85" t="s">
        <v>71</v>
      </c>
      <c r="B515" s="86" t="s">
        <v>671</v>
      </c>
      <c r="C515" s="87"/>
      <c r="D515" s="88" t="s">
        <v>672</v>
      </c>
      <c r="E515" s="43">
        <v>2872000</v>
      </c>
      <c r="F515" s="44">
        <f t="shared" si="28"/>
        <v>229760</v>
      </c>
      <c r="G515" s="45">
        <f t="shared" si="27"/>
        <v>3101760</v>
      </c>
      <c r="H515" s="46">
        <v>3101760</v>
      </c>
      <c r="I515" s="47">
        <f t="shared" si="25"/>
        <v>0</v>
      </c>
      <c r="J515" s="48">
        <v>44821</v>
      </c>
      <c r="K515" s="49">
        <v>44910</v>
      </c>
      <c r="L515" s="50">
        <v>4142221901</v>
      </c>
      <c r="M515" s="51"/>
      <c r="N515" s="52"/>
      <c r="O515" s="52"/>
      <c r="S515" s="53"/>
    </row>
    <row r="516" spans="1:19" s="2" customFormat="1" ht="16.5" customHeight="1" x14ac:dyDescent="0.35">
      <c r="A516" s="85" t="s">
        <v>135</v>
      </c>
      <c r="B516" s="86" t="s">
        <v>673</v>
      </c>
      <c r="C516" s="87"/>
      <c r="D516" s="88" t="s">
        <v>672</v>
      </c>
      <c r="E516" s="43">
        <v>1260000</v>
      </c>
      <c r="F516" s="44">
        <f t="shared" si="28"/>
        <v>100800</v>
      </c>
      <c r="G516" s="45">
        <f t="shared" si="27"/>
        <v>1360800</v>
      </c>
      <c r="H516" s="46">
        <v>1360800</v>
      </c>
      <c r="I516" s="47">
        <f t="shared" si="25"/>
        <v>0</v>
      </c>
      <c r="J516" s="48">
        <v>44821</v>
      </c>
      <c r="K516" s="49">
        <v>44910</v>
      </c>
      <c r="L516" s="50">
        <v>4142219520</v>
      </c>
      <c r="M516" s="51"/>
      <c r="N516" s="52"/>
      <c r="O516" s="52"/>
      <c r="S516" s="53"/>
    </row>
    <row r="517" spans="1:19" s="2" customFormat="1" ht="16.5" customHeight="1" x14ac:dyDescent="0.35">
      <c r="A517" s="85" t="s">
        <v>171</v>
      </c>
      <c r="B517" s="86" t="s">
        <v>674</v>
      </c>
      <c r="C517" s="87">
        <v>1301</v>
      </c>
      <c r="D517" s="88">
        <v>44821</v>
      </c>
      <c r="E517" s="43">
        <v>7292000</v>
      </c>
      <c r="F517" s="44">
        <f t="shared" si="28"/>
        <v>583360</v>
      </c>
      <c r="G517" s="45">
        <f t="shared" si="27"/>
        <v>7875360</v>
      </c>
      <c r="H517" s="46">
        <v>7875360</v>
      </c>
      <c r="I517" s="47">
        <f t="shared" si="25"/>
        <v>0</v>
      </c>
      <c r="J517" s="48">
        <v>44821</v>
      </c>
      <c r="K517" s="49">
        <v>44910</v>
      </c>
      <c r="L517" s="50">
        <v>4142250218</v>
      </c>
      <c r="M517" s="51"/>
      <c r="N517" s="52"/>
      <c r="O517" s="52"/>
      <c r="S517" s="53"/>
    </row>
    <row r="518" spans="1:19" s="2" customFormat="1" ht="16.5" customHeight="1" x14ac:dyDescent="0.35">
      <c r="A518" s="85" t="s">
        <v>71</v>
      </c>
      <c r="B518" s="86" t="s">
        <v>675</v>
      </c>
      <c r="C518" s="87"/>
      <c r="D518" s="88" t="s">
        <v>672</v>
      </c>
      <c r="E518" s="43">
        <v>624000</v>
      </c>
      <c r="F518" s="44">
        <f t="shared" si="28"/>
        <v>49920</v>
      </c>
      <c r="G518" s="45">
        <f t="shared" si="27"/>
        <v>673920</v>
      </c>
      <c r="H518" s="46">
        <v>673920</v>
      </c>
      <c r="I518" s="47">
        <f t="shared" si="25"/>
        <v>0</v>
      </c>
      <c r="J518" s="48">
        <v>44821</v>
      </c>
      <c r="K518" s="49">
        <v>44910</v>
      </c>
      <c r="L518" s="50">
        <v>4142256775</v>
      </c>
      <c r="M518" s="51"/>
      <c r="N518" s="52"/>
      <c r="O518" s="52"/>
      <c r="S518" s="53"/>
    </row>
    <row r="519" spans="1:19" s="2" customFormat="1" ht="16.5" customHeight="1" x14ac:dyDescent="0.35">
      <c r="A519" s="85" t="s">
        <v>71</v>
      </c>
      <c r="B519" s="86" t="s">
        <v>676</v>
      </c>
      <c r="C519" s="87"/>
      <c r="D519" s="88" t="s">
        <v>677</v>
      </c>
      <c r="E519" s="43">
        <v>312000</v>
      </c>
      <c r="F519" s="44">
        <f t="shared" si="28"/>
        <v>24960</v>
      </c>
      <c r="G519" s="45">
        <f t="shared" si="27"/>
        <v>336960</v>
      </c>
      <c r="H519" s="46">
        <v>336960</v>
      </c>
      <c r="I519" s="47">
        <f t="shared" si="25"/>
        <v>0</v>
      </c>
      <c r="J519" s="48">
        <v>44821</v>
      </c>
      <c r="K519" s="49">
        <v>44910</v>
      </c>
      <c r="L519" s="50">
        <v>4142274579</v>
      </c>
      <c r="M519" s="51"/>
      <c r="N519" s="52"/>
      <c r="O519" s="52"/>
      <c r="S519" s="53"/>
    </row>
    <row r="520" spans="1:19" s="2" customFormat="1" ht="16.5" customHeight="1" x14ac:dyDescent="0.35">
      <c r="A520" s="85" t="s">
        <v>37</v>
      </c>
      <c r="B520" s="86" t="s">
        <v>678</v>
      </c>
      <c r="C520" s="87"/>
      <c r="D520" s="88" t="s">
        <v>677</v>
      </c>
      <c r="E520" s="43">
        <v>1844000</v>
      </c>
      <c r="F520" s="44">
        <f t="shared" si="28"/>
        <v>147520</v>
      </c>
      <c r="G520" s="45">
        <f t="shared" si="27"/>
        <v>1991520</v>
      </c>
      <c r="H520" s="46">
        <v>1991520</v>
      </c>
      <c r="I520" s="47">
        <f t="shared" ref="I520:I583" si="29">G520-H520</f>
        <v>0</v>
      </c>
      <c r="J520" s="48">
        <v>44821</v>
      </c>
      <c r="K520" s="49">
        <v>44910</v>
      </c>
      <c r="L520" s="50">
        <v>4900859757</v>
      </c>
      <c r="M520" s="51"/>
      <c r="N520" s="52"/>
      <c r="O520" s="52"/>
      <c r="S520" s="53"/>
    </row>
    <row r="521" spans="1:19" s="2" customFormat="1" ht="16.5" customHeight="1" x14ac:dyDescent="0.35">
      <c r="A521" s="85" t="s">
        <v>37</v>
      </c>
      <c r="B521" s="86" t="s">
        <v>329</v>
      </c>
      <c r="C521" s="87"/>
      <c r="D521" s="88" t="s">
        <v>677</v>
      </c>
      <c r="E521" s="43">
        <v>5520000</v>
      </c>
      <c r="F521" s="44">
        <f t="shared" si="28"/>
        <v>441600</v>
      </c>
      <c r="G521" s="45">
        <f t="shared" si="27"/>
        <v>5961600</v>
      </c>
      <c r="H521" s="46">
        <v>5961600</v>
      </c>
      <c r="I521" s="47">
        <f t="shared" si="29"/>
        <v>0</v>
      </c>
      <c r="J521" s="48">
        <v>44821</v>
      </c>
      <c r="K521" s="49">
        <v>44910</v>
      </c>
      <c r="L521" s="50">
        <v>4900859809</v>
      </c>
      <c r="M521" s="51"/>
      <c r="N521" s="52"/>
      <c r="O521" s="52"/>
      <c r="S521" s="53"/>
    </row>
    <row r="522" spans="1:19" s="2" customFormat="1" ht="16.5" customHeight="1" x14ac:dyDescent="0.35">
      <c r="A522" s="85" t="s">
        <v>339</v>
      </c>
      <c r="B522" s="86" t="s">
        <v>331</v>
      </c>
      <c r="C522" s="87"/>
      <c r="D522" s="88" t="s">
        <v>677</v>
      </c>
      <c r="E522" s="43">
        <v>1040000</v>
      </c>
      <c r="F522" s="44">
        <f t="shared" si="28"/>
        <v>83200</v>
      </c>
      <c r="G522" s="45">
        <f t="shared" si="27"/>
        <v>1123200</v>
      </c>
      <c r="H522" s="46">
        <v>1123200</v>
      </c>
      <c r="I522" s="47">
        <f t="shared" si="29"/>
        <v>0</v>
      </c>
      <c r="J522" s="48">
        <v>44821</v>
      </c>
      <c r="K522" s="49">
        <v>44910</v>
      </c>
      <c r="L522" s="50">
        <v>4142337145</v>
      </c>
      <c r="M522" s="51"/>
      <c r="N522" s="52"/>
      <c r="O522" s="52"/>
      <c r="S522" s="53"/>
    </row>
    <row r="523" spans="1:19" s="2" customFormat="1" ht="16.5" customHeight="1" x14ac:dyDescent="0.35">
      <c r="A523" s="85" t="s">
        <v>90</v>
      </c>
      <c r="B523" s="86" t="s">
        <v>679</v>
      </c>
      <c r="C523" s="87"/>
      <c r="D523" s="88" t="s">
        <v>677</v>
      </c>
      <c r="E523" s="43">
        <v>1680000</v>
      </c>
      <c r="F523" s="44">
        <f t="shared" si="28"/>
        <v>134400</v>
      </c>
      <c r="G523" s="45">
        <f t="shared" si="27"/>
        <v>1814400</v>
      </c>
      <c r="H523" s="46">
        <v>1814400</v>
      </c>
      <c r="I523" s="47">
        <f t="shared" si="29"/>
        <v>0</v>
      </c>
      <c r="J523" s="48">
        <v>44821</v>
      </c>
      <c r="K523" s="49">
        <v>44910</v>
      </c>
      <c r="L523" s="50">
        <v>4142341948</v>
      </c>
      <c r="M523" s="51"/>
      <c r="N523" s="52"/>
      <c r="O523" s="52"/>
      <c r="S523" s="53"/>
    </row>
    <row r="524" spans="1:19" s="2" customFormat="1" ht="16.5" customHeight="1" x14ac:dyDescent="0.35">
      <c r="A524" s="85" t="s">
        <v>29</v>
      </c>
      <c r="B524" s="86" t="s">
        <v>680</v>
      </c>
      <c r="C524" s="87"/>
      <c r="D524" s="88" t="s">
        <v>677</v>
      </c>
      <c r="E524" s="43">
        <v>5080000</v>
      </c>
      <c r="F524" s="44">
        <f t="shared" si="28"/>
        <v>406400</v>
      </c>
      <c r="G524" s="45">
        <f t="shared" si="27"/>
        <v>5486400</v>
      </c>
      <c r="H524" s="46">
        <v>5486400</v>
      </c>
      <c r="I524" s="47">
        <f t="shared" si="29"/>
        <v>0</v>
      </c>
      <c r="J524" s="48">
        <v>44821</v>
      </c>
      <c r="K524" s="49">
        <v>44910</v>
      </c>
      <c r="L524" s="50">
        <v>4900859983</v>
      </c>
      <c r="M524" s="51"/>
      <c r="N524" s="52"/>
      <c r="O524" s="52"/>
      <c r="S524" s="53"/>
    </row>
    <row r="525" spans="1:19" s="2" customFormat="1" ht="16.5" customHeight="1" x14ac:dyDescent="0.35">
      <c r="A525" s="85" t="s">
        <v>33</v>
      </c>
      <c r="B525" s="86" t="s">
        <v>681</v>
      </c>
      <c r="C525" s="87"/>
      <c r="D525" s="88" t="s">
        <v>677</v>
      </c>
      <c r="E525" s="43">
        <v>640000</v>
      </c>
      <c r="F525" s="44">
        <f t="shared" si="28"/>
        <v>51200</v>
      </c>
      <c r="G525" s="45">
        <f t="shared" si="27"/>
        <v>691200</v>
      </c>
      <c r="H525" s="46">
        <v>691200</v>
      </c>
      <c r="I525" s="47">
        <f t="shared" si="29"/>
        <v>0</v>
      </c>
      <c r="J525" s="48">
        <v>44821</v>
      </c>
      <c r="K525" s="49">
        <v>44910</v>
      </c>
      <c r="L525" s="50">
        <v>4900860070</v>
      </c>
      <c r="M525" s="51"/>
      <c r="N525" s="52"/>
      <c r="O525" s="52"/>
      <c r="S525" s="53"/>
    </row>
    <row r="526" spans="1:19" s="2" customFormat="1" ht="16.5" customHeight="1" x14ac:dyDescent="0.35">
      <c r="A526" s="85" t="s">
        <v>339</v>
      </c>
      <c r="B526" s="86" t="s">
        <v>682</v>
      </c>
      <c r="C526" s="87"/>
      <c r="D526" s="88" t="s">
        <v>677</v>
      </c>
      <c r="E526" s="43">
        <v>520000</v>
      </c>
      <c r="F526" s="44">
        <f t="shared" si="28"/>
        <v>41600</v>
      </c>
      <c r="G526" s="45">
        <f t="shared" si="27"/>
        <v>561600</v>
      </c>
      <c r="H526" s="46">
        <v>561600</v>
      </c>
      <c r="I526" s="47">
        <f t="shared" si="29"/>
        <v>0</v>
      </c>
      <c r="J526" s="48">
        <v>44821</v>
      </c>
      <c r="K526" s="49">
        <v>44910</v>
      </c>
      <c r="L526" s="50">
        <v>4142342708</v>
      </c>
      <c r="M526" s="51"/>
      <c r="N526" s="52"/>
      <c r="O526" s="52"/>
      <c r="S526" s="53"/>
    </row>
    <row r="527" spans="1:19" s="2" customFormat="1" ht="16.5" customHeight="1" x14ac:dyDescent="0.35">
      <c r="A527" s="85" t="s">
        <v>683</v>
      </c>
      <c r="B527" s="86" t="s">
        <v>684</v>
      </c>
      <c r="C527" s="87"/>
      <c r="D527" s="88" t="s">
        <v>677</v>
      </c>
      <c r="E527" s="43">
        <v>624000</v>
      </c>
      <c r="F527" s="44">
        <f t="shared" si="28"/>
        <v>49920</v>
      </c>
      <c r="G527" s="45">
        <f t="shared" si="27"/>
        <v>673920</v>
      </c>
      <c r="H527" s="46">
        <v>673920</v>
      </c>
      <c r="I527" s="47">
        <f t="shared" si="29"/>
        <v>0</v>
      </c>
      <c r="J527" s="48">
        <v>44821</v>
      </c>
      <c r="K527" s="49">
        <v>44910</v>
      </c>
      <c r="L527" s="50">
        <v>4142344029</v>
      </c>
      <c r="M527" s="51"/>
      <c r="N527" s="52"/>
      <c r="O527" s="52"/>
      <c r="S527" s="53"/>
    </row>
    <row r="528" spans="1:19" s="2" customFormat="1" ht="16.5" customHeight="1" x14ac:dyDescent="0.35">
      <c r="A528" s="85" t="s">
        <v>683</v>
      </c>
      <c r="B528" s="86" t="s">
        <v>685</v>
      </c>
      <c r="C528" s="87"/>
      <c r="D528" s="88" t="s">
        <v>677</v>
      </c>
      <c r="E528" s="43">
        <v>312000</v>
      </c>
      <c r="F528" s="44">
        <f t="shared" si="28"/>
        <v>24960</v>
      </c>
      <c r="G528" s="45">
        <f t="shared" si="27"/>
        <v>336960</v>
      </c>
      <c r="H528" s="46">
        <v>336960</v>
      </c>
      <c r="I528" s="47">
        <f t="shared" si="29"/>
        <v>0</v>
      </c>
      <c r="J528" s="48">
        <v>44821</v>
      </c>
      <c r="K528" s="49">
        <v>44910</v>
      </c>
      <c r="L528" s="50">
        <v>4142362041</v>
      </c>
      <c r="M528" s="51"/>
      <c r="N528" s="52"/>
      <c r="O528" s="52"/>
      <c r="S528" s="53"/>
    </row>
    <row r="529" spans="1:19" s="2" customFormat="1" ht="16.5" customHeight="1" x14ac:dyDescent="0.35">
      <c r="A529" s="85" t="s">
        <v>37</v>
      </c>
      <c r="B529" s="86" t="s">
        <v>686</v>
      </c>
      <c r="C529" s="87"/>
      <c r="D529" s="88" t="s">
        <v>677</v>
      </c>
      <c r="E529" s="43">
        <v>16848000</v>
      </c>
      <c r="F529" s="44">
        <f t="shared" si="28"/>
        <v>1347840</v>
      </c>
      <c r="G529" s="45">
        <f t="shared" si="27"/>
        <v>18195840</v>
      </c>
      <c r="H529" s="46">
        <v>18195840</v>
      </c>
      <c r="I529" s="47">
        <f t="shared" si="29"/>
        <v>0</v>
      </c>
      <c r="J529" s="48">
        <v>44821</v>
      </c>
      <c r="K529" s="49">
        <v>44910</v>
      </c>
      <c r="L529" s="50">
        <v>4142328090</v>
      </c>
      <c r="M529" s="51"/>
      <c r="N529" s="52"/>
      <c r="O529" s="52"/>
      <c r="S529" s="53"/>
    </row>
    <row r="530" spans="1:19" s="2" customFormat="1" ht="16.5" customHeight="1" x14ac:dyDescent="0.35">
      <c r="A530" s="85" t="s">
        <v>37</v>
      </c>
      <c r="B530" s="86" t="s">
        <v>687</v>
      </c>
      <c r="C530" s="87"/>
      <c r="D530" s="88" t="s">
        <v>688</v>
      </c>
      <c r="E530" s="43">
        <v>640000</v>
      </c>
      <c r="F530" s="44">
        <f t="shared" si="28"/>
        <v>51200</v>
      </c>
      <c r="G530" s="45">
        <f t="shared" si="27"/>
        <v>691200</v>
      </c>
      <c r="H530" s="46">
        <v>691200</v>
      </c>
      <c r="I530" s="47">
        <f t="shared" si="29"/>
        <v>0</v>
      </c>
      <c r="J530" s="48">
        <v>44821</v>
      </c>
      <c r="K530" s="49">
        <v>44910</v>
      </c>
      <c r="L530" s="50">
        <v>4900860697</v>
      </c>
      <c r="M530" s="51"/>
      <c r="N530" s="52"/>
      <c r="O530" s="52"/>
      <c r="S530" s="53"/>
    </row>
    <row r="531" spans="1:19" s="2" customFormat="1" ht="16.5" customHeight="1" x14ac:dyDescent="0.35">
      <c r="A531" s="85" t="s">
        <v>37</v>
      </c>
      <c r="B531" s="86" t="s">
        <v>332</v>
      </c>
      <c r="C531" s="87"/>
      <c r="D531" s="88" t="s">
        <v>688</v>
      </c>
      <c r="E531" s="43">
        <v>1473000</v>
      </c>
      <c r="F531" s="44">
        <f t="shared" si="28"/>
        <v>117840</v>
      </c>
      <c r="G531" s="45">
        <f t="shared" si="27"/>
        <v>1590840</v>
      </c>
      <c r="H531" s="46">
        <v>1590840</v>
      </c>
      <c r="I531" s="47">
        <f t="shared" si="29"/>
        <v>0</v>
      </c>
      <c r="J531" s="48">
        <v>44821</v>
      </c>
      <c r="K531" s="49">
        <v>44910</v>
      </c>
      <c r="L531" s="50">
        <v>4900860737</v>
      </c>
      <c r="M531" s="51"/>
      <c r="N531" s="52"/>
      <c r="O531" s="52"/>
      <c r="S531" s="53"/>
    </row>
    <row r="532" spans="1:19" s="2" customFormat="1" ht="16.5" customHeight="1" x14ac:dyDescent="0.35">
      <c r="A532" s="85" t="s">
        <v>37</v>
      </c>
      <c r="B532" s="86" t="s">
        <v>689</v>
      </c>
      <c r="C532" s="87"/>
      <c r="D532" s="88" t="s">
        <v>688</v>
      </c>
      <c r="E532" s="43">
        <v>3645000</v>
      </c>
      <c r="F532" s="44">
        <f t="shared" si="28"/>
        <v>291600</v>
      </c>
      <c r="G532" s="45">
        <f t="shared" si="27"/>
        <v>3936600</v>
      </c>
      <c r="H532" s="46">
        <v>3936600</v>
      </c>
      <c r="I532" s="47">
        <f t="shared" si="29"/>
        <v>0</v>
      </c>
      <c r="J532" s="48">
        <v>44821</v>
      </c>
      <c r="K532" s="49">
        <v>44910</v>
      </c>
      <c r="L532" s="50">
        <v>4900860767</v>
      </c>
      <c r="M532" s="51"/>
      <c r="N532" s="52"/>
      <c r="O532" s="52"/>
      <c r="S532" s="53"/>
    </row>
    <row r="533" spans="1:19" s="2" customFormat="1" ht="16.5" customHeight="1" x14ac:dyDescent="0.35">
      <c r="A533" s="85" t="s">
        <v>636</v>
      </c>
      <c r="B533" s="86" t="s">
        <v>334</v>
      </c>
      <c r="C533" s="87"/>
      <c r="D533" s="88" t="s">
        <v>325</v>
      </c>
      <c r="E533" s="43">
        <v>260000</v>
      </c>
      <c r="F533" s="44">
        <f t="shared" si="28"/>
        <v>20800</v>
      </c>
      <c r="G533" s="45">
        <f t="shared" si="27"/>
        <v>280800</v>
      </c>
      <c r="H533" s="46">
        <v>280800</v>
      </c>
      <c r="I533" s="47">
        <f t="shared" si="29"/>
        <v>0</v>
      </c>
      <c r="J533" s="48">
        <v>44821</v>
      </c>
      <c r="K533" s="49">
        <v>44910</v>
      </c>
      <c r="L533" s="50">
        <v>4142384569</v>
      </c>
      <c r="M533" s="51"/>
      <c r="N533" s="52"/>
      <c r="O533" s="52"/>
      <c r="S533" s="53"/>
    </row>
    <row r="534" spans="1:19" s="2" customFormat="1" ht="16.5" customHeight="1" x14ac:dyDescent="0.35">
      <c r="A534" s="85" t="s">
        <v>71</v>
      </c>
      <c r="B534" s="86" t="s">
        <v>341</v>
      </c>
      <c r="C534" s="87"/>
      <c r="D534" s="88" t="s">
        <v>325</v>
      </c>
      <c r="E534" s="43">
        <v>520000</v>
      </c>
      <c r="F534" s="44">
        <f t="shared" si="28"/>
        <v>41600</v>
      </c>
      <c r="G534" s="45">
        <f t="shared" si="27"/>
        <v>561600</v>
      </c>
      <c r="H534" s="46">
        <v>561600</v>
      </c>
      <c r="I534" s="47">
        <f t="shared" si="29"/>
        <v>0</v>
      </c>
      <c r="J534" s="48">
        <v>44821</v>
      </c>
      <c r="K534" s="49">
        <v>44910</v>
      </c>
      <c r="L534" s="50">
        <v>4142386672</v>
      </c>
      <c r="M534" s="51"/>
      <c r="N534" s="52"/>
      <c r="O534" s="52"/>
      <c r="S534" s="53"/>
    </row>
    <row r="535" spans="1:19" s="2" customFormat="1" ht="16.5" customHeight="1" x14ac:dyDescent="0.35">
      <c r="A535" s="85" t="s">
        <v>339</v>
      </c>
      <c r="B535" s="86" t="s">
        <v>690</v>
      </c>
      <c r="C535" s="87"/>
      <c r="D535" s="88" t="s">
        <v>325</v>
      </c>
      <c r="E535" s="43">
        <v>3312000</v>
      </c>
      <c r="F535" s="44">
        <f t="shared" si="28"/>
        <v>264960</v>
      </c>
      <c r="G535" s="45">
        <f t="shared" ref="G535:G598" si="30">E535+F535</f>
        <v>3576960</v>
      </c>
      <c r="H535" s="46">
        <v>3576960</v>
      </c>
      <c r="I535" s="47">
        <f t="shared" si="29"/>
        <v>0</v>
      </c>
      <c r="J535" s="48">
        <v>44821</v>
      </c>
      <c r="K535" s="49">
        <v>44910</v>
      </c>
      <c r="L535" s="50">
        <v>4142393088</v>
      </c>
      <c r="M535" s="51"/>
      <c r="N535" s="52"/>
      <c r="O535" s="52"/>
      <c r="S535" s="53"/>
    </row>
    <row r="536" spans="1:19" s="2" customFormat="1" ht="16.5" customHeight="1" x14ac:dyDescent="0.35">
      <c r="A536" s="85" t="s">
        <v>71</v>
      </c>
      <c r="B536" s="86" t="s">
        <v>691</v>
      </c>
      <c r="C536" s="87"/>
      <c r="D536" s="88" t="s">
        <v>325</v>
      </c>
      <c r="E536" s="43">
        <v>920000</v>
      </c>
      <c r="F536" s="44">
        <f t="shared" si="28"/>
        <v>73600</v>
      </c>
      <c r="G536" s="45">
        <f t="shared" si="30"/>
        <v>993600</v>
      </c>
      <c r="H536" s="46">
        <v>993600</v>
      </c>
      <c r="I536" s="47">
        <f t="shared" si="29"/>
        <v>0</v>
      </c>
      <c r="J536" s="48">
        <v>44821</v>
      </c>
      <c r="K536" s="49">
        <v>44910</v>
      </c>
      <c r="L536" s="50">
        <v>4142396400</v>
      </c>
      <c r="M536" s="51"/>
      <c r="N536" s="52"/>
      <c r="O536" s="52"/>
      <c r="S536" s="53"/>
    </row>
    <row r="537" spans="1:19" s="2" customFormat="1" ht="16.5" customHeight="1" x14ac:dyDescent="0.35">
      <c r="A537" s="85" t="s">
        <v>71</v>
      </c>
      <c r="B537" s="86" t="s">
        <v>692</v>
      </c>
      <c r="C537" s="87"/>
      <c r="D537" s="88" t="s">
        <v>325</v>
      </c>
      <c r="E537" s="43">
        <v>320000</v>
      </c>
      <c r="F537" s="44">
        <f t="shared" si="28"/>
        <v>25600</v>
      </c>
      <c r="G537" s="45">
        <f t="shared" si="30"/>
        <v>345600</v>
      </c>
      <c r="H537" s="46">
        <v>345600</v>
      </c>
      <c r="I537" s="47">
        <f t="shared" si="29"/>
        <v>0</v>
      </c>
      <c r="J537" s="48">
        <v>44821</v>
      </c>
      <c r="K537" s="49">
        <v>44910</v>
      </c>
      <c r="L537" s="50">
        <v>4142397755</v>
      </c>
      <c r="M537" s="51"/>
      <c r="N537" s="52"/>
      <c r="O537" s="52"/>
      <c r="S537" s="53"/>
    </row>
    <row r="538" spans="1:19" s="2" customFormat="1" ht="16.5" customHeight="1" x14ac:dyDescent="0.35">
      <c r="A538" s="85" t="s">
        <v>71</v>
      </c>
      <c r="B538" s="86" t="s">
        <v>693</v>
      </c>
      <c r="C538" s="87"/>
      <c r="D538" s="88" t="s">
        <v>325</v>
      </c>
      <c r="E538" s="43">
        <v>1112000</v>
      </c>
      <c r="F538" s="44">
        <f t="shared" si="28"/>
        <v>88960</v>
      </c>
      <c r="G538" s="45">
        <f t="shared" si="30"/>
        <v>1200960</v>
      </c>
      <c r="H538" s="84">
        <v>1200960</v>
      </c>
      <c r="I538" s="47">
        <f t="shared" si="29"/>
        <v>0</v>
      </c>
      <c r="J538" s="48">
        <v>44821</v>
      </c>
      <c r="K538" s="49">
        <v>44910</v>
      </c>
      <c r="L538" s="50">
        <v>4142408128</v>
      </c>
      <c r="M538" s="51"/>
      <c r="N538" s="52"/>
      <c r="O538" s="52"/>
      <c r="S538" s="53"/>
    </row>
    <row r="539" spans="1:19" s="2" customFormat="1" ht="16.5" customHeight="1" x14ac:dyDescent="0.35">
      <c r="A539" s="85" t="s">
        <v>71</v>
      </c>
      <c r="B539" s="86" t="s">
        <v>694</v>
      </c>
      <c r="C539" s="87"/>
      <c r="D539" s="88" t="s">
        <v>325</v>
      </c>
      <c r="E539" s="43">
        <v>520000</v>
      </c>
      <c r="F539" s="44">
        <f t="shared" si="28"/>
        <v>41600</v>
      </c>
      <c r="G539" s="45">
        <f t="shared" si="30"/>
        <v>561600</v>
      </c>
      <c r="H539" s="46">
        <v>561600</v>
      </c>
      <c r="I539" s="47">
        <f t="shared" si="29"/>
        <v>0</v>
      </c>
      <c r="J539" s="48">
        <v>44821</v>
      </c>
      <c r="K539" s="49">
        <v>44910</v>
      </c>
      <c r="L539" s="50">
        <v>4142400199</v>
      </c>
      <c r="M539" s="51"/>
      <c r="N539" s="52"/>
      <c r="O539" s="52"/>
      <c r="S539" s="53"/>
    </row>
    <row r="540" spans="1:19" s="2" customFormat="1" ht="16.5" customHeight="1" x14ac:dyDescent="0.35">
      <c r="A540" s="85" t="s">
        <v>71</v>
      </c>
      <c r="B540" s="86" t="s">
        <v>695</v>
      </c>
      <c r="C540" s="87"/>
      <c r="D540" s="88" t="s">
        <v>696</v>
      </c>
      <c r="E540" s="43">
        <v>1320000</v>
      </c>
      <c r="F540" s="44">
        <f t="shared" si="28"/>
        <v>105600</v>
      </c>
      <c r="G540" s="45">
        <f t="shared" si="30"/>
        <v>1425600</v>
      </c>
      <c r="H540" s="46">
        <v>1425600</v>
      </c>
      <c r="I540" s="47">
        <f t="shared" si="29"/>
        <v>0</v>
      </c>
      <c r="J540" s="48">
        <v>44821</v>
      </c>
      <c r="K540" s="49">
        <v>44910</v>
      </c>
      <c r="L540" s="50">
        <v>4142453538</v>
      </c>
      <c r="M540" s="51"/>
      <c r="N540" s="52"/>
      <c r="O540" s="52"/>
      <c r="S540" s="53"/>
    </row>
    <row r="541" spans="1:19" s="2" customFormat="1" ht="16.5" customHeight="1" x14ac:dyDescent="0.35">
      <c r="A541" s="85" t="s">
        <v>63</v>
      </c>
      <c r="B541" s="86" t="s">
        <v>697</v>
      </c>
      <c r="C541" s="87"/>
      <c r="D541" s="88" t="s">
        <v>696</v>
      </c>
      <c r="E541" s="43">
        <v>2280000</v>
      </c>
      <c r="F541" s="44">
        <f t="shared" si="28"/>
        <v>182400</v>
      </c>
      <c r="G541" s="45">
        <f t="shared" si="30"/>
        <v>2462400</v>
      </c>
      <c r="H541" s="46">
        <v>2462400</v>
      </c>
      <c r="I541" s="47">
        <f t="shared" si="29"/>
        <v>0</v>
      </c>
      <c r="J541" s="48">
        <v>44821</v>
      </c>
      <c r="K541" s="49">
        <v>44910</v>
      </c>
      <c r="L541" s="50">
        <v>4142473075</v>
      </c>
      <c r="M541" s="51"/>
      <c r="N541" s="52"/>
      <c r="O541" s="52"/>
      <c r="S541" s="53"/>
    </row>
    <row r="542" spans="1:19" s="2" customFormat="1" ht="16.5" customHeight="1" x14ac:dyDescent="0.35">
      <c r="A542" s="85" t="s">
        <v>71</v>
      </c>
      <c r="B542" s="86" t="s">
        <v>698</v>
      </c>
      <c r="C542" s="87"/>
      <c r="D542" s="88" t="s">
        <v>696</v>
      </c>
      <c r="E542" s="43">
        <v>696000</v>
      </c>
      <c r="F542" s="44">
        <f t="shared" si="28"/>
        <v>55680</v>
      </c>
      <c r="G542" s="45">
        <f t="shared" si="30"/>
        <v>751680</v>
      </c>
      <c r="H542" s="46">
        <v>751680</v>
      </c>
      <c r="I542" s="47">
        <f t="shared" si="29"/>
        <v>0</v>
      </c>
      <c r="J542" s="48">
        <v>44821</v>
      </c>
      <c r="K542" s="49">
        <v>44910</v>
      </c>
      <c r="L542" s="50">
        <v>4142437200</v>
      </c>
      <c r="M542" s="51"/>
      <c r="N542" s="52"/>
      <c r="O542" s="52"/>
      <c r="S542" s="53"/>
    </row>
    <row r="543" spans="1:19" s="2" customFormat="1" ht="16.5" customHeight="1" x14ac:dyDescent="0.35">
      <c r="A543" s="85" t="s">
        <v>135</v>
      </c>
      <c r="B543" s="86" t="s">
        <v>699</v>
      </c>
      <c r="C543" s="87"/>
      <c r="D543" s="88" t="s">
        <v>696</v>
      </c>
      <c r="E543" s="43">
        <v>660000</v>
      </c>
      <c r="F543" s="44">
        <f t="shared" si="28"/>
        <v>52800</v>
      </c>
      <c r="G543" s="45">
        <f t="shared" si="30"/>
        <v>712800</v>
      </c>
      <c r="H543" s="46">
        <v>712800</v>
      </c>
      <c r="I543" s="47">
        <f t="shared" si="29"/>
        <v>0</v>
      </c>
      <c r="J543" s="48">
        <v>44821</v>
      </c>
      <c r="K543" s="49">
        <v>44910</v>
      </c>
      <c r="L543" s="50">
        <v>4142420079</v>
      </c>
      <c r="M543" s="51"/>
      <c r="N543" s="52"/>
      <c r="O543" s="52"/>
      <c r="S543" s="53"/>
    </row>
    <row r="544" spans="1:19" s="2" customFormat="1" ht="16.5" customHeight="1" x14ac:dyDescent="0.35">
      <c r="A544" s="85" t="s">
        <v>90</v>
      </c>
      <c r="B544" s="86" t="s">
        <v>700</v>
      </c>
      <c r="C544" s="87"/>
      <c r="D544" s="88" t="s">
        <v>337</v>
      </c>
      <c r="E544" s="43">
        <v>1760000</v>
      </c>
      <c r="F544" s="44">
        <f t="shared" si="28"/>
        <v>140800</v>
      </c>
      <c r="G544" s="45">
        <f t="shared" si="30"/>
        <v>1900800</v>
      </c>
      <c r="H544" s="46">
        <v>1900800</v>
      </c>
      <c r="I544" s="47">
        <f t="shared" si="29"/>
        <v>0</v>
      </c>
      <c r="J544" s="48">
        <v>44821</v>
      </c>
      <c r="K544" s="49">
        <v>44910</v>
      </c>
      <c r="L544" s="50">
        <v>4142479359</v>
      </c>
      <c r="M544" s="51"/>
      <c r="N544" s="52"/>
      <c r="O544" s="52"/>
      <c r="S544" s="53"/>
    </row>
    <row r="545" spans="1:23" s="2" customFormat="1" ht="16.5" customHeight="1" x14ac:dyDescent="0.35">
      <c r="A545" s="85" t="s">
        <v>71</v>
      </c>
      <c r="B545" s="86" t="s">
        <v>701</v>
      </c>
      <c r="C545" s="87"/>
      <c r="D545" s="88" t="s">
        <v>337</v>
      </c>
      <c r="E545" s="43">
        <v>960000</v>
      </c>
      <c r="F545" s="44">
        <f t="shared" si="28"/>
        <v>76800</v>
      </c>
      <c r="G545" s="45">
        <f t="shared" si="30"/>
        <v>1036800</v>
      </c>
      <c r="H545" s="46">
        <v>1036800</v>
      </c>
      <c r="I545" s="47">
        <f t="shared" si="29"/>
        <v>0</v>
      </c>
      <c r="J545" s="48">
        <v>44821</v>
      </c>
      <c r="K545" s="49">
        <v>44910</v>
      </c>
      <c r="L545" s="50">
        <v>4142484916</v>
      </c>
      <c r="M545" s="51"/>
      <c r="N545" s="52"/>
      <c r="O545" s="52"/>
      <c r="S545" s="53"/>
    </row>
    <row r="546" spans="1:23" s="2" customFormat="1" ht="16.5" customHeight="1" x14ac:dyDescent="0.35">
      <c r="A546" s="85" t="s">
        <v>135</v>
      </c>
      <c r="B546" s="86">
        <v>1278</v>
      </c>
      <c r="C546" s="87"/>
      <c r="D546" s="88">
        <v>44819</v>
      </c>
      <c r="E546" s="43">
        <v>900000</v>
      </c>
      <c r="F546" s="44">
        <f t="shared" si="28"/>
        <v>72000</v>
      </c>
      <c r="G546" s="45">
        <f t="shared" si="30"/>
        <v>972000</v>
      </c>
      <c r="H546" s="46">
        <v>972000</v>
      </c>
      <c r="I546" s="47">
        <f t="shared" si="29"/>
        <v>0</v>
      </c>
      <c r="J546" s="48">
        <v>44821</v>
      </c>
      <c r="K546" s="49">
        <v>44910</v>
      </c>
      <c r="L546" s="50">
        <v>4142530645</v>
      </c>
      <c r="M546" s="51"/>
      <c r="N546" s="52"/>
      <c r="O546" s="52"/>
      <c r="S546" s="53"/>
    </row>
    <row r="547" spans="1:23" s="2" customFormat="1" ht="16.5" customHeight="1" x14ac:dyDescent="0.35">
      <c r="A547" s="114" t="s">
        <v>135</v>
      </c>
      <c r="B547" s="115">
        <v>1299</v>
      </c>
      <c r="C547" s="116">
        <v>1390</v>
      </c>
      <c r="D547" s="117">
        <v>44831</v>
      </c>
      <c r="E547" s="59">
        <v>420000</v>
      </c>
      <c r="F547" s="60">
        <f t="shared" si="28"/>
        <v>33600</v>
      </c>
      <c r="G547" s="61">
        <f t="shared" si="30"/>
        <v>453600</v>
      </c>
      <c r="H547" s="59">
        <v>453600</v>
      </c>
      <c r="I547" s="62">
        <f t="shared" si="29"/>
        <v>0</v>
      </c>
      <c r="J547" s="63">
        <v>44821</v>
      </c>
      <c r="K547" s="64">
        <v>44910</v>
      </c>
      <c r="L547" s="65">
        <v>4140142473</v>
      </c>
      <c r="M547" s="66"/>
      <c r="N547" s="67"/>
      <c r="O547" s="67"/>
      <c r="P547" s="68"/>
      <c r="Q547" s="68"/>
      <c r="R547" s="68"/>
      <c r="S547" s="69"/>
      <c r="T547" s="68"/>
      <c r="U547" s="68"/>
      <c r="V547" s="68"/>
      <c r="W547" s="68"/>
    </row>
    <row r="548" spans="1:23" s="2" customFormat="1" ht="16.5" customHeight="1" x14ac:dyDescent="0.35">
      <c r="A548" s="85" t="s">
        <v>37</v>
      </c>
      <c r="B548" s="86">
        <v>1300</v>
      </c>
      <c r="C548" s="87">
        <v>1391</v>
      </c>
      <c r="D548" s="88">
        <v>44831</v>
      </c>
      <c r="E548" s="43">
        <v>8600000</v>
      </c>
      <c r="F548" s="44">
        <f t="shared" si="28"/>
        <v>688000</v>
      </c>
      <c r="G548" s="45">
        <f t="shared" si="30"/>
        <v>9288000</v>
      </c>
      <c r="H548" s="46">
        <v>9288000</v>
      </c>
      <c r="I548" s="47">
        <f t="shared" si="29"/>
        <v>0</v>
      </c>
      <c r="J548" s="48">
        <v>44821</v>
      </c>
      <c r="K548" s="49">
        <v>44910</v>
      </c>
      <c r="L548" s="50">
        <v>4900835462</v>
      </c>
      <c r="M548" s="51"/>
      <c r="N548" s="52"/>
      <c r="O548" s="52"/>
      <c r="S548" s="53"/>
    </row>
    <row r="549" spans="1:23" s="2" customFormat="1" ht="16.5" customHeight="1" x14ac:dyDescent="0.35">
      <c r="A549" s="85" t="s">
        <v>71</v>
      </c>
      <c r="B549" s="86" t="s">
        <v>702</v>
      </c>
      <c r="C549" s="87"/>
      <c r="D549" s="88" t="s">
        <v>703</v>
      </c>
      <c r="E549" s="43">
        <v>1300000</v>
      </c>
      <c r="F549" s="44">
        <f t="shared" si="28"/>
        <v>104000</v>
      </c>
      <c r="G549" s="45">
        <f t="shared" si="30"/>
        <v>1404000</v>
      </c>
      <c r="H549" s="46">
        <v>1404000</v>
      </c>
      <c r="I549" s="47">
        <f t="shared" si="29"/>
        <v>0</v>
      </c>
      <c r="J549" s="48">
        <v>44814</v>
      </c>
      <c r="K549" s="49">
        <v>44890</v>
      </c>
      <c r="L549" s="50">
        <v>4141794606</v>
      </c>
      <c r="M549" s="51"/>
      <c r="N549" s="52"/>
      <c r="O549" s="52"/>
      <c r="S549" s="53"/>
    </row>
    <row r="550" spans="1:23" s="2" customFormat="1" ht="16.5" customHeight="1" x14ac:dyDescent="0.35">
      <c r="A550" s="85" t="s">
        <v>37</v>
      </c>
      <c r="B550" s="86" t="s">
        <v>704</v>
      </c>
      <c r="C550" s="87"/>
      <c r="D550" s="88" t="s">
        <v>703</v>
      </c>
      <c r="E550" s="43">
        <v>3840000</v>
      </c>
      <c r="F550" s="44">
        <f t="shared" si="28"/>
        <v>307200</v>
      </c>
      <c r="G550" s="45">
        <f t="shared" si="30"/>
        <v>4147200</v>
      </c>
      <c r="H550" s="46">
        <v>4147200</v>
      </c>
      <c r="I550" s="47">
        <f t="shared" si="29"/>
        <v>0</v>
      </c>
      <c r="J550" s="48">
        <v>44814</v>
      </c>
      <c r="K550" s="49">
        <v>44890</v>
      </c>
      <c r="L550" s="50">
        <v>4900854239</v>
      </c>
      <c r="M550" s="51"/>
      <c r="N550" s="52"/>
      <c r="O550" s="52"/>
      <c r="S550" s="53"/>
    </row>
    <row r="551" spans="1:23" s="2" customFormat="1" ht="16.5" customHeight="1" x14ac:dyDescent="0.35">
      <c r="A551" s="85" t="s">
        <v>71</v>
      </c>
      <c r="B551" s="86" t="s">
        <v>705</v>
      </c>
      <c r="C551" s="87"/>
      <c r="D551" s="88" t="s">
        <v>703</v>
      </c>
      <c r="E551" s="43">
        <v>312000</v>
      </c>
      <c r="F551" s="44">
        <f t="shared" si="28"/>
        <v>24960</v>
      </c>
      <c r="G551" s="45">
        <f t="shared" si="30"/>
        <v>336960</v>
      </c>
      <c r="H551" s="46">
        <v>336960</v>
      </c>
      <c r="I551" s="47">
        <f t="shared" si="29"/>
        <v>0</v>
      </c>
      <c r="J551" s="48">
        <v>44814</v>
      </c>
      <c r="K551" s="49">
        <v>44890</v>
      </c>
      <c r="L551" s="50">
        <v>4141808360</v>
      </c>
      <c r="M551" s="51"/>
      <c r="N551" s="52"/>
      <c r="O551" s="52"/>
      <c r="S551" s="53"/>
    </row>
    <row r="552" spans="1:23" s="2" customFormat="1" ht="16.5" customHeight="1" x14ac:dyDescent="0.35">
      <c r="A552" s="85" t="s">
        <v>123</v>
      </c>
      <c r="B552" s="86" t="s">
        <v>706</v>
      </c>
      <c r="C552" s="87"/>
      <c r="D552" s="88" t="s">
        <v>707</v>
      </c>
      <c r="E552" s="43">
        <v>3280000</v>
      </c>
      <c r="F552" s="44">
        <f t="shared" si="28"/>
        <v>262400</v>
      </c>
      <c r="G552" s="45">
        <f t="shared" si="30"/>
        <v>3542400</v>
      </c>
      <c r="H552" s="46">
        <v>3542400</v>
      </c>
      <c r="I552" s="47">
        <f t="shared" si="29"/>
        <v>0</v>
      </c>
      <c r="J552" s="48">
        <v>44814</v>
      </c>
      <c r="K552" s="49">
        <v>44890</v>
      </c>
      <c r="L552" s="50">
        <v>4141880009</v>
      </c>
      <c r="M552" s="51"/>
      <c r="N552" s="52"/>
      <c r="O552" s="52"/>
      <c r="S552" s="53"/>
    </row>
    <row r="553" spans="1:23" s="2" customFormat="1" ht="16.5" customHeight="1" x14ac:dyDescent="0.35">
      <c r="A553" s="85" t="s">
        <v>71</v>
      </c>
      <c r="B553" s="86" t="s">
        <v>708</v>
      </c>
      <c r="C553" s="87"/>
      <c r="D553" s="88" t="s">
        <v>709</v>
      </c>
      <c r="E553" s="43">
        <v>780000</v>
      </c>
      <c r="F553" s="44">
        <f t="shared" si="28"/>
        <v>62400</v>
      </c>
      <c r="G553" s="45">
        <f t="shared" si="30"/>
        <v>842400</v>
      </c>
      <c r="H553" s="46">
        <v>842400</v>
      </c>
      <c r="I553" s="47">
        <f t="shared" si="29"/>
        <v>0</v>
      </c>
      <c r="J553" s="48">
        <v>44814</v>
      </c>
      <c r="K553" s="49">
        <v>44890</v>
      </c>
      <c r="L553" s="50">
        <v>4141887062</v>
      </c>
      <c r="M553" s="51"/>
      <c r="N553" s="52"/>
      <c r="O553" s="52"/>
      <c r="S553" s="53"/>
    </row>
    <row r="554" spans="1:23" s="2" customFormat="1" ht="16.5" customHeight="1" x14ac:dyDescent="0.35">
      <c r="A554" s="85" t="s">
        <v>37</v>
      </c>
      <c r="B554" s="86" t="s">
        <v>710</v>
      </c>
      <c r="C554" s="87"/>
      <c r="D554" s="88" t="s">
        <v>709</v>
      </c>
      <c r="E554" s="43">
        <v>1974000</v>
      </c>
      <c r="F554" s="44">
        <f t="shared" si="28"/>
        <v>157920</v>
      </c>
      <c r="G554" s="45">
        <f t="shared" si="30"/>
        <v>2131920</v>
      </c>
      <c r="H554" s="46">
        <v>2131920</v>
      </c>
      <c r="I554" s="47">
        <f t="shared" si="29"/>
        <v>0</v>
      </c>
      <c r="J554" s="48">
        <v>44814</v>
      </c>
      <c r="K554" s="49">
        <v>44890</v>
      </c>
      <c r="L554" s="50">
        <v>4900854666</v>
      </c>
      <c r="M554" s="51"/>
      <c r="N554" s="52"/>
      <c r="O554" s="52"/>
      <c r="S554" s="53"/>
    </row>
    <row r="555" spans="1:23" s="2" customFormat="1" ht="16.5" customHeight="1" x14ac:dyDescent="0.35">
      <c r="A555" s="85" t="s">
        <v>37</v>
      </c>
      <c r="B555" s="86" t="s">
        <v>711</v>
      </c>
      <c r="C555" s="87"/>
      <c r="D555" s="88" t="s">
        <v>709</v>
      </c>
      <c r="E555" s="43">
        <v>260000</v>
      </c>
      <c r="F555" s="44">
        <f t="shared" si="28"/>
        <v>20800</v>
      </c>
      <c r="G555" s="45">
        <f t="shared" si="30"/>
        <v>280800</v>
      </c>
      <c r="H555" s="46">
        <v>280800</v>
      </c>
      <c r="I555" s="47">
        <f t="shared" si="29"/>
        <v>0</v>
      </c>
      <c r="J555" s="48">
        <v>44814</v>
      </c>
      <c r="K555" s="49">
        <v>44890</v>
      </c>
      <c r="L555" s="50">
        <v>4900854698</v>
      </c>
      <c r="M555" s="51"/>
      <c r="N555" s="52"/>
      <c r="O555" s="52"/>
      <c r="S555" s="53"/>
    </row>
    <row r="556" spans="1:23" s="2" customFormat="1" ht="16.5" customHeight="1" x14ac:dyDescent="0.35">
      <c r="A556" s="85" t="s">
        <v>29</v>
      </c>
      <c r="B556" s="86" t="s">
        <v>712</v>
      </c>
      <c r="C556" s="87"/>
      <c r="D556" s="88" t="s">
        <v>709</v>
      </c>
      <c r="E556" s="43">
        <v>1904000</v>
      </c>
      <c r="F556" s="44">
        <f t="shared" si="28"/>
        <v>152320</v>
      </c>
      <c r="G556" s="45">
        <f t="shared" si="30"/>
        <v>2056320</v>
      </c>
      <c r="H556" s="46">
        <v>2056320</v>
      </c>
      <c r="I556" s="47">
        <f t="shared" si="29"/>
        <v>0</v>
      </c>
      <c r="J556" s="48">
        <v>44814</v>
      </c>
      <c r="K556" s="49">
        <v>44890</v>
      </c>
      <c r="L556" s="50">
        <v>4900855089</v>
      </c>
      <c r="M556" s="51"/>
      <c r="N556" s="52"/>
      <c r="O556" s="52"/>
      <c r="S556" s="53"/>
    </row>
    <row r="557" spans="1:23" s="2" customFormat="1" ht="16.5" customHeight="1" x14ac:dyDescent="0.35">
      <c r="A557" s="85" t="s">
        <v>339</v>
      </c>
      <c r="B557" s="86" t="s">
        <v>713</v>
      </c>
      <c r="C557" s="87"/>
      <c r="D557" s="88" t="s">
        <v>709</v>
      </c>
      <c r="E557" s="43">
        <v>6500000</v>
      </c>
      <c r="F557" s="44">
        <f t="shared" si="28"/>
        <v>520000</v>
      </c>
      <c r="G557" s="45">
        <f t="shared" si="30"/>
        <v>7020000</v>
      </c>
      <c r="H557" s="46">
        <v>7020000</v>
      </c>
      <c r="I557" s="47">
        <f t="shared" si="29"/>
        <v>0</v>
      </c>
      <c r="J557" s="48">
        <v>44814</v>
      </c>
      <c r="K557" s="49">
        <v>44890</v>
      </c>
      <c r="L557" s="50">
        <v>4141923531</v>
      </c>
      <c r="M557" s="51"/>
      <c r="N557" s="52"/>
      <c r="O557" s="52"/>
      <c r="S557" s="53"/>
    </row>
    <row r="558" spans="1:23" s="2" customFormat="1" ht="16.5" customHeight="1" x14ac:dyDescent="0.35">
      <c r="A558" s="85" t="s">
        <v>135</v>
      </c>
      <c r="B558" s="86" t="s">
        <v>714</v>
      </c>
      <c r="C558" s="87"/>
      <c r="D558" s="88" t="s">
        <v>715</v>
      </c>
      <c r="E558" s="43">
        <v>480000</v>
      </c>
      <c r="F558" s="44">
        <f t="shared" si="28"/>
        <v>38400</v>
      </c>
      <c r="G558" s="45">
        <f t="shared" si="30"/>
        <v>518400</v>
      </c>
      <c r="H558" s="46">
        <v>518400</v>
      </c>
      <c r="I558" s="47">
        <f t="shared" si="29"/>
        <v>0</v>
      </c>
      <c r="J558" s="48">
        <v>44814</v>
      </c>
      <c r="K558" s="49">
        <v>44890</v>
      </c>
      <c r="L558" s="50">
        <v>4141986503</v>
      </c>
      <c r="M558" s="51"/>
      <c r="N558" s="52"/>
      <c r="O558" s="52"/>
      <c r="S558" s="53"/>
    </row>
    <row r="559" spans="1:23" s="2" customFormat="1" ht="16.5" customHeight="1" x14ac:dyDescent="0.35">
      <c r="A559" s="85" t="s">
        <v>303</v>
      </c>
      <c r="B559" s="86" t="s">
        <v>716</v>
      </c>
      <c r="C559" s="87"/>
      <c r="D559" s="88" t="s">
        <v>715</v>
      </c>
      <c r="E559" s="43">
        <v>1480000</v>
      </c>
      <c r="F559" s="44">
        <f t="shared" si="28"/>
        <v>118400</v>
      </c>
      <c r="G559" s="45">
        <f t="shared" si="30"/>
        <v>1598400</v>
      </c>
      <c r="H559" s="46">
        <v>1598400</v>
      </c>
      <c r="I559" s="47">
        <f t="shared" si="29"/>
        <v>0</v>
      </c>
      <c r="J559" s="48">
        <v>44814</v>
      </c>
      <c r="K559" s="49">
        <v>44890</v>
      </c>
      <c r="L559" s="50">
        <v>4141988472</v>
      </c>
      <c r="M559" s="51"/>
      <c r="N559" s="52"/>
      <c r="O559" s="52"/>
      <c r="S559" s="53"/>
    </row>
    <row r="560" spans="1:23" s="2" customFormat="1" ht="16.5" customHeight="1" x14ac:dyDescent="0.35">
      <c r="A560" s="85" t="s">
        <v>29</v>
      </c>
      <c r="B560" s="86" t="s">
        <v>717</v>
      </c>
      <c r="C560" s="87"/>
      <c r="D560" s="88" t="s">
        <v>43</v>
      </c>
      <c r="E560" s="43">
        <v>7786000</v>
      </c>
      <c r="F560" s="44">
        <f t="shared" si="28"/>
        <v>622880</v>
      </c>
      <c r="G560" s="45">
        <f t="shared" si="30"/>
        <v>8408880</v>
      </c>
      <c r="H560" s="46">
        <v>8408880</v>
      </c>
      <c r="I560" s="47">
        <f t="shared" si="29"/>
        <v>0</v>
      </c>
      <c r="J560" s="48">
        <v>44814</v>
      </c>
      <c r="K560" s="49">
        <v>44890</v>
      </c>
      <c r="L560" s="50">
        <v>4900856168</v>
      </c>
      <c r="M560" s="51"/>
      <c r="N560" s="52"/>
      <c r="O560" s="52"/>
      <c r="S560" s="53"/>
    </row>
    <row r="561" spans="1:19" s="2" customFormat="1" ht="16.5" customHeight="1" x14ac:dyDescent="0.35">
      <c r="A561" s="85" t="s">
        <v>33</v>
      </c>
      <c r="B561" s="86" t="s">
        <v>718</v>
      </c>
      <c r="C561" s="87">
        <v>798</v>
      </c>
      <c r="D561" s="88">
        <v>44782</v>
      </c>
      <c r="E561" s="43">
        <v>1812500</v>
      </c>
      <c r="F561" s="44">
        <f t="shared" si="28"/>
        <v>145000</v>
      </c>
      <c r="G561" s="45">
        <f t="shared" si="30"/>
        <v>1957500</v>
      </c>
      <c r="H561" s="46">
        <v>1957500</v>
      </c>
      <c r="I561" s="47">
        <f t="shared" si="29"/>
        <v>0</v>
      </c>
      <c r="J561" s="48">
        <v>44797</v>
      </c>
      <c r="K561" s="49">
        <v>44880</v>
      </c>
      <c r="L561" s="50">
        <v>4900842984</v>
      </c>
      <c r="M561" s="51"/>
      <c r="N561" s="52"/>
      <c r="O561" s="52"/>
      <c r="S561" s="53"/>
    </row>
    <row r="562" spans="1:19" s="2" customFormat="1" ht="16.5" customHeight="1" x14ac:dyDescent="0.35">
      <c r="A562" s="85" t="s">
        <v>171</v>
      </c>
      <c r="B562" s="86" t="s">
        <v>719</v>
      </c>
      <c r="C562" s="87"/>
      <c r="D562" s="88" t="s">
        <v>720</v>
      </c>
      <c r="E562" s="43">
        <v>5432000</v>
      </c>
      <c r="F562" s="44">
        <f t="shared" si="28"/>
        <v>434560</v>
      </c>
      <c r="G562" s="45">
        <f t="shared" si="30"/>
        <v>5866560</v>
      </c>
      <c r="H562" s="46">
        <v>5866560</v>
      </c>
      <c r="I562" s="47">
        <f t="shared" si="29"/>
        <v>0</v>
      </c>
      <c r="J562" s="48">
        <v>44797</v>
      </c>
      <c r="K562" s="49">
        <v>44880</v>
      </c>
      <c r="L562" s="50">
        <v>4141026805</v>
      </c>
      <c r="M562" s="51"/>
      <c r="N562" s="52"/>
      <c r="O562" s="52"/>
      <c r="S562" s="53"/>
    </row>
    <row r="563" spans="1:19" s="2" customFormat="1" ht="16.5" customHeight="1" x14ac:dyDescent="0.35">
      <c r="A563" s="85" t="s">
        <v>81</v>
      </c>
      <c r="B563" s="86" t="s">
        <v>721</v>
      </c>
      <c r="C563" s="87"/>
      <c r="D563" s="88" t="s">
        <v>720</v>
      </c>
      <c r="E563" s="43">
        <v>3124000</v>
      </c>
      <c r="F563" s="44">
        <f t="shared" si="28"/>
        <v>249920</v>
      </c>
      <c r="G563" s="45">
        <f t="shared" si="30"/>
        <v>3373920</v>
      </c>
      <c r="H563" s="46">
        <v>3373920</v>
      </c>
      <c r="I563" s="47">
        <f t="shared" si="29"/>
        <v>0</v>
      </c>
      <c r="J563" s="48">
        <v>44797</v>
      </c>
      <c r="K563" s="49">
        <v>44849</v>
      </c>
      <c r="L563" s="65">
        <v>4141051690</v>
      </c>
      <c r="M563" s="51"/>
      <c r="N563" s="52"/>
      <c r="O563" s="52"/>
      <c r="S563" s="53"/>
    </row>
    <row r="564" spans="1:19" s="2" customFormat="1" ht="16.5" customHeight="1" x14ac:dyDescent="0.35">
      <c r="A564" s="85" t="s">
        <v>71</v>
      </c>
      <c r="B564" s="86" t="s">
        <v>722</v>
      </c>
      <c r="C564" s="87"/>
      <c r="D564" s="88" t="s">
        <v>723</v>
      </c>
      <c r="E564" s="43">
        <v>1160000</v>
      </c>
      <c r="F564" s="44">
        <f t="shared" si="28"/>
        <v>92800</v>
      </c>
      <c r="G564" s="45">
        <f t="shared" si="30"/>
        <v>1252800</v>
      </c>
      <c r="H564" s="46">
        <v>1252800</v>
      </c>
      <c r="I564" s="47">
        <f t="shared" si="29"/>
        <v>0</v>
      </c>
      <c r="J564" s="48">
        <v>44797</v>
      </c>
      <c r="K564" s="49">
        <v>44880</v>
      </c>
      <c r="L564" s="65">
        <v>4141115263</v>
      </c>
      <c r="M564" s="51"/>
      <c r="N564" s="52"/>
      <c r="O564" s="52"/>
      <c r="S564" s="53"/>
    </row>
    <row r="565" spans="1:19" s="2" customFormat="1" ht="16.5" customHeight="1" x14ac:dyDescent="0.35">
      <c r="A565" s="85" t="s">
        <v>29</v>
      </c>
      <c r="B565" s="86" t="s">
        <v>724</v>
      </c>
      <c r="C565" s="87"/>
      <c r="D565" s="88" t="s">
        <v>723</v>
      </c>
      <c r="E565" s="43">
        <v>2232000</v>
      </c>
      <c r="F565" s="44">
        <f t="shared" si="28"/>
        <v>178560</v>
      </c>
      <c r="G565" s="45">
        <f t="shared" si="30"/>
        <v>2410560</v>
      </c>
      <c r="H565" s="46">
        <v>2410560</v>
      </c>
      <c r="I565" s="47">
        <f t="shared" si="29"/>
        <v>0</v>
      </c>
      <c r="J565" s="48">
        <v>44797</v>
      </c>
      <c r="K565" s="49">
        <v>44880</v>
      </c>
      <c r="L565" s="50">
        <v>4900846710</v>
      </c>
      <c r="M565" s="51"/>
      <c r="N565" s="52"/>
      <c r="O565" s="52"/>
      <c r="S565" s="53"/>
    </row>
    <row r="566" spans="1:19" s="2" customFormat="1" ht="16.5" customHeight="1" x14ac:dyDescent="0.35">
      <c r="A566" s="85" t="s">
        <v>135</v>
      </c>
      <c r="B566" s="86" t="s">
        <v>725</v>
      </c>
      <c r="C566" s="87"/>
      <c r="D566" s="88" t="s">
        <v>726</v>
      </c>
      <c r="E566" s="43">
        <v>1720000</v>
      </c>
      <c r="F566" s="44">
        <f t="shared" si="28"/>
        <v>137600</v>
      </c>
      <c r="G566" s="45">
        <f t="shared" si="30"/>
        <v>1857600</v>
      </c>
      <c r="H566" s="46">
        <v>1857600</v>
      </c>
      <c r="I566" s="47">
        <f t="shared" si="29"/>
        <v>0</v>
      </c>
      <c r="J566" s="48">
        <v>44797</v>
      </c>
      <c r="K566" s="49">
        <v>44880</v>
      </c>
      <c r="L566" s="50">
        <v>4141162124</v>
      </c>
      <c r="M566" s="51"/>
      <c r="N566" s="52"/>
      <c r="O566" s="52"/>
      <c r="S566" s="53"/>
    </row>
    <row r="567" spans="1:19" s="2" customFormat="1" ht="16.5" customHeight="1" x14ac:dyDescent="0.35">
      <c r="A567" s="85" t="s">
        <v>727</v>
      </c>
      <c r="B567" s="86" t="s">
        <v>728</v>
      </c>
      <c r="C567" s="87">
        <v>988</v>
      </c>
      <c r="D567" s="88">
        <v>44797</v>
      </c>
      <c r="E567" s="43">
        <v>3168000</v>
      </c>
      <c r="F567" s="44">
        <f t="shared" si="28"/>
        <v>253440</v>
      </c>
      <c r="G567" s="45">
        <f t="shared" si="30"/>
        <v>3421440</v>
      </c>
      <c r="H567" s="46">
        <v>3421440</v>
      </c>
      <c r="I567" s="47">
        <f t="shared" si="29"/>
        <v>0</v>
      </c>
      <c r="J567" s="48">
        <v>44797</v>
      </c>
      <c r="K567" s="49">
        <v>44880</v>
      </c>
      <c r="L567" s="65">
        <v>4141216358</v>
      </c>
      <c r="M567" s="51"/>
      <c r="N567" s="52"/>
      <c r="O567" s="52"/>
      <c r="S567" s="53"/>
    </row>
    <row r="568" spans="1:19" s="2" customFormat="1" ht="16.5" customHeight="1" x14ac:dyDescent="0.35">
      <c r="A568" s="85" t="s">
        <v>71</v>
      </c>
      <c r="B568" s="86" t="s">
        <v>729</v>
      </c>
      <c r="C568" s="87"/>
      <c r="D568" s="88">
        <v>44778</v>
      </c>
      <c r="E568" s="43">
        <v>390000</v>
      </c>
      <c r="F568" s="44">
        <f t="shared" si="28"/>
        <v>31200</v>
      </c>
      <c r="G568" s="45">
        <f t="shared" si="30"/>
        <v>421200</v>
      </c>
      <c r="H568" s="46">
        <v>421200</v>
      </c>
      <c r="I568" s="47">
        <f t="shared" si="29"/>
        <v>0</v>
      </c>
      <c r="J568" s="48">
        <v>44797</v>
      </c>
      <c r="K568" s="49">
        <v>44880</v>
      </c>
      <c r="L568" s="50">
        <v>4141224189</v>
      </c>
      <c r="M568" s="51"/>
      <c r="N568" s="52"/>
      <c r="O568" s="52"/>
      <c r="S568" s="53"/>
    </row>
    <row r="569" spans="1:19" s="2" customFormat="1" ht="16.5" customHeight="1" x14ac:dyDescent="0.35">
      <c r="A569" s="85" t="s">
        <v>37</v>
      </c>
      <c r="B569" s="86" t="s">
        <v>730</v>
      </c>
      <c r="C569" s="87">
        <v>989</v>
      </c>
      <c r="D569" s="88">
        <v>44797</v>
      </c>
      <c r="E569" s="43">
        <f>3712000-40000</f>
        <v>3672000</v>
      </c>
      <c r="F569" s="44">
        <f t="shared" si="28"/>
        <v>293760</v>
      </c>
      <c r="G569" s="45">
        <f t="shared" si="30"/>
        <v>3965760</v>
      </c>
      <c r="H569" s="46">
        <v>3965760</v>
      </c>
      <c r="I569" s="47">
        <f t="shared" si="29"/>
        <v>0</v>
      </c>
      <c r="J569" s="48">
        <v>44797</v>
      </c>
      <c r="K569" s="49">
        <v>44880</v>
      </c>
      <c r="L569" s="65">
        <v>4900847234</v>
      </c>
      <c r="M569" s="51"/>
      <c r="N569" s="52"/>
      <c r="O569" s="52"/>
      <c r="S569" s="53"/>
    </row>
    <row r="570" spans="1:19" s="2" customFormat="1" ht="16.5" customHeight="1" x14ac:dyDescent="0.35">
      <c r="A570" s="85" t="s">
        <v>71</v>
      </c>
      <c r="B570" s="86" t="s">
        <v>731</v>
      </c>
      <c r="C570" s="87">
        <v>990</v>
      </c>
      <c r="D570" s="88">
        <v>44797</v>
      </c>
      <c r="E570" s="43">
        <v>1000000</v>
      </c>
      <c r="F570" s="44">
        <f t="shared" si="28"/>
        <v>80000</v>
      </c>
      <c r="G570" s="45">
        <f t="shared" si="30"/>
        <v>1080000</v>
      </c>
      <c r="H570" s="46">
        <v>1080000</v>
      </c>
      <c r="I570" s="47">
        <f t="shared" si="29"/>
        <v>0</v>
      </c>
      <c r="J570" s="48">
        <v>44797</v>
      </c>
      <c r="K570" s="49">
        <v>44880</v>
      </c>
      <c r="L570" s="50">
        <v>4141245080</v>
      </c>
      <c r="M570" s="51"/>
      <c r="N570" s="52"/>
      <c r="O570" s="52"/>
      <c r="S570" s="53"/>
    </row>
    <row r="571" spans="1:19" s="2" customFormat="1" ht="16.5" customHeight="1" x14ac:dyDescent="0.35">
      <c r="A571" s="85" t="s">
        <v>339</v>
      </c>
      <c r="B571" s="86" t="s">
        <v>732</v>
      </c>
      <c r="C571" s="87"/>
      <c r="D571" s="88">
        <v>44779</v>
      </c>
      <c r="E571" s="43">
        <v>960000</v>
      </c>
      <c r="F571" s="44">
        <f t="shared" si="28"/>
        <v>76800</v>
      </c>
      <c r="G571" s="45">
        <f t="shared" si="30"/>
        <v>1036800</v>
      </c>
      <c r="H571" s="46">
        <v>1036800</v>
      </c>
      <c r="I571" s="47">
        <f t="shared" si="29"/>
        <v>0</v>
      </c>
      <c r="J571" s="48">
        <v>44797</v>
      </c>
      <c r="K571" s="49">
        <v>44880</v>
      </c>
      <c r="L571" s="50">
        <v>4141246708</v>
      </c>
      <c r="M571" s="51"/>
      <c r="N571" s="52"/>
      <c r="O571" s="52"/>
      <c r="S571" s="53"/>
    </row>
    <row r="572" spans="1:19" s="2" customFormat="1" ht="16.5" customHeight="1" x14ac:dyDescent="0.35">
      <c r="A572" s="85" t="s">
        <v>71</v>
      </c>
      <c r="B572" s="86" t="s">
        <v>733</v>
      </c>
      <c r="C572" s="87"/>
      <c r="D572" s="88" t="s">
        <v>734</v>
      </c>
      <c r="E572" s="43">
        <v>1408000</v>
      </c>
      <c r="F572" s="44">
        <f t="shared" si="28"/>
        <v>112640</v>
      </c>
      <c r="G572" s="45">
        <f t="shared" si="30"/>
        <v>1520640</v>
      </c>
      <c r="H572" s="46">
        <v>1520640</v>
      </c>
      <c r="I572" s="47">
        <f t="shared" si="29"/>
        <v>0</v>
      </c>
      <c r="J572" s="48">
        <v>44797</v>
      </c>
      <c r="K572" s="49">
        <v>44880</v>
      </c>
      <c r="L572" s="50">
        <v>4141302994</v>
      </c>
      <c r="M572" s="51"/>
      <c r="N572" s="52"/>
      <c r="O572" s="52"/>
      <c r="S572" s="53"/>
    </row>
    <row r="573" spans="1:19" s="2" customFormat="1" ht="16.5" customHeight="1" x14ac:dyDescent="0.35">
      <c r="A573" s="85" t="s">
        <v>339</v>
      </c>
      <c r="B573" s="86" t="s">
        <v>735</v>
      </c>
      <c r="C573" s="87"/>
      <c r="D573" s="88" t="s">
        <v>734</v>
      </c>
      <c r="E573" s="43">
        <v>3200000</v>
      </c>
      <c r="F573" s="44">
        <f t="shared" si="28"/>
        <v>256000</v>
      </c>
      <c r="G573" s="45">
        <f t="shared" si="30"/>
        <v>3456000</v>
      </c>
      <c r="H573" s="46">
        <v>3456000</v>
      </c>
      <c r="I573" s="47">
        <f t="shared" si="29"/>
        <v>0</v>
      </c>
      <c r="J573" s="48">
        <v>44797</v>
      </c>
      <c r="K573" s="49">
        <v>44880</v>
      </c>
      <c r="L573" s="50">
        <v>4141294610</v>
      </c>
      <c r="M573" s="51"/>
      <c r="N573" s="52"/>
      <c r="O573" s="52"/>
      <c r="S573" s="53"/>
    </row>
    <row r="574" spans="1:19" s="2" customFormat="1" ht="16.5" customHeight="1" x14ac:dyDescent="0.35">
      <c r="A574" s="85" t="s">
        <v>303</v>
      </c>
      <c r="B574" s="86" t="s">
        <v>736</v>
      </c>
      <c r="C574" s="87"/>
      <c r="D574" s="88" t="s">
        <v>734</v>
      </c>
      <c r="E574" s="43">
        <v>2280000</v>
      </c>
      <c r="F574" s="44">
        <f t="shared" si="28"/>
        <v>182400</v>
      </c>
      <c r="G574" s="45">
        <f t="shared" si="30"/>
        <v>2462400</v>
      </c>
      <c r="H574" s="46">
        <v>2462400</v>
      </c>
      <c r="I574" s="47">
        <f t="shared" si="29"/>
        <v>0</v>
      </c>
      <c r="J574" s="48">
        <v>44797</v>
      </c>
      <c r="K574" s="49">
        <v>44880</v>
      </c>
      <c r="L574" s="50">
        <v>4141290694</v>
      </c>
      <c r="M574" s="51"/>
      <c r="N574" s="52"/>
      <c r="O574" s="52"/>
      <c r="S574" s="53"/>
    </row>
    <row r="575" spans="1:19" s="2" customFormat="1" ht="16.5" customHeight="1" x14ac:dyDescent="0.35">
      <c r="A575" s="85" t="s">
        <v>71</v>
      </c>
      <c r="B575" s="86" t="s">
        <v>737</v>
      </c>
      <c r="C575" s="87"/>
      <c r="D575" s="88" t="s">
        <v>734</v>
      </c>
      <c r="E575" s="43">
        <v>1440000</v>
      </c>
      <c r="F575" s="44">
        <f t="shared" ref="F575:F638" si="31">+E575*0.08</f>
        <v>115200</v>
      </c>
      <c r="G575" s="45">
        <f t="shared" si="30"/>
        <v>1555200</v>
      </c>
      <c r="H575" s="46">
        <v>1555200</v>
      </c>
      <c r="I575" s="47">
        <f t="shared" si="29"/>
        <v>0</v>
      </c>
      <c r="J575" s="48">
        <v>44797</v>
      </c>
      <c r="K575" s="49">
        <v>44880</v>
      </c>
      <c r="L575" s="50">
        <v>4141312419</v>
      </c>
      <c r="M575" s="51"/>
      <c r="N575" s="52"/>
      <c r="O575" s="52"/>
      <c r="S575" s="53"/>
    </row>
    <row r="576" spans="1:19" s="2" customFormat="1" ht="16.5" customHeight="1" x14ac:dyDescent="0.35">
      <c r="A576" s="85" t="s">
        <v>71</v>
      </c>
      <c r="B576" s="86" t="s">
        <v>738</v>
      </c>
      <c r="C576" s="87"/>
      <c r="D576" s="88" t="s">
        <v>734</v>
      </c>
      <c r="E576" s="43">
        <v>640000</v>
      </c>
      <c r="F576" s="44">
        <f t="shared" si="31"/>
        <v>51200</v>
      </c>
      <c r="G576" s="45">
        <f t="shared" si="30"/>
        <v>691200</v>
      </c>
      <c r="H576" s="46">
        <v>691200</v>
      </c>
      <c r="I576" s="47">
        <f t="shared" si="29"/>
        <v>0</v>
      </c>
      <c r="J576" s="48">
        <v>44797</v>
      </c>
      <c r="K576" s="49">
        <v>44880</v>
      </c>
      <c r="L576" s="65">
        <v>4141305688</v>
      </c>
      <c r="M576" s="51"/>
      <c r="N576" s="52"/>
      <c r="O576" s="52"/>
      <c r="S576" s="53"/>
    </row>
    <row r="577" spans="1:19" s="2" customFormat="1" ht="16.5" customHeight="1" x14ac:dyDescent="0.35">
      <c r="A577" s="85" t="s">
        <v>71</v>
      </c>
      <c r="B577" s="86" t="s">
        <v>739</v>
      </c>
      <c r="C577" s="87"/>
      <c r="D577" s="88" t="s">
        <v>734</v>
      </c>
      <c r="E577" s="43">
        <v>960000</v>
      </c>
      <c r="F577" s="44">
        <f t="shared" si="31"/>
        <v>76800</v>
      </c>
      <c r="G577" s="45">
        <f t="shared" si="30"/>
        <v>1036800</v>
      </c>
      <c r="H577" s="46">
        <v>1036800</v>
      </c>
      <c r="I577" s="47">
        <f t="shared" si="29"/>
        <v>0</v>
      </c>
      <c r="J577" s="48">
        <v>44797</v>
      </c>
      <c r="K577" s="49">
        <v>44880</v>
      </c>
      <c r="L577" s="50">
        <v>4141329021</v>
      </c>
      <c r="M577" s="51"/>
      <c r="N577" s="52"/>
      <c r="O577" s="52"/>
      <c r="S577" s="53"/>
    </row>
    <row r="578" spans="1:19" s="2" customFormat="1" ht="16.5" customHeight="1" x14ac:dyDescent="0.35">
      <c r="A578" s="85" t="s">
        <v>33</v>
      </c>
      <c r="B578" s="86" t="s">
        <v>740</v>
      </c>
      <c r="C578" s="87"/>
      <c r="D578" s="88" t="s">
        <v>734</v>
      </c>
      <c r="E578" s="43">
        <v>2080000</v>
      </c>
      <c r="F578" s="44">
        <f t="shared" si="31"/>
        <v>166400</v>
      </c>
      <c r="G578" s="45">
        <f t="shared" si="30"/>
        <v>2246400</v>
      </c>
      <c r="H578" s="46">
        <v>2246400</v>
      </c>
      <c r="I578" s="47">
        <f t="shared" si="29"/>
        <v>0</v>
      </c>
      <c r="J578" s="48">
        <v>44797</v>
      </c>
      <c r="K578" s="49">
        <v>44880</v>
      </c>
      <c r="L578" s="50">
        <v>4900848999</v>
      </c>
      <c r="M578" s="51"/>
      <c r="N578" s="52"/>
      <c r="O578" s="52"/>
      <c r="S578" s="53"/>
    </row>
    <row r="579" spans="1:19" s="2" customFormat="1" ht="16.5" customHeight="1" x14ac:dyDescent="0.35">
      <c r="A579" s="85" t="s">
        <v>135</v>
      </c>
      <c r="B579" s="86" t="s">
        <v>741</v>
      </c>
      <c r="C579" s="87"/>
      <c r="D579" s="88" t="s">
        <v>734</v>
      </c>
      <c r="E579" s="43">
        <v>960000</v>
      </c>
      <c r="F579" s="44">
        <f t="shared" si="31"/>
        <v>76800</v>
      </c>
      <c r="G579" s="45">
        <f t="shared" si="30"/>
        <v>1036800</v>
      </c>
      <c r="H579" s="46">
        <v>1036800</v>
      </c>
      <c r="I579" s="47">
        <f t="shared" si="29"/>
        <v>0</v>
      </c>
      <c r="J579" s="48">
        <v>44797</v>
      </c>
      <c r="K579" s="49">
        <v>44880</v>
      </c>
      <c r="L579" s="65">
        <v>4141329576</v>
      </c>
      <c r="M579" s="51"/>
      <c r="N579" s="52"/>
      <c r="O579" s="52"/>
      <c r="S579" s="53"/>
    </row>
    <row r="580" spans="1:19" s="2" customFormat="1" ht="16.5" customHeight="1" x14ac:dyDescent="0.35">
      <c r="A580" s="85" t="s">
        <v>135</v>
      </c>
      <c r="B580" s="86" t="s">
        <v>742</v>
      </c>
      <c r="C580" s="87"/>
      <c r="D580" s="88" t="s">
        <v>743</v>
      </c>
      <c r="E580" s="43">
        <v>390000</v>
      </c>
      <c r="F580" s="44">
        <f t="shared" si="31"/>
        <v>31200</v>
      </c>
      <c r="G580" s="45">
        <f t="shared" si="30"/>
        <v>421200</v>
      </c>
      <c r="H580" s="46">
        <v>421200</v>
      </c>
      <c r="I580" s="47">
        <f t="shared" si="29"/>
        <v>0</v>
      </c>
      <c r="J580" s="48">
        <v>44797</v>
      </c>
      <c r="K580" s="49">
        <v>44880</v>
      </c>
      <c r="L580" s="65">
        <v>4141371146</v>
      </c>
      <c r="M580" s="51"/>
      <c r="N580" s="52"/>
      <c r="O580" s="52"/>
      <c r="S580" s="53"/>
    </row>
    <row r="581" spans="1:19" s="2" customFormat="1" ht="16.5" customHeight="1" x14ac:dyDescent="0.35">
      <c r="A581" s="85" t="s">
        <v>339</v>
      </c>
      <c r="B581" s="86" t="s">
        <v>744</v>
      </c>
      <c r="C581" s="87"/>
      <c r="D581" s="88" t="s">
        <v>745</v>
      </c>
      <c r="E581" s="43">
        <v>714000</v>
      </c>
      <c r="F581" s="44">
        <f t="shared" si="31"/>
        <v>57120</v>
      </c>
      <c r="G581" s="45">
        <f t="shared" si="30"/>
        <v>771120</v>
      </c>
      <c r="H581" s="46">
        <v>771120</v>
      </c>
      <c r="I581" s="47">
        <f t="shared" si="29"/>
        <v>0</v>
      </c>
      <c r="J581" s="48">
        <v>44797</v>
      </c>
      <c r="K581" s="49">
        <v>44880</v>
      </c>
      <c r="L581" s="50">
        <v>4141396255</v>
      </c>
      <c r="M581" s="51"/>
      <c r="N581" s="52"/>
      <c r="O581" s="52"/>
      <c r="S581" s="53"/>
    </row>
    <row r="582" spans="1:19" s="2" customFormat="1" ht="16.5" customHeight="1" x14ac:dyDescent="0.35">
      <c r="A582" s="85" t="s">
        <v>71</v>
      </c>
      <c r="B582" s="86" t="s">
        <v>746</v>
      </c>
      <c r="C582" s="87"/>
      <c r="D582" s="88" t="s">
        <v>745</v>
      </c>
      <c r="E582" s="43">
        <v>312000</v>
      </c>
      <c r="F582" s="44">
        <f t="shared" si="31"/>
        <v>24960</v>
      </c>
      <c r="G582" s="45">
        <f t="shared" si="30"/>
        <v>336960</v>
      </c>
      <c r="H582" s="46">
        <v>336960</v>
      </c>
      <c r="I582" s="47">
        <f t="shared" si="29"/>
        <v>0</v>
      </c>
      <c r="J582" s="48">
        <v>44797</v>
      </c>
      <c r="K582" s="49">
        <v>44880</v>
      </c>
      <c r="L582" s="65">
        <v>4141401683</v>
      </c>
      <c r="M582" s="51"/>
      <c r="N582" s="52"/>
      <c r="O582" s="52"/>
      <c r="S582" s="53"/>
    </row>
    <row r="583" spans="1:19" s="2" customFormat="1" ht="16.5" customHeight="1" x14ac:dyDescent="0.35">
      <c r="A583" s="85" t="s">
        <v>71</v>
      </c>
      <c r="B583" s="86" t="s">
        <v>747</v>
      </c>
      <c r="C583" s="87"/>
      <c r="D583" s="88" t="s">
        <v>745</v>
      </c>
      <c r="E583" s="43">
        <v>1112000</v>
      </c>
      <c r="F583" s="44">
        <f t="shared" si="31"/>
        <v>88960</v>
      </c>
      <c r="G583" s="45">
        <f t="shared" si="30"/>
        <v>1200960</v>
      </c>
      <c r="H583" s="46">
        <v>1200960</v>
      </c>
      <c r="I583" s="47">
        <f t="shared" si="29"/>
        <v>0</v>
      </c>
      <c r="J583" s="48">
        <v>44797</v>
      </c>
      <c r="K583" s="49">
        <v>44880</v>
      </c>
      <c r="L583" s="65">
        <v>4141409939</v>
      </c>
      <c r="M583" s="51"/>
      <c r="N583" s="52"/>
      <c r="O583" s="52"/>
      <c r="S583" s="53"/>
    </row>
    <row r="584" spans="1:19" s="2" customFormat="1" ht="16.5" customHeight="1" x14ac:dyDescent="0.35">
      <c r="A584" s="85" t="s">
        <v>339</v>
      </c>
      <c r="B584" s="86" t="s">
        <v>748</v>
      </c>
      <c r="C584" s="87"/>
      <c r="D584" s="88" t="s">
        <v>745</v>
      </c>
      <c r="E584" s="43">
        <v>4820000</v>
      </c>
      <c r="F584" s="44">
        <f t="shared" si="31"/>
        <v>385600</v>
      </c>
      <c r="G584" s="45">
        <f t="shared" si="30"/>
        <v>5205600</v>
      </c>
      <c r="H584" s="46">
        <v>5205600</v>
      </c>
      <c r="I584" s="47">
        <f t="shared" ref="I584:I647" si="32">G584-H584</f>
        <v>0</v>
      </c>
      <c r="J584" s="48">
        <v>44797</v>
      </c>
      <c r="K584" s="49">
        <v>44880</v>
      </c>
      <c r="L584" s="50">
        <v>4141394224</v>
      </c>
      <c r="M584" s="51"/>
      <c r="N584" s="52"/>
      <c r="O584" s="52"/>
      <c r="S584" s="53"/>
    </row>
    <row r="585" spans="1:19" s="2" customFormat="1" ht="16.5" customHeight="1" x14ac:dyDescent="0.35">
      <c r="A585" s="85" t="s">
        <v>71</v>
      </c>
      <c r="B585" s="86" t="s">
        <v>749</v>
      </c>
      <c r="C585" s="87"/>
      <c r="D585" s="88" t="s">
        <v>750</v>
      </c>
      <c r="E585" s="43">
        <v>1584000</v>
      </c>
      <c r="F585" s="44">
        <f t="shared" si="31"/>
        <v>126720</v>
      </c>
      <c r="G585" s="45">
        <f t="shared" si="30"/>
        <v>1710720</v>
      </c>
      <c r="H585" s="46">
        <v>1710720</v>
      </c>
      <c r="I585" s="47">
        <f t="shared" si="32"/>
        <v>0</v>
      </c>
      <c r="J585" s="48">
        <v>44797</v>
      </c>
      <c r="K585" s="49">
        <v>44880</v>
      </c>
      <c r="L585" s="50">
        <v>4141436380</v>
      </c>
      <c r="M585" s="51"/>
      <c r="N585" s="52"/>
      <c r="O585" s="52"/>
      <c r="S585" s="53"/>
    </row>
    <row r="586" spans="1:19" s="2" customFormat="1" ht="16.5" customHeight="1" x14ac:dyDescent="0.35">
      <c r="A586" s="85" t="s">
        <v>29</v>
      </c>
      <c r="B586" s="86" t="s">
        <v>751</v>
      </c>
      <c r="C586" s="87"/>
      <c r="D586" s="88" t="s">
        <v>750</v>
      </c>
      <c r="E586" s="43">
        <v>3192000</v>
      </c>
      <c r="F586" s="44">
        <f t="shared" si="31"/>
        <v>255360</v>
      </c>
      <c r="G586" s="45">
        <f t="shared" si="30"/>
        <v>3447360</v>
      </c>
      <c r="H586" s="46">
        <v>3447360</v>
      </c>
      <c r="I586" s="47">
        <f t="shared" si="32"/>
        <v>0</v>
      </c>
      <c r="J586" s="48">
        <v>44797</v>
      </c>
      <c r="K586" s="49">
        <v>44880</v>
      </c>
      <c r="L586" s="50">
        <v>4900849423</v>
      </c>
      <c r="M586" s="51"/>
      <c r="N586" s="52"/>
      <c r="O586" s="52"/>
      <c r="S586" s="53"/>
    </row>
    <row r="587" spans="1:19" s="2" customFormat="1" ht="16.5" customHeight="1" x14ac:dyDescent="0.35">
      <c r="A587" s="85" t="s">
        <v>37</v>
      </c>
      <c r="B587" s="86" t="s">
        <v>752</v>
      </c>
      <c r="C587" s="87">
        <v>991</v>
      </c>
      <c r="D587" s="88">
        <v>44797</v>
      </c>
      <c r="E587" s="43">
        <v>8748000</v>
      </c>
      <c r="F587" s="44">
        <f t="shared" si="31"/>
        <v>699840</v>
      </c>
      <c r="G587" s="45">
        <f t="shared" si="30"/>
        <v>9447840</v>
      </c>
      <c r="H587" s="46">
        <v>9447840</v>
      </c>
      <c r="I587" s="47">
        <f t="shared" si="32"/>
        <v>0</v>
      </c>
      <c r="J587" s="48">
        <v>44797</v>
      </c>
      <c r="K587" s="49">
        <v>44880</v>
      </c>
      <c r="L587" s="65">
        <v>4900849773</v>
      </c>
      <c r="M587" s="51"/>
      <c r="N587" s="52"/>
      <c r="O587" s="52"/>
      <c r="S587" s="53"/>
    </row>
    <row r="588" spans="1:19" s="2" customFormat="1" ht="16.5" customHeight="1" x14ac:dyDescent="0.35">
      <c r="A588" s="85" t="s">
        <v>339</v>
      </c>
      <c r="B588" s="86" t="s">
        <v>753</v>
      </c>
      <c r="C588" s="87"/>
      <c r="D588" s="88" t="s">
        <v>750</v>
      </c>
      <c r="E588" s="43">
        <v>1040000</v>
      </c>
      <c r="F588" s="44">
        <f t="shared" si="31"/>
        <v>83200</v>
      </c>
      <c r="G588" s="45">
        <f t="shared" si="30"/>
        <v>1123200</v>
      </c>
      <c r="H588" s="46">
        <v>1123200</v>
      </c>
      <c r="I588" s="47">
        <f t="shared" si="32"/>
        <v>0</v>
      </c>
      <c r="J588" s="48">
        <v>44797</v>
      </c>
      <c r="K588" s="49">
        <v>44880</v>
      </c>
      <c r="L588" s="50">
        <v>4141446255</v>
      </c>
      <c r="M588" s="51"/>
      <c r="N588" s="52"/>
      <c r="O588" s="52"/>
      <c r="S588" s="53"/>
    </row>
    <row r="589" spans="1:19" s="2" customFormat="1" ht="16.5" customHeight="1" x14ac:dyDescent="0.35">
      <c r="A589" s="85" t="s">
        <v>71</v>
      </c>
      <c r="B589" s="86" t="s">
        <v>754</v>
      </c>
      <c r="C589" s="87"/>
      <c r="D589" s="88" t="s">
        <v>755</v>
      </c>
      <c r="E589" s="43">
        <v>520000</v>
      </c>
      <c r="F589" s="44">
        <f t="shared" si="31"/>
        <v>41600</v>
      </c>
      <c r="G589" s="45">
        <f t="shared" si="30"/>
        <v>561600</v>
      </c>
      <c r="H589" s="46">
        <v>561600</v>
      </c>
      <c r="I589" s="47">
        <f t="shared" si="32"/>
        <v>0</v>
      </c>
      <c r="J589" s="48">
        <v>44797</v>
      </c>
      <c r="K589" s="49">
        <v>44880</v>
      </c>
      <c r="L589" s="50">
        <v>4141475753</v>
      </c>
      <c r="M589" s="51"/>
      <c r="N589" s="52"/>
      <c r="O589" s="52"/>
      <c r="S589" s="53"/>
    </row>
    <row r="590" spans="1:19" s="2" customFormat="1" ht="16.5" customHeight="1" x14ac:dyDescent="0.35">
      <c r="A590" s="85" t="s">
        <v>71</v>
      </c>
      <c r="B590" s="86" t="s">
        <v>756</v>
      </c>
      <c r="C590" s="87"/>
      <c r="D590" s="88" t="s">
        <v>755</v>
      </c>
      <c r="E590" s="43">
        <v>1430000</v>
      </c>
      <c r="F590" s="44">
        <f t="shared" si="31"/>
        <v>114400</v>
      </c>
      <c r="G590" s="45">
        <f t="shared" si="30"/>
        <v>1544400</v>
      </c>
      <c r="H590" s="46">
        <v>1544400</v>
      </c>
      <c r="I590" s="47">
        <f t="shared" si="32"/>
        <v>0</v>
      </c>
      <c r="J590" s="48">
        <v>44797</v>
      </c>
      <c r="K590" s="49">
        <v>44880</v>
      </c>
      <c r="L590" s="50">
        <v>4141488977</v>
      </c>
      <c r="M590" s="51"/>
      <c r="N590" s="52"/>
      <c r="O590" s="52"/>
      <c r="S590" s="53"/>
    </row>
    <row r="591" spans="1:19" s="2" customFormat="1" ht="16.5" customHeight="1" x14ac:dyDescent="0.35">
      <c r="A591" s="85" t="s">
        <v>71</v>
      </c>
      <c r="B591" s="86" t="s">
        <v>559</v>
      </c>
      <c r="C591" s="87"/>
      <c r="D591" s="88" t="s">
        <v>757</v>
      </c>
      <c r="E591" s="43">
        <v>714000</v>
      </c>
      <c r="F591" s="44">
        <f t="shared" si="31"/>
        <v>57120</v>
      </c>
      <c r="G591" s="45">
        <f t="shared" si="30"/>
        <v>771120</v>
      </c>
      <c r="H591" s="46">
        <v>771120</v>
      </c>
      <c r="I591" s="47">
        <f t="shared" si="32"/>
        <v>0</v>
      </c>
      <c r="J591" s="48">
        <v>44797</v>
      </c>
      <c r="K591" s="49">
        <v>44880</v>
      </c>
      <c r="L591" s="50">
        <v>4141547461</v>
      </c>
      <c r="M591" s="51"/>
      <c r="N591" s="52"/>
      <c r="O591" s="52"/>
      <c r="S591" s="53"/>
    </row>
    <row r="592" spans="1:19" s="2" customFormat="1" ht="16.5" customHeight="1" x14ac:dyDescent="0.35">
      <c r="A592" s="85" t="s">
        <v>71</v>
      </c>
      <c r="B592" s="86" t="s">
        <v>560</v>
      </c>
      <c r="C592" s="87"/>
      <c r="D592" s="88" t="s">
        <v>757</v>
      </c>
      <c r="E592" s="43">
        <v>1392000</v>
      </c>
      <c r="F592" s="44">
        <f t="shared" si="31"/>
        <v>111360</v>
      </c>
      <c r="G592" s="45">
        <f t="shared" si="30"/>
        <v>1503360</v>
      </c>
      <c r="H592" s="46">
        <v>1503360</v>
      </c>
      <c r="I592" s="47">
        <f t="shared" si="32"/>
        <v>0</v>
      </c>
      <c r="J592" s="48">
        <v>44797</v>
      </c>
      <c r="K592" s="49">
        <v>44880</v>
      </c>
      <c r="L592" s="50">
        <v>4141544069</v>
      </c>
      <c r="M592" s="51"/>
      <c r="N592" s="52"/>
      <c r="O592" s="52"/>
      <c r="S592" s="53"/>
    </row>
    <row r="593" spans="1:19" s="2" customFormat="1" ht="16.5" customHeight="1" x14ac:dyDescent="0.35">
      <c r="A593" s="85" t="s">
        <v>71</v>
      </c>
      <c r="B593" s="86" t="s">
        <v>758</v>
      </c>
      <c r="C593" s="87"/>
      <c r="D593" s="88" t="s">
        <v>757</v>
      </c>
      <c r="E593" s="43">
        <v>520000</v>
      </c>
      <c r="F593" s="44">
        <f t="shared" si="31"/>
        <v>41600</v>
      </c>
      <c r="G593" s="45">
        <f t="shared" si="30"/>
        <v>561600</v>
      </c>
      <c r="H593" s="46">
        <v>561600</v>
      </c>
      <c r="I593" s="47">
        <f t="shared" si="32"/>
        <v>0</v>
      </c>
      <c r="J593" s="48">
        <v>44797</v>
      </c>
      <c r="K593" s="49">
        <v>44880</v>
      </c>
      <c r="L593" s="50">
        <v>4141515563</v>
      </c>
      <c r="M593" s="51"/>
      <c r="N593" s="52"/>
      <c r="O593" s="52"/>
      <c r="S593" s="53"/>
    </row>
    <row r="594" spans="1:19" s="2" customFormat="1" ht="16.5" customHeight="1" x14ac:dyDescent="0.35">
      <c r="A594" s="85" t="s">
        <v>71</v>
      </c>
      <c r="B594" s="86" t="s">
        <v>759</v>
      </c>
      <c r="C594" s="87"/>
      <c r="D594" s="88" t="s">
        <v>757</v>
      </c>
      <c r="E594" s="43">
        <v>520000</v>
      </c>
      <c r="F594" s="44">
        <f t="shared" si="31"/>
        <v>41600</v>
      </c>
      <c r="G594" s="45">
        <f t="shared" si="30"/>
        <v>561600</v>
      </c>
      <c r="H594" s="46">
        <v>561600</v>
      </c>
      <c r="I594" s="47">
        <f t="shared" si="32"/>
        <v>0</v>
      </c>
      <c r="J594" s="48">
        <v>44797</v>
      </c>
      <c r="K594" s="49">
        <v>44880</v>
      </c>
      <c r="L594" s="50">
        <v>4141521462</v>
      </c>
      <c r="M594" s="51"/>
      <c r="N594" s="52"/>
      <c r="O594" s="52"/>
      <c r="S594" s="53"/>
    </row>
    <row r="595" spans="1:19" s="2" customFormat="1" ht="16.5" customHeight="1" x14ac:dyDescent="0.35">
      <c r="A595" s="85" t="s">
        <v>71</v>
      </c>
      <c r="B595" s="86" t="s">
        <v>760</v>
      </c>
      <c r="C595" s="87"/>
      <c r="D595" s="88" t="s">
        <v>757</v>
      </c>
      <c r="E595" s="43">
        <v>1620000</v>
      </c>
      <c r="F595" s="44">
        <f t="shared" si="31"/>
        <v>129600</v>
      </c>
      <c r="G595" s="45">
        <f t="shared" si="30"/>
        <v>1749600</v>
      </c>
      <c r="H595" s="46">
        <v>1749600</v>
      </c>
      <c r="I595" s="47">
        <f t="shared" si="32"/>
        <v>0</v>
      </c>
      <c r="J595" s="48">
        <v>44797</v>
      </c>
      <c r="K595" s="49">
        <v>44880</v>
      </c>
      <c r="L595" s="50">
        <v>4141548642</v>
      </c>
      <c r="M595" s="51"/>
      <c r="N595" s="52"/>
      <c r="O595" s="52"/>
      <c r="S595" s="53"/>
    </row>
    <row r="596" spans="1:19" s="2" customFormat="1" ht="16.5" customHeight="1" x14ac:dyDescent="0.35">
      <c r="A596" s="85" t="s">
        <v>77</v>
      </c>
      <c r="B596" s="86" t="s">
        <v>761</v>
      </c>
      <c r="C596" s="87">
        <v>2597</v>
      </c>
      <c r="D596" s="88">
        <v>45188</v>
      </c>
      <c r="E596" s="43">
        <v>10160000</v>
      </c>
      <c r="F596" s="44">
        <f t="shared" si="31"/>
        <v>812800</v>
      </c>
      <c r="G596" s="45">
        <f t="shared" si="30"/>
        <v>10972800</v>
      </c>
      <c r="H596" s="46">
        <v>10972800</v>
      </c>
      <c r="I596" s="47">
        <f t="shared" si="32"/>
        <v>0</v>
      </c>
      <c r="J596" s="48">
        <v>45188</v>
      </c>
      <c r="K596" s="49">
        <v>45275</v>
      </c>
      <c r="L596" s="50">
        <v>4153072099</v>
      </c>
      <c r="M596" s="51" t="s">
        <v>762</v>
      </c>
      <c r="N596" s="50">
        <v>4151619612</v>
      </c>
      <c r="O596" s="52"/>
      <c r="S596" s="53"/>
    </row>
    <row r="597" spans="1:19" s="2" customFormat="1" ht="16.5" customHeight="1" x14ac:dyDescent="0.35">
      <c r="A597" s="85" t="s">
        <v>71</v>
      </c>
      <c r="B597" s="86" t="s">
        <v>763</v>
      </c>
      <c r="C597" s="87"/>
      <c r="D597" s="88" t="s">
        <v>254</v>
      </c>
      <c r="E597" s="43">
        <v>520000</v>
      </c>
      <c r="F597" s="44">
        <f t="shared" si="31"/>
        <v>41600</v>
      </c>
      <c r="G597" s="45">
        <f t="shared" si="30"/>
        <v>561600</v>
      </c>
      <c r="H597" s="46">
        <v>561600</v>
      </c>
      <c r="I597" s="47">
        <f t="shared" si="32"/>
        <v>0</v>
      </c>
      <c r="J597" s="48">
        <v>44797</v>
      </c>
      <c r="K597" s="49">
        <v>44880</v>
      </c>
      <c r="L597" s="50">
        <v>4141567087</v>
      </c>
      <c r="M597" s="51"/>
      <c r="N597" s="52"/>
      <c r="O597" s="52"/>
      <c r="S597" s="53"/>
    </row>
    <row r="598" spans="1:19" s="2" customFormat="1" ht="16.5" customHeight="1" x14ac:dyDescent="0.35">
      <c r="A598" s="85" t="s">
        <v>71</v>
      </c>
      <c r="B598" s="86" t="s">
        <v>764</v>
      </c>
      <c r="C598" s="87"/>
      <c r="D598" s="88" t="s">
        <v>254</v>
      </c>
      <c r="E598" s="43">
        <v>624000</v>
      </c>
      <c r="F598" s="44">
        <f t="shared" si="31"/>
        <v>49920</v>
      </c>
      <c r="G598" s="45">
        <f t="shared" si="30"/>
        <v>673920</v>
      </c>
      <c r="H598" s="46">
        <v>673920</v>
      </c>
      <c r="I598" s="47">
        <f t="shared" si="32"/>
        <v>0</v>
      </c>
      <c r="J598" s="48">
        <v>44797</v>
      </c>
      <c r="K598" s="49">
        <v>44880</v>
      </c>
      <c r="L598" s="50">
        <v>4141565689</v>
      </c>
      <c r="M598" s="51"/>
      <c r="N598" s="52"/>
      <c r="O598" s="52"/>
      <c r="S598" s="53"/>
    </row>
    <row r="599" spans="1:19" s="2" customFormat="1" ht="16.5" customHeight="1" x14ac:dyDescent="0.35">
      <c r="A599" s="85" t="s">
        <v>37</v>
      </c>
      <c r="B599" s="86" t="s">
        <v>765</v>
      </c>
      <c r="C599" s="87">
        <v>1135</v>
      </c>
      <c r="D599" s="88" t="s">
        <v>677</v>
      </c>
      <c r="E599" s="43">
        <v>442000</v>
      </c>
      <c r="F599" s="44">
        <f t="shared" si="31"/>
        <v>35360</v>
      </c>
      <c r="G599" s="45">
        <f t="shared" ref="G599:G662" si="33">E599+F599</f>
        <v>477360</v>
      </c>
      <c r="H599" s="46">
        <v>477360</v>
      </c>
      <c r="I599" s="47">
        <f t="shared" si="32"/>
        <v>0</v>
      </c>
      <c r="J599" s="48">
        <v>44797</v>
      </c>
      <c r="K599" s="49">
        <v>44890</v>
      </c>
      <c r="L599" s="50">
        <v>4900852037</v>
      </c>
      <c r="M599" s="51"/>
      <c r="N599" s="52"/>
      <c r="O599" s="52"/>
      <c r="S599" s="53"/>
    </row>
    <row r="600" spans="1:19" s="2" customFormat="1" ht="16.5" customHeight="1" x14ac:dyDescent="0.35">
      <c r="A600" s="85" t="s">
        <v>37</v>
      </c>
      <c r="B600" s="86" t="s">
        <v>766</v>
      </c>
      <c r="C600" s="87"/>
      <c r="D600" s="88" t="s">
        <v>767</v>
      </c>
      <c r="E600" s="43">
        <v>3525000</v>
      </c>
      <c r="F600" s="44">
        <f t="shared" si="31"/>
        <v>282000</v>
      </c>
      <c r="G600" s="45">
        <f t="shared" si="33"/>
        <v>3807000</v>
      </c>
      <c r="H600" s="46">
        <v>3807000</v>
      </c>
      <c r="I600" s="47">
        <f t="shared" si="32"/>
        <v>0</v>
      </c>
      <c r="J600" s="48">
        <v>44797</v>
      </c>
      <c r="K600" s="49">
        <v>44880</v>
      </c>
      <c r="L600" s="50">
        <v>4900852006</v>
      </c>
      <c r="M600" s="51"/>
      <c r="N600" s="52"/>
      <c r="O600" s="52"/>
      <c r="S600" s="53"/>
    </row>
    <row r="601" spans="1:19" s="2" customFormat="1" ht="16.5" customHeight="1" x14ac:dyDescent="0.35">
      <c r="A601" s="85" t="s">
        <v>37</v>
      </c>
      <c r="B601" s="86" t="s">
        <v>768</v>
      </c>
      <c r="C601" s="87"/>
      <c r="D601" s="88" t="s">
        <v>263</v>
      </c>
      <c r="E601" s="43">
        <v>9600000</v>
      </c>
      <c r="F601" s="44">
        <f t="shared" si="31"/>
        <v>768000</v>
      </c>
      <c r="G601" s="45">
        <f t="shared" si="33"/>
        <v>10368000</v>
      </c>
      <c r="H601" s="46">
        <v>10368000</v>
      </c>
      <c r="I601" s="47">
        <f t="shared" si="32"/>
        <v>0</v>
      </c>
      <c r="J601" s="48">
        <v>44797</v>
      </c>
      <c r="K601" s="49">
        <v>44880</v>
      </c>
      <c r="L601" s="50">
        <v>4900852465</v>
      </c>
      <c r="M601" s="51"/>
      <c r="N601" s="52"/>
      <c r="O601" s="52"/>
      <c r="S601" s="53"/>
    </row>
    <row r="602" spans="1:19" s="2" customFormat="1" ht="16.5" customHeight="1" x14ac:dyDescent="0.35">
      <c r="A602" s="85" t="s">
        <v>71</v>
      </c>
      <c r="B602" s="86" t="s">
        <v>769</v>
      </c>
      <c r="C602" s="87"/>
      <c r="D602" s="88" t="s">
        <v>265</v>
      </c>
      <c r="E602" s="43">
        <v>900000</v>
      </c>
      <c r="F602" s="44">
        <f t="shared" si="31"/>
        <v>72000</v>
      </c>
      <c r="G602" s="45">
        <f t="shared" si="33"/>
        <v>972000</v>
      </c>
      <c r="H602" s="46">
        <v>972000</v>
      </c>
      <c r="I602" s="47">
        <f t="shared" si="32"/>
        <v>0</v>
      </c>
      <c r="J602" s="48">
        <v>44797</v>
      </c>
      <c r="K602" s="49">
        <v>44880</v>
      </c>
      <c r="L602" s="50">
        <v>4141719843</v>
      </c>
      <c r="M602" s="51"/>
      <c r="N602" s="52"/>
      <c r="O602" s="52"/>
      <c r="S602" s="53"/>
    </row>
    <row r="603" spans="1:19" s="2" customFormat="1" ht="16.5" customHeight="1" x14ac:dyDescent="0.35">
      <c r="A603" s="85" t="s">
        <v>186</v>
      </c>
      <c r="B603" s="86" t="s">
        <v>770</v>
      </c>
      <c r="C603" s="87"/>
      <c r="D603" s="88" t="s">
        <v>265</v>
      </c>
      <c r="E603" s="43">
        <v>624000</v>
      </c>
      <c r="F603" s="44">
        <f t="shared" si="31"/>
        <v>49920</v>
      </c>
      <c r="G603" s="45">
        <f t="shared" si="33"/>
        <v>673920</v>
      </c>
      <c r="H603" s="46">
        <v>673920</v>
      </c>
      <c r="I603" s="47">
        <f t="shared" si="32"/>
        <v>0</v>
      </c>
      <c r="J603" s="48">
        <v>44797</v>
      </c>
      <c r="K603" s="49">
        <v>44880</v>
      </c>
      <c r="L603" s="50">
        <v>4141704802</v>
      </c>
      <c r="M603" s="51"/>
      <c r="N603" s="52"/>
      <c r="O603" s="52"/>
      <c r="S603" s="53"/>
    </row>
    <row r="604" spans="1:19" s="2" customFormat="1" ht="16.5" customHeight="1" x14ac:dyDescent="0.35">
      <c r="A604" s="85" t="s">
        <v>71</v>
      </c>
      <c r="B604" s="86" t="s">
        <v>771</v>
      </c>
      <c r="C604" s="87"/>
      <c r="D604" s="88" t="s">
        <v>265</v>
      </c>
      <c r="E604" s="43">
        <v>2288000</v>
      </c>
      <c r="F604" s="44">
        <f t="shared" si="31"/>
        <v>183040</v>
      </c>
      <c r="G604" s="45">
        <f t="shared" si="33"/>
        <v>2471040</v>
      </c>
      <c r="H604" s="46">
        <v>2471040</v>
      </c>
      <c r="I604" s="47">
        <f t="shared" si="32"/>
        <v>0</v>
      </c>
      <c r="J604" s="48">
        <v>44797</v>
      </c>
      <c r="K604" s="49">
        <v>44880</v>
      </c>
      <c r="L604" s="50">
        <v>4141749569</v>
      </c>
      <c r="M604" s="51"/>
      <c r="N604" s="52"/>
      <c r="O604" s="52"/>
      <c r="S604" s="53"/>
    </row>
    <row r="605" spans="1:19" s="2" customFormat="1" ht="16.5" customHeight="1" x14ac:dyDescent="0.35">
      <c r="A605" s="85" t="s">
        <v>135</v>
      </c>
      <c r="B605" s="86" t="s">
        <v>772</v>
      </c>
      <c r="C605" s="87"/>
      <c r="D605" s="88" t="s">
        <v>265</v>
      </c>
      <c r="E605" s="43">
        <v>1104000</v>
      </c>
      <c r="F605" s="44">
        <f t="shared" si="31"/>
        <v>88320</v>
      </c>
      <c r="G605" s="45">
        <f t="shared" si="33"/>
        <v>1192320</v>
      </c>
      <c r="H605" s="46">
        <v>1192320</v>
      </c>
      <c r="I605" s="47">
        <f t="shared" si="32"/>
        <v>0</v>
      </c>
      <c r="J605" s="48">
        <v>44797</v>
      </c>
      <c r="K605" s="49">
        <v>44880</v>
      </c>
      <c r="L605" s="50">
        <v>4141745377</v>
      </c>
      <c r="M605" s="51"/>
      <c r="N605" s="52"/>
      <c r="O605" s="52"/>
      <c r="S605" s="53"/>
    </row>
    <row r="606" spans="1:19" s="2" customFormat="1" ht="16.5" customHeight="1" x14ac:dyDescent="0.35">
      <c r="A606" s="85" t="s">
        <v>29</v>
      </c>
      <c r="B606" s="86" t="s">
        <v>773</v>
      </c>
      <c r="C606" s="87"/>
      <c r="D606" s="88" t="s">
        <v>774</v>
      </c>
      <c r="E606" s="43">
        <v>10818000</v>
      </c>
      <c r="F606" s="44">
        <f t="shared" si="31"/>
        <v>865440</v>
      </c>
      <c r="G606" s="45">
        <f t="shared" si="33"/>
        <v>11683440</v>
      </c>
      <c r="H606" s="46">
        <v>11683440</v>
      </c>
      <c r="I606" s="47">
        <f t="shared" si="32"/>
        <v>0</v>
      </c>
      <c r="J606" s="48">
        <v>44782</v>
      </c>
      <c r="K606" s="49">
        <v>44859</v>
      </c>
      <c r="L606" s="50">
        <v>4900840047</v>
      </c>
      <c r="M606" s="51"/>
      <c r="N606" s="52"/>
      <c r="O606" s="52"/>
      <c r="S606" s="53"/>
    </row>
    <row r="607" spans="1:19" s="2" customFormat="1" ht="16.5" customHeight="1" x14ac:dyDescent="0.35">
      <c r="A607" s="85" t="s">
        <v>171</v>
      </c>
      <c r="B607" s="86" t="s">
        <v>775</v>
      </c>
      <c r="C607" s="87">
        <v>2182</v>
      </c>
      <c r="D607" s="88">
        <v>45148</v>
      </c>
      <c r="E607" s="43">
        <v>1920000</v>
      </c>
      <c r="F607" s="44">
        <f t="shared" si="31"/>
        <v>153600</v>
      </c>
      <c r="G607" s="45">
        <f t="shared" si="33"/>
        <v>2073600</v>
      </c>
      <c r="H607" s="46">
        <v>2073600</v>
      </c>
      <c r="I607" s="47">
        <f t="shared" si="32"/>
        <v>0</v>
      </c>
      <c r="J607" s="48">
        <v>45166</v>
      </c>
      <c r="K607" s="49">
        <v>45245</v>
      </c>
      <c r="L607" s="50">
        <v>4152251162</v>
      </c>
      <c r="M607" s="51" t="s">
        <v>776</v>
      </c>
      <c r="N607" s="53">
        <v>4151997561</v>
      </c>
      <c r="O607" s="52"/>
      <c r="S607" s="53"/>
    </row>
    <row r="608" spans="1:19" s="2" customFormat="1" ht="16.5" customHeight="1" x14ac:dyDescent="0.35">
      <c r="A608" s="85" t="s">
        <v>683</v>
      </c>
      <c r="B608" s="86" t="s">
        <v>571</v>
      </c>
      <c r="C608" s="87"/>
      <c r="D608" s="88" t="s">
        <v>777</v>
      </c>
      <c r="E608" s="43">
        <v>4320000</v>
      </c>
      <c r="F608" s="44">
        <f t="shared" si="31"/>
        <v>345600</v>
      </c>
      <c r="G608" s="45">
        <f t="shared" si="33"/>
        <v>4665600</v>
      </c>
      <c r="H608" s="46">
        <v>4665600</v>
      </c>
      <c r="I608" s="47">
        <f t="shared" si="32"/>
        <v>0</v>
      </c>
      <c r="J608" s="48">
        <v>44782</v>
      </c>
      <c r="K608" s="49">
        <v>44859</v>
      </c>
      <c r="L608" s="50">
        <v>4140588512</v>
      </c>
      <c r="M608" s="51"/>
      <c r="N608" s="52"/>
      <c r="O608" s="52"/>
      <c r="S608" s="53"/>
    </row>
    <row r="609" spans="1:19" s="2" customFormat="1" ht="16.5" customHeight="1" x14ac:dyDescent="0.35">
      <c r="A609" s="85" t="s">
        <v>71</v>
      </c>
      <c r="B609" s="86" t="s">
        <v>778</v>
      </c>
      <c r="C609" s="87"/>
      <c r="D609" s="88" t="s">
        <v>777</v>
      </c>
      <c r="E609" s="43">
        <v>1170400</v>
      </c>
      <c r="F609" s="44">
        <f t="shared" si="31"/>
        <v>93632</v>
      </c>
      <c r="G609" s="45">
        <f t="shared" si="33"/>
        <v>1264032</v>
      </c>
      <c r="H609" s="46">
        <v>1264032</v>
      </c>
      <c r="I609" s="47">
        <f t="shared" si="32"/>
        <v>0</v>
      </c>
      <c r="J609" s="48">
        <v>44782</v>
      </c>
      <c r="K609" s="49">
        <v>44859</v>
      </c>
      <c r="L609" s="50">
        <v>4140613505</v>
      </c>
      <c r="M609" s="51"/>
      <c r="N609" s="52"/>
      <c r="O609" s="52"/>
      <c r="S609" s="53"/>
    </row>
    <row r="610" spans="1:19" s="2" customFormat="1" ht="16.5" customHeight="1" x14ac:dyDescent="0.35">
      <c r="A610" s="85" t="s">
        <v>71</v>
      </c>
      <c r="B610" s="86" t="s">
        <v>779</v>
      </c>
      <c r="C610" s="87"/>
      <c r="D610" s="88" t="s">
        <v>777</v>
      </c>
      <c r="E610" s="43">
        <v>442000</v>
      </c>
      <c r="F610" s="44">
        <f t="shared" si="31"/>
        <v>35360</v>
      </c>
      <c r="G610" s="45">
        <f t="shared" si="33"/>
        <v>477360</v>
      </c>
      <c r="H610" s="46">
        <v>477360</v>
      </c>
      <c r="I610" s="47">
        <f t="shared" si="32"/>
        <v>0</v>
      </c>
      <c r="J610" s="48">
        <v>44782</v>
      </c>
      <c r="K610" s="49">
        <v>44859</v>
      </c>
      <c r="L610" s="50">
        <v>4140624150</v>
      </c>
      <c r="M610" s="51"/>
      <c r="N610" s="52"/>
      <c r="O610" s="52"/>
      <c r="S610" s="53"/>
    </row>
    <row r="611" spans="1:19" s="2" customFormat="1" ht="16.5" customHeight="1" x14ac:dyDescent="0.35">
      <c r="A611" s="85" t="s">
        <v>33</v>
      </c>
      <c r="B611" s="86" t="s">
        <v>780</v>
      </c>
      <c r="C611" s="87"/>
      <c r="D611" s="88" t="s">
        <v>777</v>
      </c>
      <c r="E611" s="43">
        <v>3090400</v>
      </c>
      <c r="F611" s="44">
        <f t="shared" si="31"/>
        <v>247232</v>
      </c>
      <c r="G611" s="45">
        <f t="shared" si="33"/>
        <v>3337632</v>
      </c>
      <c r="H611" s="46">
        <v>3337632</v>
      </c>
      <c r="I611" s="47">
        <f t="shared" si="32"/>
        <v>0</v>
      </c>
      <c r="J611" s="48">
        <v>44782</v>
      </c>
      <c r="K611" s="49">
        <v>44859</v>
      </c>
      <c r="L611" s="50">
        <v>4900840677</v>
      </c>
      <c r="M611" s="51"/>
      <c r="N611" s="52"/>
      <c r="O611" s="52"/>
      <c r="S611" s="53"/>
    </row>
    <row r="612" spans="1:19" s="2" customFormat="1" ht="16.5" customHeight="1" x14ac:dyDescent="0.35">
      <c r="A612" s="85" t="s">
        <v>29</v>
      </c>
      <c r="B612" s="86" t="s">
        <v>781</v>
      </c>
      <c r="C612" s="87"/>
      <c r="D612" s="88" t="s">
        <v>777</v>
      </c>
      <c r="E612" s="43">
        <v>6985200</v>
      </c>
      <c r="F612" s="44">
        <f t="shared" si="31"/>
        <v>558816</v>
      </c>
      <c r="G612" s="45">
        <f t="shared" si="33"/>
        <v>7544016</v>
      </c>
      <c r="H612" s="46">
        <v>7544016</v>
      </c>
      <c r="I612" s="47">
        <f t="shared" si="32"/>
        <v>0</v>
      </c>
      <c r="J612" s="48">
        <v>44782</v>
      </c>
      <c r="K612" s="49">
        <v>44859</v>
      </c>
      <c r="L612" s="50">
        <v>4900840936</v>
      </c>
      <c r="M612" s="51"/>
      <c r="N612" s="52"/>
      <c r="O612" s="52"/>
      <c r="S612" s="53"/>
    </row>
    <row r="613" spans="1:19" s="2" customFormat="1" ht="16.5" customHeight="1" x14ac:dyDescent="0.35">
      <c r="A613" s="85" t="s">
        <v>71</v>
      </c>
      <c r="B613" s="86" t="s">
        <v>782</v>
      </c>
      <c r="C613" s="87"/>
      <c r="D613" s="88" t="s">
        <v>783</v>
      </c>
      <c r="E613" s="43">
        <v>442000</v>
      </c>
      <c r="F613" s="44">
        <f t="shared" si="31"/>
        <v>35360</v>
      </c>
      <c r="G613" s="45">
        <f t="shared" si="33"/>
        <v>477360</v>
      </c>
      <c r="H613" s="46">
        <v>477360</v>
      </c>
      <c r="I613" s="47">
        <f t="shared" si="32"/>
        <v>0</v>
      </c>
      <c r="J613" s="48">
        <v>44782</v>
      </c>
      <c r="K613" s="49">
        <v>44859</v>
      </c>
      <c r="L613" s="50">
        <v>4140630152</v>
      </c>
      <c r="M613" s="51"/>
      <c r="N613" s="52"/>
      <c r="O613" s="52"/>
      <c r="S613" s="53"/>
    </row>
    <row r="614" spans="1:19" s="2" customFormat="1" ht="16.5" customHeight="1" x14ac:dyDescent="0.35">
      <c r="A614" s="85" t="s">
        <v>81</v>
      </c>
      <c r="B614" s="86" t="s">
        <v>784</v>
      </c>
      <c r="C614" s="87"/>
      <c r="D614" s="88" t="s">
        <v>783</v>
      </c>
      <c r="E614" s="43">
        <v>2066400</v>
      </c>
      <c r="F614" s="44">
        <f t="shared" si="31"/>
        <v>165312</v>
      </c>
      <c r="G614" s="45">
        <f t="shared" si="33"/>
        <v>2231712</v>
      </c>
      <c r="H614" s="46">
        <v>2231712</v>
      </c>
      <c r="I614" s="47">
        <f t="shared" si="32"/>
        <v>0</v>
      </c>
      <c r="J614" s="48">
        <v>44782</v>
      </c>
      <c r="K614" s="49">
        <v>44859</v>
      </c>
      <c r="L614" s="50">
        <v>4140662229</v>
      </c>
      <c r="M614" s="51"/>
      <c r="N614" s="52"/>
      <c r="O614" s="52"/>
      <c r="S614" s="53"/>
    </row>
    <row r="615" spans="1:19" s="2" customFormat="1" ht="16.5" customHeight="1" x14ac:dyDescent="0.35">
      <c r="A615" s="85" t="s">
        <v>29</v>
      </c>
      <c r="B615" s="86" t="s">
        <v>785</v>
      </c>
      <c r="C615" s="87"/>
      <c r="D615" s="88" t="s">
        <v>786</v>
      </c>
      <c r="E615" s="43">
        <v>2770400</v>
      </c>
      <c r="F615" s="44">
        <f t="shared" si="31"/>
        <v>221632</v>
      </c>
      <c r="G615" s="45">
        <f t="shared" si="33"/>
        <v>2992032</v>
      </c>
      <c r="H615" s="46">
        <v>2992032</v>
      </c>
      <c r="I615" s="47">
        <f t="shared" si="32"/>
        <v>0</v>
      </c>
      <c r="J615" s="48">
        <v>44782</v>
      </c>
      <c r="K615" s="49">
        <v>44859</v>
      </c>
      <c r="L615" s="50">
        <v>4900841704</v>
      </c>
      <c r="M615" s="51"/>
      <c r="N615" s="52"/>
      <c r="O615" s="52"/>
      <c r="S615" s="53"/>
    </row>
    <row r="616" spans="1:19" s="2" customFormat="1" ht="16.5" customHeight="1" x14ac:dyDescent="0.35">
      <c r="A616" s="85" t="s">
        <v>727</v>
      </c>
      <c r="B616" s="86" t="s">
        <v>787</v>
      </c>
      <c r="C616" s="87"/>
      <c r="D616" s="88" t="s">
        <v>786</v>
      </c>
      <c r="E616" s="43">
        <v>6200000</v>
      </c>
      <c r="F616" s="44">
        <f t="shared" si="31"/>
        <v>496000</v>
      </c>
      <c r="G616" s="45">
        <f t="shared" si="33"/>
        <v>6696000</v>
      </c>
      <c r="H616" s="46">
        <v>6696000</v>
      </c>
      <c r="I616" s="47">
        <f t="shared" si="32"/>
        <v>0</v>
      </c>
      <c r="J616" s="48">
        <v>44782</v>
      </c>
      <c r="K616" s="49">
        <v>44859</v>
      </c>
      <c r="L616" s="50">
        <v>4140674445</v>
      </c>
      <c r="M616" s="51"/>
      <c r="N616" s="52"/>
      <c r="O616" s="52"/>
      <c r="S616" s="53"/>
    </row>
    <row r="617" spans="1:19" s="2" customFormat="1" ht="16.5" customHeight="1" x14ac:dyDescent="0.35">
      <c r="A617" s="85" t="s">
        <v>33</v>
      </c>
      <c r="B617" s="86" t="s">
        <v>788</v>
      </c>
      <c r="C617" s="87"/>
      <c r="D617" s="88" t="s">
        <v>789</v>
      </c>
      <c r="E617" s="43">
        <v>1920000</v>
      </c>
      <c r="F617" s="44">
        <f t="shared" si="31"/>
        <v>153600</v>
      </c>
      <c r="G617" s="45">
        <f t="shared" si="33"/>
        <v>2073600</v>
      </c>
      <c r="H617" s="46">
        <v>2073600</v>
      </c>
      <c r="I617" s="47">
        <f t="shared" si="32"/>
        <v>0</v>
      </c>
      <c r="J617" s="48">
        <v>44782</v>
      </c>
      <c r="K617" s="49">
        <v>44859</v>
      </c>
      <c r="L617" s="50">
        <v>4900842644</v>
      </c>
      <c r="M617" s="51"/>
      <c r="N617" s="52"/>
      <c r="O617" s="52"/>
      <c r="S617" s="53"/>
    </row>
    <row r="618" spans="1:19" s="2" customFormat="1" ht="16.5" customHeight="1" x14ac:dyDescent="0.35">
      <c r="A618" s="85" t="s">
        <v>29</v>
      </c>
      <c r="B618" s="86" t="s">
        <v>790</v>
      </c>
      <c r="C618" s="87"/>
      <c r="D618" s="88" t="s">
        <v>789</v>
      </c>
      <c r="E618" s="43">
        <v>4072500</v>
      </c>
      <c r="F618" s="44">
        <f t="shared" si="31"/>
        <v>325800</v>
      </c>
      <c r="G618" s="45">
        <f t="shared" si="33"/>
        <v>4398300</v>
      </c>
      <c r="H618" s="46">
        <v>4398300</v>
      </c>
      <c r="I618" s="47">
        <f t="shared" si="32"/>
        <v>0</v>
      </c>
      <c r="J618" s="48">
        <v>44782</v>
      </c>
      <c r="K618" s="49">
        <v>44859</v>
      </c>
      <c r="L618" s="50">
        <v>4900842675</v>
      </c>
      <c r="M618" s="51"/>
      <c r="N618" s="52"/>
      <c r="O618" s="52"/>
      <c r="S618" s="53"/>
    </row>
    <row r="619" spans="1:19" s="2" customFormat="1" ht="16.5" customHeight="1" x14ac:dyDescent="0.35">
      <c r="A619" s="85" t="s">
        <v>37</v>
      </c>
      <c r="B619" s="86" t="s">
        <v>791</v>
      </c>
      <c r="C619" s="87"/>
      <c r="D619" s="88" t="s">
        <v>789</v>
      </c>
      <c r="E619" s="43">
        <v>884000</v>
      </c>
      <c r="F619" s="44">
        <f t="shared" si="31"/>
        <v>70720</v>
      </c>
      <c r="G619" s="45">
        <f t="shared" si="33"/>
        <v>954720</v>
      </c>
      <c r="H619" s="46">
        <v>954720</v>
      </c>
      <c r="I619" s="47">
        <f t="shared" si="32"/>
        <v>0</v>
      </c>
      <c r="J619" s="48">
        <v>44782</v>
      </c>
      <c r="K619" s="49">
        <v>44859</v>
      </c>
      <c r="L619" s="50">
        <v>4900842181</v>
      </c>
      <c r="M619" s="51"/>
      <c r="N619" s="52"/>
      <c r="O619" s="52"/>
      <c r="S619" s="53"/>
    </row>
    <row r="620" spans="1:19" s="2" customFormat="1" ht="16.5" customHeight="1" x14ac:dyDescent="0.35">
      <c r="A620" s="85" t="s">
        <v>71</v>
      </c>
      <c r="B620" s="86" t="s">
        <v>792</v>
      </c>
      <c r="C620" s="87"/>
      <c r="D620" s="88" t="s">
        <v>789</v>
      </c>
      <c r="E620" s="43">
        <v>400000</v>
      </c>
      <c r="F620" s="44">
        <f t="shared" si="31"/>
        <v>32000</v>
      </c>
      <c r="G620" s="45">
        <f t="shared" si="33"/>
        <v>432000</v>
      </c>
      <c r="H620" s="46">
        <v>432000</v>
      </c>
      <c r="I620" s="47">
        <f t="shared" si="32"/>
        <v>0</v>
      </c>
      <c r="J620" s="48">
        <v>44782</v>
      </c>
      <c r="K620" s="49">
        <v>44859</v>
      </c>
      <c r="L620" s="50">
        <v>4140750314</v>
      </c>
      <c r="M620" s="51"/>
      <c r="N620" s="52"/>
      <c r="O620" s="52"/>
      <c r="S620" s="53"/>
    </row>
    <row r="621" spans="1:19" s="2" customFormat="1" ht="16.5" customHeight="1" x14ac:dyDescent="0.35">
      <c r="A621" s="85" t="s">
        <v>29</v>
      </c>
      <c r="B621" s="86" t="s">
        <v>793</v>
      </c>
      <c r="C621" s="87"/>
      <c r="D621" s="88" t="s">
        <v>789</v>
      </c>
      <c r="E621" s="43">
        <v>2523600</v>
      </c>
      <c r="F621" s="44">
        <f t="shared" si="31"/>
        <v>201888</v>
      </c>
      <c r="G621" s="45">
        <f t="shared" si="33"/>
        <v>2725488</v>
      </c>
      <c r="H621" s="46">
        <v>2725488</v>
      </c>
      <c r="I621" s="47">
        <f t="shared" si="32"/>
        <v>0</v>
      </c>
      <c r="J621" s="48">
        <v>44782</v>
      </c>
      <c r="K621" s="49">
        <v>44859</v>
      </c>
      <c r="L621" s="50">
        <v>4900842587</v>
      </c>
      <c r="M621" s="51"/>
      <c r="N621" s="52"/>
      <c r="O621" s="52"/>
      <c r="S621" s="53"/>
    </row>
    <row r="622" spans="1:19" s="2" customFormat="1" ht="16.5" customHeight="1" x14ac:dyDescent="0.35">
      <c r="A622" s="85" t="s">
        <v>683</v>
      </c>
      <c r="B622" s="86" t="s">
        <v>794</v>
      </c>
      <c r="C622" s="87"/>
      <c r="D622" s="88" t="s">
        <v>789</v>
      </c>
      <c r="E622" s="43">
        <v>3044000</v>
      </c>
      <c r="F622" s="44">
        <f t="shared" si="31"/>
        <v>243520</v>
      </c>
      <c r="G622" s="45">
        <f t="shared" si="33"/>
        <v>3287520</v>
      </c>
      <c r="H622" s="46">
        <v>3287520</v>
      </c>
      <c r="I622" s="47">
        <f t="shared" si="32"/>
        <v>0</v>
      </c>
      <c r="J622" s="48">
        <v>44782</v>
      </c>
      <c r="K622" s="49">
        <v>44859</v>
      </c>
      <c r="L622" s="50">
        <v>4140792691</v>
      </c>
      <c r="M622" s="51"/>
      <c r="N622" s="52"/>
      <c r="O622" s="52"/>
      <c r="S622" s="53"/>
    </row>
    <row r="623" spans="1:19" s="2" customFormat="1" ht="16.5" customHeight="1" x14ac:dyDescent="0.35">
      <c r="A623" s="85" t="s">
        <v>81</v>
      </c>
      <c r="B623" s="86" t="s">
        <v>795</v>
      </c>
      <c r="C623" s="87"/>
      <c r="D623" s="88" t="s">
        <v>796</v>
      </c>
      <c r="E623" s="43">
        <v>3986400</v>
      </c>
      <c r="F623" s="44">
        <f t="shared" si="31"/>
        <v>318912</v>
      </c>
      <c r="G623" s="45">
        <f t="shared" si="33"/>
        <v>4305312</v>
      </c>
      <c r="H623" s="46">
        <v>4305312</v>
      </c>
      <c r="I623" s="47">
        <f t="shared" si="32"/>
        <v>0</v>
      </c>
      <c r="J623" s="48">
        <v>44782</v>
      </c>
      <c r="K623" s="49">
        <v>44859</v>
      </c>
      <c r="L623" s="50">
        <v>4140842794</v>
      </c>
      <c r="M623" s="51"/>
      <c r="N623" s="52"/>
      <c r="O623" s="52"/>
      <c r="S623" s="53"/>
    </row>
    <row r="624" spans="1:19" s="2" customFormat="1" ht="16.5" customHeight="1" x14ac:dyDescent="0.35">
      <c r="A624" s="85" t="s">
        <v>102</v>
      </c>
      <c r="B624" s="86" t="s">
        <v>797</v>
      </c>
      <c r="C624" s="87"/>
      <c r="D624" s="88" t="s">
        <v>796</v>
      </c>
      <c r="E624" s="43">
        <v>1920000</v>
      </c>
      <c r="F624" s="44">
        <f t="shared" si="31"/>
        <v>153600</v>
      </c>
      <c r="G624" s="45">
        <f t="shared" si="33"/>
        <v>2073600</v>
      </c>
      <c r="H624" s="46">
        <v>2073600</v>
      </c>
      <c r="I624" s="47">
        <f t="shared" si="32"/>
        <v>0</v>
      </c>
      <c r="J624" s="48">
        <v>44782</v>
      </c>
      <c r="K624" s="49">
        <v>44859</v>
      </c>
      <c r="L624" s="50">
        <v>4140806452</v>
      </c>
      <c r="M624" s="51"/>
      <c r="N624" s="52"/>
      <c r="O624" s="52"/>
      <c r="S624" s="53"/>
    </row>
    <row r="625" spans="1:19" s="2" customFormat="1" ht="16.5" customHeight="1" x14ac:dyDescent="0.35">
      <c r="A625" s="85" t="s">
        <v>29</v>
      </c>
      <c r="B625" s="86" t="s">
        <v>798</v>
      </c>
      <c r="C625" s="87"/>
      <c r="D625" s="88" t="s">
        <v>796</v>
      </c>
      <c r="E625" s="43">
        <v>1920000</v>
      </c>
      <c r="F625" s="44">
        <f t="shared" si="31"/>
        <v>153600</v>
      </c>
      <c r="G625" s="45">
        <f t="shared" si="33"/>
        <v>2073600</v>
      </c>
      <c r="H625" s="46">
        <v>2073600</v>
      </c>
      <c r="I625" s="47">
        <f t="shared" si="32"/>
        <v>0</v>
      </c>
      <c r="J625" s="48">
        <v>44782</v>
      </c>
      <c r="K625" s="49">
        <v>44859</v>
      </c>
      <c r="L625" s="50">
        <v>4900842956</v>
      </c>
      <c r="M625" s="51"/>
      <c r="N625" s="52"/>
      <c r="O625" s="52"/>
      <c r="S625" s="53"/>
    </row>
    <row r="626" spans="1:19" s="2" customFormat="1" ht="16.5" customHeight="1" x14ac:dyDescent="0.35">
      <c r="A626" s="85" t="s">
        <v>33</v>
      </c>
      <c r="B626" s="86" t="s">
        <v>799</v>
      </c>
      <c r="C626" s="87"/>
      <c r="D626" s="88" t="s">
        <v>796</v>
      </c>
      <c r="E626" s="43">
        <v>1768000</v>
      </c>
      <c r="F626" s="44">
        <f t="shared" si="31"/>
        <v>141440</v>
      </c>
      <c r="G626" s="45">
        <f t="shared" si="33"/>
        <v>1909440</v>
      </c>
      <c r="H626" s="46">
        <v>1909440</v>
      </c>
      <c r="I626" s="47">
        <f t="shared" si="32"/>
        <v>0</v>
      </c>
      <c r="J626" s="48">
        <v>44782</v>
      </c>
      <c r="K626" s="49">
        <v>44859</v>
      </c>
      <c r="L626" s="50">
        <v>4900843347</v>
      </c>
      <c r="M626" s="51"/>
      <c r="N626" s="52"/>
      <c r="O626" s="52"/>
      <c r="S626" s="53"/>
    </row>
    <row r="627" spans="1:19" s="2" customFormat="1" ht="16.5" customHeight="1" x14ac:dyDescent="0.35">
      <c r="A627" s="85" t="s">
        <v>123</v>
      </c>
      <c r="B627" s="86" t="s">
        <v>800</v>
      </c>
      <c r="C627" s="87"/>
      <c r="D627" s="88" t="s">
        <v>801</v>
      </c>
      <c r="E627" s="43">
        <v>2804000</v>
      </c>
      <c r="F627" s="44">
        <f t="shared" si="31"/>
        <v>224320</v>
      </c>
      <c r="G627" s="45">
        <f t="shared" si="33"/>
        <v>3028320</v>
      </c>
      <c r="H627" s="46">
        <v>3028320</v>
      </c>
      <c r="I627" s="47">
        <f t="shared" si="32"/>
        <v>0</v>
      </c>
      <c r="J627" s="48">
        <v>44782</v>
      </c>
      <c r="K627" s="49">
        <v>44859</v>
      </c>
      <c r="L627" s="50">
        <v>4140863081</v>
      </c>
      <c r="M627" s="51"/>
      <c r="N627" s="52"/>
      <c r="O627" s="52"/>
      <c r="S627" s="53"/>
    </row>
    <row r="628" spans="1:19" s="2" customFormat="1" ht="16.5" customHeight="1" x14ac:dyDescent="0.35">
      <c r="A628" s="85" t="s">
        <v>29</v>
      </c>
      <c r="B628" s="86" t="s">
        <v>802</v>
      </c>
      <c r="C628" s="87"/>
      <c r="D628" s="88" t="s">
        <v>801</v>
      </c>
      <c r="E628" s="43">
        <v>2185200</v>
      </c>
      <c r="F628" s="44">
        <f t="shared" si="31"/>
        <v>174816</v>
      </c>
      <c r="G628" s="45">
        <f t="shared" si="33"/>
        <v>2360016</v>
      </c>
      <c r="H628" s="46">
        <v>2360016</v>
      </c>
      <c r="I628" s="47">
        <f t="shared" si="32"/>
        <v>0</v>
      </c>
      <c r="J628" s="48">
        <v>44782</v>
      </c>
      <c r="K628" s="49">
        <v>44859</v>
      </c>
      <c r="L628" s="50">
        <v>4900843801</v>
      </c>
      <c r="M628" s="51"/>
      <c r="N628" s="52"/>
      <c r="O628" s="52"/>
      <c r="S628" s="53"/>
    </row>
    <row r="629" spans="1:19" s="2" customFormat="1" ht="16.5" customHeight="1" x14ac:dyDescent="0.35">
      <c r="A629" s="85" t="s">
        <v>339</v>
      </c>
      <c r="B629" s="86" t="s">
        <v>803</v>
      </c>
      <c r="C629" s="87"/>
      <c r="D629" s="88" t="s">
        <v>801</v>
      </c>
      <c r="E629" s="43">
        <v>1490400</v>
      </c>
      <c r="F629" s="44">
        <f t="shared" si="31"/>
        <v>119232</v>
      </c>
      <c r="G629" s="45">
        <f t="shared" si="33"/>
        <v>1609632</v>
      </c>
      <c r="H629" s="46">
        <v>1609632</v>
      </c>
      <c r="I629" s="47">
        <f t="shared" si="32"/>
        <v>0</v>
      </c>
      <c r="J629" s="48">
        <v>44782</v>
      </c>
      <c r="K629" s="49">
        <v>44859</v>
      </c>
      <c r="L629" s="50">
        <v>4140883272</v>
      </c>
      <c r="M629" s="51"/>
      <c r="N629" s="52"/>
      <c r="O629" s="52"/>
      <c r="S629" s="53"/>
    </row>
    <row r="630" spans="1:19" s="2" customFormat="1" ht="16.5" customHeight="1" x14ac:dyDescent="0.35">
      <c r="A630" s="85" t="s">
        <v>37</v>
      </c>
      <c r="B630" s="86" t="s">
        <v>804</v>
      </c>
      <c r="C630" s="87"/>
      <c r="D630" s="88" t="s">
        <v>805</v>
      </c>
      <c r="E630" s="43">
        <v>4800000</v>
      </c>
      <c r="F630" s="44">
        <f t="shared" si="31"/>
        <v>384000</v>
      </c>
      <c r="G630" s="45">
        <f t="shared" si="33"/>
        <v>5184000</v>
      </c>
      <c r="H630" s="46">
        <v>5184000</v>
      </c>
      <c r="I630" s="47">
        <f t="shared" si="32"/>
        <v>0</v>
      </c>
      <c r="J630" s="48">
        <v>44782</v>
      </c>
      <c r="K630" s="49">
        <v>44859</v>
      </c>
      <c r="L630" s="50">
        <v>4900844278</v>
      </c>
      <c r="M630" s="51"/>
      <c r="N630" s="52"/>
      <c r="O630" s="52"/>
      <c r="S630" s="53"/>
    </row>
    <row r="631" spans="1:19" s="2" customFormat="1" ht="16.5" customHeight="1" x14ac:dyDescent="0.35">
      <c r="A631" s="85" t="s">
        <v>339</v>
      </c>
      <c r="B631" s="86" t="s">
        <v>806</v>
      </c>
      <c r="C631" s="87"/>
      <c r="D631" s="88" t="s">
        <v>805</v>
      </c>
      <c r="E631" s="43">
        <v>2705000</v>
      </c>
      <c r="F631" s="44">
        <f t="shared" si="31"/>
        <v>216400</v>
      </c>
      <c r="G631" s="45">
        <f t="shared" si="33"/>
        <v>2921400</v>
      </c>
      <c r="H631" s="46">
        <v>2921400</v>
      </c>
      <c r="I631" s="47">
        <f t="shared" si="32"/>
        <v>0</v>
      </c>
      <c r="J631" s="48">
        <v>44782</v>
      </c>
      <c r="K631" s="49">
        <v>44859</v>
      </c>
      <c r="L631" s="50">
        <v>4140987463</v>
      </c>
      <c r="M631" s="51"/>
      <c r="N631" s="52"/>
      <c r="O631" s="52"/>
      <c r="S631" s="53"/>
    </row>
    <row r="632" spans="1:19" s="2" customFormat="1" ht="16.5" customHeight="1" x14ac:dyDescent="0.35">
      <c r="A632" s="85" t="s">
        <v>29</v>
      </c>
      <c r="B632" s="86" t="s">
        <v>807</v>
      </c>
      <c r="C632" s="87"/>
      <c r="D632" s="88" t="s">
        <v>805</v>
      </c>
      <c r="E632" s="43">
        <v>3355600</v>
      </c>
      <c r="F632" s="44">
        <f t="shared" si="31"/>
        <v>268448</v>
      </c>
      <c r="G632" s="45">
        <f t="shared" si="33"/>
        <v>3624048</v>
      </c>
      <c r="H632" s="46">
        <v>3624048</v>
      </c>
      <c r="I632" s="47">
        <f t="shared" si="32"/>
        <v>0</v>
      </c>
      <c r="J632" s="48">
        <v>44782</v>
      </c>
      <c r="K632" s="49">
        <v>44859</v>
      </c>
      <c r="L632" s="50">
        <v>4900844900</v>
      </c>
      <c r="M632" s="51"/>
      <c r="N632" s="52"/>
      <c r="O632" s="52"/>
      <c r="S632" s="53"/>
    </row>
    <row r="633" spans="1:19" s="2" customFormat="1" ht="16.5" customHeight="1" x14ac:dyDescent="0.35">
      <c r="A633" s="85" t="s">
        <v>33</v>
      </c>
      <c r="B633" s="86" t="s">
        <v>808</v>
      </c>
      <c r="C633" s="87"/>
      <c r="D633" s="88" t="s">
        <v>805</v>
      </c>
      <c r="E633" s="43">
        <v>3764000</v>
      </c>
      <c r="F633" s="44">
        <f t="shared" si="31"/>
        <v>301120</v>
      </c>
      <c r="G633" s="45">
        <f t="shared" si="33"/>
        <v>4065120</v>
      </c>
      <c r="H633" s="46">
        <v>4065120</v>
      </c>
      <c r="I633" s="47">
        <f t="shared" si="32"/>
        <v>0</v>
      </c>
      <c r="J633" s="48">
        <v>44782</v>
      </c>
      <c r="K633" s="49">
        <v>44859</v>
      </c>
      <c r="L633" s="50">
        <v>4900844922</v>
      </c>
      <c r="M633" s="51"/>
      <c r="N633" s="52"/>
      <c r="O633" s="52"/>
      <c r="S633" s="53"/>
    </row>
    <row r="634" spans="1:19" s="2" customFormat="1" ht="16.5" customHeight="1" x14ac:dyDescent="0.35">
      <c r="A634" s="85" t="s">
        <v>71</v>
      </c>
      <c r="B634" s="86" t="s">
        <v>809</v>
      </c>
      <c r="C634" s="87"/>
      <c r="D634" s="88" t="s">
        <v>805</v>
      </c>
      <c r="E634" s="43">
        <v>842000</v>
      </c>
      <c r="F634" s="44">
        <f t="shared" si="31"/>
        <v>67360</v>
      </c>
      <c r="G634" s="45">
        <f t="shared" si="33"/>
        <v>909360</v>
      </c>
      <c r="H634" s="46">
        <v>909360</v>
      </c>
      <c r="I634" s="47">
        <f t="shared" si="32"/>
        <v>0</v>
      </c>
      <c r="J634" s="48">
        <v>44782</v>
      </c>
      <c r="K634" s="49">
        <v>44859</v>
      </c>
      <c r="L634" s="50">
        <v>4140988059</v>
      </c>
      <c r="M634" s="51"/>
      <c r="N634" s="52"/>
      <c r="O634" s="52"/>
      <c r="S634" s="53"/>
    </row>
    <row r="635" spans="1:19" s="2" customFormat="1" ht="16.5" customHeight="1" x14ac:dyDescent="0.35">
      <c r="A635" s="85" t="s">
        <v>171</v>
      </c>
      <c r="B635" s="86" t="s">
        <v>810</v>
      </c>
      <c r="C635" s="87">
        <v>395</v>
      </c>
      <c r="D635" s="88">
        <v>44743</v>
      </c>
      <c r="E635" s="43">
        <v>4365000</v>
      </c>
      <c r="F635" s="44">
        <f t="shared" si="31"/>
        <v>349200</v>
      </c>
      <c r="G635" s="45">
        <f t="shared" si="33"/>
        <v>4714200</v>
      </c>
      <c r="H635" s="46">
        <v>4714200</v>
      </c>
      <c r="I635" s="47">
        <f t="shared" si="32"/>
        <v>0</v>
      </c>
      <c r="J635" s="48">
        <v>44764</v>
      </c>
      <c r="K635" s="49">
        <v>44849</v>
      </c>
      <c r="L635" s="65">
        <v>4139663935</v>
      </c>
      <c r="M635" s="51"/>
      <c r="N635" s="52"/>
      <c r="O635" s="52"/>
      <c r="S635" s="53"/>
    </row>
    <row r="636" spans="1:19" s="2" customFormat="1" ht="16.5" customHeight="1" x14ac:dyDescent="0.35">
      <c r="A636" s="85" t="s">
        <v>339</v>
      </c>
      <c r="B636" s="86" t="s">
        <v>811</v>
      </c>
      <c r="C636" s="87"/>
      <c r="D636" s="88" t="s">
        <v>812</v>
      </c>
      <c r="E636" s="43">
        <v>1800000</v>
      </c>
      <c r="F636" s="44">
        <f t="shared" si="31"/>
        <v>144000</v>
      </c>
      <c r="G636" s="45">
        <f t="shared" si="33"/>
        <v>1944000</v>
      </c>
      <c r="H636" s="46">
        <v>1944000</v>
      </c>
      <c r="I636" s="47">
        <f t="shared" si="32"/>
        <v>0</v>
      </c>
      <c r="J636" s="48">
        <v>44764</v>
      </c>
      <c r="K636" s="49">
        <v>44849</v>
      </c>
      <c r="L636" s="65">
        <v>4139889254</v>
      </c>
      <c r="M636" s="51"/>
      <c r="N636" s="52"/>
      <c r="O636" s="52"/>
      <c r="S636" s="53"/>
    </row>
    <row r="637" spans="1:19" s="2" customFormat="1" ht="16.5" customHeight="1" x14ac:dyDescent="0.35">
      <c r="A637" s="85" t="s">
        <v>37</v>
      </c>
      <c r="B637" s="86" t="s">
        <v>813</v>
      </c>
      <c r="C637" s="87"/>
      <c r="D637" s="88" t="s">
        <v>814</v>
      </c>
      <c r="E637" s="43">
        <v>960000</v>
      </c>
      <c r="F637" s="44">
        <f t="shared" si="31"/>
        <v>76800</v>
      </c>
      <c r="G637" s="45">
        <f t="shared" si="33"/>
        <v>1036800</v>
      </c>
      <c r="H637" s="46">
        <v>1036800</v>
      </c>
      <c r="I637" s="47">
        <f t="shared" si="32"/>
        <v>0</v>
      </c>
      <c r="J637" s="48">
        <v>44764</v>
      </c>
      <c r="K637" s="49">
        <v>44849</v>
      </c>
      <c r="L637" s="65">
        <v>4900833930</v>
      </c>
      <c r="M637" s="51"/>
      <c r="N637" s="52"/>
      <c r="O637" s="52"/>
      <c r="S637" s="53"/>
    </row>
    <row r="638" spans="1:19" s="2" customFormat="1" ht="16.5" customHeight="1" x14ac:dyDescent="0.35">
      <c r="A638" s="85" t="s">
        <v>29</v>
      </c>
      <c r="B638" s="86" t="s">
        <v>101</v>
      </c>
      <c r="C638" s="87"/>
      <c r="D638" s="88" t="s">
        <v>814</v>
      </c>
      <c r="E638" s="43">
        <v>6162000</v>
      </c>
      <c r="F638" s="44">
        <f t="shared" si="31"/>
        <v>492960</v>
      </c>
      <c r="G638" s="45">
        <f t="shared" si="33"/>
        <v>6654960</v>
      </c>
      <c r="H638" s="46">
        <v>6654960</v>
      </c>
      <c r="I638" s="47">
        <f t="shared" si="32"/>
        <v>0</v>
      </c>
      <c r="J638" s="48">
        <v>44764</v>
      </c>
      <c r="K638" s="49">
        <v>44849</v>
      </c>
      <c r="L638" s="65">
        <v>4900833520</v>
      </c>
      <c r="M638" s="51"/>
      <c r="N638" s="52"/>
      <c r="O638" s="52"/>
      <c r="S638" s="53"/>
    </row>
    <row r="639" spans="1:19" s="2" customFormat="1" ht="16.5" customHeight="1" x14ac:dyDescent="0.35">
      <c r="A639" s="85" t="s">
        <v>33</v>
      </c>
      <c r="B639" s="86" t="s">
        <v>815</v>
      </c>
      <c r="C639" s="87"/>
      <c r="D639" s="88" t="s">
        <v>814</v>
      </c>
      <c r="E639" s="43">
        <v>2560000</v>
      </c>
      <c r="F639" s="44">
        <f t="shared" ref="F639:F702" si="34">+E639*0.08</f>
        <v>204800</v>
      </c>
      <c r="G639" s="45">
        <f t="shared" si="33"/>
        <v>2764800</v>
      </c>
      <c r="H639" s="46">
        <v>2764800</v>
      </c>
      <c r="I639" s="47">
        <f t="shared" si="32"/>
        <v>0</v>
      </c>
      <c r="J639" s="48">
        <v>44764</v>
      </c>
      <c r="K639" s="49">
        <v>44849</v>
      </c>
      <c r="L639" s="65">
        <v>4900833463</v>
      </c>
      <c r="M639" s="51"/>
      <c r="N639" s="52"/>
      <c r="O639" s="52"/>
      <c r="S639" s="53"/>
    </row>
    <row r="640" spans="1:19" s="2" customFormat="1" ht="16.5" customHeight="1" x14ac:dyDescent="0.35">
      <c r="A640" s="85" t="s">
        <v>63</v>
      </c>
      <c r="B640" s="86" t="s">
        <v>816</v>
      </c>
      <c r="C640" s="87">
        <v>620</v>
      </c>
      <c r="D640" s="88">
        <v>44764</v>
      </c>
      <c r="E640" s="43">
        <v>1360000</v>
      </c>
      <c r="F640" s="44">
        <f t="shared" si="34"/>
        <v>108800</v>
      </c>
      <c r="G640" s="45">
        <f t="shared" si="33"/>
        <v>1468800</v>
      </c>
      <c r="H640" s="46">
        <v>1468800</v>
      </c>
      <c r="I640" s="47">
        <f t="shared" si="32"/>
        <v>0</v>
      </c>
      <c r="J640" s="48">
        <v>44764</v>
      </c>
      <c r="K640" s="49">
        <v>44849</v>
      </c>
      <c r="L640" s="50">
        <v>4140018292</v>
      </c>
      <c r="M640" s="51"/>
      <c r="N640" s="52"/>
      <c r="O640" s="52"/>
      <c r="S640" s="53"/>
    </row>
    <row r="641" spans="1:19" s="2" customFormat="1" ht="16.5" customHeight="1" x14ac:dyDescent="0.35">
      <c r="A641" s="85" t="s">
        <v>56</v>
      </c>
      <c r="B641" s="86" t="s">
        <v>817</v>
      </c>
      <c r="C641" s="87">
        <v>621</v>
      </c>
      <c r="D641" s="88">
        <v>44764</v>
      </c>
      <c r="E641" s="43">
        <v>2896000</v>
      </c>
      <c r="F641" s="44">
        <f t="shared" si="34"/>
        <v>231680</v>
      </c>
      <c r="G641" s="45">
        <f t="shared" si="33"/>
        <v>3127680</v>
      </c>
      <c r="H641" s="46">
        <v>3127680</v>
      </c>
      <c r="I641" s="47">
        <f t="shared" si="32"/>
        <v>0</v>
      </c>
      <c r="J641" s="48">
        <v>44764</v>
      </c>
      <c r="K641" s="49">
        <v>44849</v>
      </c>
      <c r="L641" s="50">
        <v>4140098619</v>
      </c>
      <c r="M641" s="51"/>
      <c r="N641" s="52"/>
      <c r="O641" s="52"/>
      <c r="S641" s="53"/>
    </row>
    <row r="642" spans="1:19" s="2" customFormat="1" ht="16.5" customHeight="1" x14ac:dyDescent="0.35">
      <c r="A642" s="85" t="s">
        <v>33</v>
      </c>
      <c r="B642" s="86" t="s">
        <v>110</v>
      </c>
      <c r="C642" s="87"/>
      <c r="D642" s="88" t="s">
        <v>814</v>
      </c>
      <c r="E642" s="43">
        <v>1920000</v>
      </c>
      <c r="F642" s="44">
        <f t="shared" si="34"/>
        <v>153600</v>
      </c>
      <c r="G642" s="45">
        <f t="shared" si="33"/>
        <v>2073600</v>
      </c>
      <c r="H642" s="46">
        <v>2073600</v>
      </c>
      <c r="I642" s="47">
        <f t="shared" si="32"/>
        <v>0</v>
      </c>
      <c r="J642" s="48">
        <v>44764</v>
      </c>
      <c r="K642" s="49">
        <v>44849</v>
      </c>
      <c r="L642" s="65">
        <v>4900834835</v>
      </c>
      <c r="M642" s="51"/>
      <c r="N642" s="52"/>
      <c r="O642" s="52"/>
      <c r="S642" s="53"/>
    </row>
    <row r="643" spans="1:19" s="2" customFormat="1" ht="16.5" customHeight="1" x14ac:dyDescent="0.35">
      <c r="A643" s="85" t="s">
        <v>29</v>
      </c>
      <c r="B643" s="86" t="s">
        <v>130</v>
      </c>
      <c r="C643" s="87"/>
      <c r="D643" s="88" t="s">
        <v>814</v>
      </c>
      <c r="E643" s="43">
        <v>3885000</v>
      </c>
      <c r="F643" s="44">
        <f t="shared" si="34"/>
        <v>310800</v>
      </c>
      <c r="G643" s="45">
        <f t="shared" si="33"/>
        <v>4195800</v>
      </c>
      <c r="H643" s="46">
        <v>4195800</v>
      </c>
      <c r="I643" s="47">
        <f t="shared" si="32"/>
        <v>0</v>
      </c>
      <c r="J643" s="48">
        <v>44764</v>
      </c>
      <c r="K643" s="49">
        <v>44849</v>
      </c>
      <c r="L643" s="65">
        <v>4900834692</v>
      </c>
      <c r="M643" s="51"/>
      <c r="N643" s="52"/>
      <c r="O643" s="52"/>
      <c r="S643" s="53"/>
    </row>
    <row r="644" spans="1:19" s="2" customFormat="1" ht="16.5" customHeight="1" x14ac:dyDescent="0.35">
      <c r="A644" s="85" t="s">
        <v>339</v>
      </c>
      <c r="B644" s="86" t="s">
        <v>112</v>
      </c>
      <c r="C644" s="87"/>
      <c r="D644" s="88" t="s">
        <v>818</v>
      </c>
      <c r="E644" s="43">
        <v>3400000</v>
      </c>
      <c r="F644" s="44">
        <f t="shared" si="34"/>
        <v>272000</v>
      </c>
      <c r="G644" s="45">
        <f t="shared" si="33"/>
        <v>3672000</v>
      </c>
      <c r="H644" s="46">
        <v>3672000</v>
      </c>
      <c r="I644" s="47">
        <f t="shared" si="32"/>
        <v>0</v>
      </c>
      <c r="J644" s="48">
        <v>44764</v>
      </c>
      <c r="K644" s="49">
        <v>44849</v>
      </c>
      <c r="L644" s="65">
        <v>4140115181</v>
      </c>
      <c r="M644" s="51"/>
      <c r="N644" s="52"/>
      <c r="O644" s="52"/>
      <c r="S644" s="53"/>
    </row>
    <row r="645" spans="1:19" s="2" customFormat="1" ht="16.5" customHeight="1" x14ac:dyDescent="0.35">
      <c r="A645" s="85" t="s">
        <v>819</v>
      </c>
      <c r="B645" s="86" t="s">
        <v>114</v>
      </c>
      <c r="C645" s="87"/>
      <c r="D645" s="88" t="s">
        <v>818</v>
      </c>
      <c r="E645" s="43">
        <v>960000</v>
      </c>
      <c r="F645" s="44">
        <f t="shared" si="34"/>
        <v>76800</v>
      </c>
      <c r="G645" s="45">
        <f t="shared" si="33"/>
        <v>1036800</v>
      </c>
      <c r="H645" s="46">
        <v>1036800</v>
      </c>
      <c r="I645" s="47">
        <f t="shared" si="32"/>
        <v>0</v>
      </c>
      <c r="J645" s="48">
        <v>44764</v>
      </c>
      <c r="K645" s="49">
        <v>44849</v>
      </c>
      <c r="L645" s="65">
        <v>4140125087</v>
      </c>
      <c r="M645" s="51"/>
      <c r="N645" s="52"/>
      <c r="O645" s="52"/>
      <c r="S645" s="53"/>
    </row>
    <row r="646" spans="1:19" s="2" customFormat="1" ht="16.5" customHeight="1" x14ac:dyDescent="0.35">
      <c r="A646" s="85" t="s">
        <v>185</v>
      </c>
      <c r="B646" s="86" t="s">
        <v>133</v>
      </c>
      <c r="C646" s="87"/>
      <c r="D646" s="88" t="s">
        <v>818</v>
      </c>
      <c r="E646" s="43">
        <v>3520000</v>
      </c>
      <c r="F646" s="44">
        <f t="shared" si="34"/>
        <v>281600</v>
      </c>
      <c r="G646" s="45">
        <f t="shared" si="33"/>
        <v>3801600</v>
      </c>
      <c r="H646" s="46">
        <v>3801600</v>
      </c>
      <c r="I646" s="47">
        <f t="shared" si="32"/>
        <v>0</v>
      </c>
      <c r="J646" s="48">
        <v>44764</v>
      </c>
      <c r="K646" s="49">
        <v>44849</v>
      </c>
      <c r="L646" s="65">
        <v>4900835500</v>
      </c>
      <c r="M646" s="51"/>
      <c r="N646" s="52"/>
      <c r="O646" s="52"/>
      <c r="S646" s="53"/>
    </row>
    <row r="647" spans="1:19" s="2" customFormat="1" ht="16.5" customHeight="1" x14ac:dyDescent="0.35">
      <c r="A647" s="85" t="s">
        <v>33</v>
      </c>
      <c r="B647" s="86" t="s">
        <v>820</v>
      </c>
      <c r="C647" s="87"/>
      <c r="D647" s="88" t="s">
        <v>821</v>
      </c>
      <c r="E647" s="43">
        <v>1920000</v>
      </c>
      <c r="F647" s="44">
        <f t="shared" si="34"/>
        <v>153600</v>
      </c>
      <c r="G647" s="45">
        <f t="shared" si="33"/>
        <v>2073600</v>
      </c>
      <c r="H647" s="46">
        <v>2073600</v>
      </c>
      <c r="I647" s="47">
        <f t="shared" si="32"/>
        <v>0</v>
      </c>
      <c r="J647" s="48">
        <v>44764</v>
      </c>
      <c r="K647" s="49">
        <v>44849</v>
      </c>
      <c r="L647" s="65">
        <v>4900836550</v>
      </c>
      <c r="M647" s="51"/>
      <c r="N647" s="52"/>
      <c r="O647" s="52"/>
      <c r="S647" s="53"/>
    </row>
    <row r="648" spans="1:19" s="2" customFormat="1" ht="16.5" customHeight="1" x14ac:dyDescent="0.35">
      <c r="A648" s="85" t="s">
        <v>29</v>
      </c>
      <c r="B648" s="86" t="s">
        <v>822</v>
      </c>
      <c r="C648" s="87"/>
      <c r="D648" s="88" t="s">
        <v>821</v>
      </c>
      <c r="E648" s="43">
        <v>3840000</v>
      </c>
      <c r="F648" s="44">
        <f t="shared" si="34"/>
        <v>307200</v>
      </c>
      <c r="G648" s="45">
        <f t="shared" si="33"/>
        <v>4147200</v>
      </c>
      <c r="H648" s="89">
        <v>4147200</v>
      </c>
      <c r="I648" s="47">
        <f t="shared" ref="I648:I711" si="35">G648-H648</f>
        <v>0</v>
      </c>
      <c r="J648" s="48">
        <v>44764</v>
      </c>
      <c r="K648" s="49">
        <v>44849</v>
      </c>
      <c r="L648" s="65">
        <v>4900836531</v>
      </c>
      <c r="M648" s="51"/>
      <c r="N648" s="52"/>
      <c r="O648" s="52"/>
      <c r="S648" s="53"/>
    </row>
    <row r="649" spans="1:19" s="2" customFormat="1" ht="16.5" customHeight="1" x14ac:dyDescent="0.35">
      <c r="A649" s="85" t="s">
        <v>29</v>
      </c>
      <c r="B649" s="86" t="s">
        <v>823</v>
      </c>
      <c r="C649" s="87"/>
      <c r="D649" s="88" t="s">
        <v>821</v>
      </c>
      <c r="E649" s="43">
        <v>804000</v>
      </c>
      <c r="F649" s="44">
        <f t="shared" si="34"/>
        <v>64320</v>
      </c>
      <c r="G649" s="45">
        <f t="shared" si="33"/>
        <v>868320</v>
      </c>
      <c r="H649" s="46">
        <v>868320</v>
      </c>
      <c r="I649" s="47">
        <f t="shared" si="35"/>
        <v>0</v>
      </c>
      <c r="J649" s="48">
        <v>44764</v>
      </c>
      <c r="K649" s="49">
        <v>44849</v>
      </c>
      <c r="L649" s="65">
        <v>4900836231</v>
      </c>
      <c r="M649" s="51"/>
      <c r="N649" s="52"/>
      <c r="O649" s="52"/>
      <c r="S649" s="53"/>
    </row>
    <row r="650" spans="1:19" s="2" customFormat="1" ht="16.5" customHeight="1" x14ac:dyDescent="0.35">
      <c r="A650" s="85" t="s">
        <v>71</v>
      </c>
      <c r="B650" s="86" t="s">
        <v>824</v>
      </c>
      <c r="C650" s="87"/>
      <c r="D650" s="88" t="s">
        <v>821</v>
      </c>
      <c r="E650" s="43">
        <v>960000</v>
      </c>
      <c r="F650" s="44">
        <f t="shared" si="34"/>
        <v>76800</v>
      </c>
      <c r="G650" s="45">
        <f t="shared" si="33"/>
        <v>1036800</v>
      </c>
      <c r="H650" s="46">
        <v>1036800</v>
      </c>
      <c r="I650" s="47">
        <f t="shared" si="35"/>
        <v>0</v>
      </c>
      <c r="J650" s="48">
        <v>44764</v>
      </c>
      <c r="K650" s="49">
        <v>44849</v>
      </c>
      <c r="L650" s="50">
        <v>4140250953</v>
      </c>
      <c r="M650" s="51"/>
      <c r="N650" s="52"/>
      <c r="O650" s="52"/>
      <c r="S650" s="53"/>
    </row>
    <row r="651" spans="1:19" s="2" customFormat="1" ht="16.5" customHeight="1" x14ac:dyDescent="0.35">
      <c r="A651" s="85" t="s">
        <v>37</v>
      </c>
      <c r="B651" s="86" t="s">
        <v>606</v>
      </c>
      <c r="C651" s="87"/>
      <c r="D651" s="88" t="s">
        <v>825</v>
      </c>
      <c r="E651" s="43">
        <v>4480000</v>
      </c>
      <c r="F651" s="44">
        <f t="shared" si="34"/>
        <v>358400</v>
      </c>
      <c r="G651" s="45">
        <f t="shared" si="33"/>
        <v>4838400</v>
      </c>
      <c r="H651" s="46">
        <v>4838400</v>
      </c>
      <c r="I651" s="47">
        <f t="shared" si="35"/>
        <v>0</v>
      </c>
      <c r="J651" s="48">
        <v>44764</v>
      </c>
      <c r="K651" s="49">
        <v>44849</v>
      </c>
      <c r="L651" s="65">
        <v>4900836873</v>
      </c>
      <c r="M651" s="51"/>
      <c r="N651" s="52"/>
      <c r="O651" s="52"/>
      <c r="S651" s="53"/>
    </row>
    <row r="652" spans="1:19" s="2" customFormat="1" ht="16.5" customHeight="1" x14ac:dyDescent="0.35">
      <c r="A652" s="85" t="s">
        <v>191</v>
      </c>
      <c r="B652" s="86" t="s">
        <v>826</v>
      </c>
      <c r="C652" s="87">
        <v>3046</v>
      </c>
      <c r="D652" s="88">
        <v>45238</v>
      </c>
      <c r="E652" s="43">
        <v>15808000</v>
      </c>
      <c r="F652" s="44">
        <f t="shared" si="34"/>
        <v>1264640</v>
      </c>
      <c r="G652" s="45">
        <f t="shared" si="33"/>
        <v>17072640</v>
      </c>
      <c r="H652" s="46">
        <v>17072640</v>
      </c>
      <c r="I652" s="47">
        <f t="shared" si="35"/>
        <v>0</v>
      </c>
      <c r="J652" s="48">
        <v>45238</v>
      </c>
      <c r="K652" s="49">
        <v>45376</v>
      </c>
      <c r="L652" s="50">
        <v>4153756641</v>
      </c>
      <c r="M652" s="51" t="s">
        <v>827</v>
      </c>
      <c r="N652" s="52"/>
      <c r="O652" s="52"/>
      <c r="S652" s="53"/>
    </row>
    <row r="653" spans="1:19" s="2" customFormat="1" ht="16.5" customHeight="1" x14ac:dyDescent="0.35">
      <c r="A653" s="85" t="s">
        <v>71</v>
      </c>
      <c r="B653" s="86" t="s">
        <v>828</v>
      </c>
      <c r="C653" s="87"/>
      <c r="D653" s="88" t="s">
        <v>829</v>
      </c>
      <c r="E653" s="43">
        <v>5760000</v>
      </c>
      <c r="F653" s="44">
        <f t="shared" si="34"/>
        <v>460800</v>
      </c>
      <c r="G653" s="45">
        <f t="shared" si="33"/>
        <v>6220800</v>
      </c>
      <c r="H653" s="46">
        <v>6220800</v>
      </c>
      <c r="I653" s="47">
        <f t="shared" si="35"/>
        <v>0</v>
      </c>
      <c r="J653" s="48">
        <v>45238</v>
      </c>
      <c r="K653" s="49">
        <v>45376</v>
      </c>
      <c r="L653" s="50">
        <v>4153786922</v>
      </c>
      <c r="M653" s="51" t="s">
        <v>827</v>
      </c>
      <c r="N653" s="52"/>
      <c r="O653" s="52"/>
      <c r="S653" s="53"/>
    </row>
    <row r="654" spans="1:19" s="2" customFormat="1" ht="16.5" customHeight="1" x14ac:dyDescent="0.35">
      <c r="A654" s="85" t="s">
        <v>135</v>
      </c>
      <c r="B654" s="86" t="s">
        <v>830</v>
      </c>
      <c r="C654" s="87"/>
      <c r="D654" s="88" t="s">
        <v>831</v>
      </c>
      <c r="E654" s="43">
        <v>421000</v>
      </c>
      <c r="F654" s="44">
        <f t="shared" si="34"/>
        <v>33680</v>
      </c>
      <c r="G654" s="45">
        <f t="shared" si="33"/>
        <v>454680</v>
      </c>
      <c r="H654" s="89">
        <v>454680</v>
      </c>
      <c r="I654" s="47">
        <f t="shared" si="35"/>
        <v>0</v>
      </c>
      <c r="J654" s="48">
        <v>44764</v>
      </c>
      <c r="K654" s="49">
        <v>44849</v>
      </c>
      <c r="L654" s="65">
        <v>4140315970</v>
      </c>
      <c r="M654" s="51"/>
      <c r="N654" s="52"/>
      <c r="O654" s="52"/>
      <c r="S654" s="53"/>
    </row>
    <row r="655" spans="1:19" s="2" customFormat="1" ht="16.5" customHeight="1" x14ac:dyDescent="0.35">
      <c r="A655" s="85" t="s">
        <v>33</v>
      </c>
      <c r="B655" s="86" t="s">
        <v>832</v>
      </c>
      <c r="C655" s="87">
        <v>3047</v>
      </c>
      <c r="D655" s="88">
        <v>45238</v>
      </c>
      <c r="E655" s="43">
        <v>5280000</v>
      </c>
      <c r="F655" s="44">
        <f t="shared" si="34"/>
        <v>422400</v>
      </c>
      <c r="G655" s="45">
        <f t="shared" si="33"/>
        <v>5702400</v>
      </c>
      <c r="H655" s="46">
        <v>5702400</v>
      </c>
      <c r="I655" s="47">
        <f t="shared" si="35"/>
        <v>0</v>
      </c>
      <c r="J655" s="48">
        <v>45238</v>
      </c>
      <c r="K655" s="49">
        <v>45376</v>
      </c>
      <c r="L655" s="50">
        <v>4901025212</v>
      </c>
      <c r="M655" s="51" t="s">
        <v>827</v>
      </c>
      <c r="N655" s="52"/>
      <c r="O655" s="52"/>
      <c r="S655" s="53"/>
    </row>
    <row r="656" spans="1:19" s="2" customFormat="1" ht="16.5" customHeight="1" x14ac:dyDescent="0.35">
      <c r="A656" s="85" t="s">
        <v>171</v>
      </c>
      <c r="B656" s="86" t="s">
        <v>833</v>
      </c>
      <c r="C656" s="87">
        <v>3048</v>
      </c>
      <c r="D656" s="88">
        <v>45238</v>
      </c>
      <c r="E656" s="43">
        <v>19892500</v>
      </c>
      <c r="F656" s="44">
        <f t="shared" si="34"/>
        <v>1591400</v>
      </c>
      <c r="G656" s="45">
        <f t="shared" si="33"/>
        <v>21483900</v>
      </c>
      <c r="H656" s="46">
        <v>21483900</v>
      </c>
      <c r="I656" s="47">
        <f t="shared" si="35"/>
        <v>0</v>
      </c>
      <c r="J656" s="48">
        <v>45238</v>
      </c>
      <c r="K656" s="49">
        <v>45894</v>
      </c>
      <c r="L656" s="50">
        <v>4153913971</v>
      </c>
      <c r="M656" s="51" t="s">
        <v>834</v>
      </c>
      <c r="N656" s="52"/>
      <c r="O656" s="52"/>
      <c r="S656" s="53"/>
    </row>
    <row r="657" spans="1:19" s="2" customFormat="1" ht="16.5" customHeight="1" x14ac:dyDescent="0.35">
      <c r="A657" s="85" t="s">
        <v>171</v>
      </c>
      <c r="B657" s="86" t="s">
        <v>835</v>
      </c>
      <c r="C657" s="87">
        <v>3049</v>
      </c>
      <c r="D657" s="88">
        <v>45238</v>
      </c>
      <c r="E657" s="43">
        <v>16212500</v>
      </c>
      <c r="F657" s="44">
        <f t="shared" si="34"/>
        <v>1297000</v>
      </c>
      <c r="G657" s="45">
        <f t="shared" si="33"/>
        <v>17509500</v>
      </c>
      <c r="H657" s="46">
        <v>17509500</v>
      </c>
      <c r="I657" s="47">
        <f t="shared" si="35"/>
        <v>0</v>
      </c>
      <c r="J657" s="48">
        <v>45238</v>
      </c>
      <c r="K657" s="49">
        <v>45376</v>
      </c>
      <c r="L657" s="50">
        <v>4154007238</v>
      </c>
      <c r="M657" s="51" t="s">
        <v>827</v>
      </c>
      <c r="N657" s="52"/>
      <c r="O657" s="52"/>
      <c r="S657" s="53"/>
    </row>
    <row r="658" spans="1:19" s="2" customFormat="1" ht="16.5" customHeight="1" x14ac:dyDescent="0.35">
      <c r="A658" s="85" t="s">
        <v>206</v>
      </c>
      <c r="B658" s="86" t="s">
        <v>836</v>
      </c>
      <c r="C658" s="87"/>
      <c r="D658" s="88" t="s">
        <v>837</v>
      </c>
      <c r="E658" s="43">
        <v>3200000</v>
      </c>
      <c r="F658" s="44">
        <f t="shared" si="34"/>
        <v>256000</v>
      </c>
      <c r="G658" s="45">
        <f t="shared" si="33"/>
        <v>3456000</v>
      </c>
      <c r="H658" s="46">
        <v>3456000</v>
      </c>
      <c r="I658" s="47">
        <f t="shared" si="35"/>
        <v>0</v>
      </c>
      <c r="J658" s="48">
        <v>45238</v>
      </c>
      <c r="K658" s="49">
        <v>45376</v>
      </c>
      <c r="L658" s="50">
        <v>4153976347</v>
      </c>
      <c r="M658" s="51" t="s">
        <v>827</v>
      </c>
      <c r="N658" s="52"/>
      <c r="O658" s="52"/>
      <c r="S658" s="53"/>
    </row>
    <row r="659" spans="1:19" s="2" customFormat="1" ht="16.5" customHeight="1" x14ac:dyDescent="0.35">
      <c r="A659" s="85" t="s">
        <v>37</v>
      </c>
      <c r="B659" s="86" t="s">
        <v>838</v>
      </c>
      <c r="C659" s="87"/>
      <c r="D659" s="88" t="s">
        <v>839</v>
      </c>
      <c r="E659" s="43">
        <v>16720000</v>
      </c>
      <c r="F659" s="44">
        <f t="shared" si="34"/>
        <v>1337600</v>
      </c>
      <c r="G659" s="45">
        <f t="shared" si="33"/>
        <v>18057600</v>
      </c>
      <c r="H659" s="46">
        <v>18057600</v>
      </c>
      <c r="I659" s="47">
        <f t="shared" si="35"/>
        <v>0</v>
      </c>
      <c r="J659" s="48">
        <v>45238</v>
      </c>
      <c r="K659" s="49">
        <v>45376</v>
      </c>
      <c r="L659" s="50">
        <v>4901028268</v>
      </c>
      <c r="M659" s="51" t="s">
        <v>827</v>
      </c>
      <c r="N659" s="52"/>
      <c r="O659" s="52"/>
      <c r="S659" s="53"/>
    </row>
    <row r="660" spans="1:19" s="2" customFormat="1" ht="16.5" customHeight="1" x14ac:dyDescent="0.35">
      <c r="A660" s="85" t="s">
        <v>171</v>
      </c>
      <c r="B660" s="86" t="s">
        <v>840</v>
      </c>
      <c r="C660" s="87">
        <v>3050</v>
      </c>
      <c r="D660" s="88">
        <v>45238</v>
      </c>
      <c r="E660" s="43">
        <v>25808000</v>
      </c>
      <c r="F660" s="44">
        <f t="shared" si="34"/>
        <v>2064640</v>
      </c>
      <c r="G660" s="45">
        <f t="shared" si="33"/>
        <v>27872640</v>
      </c>
      <c r="H660" s="46">
        <v>27872640</v>
      </c>
      <c r="I660" s="47">
        <f t="shared" si="35"/>
        <v>0</v>
      </c>
      <c r="J660" s="48">
        <v>45238</v>
      </c>
      <c r="K660" s="49">
        <v>45376</v>
      </c>
      <c r="L660" s="50">
        <v>4154089049</v>
      </c>
      <c r="M660" s="51" t="s">
        <v>827</v>
      </c>
      <c r="N660" s="52"/>
      <c r="O660" s="52"/>
      <c r="S660" s="53"/>
    </row>
    <row r="661" spans="1:19" s="2" customFormat="1" ht="16.5" customHeight="1" x14ac:dyDescent="0.35">
      <c r="A661" s="85" t="s">
        <v>171</v>
      </c>
      <c r="B661" s="86" t="s">
        <v>841</v>
      </c>
      <c r="C661" s="87">
        <v>3051</v>
      </c>
      <c r="D661" s="88">
        <v>45238</v>
      </c>
      <c r="E661" s="43">
        <v>22562000</v>
      </c>
      <c r="F661" s="44">
        <f t="shared" si="34"/>
        <v>1804960</v>
      </c>
      <c r="G661" s="45">
        <f t="shared" si="33"/>
        <v>24366960</v>
      </c>
      <c r="H661" s="46">
        <v>24366960</v>
      </c>
      <c r="I661" s="47">
        <f t="shared" si="35"/>
        <v>0</v>
      </c>
      <c r="J661" s="48">
        <v>45238</v>
      </c>
      <c r="K661" s="49">
        <v>45894</v>
      </c>
      <c r="L661" s="50">
        <v>4154134877</v>
      </c>
      <c r="M661" s="51" t="s">
        <v>834</v>
      </c>
      <c r="N661" s="52"/>
      <c r="O661" s="52"/>
      <c r="S661" s="53"/>
    </row>
    <row r="662" spans="1:19" s="2" customFormat="1" ht="16.5" customHeight="1" x14ac:dyDescent="0.35">
      <c r="A662" s="85" t="s">
        <v>71</v>
      </c>
      <c r="B662" s="86" t="s">
        <v>842</v>
      </c>
      <c r="C662" s="87"/>
      <c r="D662" s="88" t="s">
        <v>843</v>
      </c>
      <c r="E662" s="43">
        <v>1005000</v>
      </c>
      <c r="F662" s="44">
        <f t="shared" si="34"/>
        <v>80400</v>
      </c>
      <c r="G662" s="45">
        <f t="shared" si="33"/>
        <v>1085400</v>
      </c>
      <c r="H662" s="46">
        <v>1085400</v>
      </c>
      <c r="I662" s="47">
        <f t="shared" si="35"/>
        <v>0</v>
      </c>
      <c r="J662" s="48">
        <v>45238</v>
      </c>
      <c r="K662" s="49">
        <v>45376</v>
      </c>
      <c r="L662" s="50">
        <v>4154128605</v>
      </c>
      <c r="M662" s="51" t="s">
        <v>827</v>
      </c>
      <c r="N662" s="52"/>
      <c r="O662" s="52"/>
      <c r="S662" s="53"/>
    </row>
    <row r="663" spans="1:19" s="2" customFormat="1" ht="16.5" customHeight="1" x14ac:dyDescent="0.35">
      <c r="A663" s="85" t="s">
        <v>171</v>
      </c>
      <c r="B663" s="86" t="s">
        <v>844</v>
      </c>
      <c r="C663" s="87"/>
      <c r="D663" s="88" t="s">
        <v>843</v>
      </c>
      <c r="E663" s="43">
        <v>5025000</v>
      </c>
      <c r="F663" s="44">
        <f t="shared" si="34"/>
        <v>402000</v>
      </c>
      <c r="G663" s="45">
        <f t="shared" ref="G663:G726" si="36">E663+F663</f>
        <v>5427000</v>
      </c>
      <c r="H663" s="46">
        <v>5427000</v>
      </c>
      <c r="I663" s="47">
        <f t="shared" si="35"/>
        <v>0</v>
      </c>
      <c r="J663" s="48">
        <v>45238</v>
      </c>
      <c r="K663" s="49">
        <v>45376</v>
      </c>
      <c r="L663" s="50">
        <v>4154196077</v>
      </c>
      <c r="M663" s="51" t="s">
        <v>827</v>
      </c>
      <c r="N663" s="52"/>
      <c r="O663" s="52"/>
      <c r="S663" s="53"/>
    </row>
    <row r="664" spans="1:19" s="2" customFormat="1" ht="16.5" customHeight="1" x14ac:dyDescent="0.35">
      <c r="A664" s="85" t="s">
        <v>37</v>
      </c>
      <c r="B664" s="86" t="s">
        <v>845</v>
      </c>
      <c r="C664" s="87"/>
      <c r="D664" s="88" t="s">
        <v>846</v>
      </c>
      <c r="E664" s="43">
        <v>12880000</v>
      </c>
      <c r="F664" s="44">
        <f t="shared" si="34"/>
        <v>1030400</v>
      </c>
      <c r="G664" s="45">
        <f t="shared" si="36"/>
        <v>13910400</v>
      </c>
      <c r="H664" s="46">
        <v>13910400</v>
      </c>
      <c r="I664" s="47">
        <f t="shared" si="35"/>
        <v>0</v>
      </c>
      <c r="J664" s="48">
        <v>45238</v>
      </c>
      <c r="K664" s="49">
        <v>45376</v>
      </c>
      <c r="L664" s="50">
        <v>4901031041</v>
      </c>
      <c r="M664" s="51" t="s">
        <v>827</v>
      </c>
      <c r="N664" s="52"/>
      <c r="O664" s="52"/>
      <c r="S664" s="53"/>
    </row>
    <row r="665" spans="1:19" s="2" customFormat="1" ht="16.5" customHeight="1" x14ac:dyDescent="0.35">
      <c r="A665" s="85" t="s">
        <v>29</v>
      </c>
      <c r="B665" s="86" t="s">
        <v>847</v>
      </c>
      <c r="C665" s="87"/>
      <c r="D665" s="88" t="s">
        <v>846</v>
      </c>
      <c r="E665" s="43">
        <v>12880000</v>
      </c>
      <c r="F665" s="44">
        <f t="shared" si="34"/>
        <v>1030400</v>
      </c>
      <c r="G665" s="45">
        <f t="shared" si="36"/>
        <v>13910400</v>
      </c>
      <c r="H665" s="46">
        <v>13910400</v>
      </c>
      <c r="I665" s="47">
        <f t="shared" si="35"/>
        <v>0</v>
      </c>
      <c r="J665" s="48">
        <v>45238</v>
      </c>
      <c r="K665" s="49">
        <v>45376</v>
      </c>
      <c r="L665" s="50">
        <v>4901031286</v>
      </c>
      <c r="M665" s="51" t="s">
        <v>827</v>
      </c>
      <c r="N665" s="52"/>
      <c r="O665" s="52"/>
      <c r="S665" s="53"/>
    </row>
    <row r="666" spans="1:19" s="2" customFormat="1" ht="16.5" customHeight="1" x14ac:dyDescent="0.35">
      <c r="A666" s="85" t="s">
        <v>77</v>
      </c>
      <c r="B666" s="86" t="s">
        <v>848</v>
      </c>
      <c r="C666" s="87"/>
      <c r="D666" s="88" t="s">
        <v>849</v>
      </c>
      <c r="E666" s="43">
        <v>8880000</v>
      </c>
      <c r="F666" s="44">
        <f t="shared" si="34"/>
        <v>710400</v>
      </c>
      <c r="G666" s="45">
        <f t="shared" si="36"/>
        <v>9590400</v>
      </c>
      <c r="H666" s="46">
        <v>9590400</v>
      </c>
      <c r="I666" s="47">
        <f t="shared" si="35"/>
        <v>0</v>
      </c>
      <c r="J666" s="48">
        <v>45238</v>
      </c>
      <c r="K666" s="49">
        <v>45376</v>
      </c>
      <c r="L666" s="50">
        <v>4154298191</v>
      </c>
      <c r="M666" s="51" t="s">
        <v>827</v>
      </c>
      <c r="N666" s="52"/>
      <c r="O666" s="52"/>
      <c r="S666" s="53"/>
    </row>
    <row r="667" spans="1:19" s="2" customFormat="1" ht="16.5" customHeight="1" x14ac:dyDescent="0.35">
      <c r="A667" s="85" t="s">
        <v>77</v>
      </c>
      <c r="B667" s="86" t="s">
        <v>850</v>
      </c>
      <c r="C667" s="87"/>
      <c r="D667" s="88" t="s">
        <v>851</v>
      </c>
      <c r="E667" s="43">
        <v>5440000</v>
      </c>
      <c r="F667" s="44">
        <f t="shared" si="34"/>
        <v>435200</v>
      </c>
      <c r="G667" s="45">
        <f t="shared" si="36"/>
        <v>5875200</v>
      </c>
      <c r="H667" s="46">
        <v>5875200</v>
      </c>
      <c r="I667" s="47">
        <f t="shared" si="35"/>
        <v>0</v>
      </c>
      <c r="J667" s="48">
        <v>45238</v>
      </c>
      <c r="K667" s="49">
        <v>45376</v>
      </c>
      <c r="L667" s="50">
        <v>4154353562</v>
      </c>
      <c r="M667" s="51" t="s">
        <v>827</v>
      </c>
      <c r="N667" s="52"/>
      <c r="O667" s="52"/>
      <c r="S667" s="53"/>
    </row>
    <row r="668" spans="1:19" s="2" customFormat="1" ht="16.5" customHeight="1" x14ac:dyDescent="0.35">
      <c r="A668" s="85" t="s">
        <v>37</v>
      </c>
      <c r="B668" s="86" t="s">
        <v>852</v>
      </c>
      <c r="C668" s="87"/>
      <c r="D668" s="88" t="s">
        <v>853</v>
      </c>
      <c r="E668" s="43">
        <v>7280000</v>
      </c>
      <c r="F668" s="44">
        <f t="shared" si="34"/>
        <v>582400</v>
      </c>
      <c r="G668" s="45">
        <f t="shared" si="36"/>
        <v>7862400</v>
      </c>
      <c r="H668" s="46">
        <v>7862400</v>
      </c>
      <c r="I668" s="47">
        <f t="shared" si="35"/>
        <v>0</v>
      </c>
      <c r="J668" s="48">
        <v>45238</v>
      </c>
      <c r="K668" s="49">
        <v>45376</v>
      </c>
      <c r="L668" s="50">
        <v>4901033562</v>
      </c>
      <c r="M668" s="51" t="s">
        <v>827</v>
      </c>
      <c r="N668" s="52"/>
      <c r="O668" s="52"/>
      <c r="S668" s="53"/>
    </row>
    <row r="669" spans="1:19" s="2" customFormat="1" ht="16.5" customHeight="1" x14ac:dyDescent="0.35">
      <c r="A669" s="85" t="s">
        <v>37</v>
      </c>
      <c r="B669" s="86" t="s">
        <v>854</v>
      </c>
      <c r="C669" s="87"/>
      <c r="D669" s="88" t="s">
        <v>853</v>
      </c>
      <c r="E669" s="43">
        <v>9600000</v>
      </c>
      <c r="F669" s="44">
        <f t="shared" si="34"/>
        <v>768000</v>
      </c>
      <c r="G669" s="45">
        <f t="shared" si="36"/>
        <v>10368000</v>
      </c>
      <c r="H669" s="46">
        <v>10368000</v>
      </c>
      <c r="I669" s="47">
        <f t="shared" si="35"/>
        <v>0</v>
      </c>
      <c r="J669" s="48">
        <v>45238</v>
      </c>
      <c r="K669" s="49">
        <v>45376</v>
      </c>
      <c r="L669" s="50">
        <v>4901034977</v>
      </c>
      <c r="M669" s="51" t="s">
        <v>827</v>
      </c>
      <c r="N669" s="52"/>
      <c r="O669" s="52"/>
      <c r="S669" s="53"/>
    </row>
    <row r="670" spans="1:19" s="2" customFormat="1" ht="16.5" customHeight="1" x14ac:dyDescent="0.35">
      <c r="A670" s="85" t="s">
        <v>29</v>
      </c>
      <c r="B670" s="86" t="s">
        <v>855</v>
      </c>
      <c r="C670" s="87"/>
      <c r="D670" s="88" t="s">
        <v>853</v>
      </c>
      <c r="E670" s="43">
        <v>8880000</v>
      </c>
      <c r="F670" s="44">
        <f t="shared" si="34"/>
        <v>710400</v>
      </c>
      <c r="G670" s="45">
        <f t="shared" si="36"/>
        <v>9590400</v>
      </c>
      <c r="H670" s="46">
        <v>9590400</v>
      </c>
      <c r="I670" s="47">
        <f t="shared" si="35"/>
        <v>0</v>
      </c>
      <c r="J670" s="48">
        <v>45238</v>
      </c>
      <c r="K670" s="49">
        <v>45376</v>
      </c>
      <c r="L670" s="50">
        <v>4901035135</v>
      </c>
      <c r="M670" s="51" t="s">
        <v>827</v>
      </c>
      <c r="N670" s="52"/>
      <c r="O670" s="52"/>
      <c r="S670" s="53"/>
    </row>
    <row r="671" spans="1:19" s="2" customFormat="1" ht="16.5" customHeight="1" x14ac:dyDescent="0.35">
      <c r="A671" s="85" t="s">
        <v>171</v>
      </c>
      <c r="B671" s="86" t="s">
        <v>856</v>
      </c>
      <c r="C671" s="87">
        <v>3052</v>
      </c>
      <c r="D671" s="88">
        <v>45238</v>
      </c>
      <c r="E671" s="43">
        <v>17244000</v>
      </c>
      <c r="F671" s="44">
        <f t="shared" si="34"/>
        <v>1379520</v>
      </c>
      <c r="G671" s="45">
        <f t="shared" si="36"/>
        <v>18623520</v>
      </c>
      <c r="H671" s="46">
        <v>18623520</v>
      </c>
      <c r="I671" s="47">
        <f t="shared" si="35"/>
        <v>0</v>
      </c>
      <c r="J671" s="48">
        <v>45238</v>
      </c>
      <c r="K671" s="49">
        <v>45376</v>
      </c>
      <c r="L671" s="50">
        <v>4154480387</v>
      </c>
      <c r="M671" s="51" t="s">
        <v>827</v>
      </c>
      <c r="N671" s="52"/>
      <c r="O671" s="52"/>
      <c r="S671" s="53"/>
    </row>
    <row r="672" spans="1:19" s="2" customFormat="1" ht="16.5" customHeight="1" x14ac:dyDescent="0.35">
      <c r="A672" s="85" t="s">
        <v>303</v>
      </c>
      <c r="B672" s="86" t="s">
        <v>857</v>
      </c>
      <c r="C672" s="87"/>
      <c r="D672" s="88" t="s">
        <v>858</v>
      </c>
      <c r="E672" s="43">
        <v>2960000</v>
      </c>
      <c r="F672" s="44">
        <f t="shared" si="34"/>
        <v>236800</v>
      </c>
      <c r="G672" s="45">
        <f t="shared" si="36"/>
        <v>3196800</v>
      </c>
      <c r="H672" s="46">
        <v>3196800</v>
      </c>
      <c r="I672" s="47">
        <f t="shared" si="35"/>
        <v>0</v>
      </c>
      <c r="J672" s="48">
        <v>45238</v>
      </c>
      <c r="K672" s="49">
        <v>45376</v>
      </c>
      <c r="L672" s="50">
        <v>4154515471</v>
      </c>
      <c r="M672" s="51" t="s">
        <v>827</v>
      </c>
      <c r="N672" s="52"/>
      <c r="O672" s="52"/>
      <c r="S672" s="53"/>
    </row>
    <row r="673" spans="1:19" s="2" customFormat="1" ht="16.5" customHeight="1" x14ac:dyDescent="0.35">
      <c r="A673" s="85" t="s">
        <v>37</v>
      </c>
      <c r="B673" s="86" t="s">
        <v>859</v>
      </c>
      <c r="C673" s="87"/>
      <c r="D673" s="88" t="s">
        <v>860</v>
      </c>
      <c r="E673" s="43">
        <v>7120000</v>
      </c>
      <c r="F673" s="44">
        <f t="shared" si="34"/>
        <v>569600</v>
      </c>
      <c r="G673" s="45">
        <f t="shared" si="36"/>
        <v>7689600</v>
      </c>
      <c r="H673" s="46">
        <v>7689600</v>
      </c>
      <c r="I673" s="47">
        <f t="shared" si="35"/>
        <v>0</v>
      </c>
      <c r="J673" s="48">
        <v>45238</v>
      </c>
      <c r="K673" s="49">
        <v>45376</v>
      </c>
      <c r="L673" s="50">
        <v>4901037188</v>
      </c>
      <c r="M673" s="51" t="s">
        <v>827</v>
      </c>
      <c r="N673" s="52"/>
      <c r="O673" s="52"/>
      <c r="S673" s="53"/>
    </row>
    <row r="674" spans="1:19" s="2" customFormat="1" ht="16.5" customHeight="1" x14ac:dyDescent="0.35">
      <c r="A674" s="85" t="s">
        <v>33</v>
      </c>
      <c r="B674" s="86" t="s">
        <v>861</v>
      </c>
      <c r="C674" s="87"/>
      <c r="D674" s="88" t="s">
        <v>860</v>
      </c>
      <c r="E674" s="43">
        <v>3120000</v>
      </c>
      <c r="F674" s="44">
        <f t="shared" si="34"/>
        <v>249600</v>
      </c>
      <c r="G674" s="45">
        <f t="shared" si="36"/>
        <v>3369600</v>
      </c>
      <c r="H674" s="46">
        <v>3369600</v>
      </c>
      <c r="I674" s="47">
        <f t="shared" si="35"/>
        <v>0</v>
      </c>
      <c r="J674" s="48">
        <v>45238</v>
      </c>
      <c r="K674" s="49">
        <v>45376</v>
      </c>
      <c r="L674" s="50">
        <v>4901037134</v>
      </c>
      <c r="M674" s="51" t="s">
        <v>827</v>
      </c>
      <c r="N674" s="52"/>
      <c r="O674" s="52"/>
      <c r="S674" s="53"/>
    </row>
    <row r="675" spans="1:19" s="2" customFormat="1" ht="16.5" customHeight="1" x14ac:dyDescent="0.35">
      <c r="A675" s="85" t="s">
        <v>77</v>
      </c>
      <c r="B675" s="86" t="s">
        <v>862</v>
      </c>
      <c r="C675" s="87"/>
      <c r="D675" s="88" t="s">
        <v>863</v>
      </c>
      <c r="E675" s="43">
        <v>10000000</v>
      </c>
      <c r="F675" s="44">
        <f t="shared" si="34"/>
        <v>800000</v>
      </c>
      <c r="G675" s="45">
        <f t="shared" si="36"/>
        <v>10800000</v>
      </c>
      <c r="H675" s="46">
        <v>10800000</v>
      </c>
      <c r="I675" s="47">
        <f t="shared" si="35"/>
        <v>0</v>
      </c>
      <c r="J675" s="48">
        <v>45257</v>
      </c>
      <c r="K675" s="49">
        <v>45376</v>
      </c>
      <c r="L675" s="65">
        <v>4154629125</v>
      </c>
      <c r="M675" s="51" t="s">
        <v>827</v>
      </c>
      <c r="N675" s="52"/>
      <c r="O675" s="52"/>
      <c r="S675" s="53"/>
    </row>
    <row r="676" spans="1:19" s="2" customFormat="1" ht="16.5" customHeight="1" x14ac:dyDescent="0.35">
      <c r="A676" s="85" t="s">
        <v>171</v>
      </c>
      <c r="B676" s="86" t="s">
        <v>864</v>
      </c>
      <c r="C676" s="87">
        <v>3053</v>
      </c>
      <c r="D676" s="88">
        <v>45238</v>
      </c>
      <c r="E676" s="43">
        <v>13185000</v>
      </c>
      <c r="F676" s="44">
        <f t="shared" si="34"/>
        <v>1054800</v>
      </c>
      <c r="G676" s="45">
        <f t="shared" si="36"/>
        <v>14239800</v>
      </c>
      <c r="H676" s="46">
        <v>14239800</v>
      </c>
      <c r="I676" s="47">
        <f t="shared" si="35"/>
        <v>0</v>
      </c>
      <c r="J676" s="48">
        <v>45238</v>
      </c>
      <c r="K676" s="49">
        <v>45894</v>
      </c>
      <c r="L676" s="50">
        <v>4154619178</v>
      </c>
      <c r="M676" s="51" t="s">
        <v>834</v>
      </c>
      <c r="N676" s="52"/>
      <c r="O676" s="52"/>
      <c r="S676" s="53"/>
    </row>
    <row r="677" spans="1:19" s="2" customFormat="1" ht="16.5" customHeight="1" x14ac:dyDescent="0.35">
      <c r="A677" s="85" t="s">
        <v>77</v>
      </c>
      <c r="B677" s="86" t="s">
        <v>865</v>
      </c>
      <c r="C677" s="87"/>
      <c r="D677" s="88" t="s">
        <v>866</v>
      </c>
      <c r="E677" s="43">
        <v>2640000</v>
      </c>
      <c r="F677" s="44">
        <f t="shared" si="34"/>
        <v>211200</v>
      </c>
      <c r="G677" s="45">
        <f t="shared" si="36"/>
        <v>2851200</v>
      </c>
      <c r="H677" s="46">
        <v>2851200</v>
      </c>
      <c r="I677" s="47">
        <f t="shared" si="35"/>
        <v>0</v>
      </c>
      <c r="J677" s="48">
        <v>45257</v>
      </c>
      <c r="K677" s="49">
        <v>45376</v>
      </c>
      <c r="L677" s="65">
        <v>4154651415</v>
      </c>
      <c r="M677" s="51" t="s">
        <v>827</v>
      </c>
      <c r="N677" s="52"/>
      <c r="O677" s="52"/>
      <c r="S677" s="53"/>
    </row>
    <row r="678" spans="1:19" s="2" customFormat="1" ht="16.5" customHeight="1" x14ac:dyDescent="0.35">
      <c r="A678" s="85" t="s">
        <v>71</v>
      </c>
      <c r="B678" s="86" t="s">
        <v>867</v>
      </c>
      <c r="C678" s="87"/>
      <c r="D678" s="88" t="s">
        <v>868</v>
      </c>
      <c r="E678" s="43">
        <v>1728000</v>
      </c>
      <c r="F678" s="44">
        <f t="shared" si="34"/>
        <v>138240</v>
      </c>
      <c r="G678" s="45">
        <f t="shared" si="36"/>
        <v>1866240</v>
      </c>
      <c r="H678" s="46">
        <v>1866240</v>
      </c>
      <c r="I678" s="47">
        <f t="shared" si="35"/>
        <v>0</v>
      </c>
      <c r="J678" s="48">
        <v>45257</v>
      </c>
      <c r="K678" s="49">
        <v>45376</v>
      </c>
      <c r="L678" s="65">
        <v>4154738630</v>
      </c>
      <c r="M678" s="51" t="s">
        <v>827</v>
      </c>
      <c r="N678" s="52"/>
      <c r="O678" s="52"/>
      <c r="S678" s="53"/>
    </row>
    <row r="679" spans="1:19" s="2" customFormat="1" ht="16.5" customHeight="1" x14ac:dyDescent="0.35">
      <c r="A679" s="85" t="s">
        <v>171</v>
      </c>
      <c r="B679" s="86" t="s">
        <v>869</v>
      </c>
      <c r="C679" s="87">
        <v>3242</v>
      </c>
      <c r="D679" s="88">
        <v>45257</v>
      </c>
      <c r="E679" s="43">
        <v>26829500</v>
      </c>
      <c r="F679" s="44">
        <f t="shared" si="34"/>
        <v>2146360</v>
      </c>
      <c r="G679" s="45">
        <f t="shared" si="36"/>
        <v>28975860</v>
      </c>
      <c r="H679" s="46">
        <v>28975860</v>
      </c>
      <c r="I679" s="47">
        <f t="shared" si="35"/>
        <v>0</v>
      </c>
      <c r="J679" s="48">
        <v>45257</v>
      </c>
      <c r="K679" s="49">
        <v>45376</v>
      </c>
      <c r="L679" s="65">
        <v>4154770530</v>
      </c>
      <c r="M679" s="51" t="s">
        <v>827</v>
      </c>
      <c r="N679" s="52"/>
      <c r="O679" s="52"/>
      <c r="S679" s="53"/>
    </row>
    <row r="680" spans="1:19" s="2" customFormat="1" ht="16.5" customHeight="1" x14ac:dyDescent="0.35">
      <c r="A680" s="85" t="s">
        <v>37</v>
      </c>
      <c r="B680" s="86" t="s">
        <v>870</v>
      </c>
      <c r="C680" s="87"/>
      <c r="D680" s="88" t="s">
        <v>871</v>
      </c>
      <c r="E680" s="43">
        <v>10960000</v>
      </c>
      <c r="F680" s="44">
        <f t="shared" si="34"/>
        <v>876800</v>
      </c>
      <c r="G680" s="45">
        <f t="shared" si="36"/>
        <v>11836800</v>
      </c>
      <c r="H680" s="46">
        <v>11836800</v>
      </c>
      <c r="I680" s="47">
        <f t="shared" si="35"/>
        <v>0</v>
      </c>
      <c r="J680" s="48">
        <v>45257</v>
      </c>
      <c r="K680" s="49">
        <v>45376</v>
      </c>
      <c r="L680" s="65">
        <v>4901040990</v>
      </c>
      <c r="M680" s="51" t="s">
        <v>827</v>
      </c>
      <c r="N680" s="52"/>
      <c r="O680" s="52"/>
      <c r="S680" s="53"/>
    </row>
    <row r="681" spans="1:19" s="2" customFormat="1" ht="16.5" customHeight="1" x14ac:dyDescent="0.35">
      <c r="A681" s="85" t="s">
        <v>171</v>
      </c>
      <c r="B681" s="86" t="s">
        <v>872</v>
      </c>
      <c r="C681" s="87">
        <v>3243</v>
      </c>
      <c r="D681" s="88">
        <v>45257</v>
      </c>
      <c r="E681" s="43">
        <v>16116000</v>
      </c>
      <c r="F681" s="44">
        <f t="shared" si="34"/>
        <v>1289280</v>
      </c>
      <c r="G681" s="45">
        <f t="shared" si="36"/>
        <v>17405280</v>
      </c>
      <c r="H681" s="46">
        <v>17405280</v>
      </c>
      <c r="I681" s="47">
        <f t="shared" si="35"/>
        <v>0</v>
      </c>
      <c r="J681" s="48">
        <v>45257</v>
      </c>
      <c r="K681" s="49">
        <v>45376</v>
      </c>
      <c r="L681" s="65">
        <v>4154850117</v>
      </c>
      <c r="M681" s="51" t="s">
        <v>827</v>
      </c>
      <c r="N681" s="52"/>
      <c r="O681" s="52"/>
      <c r="S681" s="53"/>
    </row>
    <row r="682" spans="1:19" s="2" customFormat="1" ht="16.5" customHeight="1" x14ac:dyDescent="0.35">
      <c r="A682" s="85" t="s">
        <v>186</v>
      </c>
      <c r="B682" s="86" t="s">
        <v>873</v>
      </c>
      <c r="C682" s="87"/>
      <c r="D682" s="88" t="s">
        <v>874</v>
      </c>
      <c r="E682" s="43">
        <v>2960000</v>
      </c>
      <c r="F682" s="44">
        <f t="shared" si="34"/>
        <v>236800</v>
      </c>
      <c r="G682" s="45">
        <f t="shared" si="36"/>
        <v>3196800</v>
      </c>
      <c r="H682" s="46">
        <v>3196800</v>
      </c>
      <c r="I682" s="47">
        <f t="shared" si="35"/>
        <v>0</v>
      </c>
      <c r="J682" s="48">
        <v>45257</v>
      </c>
      <c r="K682" s="49">
        <v>45376</v>
      </c>
      <c r="L682" s="65">
        <v>4154864388</v>
      </c>
      <c r="M682" s="51" t="s">
        <v>827</v>
      </c>
      <c r="N682" s="52"/>
      <c r="O682" s="52"/>
      <c r="S682" s="53"/>
    </row>
    <row r="683" spans="1:19" s="2" customFormat="1" ht="16.5" customHeight="1" x14ac:dyDescent="0.35">
      <c r="A683" s="85" t="s">
        <v>37</v>
      </c>
      <c r="B683" s="86" t="s">
        <v>875</v>
      </c>
      <c r="C683" s="87"/>
      <c r="D683" s="88" t="s">
        <v>876</v>
      </c>
      <c r="E683" s="43">
        <v>2664000</v>
      </c>
      <c r="F683" s="44">
        <f t="shared" si="34"/>
        <v>213120</v>
      </c>
      <c r="G683" s="45">
        <f t="shared" si="36"/>
        <v>2877120</v>
      </c>
      <c r="H683" s="46">
        <v>2877120</v>
      </c>
      <c r="I683" s="47">
        <f t="shared" si="35"/>
        <v>0</v>
      </c>
      <c r="J683" s="48">
        <v>45257</v>
      </c>
      <c r="K683" s="49">
        <v>45376</v>
      </c>
      <c r="L683" s="65">
        <v>4901042262</v>
      </c>
      <c r="M683" s="51" t="s">
        <v>827</v>
      </c>
      <c r="N683" s="52"/>
      <c r="O683" s="52"/>
      <c r="S683" s="53"/>
    </row>
    <row r="684" spans="1:19" s="2" customFormat="1" ht="16.5" customHeight="1" x14ac:dyDescent="0.35">
      <c r="A684" s="85" t="s">
        <v>77</v>
      </c>
      <c r="B684" s="86" t="s">
        <v>877</v>
      </c>
      <c r="C684" s="87">
        <v>3244</v>
      </c>
      <c r="D684" s="88">
        <v>45257</v>
      </c>
      <c r="E684" s="43">
        <v>6685000</v>
      </c>
      <c r="F684" s="44">
        <f t="shared" si="34"/>
        <v>534800</v>
      </c>
      <c r="G684" s="45">
        <f t="shared" si="36"/>
        <v>7219800</v>
      </c>
      <c r="H684" s="46">
        <v>7219800</v>
      </c>
      <c r="I684" s="47">
        <f t="shared" si="35"/>
        <v>0</v>
      </c>
      <c r="J684" s="48">
        <v>45257</v>
      </c>
      <c r="K684" s="49">
        <v>45376</v>
      </c>
      <c r="L684" s="50">
        <v>4154892585</v>
      </c>
      <c r="M684" s="51" t="s">
        <v>827</v>
      </c>
      <c r="N684" s="52"/>
      <c r="O684" s="52"/>
      <c r="S684" s="53"/>
    </row>
    <row r="685" spans="1:19" s="2" customFormat="1" ht="16.5" customHeight="1" x14ac:dyDescent="0.35">
      <c r="A685" s="85" t="s">
        <v>171</v>
      </c>
      <c r="B685" s="86" t="s">
        <v>878</v>
      </c>
      <c r="C685" s="87">
        <v>3245</v>
      </c>
      <c r="D685" s="88">
        <v>45257</v>
      </c>
      <c r="E685" s="43">
        <v>16881000</v>
      </c>
      <c r="F685" s="44">
        <f t="shared" si="34"/>
        <v>1350480</v>
      </c>
      <c r="G685" s="45">
        <f t="shared" si="36"/>
        <v>18231480</v>
      </c>
      <c r="H685" s="46">
        <v>18231480</v>
      </c>
      <c r="I685" s="47">
        <f t="shared" si="35"/>
        <v>0</v>
      </c>
      <c r="J685" s="48">
        <v>45257</v>
      </c>
      <c r="K685" s="49">
        <v>45376</v>
      </c>
      <c r="L685" s="50">
        <v>4154961305</v>
      </c>
      <c r="M685" s="51" t="s">
        <v>827</v>
      </c>
      <c r="N685" s="52"/>
      <c r="O685" s="52"/>
      <c r="S685" s="53"/>
    </row>
    <row r="686" spans="1:19" s="2" customFormat="1" ht="16.5" customHeight="1" x14ac:dyDescent="0.35">
      <c r="A686" s="85" t="s">
        <v>37</v>
      </c>
      <c r="B686" s="86" t="s">
        <v>879</v>
      </c>
      <c r="C686" s="87"/>
      <c r="D686" s="88" t="s">
        <v>880</v>
      </c>
      <c r="E686" s="43">
        <v>3568500</v>
      </c>
      <c r="F686" s="44">
        <f t="shared" si="34"/>
        <v>285480</v>
      </c>
      <c r="G686" s="45">
        <f t="shared" si="36"/>
        <v>3853980</v>
      </c>
      <c r="H686" s="46">
        <v>3853980</v>
      </c>
      <c r="I686" s="47">
        <f t="shared" si="35"/>
        <v>0</v>
      </c>
      <c r="J686" s="48">
        <v>45257</v>
      </c>
      <c r="K686" s="49">
        <v>45376</v>
      </c>
      <c r="L686" s="50">
        <v>4901043204</v>
      </c>
      <c r="M686" s="51" t="s">
        <v>827</v>
      </c>
      <c r="N686" s="52"/>
      <c r="O686" s="52"/>
      <c r="S686" s="53"/>
    </row>
    <row r="687" spans="1:19" s="2" customFormat="1" ht="16.5" customHeight="1" x14ac:dyDescent="0.35">
      <c r="A687" s="85" t="s">
        <v>77</v>
      </c>
      <c r="B687" s="86" t="s">
        <v>881</v>
      </c>
      <c r="C687" s="87">
        <v>3246</v>
      </c>
      <c r="D687" s="88">
        <v>45257</v>
      </c>
      <c r="E687" s="43">
        <v>17200000</v>
      </c>
      <c r="F687" s="44">
        <f t="shared" si="34"/>
        <v>1376000</v>
      </c>
      <c r="G687" s="45">
        <f t="shared" si="36"/>
        <v>18576000</v>
      </c>
      <c r="H687" s="46">
        <v>18576000</v>
      </c>
      <c r="I687" s="47">
        <f t="shared" si="35"/>
        <v>0</v>
      </c>
      <c r="J687" s="48">
        <v>45257</v>
      </c>
      <c r="K687" s="49">
        <v>45376</v>
      </c>
      <c r="L687" s="50">
        <v>4155043101</v>
      </c>
      <c r="M687" s="51" t="s">
        <v>827</v>
      </c>
      <c r="N687" s="52"/>
      <c r="O687" s="52"/>
      <c r="S687" s="53"/>
    </row>
    <row r="688" spans="1:19" s="2" customFormat="1" ht="16.5" customHeight="1" x14ac:dyDescent="0.35">
      <c r="A688" s="85" t="s">
        <v>37</v>
      </c>
      <c r="B688" s="86" t="s">
        <v>882</v>
      </c>
      <c r="C688" s="87"/>
      <c r="D688" s="88" t="s">
        <v>883</v>
      </c>
      <c r="E688" s="43">
        <v>12000000</v>
      </c>
      <c r="F688" s="44">
        <f t="shared" si="34"/>
        <v>960000</v>
      </c>
      <c r="G688" s="45">
        <f t="shared" si="36"/>
        <v>12960000</v>
      </c>
      <c r="H688" s="46">
        <v>12960000</v>
      </c>
      <c r="I688" s="47">
        <f t="shared" si="35"/>
        <v>0</v>
      </c>
      <c r="J688" s="48">
        <v>45257</v>
      </c>
      <c r="K688" s="49">
        <v>45376</v>
      </c>
      <c r="L688" s="50">
        <v>4901044556</v>
      </c>
      <c r="M688" s="51" t="s">
        <v>827</v>
      </c>
      <c r="N688" s="52"/>
      <c r="O688" s="52"/>
      <c r="S688" s="53"/>
    </row>
    <row r="689" spans="1:19" s="2" customFormat="1" ht="16.5" customHeight="1" x14ac:dyDescent="0.35">
      <c r="A689" s="85" t="s">
        <v>29</v>
      </c>
      <c r="B689" s="86" t="s">
        <v>884</v>
      </c>
      <c r="C689" s="87"/>
      <c r="D689" s="88" t="s">
        <v>883</v>
      </c>
      <c r="E689" s="43">
        <v>5760000</v>
      </c>
      <c r="F689" s="44">
        <f t="shared" si="34"/>
        <v>460800</v>
      </c>
      <c r="G689" s="45">
        <f t="shared" si="36"/>
        <v>6220800</v>
      </c>
      <c r="H689" s="46">
        <v>6220800</v>
      </c>
      <c r="I689" s="47">
        <f t="shared" si="35"/>
        <v>0</v>
      </c>
      <c r="J689" s="48">
        <v>45269</v>
      </c>
      <c r="K689" s="49">
        <v>45376</v>
      </c>
      <c r="L689" s="50">
        <v>4901046012</v>
      </c>
      <c r="M689" s="51" t="s">
        <v>827</v>
      </c>
      <c r="N689" s="52"/>
      <c r="O689" s="52"/>
      <c r="S689" s="53"/>
    </row>
    <row r="690" spans="1:19" s="2" customFormat="1" ht="16.5" customHeight="1" x14ac:dyDescent="0.35">
      <c r="A690" s="85" t="s">
        <v>116</v>
      </c>
      <c r="B690" s="86" t="s">
        <v>885</v>
      </c>
      <c r="C690" s="87"/>
      <c r="D690" s="88" t="s">
        <v>886</v>
      </c>
      <c r="E690" s="43">
        <v>3580000</v>
      </c>
      <c r="F690" s="44">
        <f t="shared" si="34"/>
        <v>286400</v>
      </c>
      <c r="G690" s="45">
        <f t="shared" si="36"/>
        <v>3866400</v>
      </c>
      <c r="H690" s="46">
        <v>3866400</v>
      </c>
      <c r="I690" s="47">
        <f t="shared" si="35"/>
        <v>0</v>
      </c>
      <c r="J690" s="48">
        <v>45269</v>
      </c>
      <c r="K690" s="49">
        <v>45376</v>
      </c>
      <c r="L690" s="50">
        <v>4155128092</v>
      </c>
      <c r="M690" s="51" t="s">
        <v>827</v>
      </c>
      <c r="N690" s="52"/>
      <c r="O690" s="52"/>
      <c r="S690" s="53"/>
    </row>
    <row r="691" spans="1:19" s="2" customFormat="1" ht="16.5" customHeight="1" x14ac:dyDescent="0.35">
      <c r="A691" s="85" t="s">
        <v>37</v>
      </c>
      <c r="B691" s="86" t="s">
        <v>887</v>
      </c>
      <c r="C691" s="87"/>
      <c r="D691" s="88" t="s">
        <v>888</v>
      </c>
      <c r="E691" s="43">
        <v>17895000</v>
      </c>
      <c r="F691" s="44">
        <f t="shared" si="34"/>
        <v>1431600</v>
      </c>
      <c r="G691" s="45">
        <f t="shared" si="36"/>
        <v>19326600</v>
      </c>
      <c r="H691" s="46">
        <v>19326600</v>
      </c>
      <c r="I691" s="47">
        <f t="shared" si="35"/>
        <v>0</v>
      </c>
      <c r="J691" s="48">
        <v>45269</v>
      </c>
      <c r="K691" s="49">
        <v>45376</v>
      </c>
      <c r="L691" s="50">
        <v>4901047377</v>
      </c>
      <c r="M691" s="51" t="s">
        <v>827</v>
      </c>
      <c r="N691" s="52"/>
      <c r="O691" s="52"/>
      <c r="S691" s="53"/>
    </row>
    <row r="692" spans="1:19" s="2" customFormat="1" ht="16.5" customHeight="1" x14ac:dyDescent="0.35">
      <c r="A692" s="85" t="s">
        <v>29</v>
      </c>
      <c r="B692" s="86" t="s">
        <v>889</v>
      </c>
      <c r="C692" s="87"/>
      <c r="D692" s="88" t="s">
        <v>890</v>
      </c>
      <c r="E692" s="43">
        <v>3120000</v>
      </c>
      <c r="F692" s="44">
        <f t="shared" si="34"/>
        <v>249600</v>
      </c>
      <c r="G692" s="45">
        <f t="shared" si="36"/>
        <v>3369600</v>
      </c>
      <c r="H692" s="46">
        <v>3369600</v>
      </c>
      <c r="I692" s="47">
        <f t="shared" si="35"/>
        <v>0</v>
      </c>
      <c r="J692" s="48">
        <v>45269</v>
      </c>
      <c r="K692" s="49">
        <v>45376</v>
      </c>
      <c r="L692" s="50">
        <v>4901047557</v>
      </c>
      <c r="M692" s="51" t="s">
        <v>827</v>
      </c>
      <c r="N692" s="52"/>
      <c r="O692" s="52"/>
      <c r="S692" s="53"/>
    </row>
    <row r="693" spans="1:19" s="2" customFormat="1" ht="16.5" customHeight="1" x14ac:dyDescent="0.35">
      <c r="A693" s="85" t="s">
        <v>33</v>
      </c>
      <c r="B693" s="86" t="s">
        <v>891</v>
      </c>
      <c r="C693" s="87"/>
      <c r="D693" s="88" t="s">
        <v>890</v>
      </c>
      <c r="E693" s="43">
        <v>3120000</v>
      </c>
      <c r="F693" s="44">
        <f t="shared" si="34"/>
        <v>249600</v>
      </c>
      <c r="G693" s="45">
        <f t="shared" si="36"/>
        <v>3369600</v>
      </c>
      <c r="H693" s="46">
        <v>3369600</v>
      </c>
      <c r="I693" s="47">
        <f t="shared" si="35"/>
        <v>0</v>
      </c>
      <c r="J693" s="48">
        <v>45269</v>
      </c>
      <c r="K693" s="49">
        <v>45376</v>
      </c>
      <c r="L693" s="50">
        <v>4901047425</v>
      </c>
      <c r="M693" s="51" t="s">
        <v>827</v>
      </c>
      <c r="N693" s="52"/>
      <c r="O693" s="52"/>
      <c r="S693" s="53"/>
    </row>
    <row r="694" spans="1:19" s="2" customFormat="1" ht="16.5" customHeight="1" x14ac:dyDescent="0.35">
      <c r="A694" s="85" t="s">
        <v>29</v>
      </c>
      <c r="B694" s="86" t="s">
        <v>892</v>
      </c>
      <c r="C694" s="87">
        <v>3617</v>
      </c>
      <c r="D694" s="88">
        <v>45269</v>
      </c>
      <c r="E694" s="43">
        <v>11760000</v>
      </c>
      <c r="F694" s="44">
        <f t="shared" si="34"/>
        <v>940800</v>
      </c>
      <c r="G694" s="45">
        <f t="shared" si="36"/>
        <v>12700800</v>
      </c>
      <c r="H694" s="46">
        <v>12700800</v>
      </c>
      <c r="I694" s="47">
        <f t="shared" si="35"/>
        <v>0</v>
      </c>
      <c r="J694" s="48">
        <v>45269</v>
      </c>
      <c r="K694" s="49">
        <v>45376</v>
      </c>
      <c r="L694" s="50">
        <v>4901047962</v>
      </c>
      <c r="M694" s="51" t="s">
        <v>827</v>
      </c>
      <c r="N694" s="52"/>
      <c r="O694" s="52"/>
      <c r="S694" s="53"/>
    </row>
    <row r="695" spans="1:19" s="2" customFormat="1" ht="16.5" customHeight="1" x14ac:dyDescent="0.35">
      <c r="A695" s="85" t="s">
        <v>77</v>
      </c>
      <c r="B695" s="86" t="s">
        <v>893</v>
      </c>
      <c r="C695" s="87"/>
      <c r="D695" s="88" t="s">
        <v>894</v>
      </c>
      <c r="E695" s="43">
        <v>20320000</v>
      </c>
      <c r="F695" s="44">
        <f t="shared" si="34"/>
        <v>1625600</v>
      </c>
      <c r="G695" s="45">
        <f t="shared" si="36"/>
        <v>21945600</v>
      </c>
      <c r="H695" s="46">
        <v>21945600</v>
      </c>
      <c r="I695" s="47">
        <f t="shared" si="35"/>
        <v>0</v>
      </c>
      <c r="J695" s="48">
        <v>45269</v>
      </c>
      <c r="K695" s="49">
        <v>45376</v>
      </c>
      <c r="L695" s="50">
        <v>4155315113</v>
      </c>
      <c r="M695" s="51" t="s">
        <v>827</v>
      </c>
      <c r="N695" s="52"/>
      <c r="O695" s="52"/>
      <c r="S695" s="53"/>
    </row>
    <row r="696" spans="1:19" s="2" customFormat="1" ht="16.5" customHeight="1" x14ac:dyDescent="0.35">
      <c r="A696" s="85" t="s">
        <v>37</v>
      </c>
      <c r="B696" s="86" t="s">
        <v>895</v>
      </c>
      <c r="C696" s="87"/>
      <c r="D696" s="88" t="s">
        <v>894</v>
      </c>
      <c r="E696" s="43">
        <v>16055000</v>
      </c>
      <c r="F696" s="44">
        <f t="shared" si="34"/>
        <v>1284400</v>
      </c>
      <c r="G696" s="45">
        <f t="shared" si="36"/>
        <v>17339400</v>
      </c>
      <c r="H696" s="46">
        <v>17339400</v>
      </c>
      <c r="I696" s="47">
        <f t="shared" si="35"/>
        <v>0</v>
      </c>
      <c r="J696" s="48">
        <v>45278</v>
      </c>
      <c r="K696" s="49">
        <v>45376</v>
      </c>
      <c r="L696" s="50">
        <v>4901051074</v>
      </c>
      <c r="M696" s="51" t="s">
        <v>827</v>
      </c>
      <c r="N696" s="52"/>
      <c r="O696" s="52"/>
      <c r="S696" s="53"/>
    </row>
    <row r="697" spans="1:19" s="2" customFormat="1" ht="16.5" customHeight="1" x14ac:dyDescent="0.35">
      <c r="A697" s="85" t="s">
        <v>37</v>
      </c>
      <c r="B697" s="86" t="s">
        <v>896</v>
      </c>
      <c r="C697" s="87"/>
      <c r="D697" s="88" t="s">
        <v>897</v>
      </c>
      <c r="E697" s="43">
        <v>936000</v>
      </c>
      <c r="F697" s="44">
        <f t="shared" si="34"/>
        <v>74880</v>
      </c>
      <c r="G697" s="45">
        <f t="shared" si="36"/>
        <v>1010880</v>
      </c>
      <c r="H697" s="46">
        <v>1010880</v>
      </c>
      <c r="I697" s="47">
        <f t="shared" si="35"/>
        <v>0</v>
      </c>
      <c r="J697" s="48">
        <v>45269</v>
      </c>
      <c r="K697" s="49">
        <v>45376</v>
      </c>
      <c r="L697" s="50">
        <v>4901051528</v>
      </c>
      <c r="M697" s="51" t="s">
        <v>827</v>
      </c>
      <c r="N697" s="52"/>
      <c r="O697" s="52"/>
      <c r="S697" s="53"/>
    </row>
    <row r="698" spans="1:19" s="2" customFormat="1" ht="16.5" customHeight="1" x14ac:dyDescent="0.35">
      <c r="A698" s="85" t="s">
        <v>33</v>
      </c>
      <c r="B698" s="86" t="s">
        <v>898</v>
      </c>
      <c r="C698" s="87">
        <v>3794</v>
      </c>
      <c r="D698" s="88">
        <v>45278</v>
      </c>
      <c r="E698" s="43">
        <v>63881500</v>
      </c>
      <c r="F698" s="44">
        <f t="shared" si="34"/>
        <v>5110520</v>
      </c>
      <c r="G698" s="45">
        <f t="shared" si="36"/>
        <v>68992020</v>
      </c>
      <c r="H698" s="46">
        <v>68992020</v>
      </c>
      <c r="I698" s="47">
        <f t="shared" si="35"/>
        <v>0</v>
      </c>
      <c r="J698" s="48">
        <v>45278</v>
      </c>
      <c r="K698" s="49">
        <v>45376</v>
      </c>
      <c r="L698" s="50">
        <v>4155332783</v>
      </c>
      <c r="M698" s="51" t="s">
        <v>827</v>
      </c>
      <c r="N698" s="52"/>
      <c r="O698" s="52"/>
      <c r="S698" s="53"/>
    </row>
    <row r="699" spans="1:19" s="2" customFormat="1" ht="16.5" customHeight="1" x14ac:dyDescent="0.35">
      <c r="A699" s="85" t="s">
        <v>29</v>
      </c>
      <c r="B699" s="86" t="s">
        <v>899</v>
      </c>
      <c r="C699" s="87">
        <v>3795</v>
      </c>
      <c r="D699" s="88">
        <v>45278</v>
      </c>
      <c r="E699" s="43">
        <v>3042000</v>
      </c>
      <c r="F699" s="44">
        <f t="shared" si="34"/>
        <v>243360</v>
      </c>
      <c r="G699" s="45">
        <f t="shared" si="36"/>
        <v>3285360</v>
      </c>
      <c r="H699" s="46">
        <v>3285360</v>
      </c>
      <c r="I699" s="47">
        <f t="shared" si="35"/>
        <v>0</v>
      </c>
      <c r="J699" s="48">
        <v>45278</v>
      </c>
      <c r="K699" s="49">
        <v>45376</v>
      </c>
      <c r="L699" s="50">
        <v>4901051550</v>
      </c>
      <c r="M699" s="51" t="s">
        <v>827</v>
      </c>
      <c r="N699" s="52"/>
      <c r="O699" s="52"/>
      <c r="S699" s="53"/>
    </row>
    <row r="700" spans="1:19" s="2" customFormat="1" ht="16.5" customHeight="1" x14ac:dyDescent="0.35">
      <c r="A700" s="85" t="s">
        <v>185</v>
      </c>
      <c r="B700" s="86" t="s">
        <v>900</v>
      </c>
      <c r="C700" s="87"/>
      <c r="D700" s="88" t="s">
        <v>901</v>
      </c>
      <c r="E700" s="43">
        <v>17040000</v>
      </c>
      <c r="F700" s="44">
        <f t="shared" si="34"/>
        <v>1363200</v>
      </c>
      <c r="G700" s="45">
        <f t="shared" si="36"/>
        <v>18403200</v>
      </c>
      <c r="H700" s="46">
        <v>18403200</v>
      </c>
      <c r="I700" s="47">
        <f t="shared" si="35"/>
        <v>0</v>
      </c>
      <c r="J700" s="48">
        <v>45278</v>
      </c>
      <c r="K700" s="49">
        <v>45376</v>
      </c>
      <c r="L700" s="50">
        <v>4901054114</v>
      </c>
      <c r="M700" s="51" t="s">
        <v>827</v>
      </c>
      <c r="N700" s="52"/>
      <c r="O700" s="52"/>
      <c r="S700" s="53"/>
    </row>
    <row r="701" spans="1:19" s="2" customFormat="1" ht="16.5" customHeight="1" x14ac:dyDescent="0.35">
      <c r="A701" s="85" t="s">
        <v>33</v>
      </c>
      <c r="B701" s="86" t="s">
        <v>902</v>
      </c>
      <c r="C701" s="87">
        <v>3796</v>
      </c>
      <c r="D701" s="88">
        <v>45278</v>
      </c>
      <c r="E701" s="43">
        <v>67973000</v>
      </c>
      <c r="F701" s="44">
        <f t="shared" si="34"/>
        <v>5437840</v>
      </c>
      <c r="G701" s="45">
        <f t="shared" si="36"/>
        <v>73410840</v>
      </c>
      <c r="H701" s="46">
        <v>73410840</v>
      </c>
      <c r="I701" s="47">
        <f t="shared" si="35"/>
        <v>0</v>
      </c>
      <c r="J701" s="48">
        <v>45278</v>
      </c>
      <c r="K701" s="49">
        <v>45376</v>
      </c>
      <c r="L701" s="50">
        <v>4901054272</v>
      </c>
      <c r="M701" s="51" t="s">
        <v>827</v>
      </c>
      <c r="N701" s="52"/>
      <c r="O701" s="52"/>
      <c r="S701" s="53"/>
    </row>
    <row r="702" spans="1:19" s="2" customFormat="1" ht="16.5" customHeight="1" x14ac:dyDescent="0.35">
      <c r="A702" s="85" t="s">
        <v>29</v>
      </c>
      <c r="B702" s="86" t="s">
        <v>903</v>
      </c>
      <c r="C702" s="87">
        <v>4001</v>
      </c>
      <c r="D702" s="88">
        <v>45289</v>
      </c>
      <c r="E702" s="43">
        <v>15592000</v>
      </c>
      <c r="F702" s="44">
        <f t="shared" si="34"/>
        <v>1247360</v>
      </c>
      <c r="G702" s="45">
        <f t="shared" si="36"/>
        <v>16839360</v>
      </c>
      <c r="H702" s="46">
        <v>16839360</v>
      </c>
      <c r="I702" s="47">
        <f t="shared" si="35"/>
        <v>0</v>
      </c>
      <c r="J702" s="48">
        <v>45289</v>
      </c>
      <c r="K702" s="49">
        <v>45376</v>
      </c>
      <c r="L702" s="50">
        <v>4901054425</v>
      </c>
      <c r="M702" s="51" t="s">
        <v>827</v>
      </c>
      <c r="N702" s="52"/>
      <c r="O702" s="52"/>
      <c r="S702" s="53"/>
    </row>
    <row r="703" spans="1:19" s="2" customFormat="1" ht="16.5" customHeight="1" x14ac:dyDescent="0.35">
      <c r="A703" s="85" t="s">
        <v>29</v>
      </c>
      <c r="B703" s="86" t="s">
        <v>904</v>
      </c>
      <c r="C703" s="87">
        <v>4002</v>
      </c>
      <c r="D703" s="88">
        <v>45289</v>
      </c>
      <c r="E703" s="43">
        <v>54815500</v>
      </c>
      <c r="F703" s="44">
        <f t="shared" ref="F703:F766" si="37">+E703*0.08</f>
        <v>4385240</v>
      </c>
      <c r="G703" s="45">
        <f t="shared" si="36"/>
        <v>59200740</v>
      </c>
      <c r="H703" s="46">
        <v>59200740</v>
      </c>
      <c r="I703" s="47">
        <f t="shared" si="35"/>
        <v>0</v>
      </c>
      <c r="J703" s="48">
        <v>45289</v>
      </c>
      <c r="K703" s="49">
        <v>45376</v>
      </c>
      <c r="L703" s="50">
        <v>4901058843</v>
      </c>
      <c r="M703" s="51" t="s">
        <v>827</v>
      </c>
      <c r="N703" s="52"/>
      <c r="O703" s="52"/>
      <c r="S703" s="53"/>
    </row>
    <row r="704" spans="1:19" s="2" customFormat="1" ht="16.5" customHeight="1" x14ac:dyDescent="0.35">
      <c r="A704" s="85" t="s">
        <v>29</v>
      </c>
      <c r="B704" s="86" t="s">
        <v>905</v>
      </c>
      <c r="C704" s="87">
        <v>4003</v>
      </c>
      <c r="D704" s="88">
        <v>45289</v>
      </c>
      <c r="E704" s="43">
        <v>4464000</v>
      </c>
      <c r="F704" s="44">
        <f t="shared" si="37"/>
        <v>357120</v>
      </c>
      <c r="G704" s="45">
        <f t="shared" si="36"/>
        <v>4821120</v>
      </c>
      <c r="H704" s="46">
        <v>4821120</v>
      </c>
      <c r="I704" s="47">
        <f t="shared" si="35"/>
        <v>0</v>
      </c>
      <c r="J704" s="48">
        <v>45289</v>
      </c>
      <c r="K704" s="49">
        <v>45376</v>
      </c>
      <c r="L704" s="50">
        <v>4901058863</v>
      </c>
      <c r="M704" s="51" t="s">
        <v>827</v>
      </c>
      <c r="N704" s="52"/>
      <c r="O704" s="52"/>
      <c r="S704" s="53"/>
    </row>
    <row r="705" spans="1:19" s="2" customFormat="1" ht="16.5" customHeight="1" x14ac:dyDescent="0.35">
      <c r="A705" s="85" t="s">
        <v>33</v>
      </c>
      <c r="B705" s="86" t="s">
        <v>906</v>
      </c>
      <c r="C705" s="87">
        <v>4004</v>
      </c>
      <c r="D705" s="88">
        <v>45289</v>
      </c>
      <c r="E705" s="43">
        <v>7792000</v>
      </c>
      <c r="F705" s="44">
        <f t="shared" si="37"/>
        <v>623360</v>
      </c>
      <c r="G705" s="45">
        <f t="shared" si="36"/>
        <v>8415360</v>
      </c>
      <c r="H705" s="46">
        <v>8415360</v>
      </c>
      <c r="I705" s="47">
        <f t="shared" si="35"/>
        <v>0</v>
      </c>
      <c r="J705" s="48">
        <v>45289</v>
      </c>
      <c r="K705" s="49">
        <v>45376</v>
      </c>
      <c r="L705" s="50">
        <v>4901058687</v>
      </c>
      <c r="M705" s="51" t="s">
        <v>827</v>
      </c>
      <c r="N705" s="52"/>
      <c r="O705" s="52"/>
      <c r="S705" s="53"/>
    </row>
    <row r="706" spans="1:19" s="2" customFormat="1" ht="16.5" customHeight="1" x14ac:dyDescent="0.35">
      <c r="A706" s="85" t="s">
        <v>37</v>
      </c>
      <c r="B706" s="86" t="s">
        <v>907</v>
      </c>
      <c r="C706" s="87">
        <v>4005</v>
      </c>
      <c r="D706" s="88">
        <v>45289</v>
      </c>
      <c r="E706" s="43">
        <v>19788000</v>
      </c>
      <c r="F706" s="44">
        <f t="shared" si="37"/>
        <v>1583040</v>
      </c>
      <c r="G706" s="45">
        <f t="shared" si="36"/>
        <v>21371040</v>
      </c>
      <c r="H706" s="46">
        <v>21371040</v>
      </c>
      <c r="I706" s="47">
        <f t="shared" si="35"/>
        <v>0</v>
      </c>
      <c r="J706" s="48">
        <v>45289</v>
      </c>
      <c r="K706" s="49">
        <v>45376</v>
      </c>
      <c r="L706" s="50">
        <v>4901058114</v>
      </c>
      <c r="M706" s="51" t="s">
        <v>827</v>
      </c>
      <c r="N706" s="52"/>
      <c r="O706" s="52"/>
      <c r="S706" s="53"/>
    </row>
    <row r="707" spans="1:19" s="2" customFormat="1" ht="16.5" customHeight="1" x14ac:dyDescent="0.35">
      <c r="A707" s="85" t="s">
        <v>908</v>
      </c>
      <c r="B707" s="86">
        <v>3849</v>
      </c>
      <c r="C707" s="87">
        <v>4006</v>
      </c>
      <c r="D707" s="88">
        <v>45289</v>
      </c>
      <c r="E707" s="43">
        <v>73644500</v>
      </c>
      <c r="F707" s="44">
        <f t="shared" si="37"/>
        <v>5891560</v>
      </c>
      <c r="G707" s="45">
        <f t="shared" si="36"/>
        <v>79536060</v>
      </c>
      <c r="H707" s="46">
        <v>79536060</v>
      </c>
      <c r="I707" s="47">
        <f t="shared" si="35"/>
        <v>0</v>
      </c>
      <c r="J707" s="48">
        <v>45289</v>
      </c>
      <c r="K707" s="49">
        <v>45376</v>
      </c>
      <c r="L707" s="50">
        <v>4901060917</v>
      </c>
      <c r="M707" s="51" t="s">
        <v>827</v>
      </c>
      <c r="N707" s="52"/>
      <c r="O707" s="52"/>
      <c r="S707" s="53"/>
    </row>
    <row r="708" spans="1:19" s="2" customFormat="1" ht="16.5" customHeight="1" x14ac:dyDescent="0.35">
      <c r="A708" s="85" t="s">
        <v>33</v>
      </c>
      <c r="B708" s="86" t="s">
        <v>909</v>
      </c>
      <c r="C708" s="87"/>
      <c r="D708" s="88" t="s">
        <v>831</v>
      </c>
      <c r="E708" s="43">
        <v>5385200</v>
      </c>
      <c r="F708" s="44">
        <f t="shared" si="37"/>
        <v>430816</v>
      </c>
      <c r="G708" s="45">
        <f t="shared" si="36"/>
        <v>5816016</v>
      </c>
      <c r="H708" s="46">
        <v>5816016</v>
      </c>
      <c r="I708" s="47">
        <f t="shared" si="35"/>
        <v>0</v>
      </c>
      <c r="J708" s="48">
        <v>44764</v>
      </c>
      <c r="K708" s="49">
        <v>44849</v>
      </c>
      <c r="L708" s="50">
        <v>4900837407</v>
      </c>
      <c r="M708" s="51"/>
      <c r="N708" s="52"/>
      <c r="O708" s="52"/>
      <c r="S708" s="53"/>
    </row>
    <row r="709" spans="1:19" s="2" customFormat="1" ht="16.5" customHeight="1" x14ac:dyDescent="0.35">
      <c r="A709" s="85" t="s">
        <v>71</v>
      </c>
      <c r="B709" s="86" t="s">
        <v>910</v>
      </c>
      <c r="C709" s="87"/>
      <c r="D709" s="88" t="s">
        <v>911</v>
      </c>
      <c r="E709" s="43">
        <v>480000</v>
      </c>
      <c r="F709" s="44">
        <f t="shared" si="37"/>
        <v>38400</v>
      </c>
      <c r="G709" s="45">
        <f t="shared" si="36"/>
        <v>518400</v>
      </c>
      <c r="H709" s="46">
        <v>518400</v>
      </c>
      <c r="I709" s="47">
        <f t="shared" si="35"/>
        <v>0</v>
      </c>
      <c r="J709" s="48">
        <v>44764</v>
      </c>
      <c r="K709" s="49">
        <v>44849</v>
      </c>
      <c r="L709" s="65">
        <v>4140370488</v>
      </c>
      <c r="M709" s="51"/>
      <c r="N709" s="52"/>
      <c r="O709" s="52"/>
      <c r="S709" s="53"/>
    </row>
    <row r="710" spans="1:19" s="2" customFormat="1" ht="16.5" customHeight="1" x14ac:dyDescent="0.35">
      <c r="A710" s="85" t="s">
        <v>29</v>
      </c>
      <c r="B710" s="86" t="s">
        <v>912</v>
      </c>
      <c r="C710" s="87"/>
      <c r="D710" s="88" t="s">
        <v>911</v>
      </c>
      <c r="E710" s="43">
        <v>4168000</v>
      </c>
      <c r="F710" s="44">
        <f t="shared" si="37"/>
        <v>333440</v>
      </c>
      <c r="G710" s="45">
        <f t="shared" si="36"/>
        <v>4501440</v>
      </c>
      <c r="H710" s="46">
        <v>4501440</v>
      </c>
      <c r="I710" s="47">
        <f t="shared" si="35"/>
        <v>0</v>
      </c>
      <c r="J710" s="48">
        <v>44764</v>
      </c>
      <c r="K710" s="49">
        <v>44849</v>
      </c>
      <c r="L710" s="50">
        <v>4900838011</v>
      </c>
      <c r="M710" s="51"/>
      <c r="N710" s="52"/>
      <c r="O710" s="52"/>
      <c r="S710" s="53"/>
    </row>
    <row r="711" spans="1:19" s="2" customFormat="1" ht="16.5" customHeight="1" x14ac:dyDescent="0.35">
      <c r="A711" s="85" t="s">
        <v>29</v>
      </c>
      <c r="B711" s="86" t="s">
        <v>913</v>
      </c>
      <c r="C711" s="87"/>
      <c r="D711" s="88" t="s">
        <v>911</v>
      </c>
      <c r="E711" s="43">
        <v>4864000</v>
      </c>
      <c r="F711" s="44">
        <f t="shared" si="37"/>
        <v>389120</v>
      </c>
      <c r="G711" s="45">
        <f t="shared" si="36"/>
        <v>5253120</v>
      </c>
      <c r="H711" s="46">
        <v>5253120</v>
      </c>
      <c r="I711" s="47">
        <f t="shared" si="35"/>
        <v>0</v>
      </c>
      <c r="J711" s="48">
        <v>44764</v>
      </c>
      <c r="K711" s="49">
        <v>44849</v>
      </c>
      <c r="L711" s="50">
        <v>4900837901</v>
      </c>
      <c r="M711" s="51"/>
      <c r="N711" s="52"/>
      <c r="O711" s="52"/>
      <c r="S711" s="53"/>
    </row>
    <row r="712" spans="1:19" s="2" customFormat="1" ht="16.5" customHeight="1" x14ac:dyDescent="0.35">
      <c r="A712" s="85" t="s">
        <v>29</v>
      </c>
      <c r="B712" s="86" t="s">
        <v>914</v>
      </c>
      <c r="C712" s="87">
        <v>4007</v>
      </c>
      <c r="D712" s="88">
        <v>45289</v>
      </c>
      <c r="E712" s="43">
        <v>1027549000</v>
      </c>
      <c r="F712" s="44">
        <f t="shared" si="37"/>
        <v>82203920</v>
      </c>
      <c r="G712" s="45">
        <f t="shared" si="36"/>
        <v>1109752920</v>
      </c>
      <c r="H712" s="46">
        <v>1109752920</v>
      </c>
      <c r="I712" s="47">
        <f t="shared" ref="I712:I775" si="38">G712-H712</f>
        <v>0</v>
      </c>
      <c r="J712" s="48">
        <v>45289</v>
      </c>
      <c r="K712" s="49">
        <v>45376</v>
      </c>
      <c r="L712" s="50">
        <v>4901061148</v>
      </c>
      <c r="M712" s="51" t="s">
        <v>827</v>
      </c>
      <c r="N712" s="52"/>
      <c r="O712" s="52"/>
      <c r="S712" s="53"/>
    </row>
    <row r="713" spans="1:19" s="2" customFormat="1" ht="16.5" customHeight="1" x14ac:dyDescent="0.35">
      <c r="A713" s="85" t="s">
        <v>29</v>
      </c>
      <c r="B713" s="86" t="s">
        <v>915</v>
      </c>
      <c r="C713" s="87"/>
      <c r="D713" s="88" t="s">
        <v>916</v>
      </c>
      <c r="E713" s="43">
        <v>117216000</v>
      </c>
      <c r="F713" s="44">
        <f t="shared" si="37"/>
        <v>9377280</v>
      </c>
      <c r="G713" s="45">
        <f t="shared" si="36"/>
        <v>126593280</v>
      </c>
      <c r="H713" s="46">
        <v>126593280</v>
      </c>
      <c r="I713" s="47">
        <f t="shared" si="38"/>
        <v>0</v>
      </c>
      <c r="J713" s="48">
        <v>45289</v>
      </c>
      <c r="K713" s="49">
        <v>45376</v>
      </c>
      <c r="L713" s="50">
        <v>4901061819</v>
      </c>
      <c r="M713" s="51" t="s">
        <v>827</v>
      </c>
      <c r="N713" s="52"/>
      <c r="O713" s="52"/>
      <c r="S713" s="53"/>
    </row>
    <row r="714" spans="1:19" s="2" customFormat="1" ht="16.5" customHeight="1" x14ac:dyDescent="0.35">
      <c r="A714" s="85" t="s">
        <v>56</v>
      </c>
      <c r="B714" s="86" t="s">
        <v>917</v>
      </c>
      <c r="C714" s="87"/>
      <c r="D714" s="88" t="s">
        <v>918</v>
      </c>
      <c r="E714" s="43">
        <v>3120000</v>
      </c>
      <c r="F714" s="44">
        <f t="shared" si="37"/>
        <v>249600</v>
      </c>
      <c r="G714" s="45">
        <f t="shared" si="36"/>
        <v>3369600</v>
      </c>
      <c r="H714" s="46">
        <v>3369600</v>
      </c>
      <c r="I714" s="47">
        <f t="shared" si="38"/>
        <v>0</v>
      </c>
      <c r="J714" s="48">
        <v>45289</v>
      </c>
      <c r="K714" s="49">
        <v>45376</v>
      </c>
      <c r="L714" s="50">
        <v>4901061578</v>
      </c>
      <c r="M714" s="51" t="s">
        <v>827</v>
      </c>
      <c r="N714" s="52"/>
      <c r="O714" s="52"/>
      <c r="S714" s="53"/>
    </row>
    <row r="715" spans="1:19" s="2" customFormat="1" ht="16.5" customHeight="1" x14ac:dyDescent="0.35">
      <c r="A715" s="85" t="s">
        <v>56</v>
      </c>
      <c r="B715" s="86" t="s">
        <v>919</v>
      </c>
      <c r="C715" s="87"/>
      <c r="D715" s="88" t="s">
        <v>918</v>
      </c>
      <c r="E715" s="43">
        <v>326593000</v>
      </c>
      <c r="F715" s="44">
        <f t="shared" si="37"/>
        <v>26127440</v>
      </c>
      <c r="G715" s="45">
        <f t="shared" si="36"/>
        <v>352720440</v>
      </c>
      <c r="H715" s="46">
        <v>352720440</v>
      </c>
      <c r="I715" s="47">
        <f t="shared" si="38"/>
        <v>0</v>
      </c>
      <c r="J715" s="48">
        <v>45289</v>
      </c>
      <c r="K715" s="49">
        <v>45376</v>
      </c>
      <c r="L715" s="50">
        <v>4901060789</v>
      </c>
      <c r="M715" s="51" t="s">
        <v>827</v>
      </c>
      <c r="N715" s="52"/>
      <c r="O715" s="52"/>
      <c r="S715" s="53"/>
    </row>
    <row r="716" spans="1:19" s="2" customFormat="1" ht="16.5" customHeight="1" x14ac:dyDescent="0.35">
      <c r="A716" s="85" t="s">
        <v>56</v>
      </c>
      <c r="B716" s="86" t="s">
        <v>920</v>
      </c>
      <c r="C716" s="87"/>
      <c r="D716" s="88" t="s">
        <v>918</v>
      </c>
      <c r="E716" s="43">
        <v>26928000</v>
      </c>
      <c r="F716" s="44">
        <f t="shared" si="37"/>
        <v>2154240</v>
      </c>
      <c r="G716" s="45">
        <f t="shared" si="36"/>
        <v>29082240</v>
      </c>
      <c r="H716" s="46">
        <v>29082240</v>
      </c>
      <c r="I716" s="47">
        <f t="shared" si="38"/>
        <v>0</v>
      </c>
      <c r="J716" s="48">
        <v>45289</v>
      </c>
      <c r="K716" s="49">
        <v>45376</v>
      </c>
      <c r="L716" s="50">
        <v>4901063199</v>
      </c>
      <c r="M716" s="51" t="s">
        <v>827</v>
      </c>
      <c r="N716" s="52"/>
      <c r="O716" s="52"/>
      <c r="S716" s="53"/>
    </row>
    <row r="717" spans="1:19" s="2" customFormat="1" ht="16.5" customHeight="1" x14ac:dyDescent="0.35">
      <c r="A717" s="85" t="s">
        <v>37</v>
      </c>
      <c r="B717" s="86" t="s">
        <v>921</v>
      </c>
      <c r="C717" s="87"/>
      <c r="D717" s="88" t="s">
        <v>911</v>
      </c>
      <c r="E717" s="43">
        <v>22100000</v>
      </c>
      <c r="F717" s="44">
        <f t="shared" si="37"/>
        <v>1768000</v>
      </c>
      <c r="G717" s="45">
        <f t="shared" si="36"/>
        <v>23868000</v>
      </c>
      <c r="H717" s="46">
        <v>23868000</v>
      </c>
      <c r="I717" s="47">
        <f t="shared" si="38"/>
        <v>0</v>
      </c>
      <c r="J717" s="48">
        <v>44764</v>
      </c>
      <c r="K717" s="49">
        <v>44849</v>
      </c>
      <c r="L717" s="50">
        <v>4140414572</v>
      </c>
      <c r="M717" s="51"/>
      <c r="N717" s="52"/>
      <c r="O717" s="52"/>
      <c r="S717" s="53"/>
    </row>
    <row r="718" spans="1:19" s="2" customFormat="1" ht="16.5" customHeight="1" x14ac:dyDescent="0.35">
      <c r="A718" s="85" t="s">
        <v>819</v>
      </c>
      <c r="B718" s="86" t="s">
        <v>922</v>
      </c>
      <c r="C718" s="87"/>
      <c r="D718" s="88" t="s">
        <v>911</v>
      </c>
      <c r="E718" s="43">
        <v>480000</v>
      </c>
      <c r="F718" s="44">
        <f t="shared" si="37"/>
        <v>38400</v>
      </c>
      <c r="G718" s="45">
        <f t="shared" si="36"/>
        <v>518400</v>
      </c>
      <c r="H718" s="46">
        <v>518400</v>
      </c>
      <c r="I718" s="47">
        <f t="shared" si="38"/>
        <v>0</v>
      </c>
      <c r="J718" s="48">
        <v>44764</v>
      </c>
      <c r="K718" s="49">
        <v>44849</v>
      </c>
      <c r="L718" s="65">
        <v>4140393878</v>
      </c>
      <c r="M718" s="51"/>
      <c r="N718" s="52"/>
      <c r="O718" s="52"/>
      <c r="S718" s="53"/>
    </row>
    <row r="719" spans="1:19" s="2" customFormat="1" ht="16.5" customHeight="1" x14ac:dyDescent="0.35">
      <c r="A719" s="85" t="s">
        <v>37</v>
      </c>
      <c r="B719" s="86" t="s">
        <v>923</v>
      </c>
      <c r="C719" s="87"/>
      <c r="D719" s="88" t="s">
        <v>924</v>
      </c>
      <c r="E719" s="43">
        <v>22960000</v>
      </c>
      <c r="F719" s="44">
        <f t="shared" si="37"/>
        <v>1836800</v>
      </c>
      <c r="G719" s="45">
        <f t="shared" si="36"/>
        <v>24796800</v>
      </c>
      <c r="H719" s="46">
        <v>24796800</v>
      </c>
      <c r="I719" s="47">
        <f t="shared" si="38"/>
        <v>0</v>
      </c>
      <c r="J719" s="48">
        <v>45294</v>
      </c>
      <c r="K719" s="49">
        <v>45376</v>
      </c>
      <c r="L719" s="50">
        <v>4901061743</v>
      </c>
      <c r="M719" s="51" t="s">
        <v>827</v>
      </c>
      <c r="N719" s="52"/>
      <c r="O719" s="52"/>
      <c r="S719" s="53"/>
    </row>
    <row r="720" spans="1:19" s="2" customFormat="1" ht="16.5" customHeight="1" x14ac:dyDescent="0.35">
      <c r="A720" s="85" t="s">
        <v>37</v>
      </c>
      <c r="B720" s="86" t="s">
        <v>925</v>
      </c>
      <c r="C720" s="87"/>
      <c r="D720" s="88" t="s">
        <v>924</v>
      </c>
      <c r="E720" s="43">
        <v>3783246000</v>
      </c>
      <c r="F720" s="44">
        <f t="shared" si="37"/>
        <v>302659680</v>
      </c>
      <c r="G720" s="45">
        <f t="shared" si="36"/>
        <v>4085905680</v>
      </c>
      <c r="H720" s="46">
        <v>4085905680</v>
      </c>
      <c r="I720" s="47">
        <f t="shared" si="38"/>
        <v>0</v>
      </c>
      <c r="J720" s="48">
        <v>45294</v>
      </c>
      <c r="K720" s="49">
        <v>45376</v>
      </c>
      <c r="L720" s="50">
        <v>4901060826</v>
      </c>
      <c r="M720" s="51" t="s">
        <v>827</v>
      </c>
      <c r="N720" s="52"/>
      <c r="O720" s="52"/>
      <c r="S720" s="53"/>
    </row>
    <row r="721" spans="1:19" s="2" customFormat="1" ht="16.5" customHeight="1" x14ac:dyDescent="0.35">
      <c r="A721" s="85" t="s">
        <v>37</v>
      </c>
      <c r="B721" s="86" t="s">
        <v>926</v>
      </c>
      <c r="C721" s="87"/>
      <c r="D721" s="88" t="s">
        <v>924</v>
      </c>
      <c r="E721" s="43">
        <v>9600000</v>
      </c>
      <c r="F721" s="44">
        <f t="shared" si="37"/>
        <v>768000</v>
      </c>
      <c r="G721" s="45">
        <f t="shared" si="36"/>
        <v>10368000</v>
      </c>
      <c r="H721" s="46">
        <v>10368000</v>
      </c>
      <c r="I721" s="47">
        <f t="shared" si="38"/>
        <v>0</v>
      </c>
      <c r="J721" s="48">
        <v>45294</v>
      </c>
      <c r="K721" s="49">
        <v>45376</v>
      </c>
      <c r="L721" s="50">
        <v>4901061631</v>
      </c>
      <c r="M721" s="51" t="s">
        <v>827</v>
      </c>
      <c r="N721" s="52"/>
      <c r="O721" s="52"/>
      <c r="S721" s="53"/>
    </row>
    <row r="722" spans="1:19" s="2" customFormat="1" ht="16.5" customHeight="1" x14ac:dyDescent="0.35">
      <c r="A722" s="85" t="s">
        <v>37</v>
      </c>
      <c r="B722" s="86" t="s">
        <v>927</v>
      </c>
      <c r="C722" s="87"/>
      <c r="D722" s="88" t="s">
        <v>924</v>
      </c>
      <c r="E722" s="43">
        <v>11520000</v>
      </c>
      <c r="F722" s="44">
        <f t="shared" si="37"/>
        <v>921600</v>
      </c>
      <c r="G722" s="45">
        <f t="shared" si="36"/>
        <v>12441600</v>
      </c>
      <c r="H722" s="46">
        <v>12441600</v>
      </c>
      <c r="I722" s="47">
        <f t="shared" si="38"/>
        <v>0</v>
      </c>
      <c r="J722" s="48">
        <v>45294</v>
      </c>
      <c r="K722" s="49">
        <v>45376</v>
      </c>
      <c r="L722" s="50">
        <v>4901061432</v>
      </c>
      <c r="M722" s="51" t="s">
        <v>827</v>
      </c>
      <c r="N722" s="52"/>
      <c r="O722" s="52"/>
      <c r="S722" s="53"/>
    </row>
    <row r="723" spans="1:19" s="2" customFormat="1" ht="16.5" customHeight="1" x14ac:dyDescent="0.35">
      <c r="A723" s="85" t="s">
        <v>135</v>
      </c>
      <c r="B723" s="86" t="s">
        <v>928</v>
      </c>
      <c r="C723" s="87"/>
      <c r="D723" s="88" t="s">
        <v>911</v>
      </c>
      <c r="E723" s="43">
        <v>1490400</v>
      </c>
      <c r="F723" s="44">
        <f t="shared" si="37"/>
        <v>119232</v>
      </c>
      <c r="G723" s="45">
        <f t="shared" si="36"/>
        <v>1609632</v>
      </c>
      <c r="H723" s="46">
        <v>1609632</v>
      </c>
      <c r="I723" s="47">
        <f t="shared" si="38"/>
        <v>0</v>
      </c>
      <c r="J723" s="48">
        <v>44764</v>
      </c>
      <c r="K723" s="49">
        <v>44849</v>
      </c>
      <c r="L723" s="65">
        <v>4140374910</v>
      </c>
      <c r="M723" s="51"/>
      <c r="N723" s="52"/>
      <c r="O723" s="52"/>
      <c r="S723" s="53"/>
    </row>
    <row r="724" spans="1:19" s="2" customFormat="1" ht="16.5" customHeight="1" x14ac:dyDescent="0.35">
      <c r="A724" s="85" t="s">
        <v>71</v>
      </c>
      <c r="B724" s="86" t="s">
        <v>929</v>
      </c>
      <c r="C724" s="87">
        <v>622</v>
      </c>
      <c r="D724" s="88">
        <v>44764</v>
      </c>
      <c r="E724" s="43">
        <v>508300</v>
      </c>
      <c r="F724" s="44">
        <f t="shared" si="37"/>
        <v>40664</v>
      </c>
      <c r="G724" s="45">
        <f t="shared" si="36"/>
        <v>548964</v>
      </c>
      <c r="H724" s="46">
        <v>548964</v>
      </c>
      <c r="I724" s="47">
        <f t="shared" si="38"/>
        <v>0</v>
      </c>
      <c r="J724" s="48">
        <v>44764</v>
      </c>
      <c r="K724" s="49">
        <v>44849</v>
      </c>
      <c r="L724" s="65">
        <v>4140335531</v>
      </c>
      <c r="M724" s="51"/>
      <c r="N724" s="52"/>
      <c r="O724" s="52"/>
      <c r="S724" s="53"/>
    </row>
    <row r="725" spans="1:19" s="2" customFormat="1" ht="16.5" customHeight="1" x14ac:dyDescent="0.35">
      <c r="A725" s="85" t="s">
        <v>71</v>
      </c>
      <c r="B725" s="86" t="s">
        <v>930</v>
      </c>
      <c r="C725" s="87"/>
      <c r="D725" s="88" t="s">
        <v>931</v>
      </c>
      <c r="E725" s="43">
        <v>640000</v>
      </c>
      <c r="F725" s="44">
        <f t="shared" si="37"/>
        <v>51200</v>
      </c>
      <c r="G725" s="45">
        <f t="shared" si="36"/>
        <v>691200</v>
      </c>
      <c r="H725" s="46">
        <v>691200</v>
      </c>
      <c r="I725" s="47">
        <f t="shared" si="38"/>
        <v>0</v>
      </c>
      <c r="J725" s="48">
        <v>44764</v>
      </c>
      <c r="K725" s="49">
        <v>44849</v>
      </c>
      <c r="L725" s="65">
        <v>4140437215</v>
      </c>
      <c r="M725" s="51"/>
      <c r="N725" s="52"/>
      <c r="O725" s="52"/>
      <c r="S725" s="53"/>
    </row>
    <row r="726" spans="1:19" s="2" customFormat="1" ht="16.5" customHeight="1" x14ac:dyDescent="0.35">
      <c r="A726" s="85" t="s">
        <v>71</v>
      </c>
      <c r="B726" s="86" t="s">
        <v>932</v>
      </c>
      <c r="C726" s="87"/>
      <c r="D726" s="88" t="s">
        <v>931</v>
      </c>
      <c r="E726" s="43">
        <v>265200</v>
      </c>
      <c r="F726" s="44">
        <f t="shared" si="37"/>
        <v>21216</v>
      </c>
      <c r="G726" s="45">
        <f t="shared" si="36"/>
        <v>286416</v>
      </c>
      <c r="H726" s="46">
        <v>286416</v>
      </c>
      <c r="I726" s="47">
        <f t="shared" si="38"/>
        <v>0</v>
      </c>
      <c r="J726" s="48">
        <v>44764</v>
      </c>
      <c r="K726" s="49">
        <v>44849</v>
      </c>
      <c r="L726" s="65">
        <v>4140462667</v>
      </c>
      <c r="M726" s="51"/>
      <c r="N726" s="52"/>
      <c r="O726" s="52"/>
      <c r="S726" s="53"/>
    </row>
    <row r="727" spans="1:19" s="2" customFormat="1" ht="16.5" customHeight="1" x14ac:dyDescent="0.35">
      <c r="A727" s="85" t="s">
        <v>933</v>
      </c>
      <c r="B727" s="86" t="s">
        <v>934</v>
      </c>
      <c r="C727" s="87"/>
      <c r="D727" s="88" t="s">
        <v>931</v>
      </c>
      <c r="E727" s="43">
        <v>4724000</v>
      </c>
      <c r="F727" s="44">
        <f t="shared" si="37"/>
        <v>377920</v>
      </c>
      <c r="G727" s="45">
        <f t="shared" ref="G727:G790" si="39">E727+F727</f>
        <v>5101920</v>
      </c>
      <c r="H727" s="46">
        <v>5101920</v>
      </c>
      <c r="I727" s="47">
        <f t="shared" si="38"/>
        <v>0</v>
      </c>
      <c r="J727" s="48">
        <v>44764</v>
      </c>
      <c r="K727" s="49">
        <v>44849</v>
      </c>
      <c r="L727" s="50">
        <v>4140493106</v>
      </c>
      <c r="M727" s="51"/>
      <c r="N727" s="52"/>
      <c r="O727" s="52"/>
      <c r="S727" s="53"/>
    </row>
    <row r="728" spans="1:19" s="2" customFormat="1" ht="16.5" customHeight="1" x14ac:dyDescent="0.35">
      <c r="A728" s="85" t="s">
        <v>37</v>
      </c>
      <c r="B728" s="86" t="s">
        <v>935</v>
      </c>
      <c r="C728" s="87"/>
      <c r="D728" s="88" t="s">
        <v>774</v>
      </c>
      <c r="E728" s="43">
        <v>1280000</v>
      </c>
      <c r="F728" s="44">
        <f t="shared" si="37"/>
        <v>102400</v>
      </c>
      <c r="G728" s="45">
        <f t="shared" si="39"/>
        <v>1382400</v>
      </c>
      <c r="H728" s="46">
        <v>1382400</v>
      </c>
      <c r="I728" s="47">
        <f t="shared" si="38"/>
        <v>0</v>
      </c>
      <c r="J728" s="48">
        <v>44764</v>
      </c>
      <c r="K728" s="49">
        <v>44849</v>
      </c>
      <c r="L728" s="50">
        <v>4900839132</v>
      </c>
      <c r="M728" s="51"/>
      <c r="N728" s="52"/>
      <c r="O728" s="52"/>
      <c r="S728" s="53"/>
    </row>
    <row r="729" spans="1:19" s="2" customFormat="1" ht="16.5" customHeight="1" x14ac:dyDescent="0.35">
      <c r="A729" s="85" t="s">
        <v>37</v>
      </c>
      <c r="B729" s="86" t="s">
        <v>567</v>
      </c>
      <c r="C729" s="87"/>
      <c r="D729" s="88" t="s">
        <v>774</v>
      </c>
      <c r="E729" s="43">
        <v>3840000</v>
      </c>
      <c r="F729" s="44">
        <f t="shared" si="37"/>
        <v>307200</v>
      </c>
      <c r="G729" s="45">
        <f t="shared" si="39"/>
        <v>4147200</v>
      </c>
      <c r="H729" s="46">
        <v>4147200</v>
      </c>
      <c r="I729" s="47">
        <f t="shared" si="38"/>
        <v>0</v>
      </c>
      <c r="J729" s="48">
        <v>44764</v>
      </c>
      <c r="K729" s="49">
        <v>44849</v>
      </c>
      <c r="L729" s="50">
        <v>4900840234</v>
      </c>
      <c r="M729" s="51"/>
      <c r="N729" s="52"/>
      <c r="O729" s="52"/>
      <c r="S729" s="53"/>
    </row>
    <row r="730" spans="1:19" s="2" customFormat="1" ht="16.5" customHeight="1" x14ac:dyDescent="0.35">
      <c r="A730" s="85" t="s">
        <v>37</v>
      </c>
      <c r="B730" s="86" t="s">
        <v>936</v>
      </c>
      <c r="C730" s="87"/>
      <c r="D730" s="88" t="s">
        <v>774</v>
      </c>
      <c r="E730" s="43">
        <v>2301000</v>
      </c>
      <c r="F730" s="44">
        <f t="shared" si="37"/>
        <v>184080</v>
      </c>
      <c r="G730" s="45">
        <f t="shared" si="39"/>
        <v>2485080</v>
      </c>
      <c r="H730" s="46">
        <v>2485080</v>
      </c>
      <c r="I730" s="47">
        <f t="shared" si="38"/>
        <v>0</v>
      </c>
      <c r="J730" s="48">
        <v>44764</v>
      </c>
      <c r="K730" s="49">
        <v>44849</v>
      </c>
      <c r="L730" s="50">
        <v>4900839093</v>
      </c>
      <c r="M730" s="51"/>
      <c r="N730" s="52"/>
      <c r="O730" s="52"/>
      <c r="S730" s="53"/>
    </row>
    <row r="731" spans="1:19" s="2" customFormat="1" ht="16.5" customHeight="1" x14ac:dyDescent="0.35">
      <c r="A731" s="85" t="s">
        <v>339</v>
      </c>
      <c r="B731" s="86" t="s">
        <v>937</v>
      </c>
      <c r="C731" s="87">
        <v>623</v>
      </c>
      <c r="D731" s="88">
        <v>44765</v>
      </c>
      <c r="E731" s="43">
        <v>720000</v>
      </c>
      <c r="F731" s="44">
        <f t="shared" si="37"/>
        <v>57600</v>
      </c>
      <c r="G731" s="45">
        <f t="shared" si="39"/>
        <v>777600</v>
      </c>
      <c r="H731" s="46">
        <v>777600</v>
      </c>
      <c r="I731" s="47">
        <f t="shared" si="38"/>
        <v>0</v>
      </c>
      <c r="J731" s="48">
        <v>44744</v>
      </c>
      <c r="K731" s="49">
        <v>44849</v>
      </c>
      <c r="L731" s="65">
        <v>4139737164</v>
      </c>
      <c r="M731" s="51"/>
      <c r="N731" s="52"/>
      <c r="O731" s="52"/>
      <c r="S731" s="53"/>
    </row>
    <row r="732" spans="1:19" s="2" customFormat="1" ht="16.5" customHeight="1" x14ac:dyDescent="0.35">
      <c r="A732" s="85" t="s">
        <v>135</v>
      </c>
      <c r="B732" s="86" t="s">
        <v>938</v>
      </c>
      <c r="C732" s="87"/>
      <c r="D732" s="88" t="s">
        <v>939</v>
      </c>
      <c r="E732" s="43">
        <v>768000</v>
      </c>
      <c r="F732" s="44">
        <f t="shared" si="37"/>
        <v>61440</v>
      </c>
      <c r="G732" s="45">
        <f t="shared" si="39"/>
        <v>829440</v>
      </c>
      <c r="H732" s="46">
        <v>829440</v>
      </c>
      <c r="I732" s="47">
        <f t="shared" si="38"/>
        <v>0</v>
      </c>
      <c r="J732" s="77">
        <v>44743</v>
      </c>
      <c r="K732" s="49">
        <v>44829</v>
      </c>
      <c r="L732" s="50">
        <v>4139293249</v>
      </c>
      <c r="M732" s="51"/>
      <c r="N732" s="52"/>
      <c r="O732" s="52"/>
      <c r="S732" s="53"/>
    </row>
    <row r="733" spans="1:19" s="2" customFormat="1" ht="16.5" customHeight="1" x14ac:dyDescent="0.35">
      <c r="A733" s="85" t="s">
        <v>37</v>
      </c>
      <c r="B733" s="86" t="s">
        <v>940</v>
      </c>
      <c r="C733" s="87"/>
      <c r="D733" s="88" t="s">
        <v>941</v>
      </c>
      <c r="E733" s="43">
        <v>3520000</v>
      </c>
      <c r="F733" s="44">
        <f t="shared" si="37"/>
        <v>281600</v>
      </c>
      <c r="G733" s="45">
        <f t="shared" si="39"/>
        <v>3801600</v>
      </c>
      <c r="H733" s="46">
        <v>3801600</v>
      </c>
      <c r="I733" s="47">
        <f t="shared" si="38"/>
        <v>0</v>
      </c>
      <c r="J733" s="77">
        <v>44743</v>
      </c>
      <c r="K733" s="49">
        <v>44829</v>
      </c>
      <c r="L733" s="50">
        <v>4900825497</v>
      </c>
      <c r="M733" s="51"/>
      <c r="N733" s="52"/>
      <c r="O733" s="52"/>
      <c r="S733" s="53"/>
    </row>
    <row r="734" spans="1:19" s="2" customFormat="1" ht="16.5" customHeight="1" x14ac:dyDescent="0.35">
      <c r="A734" s="85" t="s">
        <v>37</v>
      </c>
      <c r="B734" s="86" t="s">
        <v>942</v>
      </c>
      <c r="C734" s="87"/>
      <c r="D734" s="88" t="s">
        <v>941</v>
      </c>
      <c r="E734" s="43">
        <v>7680000</v>
      </c>
      <c r="F734" s="44">
        <f t="shared" si="37"/>
        <v>614400</v>
      </c>
      <c r="G734" s="45">
        <f t="shared" si="39"/>
        <v>8294400</v>
      </c>
      <c r="H734" s="46">
        <v>8294400</v>
      </c>
      <c r="I734" s="47">
        <f t="shared" si="38"/>
        <v>0</v>
      </c>
      <c r="J734" s="77">
        <v>44743</v>
      </c>
      <c r="K734" s="49">
        <v>44829</v>
      </c>
      <c r="L734" s="50">
        <v>4900824985</v>
      </c>
      <c r="M734" s="51"/>
      <c r="N734" s="52"/>
      <c r="O734" s="52"/>
      <c r="S734" s="53"/>
    </row>
    <row r="735" spans="1:19" s="2" customFormat="1" ht="16.5" customHeight="1" x14ac:dyDescent="0.35">
      <c r="A735" s="85" t="s">
        <v>85</v>
      </c>
      <c r="B735" s="86" t="s">
        <v>943</v>
      </c>
      <c r="C735" s="87"/>
      <c r="D735" s="88" t="s">
        <v>941</v>
      </c>
      <c r="E735" s="43">
        <v>3680000</v>
      </c>
      <c r="F735" s="44">
        <f t="shared" si="37"/>
        <v>294400</v>
      </c>
      <c r="G735" s="45">
        <f t="shared" si="39"/>
        <v>3974400</v>
      </c>
      <c r="H735" s="46">
        <v>3974400</v>
      </c>
      <c r="I735" s="47">
        <f t="shared" si="38"/>
        <v>0</v>
      </c>
      <c r="J735" s="77">
        <v>44743</v>
      </c>
      <c r="K735" s="49">
        <v>44829</v>
      </c>
      <c r="L735" s="50">
        <v>4139412937</v>
      </c>
      <c r="M735" s="51"/>
      <c r="N735" s="52"/>
      <c r="O735" s="52"/>
      <c r="S735" s="53"/>
    </row>
    <row r="736" spans="1:19" s="2" customFormat="1" ht="16.5" customHeight="1" x14ac:dyDescent="0.35">
      <c r="A736" s="85" t="s">
        <v>37</v>
      </c>
      <c r="B736" s="86" t="s">
        <v>944</v>
      </c>
      <c r="C736" s="87"/>
      <c r="D736" s="88" t="s">
        <v>945</v>
      </c>
      <c r="E736" s="43">
        <v>2880000</v>
      </c>
      <c r="F736" s="44">
        <f t="shared" si="37"/>
        <v>230400</v>
      </c>
      <c r="G736" s="45">
        <f t="shared" si="39"/>
        <v>3110400</v>
      </c>
      <c r="H736" s="46">
        <v>3110400</v>
      </c>
      <c r="I736" s="47">
        <f t="shared" si="38"/>
        <v>0</v>
      </c>
      <c r="J736" s="48">
        <v>44743</v>
      </c>
      <c r="K736" s="49">
        <v>44829</v>
      </c>
      <c r="L736" s="50">
        <v>4900825978</v>
      </c>
      <c r="M736" s="51"/>
      <c r="N736" s="52"/>
      <c r="O736" s="52"/>
      <c r="S736" s="53"/>
    </row>
    <row r="737" spans="1:19" s="2" customFormat="1" ht="16.5" customHeight="1" x14ac:dyDescent="0.35">
      <c r="A737" s="85" t="s">
        <v>37</v>
      </c>
      <c r="B737" s="86" t="s">
        <v>946</v>
      </c>
      <c r="C737" s="87"/>
      <c r="D737" s="88" t="s">
        <v>945</v>
      </c>
      <c r="E737" s="43">
        <v>1920000</v>
      </c>
      <c r="F737" s="44">
        <f t="shared" si="37"/>
        <v>153600</v>
      </c>
      <c r="G737" s="45">
        <f t="shared" si="39"/>
        <v>2073600</v>
      </c>
      <c r="H737" s="46">
        <v>2073600</v>
      </c>
      <c r="I737" s="47">
        <f t="shared" si="38"/>
        <v>0</v>
      </c>
      <c r="J737" s="48">
        <v>44743</v>
      </c>
      <c r="K737" s="49">
        <v>44829</v>
      </c>
      <c r="L737" s="50">
        <v>4900826297</v>
      </c>
      <c r="M737" s="51"/>
      <c r="N737" s="52"/>
      <c r="O737" s="52"/>
      <c r="S737" s="53"/>
    </row>
    <row r="738" spans="1:19" s="2" customFormat="1" ht="16.5" customHeight="1" x14ac:dyDescent="0.35">
      <c r="A738" s="85" t="s">
        <v>727</v>
      </c>
      <c r="B738" s="86" t="s">
        <v>947</v>
      </c>
      <c r="C738" s="87"/>
      <c r="D738" s="88" t="s">
        <v>945</v>
      </c>
      <c r="E738" s="43">
        <v>1920000</v>
      </c>
      <c r="F738" s="44">
        <f t="shared" si="37"/>
        <v>153600</v>
      </c>
      <c r="G738" s="45">
        <f t="shared" si="39"/>
        <v>2073600</v>
      </c>
      <c r="H738" s="46">
        <v>2073600</v>
      </c>
      <c r="I738" s="47">
        <f t="shared" si="38"/>
        <v>0</v>
      </c>
      <c r="J738" s="48">
        <v>44743</v>
      </c>
      <c r="K738" s="49">
        <v>44829</v>
      </c>
      <c r="L738" s="65">
        <v>4139440716</v>
      </c>
      <c r="M738" s="51"/>
      <c r="N738" s="52"/>
      <c r="O738" s="52"/>
      <c r="S738" s="53"/>
    </row>
    <row r="739" spans="1:19" s="2" customFormat="1" ht="16.5" customHeight="1" x14ac:dyDescent="0.35">
      <c r="A739" s="85" t="s">
        <v>727</v>
      </c>
      <c r="B739" s="86" t="s">
        <v>948</v>
      </c>
      <c r="C739" s="87"/>
      <c r="D739" s="88" t="s">
        <v>949</v>
      </c>
      <c r="E739" s="43">
        <v>3565000</v>
      </c>
      <c r="F739" s="44">
        <f t="shared" si="37"/>
        <v>285200</v>
      </c>
      <c r="G739" s="45">
        <f t="shared" si="39"/>
        <v>3850200</v>
      </c>
      <c r="H739" s="46">
        <v>3850200</v>
      </c>
      <c r="I739" s="47">
        <f t="shared" si="38"/>
        <v>0</v>
      </c>
      <c r="J739" s="48">
        <v>44743</v>
      </c>
      <c r="K739" s="49">
        <v>44829</v>
      </c>
      <c r="L739" s="65">
        <v>4139469027</v>
      </c>
      <c r="M739" s="51"/>
      <c r="N739" s="52"/>
      <c r="O739" s="52"/>
      <c r="S739" s="53"/>
    </row>
    <row r="740" spans="1:19" s="2" customFormat="1" ht="16.5" customHeight="1" x14ac:dyDescent="0.35">
      <c r="A740" s="85" t="s">
        <v>71</v>
      </c>
      <c r="B740" s="86" t="s">
        <v>950</v>
      </c>
      <c r="C740" s="87"/>
      <c r="D740" s="88" t="s">
        <v>949</v>
      </c>
      <c r="E740" s="43">
        <v>640000</v>
      </c>
      <c r="F740" s="44">
        <f t="shared" si="37"/>
        <v>51200</v>
      </c>
      <c r="G740" s="45">
        <f t="shared" si="39"/>
        <v>691200</v>
      </c>
      <c r="H740" s="46">
        <v>691200</v>
      </c>
      <c r="I740" s="47">
        <f t="shared" si="38"/>
        <v>0</v>
      </c>
      <c r="J740" s="48">
        <v>44743</v>
      </c>
      <c r="K740" s="49">
        <v>44829</v>
      </c>
      <c r="L740" s="50">
        <v>4139474391</v>
      </c>
      <c r="M740" s="51"/>
      <c r="N740" s="52"/>
      <c r="O740" s="52"/>
      <c r="S740" s="53"/>
    </row>
    <row r="741" spans="1:19" s="2" customFormat="1" ht="16.5" customHeight="1" x14ac:dyDescent="0.35">
      <c r="A741" s="85" t="s">
        <v>37</v>
      </c>
      <c r="B741" s="86" t="s">
        <v>951</v>
      </c>
      <c r="C741" s="87"/>
      <c r="D741" s="88" t="s">
        <v>952</v>
      </c>
      <c r="E741" s="43">
        <v>4175000</v>
      </c>
      <c r="F741" s="44">
        <f t="shared" si="37"/>
        <v>334000</v>
      </c>
      <c r="G741" s="45">
        <f t="shared" si="39"/>
        <v>4509000</v>
      </c>
      <c r="H741" s="46">
        <v>4509000</v>
      </c>
      <c r="I741" s="47">
        <f t="shared" si="38"/>
        <v>0</v>
      </c>
      <c r="J741" s="48">
        <v>44743</v>
      </c>
      <c r="K741" s="49">
        <v>44829</v>
      </c>
      <c r="L741" s="65">
        <v>4900826815</v>
      </c>
      <c r="M741" s="51"/>
      <c r="N741" s="52"/>
      <c r="O741" s="52"/>
      <c r="S741" s="53"/>
    </row>
    <row r="742" spans="1:19" s="2" customFormat="1" ht="16.5" customHeight="1" x14ac:dyDescent="0.35">
      <c r="A742" s="85" t="s">
        <v>37</v>
      </c>
      <c r="B742" s="86" t="s">
        <v>953</v>
      </c>
      <c r="C742" s="87"/>
      <c r="D742" s="88" t="s">
        <v>952</v>
      </c>
      <c r="E742" s="43">
        <v>4800000</v>
      </c>
      <c r="F742" s="44">
        <f t="shared" si="37"/>
        <v>384000</v>
      </c>
      <c r="G742" s="45">
        <f t="shared" si="39"/>
        <v>5184000</v>
      </c>
      <c r="H742" s="46">
        <v>5184000</v>
      </c>
      <c r="I742" s="47">
        <f t="shared" si="38"/>
        <v>0</v>
      </c>
      <c r="J742" s="48">
        <v>44743</v>
      </c>
      <c r="K742" s="49">
        <v>44829</v>
      </c>
      <c r="L742" s="65">
        <v>4900827188</v>
      </c>
      <c r="M742" s="51"/>
      <c r="N742" s="52"/>
      <c r="O742" s="52"/>
      <c r="S742" s="53"/>
    </row>
    <row r="743" spans="1:19" s="2" customFormat="1" ht="16.5" customHeight="1" x14ac:dyDescent="0.35">
      <c r="A743" s="85" t="s">
        <v>29</v>
      </c>
      <c r="B743" s="86" t="s">
        <v>954</v>
      </c>
      <c r="C743" s="87"/>
      <c r="D743" s="88" t="s">
        <v>35</v>
      </c>
      <c r="E743" s="43">
        <v>3364000</v>
      </c>
      <c r="F743" s="44">
        <f t="shared" si="37"/>
        <v>269120</v>
      </c>
      <c r="G743" s="45">
        <f t="shared" si="39"/>
        <v>3633120</v>
      </c>
      <c r="H743" s="46">
        <v>3633120</v>
      </c>
      <c r="I743" s="47">
        <f t="shared" si="38"/>
        <v>0</v>
      </c>
      <c r="J743" s="48">
        <v>44743</v>
      </c>
      <c r="K743" s="49">
        <v>44829</v>
      </c>
      <c r="L743" s="65">
        <v>4900828159</v>
      </c>
      <c r="M743" s="51"/>
      <c r="N743" s="52"/>
      <c r="O743" s="52"/>
      <c r="S743" s="53"/>
    </row>
    <row r="744" spans="1:19" s="2" customFormat="1" ht="16.5" customHeight="1" x14ac:dyDescent="0.35">
      <c r="A744" s="85" t="s">
        <v>29</v>
      </c>
      <c r="B744" s="86" t="s">
        <v>955</v>
      </c>
      <c r="C744" s="87"/>
      <c r="D744" s="88" t="s">
        <v>35</v>
      </c>
      <c r="E744" s="43">
        <v>1920000</v>
      </c>
      <c r="F744" s="44">
        <f t="shared" si="37"/>
        <v>153600</v>
      </c>
      <c r="G744" s="45">
        <f t="shared" si="39"/>
        <v>2073600</v>
      </c>
      <c r="H744" s="46">
        <v>2073600</v>
      </c>
      <c r="I744" s="47">
        <f t="shared" si="38"/>
        <v>0</v>
      </c>
      <c r="J744" s="48">
        <v>44743</v>
      </c>
      <c r="K744" s="49">
        <v>44829</v>
      </c>
      <c r="L744" s="65">
        <v>4900828036</v>
      </c>
      <c r="M744" s="51"/>
      <c r="N744" s="52"/>
      <c r="O744" s="52"/>
      <c r="S744" s="53"/>
    </row>
    <row r="745" spans="1:19" s="2" customFormat="1" ht="16.5" customHeight="1" x14ac:dyDescent="0.35">
      <c r="A745" s="85" t="s">
        <v>33</v>
      </c>
      <c r="B745" s="86" t="s">
        <v>956</v>
      </c>
      <c r="C745" s="87"/>
      <c r="D745" s="88" t="s">
        <v>39</v>
      </c>
      <c r="E745" s="43">
        <v>402000</v>
      </c>
      <c r="F745" s="44">
        <f t="shared" si="37"/>
        <v>32160</v>
      </c>
      <c r="G745" s="45">
        <f t="shared" si="39"/>
        <v>434160</v>
      </c>
      <c r="H745" s="46">
        <v>434160</v>
      </c>
      <c r="I745" s="47">
        <f t="shared" si="38"/>
        <v>0</v>
      </c>
      <c r="J745" s="48">
        <v>44743</v>
      </c>
      <c r="K745" s="49">
        <v>44829</v>
      </c>
      <c r="L745" s="65">
        <v>4900829561</v>
      </c>
      <c r="M745" s="51"/>
      <c r="N745" s="52"/>
      <c r="O745" s="52"/>
      <c r="S745" s="53"/>
    </row>
    <row r="746" spans="1:19" s="2" customFormat="1" ht="16.5" customHeight="1" x14ac:dyDescent="0.35">
      <c r="A746" s="85" t="s">
        <v>29</v>
      </c>
      <c r="B746" s="86" t="s">
        <v>957</v>
      </c>
      <c r="C746" s="87"/>
      <c r="D746" s="88" t="s">
        <v>39</v>
      </c>
      <c r="E746" s="43">
        <v>8082000</v>
      </c>
      <c r="F746" s="44">
        <f t="shared" si="37"/>
        <v>646560</v>
      </c>
      <c r="G746" s="45">
        <f t="shared" si="39"/>
        <v>8728560</v>
      </c>
      <c r="H746" s="46">
        <v>8728560</v>
      </c>
      <c r="I746" s="47">
        <f t="shared" si="38"/>
        <v>0</v>
      </c>
      <c r="J746" s="48">
        <v>44743</v>
      </c>
      <c r="K746" s="49">
        <v>44829</v>
      </c>
      <c r="L746" s="65">
        <v>4900829523</v>
      </c>
      <c r="M746" s="51"/>
      <c r="N746" s="52"/>
      <c r="O746" s="52"/>
      <c r="S746" s="53"/>
    </row>
    <row r="747" spans="1:19" s="2" customFormat="1" ht="16.5" customHeight="1" x14ac:dyDescent="0.35">
      <c r="A747" s="85" t="s">
        <v>37</v>
      </c>
      <c r="B747" s="86" t="s">
        <v>958</v>
      </c>
      <c r="C747" s="87"/>
      <c r="D747" s="88" t="s">
        <v>39</v>
      </c>
      <c r="E747" s="43">
        <v>1280000</v>
      </c>
      <c r="F747" s="44">
        <f t="shared" si="37"/>
        <v>102400</v>
      </c>
      <c r="G747" s="45">
        <f t="shared" si="39"/>
        <v>1382400</v>
      </c>
      <c r="H747" s="46">
        <v>1382400</v>
      </c>
      <c r="I747" s="47">
        <f t="shared" si="38"/>
        <v>0</v>
      </c>
      <c r="J747" s="48">
        <v>44743</v>
      </c>
      <c r="K747" s="49">
        <v>44829</v>
      </c>
      <c r="L747" s="65">
        <v>4900829107</v>
      </c>
      <c r="M747" s="51"/>
      <c r="N747" s="52"/>
      <c r="O747" s="52"/>
      <c r="S747" s="53"/>
    </row>
    <row r="748" spans="1:19" s="2" customFormat="1" ht="16.5" customHeight="1" x14ac:dyDescent="0.35">
      <c r="A748" s="85" t="s">
        <v>37</v>
      </c>
      <c r="B748" s="86" t="s">
        <v>959</v>
      </c>
      <c r="C748" s="87"/>
      <c r="D748" s="88" t="s">
        <v>39</v>
      </c>
      <c r="E748" s="43">
        <v>3520000</v>
      </c>
      <c r="F748" s="44">
        <f t="shared" si="37"/>
        <v>281600</v>
      </c>
      <c r="G748" s="45">
        <f t="shared" si="39"/>
        <v>3801600</v>
      </c>
      <c r="H748" s="46">
        <v>3801600</v>
      </c>
      <c r="I748" s="47">
        <f t="shared" si="38"/>
        <v>0</v>
      </c>
      <c r="J748" s="48">
        <v>44743</v>
      </c>
      <c r="K748" s="49">
        <v>44829</v>
      </c>
      <c r="L748" s="65">
        <v>4900828797</v>
      </c>
      <c r="M748" s="51"/>
      <c r="N748" s="52"/>
      <c r="O748" s="52"/>
      <c r="S748" s="53"/>
    </row>
    <row r="749" spans="1:19" s="2" customFormat="1" ht="16.5" customHeight="1" x14ac:dyDescent="0.35">
      <c r="A749" s="85" t="s">
        <v>102</v>
      </c>
      <c r="B749" s="86" t="s">
        <v>960</v>
      </c>
      <c r="C749" s="87"/>
      <c r="D749" s="88" t="s">
        <v>39</v>
      </c>
      <c r="E749" s="43">
        <v>1248000</v>
      </c>
      <c r="F749" s="44">
        <f t="shared" si="37"/>
        <v>99840</v>
      </c>
      <c r="G749" s="45">
        <f t="shared" si="39"/>
        <v>1347840</v>
      </c>
      <c r="H749" s="46">
        <v>1347840</v>
      </c>
      <c r="I749" s="47">
        <f t="shared" si="38"/>
        <v>0</v>
      </c>
      <c r="J749" s="48">
        <v>44743</v>
      </c>
      <c r="K749" s="49">
        <v>44829</v>
      </c>
      <c r="L749" s="65">
        <v>4139669539</v>
      </c>
      <c r="M749" s="51"/>
      <c r="N749" s="52"/>
      <c r="O749" s="52"/>
      <c r="S749" s="53"/>
    </row>
    <row r="750" spans="1:19" s="2" customFormat="1" ht="16.5" customHeight="1" x14ac:dyDescent="0.35">
      <c r="A750" s="85" t="s">
        <v>339</v>
      </c>
      <c r="B750" s="86" t="s">
        <v>961</v>
      </c>
      <c r="C750" s="87"/>
      <c r="D750" s="88" t="s">
        <v>39</v>
      </c>
      <c r="E750" s="43">
        <v>960000</v>
      </c>
      <c r="F750" s="44">
        <f t="shared" si="37"/>
        <v>76800</v>
      </c>
      <c r="G750" s="45">
        <f t="shared" si="39"/>
        <v>1036800</v>
      </c>
      <c r="H750" s="46">
        <v>1036800</v>
      </c>
      <c r="I750" s="47">
        <f t="shared" si="38"/>
        <v>0</v>
      </c>
      <c r="J750" s="48">
        <v>44743</v>
      </c>
      <c r="K750" s="49">
        <v>44829</v>
      </c>
      <c r="L750" s="65">
        <v>4139634705</v>
      </c>
      <c r="M750" s="51"/>
      <c r="N750" s="52"/>
      <c r="O750" s="52"/>
      <c r="S750" s="53"/>
    </row>
    <row r="751" spans="1:19" s="2" customFormat="1" ht="16.5" customHeight="1" x14ac:dyDescent="0.35">
      <c r="A751" s="85" t="s">
        <v>135</v>
      </c>
      <c r="B751" s="86" t="s">
        <v>962</v>
      </c>
      <c r="C751" s="87"/>
      <c r="D751" s="88" t="s">
        <v>39</v>
      </c>
      <c r="E751" s="43">
        <v>800000</v>
      </c>
      <c r="F751" s="44">
        <f t="shared" si="37"/>
        <v>64000</v>
      </c>
      <c r="G751" s="45">
        <f t="shared" si="39"/>
        <v>864000</v>
      </c>
      <c r="H751" s="46">
        <v>864000</v>
      </c>
      <c r="I751" s="47">
        <f t="shared" si="38"/>
        <v>0</v>
      </c>
      <c r="J751" s="48">
        <v>44743</v>
      </c>
      <c r="K751" s="49">
        <v>44829</v>
      </c>
      <c r="L751" s="50">
        <v>4139635281</v>
      </c>
      <c r="M751" s="51"/>
      <c r="N751" s="52"/>
      <c r="O751" s="52"/>
      <c r="S751" s="53"/>
    </row>
    <row r="752" spans="1:19" s="2" customFormat="1" ht="16.5" customHeight="1" x14ac:dyDescent="0.35">
      <c r="A752" s="85" t="s">
        <v>71</v>
      </c>
      <c r="B752" s="86" t="s">
        <v>584</v>
      </c>
      <c r="C752" s="87"/>
      <c r="D752" s="88" t="s">
        <v>39</v>
      </c>
      <c r="E752" s="43">
        <v>960000</v>
      </c>
      <c r="F752" s="44">
        <f t="shared" si="37"/>
        <v>76800</v>
      </c>
      <c r="G752" s="45">
        <f t="shared" si="39"/>
        <v>1036800</v>
      </c>
      <c r="H752" s="46">
        <v>1036800</v>
      </c>
      <c r="I752" s="47">
        <f t="shared" si="38"/>
        <v>0</v>
      </c>
      <c r="J752" s="48">
        <v>44743</v>
      </c>
      <c r="K752" s="49">
        <v>44829</v>
      </c>
      <c r="L752" s="65">
        <v>4139632127</v>
      </c>
      <c r="M752" s="51"/>
      <c r="N752" s="52"/>
      <c r="O752" s="52"/>
      <c r="S752" s="53"/>
    </row>
    <row r="753" spans="1:19" s="2" customFormat="1" ht="16.5" customHeight="1" x14ac:dyDescent="0.35">
      <c r="A753" s="85" t="s">
        <v>29</v>
      </c>
      <c r="B753" s="86" t="s">
        <v>963</v>
      </c>
      <c r="C753" s="87"/>
      <c r="D753" s="88" t="s">
        <v>39</v>
      </c>
      <c r="E753" s="43">
        <v>7680000</v>
      </c>
      <c r="F753" s="44">
        <f t="shared" si="37"/>
        <v>614400</v>
      </c>
      <c r="G753" s="45">
        <f t="shared" si="39"/>
        <v>8294400</v>
      </c>
      <c r="H753" s="46">
        <v>8294400</v>
      </c>
      <c r="I753" s="47">
        <f t="shared" si="38"/>
        <v>0</v>
      </c>
      <c r="J753" s="48">
        <v>44743</v>
      </c>
      <c r="K753" s="49">
        <v>44829</v>
      </c>
      <c r="L753" s="65">
        <v>4900828049</v>
      </c>
      <c r="M753" s="51"/>
      <c r="N753" s="52"/>
      <c r="O753" s="52"/>
      <c r="S753" s="53"/>
    </row>
    <row r="754" spans="1:19" s="2" customFormat="1" ht="16.5" customHeight="1" x14ac:dyDescent="0.35">
      <c r="A754" s="85" t="s">
        <v>37</v>
      </c>
      <c r="B754" s="86" t="s">
        <v>964</v>
      </c>
      <c r="C754" s="87"/>
      <c r="D754" s="88" t="s">
        <v>965</v>
      </c>
      <c r="E754" s="43">
        <v>960000</v>
      </c>
      <c r="F754" s="44">
        <f t="shared" si="37"/>
        <v>76800</v>
      </c>
      <c r="G754" s="45">
        <f t="shared" si="39"/>
        <v>1036800</v>
      </c>
      <c r="H754" s="46">
        <v>1036800</v>
      </c>
      <c r="I754" s="47">
        <f t="shared" si="38"/>
        <v>0</v>
      </c>
      <c r="J754" s="48">
        <v>44743</v>
      </c>
      <c r="K754" s="49">
        <v>44829</v>
      </c>
      <c r="L754" s="50">
        <v>4900830845</v>
      </c>
      <c r="M754" s="51"/>
      <c r="N754" s="52"/>
      <c r="O754" s="52"/>
      <c r="S754" s="53"/>
    </row>
    <row r="755" spans="1:19" s="2" customFormat="1" ht="16.5" customHeight="1" x14ac:dyDescent="0.35">
      <c r="A755" s="85" t="s">
        <v>37</v>
      </c>
      <c r="B755" s="86" t="s">
        <v>966</v>
      </c>
      <c r="C755" s="87"/>
      <c r="D755" s="88" t="s">
        <v>965</v>
      </c>
      <c r="E755" s="43">
        <v>960000</v>
      </c>
      <c r="F755" s="44">
        <f t="shared" si="37"/>
        <v>76800</v>
      </c>
      <c r="G755" s="45">
        <f t="shared" si="39"/>
        <v>1036800</v>
      </c>
      <c r="H755" s="46">
        <v>1036800</v>
      </c>
      <c r="I755" s="47">
        <f t="shared" si="38"/>
        <v>0</v>
      </c>
      <c r="J755" s="48">
        <v>44743</v>
      </c>
      <c r="K755" s="49">
        <v>44829</v>
      </c>
      <c r="L755" s="50">
        <v>4900830432</v>
      </c>
      <c r="M755" s="51"/>
      <c r="N755" s="52"/>
      <c r="O755" s="52"/>
      <c r="S755" s="53"/>
    </row>
    <row r="756" spans="1:19" s="2" customFormat="1" ht="16.5" customHeight="1" x14ac:dyDescent="0.35">
      <c r="A756" s="85" t="s">
        <v>29</v>
      </c>
      <c r="B756" s="86" t="s">
        <v>967</v>
      </c>
      <c r="C756" s="87"/>
      <c r="D756" s="88" t="s">
        <v>965</v>
      </c>
      <c r="E756" s="43">
        <v>6400000</v>
      </c>
      <c r="F756" s="44">
        <f t="shared" si="37"/>
        <v>512000</v>
      </c>
      <c r="G756" s="45">
        <f t="shared" si="39"/>
        <v>6912000</v>
      </c>
      <c r="H756" s="46">
        <v>6912000</v>
      </c>
      <c r="I756" s="47">
        <f t="shared" si="38"/>
        <v>0</v>
      </c>
      <c r="J756" s="48">
        <v>44743</v>
      </c>
      <c r="K756" s="49">
        <v>44829</v>
      </c>
      <c r="L756" s="50">
        <v>4900829874</v>
      </c>
      <c r="M756" s="51"/>
      <c r="N756" s="52"/>
      <c r="O756" s="52"/>
      <c r="S756" s="53"/>
    </row>
    <row r="757" spans="1:19" s="2" customFormat="1" ht="16.5" customHeight="1" x14ac:dyDescent="0.35">
      <c r="A757" s="85" t="s">
        <v>29</v>
      </c>
      <c r="B757" s="86" t="s">
        <v>968</v>
      </c>
      <c r="C757" s="87"/>
      <c r="D757" s="88" t="s">
        <v>965</v>
      </c>
      <c r="E757" s="43">
        <v>402000</v>
      </c>
      <c r="F757" s="44">
        <f t="shared" si="37"/>
        <v>32160</v>
      </c>
      <c r="G757" s="45">
        <f t="shared" si="39"/>
        <v>434160</v>
      </c>
      <c r="H757" s="46">
        <v>434160</v>
      </c>
      <c r="I757" s="47">
        <f t="shared" si="38"/>
        <v>0</v>
      </c>
      <c r="J757" s="48">
        <v>44743</v>
      </c>
      <c r="K757" s="49">
        <v>44829</v>
      </c>
      <c r="L757" s="50">
        <v>4900829998</v>
      </c>
      <c r="M757" s="51"/>
      <c r="N757" s="52"/>
      <c r="O757" s="52"/>
      <c r="S757" s="53"/>
    </row>
    <row r="758" spans="1:19" s="2" customFormat="1" ht="16.5" customHeight="1" x14ac:dyDescent="0.35">
      <c r="A758" s="85" t="s">
        <v>63</v>
      </c>
      <c r="B758" s="86" t="s">
        <v>969</v>
      </c>
      <c r="C758" s="87"/>
      <c r="D758" s="88" t="s">
        <v>970</v>
      </c>
      <c r="E758" s="43">
        <v>960000</v>
      </c>
      <c r="F758" s="44">
        <f t="shared" si="37"/>
        <v>76800</v>
      </c>
      <c r="G758" s="45">
        <f t="shared" si="39"/>
        <v>1036800</v>
      </c>
      <c r="H758" s="46">
        <v>1036800</v>
      </c>
      <c r="I758" s="47">
        <f t="shared" si="38"/>
        <v>0</v>
      </c>
      <c r="J758" s="48">
        <v>44743</v>
      </c>
      <c r="K758" s="49">
        <v>44829</v>
      </c>
      <c r="L758" s="50">
        <v>4139818112</v>
      </c>
      <c r="M758" s="51"/>
      <c r="N758" s="52"/>
      <c r="O758" s="52"/>
      <c r="S758" s="53"/>
    </row>
    <row r="759" spans="1:19" s="2" customFormat="1" ht="16.5" customHeight="1" x14ac:dyDescent="0.35">
      <c r="A759" s="85" t="s">
        <v>135</v>
      </c>
      <c r="B759" s="86" t="s">
        <v>971</v>
      </c>
      <c r="C759" s="87"/>
      <c r="D759" s="88" t="s">
        <v>970</v>
      </c>
      <c r="E759" s="43">
        <v>704000</v>
      </c>
      <c r="F759" s="44">
        <f t="shared" si="37"/>
        <v>56320</v>
      </c>
      <c r="G759" s="45">
        <f t="shared" si="39"/>
        <v>760320</v>
      </c>
      <c r="H759" s="46">
        <v>760320</v>
      </c>
      <c r="I759" s="47">
        <f t="shared" si="38"/>
        <v>0</v>
      </c>
      <c r="J759" s="48">
        <v>44743</v>
      </c>
      <c r="K759" s="49">
        <v>44829</v>
      </c>
      <c r="L759" s="50">
        <v>4139824697</v>
      </c>
      <c r="M759" s="51"/>
      <c r="N759" s="52"/>
      <c r="O759" s="52"/>
      <c r="S759" s="53"/>
    </row>
    <row r="760" spans="1:19" s="2" customFormat="1" ht="16.5" customHeight="1" x14ac:dyDescent="0.35">
      <c r="A760" s="85" t="s">
        <v>339</v>
      </c>
      <c r="B760" s="86" t="s">
        <v>972</v>
      </c>
      <c r="C760" s="87"/>
      <c r="D760" s="88" t="s">
        <v>973</v>
      </c>
      <c r="E760" s="43">
        <v>1920000</v>
      </c>
      <c r="F760" s="44">
        <f t="shared" si="37"/>
        <v>153600</v>
      </c>
      <c r="G760" s="45">
        <f t="shared" si="39"/>
        <v>2073600</v>
      </c>
      <c r="H760" s="46">
        <v>2073600</v>
      </c>
      <c r="I760" s="47">
        <f t="shared" si="38"/>
        <v>0</v>
      </c>
      <c r="J760" s="48">
        <v>44743</v>
      </c>
      <c r="K760" s="49">
        <v>44829</v>
      </c>
      <c r="L760" s="50">
        <v>4139871943</v>
      </c>
      <c r="M760" s="51"/>
      <c r="N760" s="52"/>
      <c r="O760" s="52"/>
      <c r="S760" s="53"/>
    </row>
    <row r="761" spans="1:19" s="2" customFormat="1" ht="16.5" customHeight="1" x14ac:dyDescent="0.35">
      <c r="A761" s="85" t="s">
        <v>37</v>
      </c>
      <c r="B761" s="86" t="s">
        <v>974</v>
      </c>
      <c r="C761" s="87"/>
      <c r="D761" s="88" t="s">
        <v>973</v>
      </c>
      <c r="E761" s="43">
        <v>2240000</v>
      </c>
      <c r="F761" s="44">
        <f t="shared" si="37"/>
        <v>179200</v>
      </c>
      <c r="G761" s="45">
        <f t="shared" si="39"/>
        <v>2419200</v>
      </c>
      <c r="H761" s="46">
        <v>2419200</v>
      </c>
      <c r="I761" s="47">
        <f t="shared" si="38"/>
        <v>0</v>
      </c>
      <c r="J761" s="48">
        <v>44743</v>
      </c>
      <c r="K761" s="49">
        <v>44829</v>
      </c>
      <c r="L761" s="50">
        <v>4900831749</v>
      </c>
      <c r="M761" s="51"/>
      <c r="N761" s="52"/>
      <c r="O761" s="52"/>
      <c r="S761" s="53"/>
    </row>
    <row r="762" spans="1:19" s="2" customFormat="1" ht="16.5" customHeight="1" x14ac:dyDescent="0.35">
      <c r="A762" s="85" t="s">
        <v>37</v>
      </c>
      <c r="B762" s="86" t="s">
        <v>975</v>
      </c>
      <c r="C762" s="87"/>
      <c r="D762" s="88" t="s">
        <v>812</v>
      </c>
      <c r="E762" s="43">
        <v>8640000</v>
      </c>
      <c r="F762" s="44">
        <f t="shared" si="37"/>
        <v>691200</v>
      </c>
      <c r="G762" s="45">
        <f t="shared" si="39"/>
        <v>9331200</v>
      </c>
      <c r="H762" s="46">
        <v>9331200</v>
      </c>
      <c r="I762" s="47">
        <f t="shared" si="38"/>
        <v>0</v>
      </c>
      <c r="J762" s="48">
        <v>44743</v>
      </c>
      <c r="K762" s="49">
        <v>44829</v>
      </c>
      <c r="L762" s="50">
        <v>4900832349</v>
      </c>
      <c r="M762" s="51"/>
      <c r="N762" s="52"/>
      <c r="O762" s="52"/>
      <c r="S762" s="53"/>
    </row>
    <row r="763" spans="1:19" s="2" customFormat="1" ht="16.5" customHeight="1" x14ac:dyDescent="0.35">
      <c r="A763" s="85" t="s">
        <v>37</v>
      </c>
      <c r="B763" s="86" t="s">
        <v>976</v>
      </c>
      <c r="C763" s="87"/>
      <c r="D763" s="88" t="s">
        <v>812</v>
      </c>
      <c r="E763" s="43">
        <v>3840000</v>
      </c>
      <c r="F763" s="44">
        <f t="shared" si="37"/>
        <v>307200</v>
      </c>
      <c r="G763" s="45">
        <f t="shared" si="39"/>
        <v>4147200</v>
      </c>
      <c r="H763" s="46">
        <v>4147200</v>
      </c>
      <c r="I763" s="47">
        <f t="shared" si="38"/>
        <v>0</v>
      </c>
      <c r="J763" s="48">
        <v>44743</v>
      </c>
      <c r="K763" s="49">
        <v>44829</v>
      </c>
      <c r="L763" s="50">
        <v>4900832287</v>
      </c>
      <c r="M763" s="51"/>
      <c r="N763" s="52"/>
      <c r="O763" s="52"/>
      <c r="S763" s="53"/>
    </row>
    <row r="764" spans="1:19" s="2" customFormat="1" ht="16.5" customHeight="1" x14ac:dyDescent="0.35">
      <c r="A764" s="85" t="s">
        <v>135</v>
      </c>
      <c r="B764" s="86" t="s">
        <v>977</v>
      </c>
      <c r="C764" s="87"/>
      <c r="D764" s="88" t="s">
        <v>812</v>
      </c>
      <c r="E764" s="43">
        <v>960000</v>
      </c>
      <c r="F764" s="44">
        <f t="shared" si="37"/>
        <v>76800</v>
      </c>
      <c r="G764" s="45">
        <f t="shared" si="39"/>
        <v>1036800</v>
      </c>
      <c r="H764" s="46">
        <v>1036800</v>
      </c>
      <c r="I764" s="47">
        <f t="shared" si="38"/>
        <v>0</v>
      </c>
      <c r="J764" s="48">
        <v>44743</v>
      </c>
      <c r="K764" s="49">
        <v>44829</v>
      </c>
      <c r="L764" s="50">
        <v>4139910945</v>
      </c>
      <c r="M764" s="51"/>
      <c r="N764" s="52"/>
      <c r="O764" s="52"/>
      <c r="S764" s="53"/>
    </row>
    <row r="765" spans="1:19" s="2" customFormat="1" ht="16.5" customHeight="1" x14ac:dyDescent="0.35">
      <c r="A765" s="85" t="s">
        <v>37</v>
      </c>
      <c r="B765" s="86" t="s">
        <v>978</v>
      </c>
      <c r="C765" s="87"/>
      <c r="D765" s="88" t="s">
        <v>812</v>
      </c>
      <c r="E765" s="43">
        <v>1920000</v>
      </c>
      <c r="F765" s="44">
        <f t="shared" si="37"/>
        <v>153600</v>
      </c>
      <c r="G765" s="45">
        <f t="shared" si="39"/>
        <v>2073600</v>
      </c>
      <c r="H765" s="46">
        <v>2073600</v>
      </c>
      <c r="I765" s="47">
        <f t="shared" si="38"/>
        <v>0</v>
      </c>
      <c r="J765" s="48">
        <v>44743</v>
      </c>
      <c r="K765" s="49">
        <v>44829</v>
      </c>
      <c r="L765" s="50">
        <v>4900832820</v>
      </c>
      <c r="M765" s="51"/>
      <c r="N765" s="52"/>
      <c r="O765" s="52"/>
      <c r="S765" s="53"/>
    </row>
    <row r="766" spans="1:19" s="2" customFormat="1" ht="16.5" customHeight="1" x14ac:dyDescent="0.35">
      <c r="A766" s="85" t="s">
        <v>37</v>
      </c>
      <c r="B766" s="86" t="s">
        <v>98</v>
      </c>
      <c r="C766" s="87"/>
      <c r="D766" s="88" t="s">
        <v>812</v>
      </c>
      <c r="E766" s="43">
        <v>1920000</v>
      </c>
      <c r="F766" s="44">
        <f t="shared" si="37"/>
        <v>153600</v>
      </c>
      <c r="G766" s="45">
        <f t="shared" si="39"/>
        <v>2073600</v>
      </c>
      <c r="H766" s="46">
        <v>2073600</v>
      </c>
      <c r="I766" s="47">
        <f t="shared" si="38"/>
        <v>0</v>
      </c>
      <c r="J766" s="48">
        <v>44743</v>
      </c>
      <c r="K766" s="49">
        <v>44829</v>
      </c>
      <c r="L766" s="50">
        <v>4900832869</v>
      </c>
      <c r="M766" s="51"/>
      <c r="N766" s="52"/>
      <c r="O766" s="52"/>
      <c r="S766" s="53"/>
    </row>
    <row r="767" spans="1:19" s="2" customFormat="1" ht="16.5" customHeight="1" x14ac:dyDescent="0.35">
      <c r="A767" s="85" t="s">
        <v>979</v>
      </c>
      <c r="B767" s="86" t="s">
        <v>980</v>
      </c>
      <c r="C767" s="87"/>
      <c r="D767" s="88" t="s">
        <v>981</v>
      </c>
      <c r="E767" s="43">
        <v>3364000</v>
      </c>
      <c r="F767" s="44">
        <f t="shared" ref="F767:F790" si="40">+E767*0.08</f>
        <v>269120</v>
      </c>
      <c r="G767" s="45">
        <f t="shared" si="39"/>
        <v>3633120</v>
      </c>
      <c r="H767" s="46">
        <v>3633120</v>
      </c>
      <c r="I767" s="47">
        <f t="shared" si="38"/>
        <v>0</v>
      </c>
      <c r="J767" s="48">
        <v>44722</v>
      </c>
      <c r="K767" s="49">
        <v>44829</v>
      </c>
      <c r="L767" s="65">
        <v>4138668896</v>
      </c>
      <c r="M767" s="51"/>
      <c r="N767" s="52"/>
      <c r="O767" s="52"/>
      <c r="S767" s="53"/>
    </row>
    <row r="768" spans="1:19" s="2" customFormat="1" ht="16.5" customHeight="1" x14ac:dyDescent="0.35">
      <c r="A768" s="85" t="s">
        <v>339</v>
      </c>
      <c r="B768" s="86" t="s">
        <v>982</v>
      </c>
      <c r="C768" s="87"/>
      <c r="D768" s="88" t="s">
        <v>983</v>
      </c>
      <c r="E768" s="43">
        <v>2368000</v>
      </c>
      <c r="F768" s="44">
        <f t="shared" si="40"/>
        <v>189440</v>
      </c>
      <c r="G768" s="45">
        <f t="shared" si="39"/>
        <v>2557440</v>
      </c>
      <c r="H768" s="46">
        <v>2557440</v>
      </c>
      <c r="I768" s="47">
        <f t="shared" si="38"/>
        <v>0</v>
      </c>
      <c r="J768" s="48">
        <v>44722</v>
      </c>
      <c r="K768" s="49">
        <v>44829</v>
      </c>
      <c r="L768" s="65">
        <v>4138776842</v>
      </c>
      <c r="M768" s="51"/>
      <c r="N768" s="52"/>
      <c r="O768" s="52"/>
      <c r="S768" s="53"/>
    </row>
    <row r="769" spans="1:19" s="2" customFormat="1" ht="16.5" customHeight="1" x14ac:dyDescent="0.35">
      <c r="A769" s="85" t="s">
        <v>29</v>
      </c>
      <c r="B769" s="86" t="s">
        <v>984</v>
      </c>
      <c r="C769" s="87"/>
      <c r="D769" s="88" t="s">
        <v>983</v>
      </c>
      <c r="E769" s="43">
        <v>13842000</v>
      </c>
      <c r="F769" s="44">
        <f t="shared" si="40"/>
        <v>1107360</v>
      </c>
      <c r="G769" s="45">
        <f t="shared" si="39"/>
        <v>14949360</v>
      </c>
      <c r="H769" s="46">
        <v>14949360</v>
      </c>
      <c r="I769" s="47">
        <f t="shared" si="38"/>
        <v>0</v>
      </c>
      <c r="J769" s="48">
        <v>44722</v>
      </c>
      <c r="K769" s="49">
        <v>44829</v>
      </c>
      <c r="L769" s="65">
        <v>4900820099</v>
      </c>
      <c r="M769" s="51"/>
      <c r="N769" s="52"/>
      <c r="O769" s="52"/>
      <c r="S769" s="53"/>
    </row>
    <row r="770" spans="1:19" s="2" customFormat="1" ht="16.5" customHeight="1" x14ac:dyDescent="0.35">
      <c r="A770" s="85" t="s">
        <v>71</v>
      </c>
      <c r="B770" s="86" t="s">
        <v>985</v>
      </c>
      <c r="C770" s="87"/>
      <c r="D770" s="88" t="s">
        <v>986</v>
      </c>
      <c r="E770" s="43">
        <v>1248000</v>
      </c>
      <c r="F770" s="44">
        <f t="shared" si="40"/>
        <v>99840</v>
      </c>
      <c r="G770" s="45">
        <f t="shared" si="39"/>
        <v>1347840</v>
      </c>
      <c r="H770" s="46">
        <v>1347840</v>
      </c>
      <c r="I770" s="47">
        <f t="shared" si="38"/>
        <v>0</v>
      </c>
      <c r="J770" s="48">
        <v>44722</v>
      </c>
      <c r="K770" s="49">
        <v>44829</v>
      </c>
      <c r="L770" s="50">
        <v>4138860707</v>
      </c>
      <c r="M770" s="51"/>
      <c r="N770" s="52"/>
      <c r="O770" s="52"/>
      <c r="S770" s="53"/>
    </row>
    <row r="771" spans="1:19" s="2" customFormat="1" ht="16.5" customHeight="1" x14ac:dyDescent="0.35">
      <c r="A771" s="85" t="s">
        <v>71</v>
      </c>
      <c r="B771" s="86" t="s">
        <v>987</v>
      </c>
      <c r="C771" s="87"/>
      <c r="D771" s="88" t="s">
        <v>986</v>
      </c>
      <c r="E771" s="43">
        <v>1680000</v>
      </c>
      <c r="F771" s="44">
        <f t="shared" si="40"/>
        <v>134400</v>
      </c>
      <c r="G771" s="45">
        <f t="shared" si="39"/>
        <v>1814400</v>
      </c>
      <c r="H771" s="46">
        <v>1814400</v>
      </c>
      <c r="I771" s="47">
        <f t="shared" si="38"/>
        <v>0</v>
      </c>
      <c r="J771" s="48">
        <v>44722</v>
      </c>
      <c r="K771" s="49">
        <v>44829</v>
      </c>
      <c r="L771" s="65">
        <v>4138862911</v>
      </c>
      <c r="M771" s="51"/>
      <c r="N771" s="52"/>
      <c r="O771" s="52"/>
      <c r="S771" s="53"/>
    </row>
    <row r="772" spans="1:19" s="2" customFormat="1" ht="16.5" customHeight="1" x14ac:dyDescent="0.35">
      <c r="A772" s="85" t="s">
        <v>71</v>
      </c>
      <c r="B772" s="86" t="s">
        <v>988</v>
      </c>
      <c r="C772" s="87"/>
      <c r="D772" s="88" t="s">
        <v>986</v>
      </c>
      <c r="E772" s="43">
        <v>1120000</v>
      </c>
      <c r="F772" s="44">
        <f t="shared" si="40"/>
        <v>89600</v>
      </c>
      <c r="G772" s="45">
        <f t="shared" si="39"/>
        <v>1209600</v>
      </c>
      <c r="H772" s="46">
        <v>1209600</v>
      </c>
      <c r="I772" s="47">
        <f t="shared" si="38"/>
        <v>0</v>
      </c>
      <c r="J772" s="48">
        <v>44722</v>
      </c>
      <c r="K772" s="49">
        <v>44829</v>
      </c>
      <c r="L772" s="65">
        <v>4138860532</v>
      </c>
      <c r="M772" s="51"/>
      <c r="N772" s="52"/>
      <c r="O772" s="52"/>
      <c r="S772" s="53"/>
    </row>
    <row r="773" spans="1:19" s="2" customFormat="1" ht="16.5" customHeight="1" x14ac:dyDescent="0.35">
      <c r="A773" s="85" t="s">
        <v>71</v>
      </c>
      <c r="B773" s="86" t="s">
        <v>989</v>
      </c>
      <c r="C773" s="87"/>
      <c r="D773" s="88" t="s">
        <v>986</v>
      </c>
      <c r="E773" s="43">
        <v>7424000</v>
      </c>
      <c r="F773" s="44">
        <f t="shared" si="40"/>
        <v>593920</v>
      </c>
      <c r="G773" s="45">
        <f t="shared" si="39"/>
        <v>8017920</v>
      </c>
      <c r="H773" s="46">
        <v>8017920</v>
      </c>
      <c r="I773" s="47">
        <f t="shared" si="38"/>
        <v>0</v>
      </c>
      <c r="J773" s="48">
        <v>44722</v>
      </c>
      <c r="K773" s="49">
        <v>44829</v>
      </c>
      <c r="L773" s="65">
        <v>4138842750</v>
      </c>
      <c r="M773" s="51"/>
      <c r="N773" s="52"/>
      <c r="O773" s="52"/>
      <c r="S773" s="53"/>
    </row>
    <row r="774" spans="1:19" s="2" customFormat="1" ht="16.5" customHeight="1" x14ac:dyDescent="0.35">
      <c r="A774" s="85" t="s">
        <v>71</v>
      </c>
      <c r="B774" s="86" t="s">
        <v>990</v>
      </c>
      <c r="C774" s="87"/>
      <c r="D774" s="88" t="s">
        <v>986</v>
      </c>
      <c r="E774" s="43">
        <v>1200000</v>
      </c>
      <c r="F774" s="44">
        <f t="shared" si="40"/>
        <v>96000</v>
      </c>
      <c r="G774" s="45">
        <f t="shared" si="39"/>
        <v>1296000</v>
      </c>
      <c r="H774" s="46">
        <v>1296000</v>
      </c>
      <c r="I774" s="47">
        <f t="shared" si="38"/>
        <v>0</v>
      </c>
      <c r="J774" s="48">
        <v>44722</v>
      </c>
      <c r="K774" s="49">
        <v>44829</v>
      </c>
      <c r="L774" s="65">
        <v>4138860928</v>
      </c>
      <c r="M774" s="51"/>
      <c r="N774" s="52"/>
      <c r="O774" s="52"/>
      <c r="S774" s="53"/>
    </row>
    <row r="775" spans="1:19" s="2" customFormat="1" ht="16.5" customHeight="1" x14ac:dyDescent="0.35">
      <c r="A775" s="85" t="s">
        <v>71</v>
      </c>
      <c r="B775" s="86" t="s">
        <v>991</v>
      </c>
      <c r="C775" s="87"/>
      <c r="D775" s="88" t="s">
        <v>986</v>
      </c>
      <c r="E775" s="43">
        <v>960000</v>
      </c>
      <c r="F775" s="44">
        <f t="shared" si="40"/>
        <v>76800</v>
      </c>
      <c r="G775" s="45">
        <f t="shared" si="39"/>
        <v>1036800</v>
      </c>
      <c r="H775" s="46">
        <v>1036800</v>
      </c>
      <c r="I775" s="47">
        <f t="shared" si="38"/>
        <v>0</v>
      </c>
      <c r="J775" s="48">
        <v>44722</v>
      </c>
      <c r="K775" s="49">
        <v>44829</v>
      </c>
      <c r="L775" s="65">
        <v>4138854608</v>
      </c>
      <c r="M775" s="51"/>
      <c r="N775" s="52"/>
      <c r="O775" s="52"/>
      <c r="S775" s="53"/>
    </row>
    <row r="776" spans="1:19" s="2" customFormat="1" ht="16.5" customHeight="1" x14ac:dyDescent="0.35">
      <c r="A776" s="85" t="s">
        <v>71</v>
      </c>
      <c r="B776" s="86" t="s">
        <v>992</v>
      </c>
      <c r="C776" s="87"/>
      <c r="D776" s="88" t="s">
        <v>993</v>
      </c>
      <c r="E776" s="43">
        <v>1920000</v>
      </c>
      <c r="F776" s="44">
        <f t="shared" si="40"/>
        <v>153600</v>
      </c>
      <c r="G776" s="45">
        <f t="shared" si="39"/>
        <v>2073600</v>
      </c>
      <c r="H776" s="46">
        <v>2073600</v>
      </c>
      <c r="I776" s="47">
        <f t="shared" ref="I776:I791" si="41">G776-H776</f>
        <v>0</v>
      </c>
      <c r="J776" s="48">
        <v>44722</v>
      </c>
      <c r="K776" s="49">
        <v>44829</v>
      </c>
      <c r="L776" s="65">
        <v>4138867182</v>
      </c>
      <c r="M776" s="51"/>
      <c r="N776" s="52"/>
      <c r="O776" s="52"/>
      <c r="S776" s="53"/>
    </row>
    <row r="777" spans="1:19" s="2" customFormat="1" ht="16.5" customHeight="1" x14ac:dyDescent="0.35">
      <c r="A777" s="85" t="s">
        <v>135</v>
      </c>
      <c r="B777" s="86" t="s">
        <v>994</v>
      </c>
      <c r="C777" s="87"/>
      <c r="D777" s="88" t="s">
        <v>993</v>
      </c>
      <c r="E777" s="43">
        <v>1440000</v>
      </c>
      <c r="F777" s="44">
        <f t="shared" si="40"/>
        <v>115200</v>
      </c>
      <c r="G777" s="45">
        <f t="shared" si="39"/>
        <v>1555200</v>
      </c>
      <c r="H777" s="46">
        <v>1555200</v>
      </c>
      <c r="I777" s="47">
        <f t="shared" si="41"/>
        <v>0</v>
      </c>
      <c r="J777" s="48">
        <v>44722</v>
      </c>
      <c r="K777" s="49">
        <v>44829</v>
      </c>
      <c r="L777" s="65">
        <v>4138994947</v>
      </c>
      <c r="M777" s="51"/>
      <c r="N777" s="52"/>
      <c r="O777" s="52"/>
      <c r="S777" s="53"/>
    </row>
    <row r="778" spans="1:19" s="2" customFormat="1" ht="16.5" customHeight="1" x14ac:dyDescent="0.35">
      <c r="A778" s="85" t="s">
        <v>81</v>
      </c>
      <c r="B778" s="86" t="s">
        <v>995</v>
      </c>
      <c r="C778" s="87"/>
      <c r="D778" s="88" t="s">
        <v>993</v>
      </c>
      <c r="E778" s="43">
        <v>1920000</v>
      </c>
      <c r="F778" s="44">
        <f t="shared" si="40"/>
        <v>153600</v>
      </c>
      <c r="G778" s="45">
        <f t="shared" si="39"/>
        <v>2073600</v>
      </c>
      <c r="H778" s="46">
        <v>2073600</v>
      </c>
      <c r="I778" s="47">
        <f t="shared" si="41"/>
        <v>0</v>
      </c>
      <c r="J778" s="48">
        <v>44722</v>
      </c>
      <c r="K778" s="49">
        <v>44829</v>
      </c>
      <c r="L778" s="65">
        <v>4138947058</v>
      </c>
      <c r="M778" s="51"/>
      <c r="N778" s="52"/>
      <c r="O778" s="52"/>
      <c r="S778" s="53"/>
    </row>
    <row r="779" spans="1:19" s="2" customFormat="1" ht="16.5" customHeight="1" x14ac:dyDescent="0.35">
      <c r="A779" s="85" t="s">
        <v>339</v>
      </c>
      <c r="B779" s="86" t="s">
        <v>996</v>
      </c>
      <c r="C779" s="87">
        <v>190</v>
      </c>
      <c r="D779" s="88">
        <v>44722</v>
      </c>
      <c r="E779" s="43">
        <v>4621000</v>
      </c>
      <c r="F779" s="44">
        <f t="shared" si="40"/>
        <v>369680</v>
      </c>
      <c r="G779" s="45">
        <f t="shared" si="39"/>
        <v>4990680</v>
      </c>
      <c r="H779" s="46">
        <v>4990680</v>
      </c>
      <c r="I779" s="47">
        <f t="shared" si="41"/>
        <v>0</v>
      </c>
      <c r="J779" s="48">
        <v>44722</v>
      </c>
      <c r="K779" s="49">
        <v>44829</v>
      </c>
      <c r="L779" s="65">
        <v>4138899128</v>
      </c>
      <c r="M779" s="51"/>
      <c r="N779" s="52"/>
      <c r="O779" s="52"/>
      <c r="S779" s="53"/>
    </row>
    <row r="780" spans="1:19" s="2" customFormat="1" ht="16.5" customHeight="1" x14ac:dyDescent="0.35">
      <c r="A780" s="85" t="s">
        <v>997</v>
      </c>
      <c r="B780" s="86" t="s">
        <v>998</v>
      </c>
      <c r="C780" s="87"/>
      <c r="D780" s="88" t="s">
        <v>999</v>
      </c>
      <c r="E780" s="43">
        <v>2480000</v>
      </c>
      <c r="F780" s="44">
        <f t="shared" si="40"/>
        <v>198400</v>
      </c>
      <c r="G780" s="45">
        <f t="shared" si="39"/>
        <v>2678400</v>
      </c>
      <c r="H780" s="46">
        <v>2678400</v>
      </c>
      <c r="I780" s="47">
        <f t="shared" si="41"/>
        <v>0</v>
      </c>
      <c r="J780" s="48">
        <v>44722</v>
      </c>
      <c r="K780" s="49">
        <v>44829</v>
      </c>
      <c r="L780" s="65">
        <v>4139063251</v>
      </c>
      <c r="M780" s="51"/>
      <c r="N780" s="52"/>
      <c r="O780" s="52"/>
      <c r="S780" s="53"/>
    </row>
    <row r="781" spans="1:19" s="2" customFormat="1" ht="16.5" customHeight="1" x14ac:dyDescent="0.35">
      <c r="A781" s="85" t="s">
        <v>185</v>
      </c>
      <c r="B781" s="86" t="s">
        <v>1000</v>
      </c>
      <c r="C781" s="87"/>
      <c r="D781" s="88" t="s">
        <v>999</v>
      </c>
      <c r="E781" s="43">
        <v>4800000</v>
      </c>
      <c r="F781" s="44">
        <f t="shared" si="40"/>
        <v>384000</v>
      </c>
      <c r="G781" s="45">
        <f t="shared" si="39"/>
        <v>5184000</v>
      </c>
      <c r="H781" s="46">
        <v>5184000</v>
      </c>
      <c r="I781" s="47">
        <f t="shared" si="41"/>
        <v>0</v>
      </c>
      <c r="J781" s="48">
        <v>44722</v>
      </c>
      <c r="K781" s="49">
        <v>44829</v>
      </c>
      <c r="L781" s="50">
        <v>4900822224</v>
      </c>
      <c r="M781" s="51"/>
      <c r="N781" s="52"/>
      <c r="O781" s="52"/>
      <c r="S781" s="53"/>
    </row>
    <row r="782" spans="1:19" s="2" customFormat="1" ht="16.5" customHeight="1" x14ac:dyDescent="0.35">
      <c r="A782" s="85" t="s">
        <v>71</v>
      </c>
      <c r="B782" s="86" t="s">
        <v>625</v>
      </c>
      <c r="C782" s="87">
        <v>115</v>
      </c>
      <c r="D782" s="88" t="s">
        <v>999</v>
      </c>
      <c r="E782" s="43">
        <v>1200000</v>
      </c>
      <c r="F782" s="44">
        <f t="shared" si="40"/>
        <v>96000</v>
      </c>
      <c r="G782" s="45">
        <f t="shared" si="39"/>
        <v>1296000</v>
      </c>
      <c r="H782" s="46">
        <v>1296000</v>
      </c>
      <c r="I782" s="47">
        <f t="shared" si="41"/>
        <v>0</v>
      </c>
      <c r="J782" s="48">
        <v>44722</v>
      </c>
      <c r="K782" s="49">
        <v>44829</v>
      </c>
      <c r="L782" s="65">
        <v>4139043920</v>
      </c>
      <c r="M782" s="51"/>
      <c r="N782" s="52"/>
      <c r="O782" s="52"/>
      <c r="S782" s="53"/>
    </row>
    <row r="783" spans="1:19" s="2" customFormat="1" ht="16.5" customHeight="1" x14ac:dyDescent="0.35">
      <c r="A783" s="85" t="s">
        <v>63</v>
      </c>
      <c r="B783" s="86" t="s">
        <v>629</v>
      </c>
      <c r="C783" s="87"/>
      <c r="D783" s="88" t="s">
        <v>999</v>
      </c>
      <c r="E783" s="43">
        <v>800000</v>
      </c>
      <c r="F783" s="44">
        <f t="shared" si="40"/>
        <v>64000</v>
      </c>
      <c r="G783" s="45">
        <f t="shared" si="39"/>
        <v>864000</v>
      </c>
      <c r="H783" s="46">
        <v>864000</v>
      </c>
      <c r="I783" s="47">
        <f t="shared" si="41"/>
        <v>0</v>
      </c>
      <c r="J783" s="48">
        <v>44722</v>
      </c>
      <c r="K783" s="49">
        <v>44829</v>
      </c>
      <c r="L783" s="50">
        <v>4139053594</v>
      </c>
      <c r="M783" s="51"/>
      <c r="N783" s="52"/>
      <c r="O783" s="52"/>
      <c r="S783" s="53"/>
    </row>
    <row r="784" spans="1:19" s="2" customFormat="1" ht="16.5" customHeight="1" x14ac:dyDescent="0.35">
      <c r="A784" s="85" t="s">
        <v>71</v>
      </c>
      <c r="B784" s="86" t="s">
        <v>630</v>
      </c>
      <c r="C784" s="87"/>
      <c r="D784" s="88" t="s">
        <v>999</v>
      </c>
      <c r="E784" s="43">
        <v>480000</v>
      </c>
      <c r="F784" s="44">
        <f t="shared" si="40"/>
        <v>38400</v>
      </c>
      <c r="G784" s="45">
        <f t="shared" si="39"/>
        <v>518400</v>
      </c>
      <c r="H784" s="46">
        <v>518400</v>
      </c>
      <c r="I784" s="47">
        <f t="shared" si="41"/>
        <v>0</v>
      </c>
      <c r="J784" s="48">
        <v>44722</v>
      </c>
      <c r="K784" s="49">
        <v>44829</v>
      </c>
      <c r="L784" s="50">
        <v>4139051064</v>
      </c>
      <c r="M784" s="51"/>
      <c r="N784" s="52"/>
      <c r="O784" s="52"/>
      <c r="S784" s="53"/>
    </row>
    <row r="785" spans="1:19" s="2" customFormat="1" ht="16.5" customHeight="1" x14ac:dyDescent="0.35">
      <c r="A785" s="85" t="s">
        <v>33</v>
      </c>
      <c r="B785" s="86" t="s">
        <v>639</v>
      </c>
      <c r="C785" s="87"/>
      <c r="D785" s="88" t="s">
        <v>1001</v>
      </c>
      <c r="E785" s="43">
        <v>1362000</v>
      </c>
      <c r="F785" s="44">
        <f t="shared" si="40"/>
        <v>108960</v>
      </c>
      <c r="G785" s="45">
        <f t="shared" si="39"/>
        <v>1470960</v>
      </c>
      <c r="H785" s="46">
        <v>1470960</v>
      </c>
      <c r="I785" s="47">
        <f t="shared" si="41"/>
        <v>0</v>
      </c>
      <c r="J785" s="48">
        <v>44722</v>
      </c>
      <c r="K785" s="49">
        <v>44829</v>
      </c>
      <c r="L785" s="50">
        <v>4900823640</v>
      </c>
      <c r="M785" s="51"/>
      <c r="N785" s="52"/>
      <c r="O785" s="52"/>
      <c r="S785" s="53"/>
    </row>
    <row r="786" spans="1:19" s="2" customFormat="1" ht="16.5" customHeight="1" x14ac:dyDescent="0.35">
      <c r="A786" s="85" t="s">
        <v>339</v>
      </c>
      <c r="B786" s="86" t="s">
        <v>641</v>
      </c>
      <c r="C786" s="87"/>
      <c r="D786" s="88" t="s">
        <v>1001</v>
      </c>
      <c r="E786" s="43">
        <v>2080000</v>
      </c>
      <c r="F786" s="44">
        <f t="shared" si="40"/>
        <v>166400</v>
      </c>
      <c r="G786" s="45">
        <f t="shared" si="39"/>
        <v>2246400</v>
      </c>
      <c r="H786" s="46">
        <v>2246400</v>
      </c>
      <c r="I786" s="47">
        <f t="shared" si="41"/>
        <v>0</v>
      </c>
      <c r="J786" s="48">
        <v>44722</v>
      </c>
      <c r="K786" s="49">
        <v>44829</v>
      </c>
      <c r="L786" s="50">
        <v>4139061359</v>
      </c>
      <c r="M786" s="51"/>
      <c r="N786" s="52"/>
      <c r="O786" s="52"/>
      <c r="S786" s="53"/>
    </row>
    <row r="787" spans="1:19" s="2" customFormat="1" ht="16.5" customHeight="1" x14ac:dyDescent="0.35">
      <c r="A787" s="85" t="s">
        <v>71</v>
      </c>
      <c r="B787" s="86" t="s">
        <v>642</v>
      </c>
      <c r="C787" s="87"/>
      <c r="D787" s="88" t="s">
        <v>1001</v>
      </c>
      <c r="E787" s="43">
        <v>480000</v>
      </c>
      <c r="F787" s="44">
        <f t="shared" si="40"/>
        <v>38400</v>
      </c>
      <c r="G787" s="45">
        <f t="shared" si="39"/>
        <v>518400</v>
      </c>
      <c r="H787" s="46">
        <v>518400</v>
      </c>
      <c r="I787" s="47">
        <f t="shared" si="41"/>
        <v>0</v>
      </c>
      <c r="J787" s="48">
        <v>44722</v>
      </c>
      <c r="K787" s="49">
        <v>44829</v>
      </c>
      <c r="L787" s="50">
        <v>4139066983</v>
      </c>
      <c r="M787" s="51"/>
      <c r="N787" s="52"/>
      <c r="O787" s="52"/>
      <c r="S787" s="53"/>
    </row>
    <row r="788" spans="1:19" s="2" customFormat="1" ht="16.5" customHeight="1" x14ac:dyDescent="0.35">
      <c r="A788" s="85" t="s">
        <v>1002</v>
      </c>
      <c r="B788" s="86" t="s">
        <v>1003</v>
      </c>
      <c r="C788" s="87"/>
      <c r="D788" s="88" t="s">
        <v>1004</v>
      </c>
      <c r="E788" s="43">
        <v>3520000</v>
      </c>
      <c r="F788" s="44">
        <f t="shared" si="40"/>
        <v>281600</v>
      </c>
      <c r="G788" s="45">
        <f t="shared" si="39"/>
        <v>3801600</v>
      </c>
      <c r="H788" s="46">
        <v>3801600</v>
      </c>
      <c r="I788" s="47">
        <f t="shared" si="41"/>
        <v>0</v>
      </c>
      <c r="J788" s="48">
        <v>44722</v>
      </c>
      <c r="K788" s="49">
        <v>44829</v>
      </c>
      <c r="L788" s="50">
        <v>4139218207</v>
      </c>
      <c r="M788" s="51"/>
      <c r="N788" s="52"/>
      <c r="O788" s="52"/>
      <c r="S788" s="53"/>
    </row>
    <row r="789" spans="1:19" s="2" customFormat="1" ht="16.5" customHeight="1" x14ac:dyDescent="0.35">
      <c r="A789" s="85" t="s">
        <v>29</v>
      </c>
      <c r="B789" s="86" t="s">
        <v>1005</v>
      </c>
      <c r="C789" s="87">
        <v>169</v>
      </c>
      <c r="D789" s="88" t="s">
        <v>939</v>
      </c>
      <c r="E789" s="43">
        <v>2304000</v>
      </c>
      <c r="F789" s="44">
        <f t="shared" si="40"/>
        <v>184320</v>
      </c>
      <c r="G789" s="45">
        <f t="shared" si="39"/>
        <v>2488320</v>
      </c>
      <c r="H789" s="46">
        <v>2488320</v>
      </c>
      <c r="I789" s="47">
        <f t="shared" si="41"/>
        <v>0</v>
      </c>
      <c r="J789" s="48">
        <v>44722</v>
      </c>
      <c r="K789" s="49">
        <v>44829</v>
      </c>
      <c r="L789" s="50">
        <v>4900816903</v>
      </c>
      <c r="M789" s="51"/>
      <c r="N789" s="52"/>
      <c r="O789" s="52"/>
      <c r="S789" s="53"/>
    </row>
    <row r="790" spans="1:19" s="2" customFormat="1" ht="16.5" customHeight="1" x14ac:dyDescent="0.35">
      <c r="A790" s="85" t="s">
        <v>71</v>
      </c>
      <c r="B790" s="86" t="s">
        <v>612</v>
      </c>
      <c r="C790" s="87"/>
      <c r="D790" s="88" t="s">
        <v>939</v>
      </c>
      <c r="E790" s="43">
        <v>800000</v>
      </c>
      <c r="F790" s="44">
        <f t="shared" si="40"/>
        <v>64000</v>
      </c>
      <c r="G790" s="45">
        <f t="shared" si="39"/>
        <v>864000</v>
      </c>
      <c r="H790" s="46">
        <v>864000</v>
      </c>
      <c r="I790" s="47">
        <f t="shared" si="41"/>
        <v>0</v>
      </c>
      <c r="J790" s="48">
        <v>44722</v>
      </c>
      <c r="K790" s="49">
        <v>44829</v>
      </c>
      <c r="L790" s="50">
        <v>4139329265</v>
      </c>
      <c r="M790" s="51"/>
      <c r="N790" s="52"/>
      <c r="O790" s="52"/>
      <c r="S790" s="53"/>
    </row>
    <row r="791" spans="1:19" s="2" customFormat="1" ht="16.5" customHeight="1" x14ac:dyDescent="0.35">
      <c r="A791" s="85" t="s">
        <v>77</v>
      </c>
      <c r="B791" s="86" t="s">
        <v>1006</v>
      </c>
      <c r="C791" s="87"/>
      <c r="D791" s="88" t="s">
        <v>438</v>
      </c>
      <c r="E791" s="43">
        <v>2900000</v>
      </c>
      <c r="F791" s="44"/>
      <c r="G791" s="45"/>
      <c r="H791" s="46"/>
      <c r="I791" s="47">
        <f t="shared" si="41"/>
        <v>0</v>
      </c>
      <c r="J791" s="48" t="s">
        <v>65</v>
      </c>
      <c r="K791" s="49"/>
      <c r="L791" s="50"/>
      <c r="M791" s="51"/>
      <c r="N791" s="52"/>
      <c r="O791" s="52"/>
      <c r="S791" s="53"/>
    </row>
    <row r="792" spans="1:19" s="2" customFormat="1" ht="16.5" customHeight="1" x14ac:dyDescent="0.35">
      <c r="A792" s="85" t="s">
        <v>37</v>
      </c>
      <c r="B792" s="86" t="s">
        <v>1007</v>
      </c>
      <c r="C792" s="87"/>
      <c r="D792" s="88" t="s">
        <v>550</v>
      </c>
      <c r="E792" s="43">
        <v>936000</v>
      </c>
      <c r="F792" s="44"/>
      <c r="G792" s="45"/>
      <c r="H792" s="46"/>
      <c r="I792" s="47"/>
      <c r="J792" s="48" t="s">
        <v>65</v>
      </c>
      <c r="K792" s="49"/>
      <c r="L792" s="50"/>
      <c r="M792" s="51"/>
      <c r="N792" s="52"/>
      <c r="O792" s="52"/>
      <c r="S792" s="53"/>
    </row>
    <row r="793" spans="1:19" s="2" customFormat="1" ht="16.5" customHeight="1" x14ac:dyDescent="0.35">
      <c r="A793" s="85" t="s">
        <v>29</v>
      </c>
      <c r="B793" s="86" t="s">
        <v>1008</v>
      </c>
      <c r="C793" s="87"/>
      <c r="D793" s="88" t="s">
        <v>552</v>
      </c>
      <c r="E793" s="43">
        <v>1720000</v>
      </c>
      <c r="F793" s="44">
        <f>+E793*0.1</f>
        <v>172000</v>
      </c>
      <c r="G793" s="45"/>
      <c r="H793" s="46"/>
      <c r="I793" s="47"/>
      <c r="J793" s="48" t="s">
        <v>65</v>
      </c>
      <c r="K793" s="49"/>
      <c r="L793" s="50"/>
      <c r="M793" s="51"/>
      <c r="N793" s="52"/>
      <c r="O793" s="52"/>
      <c r="S793" s="53"/>
    </row>
    <row r="794" spans="1:19" s="2" customFormat="1" ht="16.5" customHeight="1" x14ac:dyDescent="0.35">
      <c r="A794" s="85" t="s">
        <v>66</v>
      </c>
      <c r="B794" s="86">
        <v>3867</v>
      </c>
      <c r="C794" s="87"/>
      <c r="D794" s="88">
        <v>45282</v>
      </c>
      <c r="E794" s="43">
        <v>291504000</v>
      </c>
      <c r="F794" s="44"/>
      <c r="G794" s="45"/>
      <c r="H794" s="46"/>
      <c r="I794" s="47">
        <f t="shared" ref="I794:I857" si="42">G794-H794</f>
        <v>0</v>
      </c>
      <c r="J794" s="48" t="s">
        <v>1009</v>
      </c>
      <c r="K794" s="49"/>
      <c r="L794" s="50"/>
      <c r="M794" s="51"/>
      <c r="N794" s="52"/>
      <c r="O794" s="52"/>
      <c r="S794" s="53"/>
    </row>
    <row r="795" spans="1:19" s="2" customFormat="1" ht="16.5" customHeight="1" x14ac:dyDescent="0.35">
      <c r="A795" s="85" t="s">
        <v>71</v>
      </c>
      <c r="B795" s="86" t="s">
        <v>1010</v>
      </c>
      <c r="C795" s="87"/>
      <c r="D795" s="88" t="s">
        <v>61</v>
      </c>
      <c r="E795" s="43">
        <v>16708000</v>
      </c>
      <c r="F795" s="44">
        <f t="shared" ref="F795:F858" si="43">+E795*0.08</f>
        <v>1336640</v>
      </c>
      <c r="G795" s="45">
        <f t="shared" ref="G795:G858" si="44">E795+F795</f>
        <v>18044640</v>
      </c>
      <c r="H795" s="46">
        <v>18044640</v>
      </c>
      <c r="I795" s="47">
        <f t="shared" si="42"/>
        <v>0</v>
      </c>
      <c r="J795" s="48">
        <v>45351</v>
      </c>
      <c r="K795" s="49">
        <v>45460</v>
      </c>
      <c r="L795" s="50">
        <v>4156720013</v>
      </c>
      <c r="M795" s="51"/>
      <c r="N795" s="52"/>
      <c r="O795" s="52"/>
      <c r="S795" s="53"/>
    </row>
    <row r="796" spans="1:19" s="2" customFormat="1" ht="16.5" customHeight="1" x14ac:dyDescent="0.35">
      <c r="A796" s="85" t="s">
        <v>71</v>
      </c>
      <c r="B796" s="86" t="s">
        <v>1011</v>
      </c>
      <c r="C796" s="87"/>
      <c r="D796" s="88" t="s">
        <v>61</v>
      </c>
      <c r="E796" s="43">
        <v>3312000</v>
      </c>
      <c r="F796" s="44">
        <f t="shared" si="43"/>
        <v>264960</v>
      </c>
      <c r="G796" s="45">
        <f t="shared" si="44"/>
        <v>3576960</v>
      </c>
      <c r="H796" s="46">
        <v>3576960</v>
      </c>
      <c r="I796" s="47">
        <f t="shared" si="42"/>
        <v>0</v>
      </c>
      <c r="J796" s="48">
        <v>45351</v>
      </c>
      <c r="K796" s="49">
        <v>45460</v>
      </c>
      <c r="L796" s="50">
        <v>4156720769</v>
      </c>
      <c r="M796" s="51"/>
      <c r="N796" s="52"/>
      <c r="O796" s="52"/>
      <c r="S796" s="53"/>
    </row>
    <row r="797" spans="1:19" s="2" customFormat="1" ht="16.5" customHeight="1" x14ac:dyDescent="0.35">
      <c r="A797" s="85" t="s">
        <v>71</v>
      </c>
      <c r="B797" s="86" t="s">
        <v>1012</v>
      </c>
      <c r="C797" s="87"/>
      <c r="D797" s="88" t="s">
        <v>61</v>
      </c>
      <c r="E797" s="43">
        <v>3312000</v>
      </c>
      <c r="F797" s="44">
        <f t="shared" si="43"/>
        <v>264960</v>
      </c>
      <c r="G797" s="45">
        <f t="shared" si="44"/>
        <v>3576960</v>
      </c>
      <c r="H797" s="46">
        <v>3576960</v>
      </c>
      <c r="I797" s="47">
        <f t="shared" si="42"/>
        <v>0</v>
      </c>
      <c r="J797" s="48">
        <v>45351</v>
      </c>
      <c r="K797" s="49">
        <v>45460</v>
      </c>
      <c r="L797" s="50">
        <v>4156720776</v>
      </c>
      <c r="M797" s="51"/>
      <c r="N797" s="52"/>
      <c r="O797" s="52"/>
      <c r="S797" s="53"/>
    </row>
    <row r="798" spans="1:19" s="2" customFormat="1" ht="16.5" customHeight="1" x14ac:dyDescent="0.35">
      <c r="A798" s="85" t="s">
        <v>102</v>
      </c>
      <c r="B798" s="86" t="s">
        <v>1013</v>
      </c>
      <c r="C798" s="87"/>
      <c r="D798" s="88" t="s">
        <v>119</v>
      </c>
      <c r="E798" s="43">
        <v>1380000</v>
      </c>
      <c r="F798" s="44">
        <f t="shared" si="43"/>
        <v>110400</v>
      </c>
      <c r="G798" s="45">
        <f t="shared" si="44"/>
        <v>1490400</v>
      </c>
      <c r="H798" s="46">
        <v>1490400</v>
      </c>
      <c r="I798" s="47">
        <f t="shared" si="42"/>
        <v>0</v>
      </c>
      <c r="J798" s="48">
        <v>45351</v>
      </c>
      <c r="K798" s="49">
        <v>45460</v>
      </c>
      <c r="L798" s="50">
        <v>4156968700</v>
      </c>
      <c r="M798" s="51"/>
      <c r="N798" s="52"/>
      <c r="O798" s="52"/>
      <c r="S798" s="53"/>
    </row>
    <row r="799" spans="1:19" s="2" customFormat="1" ht="16.5" customHeight="1" x14ac:dyDescent="0.35">
      <c r="A799" s="85" t="s">
        <v>33</v>
      </c>
      <c r="B799" s="86">
        <v>712</v>
      </c>
      <c r="C799" s="87">
        <v>2238</v>
      </c>
      <c r="D799" s="88">
        <v>45462</v>
      </c>
      <c r="E799" s="43">
        <v>46019000</v>
      </c>
      <c r="F799" s="44">
        <f t="shared" si="43"/>
        <v>3681520</v>
      </c>
      <c r="G799" s="45">
        <f t="shared" si="44"/>
        <v>49700520</v>
      </c>
      <c r="H799" s="46">
        <v>49700520</v>
      </c>
      <c r="I799" s="47">
        <f t="shared" si="42"/>
        <v>0</v>
      </c>
      <c r="J799" s="48">
        <v>45384</v>
      </c>
      <c r="K799" s="49">
        <v>45550</v>
      </c>
      <c r="L799" s="50">
        <v>4901091367</v>
      </c>
      <c r="M799" s="51"/>
      <c r="N799" s="52"/>
      <c r="O799" s="52"/>
      <c r="S799" s="53"/>
    </row>
    <row r="800" spans="1:19" s="2" customFormat="1" ht="16.5" customHeight="1" x14ac:dyDescent="0.35">
      <c r="A800" s="85" t="s">
        <v>29</v>
      </c>
      <c r="B800" s="86" t="s">
        <v>1014</v>
      </c>
      <c r="C800" s="87"/>
      <c r="D800" s="88" t="s">
        <v>1015</v>
      </c>
      <c r="E800" s="43">
        <v>3120000</v>
      </c>
      <c r="F800" s="44"/>
      <c r="G800" s="45"/>
      <c r="H800" s="46"/>
      <c r="I800" s="47">
        <f t="shared" si="42"/>
        <v>0</v>
      </c>
      <c r="J800" s="48" t="s">
        <v>1009</v>
      </c>
      <c r="K800" s="49"/>
      <c r="L800" s="50" t="s">
        <v>1009</v>
      </c>
      <c r="M800" s="51"/>
      <c r="N800" s="52"/>
      <c r="O800" s="52"/>
      <c r="S800" s="53"/>
    </row>
    <row r="801" spans="1:19" s="2" customFormat="1" ht="16.5" customHeight="1" x14ac:dyDescent="0.35">
      <c r="A801" s="85" t="s">
        <v>29</v>
      </c>
      <c r="B801" s="86" t="s">
        <v>1016</v>
      </c>
      <c r="C801" s="87">
        <v>1130</v>
      </c>
      <c r="D801" s="88">
        <v>45369</v>
      </c>
      <c r="E801" s="43">
        <v>27352000</v>
      </c>
      <c r="F801" s="44">
        <f t="shared" si="43"/>
        <v>2188160</v>
      </c>
      <c r="G801" s="45">
        <f t="shared" si="44"/>
        <v>29540160</v>
      </c>
      <c r="H801" s="46">
        <v>29540160</v>
      </c>
      <c r="I801" s="47">
        <f t="shared" si="42"/>
        <v>0</v>
      </c>
      <c r="J801" s="48">
        <v>45369</v>
      </c>
      <c r="K801" s="49">
        <v>45460</v>
      </c>
      <c r="L801" s="50">
        <v>4901091601</v>
      </c>
      <c r="M801" s="51"/>
      <c r="N801" s="52"/>
      <c r="O801" s="52"/>
      <c r="S801" s="53"/>
    </row>
    <row r="802" spans="1:19" s="2" customFormat="1" ht="16.5" customHeight="1" x14ac:dyDescent="0.35">
      <c r="A802" s="85" t="s">
        <v>37</v>
      </c>
      <c r="B802" s="86" t="s">
        <v>737</v>
      </c>
      <c r="C802" s="87"/>
      <c r="D802" s="88" t="s">
        <v>1017</v>
      </c>
      <c r="E802" s="43">
        <v>2080000</v>
      </c>
      <c r="F802" s="44">
        <f t="shared" si="43"/>
        <v>166400</v>
      </c>
      <c r="G802" s="45">
        <f t="shared" si="44"/>
        <v>2246400</v>
      </c>
      <c r="H802" s="46">
        <v>2246400</v>
      </c>
      <c r="I802" s="47">
        <f t="shared" si="42"/>
        <v>0</v>
      </c>
      <c r="J802" s="48">
        <v>45369</v>
      </c>
      <c r="K802" s="49">
        <v>45460</v>
      </c>
      <c r="L802" s="50">
        <v>4157222964</v>
      </c>
      <c r="M802" s="51"/>
      <c r="N802" s="52"/>
      <c r="O802" s="52"/>
      <c r="S802" s="53"/>
    </row>
    <row r="803" spans="1:19" s="2" customFormat="1" ht="16.5" customHeight="1" x14ac:dyDescent="0.35">
      <c r="A803" s="85" t="s">
        <v>29</v>
      </c>
      <c r="B803" s="86" t="s">
        <v>741</v>
      </c>
      <c r="C803" s="87"/>
      <c r="D803" s="88" t="s">
        <v>1018</v>
      </c>
      <c r="E803" s="43">
        <v>1040000</v>
      </c>
      <c r="F803" s="44">
        <f t="shared" si="43"/>
        <v>83200</v>
      </c>
      <c r="G803" s="45">
        <f t="shared" si="44"/>
        <v>1123200</v>
      </c>
      <c r="H803" s="46">
        <v>1123200</v>
      </c>
      <c r="I803" s="47">
        <f t="shared" si="42"/>
        <v>0</v>
      </c>
      <c r="J803" s="48">
        <v>45369</v>
      </c>
      <c r="K803" s="49">
        <v>45460</v>
      </c>
      <c r="L803" s="50">
        <v>4157480971</v>
      </c>
      <c r="M803" s="51"/>
      <c r="N803" s="52"/>
      <c r="O803" s="52"/>
      <c r="S803" s="53"/>
    </row>
    <row r="804" spans="1:19" s="2" customFormat="1" ht="16.5" customHeight="1" x14ac:dyDescent="0.35">
      <c r="A804" s="85" t="s">
        <v>29</v>
      </c>
      <c r="B804" s="86" t="s">
        <v>1019</v>
      </c>
      <c r="C804" s="87">
        <v>1131</v>
      </c>
      <c r="D804" s="88">
        <v>45369</v>
      </c>
      <c r="E804" s="43">
        <v>23313500</v>
      </c>
      <c r="F804" s="44">
        <f t="shared" si="43"/>
        <v>1865080</v>
      </c>
      <c r="G804" s="45">
        <f t="shared" si="44"/>
        <v>25178580</v>
      </c>
      <c r="H804" s="46">
        <v>25178580</v>
      </c>
      <c r="I804" s="47">
        <f t="shared" si="42"/>
        <v>0</v>
      </c>
      <c r="J804" s="48">
        <v>45369</v>
      </c>
      <c r="K804" s="49">
        <v>45460</v>
      </c>
      <c r="L804" s="50">
        <v>4901094926</v>
      </c>
      <c r="M804" s="51"/>
      <c r="N804" s="52"/>
      <c r="O804" s="52"/>
      <c r="S804" s="53"/>
    </row>
    <row r="805" spans="1:19" s="2" customFormat="1" ht="16.5" customHeight="1" x14ac:dyDescent="0.35">
      <c r="A805" s="85" t="s">
        <v>37</v>
      </c>
      <c r="B805" s="86" t="s">
        <v>1020</v>
      </c>
      <c r="C805" s="87"/>
      <c r="D805" s="88" t="s">
        <v>1018</v>
      </c>
      <c r="E805" s="43">
        <v>40480000</v>
      </c>
      <c r="F805" s="44">
        <f t="shared" si="43"/>
        <v>3238400</v>
      </c>
      <c r="G805" s="45">
        <f t="shared" si="44"/>
        <v>43718400</v>
      </c>
      <c r="H805" s="46">
        <v>43718400</v>
      </c>
      <c r="I805" s="47">
        <f t="shared" si="42"/>
        <v>0</v>
      </c>
      <c r="J805" s="48">
        <v>45369</v>
      </c>
      <c r="K805" s="49">
        <v>45460</v>
      </c>
      <c r="L805" s="50">
        <v>4901090771</v>
      </c>
      <c r="M805" s="51"/>
      <c r="N805" s="52"/>
      <c r="O805" s="52"/>
      <c r="S805" s="53"/>
    </row>
    <row r="806" spans="1:19" s="2" customFormat="1" ht="16.5" customHeight="1" x14ac:dyDescent="0.35">
      <c r="A806" s="85" t="s">
        <v>33</v>
      </c>
      <c r="B806" s="86" t="s">
        <v>742</v>
      </c>
      <c r="C806" s="87">
        <v>1132</v>
      </c>
      <c r="D806" s="88">
        <v>45369</v>
      </c>
      <c r="E806" s="43">
        <v>61636000</v>
      </c>
      <c r="F806" s="44">
        <f t="shared" si="43"/>
        <v>4930880</v>
      </c>
      <c r="G806" s="45">
        <f t="shared" si="44"/>
        <v>66566880</v>
      </c>
      <c r="H806" s="46">
        <v>66566880</v>
      </c>
      <c r="I806" s="47">
        <f t="shared" si="42"/>
        <v>0</v>
      </c>
      <c r="J806" s="48">
        <v>45369</v>
      </c>
      <c r="K806" s="49">
        <v>45460</v>
      </c>
      <c r="L806" s="50">
        <v>4901094939</v>
      </c>
      <c r="M806" s="51"/>
      <c r="N806" s="52"/>
      <c r="O806" s="52"/>
      <c r="S806" s="53"/>
    </row>
    <row r="807" spans="1:19" s="2" customFormat="1" ht="16.5" customHeight="1" x14ac:dyDescent="0.35">
      <c r="A807" s="85" t="s">
        <v>77</v>
      </c>
      <c r="B807" s="86" t="s">
        <v>1021</v>
      </c>
      <c r="C807" s="87"/>
      <c r="D807" s="88" t="s">
        <v>1022</v>
      </c>
      <c r="E807" s="43">
        <v>6080000</v>
      </c>
      <c r="F807" s="44">
        <f t="shared" si="43"/>
        <v>486400</v>
      </c>
      <c r="G807" s="45">
        <f t="shared" si="44"/>
        <v>6566400</v>
      </c>
      <c r="H807" s="46">
        <v>6566400</v>
      </c>
      <c r="I807" s="47">
        <f t="shared" si="42"/>
        <v>0</v>
      </c>
      <c r="J807" s="48">
        <v>45384</v>
      </c>
      <c r="K807" s="49">
        <v>45468</v>
      </c>
      <c r="L807" s="50">
        <v>4157662605</v>
      </c>
      <c r="M807" s="51"/>
      <c r="N807" s="52"/>
      <c r="O807" s="52"/>
      <c r="S807" s="53"/>
    </row>
    <row r="808" spans="1:19" s="2" customFormat="1" ht="16.5" customHeight="1" x14ac:dyDescent="0.35">
      <c r="A808" s="85" t="s">
        <v>37</v>
      </c>
      <c r="B808" s="86" t="s">
        <v>1023</v>
      </c>
      <c r="C808" s="87"/>
      <c r="D808" s="88" t="s">
        <v>1022</v>
      </c>
      <c r="E808" s="43">
        <v>17520000</v>
      </c>
      <c r="F808" s="44">
        <f t="shared" si="43"/>
        <v>1401600</v>
      </c>
      <c r="G808" s="45">
        <f t="shared" si="44"/>
        <v>18921600</v>
      </c>
      <c r="H808" s="46">
        <v>18921600</v>
      </c>
      <c r="I808" s="47">
        <f t="shared" si="42"/>
        <v>0</v>
      </c>
      <c r="J808" s="48">
        <v>45384</v>
      </c>
      <c r="K808" s="49">
        <v>45468</v>
      </c>
      <c r="L808" s="50">
        <v>4901094828</v>
      </c>
      <c r="M808" s="51"/>
      <c r="N808" s="52"/>
      <c r="O808" s="52"/>
      <c r="S808" s="53"/>
    </row>
    <row r="809" spans="1:19" s="2" customFormat="1" ht="16.5" customHeight="1" x14ac:dyDescent="0.35">
      <c r="A809" s="85" t="s">
        <v>29</v>
      </c>
      <c r="B809" s="86" t="s">
        <v>765</v>
      </c>
      <c r="C809" s="87">
        <v>1342</v>
      </c>
      <c r="D809" s="88">
        <v>45384</v>
      </c>
      <c r="E809" s="43">
        <v>26016000</v>
      </c>
      <c r="F809" s="44">
        <f t="shared" si="43"/>
        <v>2081280</v>
      </c>
      <c r="G809" s="45">
        <f t="shared" si="44"/>
        <v>28097280</v>
      </c>
      <c r="H809" s="46">
        <v>28097280</v>
      </c>
      <c r="I809" s="47">
        <f t="shared" si="42"/>
        <v>0</v>
      </c>
      <c r="J809" s="48">
        <v>45384</v>
      </c>
      <c r="K809" s="49">
        <v>45468</v>
      </c>
      <c r="L809" s="50">
        <v>4901099495</v>
      </c>
      <c r="M809" s="51"/>
      <c r="N809" s="52"/>
      <c r="O809" s="52"/>
      <c r="S809" s="53"/>
    </row>
    <row r="810" spans="1:19" s="2" customFormat="1" ht="16.5" customHeight="1" x14ac:dyDescent="0.35">
      <c r="A810" s="85" t="s">
        <v>33</v>
      </c>
      <c r="B810" s="86" t="s">
        <v>766</v>
      </c>
      <c r="C810" s="87">
        <v>1343</v>
      </c>
      <c r="D810" s="88">
        <v>45384</v>
      </c>
      <c r="E810" s="43">
        <v>1974000</v>
      </c>
      <c r="F810" s="44">
        <f t="shared" si="43"/>
        <v>157920</v>
      </c>
      <c r="G810" s="45">
        <f t="shared" si="44"/>
        <v>2131920</v>
      </c>
      <c r="H810" s="46">
        <v>2131920</v>
      </c>
      <c r="I810" s="47">
        <f t="shared" si="42"/>
        <v>0</v>
      </c>
      <c r="J810" s="48">
        <v>45384</v>
      </c>
      <c r="K810" s="49">
        <v>45468</v>
      </c>
      <c r="L810" s="50">
        <v>4901099168</v>
      </c>
      <c r="M810" s="51"/>
      <c r="N810" s="52"/>
      <c r="O810" s="52"/>
      <c r="S810" s="53"/>
    </row>
    <row r="811" spans="1:19" s="2" customFormat="1" ht="16.5" customHeight="1" x14ac:dyDescent="0.35">
      <c r="A811" s="85" t="s">
        <v>77</v>
      </c>
      <c r="B811" s="86" t="s">
        <v>1024</v>
      </c>
      <c r="C811" s="87">
        <v>1344</v>
      </c>
      <c r="D811" s="88">
        <v>45384</v>
      </c>
      <c r="E811" s="43">
        <v>12924000</v>
      </c>
      <c r="F811" s="44">
        <f t="shared" si="43"/>
        <v>1033920</v>
      </c>
      <c r="G811" s="45">
        <f t="shared" si="44"/>
        <v>13957920</v>
      </c>
      <c r="H811" s="46">
        <v>13957920</v>
      </c>
      <c r="I811" s="47">
        <f t="shared" si="42"/>
        <v>0</v>
      </c>
      <c r="J811" s="48">
        <v>45384</v>
      </c>
      <c r="K811" s="49">
        <v>45468</v>
      </c>
      <c r="L811" s="50">
        <v>4157823746</v>
      </c>
      <c r="M811" s="51"/>
      <c r="N811" s="52"/>
      <c r="O811" s="52"/>
      <c r="S811" s="53"/>
    </row>
    <row r="812" spans="1:19" s="2" customFormat="1" ht="16.5" customHeight="1" x14ac:dyDescent="0.35">
      <c r="A812" s="85" t="s">
        <v>56</v>
      </c>
      <c r="B812" s="86" t="s">
        <v>771</v>
      </c>
      <c r="C812" s="87"/>
      <c r="D812" s="88" t="s">
        <v>1025</v>
      </c>
      <c r="E812" s="43">
        <v>3200000</v>
      </c>
      <c r="F812" s="44">
        <f t="shared" si="43"/>
        <v>256000</v>
      </c>
      <c r="G812" s="45">
        <f t="shared" si="44"/>
        <v>3456000</v>
      </c>
      <c r="H812" s="46">
        <v>3456000</v>
      </c>
      <c r="I812" s="47">
        <f t="shared" si="42"/>
        <v>0</v>
      </c>
      <c r="J812" s="48">
        <v>45384</v>
      </c>
      <c r="K812" s="49">
        <v>45468</v>
      </c>
      <c r="L812" s="50">
        <v>4901101341</v>
      </c>
      <c r="M812" s="51"/>
      <c r="N812" s="52"/>
      <c r="O812" s="52"/>
      <c r="S812" s="53"/>
    </row>
    <row r="813" spans="1:19" s="2" customFormat="1" ht="16.5" customHeight="1" x14ac:dyDescent="0.35">
      <c r="A813" s="85" t="s">
        <v>185</v>
      </c>
      <c r="B813" s="86" t="s">
        <v>772</v>
      </c>
      <c r="C813" s="87"/>
      <c r="D813" s="88" t="s">
        <v>1025</v>
      </c>
      <c r="E813" s="43">
        <v>7680000</v>
      </c>
      <c r="F813" s="44">
        <f t="shared" si="43"/>
        <v>614400</v>
      </c>
      <c r="G813" s="45">
        <f t="shared" si="44"/>
        <v>8294400</v>
      </c>
      <c r="H813" s="46">
        <v>8294400</v>
      </c>
      <c r="I813" s="47">
        <f t="shared" si="42"/>
        <v>0</v>
      </c>
      <c r="J813" s="48">
        <v>45384</v>
      </c>
      <c r="K813" s="49">
        <v>45468</v>
      </c>
      <c r="L813" s="50">
        <v>4901099265</v>
      </c>
      <c r="M813" s="51"/>
      <c r="N813" s="52"/>
      <c r="O813" s="52"/>
      <c r="S813" s="53"/>
    </row>
    <row r="814" spans="1:19" s="2" customFormat="1" ht="16.5" customHeight="1" x14ac:dyDescent="0.35">
      <c r="A814" s="85" t="s">
        <v>185</v>
      </c>
      <c r="B814" s="86" t="s">
        <v>1026</v>
      </c>
      <c r="C814" s="87"/>
      <c r="D814" s="88" t="s">
        <v>1025</v>
      </c>
      <c r="E814" s="43">
        <v>11120000</v>
      </c>
      <c r="F814" s="44">
        <f t="shared" si="43"/>
        <v>889600</v>
      </c>
      <c r="G814" s="45">
        <f t="shared" si="44"/>
        <v>12009600</v>
      </c>
      <c r="H814" s="46">
        <v>12009600</v>
      </c>
      <c r="I814" s="47">
        <f t="shared" si="42"/>
        <v>0</v>
      </c>
      <c r="J814" s="48">
        <v>45384</v>
      </c>
      <c r="K814" s="49">
        <v>45468</v>
      </c>
      <c r="L814" s="50">
        <v>4901099221</v>
      </c>
      <c r="M814" s="51"/>
      <c r="N814" s="52"/>
      <c r="O814" s="52"/>
      <c r="S814" s="53"/>
    </row>
    <row r="815" spans="1:19" s="2" customFormat="1" ht="16.5" customHeight="1" x14ac:dyDescent="0.35">
      <c r="A815" s="85" t="s">
        <v>29</v>
      </c>
      <c r="B815" s="86" t="s">
        <v>1027</v>
      </c>
      <c r="C815" s="87">
        <v>1345</v>
      </c>
      <c r="D815" s="88">
        <v>45384</v>
      </c>
      <c r="E815" s="43">
        <v>5680000</v>
      </c>
      <c r="F815" s="44">
        <f t="shared" si="43"/>
        <v>454400</v>
      </c>
      <c r="G815" s="45">
        <f t="shared" si="44"/>
        <v>6134400</v>
      </c>
      <c r="H815" s="46">
        <v>6134400</v>
      </c>
      <c r="I815" s="47">
        <f t="shared" si="42"/>
        <v>0</v>
      </c>
      <c r="J815" s="48">
        <v>45384</v>
      </c>
      <c r="K815" s="49">
        <v>45468</v>
      </c>
      <c r="L815" s="50">
        <v>4901103334</v>
      </c>
      <c r="M815" s="51"/>
      <c r="N815" s="52"/>
      <c r="O815" s="52"/>
      <c r="S815" s="53"/>
    </row>
    <row r="816" spans="1:19" s="2" customFormat="1" ht="16.5" customHeight="1" x14ac:dyDescent="0.35">
      <c r="A816" s="85" t="s">
        <v>33</v>
      </c>
      <c r="B816" s="86">
        <v>982</v>
      </c>
      <c r="C816" s="87"/>
      <c r="D816" s="88" t="s">
        <v>1028</v>
      </c>
      <c r="E816" s="43">
        <v>3840000</v>
      </c>
      <c r="F816" s="44">
        <f t="shared" si="43"/>
        <v>307200</v>
      </c>
      <c r="G816" s="45">
        <f t="shared" si="44"/>
        <v>4147200</v>
      </c>
      <c r="H816" s="46">
        <v>4147200</v>
      </c>
      <c r="I816" s="47">
        <f t="shared" si="42"/>
        <v>0</v>
      </c>
      <c r="J816" s="48">
        <v>45384</v>
      </c>
      <c r="K816" s="49">
        <v>45468</v>
      </c>
      <c r="L816" s="50">
        <v>4901101550</v>
      </c>
      <c r="M816" s="51"/>
      <c r="N816" s="52"/>
      <c r="O816" s="52"/>
      <c r="S816" s="53"/>
    </row>
    <row r="817" spans="1:19" s="2" customFormat="1" ht="16.5" customHeight="1" x14ac:dyDescent="0.35">
      <c r="A817" s="85" t="s">
        <v>29</v>
      </c>
      <c r="B817" s="86" t="s">
        <v>272</v>
      </c>
      <c r="C817" s="87">
        <v>1346</v>
      </c>
      <c r="D817" s="88">
        <v>45384</v>
      </c>
      <c r="E817" s="43">
        <v>11936000</v>
      </c>
      <c r="F817" s="44">
        <f t="shared" si="43"/>
        <v>954880</v>
      </c>
      <c r="G817" s="45">
        <f t="shared" si="44"/>
        <v>12890880</v>
      </c>
      <c r="H817" s="46">
        <v>12890880</v>
      </c>
      <c r="I817" s="47">
        <f t="shared" si="42"/>
        <v>0</v>
      </c>
      <c r="J817" s="48">
        <v>45384</v>
      </c>
      <c r="K817" s="49">
        <v>45468</v>
      </c>
      <c r="L817" s="50">
        <v>4901102177</v>
      </c>
      <c r="M817" s="51"/>
      <c r="N817" s="52"/>
      <c r="O817" s="52"/>
      <c r="S817" s="53"/>
    </row>
    <row r="818" spans="1:19" s="2" customFormat="1" ht="16.5" customHeight="1" x14ac:dyDescent="0.35">
      <c r="A818" s="85" t="s">
        <v>171</v>
      </c>
      <c r="B818" s="86" t="s">
        <v>274</v>
      </c>
      <c r="C818" s="87">
        <v>1347</v>
      </c>
      <c r="D818" s="88">
        <v>45384</v>
      </c>
      <c r="E818" s="43">
        <v>27711000</v>
      </c>
      <c r="F818" s="44">
        <f t="shared" si="43"/>
        <v>2216880</v>
      </c>
      <c r="G818" s="45">
        <f t="shared" si="44"/>
        <v>29927880</v>
      </c>
      <c r="H818" s="46">
        <v>29927880</v>
      </c>
      <c r="I818" s="47">
        <f t="shared" si="42"/>
        <v>0</v>
      </c>
      <c r="J818" s="48">
        <v>45384</v>
      </c>
      <c r="K818" s="49">
        <v>45468</v>
      </c>
      <c r="L818" s="50">
        <v>4901101539</v>
      </c>
      <c r="M818" s="51"/>
      <c r="N818" s="52"/>
      <c r="O818" s="52"/>
      <c r="S818" s="53"/>
    </row>
    <row r="819" spans="1:19" s="2" customFormat="1" ht="16.5" customHeight="1" x14ac:dyDescent="0.35">
      <c r="A819" s="85" t="s">
        <v>56</v>
      </c>
      <c r="B819" s="86" t="s">
        <v>275</v>
      </c>
      <c r="C819" s="87"/>
      <c r="D819" s="88" t="s">
        <v>1028</v>
      </c>
      <c r="E819" s="43">
        <v>5040000</v>
      </c>
      <c r="F819" s="44">
        <f t="shared" si="43"/>
        <v>403200</v>
      </c>
      <c r="G819" s="45">
        <f t="shared" si="44"/>
        <v>5443200</v>
      </c>
      <c r="H819" s="46">
        <v>5443200</v>
      </c>
      <c r="I819" s="47">
        <f t="shared" si="42"/>
        <v>0</v>
      </c>
      <c r="J819" s="48">
        <v>45384</v>
      </c>
      <c r="K819" s="49">
        <v>45468</v>
      </c>
      <c r="L819" s="50">
        <v>4901102648</v>
      </c>
      <c r="M819" s="51"/>
      <c r="N819" s="52"/>
      <c r="O819" s="52"/>
      <c r="S819" s="53"/>
    </row>
    <row r="820" spans="1:19" s="2" customFormat="1" ht="16.5" customHeight="1" x14ac:dyDescent="0.35">
      <c r="A820" s="85" t="s">
        <v>66</v>
      </c>
      <c r="B820" s="86" t="s">
        <v>1029</v>
      </c>
      <c r="C820" s="87">
        <v>1351</v>
      </c>
      <c r="D820" s="88">
        <v>45384</v>
      </c>
      <c r="E820" s="43">
        <v>5180000</v>
      </c>
      <c r="F820" s="44">
        <f t="shared" si="43"/>
        <v>414400</v>
      </c>
      <c r="G820" s="45">
        <f t="shared" si="44"/>
        <v>5594400</v>
      </c>
      <c r="H820" s="46">
        <v>5594400</v>
      </c>
      <c r="I820" s="47">
        <f t="shared" si="42"/>
        <v>0</v>
      </c>
      <c r="J820" s="48">
        <v>45384</v>
      </c>
      <c r="K820" s="49">
        <v>45468</v>
      </c>
      <c r="L820" s="50">
        <v>4901103365</v>
      </c>
      <c r="M820" s="51"/>
      <c r="N820" s="52"/>
      <c r="O820" s="52"/>
      <c r="S820" s="53"/>
    </row>
    <row r="821" spans="1:19" s="2" customFormat="1" ht="16.5" customHeight="1" x14ac:dyDescent="0.35">
      <c r="A821" s="85" t="s">
        <v>77</v>
      </c>
      <c r="B821" s="86" t="s">
        <v>1030</v>
      </c>
      <c r="C821" s="87"/>
      <c r="D821" s="88" t="s">
        <v>1031</v>
      </c>
      <c r="E821" s="43">
        <v>21815000</v>
      </c>
      <c r="F821" s="44">
        <f t="shared" si="43"/>
        <v>1745200</v>
      </c>
      <c r="G821" s="45">
        <f t="shared" si="44"/>
        <v>23560200</v>
      </c>
      <c r="H821" s="46">
        <v>23560200</v>
      </c>
      <c r="I821" s="47">
        <f t="shared" si="42"/>
        <v>0</v>
      </c>
      <c r="J821" s="48">
        <v>45384</v>
      </c>
      <c r="K821" s="49">
        <v>45468</v>
      </c>
      <c r="L821" s="50">
        <v>4157936616</v>
      </c>
      <c r="M821" s="51"/>
      <c r="N821" s="52"/>
      <c r="O821" s="52"/>
      <c r="S821" s="53"/>
    </row>
    <row r="822" spans="1:19" s="2" customFormat="1" ht="16.5" customHeight="1" x14ac:dyDescent="0.35">
      <c r="A822" s="85" t="s">
        <v>33</v>
      </c>
      <c r="B822" s="86" t="s">
        <v>1032</v>
      </c>
      <c r="C822" s="87"/>
      <c r="D822" s="88" t="s">
        <v>1033</v>
      </c>
      <c r="E822" s="43">
        <v>3840000</v>
      </c>
      <c r="F822" s="44">
        <f t="shared" si="43"/>
        <v>307200</v>
      </c>
      <c r="G822" s="45">
        <f t="shared" si="44"/>
        <v>4147200</v>
      </c>
      <c r="H822" s="46">
        <v>4147200</v>
      </c>
      <c r="I822" s="47">
        <f t="shared" si="42"/>
        <v>0</v>
      </c>
      <c r="J822" s="48">
        <v>45384</v>
      </c>
      <c r="K822" s="49">
        <v>45468</v>
      </c>
      <c r="L822" s="50">
        <v>4901103352</v>
      </c>
      <c r="M822" s="51"/>
      <c r="N822" s="52"/>
      <c r="O822" s="52"/>
      <c r="S822" s="53"/>
    </row>
    <row r="823" spans="1:19" s="2" customFormat="1" ht="16.5" customHeight="1" x14ac:dyDescent="0.35">
      <c r="A823" s="85" t="s">
        <v>37</v>
      </c>
      <c r="B823" s="86" t="s">
        <v>1034</v>
      </c>
      <c r="C823" s="87"/>
      <c r="D823" s="88" t="s">
        <v>1035</v>
      </c>
      <c r="E823" s="43">
        <v>23920000</v>
      </c>
      <c r="F823" s="44">
        <f t="shared" si="43"/>
        <v>1913600</v>
      </c>
      <c r="G823" s="45">
        <f t="shared" si="44"/>
        <v>25833600</v>
      </c>
      <c r="H823" s="46">
        <v>25833600</v>
      </c>
      <c r="I823" s="47">
        <f t="shared" si="42"/>
        <v>0</v>
      </c>
      <c r="J823" s="48">
        <v>45384</v>
      </c>
      <c r="K823" s="49">
        <v>45468</v>
      </c>
      <c r="L823" s="50">
        <v>4901102668</v>
      </c>
      <c r="M823" s="51"/>
      <c r="N823" s="52"/>
      <c r="O823" s="52"/>
      <c r="S823" s="53"/>
    </row>
    <row r="824" spans="1:19" s="2" customFormat="1" ht="16.5" customHeight="1" x14ac:dyDescent="0.35">
      <c r="A824" s="85" t="s">
        <v>71</v>
      </c>
      <c r="B824" s="86" t="s">
        <v>1036</v>
      </c>
      <c r="C824" s="87"/>
      <c r="D824" s="88" t="s">
        <v>1037</v>
      </c>
      <c r="E824" s="43">
        <v>1920000</v>
      </c>
      <c r="F824" s="44">
        <f t="shared" si="43"/>
        <v>153600</v>
      </c>
      <c r="G824" s="45">
        <f t="shared" si="44"/>
        <v>2073600</v>
      </c>
      <c r="H824" s="46">
        <v>2073600</v>
      </c>
      <c r="I824" s="47">
        <f t="shared" si="42"/>
        <v>0</v>
      </c>
      <c r="J824" s="48">
        <v>45384</v>
      </c>
      <c r="K824" s="49">
        <v>45468</v>
      </c>
      <c r="L824" s="50">
        <v>4158075804</v>
      </c>
      <c r="M824" s="51"/>
      <c r="N824" s="52"/>
      <c r="O824" s="52"/>
      <c r="S824" s="53"/>
    </row>
    <row r="825" spans="1:19" s="2" customFormat="1" ht="16.5" customHeight="1" x14ac:dyDescent="0.35">
      <c r="A825" s="85" t="s">
        <v>29</v>
      </c>
      <c r="B825" s="86" t="s">
        <v>1038</v>
      </c>
      <c r="C825" s="87">
        <v>1349</v>
      </c>
      <c r="D825" s="88">
        <v>45384</v>
      </c>
      <c r="E825" s="43">
        <v>37714500</v>
      </c>
      <c r="F825" s="44">
        <f t="shared" si="43"/>
        <v>3017160</v>
      </c>
      <c r="G825" s="45">
        <f t="shared" si="44"/>
        <v>40731660</v>
      </c>
      <c r="H825" s="46">
        <v>40731660</v>
      </c>
      <c r="I825" s="47">
        <f t="shared" si="42"/>
        <v>0</v>
      </c>
      <c r="J825" s="48">
        <v>45384</v>
      </c>
      <c r="K825" s="49">
        <v>45468</v>
      </c>
      <c r="L825" s="50">
        <v>4901108442</v>
      </c>
      <c r="M825" s="51"/>
      <c r="N825" s="52"/>
      <c r="O825" s="52"/>
      <c r="S825" s="53"/>
    </row>
    <row r="826" spans="1:19" s="2" customFormat="1" ht="16.5" customHeight="1" x14ac:dyDescent="0.35">
      <c r="A826" s="85" t="s">
        <v>77</v>
      </c>
      <c r="B826" s="86" t="s">
        <v>1039</v>
      </c>
      <c r="C826" s="87"/>
      <c r="D826" s="88" t="s">
        <v>1040</v>
      </c>
      <c r="E826" s="43">
        <v>13440000</v>
      </c>
      <c r="F826" s="44">
        <f t="shared" si="43"/>
        <v>1075200</v>
      </c>
      <c r="G826" s="45">
        <f t="shared" si="44"/>
        <v>14515200</v>
      </c>
      <c r="H826" s="46">
        <v>14515200</v>
      </c>
      <c r="I826" s="47">
        <f t="shared" si="42"/>
        <v>0</v>
      </c>
      <c r="J826" s="48">
        <v>45384</v>
      </c>
      <c r="K826" s="49">
        <v>45468</v>
      </c>
      <c r="L826" s="50">
        <v>4158136218</v>
      </c>
      <c r="M826" s="51"/>
      <c r="N826" s="52"/>
      <c r="O826" s="52"/>
      <c r="S826" s="53"/>
    </row>
    <row r="827" spans="1:19" s="2" customFormat="1" ht="16.5" customHeight="1" x14ac:dyDescent="0.35">
      <c r="A827" s="85" t="s">
        <v>37</v>
      </c>
      <c r="B827" s="86" t="s">
        <v>1041</v>
      </c>
      <c r="C827" s="87"/>
      <c r="D827" s="88" t="s">
        <v>1042</v>
      </c>
      <c r="E827" s="43">
        <v>35690000</v>
      </c>
      <c r="F827" s="44">
        <f t="shared" si="43"/>
        <v>2855200</v>
      </c>
      <c r="G827" s="45">
        <f t="shared" si="44"/>
        <v>38545200</v>
      </c>
      <c r="H827" s="46">
        <v>38545200</v>
      </c>
      <c r="I827" s="47">
        <f t="shared" si="42"/>
        <v>0</v>
      </c>
      <c r="J827" s="48">
        <v>45384</v>
      </c>
      <c r="K827" s="49">
        <v>45468</v>
      </c>
      <c r="L827" s="50">
        <v>4901107510</v>
      </c>
      <c r="M827" s="51"/>
      <c r="N827" s="52"/>
      <c r="O827" s="52"/>
      <c r="S827" s="53"/>
    </row>
    <row r="828" spans="1:19" s="127" customFormat="1" ht="16.5" customHeight="1" x14ac:dyDescent="0.35">
      <c r="A828" s="100" t="s">
        <v>33</v>
      </c>
      <c r="B828" s="118" t="s">
        <v>1043</v>
      </c>
      <c r="C828" s="119"/>
      <c r="D828" s="120" t="s">
        <v>1044</v>
      </c>
      <c r="E828" s="96">
        <v>74040000</v>
      </c>
      <c r="F828" s="96"/>
      <c r="G828" s="95"/>
      <c r="H828" s="96"/>
      <c r="I828" s="121">
        <f t="shared" si="42"/>
        <v>0</v>
      </c>
      <c r="J828" s="122" t="s">
        <v>62</v>
      </c>
      <c r="K828" s="123"/>
      <c r="L828" s="124">
        <v>4901110900</v>
      </c>
      <c r="M828" s="125"/>
      <c r="N828" s="126"/>
      <c r="O828" s="126"/>
      <c r="S828" s="128"/>
    </row>
    <row r="829" spans="1:19" s="2" customFormat="1" ht="16.5" customHeight="1" x14ac:dyDescent="0.35">
      <c r="A829" s="85" t="s">
        <v>185</v>
      </c>
      <c r="B829" s="86" t="s">
        <v>1045</v>
      </c>
      <c r="C829" s="87">
        <v>1350</v>
      </c>
      <c r="D829" s="88">
        <v>45384</v>
      </c>
      <c r="E829" s="43">
        <v>5248000</v>
      </c>
      <c r="F829" s="44">
        <f t="shared" si="43"/>
        <v>419840</v>
      </c>
      <c r="G829" s="45">
        <f t="shared" si="44"/>
        <v>5667840</v>
      </c>
      <c r="H829" s="46">
        <v>5667840</v>
      </c>
      <c r="I829" s="47">
        <f t="shared" si="42"/>
        <v>0</v>
      </c>
      <c r="J829" s="48">
        <v>45384</v>
      </c>
      <c r="K829" s="49">
        <v>45468</v>
      </c>
      <c r="L829" s="50">
        <v>4901111228</v>
      </c>
      <c r="M829" s="51"/>
      <c r="N829" s="52"/>
      <c r="O829" s="52"/>
      <c r="S829" s="53"/>
    </row>
    <row r="830" spans="1:19" s="2" customFormat="1" ht="16.5" customHeight="1" x14ac:dyDescent="0.35">
      <c r="A830" s="85" t="s">
        <v>56</v>
      </c>
      <c r="B830" s="86" t="s">
        <v>1046</v>
      </c>
      <c r="C830" s="87"/>
      <c r="D830" s="88" t="s">
        <v>1047</v>
      </c>
      <c r="E830" s="43">
        <v>3920000</v>
      </c>
      <c r="F830" s="44">
        <f t="shared" si="43"/>
        <v>313600</v>
      </c>
      <c r="G830" s="45">
        <f t="shared" si="44"/>
        <v>4233600</v>
      </c>
      <c r="H830" s="46">
        <v>4233600</v>
      </c>
      <c r="I830" s="47">
        <f>G830-H830</f>
        <v>0</v>
      </c>
      <c r="J830" s="48">
        <v>45401</v>
      </c>
      <c r="K830" s="49">
        <v>45488</v>
      </c>
      <c r="L830" s="50" t="s">
        <v>1048</v>
      </c>
      <c r="M830" s="51"/>
      <c r="N830" s="52"/>
      <c r="O830" s="52"/>
      <c r="S830" s="53"/>
    </row>
    <row r="831" spans="1:19" s="2" customFormat="1" ht="16.5" customHeight="1" x14ac:dyDescent="0.35">
      <c r="A831" s="85" t="s">
        <v>37</v>
      </c>
      <c r="B831" s="86" t="s">
        <v>1049</v>
      </c>
      <c r="C831" s="87"/>
      <c r="D831" s="88" t="s">
        <v>1047</v>
      </c>
      <c r="E831" s="43">
        <v>9920000</v>
      </c>
      <c r="F831" s="44">
        <f t="shared" si="43"/>
        <v>793600</v>
      </c>
      <c r="G831" s="45">
        <f t="shared" si="44"/>
        <v>10713600</v>
      </c>
      <c r="H831" s="46">
        <v>10713600</v>
      </c>
      <c r="I831" s="47">
        <f t="shared" si="42"/>
        <v>0</v>
      </c>
      <c r="J831" s="48">
        <v>45401</v>
      </c>
      <c r="K831" s="49">
        <v>45488</v>
      </c>
      <c r="L831" s="50" t="s">
        <v>1050</v>
      </c>
      <c r="M831" s="51"/>
      <c r="N831" s="52"/>
      <c r="O831" s="52"/>
      <c r="S831" s="53"/>
    </row>
    <row r="832" spans="1:19" s="2" customFormat="1" ht="16.5" customHeight="1" x14ac:dyDescent="0.35">
      <c r="A832" s="85" t="s">
        <v>29</v>
      </c>
      <c r="B832" s="86" t="s">
        <v>336</v>
      </c>
      <c r="C832" s="87">
        <v>1593</v>
      </c>
      <c r="D832" s="88">
        <v>45401</v>
      </c>
      <c r="E832" s="43">
        <v>11526000</v>
      </c>
      <c r="F832" s="44">
        <f t="shared" si="43"/>
        <v>922080</v>
      </c>
      <c r="G832" s="45">
        <f t="shared" si="44"/>
        <v>12448080</v>
      </c>
      <c r="H832" s="46">
        <v>12448080</v>
      </c>
      <c r="I832" s="47">
        <f t="shared" si="42"/>
        <v>0</v>
      </c>
      <c r="J832" s="48">
        <v>45401</v>
      </c>
      <c r="K832" s="49">
        <v>45488</v>
      </c>
      <c r="L832" s="50" t="s">
        <v>1051</v>
      </c>
      <c r="M832" s="51"/>
      <c r="N832" s="52"/>
      <c r="O832" s="52"/>
      <c r="S832" s="53"/>
    </row>
    <row r="833" spans="1:19" s="2" customFormat="1" ht="16.5" customHeight="1" x14ac:dyDescent="0.35">
      <c r="A833" s="85" t="s">
        <v>37</v>
      </c>
      <c r="B833" s="86" t="s">
        <v>1052</v>
      </c>
      <c r="C833" s="87">
        <v>1594</v>
      </c>
      <c r="D833" s="88">
        <v>45401</v>
      </c>
      <c r="E833" s="43">
        <v>4800000</v>
      </c>
      <c r="F833" s="44">
        <f t="shared" si="43"/>
        <v>384000</v>
      </c>
      <c r="G833" s="45">
        <f t="shared" si="44"/>
        <v>5184000</v>
      </c>
      <c r="H833" s="46">
        <v>5184000</v>
      </c>
      <c r="I833" s="47">
        <f t="shared" si="42"/>
        <v>0</v>
      </c>
      <c r="J833" s="48">
        <v>45401</v>
      </c>
      <c r="K833" s="49">
        <v>45488</v>
      </c>
      <c r="L833" s="50" t="s">
        <v>1053</v>
      </c>
      <c r="M833" s="51"/>
      <c r="N833" s="52"/>
      <c r="O833" s="52"/>
      <c r="S833" s="53"/>
    </row>
    <row r="834" spans="1:19" s="2" customFormat="1" ht="16.5" customHeight="1" x14ac:dyDescent="0.35">
      <c r="A834" s="85" t="s">
        <v>33</v>
      </c>
      <c r="B834" s="86" t="s">
        <v>1054</v>
      </c>
      <c r="C834" s="87">
        <v>1595</v>
      </c>
      <c r="D834" s="88">
        <v>45401</v>
      </c>
      <c r="E834" s="43">
        <v>72133000</v>
      </c>
      <c r="F834" s="44">
        <f>+E834*0.08</f>
        <v>5770640</v>
      </c>
      <c r="G834" s="45">
        <f t="shared" si="44"/>
        <v>77903640</v>
      </c>
      <c r="H834" s="46">
        <v>77903640</v>
      </c>
      <c r="I834" s="47">
        <f t="shared" si="42"/>
        <v>0</v>
      </c>
      <c r="J834" s="48">
        <v>45401</v>
      </c>
      <c r="K834" s="49">
        <v>45488</v>
      </c>
      <c r="L834" s="50" t="s">
        <v>1055</v>
      </c>
      <c r="M834" s="51"/>
      <c r="N834" s="52"/>
      <c r="O834" s="52"/>
      <c r="S834" s="53"/>
    </row>
    <row r="835" spans="1:19" s="2" customFormat="1" ht="16.5" customHeight="1" x14ac:dyDescent="0.35">
      <c r="A835" s="85" t="s">
        <v>37</v>
      </c>
      <c r="B835" s="86" t="s">
        <v>1056</v>
      </c>
      <c r="C835" s="87"/>
      <c r="D835" s="88" t="s">
        <v>1057</v>
      </c>
      <c r="E835" s="43">
        <v>15690000</v>
      </c>
      <c r="F835" s="44">
        <f t="shared" si="43"/>
        <v>1255200</v>
      </c>
      <c r="G835" s="45">
        <f t="shared" si="44"/>
        <v>16945200</v>
      </c>
      <c r="H835" s="46">
        <v>16945200</v>
      </c>
      <c r="I835" s="47">
        <f t="shared" si="42"/>
        <v>0</v>
      </c>
      <c r="J835" s="48">
        <v>45401</v>
      </c>
      <c r="K835" s="49">
        <v>45488</v>
      </c>
      <c r="L835" s="50" t="s">
        <v>1058</v>
      </c>
      <c r="M835" s="51"/>
      <c r="N835" s="52"/>
      <c r="O835" s="52"/>
      <c r="S835" s="53"/>
    </row>
    <row r="836" spans="1:19" s="2" customFormat="1" ht="16.5" customHeight="1" x14ac:dyDescent="0.35">
      <c r="A836" s="85" t="s">
        <v>171</v>
      </c>
      <c r="B836" s="86" t="s">
        <v>1059</v>
      </c>
      <c r="C836" s="87">
        <v>1596</v>
      </c>
      <c r="D836" s="88">
        <v>45401</v>
      </c>
      <c r="E836" s="43">
        <v>103920000</v>
      </c>
      <c r="F836" s="44">
        <f t="shared" si="43"/>
        <v>8313600</v>
      </c>
      <c r="G836" s="45">
        <f t="shared" si="44"/>
        <v>112233600</v>
      </c>
      <c r="H836" s="46">
        <v>112233600</v>
      </c>
      <c r="I836" s="47">
        <f t="shared" si="42"/>
        <v>0</v>
      </c>
      <c r="J836" s="48">
        <v>45401</v>
      </c>
      <c r="K836" s="49">
        <v>45488</v>
      </c>
      <c r="L836" s="50" t="s">
        <v>1060</v>
      </c>
      <c r="M836" s="51"/>
      <c r="N836" s="52"/>
      <c r="O836" s="52"/>
      <c r="S836" s="53"/>
    </row>
    <row r="837" spans="1:19" s="2" customFormat="1" ht="16.5" customHeight="1" x14ac:dyDescent="0.35">
      <c r="A837" s="85" t="s">
        <v>113</v>
      </c>
      <c r="B837" s="86" t="s">
        <v>1061</v>
      </c>
      <c r="C837" s="87"/>
      <c r="D837" s="88" t="s">
        <v>1062</v>
      </c>
      <c r="E837" s="43">
        <v>7760000</v>
      </c>
      <c r="F837" s="44">
        <f t="shared" si="43"/>
        <v>620800</v>
      </c>
      <c r="G837" s="45">
        <f t="shared" si="44"/>
        <v>8380800</v>
      </c>
      <c r="H837" s="46">
        <v>8380800</v>
      </c>
      <c r="I837" s="47">
        <f t="shared" si="42"/>
        <v>0</v>
      </c>
      <c r="J837" s="48">
        <v>45401</v>
      </c>
      <c r="K837" s="49">
        <v>45488</v>
      </c>
      <c r="L837" s="50" t="s">
        <v>1063</v>
      </c>
      <c r="M837" s="51"/>
      <c r="N837" s="52"/>
      <c r="O837" s="52"/>
      <c r="S837" s="53"/>
    </row>
    <row r="838" spans="1:19" s="2" customFormat="1" ht="16.5" customHeight="1" x14ac:dyDescent="0.35">
      <c r="A838" s="85" t="s">
        <v>37</v>
      </c>
      <c r="B838" s="86" t="s">
        <v>313</v>
      </c>
      <c r="C838" s="87"/>
      <c r="D838" s="88" t="s">
        <v>1064</v>
      </c>
      <c r="E838" s="43">
        <v>3120000</v>
      </c>
      <c r="F838" s="44">
        <f t="shared" si="43"/>
        <v>249600</v>
      </c>
      <c r="G838" s="45">
        <f t="shared" si="44"/>
        <v>3369600</v>
      </c>
      <c r="H838" s="46">
        <v>3369600</v>
      </c>
      <c r="I838" s="47">
        <f t="shared" si="42"/>
        <v>0</v>
      </c>
      <c r="J838" s="48">
        <v>45401</v>
      </c>
      <c r="K838" s="49">
        <v>45488</v>
      </c>
      <c r="L838" s="50" t="s">
        <v>1065</v>
      </c>
      <c r="M838" s="51"/>
      <c r="N838" s="52"/>
      <c r="O838" s="52"/>
      <c r="S838" s="53"/>
    </row>
    <row r="839" spans="1:19" s="2" customFormat="1" ht="16.5" customHeight="1" x14ac:dyDescent="0.35">
      <c r="A839" s="85" t="s">
        <v>33</v>
      </c>
      <c r="B839" s="86" t="s">
        <v>1066</v>
      </c>
      <c r="C839" s="87"/>
      <c r="D839" s="88" t="s">
        <v>1067</v>
      </c>
      <c r="E839" s="43">
        <v>31120000</v>
      </c>
      <c r="F839" s="44">
        <f t="shared" si="43"/>
        <v>2489600</v>
      </c>
      <c r="G839" s="45">
        <f t="shared" si="44"/>
        <v>33609600</v>
      </c>
      <c r="H839" s="46">
        <v>33609600</v>
      </c>
      <c r="I839" s="47">
        <f t="shared" si="42"/>
        <v>0</v>
      </c>
      <c r="J839" s="48">
        <v>45421</v>
      </c>
      <c r="K839" s="49">
        <v>45498</v>
      </c>
      <c r="L839" s="50" t="s">
        <v>1068</v>
      </c>
      <c r="M839" s="51"/>
      <c r="N839" s="52"/>
      <c r="O839" s="52"/>
      <c r="S839" s="53"/>
    </row>
    <row r="840" spans="1:19" s="127" customFormat="1" ht="16.5" customHeight="1" x14ac:dyDescent="0.35">
      <c r="A840" s="100" t="s">
        <v>29</v>
      </c>
      <c r="B840" s="118" t="s">
        <v>1069</v>
      </c>
      <c r="C840" s="119"/>
      <c r="D840" s="120" t="s">
        <v>1067</v>
      </c>
      <c r="E840" s="96">
        <v>10160000</v>
      </c>
      <c r="F840" s="96"/>
      <c r="G840" s="95"/>
      <c r="H840" s="96"/>
      <c r="I840" s="121">
        <f t="shared" si="42"/>
        <v>0</v>
      </c>
      <c r="J840" s="122" t="s">
        <v>1070</v>
      </c>
      <c r="K840" s="123"/>
      <c r="L840" s="124" t="s">
        <v>1071</v>
      </c>
      <c r="M840" s="125"/>
      <c r="N840" s="126"/>
      <c r="O840" s="126"/>
      <c r="S840" s="128"/>
    </row>
    <row r="841" spans="1:19" s="2" customFormat="1" ht="16.5" customHeight="1" x14ac:dyDescent="0.35">
      <c r="A841" s="85" t="s">
        <v>185</v>
      </c>
      <c r="B841" s="86" t="s">
        <v>1072</v>
      </c>
      <c r="C841" s="87"/>
      <c r="D841" s="88" t="s">
        <v>1067</v>
      </c>
      <c r="E841" s="43">
        <v>1040000</v>
      </c>
      <c r="F841" s="44">
        <f t="shared" si="43"/>
        <v>83200</v>
      </c>
      <c r="G841" s="45">
        <f t="shared" si="44"/>
        <v>1123200</v>
      </c>
      <c r="H841" s="46">
        <v>1123200</v>
      </c>
      <c r="I841" s="47">
        <f t="shared" si="42"/>
        <v>0</v>
      </c>
      <c r="J841" s="48">
        <v>45421</v>
      </c>
      <c r="K841" s="49">
        <v>45498</v>
      </c>
      <c r="L841" s="50" t="s">
        <v>1073</v>
      </c>
      <c r="M841" s="51"/>
      <c r="N841" s="52"/>
      <c r="O841" s="52"/>
      <c r="S841" s="53"/>
    </row>
    <row r="842" spans="1:19" s="2" customFormat="1" ht="16.5" customHeight="1" x14ac:dyDescent="0.35">
      <c r="A842" s="85" t="s">
        <v>185</v>
      </c>
      <c r="B842" s="86" t="s">
        <v>1074</v>
      </c>
      <c r="C842" s="87"/>
      <c r="D842" s="88" t="s">
        <v>1067</v>
      </c>
      <c r="E842" s="43">
        <v>3120000</v>
      </c>
      <c r="F842" s="44">
        <f t="shared" si="43"/>
        <v>249600</v>
      </c>
      <c r="G842" s="45">
        <f t="shared" si="44"/>
        <v>3369600</v>
      </c>
      <c r="H842" s="46">
        <v>3369600</v>
      </c>
      <c r="I842" s="47">
        <f t="shared" si="42"/>
        <v>0</v>
      </c>
      <c r="J842" s="48">
        <v>45421</v>
      </c>
      <c r="K842" s="49">
        <v>45498</v>
      </c>
      <c r="L842" s="50" t="s">
        <v>1075</v>
      </c>
      <c r="M842" s="51"/>
      <c r="N842" s="52"/>
      <c r="O842" s="52"/>
      <c r="S842" s="53"/>
    </row>
    <row r="843" spans="1:19" s="2" customFormat="1" ht="16.5" customHeight="1" x14ac:dyDescent="0.35">
      <c r="A843" s="85" t="s">
        <v>37</v>
      </c>
      <c r="B843" s="86" t="s">
        <v>1076</v>
      </c>
      <c r="C843" s="87">
        <v>1821</v>
      </c>
      <c r="D843" s="88">
        <v>45421</v>
      </c>
      <c r="E843" s="43">
        <v>971500</v>
      </c>
      <c r="F843" s="44">
        <f t="shared" si="43"/>
        <v>77720</v>
      </c>
      <c r="G843" s="45">
        <f t="shared" si="44"/>
        <v>1049220</v>
      </c>
      <c r="H843" s="46">
        <v>1049220</v>
      </c>
      <c r="I843" s="47">
        <f t="shared" si="42"/>
        <v>0</v>
      </c>
      <c r="J843" s="48">
        <v>45421</v>
      </c>
      <c r="K843" s="49">
        <v>45498</v>
      </c>
      <c r="L843" s="50" t="s">
        <v>1077</v>
      </c>
      <c r="M843" s="51"/>
      <c r="N843" s="52"/>
      <c r="O843" s="52"/>
      <c r="S843" s="53"/>
    </row>
    <row r="844" spans="1:19" s="2" customFormat="1" ht="16.5" customHeight="1" x14ac:dyDescent="0.35">
      <c r="A844" s="85" t="s">
        <v>77</v>
      </c>
      <c r="B844" s="86" t="s">
        <v>1078</v>
      </c>
      <c r="C844" s="87">
        <v>1822</v>
      </c>
      <c r="D844" s="88">
        <v>45421</v>
      </c>
      <c r="E844" s="43">
        <v>8864000</v>
      </c>
      <c r="F844" s="44">
        <f t="shared" si="43"/>
        <v>709120</v>
      </c>
      <c r="G844" s="45">
        <f t="shared" si="44"/>
        <v>9573120</v>
      </c>
      <c r="H844" s="46">
        <v>9573120</v>
      </c>
      <c r="I844" s="47">
        <f t="shared" si="42"/>
        <v>0</v>
      </c>
      <c r="J844" s="48">
        <v>45421</v>
      </c>
      <c r="K844" s="49">
        <v>45498</v>
      </c>
      <c r="L844" s="50" t="s">
        <v>1079</v>
      </c>
      <c r="M844" s="51"/>
      <c r="N844" s="52"/>
      <c r="O844" s="52"/>
      <c r="S844" s="53"/>
    </row>
    <row r="845" spans="1:19" s="2" customFormat="1" ht="16.5" customHeight="1" x14ac:dyDescent="0.35">
      <c r="A845" s="85" t="s">
        <v>113</v>
      </c>
      <c r="B845" s="86" t="s">
        <v>1080</v>
      </c>
      <c r="C845" s="87"/>
      <c r="D845" s="88" t="s">
        <v>1081</v>
      </c>
      <c r="E845" s="43">
        <v>6800000</v>
      </c>
      <c r="F845" s="44">
        <f t="shared" si="43"/>
        <v>544000</v>
      </c>
      <c r="G845" s="45">
        <f t="shared" si="44"/>
        <v>7344000</v>
      </c>
      <c r="H845" s="46">
        <v>7344000</v>
      </c>
      <c r="I845" s="47">
        <f t="shared" si="42"/>
        <v>0</v>
      </c>
      <c r="J845" s="48">
        <v>45421</v>
      </c>
      <c r="K845" s="49">
        <v>45498</v>
      </c>
      <c r="L845" s="50" t="s">
        <v>1082</v>
      </c>
      <c r="M845" s="51"/>
      <c r="N845" s="52"/>
      <c r="O845" s="52"/>
      <c r="S845" s="53"/>
    </row>
    <row r="846" spans="1:19" s="2" customFormat="1" ht="16.5" customHeight="1" x14ac:dyDescent="0.35">
      <c r="A846" s="85" t="s">
        <v>77</v>
      </c>
      <c r="B846" s="86" t="s">
        <v>1083</v>
      </c>
      <c r="C846" s="87"/>
      <c r="D846" s="88" t="s">
        <v>1081</v>
      </c>
      <c r="E846" s="43">
        <v>12720000</v>
      </c>
      <c r="F846" s="44">
        <f t="shared" si="43"/>
        <v>1017600</v>
      </c>
      <c r="G846" s="45">
        <f t="shared" si="44"/>
        <v>13737600</v>
      </c>
      <c r="H846" s="46">
        <v>13737600</v>
      </c>
      <c r="I846" s="47">
        <f t="shared" si="42"/>
        <v>0</v>
      </c>
      <c r="J846" s="48">
        <v>45421</v>
      </c>
      <c r="K846" s="49">
        <v>45498</v>
      </c>
      <c r="L846" s="50" t="s">
        <v>1084</v>
      </c>
      <c r="M846" s="51"/>
      <c r="N846" s="52"/>
      <c r="O846" s="52"/>
      <c r="S846" s="53"/>
    </row>
    <row r="847" spans="1:19" s="2" customFormat="1" ht="16.5" customHeight="1" x14ac:dyDescent="0.35">
      <c r="A847" s="85" t="s">
        <v>29</v>
      </c>
      <c r="B847" s="86" t="s">
        <v>430</v>
      </c>
      <c r="C847" s="87">
        <v>1823</v>
      </c>
      <c r="D847" s="88">
        <v>45421</v>
      </c>
      <c r="E847" s="43">
        <v>26890000</v>
      </c>
      <c r="F847" s="44">
        <f t="shared" si="43"/>
        <v>2151200</v>
      </c>
      <c r="G847" s="45">
        <f t="shared" si="44"/>
        <v>29041200</v>
      </c>
      <c r="H847" s="46">
        <v>29041200</v>
      </c>
      <c r="I847" s="47">
        <f t="shared" si="42"/>
        <v>0</v>
      </c>
      <c r="J847" s="48">
        <v>45421</v>
      </c>
      <c r="K847" s="49">
        <v>45498</v>
      </c>
      <c r="L847" s="50" t="s">
        <v>1085</v>
      </c>
      <c r="M847" s="51"/>
      <c r="N847" s="52"/>
      <c r="O847" s="52"/>
      <c r="S847" s="53"/>
    </row>
    <row r="848" spans="1:19" s="2" customFormat="1" ht="16.5" customHeight="1" x14ac:dyDescent="0.35">
      <c r="A848" s="85" t="s">
        <v>171</v>
      </c>
      <c r="B848" s="86" t="s">
        <v>1086</v>
      </c>
      <c r="C848" s="87"/>
      <c r="D848" s="88" t="s">
        <v>1087</v>
      </c>
      <c r="E848" s="43">
        <v>32000000</v>
      </c>
      <c r="F848" s="44">
        <f t="shared" si="43"/>
        <v>2560000</v>
      </c>
      <c r="G848" s="45">
        <f t="shared" si="44"/>
        <v>34560000</v>
      </c>
      <c r="H848" s="46">
        <v>34560000</v>
      </c>
      <c r="I848" s="47">
        <f t="shared" si="42"/>
        <v>0</v>
      </c>
      <c r="J848" s="48">
        <v>45421</v>
      </c>
      <c r="K848" s="49">
        <v>45498</v>
      </c>
      <c r="L848" s="50" t="s">
        <v>1088</v>
      </c>
      <c r="M848" s="51"/>
      <c r="N848" s="52"/>
      <c r="O848" s="52"/>
      <c r="S848" s="53"/>
    </row>
    <row r="849" spans="1:19" s="2" customFormat="1" ht="16.5" customHeight="1" x14ac:dyDescent="0.35">
      <c r="A849" s="85" t="s">
        <v>37</v>
      </c>
      <c r="B849" s="86" t="s">
        <v>1089</v>
      </c>
      <c r="C849" s="87"/>
      <c r="D849" s="88" t="s">
        <v>1090</v>
      </c>
      <c r="E849" s="43">
        <v>27280000</v>
      </c>
      <c r="F849" s="44">
        <f t="shared" si="43"/>
        <v>2182400</v>
      </c>
      <c r="G849" s="45">
        <f t="shared" si="44"/>
        <v>29462400</v>
      </c>
      <c r="H849" s="46">
        <v>29462400</v>
      </c>
      <c r="I849" s="47">
        <f t="shared" si="42"/>
        <v>0</v>
      </c>
      <c r="J849" s="48">
        <v>45421</v>
      </c>
      <c r="K849" s="49">
        <v>45498</v>
      </c>
      <c r="L849" s="50" t="s">
        <v>1091</v>
      </c>
      <c r="M849" s="51"/>
      <c r="N849" s="52"/>
      <c r="O849" s="52"/>
      <c r="S849" s="53"/>
    </row>
    <row r="850" spans="1:19" s="2" customFormat="1" ht="16.5" customHeight="1" x14ac:dyDescent="0.35">
      <c r="A850" s="85" t="s">
        <v>37</v>
      </c>
      <c r="B850" s="86" t="s">
        <v>1092</v>
      </c>
      <c r="C850" s="87"/>
      <c r="D850" s="88" t="s">
        <v>1090</v>
      </c>
      <c r="E850" s="43">
        <v>12000000</v>
      </c>
      <c r="F850" s="44">
        <f t="shared" si="43"/>
        <v>960000</v>
      </c>
      <c r="G850" s="45">
        <f t="shared" si="44"/>
        <v>12960000</v>
      </c>
      <c r="H850" s="46">
        <v>12960000</v>
      </c>
      <c r="I850" s="47">
        <f t="shared" si="42"/>
        <v>0</v>
      </c>
      <c r="J850" s="48">
        <v>45421</v>
      </c>
      <c r="K850" s="49">
        <v>45498</v>
      </c>
      <c r="L850" s="50" t="s">
        <v>1093</v>
      </c>
      <c r="M850" s="51"/>
      <c r="N850" s="52"/>
      <c r="O850" s="52"/>
      <c r="S850" s="53"/>
    </row>
    <row r="851" spans="1:19" s="2" customFormat="1" ht="16.5" customHeight="1" x14ac:dyDescent="0.35">
      <c r="A851" s="85" t="s">
        <v>33</v>
      </c>
      <c r="B851" s="86" t="s">
        <v>1094</v>
      </c>
      <c r="C851" s="87">
        <v>1990</v>
      </c>
      <c r="D851" s="88">
        <v>45439</v>
      </c>
      <c r="E851" s="43">
        <v>71613000</v>
      </c>
      <c r="F851" s="44">
        <f t="shared" si="43"/>
        <v>5729040</v>
      </c>
      <c r="G851" s="45">
        <f t="shared" si="44"/>
        <v>77342040</v>
      </c>
      <c r="H851" s="46">
        <v>77342040</v>
      </c>
      <c r="I851" s="47">
        <f t="shared" si="42"/>
        <v>0</v>
      </c>
      <c r="J851" s="48">
        <v>45439</v>
      </c>
      <c r="K851" s="49">
        <v>45519</v>
      </c>
      <c r="L851" s="50" t="s">
        <v>1095</v>
      </c>
      <c r="M851" s="51"/>
      <c r="N851" s="52"/>
      <c r="O851" s="52"/>
      <c r="S851" s="53"/>
    </row>
    <row r="852" spans="1:19" s="2" customFormat="1" ht="16.5" customHeight="1" x14ac:dyDescent="0.35">
      <c r="A852" s="85" t="s">
        <v>29</v>
      </c>
      <c r="B852" s="86" t="s">
        <v>1096</v>
      </c>
      <c r="C852" s="87"/>
      <c r="D852" s="88" t="s">
        <v>1097</v>
      </c>
      <c r="E852" s="43">
        <v>5120000</v>
      </c>
      <c r="F852" s="44">
        <f t="shared" si="43"/>
        <v>409600</v>
      </c>
      <c r="G852" s="45">
        <f t="shared" si="44"/>
        <v>5529600</v>
      </c>
      <c r="H852" s="46">
        <v>5529600</v>
      </c>
      <c r="I852" s="47">
        <f t="shared" si="42"/>
        <v>0</v>
      </c>
      <c r="J852" s="48">
        <v>45439</v>
      </c>
      <c r="K852" s="49">
        <v>45519</v>
      </c>
      <c r="L852" s="50" t="s">
        <v>1098</v>
      </c>
      <c r="M852" s="51"/>
      <c r="N852" s="52"/>
      <c r="O852" s="52"/>
      <c r="S852" s="53"/>
    </row>
    <row r="853" spans="1:19" s="2" customFormat="1" ht="16.5" customHeight="1" x14ac:dyDescent="0.35">
      <c r="A853" s="85" t="s">
        <v>29</v>
      </c>
      <c r="B853" s="86" t="s">
        <v>255</v>
      </c>
      <c r="C853" s="87"/>
      <c r="D853" s="88" t="s">
        <v>1097</v>
      </c>
      <c r="E853" s="43">
        <v>1920000</v>
      </c>
      <c r="F853" s="44">
        <f t="shared" si="43"/>
        <v>153600</v>
      </c>
      <c r="G853" s="45">
        <f t="shared" si="44"/>
        <v>2073600</v>
      </c>
      <c r="H853" s="46">
        <v>2073600</v>
      </c>
      <c r="I853" s="47">
        <f t="shared" si="42"/>
        <v>0</v>
      </c>
      <c r="J853" s="48">
        <v>45439</v>
      </c>
      <c r="K853" s="49">
        <v>45519</v>
      </c>
      <c r="L853" s="50" t="s">
        <v>1099</v>
      </c>
      <c r="M853" s="51"/>
      <c r="N853" s="52"/>
      <c r="O853" s="52"/>
      <c r="S853" s="53"/>
    </row>
    <row r="854" spans="1:19" s="2" customFormat="1" ht="16.5" customHeight="1" x14ac:dyDescent="0.35">
      <c r="A854" s="85" t="s">
        <v>29</v>
      </c>
      <c r="B854" s="86" t="s">
        <v>1100</v>
      </c>
      <c r="C854" s="87">
        <v>1991</v>
      </c>
      <c r="D854" s="88">
        <v>45439</v>
      </c>
      <c r="E854" s="43">
        <v>10668000</v>
      </c>
      <c r="F854" s="44">
        <f t="shared" si="43"/>
        <v>853440</v>
      </c>
      <c r="G854" s="45">
        <f t="shared" si="44"/>
        <v>11521440</v>
      </c>
      <c r="H854" s="46">
        <v>11521440</v>
      </c>
      <c r="I854" s="47">
        <f t="shared" si="42"/>
        <v>0</v>
      </c>
      <c r="J854" s="48">
        <v>45439</v>
      </c>
      <c r="K854" s="49">
        <v>45519</v>
      </c>
      <c r="L854" s="50" t="s">
        <v>1101</v>
      </c>
      <c r="M854" s="51"/>
      <c r="N854" s="52"/>
      <c r="O854" s="52"/>
      <c r="S854" s="53"/>
    </row>
    <row r="855" spans="1:19" s="2" customFormat="1" ht="16.5" customHeight="1" x14ac:dyDescent="0.35">
      <c r="A855" s="85" t="s">
        <v>29</v>
      </c>
      <c r="B855" s="86" t="s">
        <v>1102</v>
      </c>
      <c r="C855" s="87">
        <v>1992</v>
      </c>
      <c r="D855" s="88">
        <v>45439</v>
      </c>
      <c r="E855" s="43">
        <v>9756000</v>
      </c>
      <c r="F855" s="44">
        <f t="shared" si="43"/>
        <v>780480</v>
      </c>
      <c r="G855" s="45">
        <f t="shared" si="44"/>
        <v>10536480</v>
      </c>
      <c r="H855" s="46">
        <v>10536480</v>
      </c>
      <c r="I855" s="47">
        <f t="shared" si="42"/>
        <v>0</v>
      </c>
      <c r="J855" s="48">
        <v>45439</v>
      </c>
      <c r="K855" s="49">
        <v>45519</v>
      </c>
      <c r="L855" s="50" t="s">
        <v>1103</v>
      </c>
      <c r="M855" s="51"/>
      <c r="N855" s="52"/>
      <c r="O855" s="52"/>
      <c r="S855" s="53"/>
    </row>
    <row r="856" spans="1:19" s="2" customFormat="1" ht="16.5" customHeight="1" x14ac:dyDescent="0.35">
      <c r="A856" s="85" t="s">
        <v>37</v>
      </c>
      <c r="B856" s="86" t="s">
        <v>1104</v>
      </c>
      <c r="C856" s="87"/>
      <c r="D856" s="88" t="s">
        <v>1105</v>
      </c>
      <c r="E856" s="43">
        <v>23600000</v>
      </c>
      <c r="F856" s="44">
        <f t="shared" si="43"/>
        <v>1888000</v>
      </c>
      <c r="G856" s="45">
        <f t="shared" si="44"/>
        <v>25488000</v>
      </c>
      <c r="H856" s="46">
        <v>25488000</v>
      </c>
      <c r="I856" s="47">
        <f t="shared" si="42"/>
        <v>0</v>
      </c>
      <c r="J856" s="48">
        <v>45439</v>
      </c>
      <c r="K856" s="49">
        <v>45519</v>
      </c>
      <c r="L856" s="50" t="s">
        <v>1106</v>
      </c>
      <c r="M856" s="51"/>
      <c r="N856" s="52"/>
      <c r="O856" s="52"/>
      <c r="S856" s="53"/>
    </row>
    <row r="857" spans="1:19" s="2" customFormat="1" ht="16.5" customHeight="1" x14ac:dyDescent="0.35">
      <c r="A857" s="85" t="s">
        <v>37</v>
      </c>
      <c r="B857" s="86" t="s">
        <v>1107</v>
      </c>
      <c r="C857" s="87"/>
      <c r="D857" s="88" t="s">
        <v>1105</v>
      </c>
      <c r="E857" s="43">
        <v>2560000</v>
      </c>
      <c r="F857" s="44">
        <f t="shared" si="43"/>
        <v>204800</v>
      </c>
      <c r="G857" s="45">
        <f t="shared" si="44"/>
        <v>2764800</v>
      </c>
      <c r="H857" s="46">
        <v>2764800</v>
      </c>
      <c r="I857" s="47">
        <f t="shared" si="42"/>
        <v>0</v>
      </c>
      <c r="J857" s="48">
        <v>45439</v>
      </c>
      <c r="K857" s="49">
        <v>45519</v>
      </c>
      <c r="L857" s="50" t="s">
        <v>1108</v>
      </c>
      <c r="M857" s="51"/>
      <c r="N857" s="52"/>
      <c r="O857" s="52"/>
      <c r="S857" s="53"/>
    </row>
    <row r="858" spans="1:19" s="2" customFormat="1" ht="16.5" customHeight="1" x14ac:dyDescent="0.35">
      <c r="A858" s="85" t="s">
        <v>37</v>
      </c>
      <c r="B858" s="86" t="s">
        <v>1109</v>
      </c>
      <c r="C858" s="87"/>
      <c r="D858" s="88" t="s">
        <v>1105</v>
      </c>
      <c r="E858" s="43">
        <v>3120000</v>
      </c>
      <c r="F858" s="44">
        <f t="shared" si="43"/>
        <v>249600</v>
      </c>
      <c r="G858" s="45">
        <f t="shared" si="44"/>
        <v>3369600</v>
      </c>
      <c r="H858" s="46">
        <v>3369600</v>
      </c>
      <c r="I858" s="47">
        <f t="shared" ref="I858:I920" si="45">G858-H858</f>
        <v>0</v>
      </c>
      <c r="J858" s="48">
        <v>45439</v>
      </c>
      <c r="K858" s="49">
        <v>45519</v>
      </c>
      <c r="L858" s="50" t="s">
        <v>1110</v>
      </c>
      <c r="M858" s="51"/>
      <c r="N858" s="52"/>
      <c r="O858" s="52"/>
      <c r="S858" s="53"/>
    </row>
    <row r="859" spans="1:19" s="2" customFormat="1" ht="16.5" customHeight="1" x14ac:dyDescent="0.35">
      <c r="A859" s="85" t="s">
        <v>37</v>
      </c>
      <c r="B859" s="86" t="s">
        <v>1111</v>
      </c>
      <c r="C859" s="87"/>
      <c r="D859" s="88" t="s">
        <v>1112</v>
      </c>
      <c r="E859" s="43">
        <v>11805000</v>
      </c>
      <c r="F859" s="44">
        <f t="shared" ref="F859:F921" si="46">+E859*0.08</f>
        <v>944400</v>
      </c>
      <c r="G859" s="45">
        <f t="shared" ref="G859:G921" si="47">E859+F859</f>
        <v>12749400</v>
      </c>
      <c r="H859" s="46">
        <v>12749400</v>
      </c>
      <c r="I859" s="47">
        <f t="shared" si="45"/>
        <v>0</v>
      </c>
      <c r="J859" s="48">
        <v>45439</v>
      </c>
      <c r="K859" s="49">
        <v>45519</v>
      </c>
      <c r="L859" s="50" t="s">
        <v>1113</v>
      </c>
      <c r="M859" s="51"/>
      <c r="N859" s="52"/>
      <c r="O859" s="52"/>
      <c r="S859" s="53"/>
    </row>
    <row r="860" spans="1:19" s="2" customFormat="1" ht="16.5" customHeight="1" x14ac:dyDescent="0.35">
      <c r="A860" s="85" t="s">
        <v>29</v>
      </c>
      <c r="B860" s="115" t="s">
        <v>1114</v>
      </c>
      <c r="C860" s="87">
        <v>2143</v>
      </c>
      <c r="D860" s="88">
        <v>45456</v>
      </c>
      <c r="E860" s="43">
        <v>6688000</v>
      </c>
      <c r="F860" s="44">
        <f t="shared" si="46"/>
        <v>535040</v>
      </c>
      <c r="G860" s="45">
        <f t="shared" si="47"/>
        <v>7223040</v>
      </c>
      <c r="H860" s="46">
        <v>7223040</v>
      </c>
      <c r="I860" s="47">
        <f t="shared" si="45"/>
        <v>0</v>
      </c>
      <c r="J860" s="48">
        <v>45456</v>
      </c>
      <c r="K860" s="49">
        <v>45550</v>
      </c>
      <c r="L860" s="50" t="s">
        <v>1115</v>
      </c>
      <c r="M860" s="51"/>
      <c r="N860" s="52"/>
      <c r="O860" s="52"/>
      <c r="S860" s="53"/>
    </row>
    <row r="861" spans="1:19" s="2" customFormat="1" ht="16.5" customHeight="1" x14ac:dyDescent="0.35">
      <c r="A861" s="85" t="s">
        <v>29</v>
      </c>
      <c r="B861" s="115" t="s">
        <v>1116</v>
      </c>
      <c r="C861" s="87"/>
      <c r="D861" s="88" t="s">
        <v>1117</v>
      </c>
      <c r="E861" s="43">
        <v>20160000</v>
      </c>
      <c r="F861" s="44">
        <f t="shared" si="46"/>
        <v>1612800</v>
      </c>
      <c r="G861" s="45">
        <f t="shared" si="47"/>
        <v>21772800</v>
      </c>
      <c r="H861" s="46">
        <v>21772800</v>
      </c>
      <c r="I861" s="47">
        <f t="shared" si="45"/>
        <v>0</v>
      </c>
      <c r="J861" s="48">
        <v>45456</v>
      </c>
      <c r="K861" s="49">
        <v>45519</v>
      </c>
      <c r="L861" s="50" t="s">
        <v>1118</v>
      </c>
      <c r="M861" s="51"/>
      <c r="N861" s="52"/>
      <c r="O861" s="52"/>
      <c r="S861" s="53"/>
    </row>
    <row r="862" spans="1:19" s="2" customFormat="1" ht="16.5" customHeight="1" x14ac:dyDescent="0.35">
      <c r="A862" s="85" t="s">
        <v>37</v>
      </c>
      <c r="B862" s="115" t="s">
        <v>1119</v>
      </c>
      <c r="C862" s="87">
        <v>2009</v>
      </c>
      <c r="D862" s="88">
        <v>45441</v>
      </c>
      <c r="E862" s="43">
        <v>1856000</v>
      </c>
      <c r="F862" s="44">
        <f t="shared" si="46"/>
        <v>148480</v>
      </c>
      <c r="G862" s="45">
        <f t="shared" si="47"/>
        <v>2004480</v>
      </c>
      <c r="H862" s="46">
        <v>2004480</v>
      </c>
      <c r="I862" s="47">
        <f t="shared" si="45"/>
        <v>0</v>
      </c>
      <c r="J862" s="48">
        <v>45456</v>
      </c>
      <c r="K862" s="49">
        <v>45550</v>
      </c>
      <c r="L862" s="50" t="s">
        <v>1120</v>
      </c>
      <c r="M862" s="51"/>
      <c r="N862" s="52"/>
      <c r="O862" s="52"/>
      <c r="S862" s="53"/>
    </row>
    <row r="863" spans="1:19" s="2" customFormat="1" ht="16.5" customHeight="1" x14ac:dyDescent="0.35">
      <c r="A863" s="85" t="s">
        <v>56</v>
      </c>
      <c r="B863" s="115" t="s">
        <v>1121</v>
      </c>
      <c r="C863" s="87"/>
      <c r="D863" s="88" t="s">
        <v>1122</v>
      </c>
      <c r="E863" s="43">
        <v>4080000</v>
      </c>
      <c r="F863" s="44">
        <f t="shared" si="46"/>
        <v>326400</v>
      </c>
      <c r="G863" s="45">
        <f t="shared" si="47"/>
        <v>4406400</v>
      </c>
      <c r="H863" s="46">
        <v>4406400</v>
      </c>
      <c r="I863" s="47">
        <f t="shared" si="45"/>
        <v>0</v>
      </c>
      <c r="J863" s="48">
        <v>45456</v>
      </c>
      <c r="K863" s="49">
        <v>45550</v>
      </c>
      <c r="L863" s="50" t="s">
        <v>1123</v>
      </c>
      <c r="M863" s="51"/>
      <c r="N863" s="52"/>
      <c r="O863" s="52"/>
      <c r="S863" s="53"/>
    </row>
    <row r="864" spans="1:19" s="2" customFormat="1" ht="16.5" customHeight="1" x14ac:dyDescent="0.35">
      <c r="A864" s="85" t="s">
        <v>66</v>
      </c>
      <c r="B864" s="115" t="s">
        <v>1124</v>
      </c>
      <c r="C864" s="87"/>
      <c r="D864" s="88" t="s">
        <v>1125</v>
      </c>
      <c r="E864" s="43">
        <v>7760000</v>
      </c>
      <c r="F864" s="44">
        <f t="shared" si="46"/>
        <v>620800</v>
      </c>
      <c r="G864" s="45">
        <f t="shared" si="47"/>
        <v>8380800</v>
      </c>
      <c r="H864" s="46">
        <v>8380800</v>
      </c>
      <c r="I864" s="47">
        <f t="shared" si="45"/>
        <v>0</v>
      </c>
      <c r="J864" s="48">
        <v>45456</v>
      </c>
      <c r="K864" s="49">
        <v>45519</v>
      </c>
      <c r="L864" s="50" t="s">
        <v>1126</v>
      </c>
      <c r="M864" s="51"/>
      <c r="N864" s="52"/>
      <c r="O864" s="52"/>
      <c r="S864" s="53"/>
    </row>
    <row r="865" spans="1:19" s="2" customFormat="1" ht="16.5" customHeight="1" x14ac:dyDescent="0.35">
      <c r="A865" s="85" t="s">
        <v>33</v>
      </c>
      <c r="B865" s="115" t="s">
        <v>1127</v>
      </c>
      <c r="C865" s="87"/>
      <c r="D865" s="88" t="s">
        <v>1125</v>
      </c>
      <c r="E865" s="43">
        <v>2880000</v>
      </c>
      <c r="F865" s="44">
        <f t="shared" si="46"/>
        <v>230400</v>
      </c>
      <c r="G865" s="45">
        <f t="shared" si="47"/>
        <v>3110400</v>
      </c>
      <c r="H865" s="46">
        <v>3110400</v>
      </c>
      <c r="I865" s="47">
        <f t="shared" si="45"/>
        <v>0</v>
      </c>
      <c r="J865" s="48">
        <v>45456</v>
      </c>
      <c r="K865" s="49">
        <v>45519</v>
      </c>
      <c r="L865" s="50" t="s">
        <v>1128</v>
      </c>
      <c r="M865" s="51"/>
      <c r="N865" s="52"/>
      <c r="O865" s="52"/>
      <c r="S865" s="53"/>
    </row>
    <row r="866" spans="1:19" s="2" customFormat="1" ht="16.5" customHeight="1" x14ac:dyDescent="0.35">
      <c r="A866" s="85" t="s">
        <v>29</v>
      </c>
      <c r="B866" s="115" t="s">
        <v>1129</v>
      </c>
      <c r="C866" s="87">
        <v>2160</v>
      </c>
      <c r="D866" s="88">
        <v>45456</v>
      </c>
      <c r="E866" s="43">
        <v>3808000</v>
      </c>
      <c r="F866" s="44">
        <f t="shared" si="46"/>
        <v>304640</v>
      </c>
      <c r="G866" s="45">
        <f t="shared" si="47"/>
        <v>4112640</v>
      </c>
      <c r="H866" s="46">
        <v>4112640</v>
      </c>
      <c r="I866" s="47">
        <f t="shared" si="45"/>
        <v>0</v>
      </c>
      <c r="J866" s="48">
        <v>45456</v>
      </c>
      <c r="K866" s="49">
        <v>45550</v>
      </c>
      <c r="L866" s="50" t="s">
        <v>1130</v>
      </c>
      <c r="M866" s="51"/>
      <c r="N866" s="52"/>
      <c r="O866" s="52"/>
      <c r="S866" s="53"/>
    </row>
    <row r="867" spans="1:19" s="2" customFormat="1" ht="16.5" customHeight="1" x14ac:dyDescent="0.35">
      <c r="A867" s="85" t="s">
        <v>33</v>
      </c>
      <c r="B867" s="115" t="s">
        <v>1131</v>
      </c>
      <c r="C867" s="87"/>
      <c r="D867" s="88" t="s">
        <v>1132</v>
      </c>
      <c r="E867" s="43">
        <v>2080000</v>
      </c>
      <c r="F867" s="44">
        <f t="shared" si="46"/>
        <v>166400</v>
      </c>
      <c r="G867" s="45">
        <f t="shared" si="47"/>
        <v>2246400</v>
      </c>
      <c r="H867" s="46">
        <v>2246400</v>
      </c>
      <c r="I867" s="47">
        <f t="shared" si="45"/>
        <v>0</v>
      </c>
      <c r="J867" s="48">
        <v>45456</v>
      </c>
      <c r="K867" s="49">
        <v>45550</v>
      </c>
      <c r="L867" s="50" t="s">
        <v>1133</v>
      </c>
      <c r="M867" s="51"/>
      <c r="N867" s="52"/>
      <c r="O867" s="52"/>
      <c r="S867" s="53"/>
    </row>
    <row r="868" spans="1:19" s="2" customFormat="1" ht="16.5" customHeight="1" x14ac:dyDescent="0.35">
      <c r="A868" s="85" t="s">
        <v>66</v>
      </c>
      <c r="B868" s="115" t="s">
        <v>1134</v>
      </c>
      <c r="C868" s="87"/>
      <c r="D868" s="88" t="s">
        <v>1135</v>
      </c>
      <c r="E868" s="43">
        <v>2640000</v>
      </c>
      <c r="F868" s="44">
        <f t="shared" si="46"/>
        <v>211200</v>
      </c>
      <c r="G868" s="45">
        <f t="shared" si="47"/>
        <v>2851200</v>
      </c>
      <c r="H868" s="46">
        <v>2851200</v>
      </c>
      <c r="I868" s="47">
        <f t="shared" si="45"/>
        <v>0</v>
      </c>
      <c r="J868" s="48">
        <v>45456</v>
      </c>
      <c r="K868" s="49">
        <v>45550</v>
      </c>
      <c r="L868" s="50" t="s">
        <v>1136</v>
      </c>
      <c r="M868" s="51"/>
      <c r="N868" s="52"/>
      <c r="O868" s="52"/>
      <c r="S868" s="53"/>
    </row>
    <row r="869" spans="1:19" s="2" customFormat="1" ht="16.5" customHeight="1" x14ac:dyDescent="0.35">
      <c r="A869" s="85" t="s">
        <v>37</v>
      </c>
      <c r="B869" s="115" t="s">
        <v>1137</v>
      </c>
      <c r="C869" s="87"/>
      <c r="D869" s="88" t="s">
        <v>1135</v>
      </c>
      <c r="E869" s="43">
        <v>6080000</v>
      </c>
      <c r="F869" s="44">
        <f t="shared" si="46"/>
        <v>486400</v>
      </c>
      <c r="G869" s="45">
        <f t="shared" si="47"/>
        <v>6566400</v>
      </c>
      <c r="H869" s="46">
        <v>6566400</v>
      </c>
      <c r="I869" s="47">
        <f t="shared" si="45"/>
        <v>0</v>
      </c>
      <c r="J869" s="48">
        <v>45456</v>
      </c>
      <c r="K869" s="49">
        <v>45530</v>
      </c>
      <c r="L869" s="50" t="s">
        <v>1138</v>
      </c>
      <c r="M869" s="51"/>
      <c r="N869" s="52"/>
      <c r="O869" s="52"/>
      <c r="S869" s="53"/>
    </row>
    <row r="870" spans="1:19" s="2" customFormat="1" ht="16.5" customHeight="1" x14ac:dyDescent="0.35">
      <c r="A870" s="85" t="s">
        <v>37</v>
      </c>
      <c r="B870" s="115" t="s">
        <v>1139</v>
      </c>
      <c r="C870" s="87"/>
      <c r="D870" s="88" t="s">
        <v>1140</v>
      </c>
      <c r="E870" s="43">
        <v>24640000</v>
      </c>
      <c r="F870" s="44">
        <f t="shared" si="46"/>
        <v>1971200</v>
      </c>
      <c r="G870" s="45">
        <f t="shared" si="47"/>
        <v>26611200</v>
      </c>
      <c r="H870" s="46">
        <v>26611200</v>
      </c>
      <c r="I870" s="47">
        <f t="shared" si="45"/>
        <v>0</v>
      </c>
      <c r="J870" s="48">
        <v>45456</v>
      </c>
      <c r="K870" s="49">
        <v>45530</v>
      </c>
      <c r="L870" s="50" t="s">
        <v>1141</v>
      </c>
      <c r="M870" s="51"/>
      <c r="N870" s="52"/>
      <c r="O870" s="52"/>
      <c r="S870" s="53"/>
    </row>
    <row r="871" spans="1:19" s="2" customFormat="1" ht="16.5" customHeight="1" x14ac:dyDescent="0.35">
      <c r="A871" s="85" t="s">
        <v>33</v>
      </c>
      <c r="B871" s="86" t="s">
        <v>1142</v>
      </c>
      <c r="C871" s="87">
        <v>2144</v>
      </c>
      <c r="D871" s="88">
        <v>45456</v>
      </c>
      <c r="E871" s="43">
        <v>94800000</v>
      </c>
      <c r="F871" s="44">
        <f t="shared" si="46"/>
        <v>7584000</v>
      </c>
      <c r="G871" s="45">
        <f t="shared" si="47"/>
        <v>102384000</v>
      </c>
      <c r="H871" s="46">
        <v>102384000</v>
      </c>
      <c r="I871" s="47">
        <f t="shared" si="45"/>
        <v>0</v>
      </c>
      <c r="J871" s="48">
        <v>45456</v>
      </c>
      <c r="K871" s="49">
        <v>45550</v>
      </c>
      <c r="L871" s="50" t="s">
        <v>1143</v>
      </c>
      <c r="M871" s="51"/>
      <c r="N871" s="52"/>
      <c r="O871" s="52"/>
      <c r="S871" s="53"/>
    </row>
    <row r="872" spans="1:19" s="2" customFormat="1" ht="16.5" customHeight="1" x14ac:dyDescent="0.35">
      <c r="A872" s="85" t="s">
        <v>29</v>
      </c>
      <c r="B872" s="115" t="s">
        <v>1144</v>
      </c>
      <c r="C872" s="87">
        <v>2145</v>
      </c>
      <c r="D872" s="88">
        <v>45456</v>
      </c>
      <c r="E872" s="43">
        <v>19670000</v>
      </c>
      <c r="F872" s="44">
        <f t="shared" si="46"/>
        <v>1573600</v>
      </c>
      <c r="G872" s="45">
        <f t="shared" si="47"/>
        <v>21243600</v>
      </c>
      <c r="H872" s="46">
        <v>21243600</v>
      </c>
      <c r="I872" s="47">
        <f t="shared" si="45"/>
        <v>0</v>
      </c>
      <c r="J872" s="48">
        <v>45456</v>
      </c>
      <c r="K872" s="49">
        <v>45550</v>
      </c>
      <c r="L872" s="50" t="s">
        <v>1145</v>
      </c>
      <c r="M872" s="51"/>
      <c r="N872" s="52"/>
      <c r="O872" s="52"/>
      <c r="S872" s="53"/>
    </row>
    <row r="873" spans="1:19" s="2" customFormat="1" ht="16.5" customHeight="1" x14ac:dyDescent="0.35">
      <c r="A873" s="85" t="s">
        <v>33</v>
      </c>
      <c r="B873" s="115" t="s">
        <v>1146</v>
      </c>
      <c r="C873" s="87"/>
      <c r="D873" s="88" t="s">
        <v>1147</v>
      </c>
      <c r="E873" s="43">
        <v>3840000</v>
      </c>
      <c r="F873" s="44">
        <f t="shared" si="46"/>
        <v>307200</v>
      </c>
      <c r="G873" s="45">
        <f t="shared" si="47"/>
        <v>4147200</v>
      </c>
      <c r="H873" s="46">
        <v>4147200</v>
      </c>
      <c r="I873" s="47">
        <f t="shared" si="45"/>
        <v>0</v>
      </c>
      <c r="J873" s="48">
        <v>45476</v>
      </c>
      <c r="K873" s="49">
        <v>45550</v>
      </c>
      <c r="L873" s="129" t="s">
        <v>1148</v>
      </c>
      <c r="M873" s="51"/>
      <c r="N873" s="52"/>
      <c r="O873" s="52"/>
      <c r="S873" s="53"/>
    </row>
    <row r="874" spans="1:19" s="2" customFormat="1" ht="16.5" customHeight="1" x14ac:dyDescent="0.35">
      <c r="A874" s="85" t="s">
        <v>37</v>
      </c>
      <c r="B874" s="115" t="s">
        <v>1149</v>
      </c>
      <c r="C874" s="87"/>
      <c r="D874" s="88" t="s">
        <v>1147</v>
      </c>
      <c r="E874" s="43">
        <v>20605000</v>
      </c>
      <c r="F874" s="44">
        <f t="shared" si="46"/>
        <v>1648400</v>
      </c>
      <c r="G874" s="45">
        <f t="shared" si="47"/>
        <v>22253400</v>
      </c>
      <c r="H874" s="46">
        <v>22253400</v>
      </c>
      <c r="I874" s="47">
        <f t="shared" si="45"/>
        <v>0</v>
      </c>
      <c r="J874" s="48">
        <v>45476</v>
      </c>
      <c r="K874" s="49">
        <v>45560</v>
      </c>
      <c r="L874" s="129" t="s">
        <v>1150</v>
      </c>
      <c r="M874" s="51"/>
      <c r="N874" s="52"/>
      <c r="O874" s="52"/>
      <c r="S874" s="53"/>
    </row>
    <row r="875" spans="1:19" s="2" customFormat="1" ht="16.5" customHeight="1" x14ac:dyDescent="0.35">
      <c r="A875" s="85" t="s">
        <v>56</v>
      </c>
      <c r="B875" s="115" t="s">
        <v>1151</v>
      </c>
      <c r="C875" s="87"/>
      <c r="D875" s="88" t="s">
        <v>1147</v>
      </c>
      <c r="E875" s="43">
        <v>3600000</v>
      </c>
      <c r="F875" s="44">
        <f t="shared" si="46"/>
        <v>288000</v>
      </c>
      <c r="G875" s="45">
        <f t="shared" si="47"/>
        <v>3888000</v>
      </c>
      <c r="H875" s="46">
        <v>3888000</v>
      </c>
      <c r="I875" s="47">
        <f t="shared" si="45"/>
        <v>0</v>
      </c>
      <c r="J875" s="48">
        <v>45476</v>
      </c>
      <c r="K875" s="49">
        <v>45550</v>
      </c>
      <c r="L875" s="129" t="s">
        <v>1152</v>
      </c>
      <c r="M875" s="51"/>
      <c r="N875" s="52"/>
      <c r="O875" s="52"/>
      <c r="S875" s="53"/>
    </row>
    <row r="876" spans="1:19" s="2" customFormat="1" ht="16.5" customHeight="1" x14ac:dyDescent="0.35">
      <c r="A876" s="85" t="s">
        <v>66</v>
      </c>
      <c r="B876" s="115" t="s">
        <v>1153</v>
      </c>
      <c r="C876" s="87"/>
      <c r="D876" s="88" t="s">
        <v>1154</v>
      </c>
      <c r="E876" s="43">
        <v>2560000</v>
      </c>
      <c r="F876" s="44">
        <f t="shared" si="46"/>
        <v>204800</v>
      </c>
      <c r="G876" s="45">
        <f t="shared" si="47"/>
        <v>2764800</v>
      </c>
      <c r="H876" s="46">
        <v>2764800</v>
      </c>
      <c r="I876" s="47">
        <f t="shared" si="45"/>
        <v>0</v>
      </c>
      <c r="J876" s="48">
        <v>45476</v>
      </c>
      <c r="K876" s="49">
        <v>45560</v>
      </c>
      <c r="L876" s="50" t="s">
        <v>1155</v>
      </c>
      <c r="M876" s="51"/>
      <c r="N876" s="52"/>
      <c r="O876" s="52"/>
      <c r="S876" s="53"/>
    </row>
    <row r="877" spans="1:19" s="2" customFormat="1" ht="16.5" customHeight="1" x14ac:dyDescent="0.35">
      <c r="A877" s="85" t="s">
        <v>37</v>
      </c>
      <c r="B877" s="86" t="s">
        <v>1156</v>
      </c>
      <c r="C877" s="87"/>
      <c r="D877" s="88" t="s">
        <v>1157</v>
      </c>
      <c r="E877" s="43"/>
      <c r="F877" s="44">
        <f t="shared" si="46"/>
        <v>0</v>
      </c>
      <c r="G877" s="45">
        <f t="shared" si="47"/>
        <v>0</v>
      </c>
      <c r="H877" s="46"/>
      <c r="I877" s="47">
        <f t="shared" si="45"/>
        <v>0</v>
      </c>
      <c r="J877" s="48" t="s">
        <v>65</v>
      </c>
      <c r="K877" s="49"/>
      <c r="L877" s="50" t="s">
        <v>1158</v>
      </c>
      <c r="M877" s="51" t="s">
        <v>1159</v>
      </c>
      <c r="N877" s="52"/>
      <c r="O877" s="52"/>
      <c r="S877" s="53"/>
    </row>
    <row r="878" spans="1:19" s="2" customFormat="1" ht="16.5" customHeight="1" x14ac:dyDescent="0.35">
      <c r="A878" s="85" t="s">
        <v>37</v>
      </c>
      <c r="B878" s="115" t="s">
        <v>1160</v>
      </c>
      <c r="C878" s="87"/>
      <c r="D878" s="88" t="s">
        <v>1157</v>
      </c>
      <c r="E878" s="43">
        <v>7120000</v>
      </c>
      <c r="F878" s="44">
        <f t="shared" si="46"/>
        <v>569600</v>
      </c>
      <c r="G878" s="45">
        <f t="shared" si="47"/>
        <v>7689600</v>
      </c>
      <c r="H878" s="46">
        <v>7689600</v>
      </c>
      <c r="I878" s="47">
        <f t="shared" si="45"/>
        <v>0</v>
      </c>
      <c r="J878" s="48">
        <v>45476</v>
      </c>
      <c r="K878" s="49">
        <v>45560</v>
      </c>
      <c r="L878" s="50" t="s">
        <v>1161</v>
      </c>
      <c r="M878" s="51"/>
      <c r="N878" s="52"/>
      <c r="O878" s="52"/>
      <c r="S878" s="53"/>
    </row>
    <row r="879" spans="1:19" s="2" customFormat="1" ht="16.5" customHeight="1" x14ac:dyDescent="0.35">
      <c r="A879" s="85" t="s">
        <v>37</v>
      </c>
      <c r="B879" s="115" t="s">
        <v>1162</v>
      </c>
      <c r="C879" s="87"/>
      <c r="D879" s="88" t="s">
        <v>1157</v>
      </c>
      <c r="E879" s="43">
        <v>1040000</v>
      </c>
      <c r="F879" s="44">
        <f t="shared" si="46"/>
        <v>83200</v>
      </c>
      <c r="G879" s="45">
        <f t="shared" si="47"/>
        <v>1123200</v>
      </c>
      <c r="H879" s="46">
        <v>1123200</v>
      </c>
      <c r="I879" s="47">
        <f t="shared" si="45"/>
        <v>0</v>
      </c>
      <c r="J879" s="48">
        <v>45476</v>
      </c>
      <c r="K879" s="49">
        <v>45560</v>
      </c>
      <c r="L879" s="50" t="s">
        <v>1163</v>
      </c>
      <c r="M879" s="51"/>
      <c r="N879" s="52"/>
      <c r="O879" s="52"/>
      <c r="S879" s="53"/>
    </row>
    <row r="880" spans="1:19" s="2" customFormat="1" ht="16.5" customHeight="1" x14ac:dyDescent="0.35">
      <c r="A880" s="85" t="s">
        <v>29</v>
      </c>
      <c r="B880" s="115" t="s">
        <v>1164</v>
      </c>
      <c r="C880" s="87">
        <v>2442</v>
      </c>
      <c r="D880" s="88">
        <v>45476</v>
      </c>
      <c r="E880" s="43">
        <v>27209000</v>
      </c>
      <c r="F880" s="44">
        <f t="shared" si="46"/>
        <v>2176720</v>
      </c>
      <c r="G880" s="45">
        <f t="shared" si="47"/>
        <v>29385720</v>
      </c>
      <c r="H880" s="46">
        <v>29385720</v>
      </c>
      <c r="I880" s="47">
        <f t="shared" si="45"/>
        <v>0</v>
      </c>
      <c r="J880" s="48">
        <v>45476</v>
      </c>
      <c r="K880" s="49">
        <v>45560</v>
      </c>
      <c r="L880" s="129" t="s">
        <v>1165</v>
      </c>
      <c r="M880" s="51"/>
      <c r="N880" s="52"/>
      <c r="O880" s="52"/>
      <c r="S880" s="53"/>
    </row>
    <row r="881" spans="1:19" s="2" customFormat="1" ht="16.5" customHeight="1" x14ac:dyDescent="0.35">
      <c r="A881" s="85" t="s">
        <v>33</v>
      </c>
      <c r="B881" s="115" t="s">
        <v>1166</v>
      </c>
      <c r="C881" s="87"/>
      <c r="D881" s="88" t="s">
        <v>1157</v>
      </c>
      <c r="E881" s="43">
        <v>3920000</v>
      </c>
      <c r="F881" s="44">
        <f t="shared" si="46"/>
        <v>313600</v>
      </c>
      <c r="G881" s="45">
        <f t="shared" si="47"/>
        <v>4233600</v>
      </c>
      <c r="H881" s="46">
        <v>4233600</v>
      </c>
      <c r="I881" s="47">
        <f t="shared" si="45"/>
        <v>0</v>
      </c>
      <c r="J881" s="48">
        <v>45476</v>
      </c>
      <c r="K881" s="49">
        <v>45560</v>
      </c>
      <c r="L881" s="129" t="s">
        <v>1167</v>
      </c>
      <c r="M881" s="51"/>
      <c r="N881" s="52"/>
      <c r="O881" s="52"/>
      <c r="S881" s="53"/>
    </row>
    <row r="882" spans="1:19" s="2" customFormat="1" ht="16.5" customHeight="1" x14ac:dyDescent="0.35">
      <c r="A882" s="85" t="s">
        <v>56</v>
      </c>
      <c r="B882" s="115" t="s">
        <v>1168</v>
      </c>
      <c r="C882" s="87"/>
      <c r="D882" s="88" t="s">
        <v>1157</v>
      </c>
      <c r="E882" s="43">
        <v>6400000</v>
      </c>
      <c r="F882" s="44">
        <f t="shared" si="46"/>
        <v>512000</v>
      </c>
      <c r="G882" s="45">
        <f t="shared" si="47"/>
        <v>6912000</v>
      </c>
      <c r="H882" s="46">
        <v>6912000</v>
      </c>
      <c r="I882" s="47">
        <f t="shared" si="45"/>
        <v>0</v>
      </c>
      <c r="J882" s="48">
        <v>45476</v>
      </c>
      <c r="K882" s="49">
        <v>45560</v>
      </c>
      <c r="L882" s="129" t="s">
        <v>1169</v>
      </c>
      <c r="M882" s="51"/>
      <c r="N882" s="52"/>
      <c r="O882" s="52"/>
      <c r="S882" s="53"/>
    </row>
    <row r="883" spans="1:19" s="2" customFormat="1" ht="16.5" customHeight="1" x14ac:dyDescent="0.35">
      <c r="A883" s="85" t="s">
        <v>29</v>
      </c>
      <c r="B883" s="115" t="s">
        <v>1170</v>
      </c>
      <c r="C883" s="87">
        <v>2443</v>
      </c>
      <c r="D883" s="88">
        <v>45476</v>
      </c>
      <c r="E883" s="43">
        <v>6511500</v>
      </c>
      <c r="F883" s="44">
        <f t="shared" si="46"/>
        <v>520920</v>
      </c>
      <c r="G883" s="45">
        <f t="shared" si="47"/>
        <v>7032420</v>
      </c>
      <c r="H883" s="46">
        <v>7032420</v>
      </c>
      <c r="I883" s="47">
        <f t="shared" si="45"/>
        <v>0</v>
      </c>
      <c r="J883" s="48">
        <v>45476</v>
      </c>
      <c r="K883" s="49">
        <v>45560</v>
      </c>
      <c r="L883" s="129" t="s">
        <v>1171</v>
      </c>
      <c r="M883" s="51"/>
      <c r="N883" s="52"/>
      <c r="O883" s="52"/>
      <c r="S883" s="53"/>
    </row>
    <row r="884" spans="1:19" s="2" customFormat="1" ht="16.5" customHeight="1" x14ac:dyDescent="0.35">
      <c r="A884" s="85" t="s">
        <v>33</v>
      </c>
      <c r="B884" s="115" t="s">
        <v>1172</v>
      </c>
      <c r="C884" s="87">
        <v>2444</v>
      </c>
      <c r="D884" s="88">
        <v>45476</v>
      </c>
      <c r="E884" s="43">
        <v>20988000</v>
      </c>
      <c r="F884" s="44">
        <f t="shared" si="46"/>
        <v>1679040</v>
      </c>
      <c r="G884" s="45">
        <f t="shared" si="47"/>
        <v>22667040</v>
      </c>
      <c r="H884" s="46">
        <v>22667040</v>
      </c>
      <c r="I884" s="47">
        <f t="shared" si="45"/>
        <v>0</v>
      </c>
      <c r="J884" s="48">
        <v>45476</v>
      </c>
      <c r="K884" s="49">
        <v>45560</v>
      </c>
      <c r="L884" s="129" t="s">
        <v>1173</v>
      </c>
      <c r="M884" s="51"/>
      <c r="N884" s="52"/>
      <c r="O884" s="52"/>
      <c r="S884" s="53"/>
    </row>
    <row r="885" spans="1:19" s="2" customFormat="1" ht="16.5" customHeight="1" x14ac:dyDescent="0.35">
      <c r="A885" s="85" t="s">
        <v>29</v>
      </c>
      <c r="B885" s="115" t="s">
        <v>1174</v>
      </c>
      <c r="C885" s="87">
        <v>2642</v>
      </c>
      <c r="D885" s="88">
        <v>45491</v>
      </c>
      <c r="E885" s="43">
        <v>17976000</v>
      </c>
      <c r="F885" s="44">
        <f t="shared" si="46"/>
        <v>1438080</v>
      </c>
      <c r="G885" s="45">
        <f t="shared" si="47"/>
        <v>19414080</v>
      </c>
      <c r="H885" s="46">
        <v>19414080</v>
      </c>
      <c r="I885" s="47">
        <f t="shared" si="45"/>
        <v>0</v>
      </c>
      <c r="J885" s="48">
        <v>45491</v>
      </c>
      <c r="K885" s="49">
        <v>45580</v>
      </c>
      <c r="L885" s="79" t="s">
        <v>1175</v>
      </c>
      <c r="M885" s="51"/>
      <c r="N885" s="52"/>
      <c r="O885" s="52"/>
      <c r="S885" s="53"/>
    </row>
    <row r="886" spans="1:19" s="2" customFormat="1" ht="16.5" customHeight="1" x14ac:dyDescent="0.35">
      <c r="A886" s="85" t="s">
        <v>33</v>
      </c>
      <c r="B886" s="115" t="s">
        <v>1176</v>
      </c>
      <c r="C886" s="87">
        <v>2643</v>
      </c>
      <c r="D886" s="88">
        <v>45491</v>
      </c>
      <c r="E886" s="43">
        <v>36006000</v>
      </c>
      <c r="F886" s="44">
        <f t="shared" si="46"/>
        <v>2880480</v>
      </c>
      <c r="G886" s="45">
        <f t="shared" si="47"/>
        <v>38886480</v>
      </c>
      <c r="H886" s="46">
        <v>38886480</v>
      </c>
      <c r="I886" s="47">
        <f t="shared" si="45"/>
        <v>0</v>
      </c>
      <c r="J886" s="48">
        <v>45491</v>
      </c>
      <c r="K886" s="49">
        <v>45580</v>
      </c>
      <c r="L886" s="79" t="s">
        <v>1177</v>
      </c>
      <c r="M886" s="51"/>
      <c r="N886" s="52"/>
      <c r="O886" s="52"/>
      <c r="S886" s="53"/>
    </row>
    <row r="887" spans="1:19" s="2" customFormat="1" ht="16.5" customHeight="1" x14ac:dyDescent="0.35">
      <c r="A887" s="85" t="s">
        <v>185</v>
      </c>
      <c r="B887" s="115" t="s">
        <v>1178</v>
      </c>
      <c r="C887" s="87"/>
      <c r="D887" s="88" t="s">
        <v>1179</v>
      </c>
      <c r="E887" s="43">
        <v>26640000</v>
      </c>
      <c r="F887" s="44">
        <f t="shared" si="46"/>
        <v>2131200</v>
      </c>
      <c r="G887" s="45">
        <f t="shared" si="47"/>
        <v>28771200</v>
      </c>
      <c r="H887" s="46">
        <v>28771200</v>
      </c>
      <c r="I887" s="47">
        <f t="shared" si="45"/>
        <v>0</v>
      </c>
      <c r="J887" s="48">
        <v>45491</v>
      </c>
      <c r="K887" s="49">
        <v>45623</v>
      </c>
      <c r="L887" s="79" t="s">
        <v>1180</v>
      </c>
      <c r="M887" s="51" t="s">
        <v>2487</v>
      </c>
      <c r="N887" s="52"/>
      <c r="O887" s="52"/>
      <c r="S887" s="53"/>
    </row>
    <row r="888" spans="1:19" s="2" customFormat="1" ht="16.5" customHeight="1" x14ac:dyDescent="0.35">
      <c r="A888" s="85" t="s">
        <v>56</v>
      </c>
      <c r="B888" s="115" t="s">
        <v>1181</v>
      </c>
      <c r="C888" s="87"/>
      <c r="D888" s="88" t="s">
        <v>1182</v>
      </c>
      <c r="E888" s="43">
        <v>4800000</v>
      </c>
      <c r="F888" s="44">
        <f t="shared" si="46"/>
        <v>384000</v>
      </c>
      <c r="G888" s="45">
        <f t="shared" si="47"/>
        <v>5184000</v>
      </c>
      <c r="H888" s="46">
        <v>5184000</v>
      </c>
      <c r="I888" s="47">
        <f t="shared" si="45"/>
        <v>0</v>
      </c>
      <c r="J888" s="48">
        <v>45491</v>
      </c>
      <c r="K888" s="49">
        <v>45580</v>
      </c>
      <c r="L888" s="79" t="s">
        <v>1183</v>
      </c>
      <c r="M888" s="51"/>
      <c r="N888" s="52"/>
      <c r="O888" s="52"/>
      <c r="S888" s="53"/>
    </row>
    <row r="889" spans="1:19" s="2" customFormat="1" ht="16.5" customHeight="1" x14ac:dyDescent="0.35">
      <c r="A889" s="85" t="s">
        <v>71</v>
      </c>
      <c r="B889" s="115" t="s">
        <v>1184</v>
      </c>
      <c r="C889" s="87"/>
      <c r="D889" s="88" t="s">
        <v>1182</v>
      </c>
      <c r="E889" s="43">
        <v>4880000</v>
      </c>
      <c r="F889" s="44">
        <f t="shared" si="46"/>
        <v>390400</v>
      </c>
      <c r="G889" s="45">
        <f t="shared" si="47"/>
        <v>5270400</v>
      </c>
      <c r="H889" s="46">
        <v>5270400</v>
      </c>
      <c r="I889" s="47">
        <f t="shared" si="45"/>
        <v>0</v>
      </c>
      <c r="J889" s="48">
        <v>45491</v>
      </c>
      <c r="K889" s="49">
        <v>45580</v>
      </c>
      <c r="L889" s="130" t="s">
        <v>1185</v>
      </c>
      <c r="M889" s="51"/>
      <c r="N889" s="52"/>
      <c r="O889" s="52"/>
      <c r="S889" s="53"/>
    </row>
    <row r="890" spans="1:19" s="2" customFormat="1" ht="16.5" customHeight="1" x14ac:dyDescent="0.35">
      <c r="A890" s="85" t="s">
        <v>29</v>
      </c>
      <c r="B890" s="86" t="s">
        <v>1186</v>
      </c>
      <c r="C890" s="87">
        <v>2644</v>
      </c>
      <c r="D890" s="88">
        <v>45491</v>
      </c>
      <c r="E890" s="43">
        <v>11658000</v>
      </c>
      <c r="F890" s="44">
        <f t="shared" si="46"/>
        <v>932640</v>
      </c>
      <c r="G890" s="45">
        <f t="shared" si="47"/>
        <v>12590640</v>
      </c>
      <c r="H890" s="46">
        <v>12590640</v>
      </c>
      <c r="I890" s="47">
        <f t="shared" si="45"/>
        <v>0</v>
      </c>
      <c r="J890" s="48">
        <v>45491</v>
      </c>
      <c r="K890" s="49">
        <v>45580</v>
      </c>
      <c r="L890" s="131" t="s">
        <v>1187</v>
      </c>
      <c r="M890" s="51"/>
      <c r="N890" s="52"/>
      <c r="O890" s="52"/>
      <c r="S890" s="53"/>
    </row>
    <row r="891" spans="1:19" s="2" customFormat="1" ht="16.5" customHeight="1" x14ac:dyDescent="0.35">
      <c r="A891" s="85" t="s">
        <v>71</v>
      </c>
      <c r="B891" s="115" t="s">
        <v>1188</v>
      </c>
      <c r="C891" s="87"/>
      <c r="D891" s="88" t="s">
        <v>1189</v>
      </c>
      <c r="E891" s="43">
        <v>4970000</v>
      </c>
      <c r="F891" s="44">
        <f t="shared" si="46"/>
        <v>397600</v>
      </c>
      <c r="G891" s="45">
        <f t="shared" si="47"/>
        <v>5367600</v>
      </c>
      <c r="H891" s="46">
        <v>5367600</v>
      </c>
      <c r="I891" s="47">
        <f t="shared" si="45"/>
        <v>0</v>
      </c>
      <c r="J891" s="48">
        <v>45491</v>
      </c>
      <c r="K891" s="49">
        <v>45580</v>
      </c>
      <c r="L891" s="130" t="s">
        <v>1190</v>
      </c>
      <c r="M891" s="51"/>
      <c r="N891" s="52"/>
      <c r="O891" s="52"/>
      <c r="S891" s="53"/>
    </row>
    <row r="892" spans="1:19" s="2" customFormat="1" ht="16.5" customHeight="1" x14ac:dyDescent="0.35">
      <c r="A892" s="85" t="s">
        <v>33</v>
      </c>
      <c r="B892" s="115" t="s">
        <v>1191</v>
      </c>
      <c r="C892" s="87"/>
      <c r="D892" s="88" t="s">
        <v>1192</v>
      </c>
      <c r="E892" s="43">
        <v>25860000</v>
      </c>
      <c r="F892" s="44">
        <f t="shared" si="46"/>
        <v>2068800</v>
      </c>
      <c r="G892" s="45">
        <f t="shared" si="47"/>
        <v>27928800</v>
      </c>
      <c r="H892" s="46">
        <v>27928800</v>
      </c>
      <c r="I892" s="47">
        <f t="shared" si="45"/>
        <v>0</v>
      </c>
      <c r="J892" s="48">
        <v>45491</v>
      </c>
      <c r="K892" s="49">
        <v>45580</v>
      </c>
      <c r="L892" s="130" t="s">
        <v>1193</v>
      </c>
      <c r="M892" s="51"/>
      <c r="N892" s="52"/>
      <c r="O892" s="52"/>
      <c r="S892" s="53"/>
    </row>
    <row r="893" spans="1:19" s="2" customFormat="1" ht="16.5" customHeight="1" x14ac:dyDescent="0.35">
      <c r="A893" s="85" t="s">
        <v>29</v>
      </c>
      <c r="B893" s="115" t="s">
        <v>1194</v>
      </c>
      <c r="C893" s="87"/>
      <c r="D893" s="88" t="s">
        <v>1192</v>
      </c>
      <c r="E893" s="43">
        <v>9760000</v>
      </c>
      <c r="F893" s="44">
        <f t="shared" si="46"/>
        <v>780800</v>
      </c>
      <c r="G893" s="45">
        <f t="shared" si="47"/>
        <v>10540800</v>
      </c>
      <c r="H893" s="46">
        <v>10540800</v>
      </c>
      <c r="I893" s="47">
        <f t="shared" si="45"/>
        <v>0</v>
      </c>
      <c r="J893" s="48">
        <v>45491</v>
      </c>
      <c r="K893" s="49">
        <v>45580</v>
      </c>
      <c r="L893" s="79" t="s">
        <v>1195</v>
      </c>
      <c r="M893" s="51"/>
      <c r="N893" s="52"/>
      <c r="O893" s="52"/>
      <c r="S893" s="53"/>
    </row>
    <row r="894" spans="1:19" s="2" customFormat="1" ht="16.5" customHeight="1" x14ac:dyDescent="0.35">
      <c r="A894" s="85" t="s">
        <v>66</v>
      </c>
      <c r="B894" s="115" t="s">
        <v>1196</v>
      </c>
      <c r="C894" s="87"/>
      <c r="D894" s="88" t="s">
        <v>1197</v>
      </c>
      <c r="E894" s="43">
        <v>4160000</v>
      </c>
      <c r="F894" s="44">
        <f t="shared" si="46"/>
        <v>332800</v>
      </c>
      <c r="G894" s="45">
        <f t="shared" si="47"/>
        <v>4492800</v>
      </c>
      <c r="H894" s="46">
        <v>4492800</v>
      </c>
      <c r="I894" s="47">
        <f t="shared" si="45"/>
        <v>0</v>
      </c>
      <c r="J894" s="48">
        <v>45518</v>
      </c>
      <c r="K894" s="49">
        <v>45590</v>
      </c>
      <c r="L894" s="124" t="s">
        <v>1198</v>
      </c>
      <c r="M894" s="51"/>
      <c r="N894" s="52"/>
      <c r="O894" s="52"/>
      <c r="S894" s="53"/>
    </row>
    <row r="895" spans="1:19" ht="15" customHeight="1" x14ac:dyDescent="0.35">
      <c r="A895" s="85" t="s">
        <v>29</v>
      </c>
      <c r="B895" s="115" t="s">
        <v>1199</v>
      </c>
      <c r="C895" s="87"/>
      <c r="D895" s="88" t="s">
        <v>1197</v>
      </c>
      <c r="E895" s="43">
        <v>15840000</v>
      </c>
      <c r="F895" s="44">
        <f t="shared" si="46"/>
        <v>1267200</v>
      </c>
      <c r="G895" s="45">
        <f t="shared" si="47"/>
        <v>17107200</v>
      </c>
      <c r="H895" s="46">
        <v>17107200</v>
      </c>
      <c r="I895" s="47">
        <f t="shared" si="45"/>
        <v>0</v>
      </c>
      <c r="J895" s="48">
        <v>45518</v>
      </c>
      <c r="K895" s="49">
        <v>45590</v>
      </c>
      <c r="L895" s="124" t="s">
        <v>1200</v>
      </c>
    </row>
    <row r="896" spans="1:19" ht="14.25" customHeight="1" x14ac:dyDescent="0.35">
      <c r="A896" s="85" t="s">
        <v>37</v>
      </c>
      <c r="B896" s="115" t="s">
        <v>1201</v>
      </c>
      <c r="C896" s="87"/>
      <c r="D896" s="88" t="s">
        <v>1197</v>
      </c>
      <c r="E896" s="43">
        <v>21920000</v>
      </c>
      <c r="F896" s="44">
        <f t="shared" si="46"/>
        <v>1753600</v>
      </c>
      <c r="G896" s="45">
        <f t="shared" si="47"/>
        <v>23673600</v>
      </c>
      <c r="H896" s="46">
        <v>23673600</v>
      </c>
      <c r="I896" s="47">
        <f t="shared" si="45"/>
        <v>0</v>
      </c>
      <c r="J896" s="48">
        <v>45518</v>
      </c>
      <c r="K896" s="49">
        <v>45590</v>
      </c>
      <c r="L896" s="79" t="s">
        <v>1202</v>
      </c>
    </row>
    <row r="897" spans="1:13" ht="14.25" customHeight="1" x14ac:dyDescent="0.35">
      <c r="A897" s="85" t="s">
        <v>37</v>
      </c>
      <c r="B897" s="86" t="s">
        <v>193</v>
      </c>
      <c r="C897" s="87"/>
      <c r="D897" s="88" t="s">
        <v>1197</v>
      </c>
      <c r="E897" s="43">
        <v>2080000</v>
      </c>
      <c r="F897" s="44"/>
      <c r="G897" s="45"/>
      <c r="H897" s="46"/>
      <c r="I897" s="47">
        <f t="shared" si="45"/>
        <v>0</v>
      </c>
      <c r="J897" s="48" t="s">
        <v>65</v>
      </c>
      <c r="K897" s="49"/>
      <c r="L897" s="50" t="s">
        <v>1203</v>
      </c>
      <c r="M897" s="3" t="s">
        <v>36</v>
      </c>
    </row>
    <row r="898" spans="1:13" ht="14.25" customHeight="1" x14ac:dyDescent="0.35">
      <c r="A898" s="85" t="s">
        <v>33</v>
      </c>
      <c r="B898" s="115" t="s">
        <v>1204</v>
      </c>
      <c r="C898" s="87"/>
      <c r="D898" s="88" t="s">
        <v>1197</v>
      </c>
      <c r="E898" s="43">
        <v>19200000</v>
      </c>
      <c r="F898" s="44">
        <f t="shared" si="46"/>
        <v>1536000</v>
      </c>
      <c r="G898" s="45">
        <f t="shared" si="47"/>
        <v>20736000</v>
      </c>
      <c r="H898" s="46">
        <v>20736000</v>
      </c>
      <c r="I898" s="47">
        <f t="shared" si="45"/>
        <v>0</v>
      </c>
      <c r="J898" s="48">
        <v>45518</v>
      </c>
      <c r="K898" s="49">
        <v>45590</v>
      </c>
      <c r="L898" s="65" t="s">
        <v>1205</v>
      </c>
    </row>
    <row r="899" spans="1:13" ht="15" customHeight="1" x14ac:dyDescent="0.35">
      <c r="A899" s="85" t="s">
        <v>37</v>
      </c>
      <c r="B899" s="115" t="s">
        <v>1206</v>
      </c>
      <c r="C899" s="87"/>
      <c r="D899" s="88" t="s">
        <v>1207</v>
      </c>
      <c r="E899" s="43">
        <v>18845000</v>
      </c>
      <c r="F899" s="44">
        <f t="shared" si="46"/>
        <v>1507600</v>
      </c>
      <c r="G899" s="45">
        <f t="shared" si="47"/>
        <v>20352600</v>
      </c>
      <c r="H899" s="46">
        <v>20352600</v>
      </c>
      <c r="I899" s="47">
        <f t="shared" si="45"/>
        <v>0</v>
      </c>
      <c r="J899" s="48">
        <v>45518</v>
      </c>
      <c r="K899" s="49">
        <v>45590</v>
      </c>
      <c r="L899" s="65" t="s">
        <v>1208</v>
      </c>
    </row>
    <row r="900" spans="1:13" ht="15" customHeight="1" x14ac:dyDescent="0.35">
      <c r="A900" s="85" t="s">
        <v>56</v>
      </c>
      <c r="B900" s="115" t="s">
        <v>1209</v>
      </c>
      <c r="C900" s="87"/>
      <c r="D900" s="88" t="s">
        <v>1207</v>
      </c>
      <c r="E900" s="43">
        <v>3120000</v>
      </c>
      <c r="F900" s="44">
        <f t="shared" si="46"/>
        <v>249600</v>
      </c>
      <c r="G900" s="45">
        <f t="shared" si="47"/>
        <v>3369600</v>
      </c>
      <c r="H900" s="46">
        <v>3369600</v>
      </c>
      <c r="I900" s="47">
        <f t="shared" si="45"/>
        <v>0</v>
      </c>
      <c r="J900" s="48">
        <v>45518</v>
      </c>
      <c r="K900" s="49">
        <v>45590</v>
      </c>
      <c r="L900" s="65" t="s">
        <v>1210</v>
      </c>
    </row>
    <row r="901" spans="1:13" ht="15" customHeight="1" x14ac:dyDescent="0.35">
      <c r="A901" s="85" t="s">
        <v>29</v>
      </c>
      <c r="B901" s="115" t="s">
        <v>1211</v>
      </c>
      <c r="C901" s="87">
        <v>3016</v>
      </c>
      <c r="D901" s="88">
        <v>45518</v>
      </c>
      <c r="E901" s="43">
        <v>36403000</v>
      </c>
      <c r="F901" s="44">
        <f t="shared" si="46"/>
        <v>2912240</v>
      </c>
      <c r="G901" s="45">
        <f t="shared" si="47"/>
        <v>39315240</v>
      </c>
      <c r="H901" s="46">
        <v>39315240</v>
      </c>
      <c r="I901" s="47">
        <f t="shared" si="45"/>
        <v>0</v>
      </c>
      <c r="J901" s="48">
        <v>45518</v>
      </c>
      <c r="K901" s="49">
        <v>45611</v>
      </c>
      <c r="L901" s="65" t="s">
        <v>1212</v>
      </c>
    </row>
    <row r="902" spans="1:13" ht="15" customHeight="1" x14ac:dyDescent="0.35">
      <c r="A902" s="85" t="s">
        <v>29</v>
      </c>
      <c r="B902" s="115" t="s">
        <v>1213</v>
      </c>
      <c r="C902" s="87">
        <v>3017</v>
      </c>
      <c r="D902" s="88">
        <v>45518</v>
      </c>
      <c r="E902" s="43">
        <v>8988000</v>
      </c>
      <c r="F902" s="44">
        <f t="shared" si="46"/>
        <v>719040</v>
      </c>
      <c r="G902" s="45">
        <f t="shared" si="47"/>
        <v>9707040</v>
      </c>
      <c r="H902" s="46">
        <v>9707040</v>
      </c>
      <c r="I902" s="47">
        <f t="shared" si="45"/>
        <v>0</v>
      </c>
      <c r="J902" s="48">
        <v>45518</v>
      </c>
      <c r="K902" s="49">
        <v>45611</v>
      </c>
      <c r="L902" s="65" t="s">
        <v>1214</v>
      </c>
    </row>
    <row r="903" spans="1:13" ht="15" customHeight="1" x14ac:dyDescent="0.35">
      <c r="A903" s="85" t="s">
        <v>56</v>
      </c>
      <c r="B903" s="115" t="s">
        <v>1215</v>
      </c>
      <c r="C903" s="87"/>
      <c r="D903" s="88" t="s">
        <v>1216</v>
      </c>
      <c r="E903" s="43">
        <v>1920000</v>
      </c>
      <c r="F903" s="44">
        <f t="shared" si="46"/>
        <v>153600</v>
      </c>
      <c r="G903" s="45">
        <f t="shared" si="47"/>
        <v>2073600</v>
      </c>
      <c r="H903" s="46">
        <v>2073600</v>
      </c>
      <c r="I903" s="47">
        <f t="shared" si="45"/>
        <v>0</v>
      </c>
      <c r="J903" s="48">
        <v>45518</v>
      </c>
      <c r="K903" s="49">
        <v>45590</v>
      </c>
      <c r="L903" s="65" t="s">
        <v>1217</v>
      </c>
    </row>
    <row r="904" spans="1:13" ht="15" customHeight="1" x14ac:dyDescent="0.35">
      <c r="A904" s="85" t="s">
        <v>37</v>
      </c>
      <c r="B904" s="115" t="s">
        <v>1218</v>
      </c>
      <c r="C904" s="87"/>
      <c r="D904" s="88" t="s">
        <v>1219</v>
      </c>
      <c r="E904" s="43">
        <v>15920000</v>
      </c>
      <c r="F904" s="44">
        <f t="shared" si="46"/>
        <v>1273600</v>
      </c>
      <c r="G904" s="45">
        <f t="shared" si="47"/>
        <v>17193600</v>
      </c>
      <c r="H904" s="46">
        <v>17193600</v>
      </c>
      <c r="I904" s="47">
        <f t="shared" si="45"/>
        <v>0</v>
      </c>
      <c r="J904" s="48">
        <v>45518</v>
      </c>
      <c r="K904" s="49">
        <v>45590</v>
      </c>
      <c r="L904" s="65" t="s">
        <v>1220</v>
      </c>
    </row>
    <row r="905" spans="1:13" ht="15" customHeight="1" x14ac:dyDescent="0.35">
      <c r="A905" s="85" t="s">
        <v>185</v>
      </c>
      <c r="B905" s="115" t="s">
        <v>1221</v>
      </c>
      <c r="C905" s="87"/>
      <c r="D905" s="88" t="s">
        <v>1222</v>
      </c>
      <c r="E905" s="43">
        <v>19760000</v>
      </c>
      <c r="F905" s="44">
        <f t="shared" si="46"/>
        <v>1580800</v>
      </c>
      <c r="G905" s="45">
        <f t="shared" si="47"/>
        <v>21340800</v>
      </c>
      <c r="H905" s="46">
        <v>21340800</v>
      </c>
      <c r="I905" s="47">
        <f t="shared" si="45"/>
        <v>0</v>
      </c>
      <c r="J905" s="48">
        <v>45518</v>
      </c>
      <c r="K905" s="49">
        <v>45590</v>
      </c>
      <c r="L905" s="65" t="s">
        <v>1223</v>
      </c>
    </row>
    <row r="906" spans="1:13" ht="15" customHeight="1" x14ac:dyDescent="0.35">
      <c r="A906" s="85" t="s">
        <v>66</v>
      </c>
      <c r="B906" s="115" t="s">
        <v>1224</v>
      </c>
      <c r="C906" s="87"/>
      <c r="D906" s="88" t="s">
        <v>1222</v>
      </c>
      <c r="E906" s="43">
        <v>2080000</v>
      </c>
      <c r="F906" s="44">
        <f t="shared" si="46"/>
        <v>166400</v>
      </c>
      <c r="G906" s="45">
        <f t="shared" si="47"/>
        <v>2246400</v>
      </c>
      <c r="H906" s="46">
        <v>2246400</v>
      </c>
      <c r="I906" s="47">
        <f t="shared" si="45"/>
        <v>0</v>
      </c>
      <c r="J906" s="48">
        <v>45554</v>
      </c>
      <c r="K906" s="49">
        <v>45641</v>
      </c>
      <c r="L906" s="65" t="s">
        <v>1225</v>
      </c>
    </row>
    <row r="907" spans="1:13" ht="15" customHeight="1" x14ac:dyDescent="0.35">
      <c r="A907" s="85" t="s">
        <v>29</v>
      </c>
      <c r="B907" s="115" t="s">
        <v>1226</v>
      </c>
      <c r="C907" s="87">
        <v>3479</v>
      </c>
      <c r="D907" s="88">
        <v>45554</v>
      </c>
      <c r="E907" s="43">
        <v>12379500</v>
      </c>
      <c r="F907" s="44">
        <f t="shared" si="46"/>
        <v>990360</v>
      </c>
      <c r="G907" s="45">
        <f t="shared" si="47"/>
        <v>13369860</v>
      </c>
      <c r="H907" s="46">
        <v>13369860</v>
      </c>
      <c r="I907" s="47">
        <f t="shared" si="45"/>
        <v>0</v>
      </c>
      <c r="J907" s="48">
        <v>45554</v>
      </c>
      <c r="K907" s="49">
        <v>45641</v>
      </c>
      <c r="L907" s="65" t="s">
        <v>1227</v>
      </c>
    </row>
    <row r="908" spans="1:13" ht="15" customHeight="1" x14ac:dyDescent="0.35">
      <c r="A908" s="85" t="s">
        <v>56</v>
      </c>
      <c r="B908" s="115" t="s">
        <v>1228</v>
      </c>
      <c r="C908" s="87"/>
      <c r="D908" s="88" t="s">
        <v>1229</v>
      </c>
      <c r="E908" s="43">
        <v>640000</v>
      </c>
      <c r="F908" s="44">
        <f t="shared" si="46"/>
        <v>51200</v>
      </c>
      <c r="G908" s="45">
        <f t="shared" si="47"/>
        <v>691200</v>
      </c>
      <c r="H908" s="46">
        <v>691200</v>
      </c>
      <c r="I908" s="47">
        <f t="shared" si="45"/>
        <v>0</v>
      </c>
      <c r="J908" s="48">
        <v>45554</v>
      </c>
      <c r="K908" s="49">
        <v>45641</v>
      </c>
      <c r="L908" s="65" t="s">
        <v>1230</v>
      </c>
    </row>
    <row r="909" spans="1:13" ht="15" customHeight="1" x14ac:dyDescent="0.35">
      <c r="A909" s="85" t="s">
        <v>33</v>
      </c>
      <c r="B909" s="115" t="s">
        <v>1231</v>
      </c>
      <c r="C909" s="87">
        <v>3480</v>
      </c>
      <c r="D909" s="88">
        <v>45554</v>
      </c>
      <c r="E909" s="43">
        <v>15248000</v>
      </c>
      <c r="F909" s="44">
        <f t="shared" si="46"/>
        <v>1219840</v>
      </c>
      <c r="G909" s="45">
        <f t="shared" si="47"/>
        <v>16467840</v>
      </c>
      <c r="H909" s="46">
        <v>16467840</v>
      </c>
      <c r="I909" s="47">
        <f t="shared" si="45"/>
        <v>0</v>
      </c>
      <c r="J909" s="48">
        <v>45554</v>
      </c>
      <c r="K909" s="49">
        <v>45641</v>
      </c>
      <c r="L909" s="65" t="s">
        <v>1232</v>
      </c>
    </row>
    <row r="910" spans="1:13" ht="15" customHeight="1" x14ac:dyDescent="0.35">
      <c r="A910" s="85" t="s">
        <v>66</v>
      </c>
      <c r="B910" s="115" t="s">
        <v>1233</v>
      </c>
      <c r="C910" s="87"/>
      <c r="D910" s="88" t="s">
        <v>1234</v>
      </c>
      <c r="E910" s="43">
        <v>1280000</v>
      </c>
      <c r="F910" s="44">
        <f t="shared" si="46"/>
        <v>102400</v>
      </c>
      <c r="G910" s="45">
        <f t="shared" si="47"/>
        <v>1382400</v>
      </c>
      <c r="H910" s="46">
        <v>1382400</v>
      </c>
      <c r="I910" s="47">
        <f t="shared" si="45"/>
        <v>0</v>
      </c>
      <c r="J910" s="48">
        <v>45554</v>
      </c>
      <c r="K910" s="49">
        <v>45641</v>
      </c>
      <c r="L910" s="65" t="s">
        <v>1235</v>
      </c>
    </row>
    <row r="911" spans="1:13" ht="15" customHeight="1" x14ac:dyDescent="0.35">
      <c r="A911" s="85" t="s">
        <v>29</v>
      </c>
      <c r="B911" s="115" t="s">
        <v>536</v>
      </c>
      <c r="C911" s="87">
        <v>3481</v>
      </c>
      <c r="D911" s="88">
        <v>45554</v>
      </c>
      <c r="E911" s="43">
        <v>14066000</v>
      </c>
      <c r="F911" s="44">
        <f t="shared" si="46"/>
        <v>1125280</v>
      </c>
      <c r="G911" s="45">
        <f t="shared" si="47"/>
        <v>15191280</v>
      </c>
      <c r="H911" s="46">
        <v>15191280</v>
      </c>
      <c r="I911" s="47">
        <f t="shared" si="45"/>
        <v>0</v>
      </c>
      <c r="J911" s="48">
        <v>45554</v>
      </c>
      <c r="K911" s="49">
        <v>45641</v>
      </c>
      <c r="L911" s="65" t="s">
        <v>1236</v>
      </c>
    </row>
    <row r="912" spans="1:13" ht="15" customHeight="1" x14ac:dyDescent="0.35">
      <c r="A912" s="85" t="s">
        <v>37</v>
      </c>
      <c r="B912" s="115" t="s">
        <v>1237</v>
      </c>
      <c r="C912" s="87"/>
      <c r="D912" s="88" t="s">
        <v>1234</v>
      </c>
      <c r="E912" s="43">
        <v>16285000</v>
      </c>
      <c r="F912" s="44">
        <f t="shared" si="46"/>
        <v>1302800</v>
      </c>
      <c r="G912" s="45">
        <f t="shared" si="47"/>
        <v>17587800</v>
      </c>
      <c r="H912" s="46">
        <v>17587800</v>
      </c>
      <c r="I912" s="47">
        <f t="shared" si="45"/>
        <v>0</v>
      </c>
      <c r="J912" s="48">
        <v>45554</v>
      </c>
      <c r="K912" s="49">
        <v>45641</v>
      </c>
      <c r="L912" s="65" t="s">
        <v>1238</v>
      </c>
    </row>
    <row r="913" spans="1:13" ht="15" customHeight="1" x14ac:dyDescent="0.35">
      <c r="A913" s="85" t="s">
        <v>77</v>
      </c>
      <c r="B913" s="115" t="s">
        <v>1239</v>
      </c>
      <c r="C913" s="87">
        <v>3482</v>
      </c>
      <c r="D913" s="88">
        <v>45554</v>
      </c>
      <c r="E913" s="43">
        <v>9114000</v>
      </c>
      <c r="F913" s="44">
        <f t="shared" si="46"/>
        <v>729120</v>
      </c>
      <c r="G913" s="45">
        <f t="shared" si="47"/>
        <v>9843120</v>
      </c>
      <c r="H913" s="46">
        <v>9843120</v>
      </c>
      <c r="I913" s="47">
        <f t="shared" si="45"/>
        <v>0</v>
      </c>
      <c r="J913" s="48">
        <v>45554</v>
      </c>
      <c r="K913" s="49">
        <v>45651</v>
      </c>
      <c r="L913" s="65" t="s">
        <v>1240</v>
      </c>
    </row>
    <row r="914" spans="1:13" ht="15" customHeight="1" x14ac:dyDescent="0.35">
      <c r="A914" s="85" t="s">
        <v>37</v>
      </c>
      <c r="B914" s="86" t="s">
        <v>1241</v>
      </c>
      <c r="C914" s="87"/>
      <c r="D914" s="88" t="s">
        <v>1242</v>
      </c>
      <c r="E914" s="43">
        <v>1040000</v>
      </c>
      <c r="F914" s="44">
        <f t="shared" si="46"/>
        <v>83200</v>
      </c>
      <c r="G914" s="45">
        <f t="shared" si="47"/>
        <v>1123200</v>
      </c>
      <c r="H914" s="46">
        <v>1123200</v>
      </c>
      <c r="I914" s="47">
        <f t="shared" si="45"/>
        <v>0</v>
      </c>
      <c r="J914" s="48">
        <v>45554</v>
      </c>
      <c r="K914" s="49">
        <v>45641</v>
      </c>
      <c r="L914" s="79" t="s">
        <v>1243</v>
      </c>
      <c r="M914" s="132" t="s">
        <v>1244</v>
      </c>
    </row>
    <row r="915" spans="1:13" ht="15" customHeight="1" x14ac:dyDescent="0.35">
      <c r="A915" s="85" t="s">
        <v>29</v>
      </c>
      <c r="B915" s="86" t="s">
        <v>1245</v>
      </c>
      <c r="C915" s="87"/>
      <c r="D915" s="88" t="s">
        <v>1242</v>
      </c>
      <c r="E915" s="43">
        <v>1040000</v>
      </c>
      <c r="F915" s="44"/>
      <c r="G915" s="45"/>
      <c r="H915" s="46"/>
      <c r="I915" s="47">
        <f t="shared" si="45"/>
        <v>0</v>
      </c>
      <c r="J915" s="48" t="s">
        <v>36</v>
      </c>
      <c r="K915" s="49"/>
      <c r="L915" s="50" t="s">
        <v>1246</v>
      </c>
      <c r="M915" s="3" t="s">
        <v>44</v>
      </c>
    </row>
    <row r="916" spans="1:13" ht="15" customHeight="1" x14ac:dyDescent="0.35">
      <c r="A916" s="85" t="s">
        <v>29</v>
      </c>
      <c r="B916" s="115" t="s">
        <v>1247</v>
      </c>
      <c r="C916" s="87">
        <v>3483</v>
      </c>
      <c r="D916" s="88">
        <v>45554</v>
      </c>
      <c r="E916" s="43">
        <v>30613500</v>
      </c>
      <c r="F916" s="44">
        <f t="shared" si="46"/>
        <v>2449080</v>
      </c>
      <c r="G916" s="45">
        <f t="shared" si="47"/>
        <v>33062580</v>
      </c>
      <c r="H916" s="46">
        <v>33062580</v>
      </c>
      <c r="I916" s="47">
        <f t="shared" si="45"/>
        <v>0</v>
      </c>
      <c r="J916" s="48">
        <v>45554</v>
      </c>
      <c r="K916" s="49">
        <v>45651</v>
      </c>
      <c r="L916" s="65" t="s">
        <v>1248</v>
      </c>
    </row>
    <row r="917" spans="1:13" ht="15" customHeight="1" x14ac:dyDescent="0.35">
      <c r="A917" s="85" t="s">
        <v>29</v>
      </c>
      <c r="B917" s="115" t="s">
        <v>1249</v>
      </c>
      <c r="C917" s="87"/>
      <c r="D917" s="88" t="s">
        <v>1242</v>
      </c>
      <c r="E917" s="43">
        <v>4880000</v>
      </c>
      <c r="F917" s="44">
        <f t="shared" si="46"/>
        <v>390400</v>
      </c>
      <c r="G917" s="45">
        <f t="shared" si="47"/>
        <v>5270400</v>
      </c>
      <c r="H917" s="46">
        <v>5270400</v>
      </c>
      <c r="I917" s="47">
        <f t="shared" si="45"/>
        <v>0</v>
      </c>
      <c r="J917" s="48">
        <v>45554</v>
      </c>
      <c r="K917" s="49">
        <v>45641</v>
      </c>
      <c r="L917" s="65" t="s">
        <v>1250</v>
      </c>
    </row>
    <row r="918" spans="1:13" ht="15" customHeight="1" x14ac:dyDescent="0.35">
      <c r="A918" s="85" t="s">
        <v>56</v>
      </c>
      <c r="B918" s="86" t="s">
        <v>1251</v>
      </c>
      <c r="C918" s="87"/>
      <c r="D918" s="88" t="s">
        <v>1242</v>
      </c>
      <c r="E918" s="43">
        <v>960000</v>
      </c>
      <c r="F918" s="44"/>
      <c r="G918" s="45"/>
      <c r="H918" s="46"/>
      <c r="I918" s="47">
        <f t="shared" si="45"/>
        <v>0</v>
      </c>
      <c r="J918" s="48" t="s">
        <v>36</v>
      </c>
      <c r="K918" s="49"/>
      <c r="L918" s="50" t="s">
        <v>1252</v>
      </c>
      <c r="M918" s="3" t="s">
        <v>44</v>
      </c>
    </row>
    <row r="919" spans="1:13" ht="15" customHeight="1" x14ac:dyDescent="0.35">
      <c r="A919" s="85" t="s">
        <v>33</v>
      </c>
      <c r="B919" s="115" t="s">
        <v>1253</v>
      </c>
      <c r="C919" s="87"/>
      <c r="D919" s="88" t="s">
        <v>1242</v>
      </c>
      <c r="E919" s="43">
        <v>4560000</v>
      </c>
      <c r="F919" s="44">
        <f t="shared" si="46"/>
        <v>364800</v>
      </c>
      <c r="G919" s="45">
        <f t="shared" si="47"/>
        <v>4924800</v>
      </c>
      <c r="H919" s="46">
        <v>4924800</v>
      </c>
      <c r="I919" s="47">
        <f t="shared" si="45"/>
        <v>0</v>
      </c>
      <c r="J919" s="48">
        <v>45554</v>
      </c>
      <c r="K919" s="49">
        <v>45641</v>
      </c>
      <c r="L919" s="65" t="s">
        <v>1254</v>
      </c>
    </row>
    <row r="920" spans="1:13" ht="15" customHeight="1" x14ac:dyDescent="0.35">
      <c r="A920" s="85" t="s">
        <v>29</v>
      </c>
      <c r="B920" s="86" t="s">
        <v>1255</v>
      </c>
      <c r="C920" s="87"/>
      <c r="D920" s="88" t="s">
        <v>1256</v>
      </c>
      <c r="E920" s="43">
        <v>1040000</v>
      </c>
      <c r="F920" s="44"/>
      <c r="G920" s="45"/>
      <c r="H920" s="46"/>
      <c r="I920" s="47">
        <f t="shared" si="45"/>
        <v>0</v>
      </c>
      <c r="J920" s="48" t="s">
        <v>36</v>
      </c>
      <c r="K920" s="49"/>
      <c r="L920" s="50" t="s">
        <v>1257</v>
      </c>
      <c r="M920" s="3" t="s">
        <v>44</v>
      </c>
    </row>
    <row r="921" spans="1:13" ht="15" customHeight="1" x14ac:dyDescent="0.35">
      <c r="A921" s="85" t="s">
        <v>37</v>
      </c>
      <c r="B921" s="115" t="s">
        <v>1258</v>
      </c>
      <c r="C921" s="87"/>
      <c r="D921" s="88" t="s">
        <v>1259</v>
      </c>
      <c r="E921" s="43">
        <v>17760000</v>
      </c>
      <c r="F921" s="44">
        <f t="shared" si="46"/>
        <v>1420800</v>
      </c>
      <c r="G921" s="45">
        <f t="shared" si="47"/>
        <v>19180800</v>
      </c>
      <c r="H921" s="46">
        <v>19180800</v>
      </c>
      <c r="I921" s="47">
        <f t="shared" ref="I921:I984" si="48">G921-H921</f>
        <v>0</v>
      </c>
      <c r="J921" s="48">
        <v>45554</v>
      </c>
      <c r="K921" s="49">
        <v>45641</v>
      </c>
      <c r="L921" s="65" t="s">
        <v>1260</v>
      </c>
    </row>
    <row r="922" spans="1:13" ht="15" customHeight="1" x14ac:dyDescent="0.35">
      <c r="A922" s="85" t="s">
        <v>37</v>
      </c>
      <c r="B922" s="115" t="s">
        <v>1261</v>
      </c>
      <c r="C922" s="87"/>
      <c r="D922" s="88" t="s">
        <v>1262</v>
      </c>
      <c r="E922" s="43">
        <v>2010000</v>
      </c>
      <c r="F922" s="44">
        <f t="shared" ref="F922:F985" si="49">+E922*0.08</f>
        <v>160800</v>
      </c>
      <c r="G922" s="45">
        <f t="shared" ref="G922:G985" si="50">E922+F922</f>
        <v>2170800</v>
      </c>
      <c r="H922" s="46">
        <v>2170800</v>
      </c>
      <c r="I922" s="47">
        <f t="shared" si="48"/>
        <v>0</v>
      </c>
      <c r="J922" s="48">
        <v>45554</v>
      </c>
      <c r="K922" s="49">
        <v>45641</v>
      </c>
      <c r="L922" s="65" t="s">
        <v>1263</v>
      </c>
    </row>
    <row r="923" spans="1:13" ht="15" customHeight="1" x14ac:dyDescent="0.35">
      <c r="A923" s="85" t="s">
        <v>66</v>
      </c>
      <c r="B923" s="86" t="s">
        <v>1264</v>
      </c>
      <c r="C923" s="87"/>
      <c r="D923" s="88" t="s">
        <v>1265</v>
      </c>
      <c r="E923" s="43">
        <v>2880000</v>
      </c>
      <c r="F923" s="44">
        <f t="shared" si="49"/>
        <v>230400</v>
      </c>
      <c r="G923" s="45">
        <f t="shared" si="50"/>
        <v>3110400</v>
      </c>
      <c r="H923" s="46">
        <v>3110400</v>
      </c>
      <c r="I923" s="47">
        <f t="shared" si="48"/>
        <v>0</v>
      </c>
      <c r="J923" s="48">
        <v>45554</v>
      </c>
      <c r="K923" s="49">
        <v>45641</v>
      </c>
      <c r="L923" s="124" t="s">
        <v>1266</v>
      </c>
    </row>
    <row r="924" spans="1:13" ht="15" customHeight="1" x14ac:dyDescent="0.35">
      <c r="A924" s="85" t="s">
        <v>29</v>
      </c>
      <c r="B924" s="115" t="s">
        <v>1267</v>
      </c>
      <c r="C924" s="87">
        <v>3484</v>
      </c>
      <c r="D924" s="88">
        <v>45554</v>
      </c>
      <c r="E924" s="43">
        <v>34202000</v>
      </c>
      <c r="F924" s="44">
        <f t="shared" si="49"/>
        <v>2736160</v>
      </c>
      <c r="G924" s="45">
        <f t="shared" si="50"/>
        <v>36938160</v>
      </c>
      <c r="H924" s="46">
        <v>36938160</v>
      </c>
      <c r="I924" s="47">
        <f t="shared" si="48"/>
        <v>0</v>
      </c>
      <c r="J924" s="48">
        <v>45554</v>
      </c>
      <c r="K924" s="49">
        <v>45651</v>
      </c>
      <c r="L924" s="65" t="s">
        <v>1268</v>
      </c>
    </row>
    <row r="925" spans="1:13" ht="15" customHeight="1" x14ac:dyDescent="0.35">
      <c r="A925" s="85" t="s">
        <v>56</v>
      </c>
      <c r="B925" s="115" t="s">
        <v>1269</v>
      </c>
      <c r="C925" s="87"/>
      <c r="D925" s="88" t="s">
        <v>1265</v>
      </c>
      <c r="E925" s="43">
        <v>3760000</v>
      </c>
      <c r="F925" s="44">
        <f t="shared" si="49"/>
        <v>300800</v>
      </c>
      <c r="G925" s="45">
        <f t="shared" si="50"/>
        <v>4060800</v>
      </c>
      <c r="H925" s="46">
        <v>4060800</v>
      </c>
      <c r="I925" s="47">
        <f t="shared" si="48"/>
        <v>0</v>
      </c>
      <c r="J925" s="48">
        <v>45554</v>
      </c>
      <c r="K925" s="49">
        <v>45641</v>
      </c>
      <c r="L925" s="65" t="s">
        <v>1270</v>
      </c>
    </row>
    <row r="926" spans="1:13" ht="15" customHeight="1" x14ac:dyDescent="0.35">
      <c r="A926" s="85" t="s">
        <v>33</v>
      </c>
      <c r="B926" s="115" t="s">
        <v>1271</v>
      </c>
      <c r="C926" s="87">
        <v>3485</v>
      </c>
      <c r="D926" s="88">
        <v>45554</v>
      </c>
      <c r="E926" s="43">
        <v>45184000</v>
      </c>
      <c r="F926" s="44">
        <f t="shared" si="49"/>
        <v>3614720</v>
      </c>
      <c r="G926" s="45">
        <f t="shared" si="50"/>
        <v>48798720</v>
      </c>
      <c r="H926" s="46">
        <v>48798720</v>
      </c>
      <c r="I926" s="47">
        <f t="shared" si="48"/>
        <v>0</v>
      </c>
      <c r="J926" s="48">
        <v>45554</v>
      </c>
      <c r="K926" s="49">
        <v>45651</v>
      </c>
      <c r="L926" s="65" t="s">
        <v>1272</v>
      </c>
    </row>
    <row r="927" spans="1:13" ht="15" customHeight="1" x14ac:dyDescent="0.35">
      <c r="A927" s="85" t="s">
        <v>29</v>
      </c>
      <c r="B927" s="115" t="s">
        <v>1273</v>
      </c>
      <c r="C927" s="87">
        <v>3486</v>
      </c>
      <c r="D927" s="88">
        <v>45554</v>
      </c>
      <c r="E927" s="43">
        <v>1876000</v>
      </c>
      <c r="F927" s="44">
        <f t="shared" si="49"/>
        <v>150080</v>
      </c>
      <c r="G927" s="45">
        <f t="shared" si="50"/>
        <v>2026080</v>
      </c>
      <c r="H927" s="46">
        <v>2026080</v>
      </c>
      <c r="I927" s="47">
        <f t="shared" si="48"/>
        <v>0</v>
      </c>
      <c r="J927" s="48">
        <v>45554</v>
      </c>
      <c r="K927" s="49">
        <v>45651</v>
      </c>
      <c r="L927" s="65" t="s">
        <v>1274</v>
      </c>
    </row>
    <row r="928" spans="1:13" ht="15" customHeight="1" x14ac:dyDescent="0.35">
      <c r="A928" s="85" t="s">
        <v>37</v>
      </c>
      <c r="B928" s="115" t="s">
        <v>1275</v>
      </c>
      <c r="C928" s="87"/>
      <c r="D928" s="88" t="s">
        <v>1276</v>
      </c>
      <c r="E928" s="43">
        <v>2010000</v>
      </c>
      <c r="F928" s="44">
        <f t="shared" si="49"/>
        <v>160800</v>
      </c>
      <c r="G928" s="45">
        <f t="shared" si="50"/>
        <v>2170800</v>
      </c>
      <c r="H928" s="46">
        <v>2170800</v>
      </c>
      <c r="I928" s="47">
        <f t="shared" si="48"/>
        <v>0</v>
      </c>
      <c r="J928" s="48">
        <v>45554</v>
      </c>
      <c r="K928" s="49">
        <v>45641</v>
      </c>
      <c r="L928" s="65" t="s">
        <v>1277</v>
      </c>
    </row>
    <row r="929" spans="1:13" ht="15" customHeight="1" x14ac:dyDescent="0.35">
      <c r="A929" s="85" t="s">
        <v>37</v>
      </c>
      <c r="B929" s="115" t="s">
        <v>1278</v>
      </c>
      <c r="C929" s="87"/>
      <c r="D929" s="88" t="s">
        <v>1276</v>
      </c>
      <c r="E929" s="43">
        <v>33520000</v>
      </c>
      <c r="F929" s="44">
        <f t="shared" si="49"/>
        <v>2681600</v>
      </c>
      <c r="G929" s="45">
        <f t="shared" si="50"/>
        <v>36201600</v>
      </c>
      <c r="H929" s="46">
        <v>36201600</v>
      </c>
      <c r="I929" s="47">
        <f t="shared" si="48"/>
        <v>0</v>
      </c>
      <c r="J929" s="48">
        <v>45554</v>
      </c>
      <c r="K929" s="49">
        <v>45641</v>
      </c>
      <c r="L929" s="65" t="s">
        <v>1279</v>
      </c>
    </row>
    <row r="930" spans="1:13" ht="15" customHeight="1" x14ac:dyDescent="0.35">
      <c r="A930" s="85" t="s">
        <v>37</v>
      </c>
      <c r="B930" s="86" t="s">
        <v>1280</v>
      </c>
      <c r="C930" s="87"/>
      <c r="D930" s="88" t="s">
        <v>1281</v>
      </c>
      <c r="E930" s="43">
        <v>7840000</v>
      </c>
      <c r="F930" s="44">
        <f t="shared" si="49"/>
        <v>627200</v>
      </c>
      <c r="G930" s="45">
        <f t="shared" si="50"/>
        <v>8467200</v>
      </c>
      <c r="H930" s="45">
        <v>8467200</v>
      </c>
      <c r="I930" s="47">
        <f t="shared" si="48"/>
        <v>0</v>
      </c>
      <c r="J930" s="48">
        <v>45554</v>
      </c>
      <c r="K930" s="49">
        <v>45641</v>
      </c>
      <c r="L930" s="124" t="s">
        <v>1282</v>
      </c>
    </row>
    <row r="931" spans="1:13" ht="15" customHeight="1" x14ac:dyDescent="0.35">
      <c r="A931" s="85" t="s">
        <v>29</v>
      </c>
      <c r="B931" s="115" t="s">
        <v>1283</v>
      </c>
      <c r="C931" s="87"/>
      <c r="D931" s="88" t="s">
        <v>1284</v>
      </c>
      <c r="E931" s="43">
        <v>1040000</v>
      </c>
      <c r="F931" s="44">
        <f t="shared" si="49"/>
        <v>83200</v>
      </c>
      <c r="G931" s="45">
        <f t="shared" si="50"/>
        <v>1123200</v>
      </c>
      <c r="H931" s="46">
        <v>1123200</v>
      </c>
      <c r="I931" s="47">
        <f t="shared" si="48"/>
        <v>0</v>
      </c>
      <c r="J931" s="48">
        <v>45554</v>
      </c>
      <c r="K931" s="49">
        <v>45641</v>
      </c>
      <c r="L931" s="65" t="s">
        <v>1285</v>
      </c>
    </row>
    <row r="932" spans="1:13" ht="15" customHeight="1" x14ac:dyDescent="0.35">
      <c r="A932" s="85" t="s">
        <v>33</v>
      </c>
      <c r="B932" s="115" t="s">
        <v>1286</v>
      </c>
      <c r="C932" s="87">
        <v>3487</v>
      </c>
      <c r="D932" s="88">
        <v>45554</v>
      </c>
      <c r="E932" s="43">
        <v>6670000</v>
      </c>
      <c r="F932" s="44">
        <f t="shared" si="49"/>
        <v>533600</v>
      </c>
      <c r="G932" s="45">
        <f t="shared" si="50"/>
        <v>7203600</v>
      </c>
      <c r="H932" s="46">
        <v>7203600</v>
      </c>
      <c r="I932" s="47">
        <f t="shared" si="48"/>
        <v>0</v>
      </c>
      <c r="J932" s="48">
        <v>45554</v>
      </c>
      <c r="K932" s="49">
        <v>45651</v>
      </c>
      <c r="L932" s="124" t="s">
        <v>1287</v>
      </c>
    </row>
    <row r="933" spans="1:13" ht="15" customHeight="1" x14ac:dyDescent="0.35">
      <c r="A933" s="85" t="s">
        <v>29</v>
      </c>
      <c r="B933" s="115" t="s">
        <v>1288</v>
      </c>
      <c r="C933" s="87"/>
      <c r="D933" s="88" t="s">
        <v>1289</v>
      </c>
      <c r="E933" s="43">
        <v>9760000</v>
      </c>
      <c r="F933" s="44">
        <f t="shared" si="49"/>
        <v>780800</v>
      </c>
      <c r="G933" s="45">
        <f t="shared" si="50"/>
        <v>10540800</v>
      </c>
      <c r="H933" s="46">
        <v>10540800</v>
      </c>
      <c r="I933" s="47">
        <f t="shared" si="48"/>
        <v>0</v>
      </c>
      <c r="J933" s="48">
        <v>45554</v>
      </c>
      <c r="K933" s="49">
        <v>45641</v>
      </c>
      <c r="L933" s="124" t="s">
        <v>1290</v>
      </c>
    </row>
    <row r="934" spans="1:13" ht="15" customHeight="1" x14ac:dyDescent="0.35">
      <c r="A934" s="85" t="s">
        <v>33</v>
      </c>
      <c r="B934" s="115" t="s">
        <v>1291</v>
      </c>
      <c r="C934" s="87"/>
      <c r="D934" s="88" t="s">
        <v>1292</v>
      </c>
      <c r="E934" s="43">
        <v>1040000</v>
      </c>
      <c r="F934" s="44">
        <f t="shared" si="49"/>
        <v>83200</v>
      </c>
      <c r="G934" s="45">
        <f t="shared" si="50"/>
        <v>1123200</v>
      </c>
      <c r="H934" s="46">
        <v>1123200</v>
      </c>
      <c r="I934" s="47">
        <f t="shared" si="48"/>
        <v>0</v>
      </c>
      <c r="J934" s="48">
        <v>45580</v>
      </c>
      <c r="K934" s="49">
        <v>45731</v>
      </c>
      <c r="L934" s="65" t="s">
        <v>1293</v>
      </c>
      <c r="M934" s="3" t="s">
        <v>293</v>
      </c>
    </row>
    <row r="935" spans="1:13" ht="15" customHeight="1" x14ac:dyDescent="0.35">
      <c r="A935" s="85" t="s">
        <v>29</v>
      </c>
      <c r="B935" s="115" t="s">
        <v>1294</v>
      </c>
      <c r="C935" s="87"/>
      <c r="D935" s="88" t="s">
        <v>1295</v>
      </c>
      <c r="E935" s="43">
        <v>10170000</v>
      </c>
      <c r="F935" s="44">
        <f t="shared" si="49"/>
        <v>813600</v>
      </c>
      <c r="G935" s="45">
        <f t="shared" si="50"/>
        <v>10983600</v>
      </c>
      <c r="H935" s="46">
        <v>10983600</v>
      </c>
      <c r="I935" s="47">
        <f t="shared" si="48"/>
        <v>0</v>
      </c>
      <c r="J935" s="48">
        <v>45580</v>
      </c>
      <c r="K935" s="49">
        <v>45731</v>
      </c>
      <c r="L935" s="65" t="s">
        <v>1296</v>
      </c>
      <c r="M935" s="3" t="s">
        <v>293</v>
      </c>
    </row>
    <row r="936" spans="1:13" ht="15" customHeight="1" x14ac:dyDescent="0.35">
      <c r="A936" s="85" t="s">
        <v>33</v>
      </c>
      <c r="B936" s="115" t="s">
        <v>1297</v>
      </c>
      <c r="C936" s="87">
        <v>3860</v>
      </c>
      <c r="D936" s="88">
        <v>45580</v>
      </c>
      <c r="E936" s="43">
        <v>50270000</v>
      </c>
      <c r="F936" s="44">
        <f t="shared" si="49"/>
        <v>4021600</v>
      </c>
      <c r="G936" s="45">
        <f t="shared" si="50"/>
        <v>54291600</v>
      </c>
      <c r="H936" s="46">
        <v>54291600</v>
      </c>
      <c r="I936" s="47">
        <f t="shared" si="48"/>
        <v>0</v>
      </c>
      <c r="J936" s="48">
        <v>45580</v>
      </c>
      <c r="K936" s="49">
        <v>45731</v>
      </c>
      <c r="L936" s="65" t="s">
        <v>1298</v>
      </c>
      <c r="M936" s="3" t="s">
        <v>293</v>
      </c>
    </row>
    <row r="937" spans="1:13" ht="15" customHeight="1" x14ac:dyDescent="0.35">
      <c r="A937" s="85" t="s">
        <v>71</v>
      </c>
      <c r="B937" s="115" t="s">
        <v>1299</v>
      </c>
      <c r="C937" s="87">
        <v>3861</v>
      </c>
      <c r="D937" s="88">
        <v>45580</v>
      </c>
      <c r="E937" s="43">
        <v>1920000</v>
      </c>
      <c r="F937" s="44">
        <f t="shared" si="49"/>
        <v>153600</v>
      </c>
      <c r="G937" s="45">
        <f t="shared" si="50"/>
        <v>2073600</v>
      </c>
      <c r="H937" s="46">
        <v>2073600</v>
      </c>
      <c r="I937" s="47">
        <f t="shared" si="48"/>
        <v>0</v>
      </c>
      <c r="J937" s="48">
        <v>45580</v>
      </c>
      <c r="K937" s="49">
        <v>45731</v>
      </c>
      <c r="L937" s="65" t="s">
        <v>1301</v>
      </c>
      <c r="M937" s="3" t="s">
        <v>293</v>
      </c>
    </row>
    <row r="938" spans="1:13" ht="15" customHeight="1" x14ac:dyDescent="0.35">
      <c r="A938" s="85" t="s">
        <v>66</v>
      </c>
      <c r="B938" s="86" t="s">
        <v>1302</v>
      </c>
      <c r="C938" s="87"/>
      <c r="D938" s="88" t="s">
        <v>1300</v>
      </c>
      <c r="E938" s="43">
        <v>2080000</v>
      </c>
      <c r="F938" s="44">
        <f t="shared" si="49"/>
        <v>166400</v>
      </c>
      <c r="G938" s="45">
        <f t="shared" si="50"/>
        <v>2246400</v>
      </c>
      <c r="H938" s="46">
        <v>2246400</v>
      </c>
      <c r="I938" s="47">
        <f t="shared" si="48"/>
        <v>0</v>
      </c>
      <c r="J938" s="48">
        <v>45580</v>
      </c>
      <c r="K938" s="49">
        <v>45731</v>
      </c>
      <c r="L938" s="50" t="s">
        <v>1303</v>
      </c>
      <c r="M938" s="3" t="s">
        <v>293</v>
      </c>
    </row>
    <row r="939" spans="1:13" ht="15" customHeight="1" x14ac:dyDescent="0.35">
      <c r="A939" s="85" t="s">
        <v>71</v>
      </c>
      <c r="B939" s="86" t="s">
        <v>1304</v>
      </c>
      <c r="C939" s="87"/>
      <c r="D939" s="88" t="s">
        <v>1305</v>
      </c>
      <c r="E939" s="43">
        <v>7920000</v>
      </c>
      <c r="F939" s="44">
        <f t="shared" si="49"/>
        <v>633600</v>
      </c>
      <c r="G939" s="45">
        <f t="shared" si="50"/>
        <v>8553600</v>
      </c>
      <c r="H939" s="46">
        <v>8553600</v>
      </c>
      <c r="I939" s="47">
        <f t="shared" si="48"/>
        <v>0</v>
      </c>
      <c r="J939" s="48">
        <v>45580</v>
      </c>
      <c r="K939" s="49">
        <v>45731</v>
      </c>
      <c r="L939" s="50" t="s">
        <v>1306</v>
      </c>
      <c r="M939" s="3" t="s">
        <v>293</v>
      </c>
    </row>
    <row r="940" spans="1:13" ht="15" customHeight="1" x14ac:dyDescent="0.35">
      <c r="A940" s="85" t="s">
        <v>56</v>
      </c>
      <c r="B940" s="86" t="s">
        <v>1307</v>
      </c>
      <c r="C940" s="87"/>
      <c r="D940" s="88" t="s">
        <v>1308</v>
      </c>
      <c r="E940" s="43">
        <v>2880000</v>
      </c>
      <c r="F940" s="44"/>
      <c r="G940" s="45"/>
      <c r="H940" s="46"/>
      <c r="I940" s="47">
        <f t="shared" si="48"/>
        <v>0</v>
      </c>
      <c r="J940" s="48" t="s">
        <v>2427</v>
      </c>
      <c r="K940" s="49"/>
      <c r="L940" s="50" t="s">
        <v>1309</v>
      </c>
    </row>
    <row r="941" spans="1:13" ht="15" customHeight="1" x14ac:dyDescent="0.35">
      <c r="A941" s="85" t="s">
        <v>29</v>
      </c>
      <c r="B941" s="86" t="s">
        <v>1310</v>
      </c>
      <c r="C941" s="87">
        <v>4603</v>
      </c>
      <c r="D941" s="88">
        <v>45618</v>
      </c>
      <c r="E941" s="43">
        <v>37078000</v>
      </c>
      <c r="F941" s="44">
        <f t="shared" si="49"/>
        <v>2966240</v>
      </c>
      <c r="G941" s="45">
        <f t="shared" si="50"/>
        <v>40044240</v>
      </c>
      <c r="H941" s="46">
        <v>40044240</v>
      </c>
      <c r="I941" s="47">
        <f t="shared" si="48"/>
        <v>0</v>
      </c>
      <c r="J941" s="48">
        <v>45580</v>
      </c>
      <c r="K941" s="49">
        <v>45792</v>
      </c>
      <c r="L941" s="50" t="s">
        <v>1311</v>
      </c>
      <c r="M941" s="3" t="s">
        <v>293</v>
      </c>
    </row>
    <row r="942" spans="1:13" ht="15" customHeight="1" x14ac:dyDescent="0.35">
      <c r="A942" s="85" t="s">
        <v>56</v>
      </c>
      <c r="B942" s="86" t="s">
        <v>1312</v>
      </c>
      <c r="C942" s="87"/>
      <c r="D942" s="88" t="s">
        <v>1308</v>
      </c>
      <c r="E942" s="43">
        <v>1040000</v>
      </c>
      <c r="F942" s="44"/>
      <c r="G942" s="45"/>
      <c r="H942" s="46"/>
      <c r="I942" s="47">
        <f t="shared" si="48"/>
        <v>0</v>
      </c>
      <c r="J942" s="48" t="s">
        <v>2427</v>
      </c>
      <c r="K942" s="49"/>
      <c r="L942" s="50" t="s">
        <v>1313</v>
      </c>
    </row>
    <row r="943" spans="1:13" ht="15" customHeight="1" x14ac:dyDescent="0.35">
      <c r="A943" s="85" t="s">
        <v>71</v>
      </c>
      <c r="B943" s="86" t="s">
        <v>1314</v>
      </c>
      <c r="C943" s="87"/>
      <c r="D943" s="88" t="s">
        <v>1315</v>
      </c>
      <c r="E943" s="43">
        <v>2960000</v>
      </c>
      <c r="F943" s="44">
        <f t="shared" si="49"/>
        <v>236800</v>
      </c>
      <c r="G943" s="45">
        <f t="shared" si="50"/>
        <v>3196800</v>
      </c>
      <c r="H943" s="46">
        <v>3196800</v>
      </c>
      <c r="I943" s="47">
        <f t="shared" si="48"/>
        <v>0</v>
      </c>
      <c r="J943" s="48">
        <v>45580</v>
      </c>
      <c r="K943" s="49">
        <v>45731</v>
      </c>
      <c r="L943" s="50" t="s">
        <v>1316</v>
      </c>
      <c r="M943" s="3" t="s">
        <v>293</v>
      </c>
    </row>
    <row r="944" spans="1:13" ht="15" customHeight="1" x14ac:dyDescent="0.35">
      <c r="A944" s="85" t="s">
        <v>171</v>
      </c>
      <c r="B944" s="86" t="s">
        <v>1317</v>
      </c>
      <c r="C944" s="87"/>
      <c r="D944" s="88" t="s">
        <v>1315</v>
      </c>
      <c r="E944" s="43">
        <v>41895000</v>
      </c>
      <c r="F944" s="44">
        <f t="shared" si="49"/>
        <v>3351600</v>
      </c>
      <c r="G944" s="45">
        <f t="shared" si="50"/>
        <v>45246600</v>
      </c>
      <c r="H944" s="46">
        <v>45246600</v>
      </c>
      <c r="I944" s="47">
        <f t="shared" si="48"/>
        <v>0</v>
      </c>
      <c r="J944" s="48">
        <v>45580</v>
      </c>
      <c r="K944" s="49">
        <v>45731</v>
      </c>
      <c r="L944" s="50" t="s">
        <v>1318</v>
      </c>
      <c r="M944" s="3" t="s">
        <v>293</v>
      </c>
    </row>
    <row r="945" spans="1:13" ht="15" customHeight="1" x14ac:dyDescent="0.35">
      <c r="A945" s="85" t="s">
        <v>37</v>
      </c>
      <c r="B945" s="86" t="s">
        <v>1319</v>
      </c>
      <c r="C945" s="87"/>
      <c r="D945" s="88" t="s">
        <v>1320</v>
      </c>
      <c r="E945" s="43">
        <v>23805000</v>
      </c>
      <c r="F945" s="44">
        <f t="shared" si="49"/>
        <v>1904400</v>
      </c>
      <c r="G945" s="45">
        <f t="shared" si="50"/>
        <v>25709400</v>
      </c>
      <c r="H945" s="46">
        <v>25709400</v>
      </c>
      <c r="I945" s="47">
        <f t="shared" si="48"/>
        <v>0</v>
      </c>
      <c r="J945" s="48">
        <v>45580</v>
      </c>
      <c r="K945" s="49">
        <v>45731</v>
      </c>
      <c r="L945" s="50" t="s">
        <v>1321</v>
      </c>
      <c r="M945" s="3" t="s">
        <v>293</v>
      </c>
    </row>
    <row r="946" spans="1:13" ht="15" customHeight="1" x14ac:dyDescent="0.35">
      <c r="A946" s="85" t="s">
        <v>37</v>
      </c>
      <c r="B946" s="86" t="s">
        <v>1322</v>
      </c>
      <c r="C946" s="87"/>
      <c r="D946" s="88" t="s">
        <v>1320</v>
      </c>
      <c r="E946" s="43">
        <v>45600000</v>
      </c>
      <c r="F946" s="44">
        <f t="shared" si="49"/>
        <v>3648000</v>
      </c>
      <c r="G946" s="45">
        <f t="shared" si="50"/>
        <v>49248000</v>
      </c>
      <c r="H946" s="46">
        <v>49248000</v>
      </c>
      <c r="I946" s="47">
        <f t="shared" si="48"/>
        <v>0</v>
      </c>
      <c r="J946" s="48">
        <v>45580</v>
      </c>
      <c r="K946" s="49">
        <v>45731</v>
      </c>
      <c r="L946" s="50" t="s">
        <v>1323</v>
      </c>
      <c r="M946" s="3" t="s">
        <v>293</v>
      </c>
    </row>
    <row r="947" spans="1:13" ht="15" customHeight="1" x14ac:dyDescent="0.35">
      <c r="A947" s="85" t="s">
        <v>29</v>
      </c>
      <c r="B947" s="86" t="s">
        <v>1324</v>
      </c>
      <c r="C947" s="87"/>
      <c r="D947" s="88" t="s">
        <v>1325</v>
      </c>
      <c r="E947" s="43">
        <v>6400000</v>
      </c>
      <c r="F947" s="44">
        <f t="shared" si="49"/>
        <v>512000</v>
      </c>
      <c r="G947" s="45">
        <f t="shared" si="50"/>
        <v>6912000</v>
      </c>
      <c r="H947" s="46">
        <v>6912000</v>
      </c>
      <c r="I947" s="47">
        <f t="shared" si="48"/>
        <v>0</v>
      </c>
      <c r="J947" s="48">
        <v>45580</v>
      </c>
      <c r="K947" s="49">
        <v>45731</v>
      </c>
      <c r="L947" s="50" t="s">
        <v>1326</v>
      </c>
      <c r="M947" s="3" t="s">
        <v>293</v>
      </c>
    </row>
    <row r="948" spans="1:13" ht="15" customHeight="1" x14ac:dyDescent="0.35">
      <c r="A948" s="85" t="s">
        <v>66</v>
      </c>
      <c r="B948" s="86" t="s">
        <v>1327</v>
      </c>
      <c r="C948" s="87"/>
      <c r="D948" s="88" t="s">
        <v>1325</v>
      </c>
      <c r="E948" s="43">
        <v>2240000</v>
      </c>
      <c r="F948" s="44">
        <f t="shared" si="49"/>
        <v>179200</v>
      </c>
      <c r="G948" s="45">
        <f t="shared" si="50"/>
        <v>2419200</v>
      </c>
      <c r="H948" s="46">
        <v>2419200</v>
      </c>
      <c r="I948" s="47">
        <f t="shared" si="48"/>
        <v>0</v>
      </c>
      <c r="J948" s="48">
        <v>45580</v>
      </c>
      <c r="K948" s="49">
        <v>45731</v>
      </c>
      <c r="L948" s="50" t="s">
        <v>1328</v>
      </c>
      <c r="M948" s="3" t="s">
        <v>293</v>
      </c>
    </row>
    <row r="949" spans="1:13" ht="15" customHeight="1" x14ac:dyDescent="0.35">
      <c r="A949" s="85" t="s">
        <v>33</v>
      </c>
      <c r="B949" s="86" t="s">
        <v>1329</v>
      </c>
      <c r="C949" s="87"/>
      <c r="D949" s="88" t="s">
        <v>1325</v>
      </c>
      <c r="E949" s="43">
        <v>2640000</v>
      </c>
      <c r="F949" s="44">
        <f t="shared" si="49"/>
        <v>211200</v>
      </c>
      <c r="G949" s="45">
        <f t="shared" si="50"/>
        <v>2851200</v>
      </c>
      <c r="H949" s="46">
        <v>2851200</v>
      </c>
      <c r="I949" s="47">
        <f t="shared" si="48"/>
        <v>0</v>
      </c>
      <c r="J949" s="48">
        <v>45580</v>
      </c>
      <c r="K949" s="49">
        <v>45651</v>
      </c>
      <c r="L949" s="50" t="s">
        <v>1330</v>
      </c>
    </row>
    <row r="950" spans="1:13" ht="15" customHeight="1" x14ac:dyDescent="0.35">
      <c r="A950" s="85" t="s">
        <v>33</v>
      </c>
      <c r="B950" s="86" t="s">
        <v>2418</v>
      </c>
      <c r="C950" s="87">
        <v>3862</v>
      </c>
      <c r="D950" s="88">
        <v>45580</v>
      </c>
      <c r="E950" s="43">
        <v>17546000</v>
      </c>
      <c r="F950" s="44">
        <f t="shared" si="49"/>
        <v>1403680</v>
      </c>
      <c r="G950" s="45">
        <f t="shared" si="50"/>
        <v>18949680</v>
      </c>
      <c r="H950" s="46">
        <v>18949680</v>
      </c>
      <c r="I950" s="47">
        <f t="shared" si="48"/>
        <v>0</v>
      </c>
      <c r="J950" s="48">
        <v>45580</v>
      </c>
      <c r="K950" s="49">
        <v>45731</v>
      </c>
      <c r="L950" s="50" t="s">
        <v>2423</v>
      </c>
      <c r="M950" s="3" t="s">
        <v>293</v>
      </c>
    </row>
    <row r="951" spans="1:13" ht="15" customHeight="1" x14ac:dyDescent="0.35">
      <c r="A951" s="85" t="s">
        <v>29</v>
      </c>
      <c r="B951" s="86" t="s">
        <v>2419</v>
      </c>
      <c r="C951" s="87">
        <v>3863</v>
      </c>
      <c r="D951" s="88">
        <v>45580</v>
      </c>
      <c r="E951" s="43">
        <v>16102000</v>
      </c>
      <c r="F951" s="44">
        <f t="shared" si="49"/>
        <v>1288160</v>
      </c>
      <c r="G951" s="45">
        <f t="shared" si="50"/>
        <v>17390160</v>
      </c>
      <c r="H951" s="46">
        <v>17390160</v>
      </c>
      <c r="I951" s="47">
        <f t="shared" si="48"/>
        <v>0</v>
      </c>
      <c r="J951" s="48">
        <v>45580</v>
      </c>
      <c r="K951" s="49">
        <v>45731</v>
      </c>
      <c r="L951" s="50" t="s">
        <v>2424</v>
      </c>
      <c r="M951" s="3" t="s">
        <v>293</v>
      </c>
    </row>
    <row r="952" spans="1:13" ht="15" customHeight="1" x14ac:dyDescent="0.35">
      <c r="A952" s="85" t="s">
        <v>29</v>
      </c>
      <c r="B952" s="86" t="s">
        <v>2420</v>
      </c>
      <c r="C952" s="87">
        <v>4054</v>
      </c>
      <c r="D952" s="88">
        <v>45596</v>
      </c>
      <c r="E952" s="43">
        <v>17757000</v>
      </c>
      <c r="F952" s="44">
        <f t="shared" si="49"/>
        <v>1420560</v>
      </c>
      <c r="G952" s="45">
        <f t="shared" si="50"/>
        <v>19177560</v>
      </c>
      <c r="H952" s="46">
        <v>19177560</v>
      </c>
      <c r="I952" s="47">
        <f t="shared" si="48"/>
        <v>0</v>
      </c>
      <c r="J952" s="48">
        <v>45596</v>
      </c>
      <c r="K952" s="49">
        <v>45731</v>
      </c>
      <c r="L952" s="50" t="s">
        <v>2425</v>
      </c>
      <c r="M952" s="3" t="s">
        <v>293</v>
      </c>
    </row>
    <row r="953" spans="1:13" ht="15" customHeight="1" x14ac:dyDescent="0.35">
      <c r="A953" s="85" t="s">
        <v>56</v>
      </c>
      <c r="B953" s="86" t="s">
        <v>2421</v>
      </c>
      <c r="C953" s="87"/>
      <c r="D953" s="88" t="s">
        <v>2422</v>
      </c>
      <c r="E953" s="43">
        <v>6205000</v>
      </c>
      <c r="F953" s="44">
        <f t="shared" si="49"/>
        <v>496400</v>
      </c>
      <c r="G953" s="45">
        <f t="shared" si="50"/>
        <v>6701400</v>
      </c>
      <c r="H953" s="46">
        <v>6701400</v>
      </c>
      <c r="I953" s="47">
        <f t="shared" si="48"/>
        <v>0</v>
      </c>
      <c r="J953" s="48">
        <v>45596</v>
      </c>
      <c r="K953" s="49">
        <v>45731</v>
      </c>
      <c r="L953" s="50" t="s">
        <v>2426</v>
      </c>
      <c r="M953" s="3" t="s">
        <v>293</v>
      </c>
    </row>
    <row r="954" spans="1:13" ht="15" customHeight="1" x14ac:dyDescent="0.35">
      <c r="A954" s="85" t="s">
        <v>37</v>
      </c>
      <c r="B954" s="86" t="s">
        <v>2437</v>
      </c>
      <c r="C954" s="87"/>
      <c r="D954" s="88" t="s">
        <v>2442</v>
      </c>
      <c r="E954" s="43">
        <v>50590000</v>
      </c>
      <c r="F954" s="44">
        <f t="shared" si="49"/>
        <v>4047200</v>
      </c>
      <c r="G954" s="45">
        <f t="shared" si="50"/>
        <v>54637200</v>
      </c>
      <c r="H954" s="46">
        <v>54637200</v>
      </c>
      <c r="I954" s="47">
        <f t="shared" si="48"/>
        <v>0</v>
      </c>
      <c r="J954" s="48">
        <v>45596</v>
      </c>
      <c r="K954" s="49">
        <v>45731</v>
      </c>
      <c r="L954" s="50" t="s">
        <v>2445</v>
      </c>
      <c r="M954" s="3" t="s">
        <v>293</v>
      </c>
    </row>
    <row r="955" spans="1:13" ht="15" customHeight="1" x14ac:dyDescent="0.35">
      <c r="A955" s="85" t="s">
        <v>37</v>
      </c>
      <c r="B955" s="86" t="s">
        <v>2438</v>
      </c>
      <c r="C955" s="87">
        <v>4055</v>
      </c>
      <c r="D955" s="88">
        <v>45596</v>
      </c>
      <c r="E955" s="43">
        <v>9434000</v>
      </c>
      <c r="F955" s="44">
        <f t="shared" si="49"/>
        <v>754720</v>
      </c>
      <c r="G955" s="45">
        <f t="shared" si="50"/>
        <v>10188720</v>
      </c>
      <c r="H955" s="46">
        <v>10188720</v>
      </c>
      <c r="I955" s="47">
        <f t="shared" si="48"/>
        <v>0</v>
      </c>
      <c r="J955" s="48">
        <v>45596</v>
      </c>
      <c r="K955" s="49">
        <v>45731</v>
      </c>
      <c r="L955" s="50" t="s">
        <v>2446</v>
      </c>
      <c r="M955" s="3" t="s">
        <v>293</v>
      </c>
    </row>
    <row r="956" spans="1:13" ht="15" customHeight="1" x14ac:dyDescent="0.35">
      <c r="A956" s="85" t="s">
        <v>56</v>
      </c>
      <c r="B956" s="86" t="s">
        <v>2439</v>
      </c>
      <c r="C956" s="87"/>
      <c r="D956" s="88" t="s">
        <v>2443</v>
      </c>
      <c r="E956" s="43">
        <v>640000</v>
      </c>
      <c r="F956" s="44">
        <f t="shared" si="49"/>
        <v>51200</v>
      </c>
      <c r="G956" s="45">
        <f t="shared" si="50"/>
        <v>691200</v>
      </c>
      <c r="H956" s="46">
        <v>691200</v>
      </c>
      <c r="I956" s="47">
        <f t="shared" si="48"/>
        <v>0</v>
      </c>
      <c r="J956" s="48">
        <v>45596</v>
      </c>
      <c r="K956" s="49">
        <v>45731</v>
      </c>
      <c r="L956" s="50" t="s">
        <v>2447</v>
      </c>
      <c r="M956" s="3" t="s">
        <v>293</v>
      </c>
    </row>
    <row r="957" spans="1:13" ht="15" customHeight="1" x14ac:dyDescent="0.35">
      <c r="A957" s="85" t="s">
        <v>29</v>
      </c>
      <c r="B957" s="86" t="s">
        <v>2440</v>
      </c>
      <c r="C957" s="87">
        <v>4056</v>
      </c>
      <c r="D957" s="88">
        <v>45596</v>
      </c>
      <c r="E957" s="43">
        <v>25384000</v>
      </c>
      <c r="F957" s="44">
        <f t="shared" si="49"/>
        <v>2030720</v>
      </c>
      <c r="G957" s="45">
        <f t="shared" si="50"/>
        <v>27414720</v>
      </c>
      <c r="H957" s="46">
        <v>27414720</v>
      </c>
      <c r="I957" s="47">
        <f t="shared" si="48"/>
        <v>0</v>
      </c>
      <c r="J957" s="48">
        <v>45596</v>
      </c>
      <c r="K957" s="49">
        <v>45731</v>
      </c>
      <c r="L957" s="50" t="s">
        <v>2448</v>
      </c>
      <c r="M957" s="3" t="s">
        <v>293</v>
      </c>
    </row>
    <row r="958" spans="1:13" ht="15" customHeight="1" x14ac:dyDescent="0.35">
      <c r="A958" s="85" t="s">
        <v>37</v>
      </c>
      <c r="B958" s="86" t="s">
        <v>2441</v>
      </c>
      <c r="C958" s="87"/>
      <c r="D958" s="88" t="s">
        <v>2444</v>
      </c>
      <c r="E958" s="43">
        <v>22250000</v>
      </c>
      <c r="F958" s="44">
        <f t="shared" si="49"/>
        <v>1780000</v>
      </c>
      <c r="G958" s="45">
        <f t="shared" si="50"/>
        <v>24030000</v>
      </c>
      <c r="H958" s="46">
        <v>24030000</v>
      </c>
      <c r="I958" s="47">
        <f t="shared" si="48"/>
        <v>0</v>
      </c>
      <c r="J958" s="48">
        <v>45596</v>
      </c>
      <c r="K958" s="49">
        <v>45731</v>
      </c>
      <c r="L958" s="50" t="s">
        <v>2449</v>
      </c>
      <c r="M958" s="3" t="s">
        <v>293</v>
      </c>
    </row>
    <row r="959" spans="1:13" ht="15" customHeight="1" x14ac:dyDescent="0.35">
      <c r="A959" s="85" t="s">
        <v>29</v>
      </c>
      <c r="B959" s="86" t="s">
        <v>2451</v>
      </c>
      <c r="C959" s="87"/>
      <c r="D959" s="88" t="s">
        <v>2457</v>
      </c>
      <c r="E959" s="43">
        <v>1040000</v>
      </c>
      <c r="F959" s="44">
        <f t="shared" si="49"/>
        <v>83200</v>
      </c>
      <c r="G959" s="45">
        <f t="shared" si="50"/>
        <v>1123200</v>
      </c>
      <c r="H959" s="46">
        <v>1123200</v>
      </c>
      <c r="I959" s="47">
        <f t="shared" si="48"/>
        <v>0</v>
      </c>
      <c r="J959" s="48">
        <v>45610</v>
      </c>
      <c r="K959" s="49">
        <v>45792</v>
      </c>
      <c r="L959" s="50" t="s">
        <v>2463</v>
      </c>
      <c r="M959" s="3" t="s">
        <v>293</v>
      </c>
    </row>
    <row r="960" spans="1:13" ht="15" customHeight="1" x14ac:dyDescent="0.35">
      <c r="A960" s="85" t="s">
        <v>66</v>
      </c>
      <c r="B960" s="86" t="s">
        <v>2452</v>
      </c>
      <c r="C960" s="87"/>
      <c r="D960" s="88" t="s">
        <v>2457</v>
      </c>
      <c r="E960" s="43">
        <v>640000</v>
      </c>
      <c r="F960" s="44">
        <f t="shared" si="49"/>
        <v>51200</v>
      </c>
      <c r="G960" s="45">
        <f t="shared" si="50"/>
        <v>691200</v>
      </c>
      <c r="H960" s="46">
        <v>691200</v>
      </c>
      <c r="I960" s="47">
        <f t="shared" si="48"/>
        <v>0</v>
      </c>
      <c r="J960" s="48">
        <v>45610</v>
      </c>
      <c r="K960" s="49">
        <v>45792</v>
      </c>
      <c r="L960" s="50" t="s">
        <v>2458</v>
      </c>
      <c r="M960" s="3" t="s">
        <v>293</v>
      </c>
    </row>
    <row r="961" spans="1:13" ht="15" customHeight="1" x14ac:dyDescent="0.35">
      <c r="A961" s="85" t="s">
        <v>56</v>
      </c>
      <c r="B961" s="86" t="s">
        <v>2453</v>
      </c>
      <c r="C961" s="87"/>
      <c r="D961" s="88" t="s">
        <v>2457</v>
      </c>
      <c r="E961" s="43">
        <v>3520000</v>
      </c>
      <c r="F961" s="44">
        <f t="shared" si="49"/>
        <v>281600</v>
      </c>
      <c r="G961" s="45">
        <f t="shared" si="50"/>
        <v>3801600</v>
      </c>
      <c r="H961" s="46">
        <v>3801600</v>
      </c>
      <c r="I961" s="47">
        <f t="shared" si="48"/>
        <v>0</v>
      </c>
      <c r="J961" s="48">
        <v>45596</v>
      </c>
      <c r="K961" s="49">
        <v>45731</v>
      </c>
      <c r="L961" s="50" t="s">
        <v>2459</v>
      </c>
      <c r="M961" s="3" t="s">
        <v>293</v>
      </c>
    </row>
    <row r="962" spans="1:13" ht="15" customHeight="1" x14ac:dyDescent="0.35">
      <c r="A962" s="85" t="s">
        <v>29</v>
      </c>
      <c r="B962" s="86" t="s">
        <v>2454</v>
      </c>
      <c r="C962" s="87">
        <v>4057</v>
      </c>
      <c r="D962" s="88">
        <v>45596</v>
      </c>
      <c r="E962" s="43">
        <v>20205500</v>
      </c>
      <c r="F962" s="44">
        <f t="shared" si="49"/>
        <v>1616440</v>
      </c>
      <c r="G962" s="45">
        <f t="shared" si="50"/>
        <v>21821940</v>
      </c>
      <c r="H962" s="46">
        <v>21821940</v>
      </c>
      <c r="I962" s="47">
        <f t="shared" si="48"/>
        <v>0</v>
      </c>
      <c r="J962" s="48">
        <v>45596</v>
      </c>
      <c r="K962" s="49">
        <v>45731</v>
      </c>
      <c r="L962" s="50" t="s">
        <v>2460</v>
      </c>
      <c r="M962" s="3" t="s">
        <v>293</v>
      </c>
    </row>
    <row r="963" spans="1:13" ht="15" customHeight="1" x14ac:dyDescent="0.35">
      <c r="A963" s="85" t="s">
        <v>37</v>
      </c>
      <c r="B963" s="86" t="s">
        <v>2455</v>
      </c>
      <c r="C963" s="87"/>
      <c r="D963" s="88" t="s">
        <v>2457</v>
      </c>
      <c r="E963" s="43">
        <v>8560000</v>
      </c>
      <c r="F963" s="44">
        <f t="shared" si="49"/>
        <v>684800</v>
      </c>
      <c r="G963" s="45">
        <f t="shared" si="50"/>
        <v>9244800</v>
      </c>
      <c r="H963" s="46">
        <v>9244800</v>
      </c>
      <c r="I963" s="47">
        <f t="shared" si="48"/>
        <v>0</v>
      </c>
      <c r="J963" s="48">
        <v>45596</v>
      </c>
      <c r="K963" s="49">
        <v>45731</v>
      </c>
      <c r="L963" s="50" t="s">
        <v>2461</v>
      </c>
      <c r="M963" s="3" t="s">
        <v>293</v>
      </c>
    </row>
    <row r="964" spans="1:13" ht="15" customHeight="1" x14ac:dyDescent="0.35">
      <c r="A964" s="85" t="s">
        <v>33</v>
      </c>
      <c r="B964" s="86" t="s">
        <v>2456</v>
      </c>
      <c r="C964" s="87">
        <v>4058</v>
      </c>
      <c r="D964" s="88">
        <v>45596</v>
      </c>
      <c r="E964" s="43">
        <v>15104000</v>
      </c>
      <c r="F964" s="44">
        <f t="shared" si="49"/>
        <v>1208320</v>
      </c>
      <c r="G964" s="45">
        <f t="shared" si="50"/>
        <v>16312320</v>
      </c>
      <c r="H964" s="46">
        <v>16312320</v>
      </c>
      <c r="I964" s="47">
        <f t="shared" si="48"/>
        <v>0</v>
      </c>
      <c r="J964" s="48">
        <v>45596</v>
      </c>
      <c r="K964" s="49">
        <v>45731</v>
      </c>
      <c r="L964" s="50" t="s">
        <v>2462</v>
      </c>
      <c r="M964" s="3" t="s">
        <v>293</v>
      </c>
    </row>
    <row r="965" spans="1:13" ht="15" customHeight="1" x14ac:dyDescent="0.35">
      <c r="A965" s="85" t="s">
        <v>33</v>
      </c>
      <c r="B965" s="86" t="s">
        <v>2464</v>
      </c>
      <c r="C965" s="87"/>
      <c r="D965" s="88" t="s">
        <v>2473</v>
      </c>
      <c r="E965" s="43">
        <v>2080000</v>
      </c>
      <c r="F965" s="44">
        <f t="shared" si="49"/>
        <v>166400</v>
      </c>
      <c r="G965" s="45">
        <f t="shared" si="50"/>
        <v>2246400</v>
      </c>
      <c r="H965" s="46">
        <v>2246400</v>
      </c>
      <c r="I965" s="47">
        <f t="shared" si="48"/>
        <v>0</v>
      </c>
      <c r="J965" s="48">
        <v>45610</v>
      </c>
      <c r="K965" s="49">
        <v>45792</v>
      </c>
      <c r="L965" s="50" t="s">
        <v>2477</v>
      </c>
      <c r="M965" s="3" t="s">
        <v>293</v>
      </c>
    </row>
    <row r="966" spans="1:13" ht="15" customHeight="1" x14ac:dyDescent="0.35">
      <c r="A966" s="85" t="s">
        <v>29</v>
      </c>
      <c r="B966" s="86" t="s">
        <v>2465</v>
      </c>
      <c r="C966" s="87">
        <v>4378</v>
      </c>
      <c r="D966" s="88">
        <v>45610</v>
      </c>
      <c r="E966" s="43">
        <v>6651500</v>
      </c>
      <c r="F966" s="44">
        <f t="shared" si="49"/>
        <v>532120</v>
      </c>
      <c r="G966" s="45">
        <f t="shared" si="50"/>
        <v>7183620</v>
      </c>
      <c r="H966" s="46">
        <v>7183620</v>
      </c>
      <c r="I966" s="47">
        <f t="shared" si="48"/>
        <v>0</v>
      </c>
      <c r="J966" s="48">
        <v>45610</v>
      </c>
      <c r="K966" s="49">
        <v>45792</v>
      </c>
      <c r="L966" s="50" t="s">
        <v>2478</v>
      </c>
      <c r="M966" s="3" t="s">
        <v>293</v>
      </c>
    </row>
    <row r="967" spans="1:13" ht="15" customHeight="1" x14ac:dyDescent="0.35">
      <c r="A967" s="85" t="s">
        <v>56</v>
      </c>
      <c r="B967" s="86" t="s">
        <v>2466</v>
      </c>
      <c r="C967" s="87"/>
      <c r="D967" s="88" t="s">
        <v>2474</v>
      </c>
      <c r="E967" s="43">
        <v>2000000</v>
      </c>
      <c r="F967" s="44">
        <f t="shared" si="49"/>
        <v>160000</v>
      </c>
      <c r="G967" s="45">
        <f t="shared" si="50"/>
        <v>2160000</v>
      </c>
      <c r="H967" s="46">
        <v>2160000</v>
      </c>
      <c r="I967" s="47">
        <f t="shared" si="48"/>
        <v>0</v>
      </c>
      <c r="J967" s="48">
        <v>45610</v>
      </c>
      <c r="K967" s="49">
        <v>45792</v>
      </c>
      <c r="L967" s="50" t="s">
        <v>2479</v>
      </c>
      <c r="M967" s="3" t="s">
        <v>293</v>
      </c>
    </row>
    <row r="968" spans="1:13" ht="15" customHeight="1" x14ac:dyDescent="0.35">
      <c r="A968" s="85" t="s">
        <v>66</v>
      </c>
      <c r="B968" s="86" t="s">
        <v>2467</v>
      </c>
      <c r="C968" s="87"/>
      <c r="D968" s="88" t="s">
        <v>2474</v>
      </c>
      <c r="E968" s="43">
        <v>969000</v>
      </c>
      <c r="F968" s="44">
        <f t="shared" si="49"/>
        <v>77520</v>
      </c>
      <c r="G968" s="45">
        <f t="shared" si="50"/>
        <v>1046520</v>
      </c>
      <c r="H968" s="46">
        <v>1046520</v>
      </c>
      <c r="I968" s="47">
        <f t="shared" si="48"/>
        <v>0</v>
      </c>
      <c r="J968" s="48">
        <v>45610</v>
      </c>
      <c r="K968" s="49">
        <v>45792</v>
      </c>
      <c r="L968" s="50" t="s">
        <v>2480</v>
      </c>
      <c r="M968" s="3" t="s">
        <v>293</v>
      </c>
    </row>
    <row r="969" spans="1:13" ht="15" customHeight="1" x14ac:dyDescent="0.35">
      <c r="A969" s="85" t="s">
        <v>37</v>
      </c>
      <c r="B969" s="86" t="s">
        <v>2468</v>
      </c>
      <c r="C969" s="87"/>
      <c r="D969" s="88" t="s">
        <v>2475</v>
      </c>
      <c r="E969" s="43">
        <v>3015000</v>
      </c>
      <c r="F969" s="44">
        <f t="shared" si="49"/>
        <v>241200</v>
      </c>
      <c r="G969" s="45">
        <f t="shared" si="50"/>
        <v>3256200</v>
      </c>
      <c r="H969" s="46">
        <v>3256200</v>
      </c>
      <c r="I969" s="47">
        <f t="shared" si="48"/>
        <v>0</v>
      </c>
      <c r="J969" s="48">
        <v>45610</v>
      </c>
      <c r="K969" s="49">
        <v>45792</v>
      </c>
      <c r="L969" s="50" t="s">
        <v>2481</v>
      </c>
      <c r="M969" s="3" t="s">
        <v>293</v>
      </c>
    </row>
    <row r="970" spans="1:13" ht="15" customHeight="1" x14ac:dyDescent="0.35">
      <c r="A970" s="85" t="s">
        <v>37</v>
      </c>
      <c r="B970" s="86" t="s">
        <v>2469</v>
      </c>
      <c r="C970" s="87"/>
      <c r="D970" s="88" t="s">
        <v>2475</v>
      </c>
      <c r="E970" s="43">
        <v>15735000</v>
      </c>
      <c r="F970" s="44">
        <f t="shared" si="49"/>
        <v>1258800</v>
      </c>
      <c r="G970" s="45">
        <f t="shared" si="50"/>
        <v>16993800</v>
      </c>
      <c r="H970" s="46">
        <v>16993800</v>
      </c>
      <c r="I970" s="47">
        <f t="shared" si="48"/>
        <v>0</v>
      </c>
      <c r="J970" s="48">
        <v>45610</v>
      </c>
      <c r="K970" s="49">
        <v>45792</v>
      </c>
      <c r="L970" s="50" t="s">
        <v>2482</v>
      </c>
      <c r="M970" s="3" t="s">
        <v>293</v>
      </c>
    </row>
    <row r="971" spans="1:13" ht="15" customHeight="1" x14ac:dyDescent="0.35">
      <c r="A971" s="85" t="s">
        <v>29</v>
      </c>
      <c r="B971" s="86" t="s">
        <v>2470</v>
      </c>
      <c r="C971" s="87">
        <v>4993</v>
      </c>
      <c r="D971" s="88">
        <v>45635</v>
      </c>
      <c r="E971" s="43">
        <v>15550000</v>
      </c>
      <c r="F971" s="44">
        <f t="shared" si="49"/>
        <v>1244000</v>
      </c>
      <c r="G971" s="45">
        <f t="shared" si="50"/>
        <v>16794000</v>
      </c>
      <c r="H971" s="46">
        <v>16794000</v>
      </c>
      <c r="I971" s="47">
        <f t="shared" si="48"/>
        <v>0</v>
      </c>
      <c r="J971" s="48">
        <v>45635</v>
      </c>
      <c r="K971" s="49">
        <v>45731</v>
      </c>
      <c r="L971" s="50" t="s">
        <v>2483</v>
      </c>
    </row>
    <row r="972" spans="1:13" ht="15" customHeight="1" x14ac:dyDescent="0.35">
      <c r="A972" s="85" t="s">
        <v>33</v>
      </c>
      <c r="B972" s="86" t="s">
        <v>2471</v>
      </c>
      <c r="C972" s="87">
        <v>4379</v>
      </c>
      <c r="D972" s="88">
        <v>45610</v>
      </c>
      <c r="E972" s="43">
        <v>46850000</v>
      </c>
      <c r="F972" s="44">
        <f t="shared" si="49"/>
        <v>3748000</v>
      </c>
      <c r="G972" s="45">
        <f t="shared" si="50"/>
        <v>50598000</v>
      </c>
      <c r="H972" s="46">
        <v>50598000</v>
      </c>
      <c r="I972" s="47">
        <f t="shared" si="48"/>
        <v>0</v>
      </c>
      <c r="J972" s="48">
        <v>45610</v>
      </c>
      <c r="K972" s="49">
        <v>45792</v>
      </c>
      <c r="L972" s="50" t="s">
        <v>2484</v>
      </c>
      <c r="M972" s="3" t="s">
        <v>293</v>
      </c>
    </row>
    <row r="973" spans="1:13" ht="15" customHeight="1" x14ac:dyDescent="0.35">
      <c r="A973" s="85" t="s">
        <v>37</v>
      </c>
      <c r="B973" s="86" t="s">
        <v>2472</v>
      </c>
      <c r="C973" s="87"/>
      <c r="D973" s="88" t="s">
        <v>2476</v>
      </c>
      <c r="E973" s="43">
        <v>13520000</v>
      </c>
      <c r="F973" s="44">
        <f t="shared" si="49"/>
        <v>1081600</v>
      </c>
      <c r="G973" s="45">
        <f t="shared" si="50"/>
        <v>14601600</v>
      </c>
      <c r="H973" s="46">
        <v>14601600</v>
      </c>
      <c r="I973" s="47">
        <f t="shared" si="48"/>
        <v>0</v>
      </c>
      <c r="J973" s="48">
        <v>45635</v>
      </c>
      <c r="K973" s="49">
        <v>45731</v>
      </c>
      <c r="L973" s="50" t="s">
        <v>2485</v>
      </c>
      <c r="M973" s="3" t="s">
        <v>293</v>
      </c>
    </row>
    <row r="974" spans="1:13" ht="15" customHeight="1" x14ac:dyDescent="0.35">
      <c r="A974" s="85" t="s">
        <v>171</v>
      </c>
      <c r="B974" s="86">
        <v>4377</v>
      </c>
      <c r="C974" s="87"/>
      <c r="D974" s="88">
        <v>45610</v>
      </c>
      <c r="E974" s="43">
        <v>28090000</v>
      </c>
      <c r="F974" s="44">
        <f t="shared" si="49"/>
        <v>2247200</v>
      </c>
      <c r="G974" s="45">
        <f t="shared" si="50"/>
        <v>30337200</v>
      </c>
      <c r="H974" s="46">
        <v>30337200</v>
      </c>
      <c r="I974" s="47">
        <f t="shared" si="48"/>
        <v>0</v>
      </c>
      <c r="J974" s="48">
        <v>45610</v>
      </c>
      <c r="K974" s="49">
        <v>45792</v>
      </c>
      <c r="L974" s="50" t="s">
        <v>2486</v>
      </c>
      <c r="M974" s="3" t="s">
        <v>293</v>
      </c>
    </row>
    <row r="975" spans="1:13" ht="15" customHeight="1" x14ac:dyDescent="0.35">
      <c r="A975" s="85" t="s">
        <v>56</v>
      </c>
      <c r="B975" s="86" t="s">
        <v>2490</v>
      </c>
      <c r="C975" s="87"/>
      <c r="D975" s="88" t="s">
        <v>2496</v>
      </c>
      <c r="E975" s="43">
        <v>2640000</v>
      </c>
      <c r="F975" s="44">
        <f t="shared" si="49"/>
        <v>211200</v>
      </c>
      <c r="G975" s="45">
        <f t="shared" si="50"/>
        <v>2851200</v>
      </c>
      <c r="H975" s="46">
        <v>2851200</v>
      </c>
      <c r="I975" s="47">
        <f t="shared" si="48"/>
        <v>0</v>
      </c>
      <c r="J975" s="48">
        <v>45635</v>
      </c>
      <c r="K975" s="49">
        <v>45792</v>
      </c>
      <c r="L975" s="50" t="s">
        <v>2498</v>
      </c>
      <c r="M975" s="3" t="s">
        <v>293</v>
      </c>
    </row>
    <row r="976" spans="1:13" ht="15" customHeight="1" x14ac:dyDescent="0.35">
      <c r="A976" s="85" t="s">
        <v>29</v>
      </c>
      <c r="B976" s="86" t="s">
        <v>2491</v>
      </c>
      <c r="C976" s="87">
        <v>4994</v>
      </c>
      <c r="D976" s="88">
        <v>45635</v>
      </c>
      <c r="E976" s="43">
        <v>9560000</v>
      </c>
      <c r="F976" s="44">
        <f t="shared" si="49"/>
        <v>764800</v>
      </c>
      <c r="G976" s="45">
        <f t="shared" si="50"/>
        <v>10324800</v>
      </c>
      <c r="H976" s="46">
        <v>10324800</v>
      </c>
      <c r="I976" s="47">
        <f t="shared" si="48"/>
        <v>0</v>
      </c>
      <c r="J976" s="48">
        <v>45635</v>
      </c>
      <c r="K976" s="49">
        <v>45731</v>
      </c>
      <c r="L976" s="50" t="s">
        <v>2499</v>
      </c>
    </row>
    <row r="977" spans="1:13" ht="15" customHeight="1" x14ac:dyDescent="0.35">
      <c r="A977" s="85" t="s">
        <v>66</v>
      </c>
      <c r="B977" s="86" t="s">
        <v>2492</v>
      </c>
      <c r="C977" s="87"/>
      <c r="D977" s="88" t="s">
        <v>2496</v>
      </c>
      <c r="E977" s="43">
        <v>1680000</v>
      </c>
      <c r="F977" s="44">
        <f t="shared" si="49"/>
        <v>134400</v>
      </c>
      <c r="G977" s="45">
        <f t="shared" si="50"/>
        <v>1814400</v>
      </c>
      <c r="H977" s="46">
        <v>1814400</v>
      </c>
      <c r="I977" s="47">
        <f t="shared" si="48"/>
        <v>0</v>
      </c>
      <c r="J977" s="48">
        <v>45635</v>
      </c>
      <c r="K977" s="49">
        <v>45731</v>
      </c>
      <c r="L977" s="50" t="s">
        <v>2500</v>
      </c>
      <c r="M977" s="3" t="s">
        <v>293</v>
      </c>
    </row>
    <row r="978" spans="1:13" ht="15" customHeight="1" x14ac:dyDescent="0.35">
      <c r="A978" s="85" t="s">
        <v>37</v>
      </c>
      <c r="B978" s="86" t="s">
        <v>2493</v>
      </c>
      <c r="C978" s="87"/>
      <c r="D978" s="88" t="s">
        <v>2497</v>
      </c>
      <c r="E978" s="43">
        <v>960000</v>
      </c>
      <c r="F978" s="44">
        <f t="shared" si="49"/>
        <v>76800</v>
      </c>
      <c r="G978" s="45">
        <f t="shared" si="50"/>
        <v>1036800</v>
      </c>
      <c r="H978" s="46">
        <v>1036800</v>
      </c>
      <c r="I978" s="47">
        <f t="shared" si="48"/>
        <v>0</v>
      </c>
      <c r="J978" s="48">
        <v>45635</v>
      </c>
      <c r="K978" s="49">
        <v>45731</v>
      </c>
      <c r="L978" s="50" t="s">
        <v>2501</v>
      </c>
      <c r="M978" s="3" t="s">
        <v>293</v>
      </c>
    </row>
    <row r="979" spans="1:13" ht="15" customHeight="1" x14ac:dyDescent="0.35">
      <c r="A979" s="85" t="s">
        <v>37</v>
      </c>
      <c r="B979" s="86" t="s">
        <v>2494</v>
      </c>
      <c r="C979" s="87"/>
      <c r="D979" s="88" t="s">
        <v>2497</v>
      </c>
      <c r="E979" s="43">
        <v>20720000</v>
      </c>
      <c r="F979" s="44">
        <f t="shared" si="49"/>
        <v>1657600</v>
      </c>
      <c r="G979" s="45">
        <f t="shared" si="50"/>
        <v>22377600</v>
      </c>
      <c r="H979" s="46">
        <v>22377600</v>
      </c>
      <c r="I979" s="47">
        <f t="shared" si="48"/>
        <v>0</v>
      </c>
      <c r="J979" s="48">
        <v>45635</v>
      </c>
      <c r="K979" s="49">
        <v>45731</v>
      </c>
      <c r="L979" s="50" t="s">
        <v>2502</v>
      </c>
      <c r="M979" s="3" t="s">
        <v>293</v>
      </c>
    </row>
    <row r="980" spans="1:13" ht="15" customHeight="1" x14ac:dyDescent="0.35">
      <c r="A980" s="85" t="s">
        <v>37</v>
      </c>
      <c r="B980" s="86" t="s">
        <v>2495</v>
      </c>
      <c r="C980" s="87"/>
      <c r="D980" s="88" t="s">
        <v>2497</v>
      </c>
      <c r="E980" s="43">
        <v>4020000</v>
      </c>
      <c r="F980" s="44">
        <f t="shared" si="49"/>
        <v>321600</v>
      </c>
      <c r="G980" s="45">
        <f t="shared" si="50"/>
        <v>4341600</v>
      </c>
      <c r="H980" s="46">
        <v>4341600</v>
      </c>
      <c r="I980" s="47">
        <f t="shared" si="48"/>
        <v>0</v>
      </c>
      <c r="J980" s="48">
        <v>45635</v>
      </c>
      <c r="K980" s="49">
        <v>45731</v>
      </c>
      <c r="L980" s="50" t="s">
        <v>2503</v>
      </c>
      <c r="M980" s="3" t="s">
        <v>293</v>
      </c>
    </row>
    <row r="981" spans="1:13" ht="15" customHeight="1" x14ac:dyDescent="0.35">
      <c r="A981" s="85" t="s">
        <v>56</v>
      </c>
      <c r="B981" s="86" t="s">
        <v>2505</v>
      </c>
      <c r="C981" s="87"/>
      <c r="D981" s="88" t="s">
        <v>2513</v>
      </c>
      <c r="E981" s="43">
        <v>5920000</v>
      </c>
      <c r="F981" s="44">
        <f t="shared" si="49"/>
        <v>473600</v>
      </c>
      <c r="G981" s="45">
        <f t="shared" si="50"/>
        <v>6393600</v>
      </c>
      <c r="H981" s="46">
        <v>6393600</v>
      </c>
      <c r="I981" s="47">
        <f t="shared" si="48"/>
        <v>0</v>
      </c>
      <c r="J981" s="48">
        <v>45635</v>
      </c>
      <c r="K981" s="49">
        <v>45731</v>
      </c>
      <c r="L981" s="50" t="s">
        <v>2515</v>
      </c>
    </row>
    <row r="982" spans="1:13" ht="15" customHeight="1" x14ac:dyDescent="0.35">
      <c r="A982" s="85" t="s">
        <v>37</v>
      </c>
      <c r="B982" s="86" t="s">
        <v>2506</v>
      </c>
      <c r="C982" s="87"/>
      <c r="D982" s="88" t="s">
        <v>2513</v>
      </c>
      <c r="E982" s="43">
        <v>15770000</v>
      </c>
      <c r="F982" s="44">
        <f t="shared" si="49"/>
        <v>1261600</v>
      </c>
      <c r="G982" s="45">
        <f t="shared" si="50"/>
        <v>17031600</v>
      </c>
      <c r="H982" s="46">
        <v>17031600</v>
      </c>
      <c r="I982" s="47">
        <f t="shared" si="48"/>
        <v>0</v>
      </c>
      <c r="J982" s="48">
        <v>45635</v>
      </c>
      <c r="K982" s="49">
        <v>45731</v>
      </c>
      <c r="L982" s="50" t="s">
        <v>2516</v>
      </c>
    </row>
    <row r="983" spans="1:13" ht="15" customHeight="1" x14ac:dyDescent="0.35">
      <c r="A983" s="85" t="s">
        <v>33</v>
      </c>
      <c r="B983" s="86" t="s">
        <v>2507</v>
      </c>
      <c r="C983" s="87">
        <v>4995</v>
      </c>
      <c r="D983" s="88">
        <v>45635</v>
      </c>
      <c r="E983" s="43">
        <v>19804000</v>
      </c>
      <c r="F983" s="44">
        <f t="shared" si="49"/>
        <v>1584320</v>
      </c>
      <c r="G983" s="45">
        <f t="shared" si="50"/>
        <v>21388320</v>
      </c>
      <c r="H983" s="46">
        <v>21388320</v>
      </c>
      <c r="I983" s="47">
        <f t="shared" si="48"/>
        <v>0</v>
      </c>
      <c r="J983" s="48">
        <v>45635</v>
      </c>
      <c r="K983" s="49">
        <v>45731</v>
      </c>
      <c r="L983" s="50" t="s">
        <v>2517</v>
      </c>
    </row>
    <row r="984" spans="1:13" ht="15" customHeight="1" x14ac:dyDescent="0.35">
      <c r="A984" s="85" t="s">
        <v>29</v>
      </c>
      <c r="B984" s="86" t="s">
        <v>2508</v>
      </c>
      <c r="C984" s="87">
        <v>4996</v>
      </c>
      <c r="D984" s="88">
        <v>45635</v>
      </c>
      <c r="E984" s="43">
        <v>30934000</v>
      </c>
      <c r="F984" s="44">
        <f t="shared" si="49"/>
        <v>2474720</v>
      </c>
      <c r="G984" s="45">
        <f t="shared" si="50"/>
        <v>33408720</v>
      </c>
      <c r="H984" s="46">
        <v>33408720</v>
      </c>
      <c r="I984" s="47">
        <f t="shared" si="48"/>
        <v>0</v>
      </c>
      <c r="J984" s="48">
        <v>45635</v>
      </c>
      <c r="K984" s="49">
        <v>45731</v>
      </c>
      <c r="L984" s="50" t="s">
        <v>2518</v>
      </c>
    </row>
    <row r="985" spans="1:13" ht="15" customHeight="1" x14ac:dyDescent="0.35">
      <c r="A985" s="85" t="s">
        <v>37</v>
      </c>
      <c r="B985" s="86" t="s">
        <v>2509</v>
      </c>
      <c r="C985" s="87"/>
      <c r="D985" s="88" t="s">
        <v>2514</v>
      </c>
      <c r="E985" s="43">
        <v>1040000</v>
      </c>
      <c r="F985" s="44">
        <f t="shared" si="49"/>
        <v>83200</v>
      </c>
      <c r="G985" s="45">
        <f t="shared" si="50"/>
        <v>1123200</v>
      </c>
      <c r="H985" s="46">
        <v>1123200</v>
      </c>
      <c r="I985" s="47">
        <f t="shared" ref="I985:I1049" si="51">G985-H985</f>
        <v>0</v>
      </c>
      <c r="J985" s="48">
        <v>45635</v>
      </c>
      <c r="K985" s="49">
        <v>45792</v>
      </c>
      <c r="L985" s="50" t="s">
        <v>2519</v>
      </c>
    </row>
    <row r="986" spans="1:13" ht="15" customHeight="1" x14ac:dyDescent="0.35">
      <c r="A986" s="85" t="s">
        <v>37</v>
      </c>
      <c r="B986" s="86" t="s">
        <v>2510</v>
      </c>
      <c r="C986" s="87"/>
      <c r="D986" s="88" t="s">
        <v>2514</v>
      </c>
      <c r="E986" s="43">
        <v>4020000</v>
      </c>
      <c r="F986" s="44">
        <f t="shared" ref="F986:F1050" si="52">+E986*0.08</f>
        <v>321600</v>
      </c>
      <c r="G986" s="45">
        <f t="shared" ref="G986:G1050" si="53">E986+F986</f>
        <v>4341600</v>
      </c>
      <c r="H986" s="46">
        <v>4341600</v>
      </c>
      <c r="I986" s="47">
        <f t="shared" si="51"/>
        <v>0</v>
      </c>
      <c r="J986" s="48">
        <v>45635</v>
      </c>
      <c r="K986" s="49">
        <v>45731</v>
      </c>
      <c r="L986" s="50" t="s">
        <v>2520</v>
      </c>
    </row>
    <row r="987" spans="1:13" ht="15" customHeight="1" x14ac:dyDescent="0.35">
      <c r="A987" s="85" t="s">
        <v>56</v>
      </c>
      <c r="B987" s="86" t="s">
        <v>2511</v>
      </c>
      <c r="C987" s="87"/>
      <c r="D987" s="88" t="s">
        <v>2514</v>
      </c>
      <c r="E987" s="43">
        <v>1680000</v>
      </c>
      <c r="F987" s="44">
        <f t="shared" si="52"/>
        <v>134400</v>
      </c>
      <c r="G987" s="45">
        <f t="shared" si="53"/>
        <v>1814400</v>
      </c>
      <c r="H987" s="46">
        <v>1814400</v>
      </c>
      <c r="I987" s="47">
        <f t="shared" si="51"/>
        <v>0</v>
      </c>
      <c r="J987" s="48">
        <v>45635</v>
      </c>
      <c r="K987" s="49">
        <v>45731</v>
      </c>
      <c r="L987" s="50" t="s">
        <v>2521</v>
      </c>
    </row>
    <row r="988" spans="1:13" ht="15" customHeight="1" x14ac:dyDescent="0.35">
      <c r="A988" s="85" t="s">
        <v>37</v>
      </c>
      <c r="B988" s="86" t="s">
        <v>2512</v>
      </c>
      <c r="C988" s="87"/>
      <c r="D988" s="88" t="s">
        <v>2514</v>
      </c>
      <c r="E988" s="43">
        <v>21085000</v>
      </c>
      <c r="F988" s="44">
        <f t="shared" si="52"/>
        <v>1686800</v>
      </c>
      <c r="G988" s="45">
        <f t="shared" si="53"/>
        <v>22771800</v>
      </c>
      <c r="H988" s="46">
        <v>22771800</v>
      </c>
      <c r="I988" s="47">
        <f t="shared" si="51"/>
        <v>0</v>
      </c>
      <c r="J988" s="48">
        <v>45635</v>
      </c>
      <c r="K988" s="49">
        <v>45731</v>
      </c>
      <c r="L988" s="50" t="s">
        <v>2522</v>
      </c>
    </row>
    <row r="989" spans="1:13" ht="15" customHeight="1" x14ac:dyDescent="0.35">
      <c r="A989" s="85" t="s">
        <v>29</v>
      </c>
      <c r="B989" s="86">
        <v>4770</v>
      </c>
      <c r="C989" s="87">
        <v>4997</v>
      </c>
      <c r="D989" s="88">
        <v>45635</v>
      </c>
      <c r="E989" s="43">
        <v>26401500</v>
      </c>
      <c r="F989" s="44">
        <f t="shared" si="52"/>
        <v>2112120</v>
      </c>
      <c r="G989" s="45">
        <f t="shared" si="53"/>
        <v>28513620</v>
      </c>
      <c r="H989" s="46">
        <v>28513620</v>
      </c>
      <c r="I989" s="47">
        <f t="shared" si="51"/>
        <v>0</v>
      </c>
      <c r="J989" s="48">
        <v>45635</v>
      </c>
      <c r="K989" s="49">
        <v>45731</v>
      </c>
      <c r="L989" s="50" t="s">
        <v>2525</v>
      </c>
    </row>
    <row r="990" spans="1:13" ht="15" customHeight="1" x14ac:dyDescent="0.35">
      <c r="A990" s="85" t="s">
        <v>33</v>
      </c>
      <c r="B990" s="86">
        <v>4771</v>
      </c>
      <c r="C990" s="87"/>
      <c r="D990" s="88">
        <v>45625</v>
      </c>
      <c r="E990" s="43">
        <v>2010000</v>
      </c>
      <c r="F990" s="44">
        <f t="shared" si="52"/>
        <v>160800</v>
      </c>
      <c r="G990" s="45">
        <f t="shared" si="53"/>
        <v>2170800</v>
      </c>
      <c r="H990" s="46">
        <v>2170800</v>
      </c>
      <c r="I990" s="47">
        <f t="shared" si="51"/>
        <v>0</v>
      </c>
      <c r="J990" s="48">
        <v>45635</v>
      </c>
      <c r="K990" s="49">
        <v>45731</v>
      </c>
      <c r="L990" s="50" t="s">
        <v>2524</v>
      </c>
    </row>
    <row r="991" spans="1:13" ht="15" customHeight="1" x14ac:dyDescent="0.35">
      <c r="A991" s="85" t="s">
        <v>37</v>
      </c>
      <c r="B991" s="86">
        <v>4804</v>
      </c>
      <c r="C991" s="87"/>
      <c r="D991" s="88">
        <v>45626</v>
      </c>
      <c r="E991" s="43">
        <v>3965000</v>
      </c>
      <c r="F991" s="44">
        <f t="shared" si="52"/>
        <v>317200</v>
      </c>
      <c r="G991" s="45">
        <f t="shared" si="53"/>
        <v>4282200</v>
      </c>
      <c r="H991" s="46">
        <v>4282200</v>
      </c>
      <c r="I991" s="47">
        <f t="shared" si="51"/>
        <v>0</v>
      </c>
      <c r="J991" s="48">
        <v>45635</v>
      </c>
      <c r="K991" s="49">
        <v>45792</v>
      </c>
      <c r="L991" s="50" t="s">
        <v>2523</v>
      </c>
    </row>
    <row r="992" spans="1:13" ht="15" customHeight="1" x14ac:dyDescent="0.35">
      <c r="A992" s="85" t="s">
        <v>29</v>
      </c>
      <c r="B992" s="86" t="s">
        <v>2526</v>
      </c>
      <c r="C992" s="87">
        <v>5404</v>
      </c>
      <c r="D992" s="88">
        <v>45650</v>
      </c>
      <c r="E992" s="43">
        <v>15370000</v>
      </c>
      <c r="F992" s="44">
        <f t="shared" si="52"/>
        <v>1229600</v>
      </c>
      <c r="G992" s="45">
        <f t="shared" si="53"/>
        <v>16599600</v>
      </c>
      <c r="H992" s="46">
        <v>16599600</v>
      </c>
      <c r="I992" s="47">
        <f t="shared" si="51"/>
        <v>0</v>
      </c>
      <c r="J992" s="48">
        <v>45650</v>
      </c>
      <c r="K992" s="49">
        <v>45792</v>
      </c>
      <c r="L992" s="50" t="s">
        <v>2536</v>
      </c>
    </row>
    <row r="993" spans="1:12" ht="15" customHeight="1" x14ac:dyDescent="0.35">
      <c r="A993" s="85" t="s">
        <v>33</v>
      </c>
      <c r="B993" s="86" t="s">
        <v>2527</v>
      </c>
      <c r="C993" s="87">
        <v>5156</v>
      </c>
      <c r="D993" s="88">
        <v>45640</v>
      </c>
      <c r="E993" s="43">
        <v>38529500</v>
      </c>
      <c r="F993" s="44">
        <f t="shared" si="52"/>
        <v>3082360</v>
      </c>
      <c r="G993" s="45">
        <f t="shared" si="53"/>
        <v>41611860</v>
      </c>
      <c r="H993" s="46">
        <v>41611860</v>
      </c>
      <c r="I993" s="47">
        <f t="shared" si="51"/>
        <v>0</v>
      </c>
      <c r="J993" s="48">
        <v>45640</v>
      </c>
      <c r="K993" s="49">
        <v>45731</v>
      </c>
      <c r="L993" s="50" t="s">
        <v>2537</v>
      </c>
    </row>
    <row r="994" spans="1:12" ht="15" customHeight="1" x14ac:dyDescent="0.35">
      <c r="A994" s="85" t="s">
        <v>37</v>
      </c>
      <c r="B994" s="86" t="s">
        <v>2528</v>
      </c>
      <c r="C994" s="87"/>
      <c r="D994" s="88" t="s">
        <v>2535</v>
      </c>
      <c r="E994" s="43">
        <v>13200000</v>
      </c>
      <c r="F994" s="44">
        <f t="shared" si="52"/>
        <v>1056000</v>
      </c>
      <c r="G994" s="45">
        <f t="shared" si="53"/>
        <v>14256000</v>
      </c>
      <c r="H994" s="46">
        <v>14256000</v>
      </c>
      <c r="I994" s="47">
        <f t="shared" si="51"/>
        <v>0</v>
      </c>
      <c r="J994" s="48">
        <v>45640</v>
      </c>
      <c r="K994" s="49">
        <v>45731</v>
      </c>
      <c r="L994" s="50" t="s">
        <v>2538</v>
      </c>
    </row>
    <row r="995" spans="1:12" ht="15" customHeight="1" x14ac:dyDescent="0.35">
      <c r="A995" s="85" t="s">
        <v>37</v>
      </c>
      <c r="B995" s="86" t="s">
        <v>2529</v>
      </c>
      <c r="C995" s="87"/>
      <c r="D995" s="88" t="s">
        <v>2535</v>
      </c>
      <c r="E995" s="43">
        <v>14145000</v>
      </c>
      <c r="F995" s="44">
        <f t="shared" si="52"/>
        <v>1131600</v>
      </c>
      <c r="G995" s="45">
        <f t="shared" si="53"/>
        <v>15276600</v>
      </c>
      <c r="H995" s="46">
        <v>15276600</v>
      </c>
      <c r="I995" s="47">
        <f t="shared" si="51"/>
        <v>0</v>
      </c>
      <c r="J995" s="48">
        <v>45640</v>
      </c>
      <c r="K995" s="49">
        <v>45792</v>
      </c>
      <c r="L995" s="50" t="s">
        <v>2539</v>
      </c>
    </row>
    <row r="996" spans="1:12" ht="15" customHeight="1" x14ac:dyDescent="0.35">
      <c r="A996" s="85" t="s">
        <v>29</v>
      </c>
      <c r="B996" s="86" t="s">
        <v>2530</v>
      </c>
      <c r="C996" s="87">
        <v>5405</v>
      </c>
      <c r="D996" s="88">
        <v>45650</v>
      </c>
      <c r="E996" s="43">
        <v>4339500</v>
      </c>
      <c r="F996" s="44">
        <f t="shared" si="52"/>
        <v>347160</v>
      </c>
      <c r="G996" s="45">
        <f t="shared" si="53"/>
        <v>4686660</v>
      </c>
      <c r="H996" s="46">
        <v>4686660</v>
      </c>
      <c r="I996" s="47">
        <f t="shared" si="51"/>
        <v>0</v>
      </c>
      <c r="J996" s="48">
        <v>45650</v>
      </c>
      <c r="K996" s="49">
        <v>45792</v>
      </c>
      <c r="L996" s="50" t="s">
        <v>2540</v>
      </c>
    </row>
    <row r="997" spans="1:12" ht="15" customHeight="1" x14ac:dyDescent="0.35">
      <c r="A997" s="85" t="s">
        <v>37</v>
      </c>
      <c r="B997" s="86" t="s">
        <v>2531</v>
      </c>
      <c r="C997" s="87"/>
      <c r="D997" s="88" t="s">
        <v>2535</v>
      </c>
      <c r="E997" s="43">
        <v>5245000</v>
      </c>
      <c r="F997" s="44">
        <f t="shared" si="52"/>
        <v>419600</v>
      </c>
      <c r="G997" s="45">
        <f t="shared" si="53"/>
        <v>5664600</v>
      </c>
      <c r="H997" s="46">
        <v>5664600</v>
      </c>
      <c r="I997" s="47">
        <f t="shared" si="51"/>
        <v>0</v>
      </c>
      <c r="J997" s="48">
        <v>45650</v>
      </c>
      <c r="K997" s="49">
        <v>45792</v>
      </c>
      <c r="L997" s="50" t="s">
        <v>2541</v>
      </c>
    </row>
    <row r="998" spans="1:12" ht="15" customHeight="1" x14ac:dyDescent="0.35">
      <c r="A998" s="85" t="s">
        <v>37</v>
      </c>
      <c r="B998" s="86" t="s">
        <v>2532</v>
      </c>
      <c r="C998" s="87"/>
      <c r="D998" s="88" t="s">
        <v>2535</v>
      </c>
      <c r="E998" s="43">
        <v>1841464000</v>
      </c>
      <c r="F998" s="44">
        <f t="shared" si="52"/>
        <v>147317120</v>
      </c>
      <c r="G998" s="45">
        <f t="shared" si="53"/>
        <v>1988781120</v>
      </c>
      <c r="H998" s="46">
        <v>1988781120</v>
      </c>
      <c r="I998" s="47">
        <f t="shared" si="51"/>
        <v>0</v>
      </c>
      <c r="J998" s="48">
        <v>45640</v>
      </c>
      <c r="K998" s="49">
        <v>45731</v>
      </c>
      <c r="L998" s="50" t="s">
        <v>2542</v>
      </c>
    </row>
    <row r="999" spans="1:12" ht="15" customHeight="1" x14ac:dyDescent="0.35">
      <c r="A999" s="85" t="s">
        <v>37</v>
      </c>
      <c r="B999" s="86" t="s">
        <v>2533</v>
      </c>
      <c r="C999" s="87"/>
      <c r="D999" s="88" t="s">
        <v>2535</v>
      </c>
      <c r="E999" s="43">
        <v>737856000</v>
      </c>
      <c r="F999" s="44">
        <f t="shared" si="52"/>
        <v>59028480</v>
      </c>
      <c r="G999" s="45">
        <f t="shared" si="53"/>
        <v>796884480</v>
      </c>
      <c r="H999" s="46">
        <v>796884480</v>
      </c>
      <c r="I999" s="47">
        <f t="shared" si="51"/>
        <v>0</v>
      </c>
      <c r="J999" s="48">
        <v>45640</v>
      </c>
      <c r="K999" s="49">
        <v>45731</v>
      </c>
      <c r="L999" s="50" t="s">
        <v>2543</v>
      </c>
    </row>
    <row r="1000" spans="1:12" ht="15" customHeight="1" x14ac:dyDescent="0.35">
      <c r="A1000" s="85" t="s">
        <v>37</v>
      </c>
      <c r="B1000" s="86" t="s">
        <v>2534</v>
      </c>
      <c r="C1000" s="87"/>
      <c r="D1000" s="88" t="s">
        <v>2535</v>
      </c>
      <c r="E1000" s="43">
        <v>98840000</v>
      </c>
      <c r="F1000" s="44">
        <f t="shared" si="52"/>
        <v>7907200</v>
      </c>
      <c r="G1000" s="45">
        <f t="shared" si="53"/>
        <v>106747200</v>
      </c>
      <c r="H1000" s="46">
        <v>106747200</v>
      </c>
      <c r="I1000" s="47">
        <f t="shared" si="51"/>
        <v>0</v>
      </c>
      <c r="J1000" s="48">
        <v>45640</v>
      </c>
      <c r="K1000" s="49">
        <v>45731</v>
      </c>
      <c r="L1000" s="50" t="s">
        <v>2544</v>
      </c>
    </row>
    <row r="1001" spans="1:12" ht="15" customHeight="1" x14ac:dyDescent="0.35">
      <c r="A1001" s="85" t="s">
        <v>56</v>
      </c>
      <c r="B1001" s="86" t="s">
        <v>2545</v>
      </c>
      <c r="C1001" s="87"/>
      <c r="D1001" s="88" t="s">
        <v>2555</v>
      </c>
      <c r="E1001" s="43">
        <v>203928000</v>
      </c>
      <c r="F1001" s="44">
        <f t="shared" si="52"/>
        <v>16314240</v>
      </c>
      <c r="G1001" s="45">
        <f t="shared" si="53"/>
        <v>220242240</v>
      </c>
      <c r="H1001" s="46">
        <v>220242240</v>
      </c>
      <c r="I1001" s="47">
        <f t="shared" si="51"/>
        <v>0</v>
      </c>
      <c r="J1001" s="48">
        <v>45640</v>
      </c>
      <c r="K1001" s="49">
        <v>45731</v>
      </c>
      <c r="L1001" s="50" t="s">
        <v>2557</v>
      </c>
    </row>
    <row r="1002" spans="1:12" ht="15" customHeight="1" x14ac:dyDescent="0.35">
      <c r="A1002" s="85" t="s">
        <v>56</v>
      </c>
      <c r="B1002" s="86" t="s">
        <v>2546</v>
      </c>
      <c r="C1002" s="87"/>
      <c r="D1002" s="88" t="s">
        <v>2555</v>
      </c>
      <c r="E1002" s="43">
        <v>7520000</v>
      </c>
      <c r="F1002" s="44">
        <f t="shared" si="52"/>
        <v>601600</v>
      </c>
      <c r="G1002" s="45">
        <f t="shared" si="53"/>
        <v>8121600</v>
      </c>
      <c r="H1002" s="46">
        <v>8121600</v>
      </c>
      <c r="I1002" s="47">
        <f t="shared" si="51"/>
        <v>0</v>
      </c>
      <c r="J1002" s="48">
        <v>45640</v>
      </c>
      <c r="K1002" s="49">
        <v>45731</v>
      </c>
      <c r="L1002" s="50" t="s">
        <v>2558</v>
      </c>
    </row>
    <row r="1003" spans="1:12" ht="15" customHeight="1" x14ac:dyDescent="0.35">
      <c r="A1003" s="85" t="s">
        <v>56</v>
      </c>
      <c r="B1003" s="86" t="s">
        <v>2547</v>
      </c>
      <c r="C1003" s="87"/>
      <c r="D1003" s="88" t="s">
        <v>2555</v>
      </c>
      <c r="E1003" s="43">
        <v>640000</v>
      </c>
      <c r="F1003" s="44">
        <f t="shared" si="52"/>
        <v>51200</v>
      </c>
      <c r="G1003" s="45">
        <f t="shared" si="53"/>
        <v>691200</v>
      </c>
      <c r="H1003" s="46">
        <v>691200</v>
      </c>
      <c r="I1003" s="47">
        <f t="shared" si="51"/>
        <v>0</v>
      </c>
      <c r="J1003" s="48">
        <v>45640</v>
      </c>
      <c r="K1003" s="49">
        <v>45731</v>
      </c>
      <c r="L1003" s="50" t="s">
        <v>2559</v>
      </c>
    </row>
    <row r="1004" spans="1:12" ht="15" customHeight="1" x14ac:dyDescent="0.35">
      <c r="A1004" s="85" t="s">
        <v>33</v>
      </c>
      <c r="B1004" s="86" t="s">
        <v>2548</v>
      </c>
      <c r="C1004" s="87">
        <v>5406</v>
      </c>
      <c r="D1004" s="88">
        <v>45650</v>
      </c>
      <c r="E1004" s="43">
        <v>76908000</v>
      </c>
      <c r="F1004" s="44">
        <f t="shared" si="52"/>
        <v>6152640</v>
      </c>
      <c r="G1004" s="45">
        <f t="shared" si="53"/>
        <v>83060640</v>
      </c>
      <c r="H1004" s="46">
        <v>83060640</v>
      </c>
      <c r="I1004" s="47">
        <f t="shared" si="51"/>
        <v>0</v>
      </c>
      <c r="J1004" s="48">
        <v>45650</v>
      </c>
      <c r="K1004" s="49">
        <v>45792</v>
      </c>
      <c r="L1004" s="50" t="s">
        <v>2560</v>
      </c>
    </row>
    <row r="1005" spans="1:12" ht="15" customHeight="1" x14ac:dyDescent="0.35">
      <c r="A1005" s="85" t="s">
        <v>66</v>
      </c>
      <c r="B1005" s="86" t="s">
        <v>2549</v>
      </c>
      <c r="C1005" s="87">
        <v>5407</v>
      </c>
      <c r="D1005" s="88">
        <v>45650</v>
      </c>
      <c r="E1005" s="43">
        <v>183232000</v>
      </c>
      <c r="F1005" s="44">
        <f t="shared" si="52"/>
        <v>14658560</v>
      </c>
      <c r="G1005" s="45">
        <f t="shared" si="53"/>
        <v>197890560</v>
      </c>
      <c r="H1005" s="46">
        <v>197890560</v>
      </c>
      <c r="I1005" s="47">
        <f t="shared" si="51"/>
        <v>0</v>
      </c>
      <c r="J1005" s="48">
        <v>45650</v>
      </c>
      <c r="K1005" s="49">
        <v>45792</v>
      </c>
      <c r="L1005" s="50" t="s">
        <v>2561</v>
      </c>
    </row>
    <row r="1006" spans="1:12" ht="15" customHeight="1" x14ac:dyDescent="0.35">
      <c r="A1006" s="85" t="s">
        <v>56</v>
      </c>
      <c r="B1006" s="86" t="s">
        <v>2550</v>
      </c>
      <c r="C1006" s="87"/>
      <c r="D1006" s="88" t="s">
        <v>2555</v>
      </c>
      <c r="E1006" s="43">
        <v>66200000</v>
      </c>
      <c r="F1006" s="44">
        <f t="shared" si="52"/>
        <v>5296000</v>
      </c>
      <c r="G1006" s="45">
        <f t="shared" si="53"/>
        <v>71496000</v>
      </c>
      <c r="H1006" s="46">
        <v>71496000</v>
      </c>
      <c r="I1006" s="47">
        <f t="shared" si="51"/>
        <v>0</v>
      </c>
      <c r="J1006" s="48">
        <v>45640</v>
      </c>
      <c r="K1006" s="49">
        <v>45731</v>
      </c>
      <c r="L1006" s="50" t="s">
        <v>2562</v>
      </c>
    </row>
    <row r="1007" spans="1:12" ht="15" customHeight="1" x14ac:dyDescent="0.35">
      <c r="A1007" s="85" t="s">
        <v>56</v>
      </c>
      <c r="B1007" s="86" t="s">
        <v>2551</v>
      </c>
      <c r="C1007" s="87">
        <v>5408</v>
      </c>
      <c r="D1007" s="88">
        <v>45650</v>
      </c>
      <c r="E1007" s="43">
        <v>928000</v>
      </c>
      <c r="F1007" s="44">
        <f t="shared" si="52"/>
        <v>74240</v>
      </c>
      <c r="G1007" s="45">
        <f t="shared" si="53"/>
        <v>1002240</v>
      </c>
      <c r="H1007" s="46">
        <v>1002240</v>
      </c>
      <c r="I1007" s="47">
        <f t="shared" si="51"/>
        <v>0</v>
      </c>
      <c r="J1007" s="48">
        <v>45650</v>
      </c>
      <c r="K1007" s="49">
        <v>45792</v>
      </c>
      <c r="L1007" s="50" t="s">
        <v>2563</v>
      </c>
    </row>
    <row r="1008" spans="1:12" ht="15" customHeight="1" x14ac:dyDescent="0.35">
      <c r="A1008" s="85" t="s">
        <v>66</v>
      </c>
      <c r="B1008" s="86" t="s">
        <v>2552</v>
      </c>
      <c r="C1008" s="87"/>
      <c r="D1008" s="88" t="s">
        <v>2556</v>
      </c>
      <c r="E1008" s="43">
        <v>960000</v>
      </c>
      <c r="F1008" s="44">
        <f t="shared" si="52"/>
        <v>76800</v>
      </c>
      <c r="G1008" s="45">
        <f t="shared" si="53"/>
        <v>1036800</v>
      </c>
      <c r="H1008" s="46">
        <v>1036800</v>
      </c>
      <c r="I1008" s="47">
        <f t="shared" si="51"/>
        <v>0</v>
      </c>
      <c r="J1008" s="48">
        <v>45650</v>
      </c>
      <c r="K1008" s="49">
        <v>45792</v>
      </c>
      <c r="L1008" s="50" t="s">
        <v>2564</v>
      </c>
    </row>
    <row r="1009" spans="1:12" ht="15" customHeight="1" x14ac:dyDescent="0.35">
      <c r="A1009" s="85" t="s">
        <v>33</v>
      </c>
      <c r="B1009" s="86" t="s">
        <v>2553</v>
      </c>
      <c r="C1009" s="87">
        <v>5409</v>
      </c>
      <c r="D1009" s="88">
        <v>45650</v>
      </c>
      <c r="E1009" s="43">
        <v>42751000</v>
      </c>
      <c r="F1009" s="44">
        <f t="shared" si="52"/>
        <v>3420080</v>
      </c>
      <c r="G1009" s="45">
        <f t="shared" si="53"/>
        <v>46171080</v>
      </c>
      <c r="H1009" s="46">
        <v>46171080</v>
      </c>
      <c r="I1009" s="47">
        <f t="shared" si="51"/>
        <v>0</v>
      </c>
      <c r="J1009" s="48">
        <v>45650</v>
      </c>
      <c r="K1009" s="49">
        <v>45792</v>
      </c>
      <c r="L1009" s="50" t="s">
        <v>2565</v>
      </c>
    </row>
    <row r="1010" spans="1:12" ht="15" customHeight="1" x14ac:dyDescent="0.35">
      <c r="A1010" s="85" t="s">
        <v>29</v>
      </c>
      <c r="B1010" s="86" t="s">
        <v>2554</v>
      </c>
      <c r="C1010" s="87">
        <v>5410</v>
      </c>
      <c r="D1010" s="88">
        <v>45650</v>
      </c>
      <c r="E1010" s="43">
        <v>21984000</v>
      </c>
      <c r="F1010" s="44">
        <f t="shared" si="52"/>
        <v>1758720</v>
      </c>
      <c r="G1010" s="45">
        <f t="shared" si="53"/>
        <v>23742720</v>
      </c>
      <c r="H1010" s="46">
        <v>23742720</v>
      </c>
      <c r="I1010" s="47">
        <f t="shared" si="51"/>
        <v>0</v>
      </c>
      <c r="J1010" s="48">
        <v>45650</v>
      </c>
      <c r="K1010" s="49">
        <v>45792</v>
      </c>
      <c r="L1010" s="50" t="s">
        <v>2566</v>
      </c>
    </row>
    <row r="1011" spans="1:12" ht="15" customHeight="1" x14ac:dyDescent="0.35">
      <c r="A1011" s="85" t="s">
        <v>29</v>
      </c>
      <c r="B1011" s="86" t="s">
        <v>2585</v>
      </c>
      <c r="C1011" s="87">
        <v>5411</v>
      </c>
      <c r="D1011" s="88">
        <v>45650</v>
      </c>
      <c r="E1011" s="43">
        <v>829220000</v>
      </c>
      <c r="F1011" s="44">
        <f t="shared" si="52"/>
        <v>66337600</v>
      </c>
      <c r="G1011" s="45">
        <f t="shared" si="53"/>
        <v>895557600</v>
      </c>
      <c r="H1011" s="46">
        <v>895557600</v>
      </c>
      <c r="I1011" s="47">
        <f t="shared" si="51"/>
        <v>0</v>
      </c>
      <c r="J1011" s="48">
        <v>45650</v>
      </c>
      <c r="K1011" s="49">
        <v>45741</v>
      </c>
      <c r="L1011" s="50" t="s">
        <v>2602</v>
      </c>
    </row>
    <row r="1012" spans="1:12" ht="15" customHeight="1" x14ac:dyDescent="0.35">
      <c r="A1012" s="85" t="s">
        <v>29</v>
      </c>
      <c r="B1012" s="86" t="s">
        <v>2586</v>
      </c>
      <c r="C1012" s="87">
        <v>360</v>
      </c>
      <c r="D1012" s="88">
        <v>45672</v>
      </c>
      <c r="E1012" s="43">
        <v>75264000</v>
      </c>
      <c r="F1012" s="44">
        <f t="shared" si="52"/>
        <v>6021120</v>
      </c>
      <c r="G1012" s="45">
        <f t="shared" si="53"/>
        <v>81285120</v>
      </c>
      <c r="H1012" s="46">
        <v>81285120</v>
      </c>
      <c r="I1012" s="47" t="s">
        <v>293</v>
      </c>
      <c r="J1012" s="48">
        <v>45672</v>
      </c>
      <c r="K1012" s="49">
        <v>45762</v>
      </c>
      <c r="L1012" s="50" t="s">
        <v>2603</v>
      </c>
    </row>
    <row r="1013" spans="1:12" ht="15" customHeight="1" x14ac:dyDescent="0.35">
      <c r="A1013" s="85" t="s">
        <v>37</v>
      </c>
      <c r="B1013" s="86" t="s">
        <v>2587</v>
      </c>
      <c r="C1013" s="87"/>
      <c r="D1013" s="88" t="s">
        <v>2598</v>
      </c>
      <c r="E1013" s="43">
        <v>42090000</v>
      </c>
      <c r="F1013" s="44">
        <f t="shared" si="52"/>
        <v>3367200</v>
      </c>
      <c r="G1013" s="45">
        <f t="shared" si="53"/>
        <v>45457200</v>
      </c>
      <c r="H1013" s="46">
        <v>45457200</v>
      </c>
      <c r="I1013" s="47">
        <f t="shared" si="51"/>
        <v>0</v>
      </c>
      <c r="J1013" s="48">
        <v>45650</v>
      </c>
      <c r="K1013" s="49">
        <v>45792</v>
      </c>
      <c r="L1013" s="50" t="s">
        <v>2604</v>
      </c>
    </row>
    <row r="1014" spans="1:12" ht="15" customHeight="1" x14ac:dyDescent="0.35">
      <c r="A1014" s="85" t="s">
        <v>37</v>
      </c>
      <c r="B1014" s="86" t="s">
        <v>2588</v>
      </c>
      <c r="C1014" s="87"/>
      <c r="D1014" s="88" t="s">
        <v>2598</v>
      </c>
      <c r="E1014" s="43">
        <v>2960000</v>
      </c>
      <c r="F1014" s="44">
        <f t="shared" si="52"/>
        <v>236800</v>
      </c>
      <c r="G1014" s="45">
        <f t="shared" si="53"/>
        <v>3196800</v>
      </c>
      <c r="H1014" s="46">
        <v>3196800</v>
      </c>
      <c r="I1014" s="47">
        <f t="shared" si="51"/>
        <v>0</v>
      </c>
      <c r="J1014" s="48">
        <v>45650</v>
      </c>
      <c r="K1014" s="49">
        <v>45792</v>
      </c>
      <c r="L1014" s="50" t="s">
        <v>2605</v>
      </c>
    </row>
    <row r="1015" spans="1:12" ht="15" customHeight="1" x14ac:dyDescent="0.35">
      <c r="A1015" s="85" t="s">
        <v>66</v>
      </c>
      <c r="B1015" s="86" t="s">
        <v>2589</v>
      </c>
      <c r="C1015" s="87">
        <v>5412</v>
      </c>
      <c r="D1015" s="88">
        <v>45650</v>
      </c>
      <c r="E1015" s="43">
        <v>13616000</v>
      </c>
      <c r="F1015" s="44">
        <f t="shared" si="52"/>
        <v>1089280</v>
      </c>
      <c r="G1015" s="45">
        <f t="shared" si="53"/>
        <v>14705280</v>
      </c>
      <c r="H1015" s="46">
        <v>14705280</v>
      </c>
      <c r="I1015" s="47">
        <f t="shared" si="51"/>
        <v>0</v>
      </c>
      <c r="J1015" s="48">
        <v>45650</v>
      </c>
      <c r="K1015" s="49">
        <v>45792</v>
      </c>
      <c r="L1015" s="50" t="s">
        <v>2606</v>
      </c>
    </row>
    <row r="1016" spans="1:12" ht="15" customHeight="1" x14ac:dyDescent="0.35">
      <c r="A1016" s="85" t="s">
        <v>33</v>
      </c>
      <c r="B1016" s="86" t="s">
        <v>2590</v>
      </c>
      <c r="C1016" s="87">
        <v>362</v>
      </c>
      <c r="D1016" s="88">
        <v>45672</v>
      </c>
      <c r="E1016" s="43">
        <v>20037000</v>
      </c>
      <c r="F1016" s="44">
        <f t="shared" si="52"/>
        <v>1602960</v>
      </c>
      <c r="G1016" s="45">
        <f t="shared" si="53"/>
        <v>21639960</v>
      </c>
      <c r="H1016" s="46">
        <v>21639960</v>
      </c>
      <c r="I1016" s="47" t="s">
        <v>293</v>
      </c>
      <c r="J1016" s="48">
        <v>45672</v>
      </c>
      <c r="K1016" s="49">
        <v>45762</v>
      </c>
      <c r="L1016" s="50" t="s">
        <v>2607</v>
      </c>
    </row>
    <row r="1017" spans="1:12" ht="15" customHeight="1" x14ac:dyDescent="0.35">
      <c r="A1017" s="85" t="s">
        <v>85</v>
      </c>
      <c r="B1017" s="86" t="s">
        <v>2591</v>
      </c>
      <c r="C1017" s="87">
        <v>5413</v>
      </c>
      <c r="D1017" s="88">
        <v>45650</v>
      </c>
      <c r="E1017" s="43">
        <v>173056000</v>
      </c>
      <c r="F1017" s="44">
        <f t="shared" si="52"/>
        <v>13844480</v>
      </c>
      <c r="G1017" s="45">
        <f t="shared" si="53"/>
        <v>186900480</v>
      </c>
      <c r="H1017" s="46">
        <v>186900480</v>
      </c>
      <c r="I1017" s="47">
        <f t="shared" si="51"/>
        <v>0</v>
      </c>
      <c r="J1017" s="48">
        <v>45650</v>
      </c>
      <c r="K1017" s="49">
        <v>45792</v>
      </c>
      <c r="L1017" s="50" t="s">
        <v>2608</v>
      </c>
    </row>
    <row r="1018" spans="1:12" ht="15" customHeight="1" x14ac:dyDescent="0.35">
      <c r="A1018" s="85" t="s">
        <v>37</v>
      </c>
      <c r="B1018" s="86" t="s">
        <v>2592</v>
      </c>
      <c r="C1018" s="87"/>
      <c r="D1018" s="88" t="s">
        <v>2599</v>
      </c>
      <c r="E1018" s="43">
        <v>9600000</v>
      </c>
      <c r="F1018" s="44">
        <f t="shared" si="52"/>
        <v>768000</v>
      </c>
      <c r="G1018" s="45">
        <f t="shared" si="53"/>
        <v>10368000</v>
      </c>
      <c r="H1018" s="46">
        <v>10368000</v>
      </c>
      <c r="I1018" s="47">
        <f t="shared" si="51"/>
        <v>0</v>
      </c>
      <c r="J1018" s="48">
        <v>45650</v>
      </c>
      <c r="K1018" s="49">
        <v>45792</v>
      </c>
      <c r="L1018" s="50" t="s">
        <v>2609</v>
      </c>
    </row>
    <row r="1019" spans="1:12" ht="15" customHeight="1" x14ac:dyDescent="0.35">
      <c r="A1019" s="85" t="s">
        <v>56</v>
      </c>
      <c r="B1019" s="86" t="s">
        <v>2593</v>
      </c>
      <c r="C1019" s="87"/>
      <c r="D1019" s="88" t="s">
        <v>2600</v>
      </c>
      <c r="E1019" s="43">
        <v>960000</v>
      </c>
      <c r="F1019" s="44">
        <f t="shared" si="52"/>
        <v>76800</v>
      </c>
      <c r="G1019" s="45">
        <f t="shared" si="53"/>
        <v>1036800</v>
      </c>
      <c r="H1019" s="46">
        <v>1036800</v>
      </c>
      <c r="I1019" s="47">
        <f t="shared" si="51"/>
        <v>0</v>
      </c>
      <c r="J1019" s="48">
        <v>45650</v>
      </c>
      <c r="K1019" s="49">
        <v>45792</v>
      </c>
      <c r="L1019" s="50" t="s">
        <v>2610</v>
      </c>
    </row>
    <row r="1020" spans="1:12" ht="15" customHeight="1" x14ac:dyDescent="0.35">
      <c r="A1020" s="85" t="s">
        <v>66</v>
      </c>
      <c r="B1020" s="86" t="s">
        <v>2594</v>
      </c>
      <c r="C1020" s="87"/>
      <c r="D1020" s="88" t="s">
        <v>2600</v>
      </c>
      <c r="E1020" s="43">
        <v>1280000</v>
      </c>
      <c r="F1020" s="44">
        <f t="shared" si="52"/>
        <v>102400</v>
      </c>
      <c r="G1020" s="45">
        <f t="shared" si="53"/>
        <v>1382400</v>
      </c>
      <c r="H1020" s="46">
        <v>1382400</v>
      </c>
      <c r="I1020" s="47" t="s">
        <v>293</v>
      </c>
      <c r="J1020" s="48">
        <v>45672</v>
      </c>
      <c r="K1020" s="49">
        <v>45762</v>
      </c>
      <c r="L1020" s="50" t="s">
        <v>2611</v>
      </c>
    </row>
    <row r="1021" spans="1:12" ht="15" customHeight="1" x14ac:dyDescent="0.35">
      <c r="A1021" s="85" t="s">
        <v>29</v>
      </c>
      <c r="B1021" s="86" t="s">
        <v>2595</v>
      </c>
      <c r="C1021" s="87">
        <v>364</v>
      </c>
      <c r="D1021" s="88">
        <v>45672</v>
      </c>
      <c r="E1021" s="43">
        <v>8722000</v>
      </c>
      <c r="F1021" s="44">
        <f t="shared" si="52"/>
        <v>697760</v>
      </c>
      <c r="G1021" s="45">
        <f t="shared" si="53"/>
        <v>9419760</v>
      </c>
      <c r="H1021" s="46">
        <v>9419760</v>
      </c>
      <c r="I1021" s="47" t="s">
        <v>293</v>
      </c>
      <c r="J1021" s="48">
        <v>45672</v>
      </c>
      <c r="K1021" s="49">
        <v>45762</v>
      </c>
      <c r="L1021" s="50" t="s">
        <v>2612</v>
      </c>
    </row>
    <row r="1022" spans="1:12" ht="15" customHeight="1" x14ac:dyDescent="0.35">
      <c r="A1022" s="85" t="s">
        <v>37</v>
      </c>
      <c r="B1022" s="86" t="s">
        <v>2596</v>
      </c>
      <c r="C1022" s="87"/>
      <c r="D1022" s="88" t="s">
        <v>2601</v>
      </c>
      <c r="E1022" s="43">
        <v>22765000</v>
      </c>
      <c r="F1022" s="44">
        <f t="shared" si="52"/>
        <v>1821200</v>
      </c>
      <c r="G1022" s="45">
        <f t="shared" si="53"/>
        <v>24586200</v>
      </c>
      <c r="H1022" s="46">
        <v>24586200</v>
      </c>
      <c r="I1022" s="47" t="s">
        <v>293</v>
      </c>
      <c r="J1022" s="48">
        <v>45672</v>
      </c>
      <c r="K1022" s="49">
        <v>45762</v>
      </c>
      <c r="L1022" s="50" t="s">
        <v>2613</v>
      </c>
    </row>
    <row r="1023" spans="1:12" ht="15" customHeight="1" x14ac:dyDescent="0.35">
      <c r="A1023" s="85" t="s">
        <v>29</v>
      </c>
      <c r="B1023" s="86" t="s">
        <v>2597</v>
      </c>
      <c r="C1023" s="87">
        <v>365</v>
      </c>
      <c r="D1023" s="88">
        <v>45672</v>
      </c>
      <c r="E1023" s="43">
        <v>904500</v>
      </c>
      <c r="F1023" s="44">
        <f t="shared" si="52"/>
        <v>72360</v>
      </c>
      <c r="G1023" s="45">
        <f t="shared" si="53"/>
        <v>976860</v>
      </c>
      <c r="H1023" s="46">
        <v>976860</v>
      </c>
      <c r="I1023" s="47" t="s">
        <v>293</v>
      </c>
      <c r="J1023" s="48">
        <v>45672</v>
      </c>
      <c r="K1023" s="49">
        <v>45762</v>
      </c>
      <c r="L1023" s="50" t="s">
        <v>2614</v>
      </c>
    </row>
    <row r="1024" spans="1:12" ht="15" customHeight="1" x14ac:dyDescent="0.35">
      <c r="A1024" s="85" t="s">
        <v>37</v>
      </c>
      <c r="B1024" s="86" t="s">
        <v>2615</v>
      </c>
      <c r="C1024" s="87"/>
      <c r="D1024" s="88" t="s">
        <v>2627</v>
      </c>
      <c r="E1024" s="43">
        <v>4300000</v>
      </c>
      <c r="F1024" s="44">
        <f t="shared" si="52"/>
        <v>344000</v>
      </c>
      <c r="G1024" s="45">
        <f t="shared" si="53"/>
        <v>4644000</v>
      </c>
      <c r="H1024" s="46">
        <v>4644000</v>
      </c>
      <c r="I1024" s="47" t="s">
        <v>293</v>
      </c>
      <c r="J1024" s="48">
        <v>45672</v>
      </c>
      <c r="K1024" s="49">
        <v>45762</v>
      </c>
      <c r="L1024" s="50" t="s">
        <v>2621</v>
      </c>
    </row>
    <row r="1025" spans="1:12" ht="15" customHeight="1" x14ac:dyDescent="0.35">
      <c r="A1025" s="85" t="s">
        <v>37</v>
      </c>
      <c r="B1025" s="86" t="s">
        <v>2616</v>
      </c>
      <c r="C1025" s="87"/>
      <c r="D1025" s="88" t="s">
        <v>2628</v>
      </c>
      <c r="E1025" s="43">
        <v>8400000</v>
      </c>
      <c r="F1025" s="44">
        <f t="shared" si="52"/>
        <v>672000</v>
      </c>
      <c r="G1025" s="45">
        <f t="shared" si="53"/>
        <v>9072000</v>
      </c>
      <c r="H1025" s="46">
        <v>9072000</v>
      </c>
      <c r="I1025" s="47" t="s">
        <v>293</v>
      </c>
      <c r="J1025" s="48">
        <v>45672</v>
      </c>
      <c r="K1025" s="49">
        <v>45762</v>
      </c>
      <c r="L1025" s="50" t="s">
        <v>2622</v>
      </c>
    </row>
    <row r="1026" spans="1:12" ht="15" customHeight="1" x14ac:dyDescent="0.35">
      <c r="A1026" s="85" t="s">
        <v>56</v>
      </c>
      <c r="B1026" s="86" t="s">
        <v>2617</v>
      </c>
      <c r="C1026" s="87">
        <v>366</v>
      </c>
      <c r="D1026" s="88">
        <v>45672</v>
      </c>
      <c r="E1026" s="43">
        <v>1488000</v>
      </c>
      <c r="F1026" s="44">
        <f t="shared" si="52"/>
        <v>119040</v>
      </c>
      <c r="G1026" s="45">
        <f t="shared" si="53"/>
        <v>1607040</v>
      </c>
      <c r="H1026" s="46">
        <v>1607040</v>
      </c>
      <c r="I1026" s="47" t="s">
        <v>293</v>
      </c>
      <c r="J1026" s="48">
        <v>45672</v>
      </c>
      <c r="K1026" s="49">
        <v>45762</v>
      </c>
      <c r="L1026" s="50" t="s">
        <v>2623</v>
      </c>
    </row>
    <row r="1027" spans="1:12" ht="15" customHeight="1" x14ac:dyDescent="0.35">
      <c r="A1027" s="85" t="s">
        <v>66</v>
      </c>
      <c r="B1027" s="86" t="s">
        <v>2618</v>
      </c>
      <c r="C1027" s="87"/>
      <c r="D1027" s="88" t="s">
        <v>2628</v>
      </c>
      <c r="E1027" s="43">
        <v>640000</v>
      </c>
      <c r="F1027" s="44">
        <f t="shared" si="52"/>
        <v>51200</v>
      </c>
      <c r="G1027" s="45">
        <f t="shared" si="53"/>
        <v>691200</v>
      </c>
      <c r="H1027" s="46">
        <v>691200</v>
      </c>
      <c r="I1027" s="47" t="s">
        <v>293</v>
      </c>
      <c r="J1027" s="48">
        <v>45672</v>
      </c>
      <c r="K1027" s="49">
        <v>45762</v>
      </c>
      <c r="L1027" s="50" t="s">
        <v>2624</v>
      </c>
    </row>
    <row r="1028" spans="1:12" ht="15" customHeight="1" x14ac:dyDescent="0.35">
      <c r="A1028" s="85" t="s">
        <v>29</v>
      </c>
      <c r="B1028" s="86" t="s">
        <v>2619</v>
      </c>
      <c r="C1028" s="87"/>
      <c r="D1028" s="88" t="s">
        <v>2628</v>
      </c>
      <c r="E1028" s="43">
        <v>26535000</v>
      </c>
      <c r="F1028" s="44">
        <f t="shared" si="52"/>
        <v>2122800</v>
      </c>
      <c r="G1028" s="45">
        <f t="shared" si="53"/>
        <v>28657800</v>
      </c>
      <c r="H1028" s="46">
        <v>28657800</v>
      </c>
      <c r="I1028" s="47" t="s">
        <v>293</v>
      </c>
      <c r="J1028" s="48">
        <v>45672</v>
      </c>
      <c r="K1028" s="49">
        <v>45762</v>
      </c>
      <c r="L1028" s="50" t="s">
        <v>2625</v>
      </c>
    </row>
    <row r="1029" spans="1:12" ht="15" customHeight="1" x14ac:dyDescent="0.35">
      <c r="A1029" s="85" t="s">
        <v>620</v>
      </c>
      <c r="B1029" s="86" t="s">
        <v>2620</v>
      </c>
      <c r="C1029" s="87"/>
      <c r="D1029" s="88" t="s">
        <v>2629</v>
      </c>
      <c r="E1029" s="43">
        <v>13800000</v>
      </c>
      <c r="F1029" s="44">
        <f t="shared" si="52"/>
        <v>1104000</v>
      </c>
      <c r="G1029" s="45">
        <f t="shared" si="53"/>
        <v>14904000</v>
      </c>
      <c r="H1029" s="46">
        <v>14904000</v>
      </c>
      <c r="I1029" s="47" t="s">
        <v>293</v>
      </c>
      <c r="J1029" s="48">
        <v>45672</v>
      </c>
      <c r="K1029" s="49">
        <v>45762</v>
      </c>
      <c r="L1029" s="50" t="s">
        <v>2626</v>
      </c>
    </row>
    <row r="1030" spans="1:12" ht="15" customHeight="1" x14ac:dyDescent="0.35">
      <c r="A1030" s="85" t="s">
        <v>37</v>
      </c>
      <c r="B1030" s="86" t="s">
        <v>2632</v>
      </c>
      <c r="C1030" s="87"/>
      <c r="D1030" s="88" t="s">
        <v>2630</v>
      </c>
      <c r="E1030" s="43">
        <v>14800000</v>
      </c>
      <c r="F1030" s="44">
        <f t="shared" si="52"/>
        <v>1184000</v>
      </c>
      <c r="G1030" s="45">
        <f t="shared" si="53"/>
        <v>15984000</v>
      </c>
      <c r="H1030" s="46">
        <v>15984000</v>
      </c>
      <c r="I1030" s="47" t="s">
        <v>293</v>
      </c>
      <c r="J1030" s="48">
        <v>45672</v>
      </c>
      <c r="K1030" s="49">
        <v>45762</v>
      </c>
      <c r="L1030" s="50" t="s">
        <v>2637</v>
      </c>
    </row>
    <row r="1031" spans="1:12" ht="15" customHeight="1" x14ac:dyDescent="0.35">
      <c r="A1031" s="85" t="s">
        <v>66</v>
      </c>
      <c r="B1031" s="86" t="s">
        <v>2633</v>
      </c>
      <c r="C1031" s="87"/>
      <c r="D1031" s="88" t="s">
        <v>2630</v>
      </c>
      <c r="E1031" s="43">
        <v>1680000</v>
      </c>
      <c r="F1031" s="44">
        <f t="shared" si="52"/>
        <v>134400</v>
      </c>
      <c r="G1031" s="45">
        <f t="shared" si="53"/>
        <v>1814400</v>
      </c>
      <c r="H1031" s="46">
        <v>1814400</v>
      </c>
      <c r="I1031" s="47" t="s">
        <v>293</v>
      </c>
      <c r="J1031" s="48">
        <v>45672</v>
      </c>
      <c r="K1031" s="49">
        <v>45762</v>
      </c>
      <c r="L1031" s="50" t="s">
        <v>2638</v>
      </c>
    </row>
    <row r="1032" spans="1:12" ht="15" customHeight="1" x14ac:dyDescent="0.35">
      <c r="A1032" s="85" t="s">
        <v>29</v>
      </c>
      <c r="B1032" s="86" t="s">
        <v>2634</v>
      </c>
      <c r="C1032" s="87">
        <v>367</v>
      </c>
      <c r="D1032" s="88">
        <v>45672</v>
      </c>
      <c r="E1032" s="43">
        <v>21725000</v>
      </c>
      <c r="F1032" s="44">
        <f t="shared" si="52"/>
        <v>1738000</v>
      </c>
      <c r="G1032" s="45">
        <f t="shared" si="53"/>
        <v>23463000</v>
      </c>
      <c r="H1032" s="46">
        <v>23463000</v>
      </c>
      <c r="I1032" s="47" t="s">
        <v>293</v>
      </c>
      <c r="J1032" s="48">
        <v>45672</v>
      </c>
      <c r="K1032" s="49">
        <v>45762</v>
      </c>
      <c r="L1032" s="50" t="s">
        <v>2639</v>
      </c>
    </row>
    <row r="1033" spans="1:12" ht="15" customHeight="1" x14ac:dyDescent="0.35">
      <c r="A1033" s="85" t="s">
        <v>33</v>
      </c>
      <c r="B1033" s="86" t="s">
        <v>2635</v>
      </c>
      <c r="C1033" s="87">
        <v>368</v>
      </c>
      <c r="D1033" s="88">
        <v>45672</v>
      </c>
      <c r="E1033" s="43">
        <v>71266000</v>
      </c>
      <c r="F1033" s="44">
        <f t="shared" si="52"/>
        <v>5701280</v>
      </c>
      <c r="G1033" s="45">
        <f t="shared" si="53"/>
        <v>76967280</v>
      </c>
      <c r="H1033" s="46">
        <v>76967280</v>
      </c>
      <c r="I1033" s="47" t="s">
        <v>293</v>
      </c>
      <c r="J1033" s="48">
        <v>45672</v>
      </c>
      <c r="K1033" s="49">
        <v>45762</v>
      </c>
      <c r="L1033" s="50" t="s">
        <v>2640</v>
      </c>
    </row>
    <row r="1034" spans="1:12" ht="15" customHeight="1" x14ac:dyDescent="0.35">
      <c r="A1034" s="85" t="s">
        <v>29</v>
      </c>
      <c r="B1034" s="86" t="s">
        <v>141</v>
      </c>
      <c r="C1034" s="87">
        <v>577</v>
      </c>
      <c r="D1034" s="88">
        <v>45696</v>
      </c>
      <c r="E1034" s="43">
        <v>38551000</v>
      </c>
      <c r="F1034" s="44">
        <f t="shared" si="52"/>
        <v>3084080</v>
      </c>
      <c r="G1034" s="45">
        <f t="shared" si="53"/>
        <v>41635080</v>
      </c>
      <c r="H1034" s="46">
        <v>41635080</v>
      </c>
      <c r="I1034" s="47">
        <f t="shared" si="51"/>
        <v>0</v>
      </c>
      <c r="J1034" s="48">
        <v>45696</v>
      </c>
      <c r="K1034" s="49">
        <v>45792</v>
      </c>
      <c r="L1034" s="50" t="s">
        <v>2641</v>
      </c>
    </row>
    <row r="1035" spans="1:12" ht="15" customHeight="1" x14ac:dyDescent="0.35">
      <c r="A1035" s="85" t="s">
        <v>71</v>
      </c>
      <c r="B1035" s="86" t="s">
        <v>584</v>
      </c>
      <c r="C1035" s="87">
        <v>578</v>
      </c>
      <c r="D1035" s="88">
        <v>45696</v>
      </c>
      <c r="E1035" s="43">
        <v>22972000</v>
      </c>
      <c r="F1035" s="44">
        <f t="shared" si="52"/>
        <v>1837760</v>
      </c>
      <c r="G1035" s="45">
        <f t="shared" si="53"/>
        <v>24809760</v>
      </c>
      <c r="H1035" s="46">
        <v>24809760</v>
      </c>
      <c r="I1035" s="47">
        <f t="shared" si="51"/>
        <v>0</v>
      </c>
      <c r="J1035" s="48">
        <v>45696</v>
      </c>
      <c r="K1035" s="49">
        <v>45792</v>
      </c>
      <c r="L1035" s="50" t="s">
        <v>2642</v>
      </c>
    </row>
    <row r="1036" spans="1:12" ht="15" customHeight="1" x14ac:dyDescent="0.35">
      <c r="A1036" s="85" t="s">
        <v>37</v>
      </c>
      <c r="B1036" s="86" t="s">
        <v>586</v>
      </c>
      <c r="C1036" s="87"/>
      <c r="D1036" s="88" t="s">
        <v>2631</v>
      </c>
      <c r="E1036" s="43">
        <v>31805000</v>
      </c>
      <c r="F1036" s="44">
        <f t="shared" si="52"/>
        <v>2544400</v>
      </c>
      <c r="G1036" s="45">
        <f t="shared" si="53"/>
        <v>34349400</v>
      </c>
      <c r="H1036" s="46">
        <v>34349400</v>
      </c>
      <c r="I1036" s="47">
        <f t="shared" si="51"/>
        <v>0</v>
      </c>
      <c r="J1036" s="48">
        <v>45696</v>
      </c>
      <c r="K1036" s="49">
        <v>45792</v>
      </c>
      <c r="L1036" s="50" t="s">
        <v>2643</v>
      </c>
    </row>
    <row r="1037" spans="1:12" ht="15" customHeight="1" x14ac:dyDescent="0.35">
      <c r="A1037" s="85" t="s">
        <v>206</v>
      </c>
      <c r="B1037" s="86" t="s">
        <v>2636</v>
      </c>
      <c r="C1037" s="87">
        <v>579</v>
      </c>
      <c r="D1037" s="88">
        <v>45696</v>
      </c>
      <c r="E1037" s="43">
        <v>15344000</v>
      </c>
      <c r="F1037" s="44">
        <f t="shared" si="52"/>
        <v>1227520</v>
      </c>
      <c r="G1037" s="45">
        <f t="shared" si="53"/>
        <v>16571520</v>
      </c>
      <c r="H1037" s="46">
        <v>16571520</v>
      </c>
      <c r="I1037" s="47">
        <f t="shared" si="51"/>
        <v>0</v>
      </c>
      <c r="J1037" s="48">
        <v>45696</v>
      </c>
      <c r="K1037" s="49">
        <v>45792</v>
      </c>
      <c r="L1037" s="50" t="s">
        <v>2986</v>
      </c>
    </row>
    <row r="1038" spans="1:12" ht="15" customHeight="1" x14ac:dyDescent="0.35">
      <c r="A1038" s="85" t="s">
        <v>303</v>
      </c>
      <c r="B1038" s="86">
        <v>462</v>
      </c>
      <c r="C1038" s="87"/>
      <c r="D1038" s="88">
        <v>45678</v>
      </c>
      <c r="E1038" s="43">
        <v>1920000</v>
      </c>
      <c r="F1038" s="44">
        <f t="shared" si="52"/>
        <v>153600</v>
      </c>
      <c r="G1038" s="45">
        <f t="shared" si="53"/>
        <v>2073600</v>
      </c>
      <c r="H1038" s="46">
        <v>2073600</v>
      </c>
      <c r="I1038" s="47">
        <f t="shared" si="51"/>
        <v>0</v>
      </c>
      <c r="J1038" s="48">
        <v>45696</v>
      </c>
      <c r="K1038" s="49">
        <v>45792</v>
      </c>
      <c r="L1038" s="50" t="s">
        <v>2644</v>
      </c>
    </row>
    <row r="1039" spans="1:12" ht="15" customHeight="1" x14ac:dyDescent="0.35">
      <c r="A1039" s="85" t="s">
        <v>71</v>
      </c>
      <c r="B1039" s="86" t="s">
        <v>92</v>
      </c>
      <c r="C1039" s="87"/>
      <c r="D1039" s="88" t="s">
        <v>2654</v>
      </c>
      <c r="E1039" s="43">
        <v>2880000</v>
      </c>
      <c r="F1039" s="44"/>
      <c r="G1039" s="45"/>
      <c r="H1039" s="46"/>
      <c r="I1039" s="47">
        <f t="shared" si="51"/>
        <v>0</v>
      </c>
      <c r="J1039" s="175" t="s">
        <v>36</v>
      </c>
      <c r="K1039" s="49"/>
      <c r="L1039" s="50"/>
    </row>
    <row r="1040" spans="1:12" ht="15" customHeight="1" x14ac:dyDescent="0.35">
      <c r="A1040" s="85" t="s">
        <v>71</v>
      </c>
      <c r="B1040" s="86" t="s">
        <v>118</v>
      </c>
      <c r="C1040" s="87"/>
      <c r="D1040" s="88" t="s">
        <v>2654</v>
      </c>
      <c r="E1040" s="43">
        <v>5760000</v>
      </c>
      <c r="F1040" s="44">
        <f t="shared" si="52"/>
        <v>460800</v>
      </c>
      <c r="G1040" s="45">
        <f t="shared" si="53"/>
        <v>6220800</v>
      </c>
      <c r="H1040" s="46">
        <v>6220800</v>
      </c>
      <c r="I1040" s="47">
        <f t="shared" si="51"/>
        <v>0</v>
      </c>
      <c r="J1040" s="48">
        <v>45717</v>
      </c>
      <c r="K1040" s="49">
        <v>45802</v>
      </c>
      <c r="L1040" s="50" t="s">
        <v>2659</v>
      </c>
    </row>
    <row r="1041" spans="1:12" ht="15" customHeight="1" x14ac:dyDescent="0.35">
      <c r="A1041" s="85" t="s">
        <v>29</v>
      </c>
      <c r="B1041" s="86" t="s">
        <v>2645</v>
      </c>
      <c r="C1041" s="87"/>
      <c r="D1041" s="88" t="s">
        <v>2655</v>
      </c>
      <c r="E1041" s="43">
        <v>1040000</v>
      </c>
      <c r="F1041" s="44">
        <f t="shared" si="52"/>
        <v>83200</v>
      </c>
      <c r="G1041" s="45">
        <f t="shared" si="53"/>
        <v>1123200</v>
      </c>
      <c r="H1041" s="46">
        <v>1123200</v>
      </c>
      <c r="I1041" s="47">
        <f t="shared" si="51"/>
        <v>0</v>
      </c>
      <c r="J1041" s="48">
        <v>45717</v>
      </c>
      <c r="K1041" s="49">
        <v>45802</v>
      </c>
      <c r="L1041" s="50" t="s">
        <v>2660</v>
      </c>
    </row>
    <row r="1042" spans="1:12" ht="15" customHeight="1" x14ac:dyDescent="0.35">
      <c r="A1042" s="85" t="s">
        <v>56</v>
      </c>
      <c r="B1042" s="86" t="s">
        <v>2646</v>
      </c>
      <c r="C1042" s="87"/>
      <c r="D1042" s="88" t="s">
        <v>2656</v>
      </c>
      <c r="E1042" s="43">
        <v>8205000</v>
      </c>
      <c r="F1042" s="44">
        <f t="shared" si="52"/>
        <v>656400</v>
      </c>
      <c r="G1042" s="45">
        <f t="shared" si="53"/>
        <v>8861400</v>
      </c>
      <c r="H1042" s="46">
        <v>8861400</v>
      </c>
      <c r="I1042" s="47">
        <f t="shared" si="51"/>
        <v>0</v>
      </c>
      <c r="J1042" s="48">
        <v>45717</v>
      </c>
      <c r="K1042" s="49">
        <v>45802</v>
      </c>
      <c r="L1042" s="50" t="s">
        <v>2661</v>
      </c>
    </row>
    <row r="1043" spans="1:12" ht="15" customHeight="1" x14ac:dyDescent="0.35">
      <c r="A1043" s="85" t="s">
        <v>85</v>
      </c>
      <c r="B1043" s="86" t="s">
        <v>2647</v>
      </c>
      <c r="C1043" s="87"/>
      <c r="D1043" s="88" t="s">
        <v>2656</v>
      </c>
      <c r="E1043" s="43">
        <v>6605000</v>
      </c>
      <c r="F1043" s="44">
        <f t="shared" si="52"/>
        <v>528400</v>
      </c>
      <c r="G1043" s="45">
        <f t="shared" si="53"/>
        <v>7133400</v>
      </c>
      <c r="H1043" s="46">
        <v>7133400</v>
      </c>
      <c r="I1043" s="47">
        <f t="shared" si="51"/>
        <v>0</v>
      </c>
      <c r="J1043" s="48">
        <v>45717</v>
      </c>
      <c r="K1043" s="49">
        <v>45802</v>
      </c>
      <c r="L1043" s="50" t="s">
        <v>2662</v>
      </c>
    </row>
    <row r="1044" spans="1:12" ht="15" customHeight="1" x14ac:dyDescent="0.35">
      <c r="A1044" s="85" t="s">
        <v>66</v>
      </c>
      <c r="B1044" s="86" t="s">
        <v>2648</v>
      </c>
      <c r="C1044" s="87"/>
      <c r="D1044" s="88" t="s">
        <v>2656</v>
      </c>
      <c r="E1044" s="43">
        <v>2320000</v>
      </c>
      <c r="F1044" s="44">
        <f t="shared" si="52"/>
        <v>185600</v>
      </c>
      <c r="G1044" s="45">
        <f t="shared" si="53"/>
        <v>2505600</v>
      </c>
      <c r="H1044" s="46">
        <v>2505600</v>
      </c>
      <c r="I1044" s="47">
        <f t="shared" si="51"/>
        <v>0</v>
      </c>
      <c r="J1044" s="48">
        <v>45717</v>
      </c>
      <c r="K1044" s="49">
        <v>45802</v>
      </c>
      <c r="L1044" s="50" t="s">
        <v>2663</v>
      </c>
    </row>
    <row r="1045" spans="1:12" ht="15" customHeight="1" x14ac:dyDescent="0.35">
      <c r="A1045" s="85" t="s">
        <v>33</v>
      </c>
      <c r="B1045" s="86" t="s">
        <v>2649</v>
      </c>
      <c r="C1045" s="87">
        <v>951</v>
      </c>
      <c r="D1045" s="88">
        <v>45717</v>
      </c>
      <c r="E1045" s="43">
        <v>6409000</v>
      </c>
      <c r="F1045" s="44">
        <f t="shared" si="52"/>
        <v>512720</v>
      </c>
      <c r="G1045" s="45">
        <f t="shared" si="53"/>
        <v>6921720</v>
      </c>
      <c r="H1045" s="46">
        <v>6921720</v>
      </c>
      <c r="I1045" s="47">
        <f t="shared" si="51"/>
        <v>0</v>
      </c>
      <c r="J1045" s="48">
        <v>45717</v>
      </c>
      <c r="K1045" s="49">
        <v>45802</v>
      </c>
      <c r="L1045" s="50" t="s">
        <v>2664</v>
      </c>
    </row>
    <row r="1046" spans="1:12" ht="15" customHeight="1" x14ac:dyDescent="0.35">
      <c r="A1046" s="85" t="s">
        <v>66</v>
      </c>
      <c r="B1046" s="86" t="s">
        <v>2650</v>
      </c>
      <c r="C1046" s="87"/>
      <c r="D1046" s="88" t="s">
        <v>2657</v>
      </c>
      <c r="E1046" s="43">
        <v>3684000</v>
      </c>
      <c r="F1046" s="44">
        <f t="shared" si="52"/>
        <v>294720</v>
      </c>
      <c r="G1046" s="45">
        <f t="shared" si="53"/>
        <v>3978720</v>
      </c>
      <c r="H1046" s="46">
        <v>3978720</v>
      </c>
      <c r="I1046" s="47">
        <f t="shared" si="51"/>
        <v>0</v>
      </c>
      <c r="J1046" s="48">
        <v>45717</v>
      </c>
      <c r="K1046" s="49">
        <v>45802</v>
      </c>
      <c r="L1046" s="50" t="s">
        <v>2665</v>
      </c>
    </row>
    <row r="1047" spans="1:12" ht="15" customHeight="1" x14ac:dyDescent="0.35">
      <c r="A1047" s="85" t="s">
        <v>29</v>
      </c>
      <c r="B1047" s="86" t="s">
        <v>2651</v>
      </c>
      <c r="C1047" s="87">
        <v>952</v>
      </c>
      <c r="D1047" s="88">
        <v>45717</v>
      </c>
      <c r="E1047" s="43">
        <v>26444000</v>
      </c>
      <c r="F1047" s="44">
        <f t="shared" si="52"/>
        <v>2115520</v>
      </c>
      <c r="G1047" s="45">
        <f t="shared" si="53"/>
        <v>28559520</v>
      </c>
      <c r="H1047" s="46">
        <v>28559520</v>
      </c>
      <c r="I1047" s="47">
        <f t="shared" si="51"/>
        <v>0</v>
      </c>
      <c r="J1047" s="48">
        <v>45717</v>
      </c>
      <c r="K1047" s="49">
        <v>45802</v>
      </c>
      <c r="L1047" s="50" t="s">
        <v>2666</v>
      </c>
    </row>
    <row r="1048" spans="1:12" ht="15" customHeight="1" x14ac:dyDescent="0.35">
      <c r="A1048" s="85" t="s">
        <v>29</v>
      </c>
      <c r="B1048" s="86" t="s">
        <v>2652</v>
      </c>
      <c r="C1048" s="87"/>
      <c r="D1048" s="88" t="s">
        <v>2658</v>
      </c>
      <c r="E1048" s="43">
        <v>624000</v>
      </c>
      <c r="F1048" s="44">
        <f t="shared" si="52"/>
        <v>49920</v>
      </c>
      <c r="G1048" s="45">
        <f t="shared" si="53"/>
        <v>673920</v>
      </c>
      <c r="H1048" s="46">
        <v>673920</v>
      </c>
      <c r="I1048" s="47">
        <f t="shared" si="51"/>
        <v>0</v>
      </c>
      <c r="J1048" s="48">
        <v>45717</v>
      </c>
      <c r="K1048" s="49">
        <v>45802</v>
      </c>
      <c r="L1048" s="50" t="s">
        <v>2667</v>
      </c>
    </row>
    <row r="1049" spans="1:12" ht="15" customHeight="1" x14ac:dyDescent="0.35">
      <c r="A1049" s="85" t="s">
        <v>85</v>
      </c>
      <c r="B1049" s="86" t="s">
        <v>2653</v>
      </c>
      <c r="C1049" s="87"/>
      <c r="D1049" s="88" t="s">
        <v>2658</v>
      </c>
      <c r="E1049" s="43">
        <v>1920000</v>
      </c>
      <c r="F1049" s="44">
        <f t="shared" si="52"/>
        <v>153600</v>
      </c>
      <c r="G1049" s="45">
        <f t="shared" si="53"/>
        <v>2073600</v>
      </c>
      <c r="H1049" s="46">
        <v>2073600</v>
      </c>
      <c r="I1049" s="47">
        <f t="shared" si="51"/>
        <v>0</v>
      </c>
      <c r="J1049" s="48">
        <v>45717</v>
      </c>
      <c r="K1049" s="49">
        <v>45802</v>
      </c>
      <c r="L1049" s="50" t="s">
        <v>2668</v>
      </c>
    </row>
    <row r="1050" spans="1:12" ht="15" customHeight="1" x14ac:dyDescent="0.35">
      <c r="A1050" s="85" t="s">
        <v>66</v>
      </c>
      <c r="B1050" s="86" t="s">
        <v>579</v>
      </c>
      <c r="C1050" s="87"/>
      <c r="D1050" s="88" t="s">
        <v>2658</v>
      </c>
      <c r="E1050" s="43">
        <v>960000</v>
      </c>
      <c r="F1050" s="44">
        <f t="shared" si="52"/>
        <v>76800</v>
      </c>
      <c r="G1050" s="45">
        <f t="shared" si="53"/>
        <v>1036800</v>
      </c>
      <c r="H1050" s="46">
        <v>1036800</v>
      </c>
      <c r="I1050" s="47">
        <f t="shared" ref="I1050:I1108" si="54">G1050-H1050</f>
        <v>0</v>
      </c>
      <c r="J1050" s="48">
        <v>45717</v>
      </c>
      <c r="K1050" s="49">
        <v>45802</v>
      </c>
      <c r="L1050" s="50" t="s">
        <v>2669</v>
      </c>
    </row>
    <row r="1051" spans="1:12" ht="15" customHeight="1" x14ac:dyDescent="0.35">
      <c r="A1051" s="85" t="s">
        <v>33</v>
      </c>
      <c r="B1051" s="86" t="s">
        <v>548</v>
      </c>
      <c r="C1051" s="87">
        <v>953</v>
      </c>
      <c r="D1051" s="88">
        <v>45717</v>
      </c>
      <c r="E1051" s="43">
        <v>23948500</v>
      </c>
      <c r="F1051" s="44">
        <f t="shared" ref="F1051:F1109" si="55">+E1051*0.08</f>
        <v>1915880</v>
      </c>
      <c r="G1051" s="45">
        <f t="shared" ref="G1051:G1109" si="56">E1051+F1051</f>
        <v>25864380</v>
      </c>
      <c r="H1051" s="46">
        <v>25864380</v>
      </c>
      <c r="I1051" s="47">
        <f t="shared" si="54"/>
        <v>0</v>
      </c>
      <c r="J1051" s="48">
        <v>45717</v>
      </c>
      <c r="K1051" s="49">
        <v>45802</v>
      </c>
      <c r="L1051" s="50" t="s">
        <v>2670</v>
      </c>
    </row>
    <row r="1052" spans="1:12" ht="15" customHeight="1" x14ac:dyDescent="0.35">
      <c r="A1052" s="85" t="s">
        <v>37</v>
      </c>
      <c r="B1052" s="86" t="s">
        <v>2754</v>
      </c>
      <c r="C1052" s="87"/>
      <c r="D1052" s="88" t="s">
        <v>2772</v>
      </c>
      <c r="E1052" s="43">
        <v>53700000</v>
      </c>
      <c r="F1052" s="44">
        <f t="shared" si="55"/>
        <v>4296000</v>
      </c>
      <c r="G1052" s="45">
        <f t="shared" si="56"/>
        <v>57996000</v>
      </c>
      <c r="H1052" s="46">
        <v>57996000</v>
      </c>
      <c r="I1052" s="47">
        <f t="shared" si="54"/>
        <v>0</v>
      </c>
      <c r="J1052" s="48">
        <v>45717</v>
      </c>
      <c r="K1052" s="49">
        <v>45802</v>
      </c>
      <c r="L1052" s="50" t="s">
        <v>2761</v>
      </c>
    </row>
    <row r="1053" spans="1:12" ht="15" customHeight="1" x14ac:dyDescent="0.35">
      <c r="A1053" s="85" t="s">
        <v>37</v>
      </c>
      <c r="B1053" s="86" t="s">
        <v>2755</v>
      </c>
      <c r="C1053" s="87"/>
      <c r="D1053" s="88" t="s">
        <v>2772</v>
      </c>
      <c r="E1053" s="43">
        <v>1960000</v>
      </c>
      <c r="F1053" s="44">
        <f t="shared" si="55"/>
        <v>156800</v>
      </c>
      <c r="G1053" s="45">
        <f t="shared" si="56"/>
        <v>2116800</v>
      </c>
      <c r="H1053" s="46">
        <v>2116800</v>
      </c>
      <c r="I1053" s="47">
        <f t="shared" si="54"/>
        <v>0</v>
      </c>
      <c r="J1053" s="48">
        <v>45717</v>
      </c>
      <c r="K1053" s="49">
        <v>45802</v>
      </c>
      <c r="L1053" s="50" t="s">
        <v>2762</v>
      </c>
    </row>
    <row r="1054" spans="1:12" ht="15" customHeight="1" x14ac:dyDescent="0.35">
      <c r="A1054" s="85" t="s">
        <v>37</v>
      </c>
      <c r="B1054" s="86" t="s">
        <v>2756</v>
      </c>
      <c r="C1054" s="87"/>
      <c r="D1054" s="88" t="s">
        <v>2772</v>
      </c>
      <c r="E1054" s="43">
        <v>18660000</v>
      </c>
      <c r="F1054" s="44">
        <f t="shared" si="55"/>
        <v>1492800</v>
      </c>
      <c r="G1054" s="45">
        <f t="shared" si="56"/>
        <v>20152800</v>
      </c>
      <c r="H1054" s="46">
        <v>20152800</v>
      </c>
      <c r="I1054" s="47">
        <f t="shared" si="54"/>
        <v>0</v>
      </c>
      <c r="J1054" s="48">
        <v>45717</v>
      </c>
      <c r="K1054" s="49">
        <v>45802</v>
      </c>
      <c r="L1054" s="50" t="s">
        <v>2763</v>
      </c>
    </row>
    <row r="1055" spans="1:12" ht="15" customHeight="1" x14ac:dyDescent="0.35">
      <c r="A1055" s="85" t="s">
        <v>37</v>
      </c>
      <c r="B1055" s="86" t="s">
        <v>2757</v>
      </c>
      <c r="C1055" s="87"/>
      <c r="D1055" s="88" t="s">
        <v>2773</v>
      </c>
      <c r="E1055" s="43">
        <v>1040000</v>
      </c>
      <c r="F1055" s="44">
        <f t="shared" si="55"/>
        <v>83200</v>
      </c>
      <c r="G1055" s="45">
        <f t="shared" si="56"/>
        <v>1123200</v>
      </c>
      <c r="H1055" s="46">
        <v>1123200</v>
      </c>
      <c r="I1055" s="47">
        <f t="shared" si="54"/>
        <v>0</v>
      </c>
      <c r="J1055" s="48">
        <v>45717</v>
      </c>
      <c r="K1055" s="49">
        <v>45802</v>
      </c>
      <c r="L1055" s="50" t="s">
        <v>2764</v>
      </c>
    </row>
    <row r="1056" spans="1:12" ht="15" customHeight="1" x14ac:dyDescent="0.35">
      <c r="A1056" s="85" t="s">
        <v>37</v>
      </c>
      <c r="B1056" s="86" t="s">
        <v>744</v>
      </c>
      <c r="C1056" s="87"/>
      <c r="D1056" s="88" t="s">
        <v>2774</v>
      </c>
      <c r="E1056" s="43">
        <v>16160000</v>
      </c>
      <c r="F1056" s="44">
        <f t="shared" si="55"/>
        <v>1292800</v>
      </c>
      <c r="G1056" s="45">
        <f t="shared" si="56"/>
        <v>17452800</v>
      </c>
      <c r="H1056" s="46">
        <v>17452800</v>
      </c>
      <c r="I1056" s="47">
        <f t="shared" si="54"/>
        <v>0</v>
      </c>
      <c r="J1056" s="48">
        <v>45717</v>
      </c>
      <c r="K1056" s="49">
        <v>45802</v>
      </c>
      <c r="L1056" s="50" t="s">
        <v>2765</v>
      </c>
    </row>
    <row r="1057" spans="1:12" ht="15" customHeight="1" x14ac:dyDescent="0.35">
      <c r="A1057" s="85" t="s">
        <v>66</v>
      </c>
      <c r="B1057" s="86" t="s">
        <v>746</v>
      </c>
      <c r="C1057" s="87"/>
      <c r="D1057" s="88" t="s">
        <v>2774</v>
      </c>
      <c r="E1057" s="43">
        <v>2000000</v>
      </c>
      <c r="F1057" s="44">
        <f t="shared" si="55"/>
        <v>160000</v>
      </c>
      <c r="G1057" s="45">
        <f t="shared" si="56"/>
        <v>2160000</v>
      </c>
      <c r="H1057" s="46">
        <v>2160000</v>
      </c>
      <c r="I1057" s="47">
        <f t="shared" si="54"/>
        <v>0</v>
      </c>
      <c r="J1057" s="48">
        <v>45717</v>
      </c>
      <c r="K1057" s="49">
        <v>45802</v>
      </c>
      <c r="L1057" s="50" t="s">
        <v>2766</v>
      </c>
    </row>
    <row r="1058" spans="1:12" ht="15" customHeight="1" x14ac:dyDescent="0.35">
      <c r="A1058" s="85" t="s">
        <v>56</v>
      </c>
      <c r="B1058" s="86" t="s">
        <v>747</v>
      </c>
      <c r="C1058" s="87"/>
      <c r="D1058" s="88" t="s">
        <v>2774</v>
      </c>
      <c r="E1058" s="43">
        <v>1920000</v>
      </c>
      <c r="F1058" s="44">
        <f t="shared" si="55"/>
        <v>153600</v>
      </c>
      <c r="G1058" s="45">
        <f t="shared" si="56"/>
        <v>2073600</v>
      </c>
      <c r="H1058" s="46">
        <v>2073600</v>
      </c>
      <c r="I1058" s="47">
        <f t="shared" si="54"/>
        <v>0</v>
      </c>
      <c r="J1058" s="48">
        <v>45717</v>
      </c>
      <c r="K1058" s="49">
        <v>45802</v>
      </c>
      <c r="L1058" s="50" t="s">
        <v>2767</v>
      </c>
    </row>
    <row r="1059" spans="1:12" ht="15" customHeight="1" x14ac:dyDescent="0.35">
      <c r="A1059" s="85" t="s">
        <v>85</v>
      </c>
      <c r="B1059" s="86" t="s">
        <v>748</v>
      </c>
      <c r="C1059" s="87"/>
      <c r="D1059" s="88" t="s">
        <v>2774</v>
      </c>
      <c r="E1059" s="43">
        <v>7165000</v>
      </c>
      <c r="F1059" s="44">
        <f t="shared" si="55"/>
        <v>573200</v>
      </c>
      <c r="G1059" s="45">
        <f t="shared" si="56"/>
        <v>7738200</v>
      </c>
      <c r="H1059" s="46">
        <v>7738200</v>
      </c>
      <c r="I1059" s="47">
        <f t="shared" si="54"/>
        <v>0</v>
      </c>
      <c r="J1059" s="48">
        <v>45717</v>
      </c>
      <c r="K1059" s="49">
        <v>45802</v>
      </c>
      <c r="L1059" s="50" t="s">
        <v>2768</v>
      </c>
    </row>
    <row r="1060" spans="1:12" ht="15" customHeight="1" x14ac:dyDescent="0.35">
      <c r="A1060" s="85" t="s">
        <v>29</v>
      </c>
      <c r="B1060" s="86" t="s">
        <v>2758</v>
      </c>
      <c r="C1060" s="87">
        <v>954</v>
      </c>
      <c r="D1060" s="88">
        <v>45717</v>
      </c>
      <c r="E1060" s="43">
        <v>33852000</v>
      </c>
      <c r="F1060" s="44">
        <f t="shared" si="55"/>
        <v>2708160</v>
      </c>
      <c r="G1060" s="45">
        <f t="shared" si="56"/>
        <v>36560160</v>
      </c>
      <c r="H1060" s="46">
        <v>36560160</v>
      </c>
      <c r="I1060" s="47">
        <f t="shared" si="54"/>
        <v>0</v>
      </c>
      <c r="J1060" s="48">
        <v>45717</v>
      </c>
      <c r="K1060" s="49">
        <v>45802</v>
      </c>
      <c r="L1060" s="50" t="s">
        <v>2769</v>
      </c>
    </row>
    <row r="1061" spans="1:12" ht="15" customHeight="1" x14ac:dyDescent="0.35">
      <c r="A1061" s="85" t="s">
        <v>29</v>
      </c>
      <c r="B1061" s="86" t="s">
        <v>2759</v>
      </c>
      <c r="C1061" s="87"/>
      <c r="D1061" s="88" t="s">
        <v>2775</v>
      </c>
      <c r="E1061" s="43">
        <v>1005000</v>
      </c>
      <c r="F1061" s="44"/>
      <c r="G1061" s="45"/>
      <c r="H1061" s="46"/>
      <c r="I1061" s="47">
        <f t="shared" si="54"/>
        <v>0</v>
      </c>
      <c r="J1061" s="48" t="s">
        <v>2896</v>
      </c>
      <c r="K1061" s="49"/>
      <c r="L1061" s="50" t="s">
        <v>2770</v>
      </c>
    </row>
    <row r="1062" spans="1:12" ht="15" customHeight="1" x14ac:dyDescent="0.35">
      <c r="A1062" s="85" t="s">
        <v>29</v>
      </c>
      <c r="B1062" s="86" t="s">
        <v>2760</v>
      </c>
      <c r="C1062" s="87"/>
      <c r="D1062" s="88" t="s">
        <v>2776</v>
      </c>
      <c r="E1062" s="43">
        <v>23015000</v>
      </c>
      <c r="F1062" s="44"/>
      <c r="G1062" s="45"/>
      <c r="H1062" s="46"/>
      <c r="I1062" s="47">
        <f t="shared" si="54"/>
        <v>0</v>
      </c>
      <c r="J1062" s="48" t="s">
        <v>36</v>
      </c>
      <c r="K1062" s="49"/>
      <c r="L1062" s="50" t="s">
        <v>2771</v>
      </c>
    </row>
    <row r="1063" spans="1:12" ht="15" customHeight="1" x14ac:dyDescent="0.35">
      <c r="A1063" s="85" t="s">
        <v>33</v>
      </c>
      <c r="B1063" s="86" t="s">
        <v>2847</v>
      </c>
      <c r="C1063" s="87">
        <v>1345</v>
      </c>
      <c r="D1063" s="88">
        <v>45743</v>
      </c>
      <c r="E1063" s="43">
        <v>36366000</v>
      </c>
      <c r="F1063" s="44">
        <f t="shared" si="55"/>
        <v>2909280</v>
      </c>
      <c r="G1063" s="45">
        <f t="shared" si="56"/>
        <v>39275280</v>
      </c>
      <c r="H1063" s="46">
        <v>39275280</v>
      </c>
      <c r="I1063" s="47">
        <f t="shared" si="54"/>
        <v>0</v>
      </c>
      <c r="J1063" s="48">
        <v>45743</v>
      </c>
      <c r="K1063" s="49">
        <v>45833</v>
      </c>
      <c r="L1063" s="50" t="s">
        <v>2870</v>
      </c>
    </row>
    <row r="1064" spans="1:12" ht="15" customHeight="1" x14ac:dyDescent="0.35">
      <c r="A1064" s="85" t="s">
        <v>29</v>
      </c>
      <c r="B1064" s="86" t="s">
        <v>2848</v>
      </c>
      <c r="C1064" s="87">
        <v>1346</v>
      </c>
      <c r="D1064" s="88">
        <v>45743</v>
      </c>
      <c r="E1064" s="43">
        <v>30144500</v>
      </c>
      <c r="F1064" s="44">
        <f t="shared" si="55"/>
        <v>2411560</v>
      </c>
      <c r="G1064" s="45">
        <f t="shared" si="56"/>
        <v>32556060</v>
      </c>
      <c r="H1064" s="46">
        <v>32556060</v>
      </c>
      <c r="I1064" s="47">
        <f t="shared" si="54"/>
        <v>0</v>
      </c>
      <c r="J1064" s="48">
        <v>45743</v>
      </c>
      <c r="K1064" s="49">
        <v>45833</v>
      </c>
      <c r="L1064" s="50" t="s">
        <v>2871</v>
      </c>
    </row>
    <row r="1065" spans="1:12" ht="15" customHeight="1" x14ac:dyDescent="0.35">
      <c r="A1065" s="85" t="s">
        <v>56</v>
      </c>
      <c r="B1065" s="86" t="s">
        <v>2849</v>
      </c>
      <c r="C1065" s="87"/>
      <c r="D1065" s="88" t="s">
        <v>2863</v>
      </c>
      <c r="E1065" s="43">
        <v>960000</v>
      </c>
      <c r="F1065" s="44">
        <f t="shared" si="55"/>
        <v>76800</v>
      </c>
      <c r="G1065" s="45">
        <f t="shared" si="56"/>
        <v>1036800</v>
      </c>
      <c r="H1065" s="46">
        <v>1036800</v>
      </c>
      <c r="I1065" s="47">
        <f t="shared" si="54"/>
        <v>0</v>
      </c>
      <c r="J1065" s="48">
        <v>45743</v>
      </c>
      <c r="K1065" s="49">
        <v>45833</v>
      </c>
      <c r="L1065" s="50" t="s">
        <v>2872</v>
      </c>
    </row>
    <row r="1066" spans="1:12" ht="15" customHeight="1" x14ac:dyDescent="0.35">
      <c r="A1066" s="85" t="s">
        <v>66</v>
      </c>
      <c r="B1066" s="86" t="s">
        <v>2850</v>
      </c>
      <c r="C1066" s="87"/>
      <c r="D1066" s="88" t="s">
        <v>2863</v>
      </c>
      <c r="E1066" s="43">
        <v>1584000</v>
      </c>
      <c r="F1066" s="44">
        <f t="shared" si="55"/>
        <v>126720</v>
      </c>
      <c r="G1066" s="45">
        <f t="shared" si="56"/>
        <v>1710720</v>
      </c>
      <c r="H1066" s="46">
        <v>1710720</v>
      </c>
      <c r="I1066" s="47">
        <f t="shared" si="54"/>
        <v>0</v>
      </c>
      <c r="J1066" s="48">
        <v>45743</v>
      </c>
      <c r="K1066" s="49">
        <v>45833</v>
      </c>
      <c r="L1066" s="50" t="s">
        <v>2873</v>
      </c>
    </row>
    <row r="1067" spans="1:12" ht="15" customHeight="1" x14ac:dyDescent="0.35">
      <c r="A1067" s="85" t="s">
        <v>37</v>
      </c>
      <c r="B1067" s="86" t="s">
        <v>345</v>
      </c>
      <c r="C1067" s="87"/>
      <c r="D1067" s="88" t="s">
        <v>2864</v>
      </c>
      <c r="E1067" s="43">
        <v>19140000</v>
      </c>
      <c r="F1067" s="44">
        <f t="shared" si="55"/>
        <v>1531200</v>
      </c>
      <c r="G1067" s="45">
        <f t="shared" si="56"/>
        <v>20671200</v>
      </c>
      <c r="H1067" s="46">
        <v>20671200</v>
      </c>
      <c r="I1067" s="47">
        <f t="shared" si="54"/>
        <v>0</v>
      </c>
      <c r="J1067" s="48">
        <v>45743</v>
      </c>
      <c r="K1067" s="49">
        <v>45833</v>
      </c>
      <c r="L1067" s="50" t="s">
        <v>2874</v>
      </c>
    </row>
    <row r="1068" spans="1:12" ht="15" customHeight="1" x14ac:dyDescent="0.35">
      <c r="A1068" s="85" t="s">
        <v>37</v>
      </c>
      <c r="B1068" s="86" t="s">
        <v>352</v>
      </c>
      <c r="C1068" s="87"/>
      <c r="D1068" s="88" t="s">
        <v>2864</v>
      </c>
      <c r="E1068" s="43">
        <v>14800000</v>
      </c>
      <c r="F1068" s="44">
        <f t="shared" si="55"/>
        <v>1184000</v>
      </c>
      <c r="G1068" s="45">
        <f t="shared" si="56"/>
        <v>15984000</v>
      </c>
      <c r="H1068" s="46">
        <v>15984000</v>
      </c>
      <c r="I1068" s="47">
        <f t="shared" si="54"/>
        <v>0</v>
      </c>
      <c r="J1068" s="48">
        <v>45743</v>
      </c>
      <c r="K1068" s="49">
        <v>45833</v>
      </c>
      <c r="L1068" s="50" t="s">
        <v>2875</v>
      </c>
    </row>
    <row r="1069" spans="1:12" ht="15" customHeight="1" x14ac:dyDescent="0.35">
      <c r="A1069" s="85" t="s">
        <v>37</v>
      </c>
      <c r="B1069" s="86" t="s">
        <v>2851</v>
      </c>
      <c r="C1069" s="87"/>
      <c r="D1069" s="88" t="s">
        <v>2865</v>
      </c>
      <c r="E1069" s="43">
        <v>960000</v>
      </c>
      <c r="F1069" s="44">
        <f t="shared" si="55"/>
        <v>76800</v>
      </c>
      <c r="G1069" s="45">
        <f t="shared" si="56"/>
        <v>1036800</v>
      </c>
      <c r="H1069" s="46">
        <v>1036800</v>
      </c>
      <c r="I1069" s="47">
        <f t="shared" si="54"/>
        <v>0</v>
      </c>
      <c r="J1069" s="48">
        <v>45743</v>
      </c>
      <c r="K1069" s="49">
        <v>45833</v>
      </c>
      <c r="L1069" s="50" t="s">
        <v>2876</v>
      </c>
    </row>
    <row r="1070" spans="1:12" ht="15" customHeight="1" x14ac:dyDescent="0.35">
      <c r="A1070" s="85" t="s">
        <v>37</v>
      </c>
      <c r="B1070" s="86" t="s">
        <v>2852</v>
      </c>
      <c r="C1070" s="87"/>
      <c r="D1070" s="88" t="s">
        <v>2866</v>
      </c>
      <c r="E1070" s="43">
        <v>1920000</v>
      </c>
      <c r="F1070" s="44">
        <f t="shared" si="55"/>
        <v>153600</v>
      </c>
      <c r="G1070" s="45">
        <f t="shared" si="56"/>
        <v>2073600</v>
      </c>
      <c r="H1070" s="46">
        <v>2073600</v>
      </c>
      <c r="I1070" s="47">
        <f t="shared" si="54"/>
        <v>0</v>
      </c>
      <c r="J1070" s="48">
        <v>45743</v>
      </c>
      <c r="K1070" s="49">
        <v>45833</v>
      </c>
      <c r="L1070" s="50" t="s">
        <v>2877</v>
      </c>
    </row>
    <row r="1071" spans="1:12" ht="15" customHeight="1" x14ac:dyDescent="0.35">
      <c r="A1071" s="85" t="s">
        <v>56</v>
      </c>
      <c r="B1071" s="86" t="s">
        <v>706</v>
      </c>
      <c r="C1071" s="87"/>
      <c r="D1071" s="88" t="s">
        <v>2866</v>
      </c>
      <c r="E1071" s="43">
        <v>520000</v>
      </c>
      <c r="F1071" s="44">
        <f t="shared" si="55"/>
        <v>41600</v>
      </c>
      <c r="G1071" s="45">
        <f t="shared" si="56"/>
        <v>561600</v>
      </c>
      <c r="H1071" s="46">
        <v>561600</v>
      </c>
      <c r="I1071" s="47">
        <f t="shared" si="54"/>
        <v>0</v>
      </c>
      <c r="J1071" s="48">
        <v>45743</v>
      </c>
      <c r="K1071" s="49">
        <v>45833</v>
      </c>
      <c r="L1071" s="50" t="s">
        <v>2878</v>
      </c>
    </row>
    <row r="1072" spans="1:12" ht="15" customHeight="1" x14ac:dyDescent="0.35">
      <c r="A1072" s="85" t="s">
        <v>66</v>
      </c>
      <c r="B1072" s="86" t="s">
        <v>2853</v>
      </c>
      <c r="C1072" s="87"/>
      <c r="D1072" s="88" t="s">
        <v>2866</v>
      </c>
      <c r="E1072" s="43">
        <v>1280000</v>
      </c>
      <c r="F1072" s="44">
        <f t="shared" si="55"/>
        <v>102400</v>
      </c>
      <c r="G1072" s="45">
        <f t="shared" si="56"/>
        <v>1382400</v>
      </c>
      <c r="H1072" s="46">
        <v>1382400</v>
      </c>
      <c r="I1072" s="47">
        <f t="shared" si="54"/>
        <v>0</v>
      </c>
      <c r="J1072" s="48">
        <v>45743</v>
      </c>
      <c r="K1072" s="49">
        <v>45833</v>
      </c>
      <c r="L1072" s="50" t="s">
        <v>2879</v>
      </c>
    </row>
    <row r="1073" spans="1:12" ht="15" customHeight="1" x14ac:dyDescent="0.35">
      <c r="A1073" s="85" t="s">
        <v>33</v>
      </c>
      <c r="B1073" s="86" t="s">
        <v>2854</v>
      </c>
      <c r="C1073" s="87">
        <v>1347</v>
      </c>
      <c r="D1073" s="88">
        <v>45743</v>
      </c>
      <c r="E1073" s="43">
        <v>11520000</v>
      </c>
      <c r="F1073" s="44">
        <f t="shared" si="55"/>
        <v>921600</v>
      </c>
      <c r="G1073" s="45">
        <f t="shared" si="56"/>
        <v>12441600</v>
      </c>
      <c r="H1073" s="46">
        <v>12441600</v>
      </c>
      <c r="I1073" s="47">
        <f t="shared" si="54"/>
        <v>0</v>
      </c>
      <c r="J1073" s="48">
        <v>45743</v>
      </c>
      <c r="K1073" s="49">
        <v>45833</v>
      </c>
      <c r="L1073" s="50" t="s">
        <v>2880</v>
      </c>
    </row>
    <row r="1074" spans="1:12" ht="15" customHeight="1" x14ac:dyDescent="0.35">
      <c r="A1074" s="85" t="s">
        <v>37</v>
      </c>
      <c r="B1074" s="86" t="s">
        <v>2855</v>
      </c>
      <c r="C1074" s="87"/>
      <c r="D1074" s="88" t="s">
        <v>2866</v>
      </c>
      <c r="E1074" s="43">
        <v>23920000</v>
      </c>
      <c r="F1074" s="44">
        <f t="shared" si="55"/>
        <v>1913600</v>
      </c>
      <c r="G1074" s="45">
        <f t="shared" si="56"/>
        <v>25833600</v>
      </c>
      <c r="H1074" s="46">
        <v>25833600</v>
      </c>
      <c r="I1074" s="47">
        <f t="shared" si="54"/>
        <v>0</v>
      </c>
      <c r="J1074" s="48">
        <v>45743</v>
      </c>
      <c r="K1074" s="49">
        <v>45833</v>
      </c>
      <c r="L1074" s="50" t="s">
        <v>2881</v>
      </c>
    </row>
    <row r="1075" spans="1:12" ht="15" customHeight="1" x14ac:dyDescent="0.35">
      <c r="A1075" s="85" t="s">
        <v>85</v>
      </c>
      <c r="B1075" s="86" t="s">
        <v>1032</v>
      </c>
      <c r="C1075" s="87"/>
      <c r="D1075" s="88" t="s">
        <v>2866</v>
      </c>
      <c r="E1075" s="43">
        <v>2960000</v>
      </c>
      <c r="F1075" s="44">
        <f t="shared" si="55"/>
        <v>236800</v>
      </c>
      <c r="G1075" s="45">
        <f t="shared" si="56"/>
        <v>3196800</v>
      </c>
      <c r="H1075" s="46">
        <v>3196800</v>
      </c>
      <c r="I1075" s="47">
        <f t="shared" si="54"/>
        <v>0</v>
      </c>
      <c r="J1075" s="48">
        <v>45743</v>
      </c>
      <c r="K1075" s="49">
        <v>45833</v>
      </c>
      <c r="L1075" s="50" t="s">
        <v>2882</v>
      </c>
    </row>
    <row r="1076" spans="1:12" ht="15" customHeight="1" x14ac:dyDescent="0.35">
      <c r="A1076" s="85" t="s">
        <v>29</v>
      </c>
      <c r="B1076" s="86" t="s">
        <v>2856</v>
      </c>
      <c r="C1076" s="87">
        <v>1348</v>
      </c>
      <c r="D1076" s="88">
        <v>45743</v>
      </c>
      <c r="E1076" s="43">
        <v>9320000</v>
      </c>
      <c r="F1076" s="44">
        <f t="shared" si="55"/>
        <v>745600</v>
      </c>
      <c r="G1076" s="45">
        <f t="shared" si="56"/>
        <v>10065600</v>
      </c>
      <c r="H1076" s="46">
        <v>10065600</v>
      </c>
      <c r="I1076" s="47">
        <f t="shared" si="54"/>
        <v>0</v>
      </c>
      <c r="J1076" s="48">
        <v>45743</v>
      </c>
      <c r="K1076" s="49">
        <v>45833</v>
      </c>
      <c r="L1076" s="50" t="s">
        <v>2883</v>
      </c>
    </row>
    <row r="1077" spans="1:12" ht="15" customHeight="1" x14ac:dyDescent="0.35">
      <c r="A1077" s="85" t="s">
        <v>33</v>
      </c>
      <c r="B1077" s="86" t="s">
        <v>2857</v>
      </c>
      <c r="C1077" s="87">
        <v>1349</v>
      </c>
      <c r="D1077" s="88">
        <v>45743</v>
      </c>
      <c r="E1077" s="43">
        <v>35731000</v>
      </c>
      <c r="F1077" s="44">
        <f t="shared" si="55"/>
        <v>2858480</v>
      </c>
      <c r="G1077" s="45">
        <f t="shared" si="56"/>
        <v>38589480</v>
      </c>
      <c r="H1077" s="46">
        <v>38589480</v>
      </c>
      <c r="I1077" s="47">
        <f t="shared" si="54"/>
        <v>0</v>
      </c>
      <c r="J1077" s="48">
        <v>45743</v>
      </c>
      <c r="K1077" s="49">
        <v>45833</v>
      </c>
      <c r="L1077" s="50" t="s">
        <v>2884</v>
      </c>
    </row>
    <row r="1078" spans="1:12" ht="15" customHeight="1" x14ac:dyDescent="0.35">
      <c r="A1078" s="85" t="s">
        <v>29</v>
      </c>
      <c r="B1078" s="86" t="s">
        <v>2858</v>
      </c>
      <c r="C1078" s="87">
        <v>1350</v>
      </c>
      <c r="D1078" s="88">
        <v>45743</v>
      </c>
      <c r="E1078" s="43">
        <v>4757500</v>
      </c>
      <c r="F1078" s="44">
        <f t="shared" si="55"/>
        <v>380600</v>
      </c>
      <c r="G1078" s="45">
        <f t="shared" si="56"/>
        <v>5138100</v>
      </c>
      <c r="H1078" s="46">
        <v>5138100</v>
      </c>
      <c r="I1078" s="47">
        <f t="shared" si="54"/>
        <v>0</v>
      </c>
      <c r="J1078" s="48">
        <v>45743</v>
      </c>
      <c r="K1078" s="49">
        <v>45833</v>
      </c>
      <c r="L1078" s="50" t="s">
        <v>2885</v>
      </c>
    </row>
    <row r="1079" spans="1:12" ht="15" customHeight="1" x14ac:dyDescent="0.35">
      <c r="A1079" s="85" t="s">
        <v>66</v>
      </c>
      <c r="B1079" s="86" t="s">
        <v>2859</v>
      </c>
      <c r="C1079" s="87"/>
      <c r="D1079" s="88" t="s">
        <v>2867</v>
      </c>
      <c r="E1079" s="43">
        <v>640000</v>
      </c>
      <c r="F1079" s="44">
        <f t="shared" si="55"/>
        <v>51200</v>
      </c>
      <c r="G1079" s="45">
        <f t="shared" si="56"/>
        <v>691200</v>
      </c>
      <c r="H1079" s="46">
        <v>691200</v>
      </c>
      <c r="I1079" s="47">
        <f t="shared" si="54"/>
        <v>0</v>
      </c>
      <c r="J1079" s="48">
        <v>45743</v>
      </c>
      <c r="K1079" s="49">
        <v>45833</v>
      </c>
      <c r="L1079" s="50" t="s">
        <v>2886</v>
      </c>
    </row>
    <row r="1080" spans="1:12" ht="15" customHeight="1" x14ac:dyDescent="0.35">
      <c r="A1080" s="85" t="s">
        <v>85</v>
      </c>
      <c r="B1080" s="86" t="s">
        <v>315</v>
      </c>
      <c r="C1080" s="87"/>
      <c r="D1080" s="88" t="s">
        <v>2867</v>
      </c>
      <c r="E1080" s="43">
        <v>4160000</v>
      </c>
      <c r="F1080" s="44">
        <f t="shared" si="55"/>
        <v>332800</v>
      </c>
      <c r="G1080" s="45">
        <f t="shared" si="56"/>
        <v>4492800</v>
      </c>
      <c r="H1080" s="46">
        <v>4492800</v>
      </c>
      <c r="I1080" s="47">
        <f t="shared" si="54"/>
        <v>0</v>
      </c>
      <c r="J1080" s="48">
        <v>45743</v>
      </c>
      <c r="K1080" s="49">
        <v>45833</v>
      </c>
      <c r="L1080" s="50" t="s">
        <v>2887</v>
      </c>
    </row>
    <row r="1081" spans="1:12" ht="15" customHeight="1" x14ac:dyDescent="0.35">
      <c r="A1081" s="85" t="s">
        <v>56</v>
      </c>
      <c r="B1081" s="86" t="s">
        <v>317</v>
      </c>
      <c r="C1081" s="87">
        <v>1351</v>
      </c>
      <c r="D1081" s="88">
        <v>45743</v>
      </c>
      <c r="E1081" s="43">
        <v>2360000</v>
      </c>
      <c r="F1081" s="44">
        <f t="shared" si="55"/>
        <v>188800</v>
      </c>
      <c r="G1081" s="45">
        <f t="shared" si="56"/>
        <v>2548800</v>
      </c>
      <c r="H1081" s="46">
        <v>2548800</v>
      </c>
      <c r="I1081" s="47">
        <f t="shared" si="54"/>
        <v>0</v>
      </c>
      <c r="J1081" s="48">
        <v>45743</v>
      </c>
      <c r="K1081" s="49">
        <v>45833</v>
      </c>
      <c r="L1081" s="50" t="s">
        <v>2888</v>
      </c>
    </row>
    <row r="1082" spans="1:12" ht="15" customHeight="1" x14ac:dyDescent="0.35">
      <c r="A1082" s="85" t="s">
        <v>37</v>
      </c>
      <c r="B1082" s="86" t="s">
        <v>2860</v>
      </c>
      <c r="C1082" s="87"/>
      <c r="D1082" s="88" t="s">
        <v>2867</v>
      </c>
      <c r="E1082" s="43">
        <v>11760000</v>
      </c>
      <c r="F1082" s="44">
        <f t="shared" si="55"/>
        <v>940800</v>
      </c>
      <c r="G1082" s="45">
        <f t="shared" si="56"/>
        <v>12700800</v>
      </c>
      <c r="H1082" s="46">
        <v>12700800</v>
      </c>
      <c r="I1082" s="47">
        <f t="shared" si="54"/>
        <v>0</v>
      </c>
      <c r="J1082" s="48">
        <v>45743</v>
      </c>
      <c r="K1082" s="49">
        <v>45833</v>
      </c>
      <c r="L1082" s="50" t="s">
        <v>2889</v>
      </c>
    </row>
    <row r="1083" spans="1:12" ht="15" customHeight="1" x14ac:dyDescent="0.35">
      <c r="A1083" s="85" t="s">
        <v>85</v>
      </c>
      <c r="B1083" s="86" t="s">
        <v>2861</v>
      </c>
      <c r="C1083" s="87">
        <v>1352</v>
      </c>
      <c r="D1083" s="88">
        <v>45743</v>
      </c>
      <c r="E1083" s="43">
        <v>5200000</v>
      </c>
      <c r="F1083" s="44">
        <f t="shared" si="55"/>
        <v>416000</v>
      </c>
      <c r="G1083" s="45">
        <f t="shared" si="56"/>
        <v>5616000</v>
      </c>
      <c r="H1083" s="46">
        <v>5616000</v>
      </c>
      <c r="I1083" s="47">
        <f t="shared" si="54"/>
        <v>0</v>
      </c>
      <c r="J1083" s="48">
        <v>45743</v>
      </c>
      <c r="K1083" s="49">
        <v>45833</v>
      </c>
      <c r="L1083" s="50" t="s">
        <v>2890</v>
      </c>
    </row>
    <row r="1084" spans="1:12" ht="15" customHeight="1" x14ac:dyDescent="0.35">
      <c r="A1084" s="85" t="s">
        <v>56</v>
      </c>
      <c r="B1084" s="86" t="s">
        <v>694</v>
      </c>
      <c r="C1084" s="87"/>
      <c r="D1084" s="88" t="s">
        <v>2868</v>
      </c>
      <c r="E1084" s="43">
        <v>3520000</v>
      </c>
      <c r="F1084" s="44">
        <f t="shared" si="55"/>
        <v>281600</v>
      </c>
      <c r="G1084" s="45">
        <f t="shared" si="56"/>
        <v>3801600</v>
      </c>
      <c r="H1084" s="46">
        <v>3801600</v>
      </c>
      <c r="I1084" s="47">
        <f t="shared" si="54"/>
        <v>0</v>
      </c>
      <c r="J1084" s="48">
        <v>45743</v>
      </c>
      <c r="K1084" s="49">
        <v>45833</v>
      </c>
      <c r="L1084" s="50" t="s">
        <v>2891</v>
      </c>
    </row>
    <row r="1085" spans="1:12" ht="15" customHeight="1" x14ac:dyDescent="0.35">
      <c r="A1085" s="85" t="s">
        <v>37</v>
      </c>
      <c r="B1085" s="86" t="s">
        <v>324</v>
      </c>
      <c r="C1085" s="87"/>
      <c r="D1085" s="88" t="s">
        <v>2868</v>
      </c>
      <c r="E1085" s="43">
        <v>8605000</v>
      </c>
      <c r="F1085" s="44">
        <f t="shared" si="55"/>
        <v>688400</v>
      </c>
      <c r="G1085" s="45">
        <f t="shared" si="56"/>
        <v>9293400</v>
      </c>
      <c r="H1085" s="46">
        <v>9293400</v>
      </c>
      <c r="I1085" s="47">
        <f t="shared" si="54"/>
        <v>0</v>
      </c>
      <c r="J1085" s="48">
        <v>45743</v>
      </c>
      <c r="K1085" s="49">
        <v>45833</v>
      </c>
      <c r="L1085" s="50" t="s">
        <v>2892</v>
      </c>
    </row>
    <row r="1086" spans="1:12" ht="15" customHeight="1" x14ac:dyDescent="0.35">
      <c r="A1086" s="85" t="s">
        <v>37</v>
      </c>
      <c r="B1086" s="86" t="s">
        <v>2862</v>
      </c>
      <c r="C1086" s="87"/>
      <c r="D1086" s="88" t="s">
        <v>2869</v>
      </c>
      <c r="E1086" s="43">
        <v>8280000</v>
      </c>
      <c r="F1086" s="44">
        <f t="shared" si="55"/>
        <v>662400</v>
      </c>
      <c r="G1086" s="45">
        <f t="shared" si="56"/>
        <v>8942400</v>
      </c>
      <c r="H1086" s="46">
        <v>8942400</v>
      </c>
      <c r="I1086" s="47">
        <f t="shared" si="54"/>
        <v>0</v>
      </c>
      <c r="J1086" s="48">
        <v>45743</v>
      </c>
      <c r="K1086" s="49">
        <v>45833</v>
      </c>
      <c r="L1086" s="50" t="s">
        <v>2893</v>
      </c>
    </row>
    <row r="1087" spans="1:12" ht="15" customHeight="1" x14ac:dyDescent="0.35">
      <c r="A1087" s="85" t="s">
        <v>29</v>
      </c>
      <c r="B1087" s="86" t="s">
        <v>349</v>
      </c>
      <c r="C1087" s="87">
        <v>1768</v>
      </c>
      <c r="D1087" s="88">
        <v>45764</v>
      </c>
      <c r="E1087" s="43">
        <v>16624000</v>
      </c>
      <c r="F1087" s="44">
        <f t="shared" si="55"/>
        <v>1329920</v>
      </c>
      <c r="G1087" s="45">
        <f t="shared" si="56"/>
        <v>17953920</v>
      </c>
      <c r="H1087" s="46">
        <v>17953920</v>
      </c>
      <c r="I1087" s="47">
        <f t="shared" si="54"/>
        <v>0</v>
      </c>
      <c r="J1087" s="48">
        <v>45764</v>
      </c>
      <c r="K1087" s="49">
        <v>45853</v>
      </c>
      <c r="L1087" s="50" t="s">
        <v>2894</v>
      </c>
    </row>
    <row r="1088" spans="1:12" ht="15" customHeight="1" x14ac:dyDescent="0.35">
      <c r="A1088" s="85" t="s">
        <v>33</v>
      </c>
      <c r="B1088" s="86" t="s">
        <v>40</v>
      </c>
      <c r="C1088" s="87">
        <v>1770</v>
      </c>
      <c r="D1088" s="88">
        <v>45764</v>
      </c>
      <c r="E1088" s="43">
        <v>53888500</v>
      </c>
      <c r="F1088" s="44">
        <f t="shared" si="55"/>
        <v>4311080</v>
      </c>
      <c r="G1088" s="45">
        <f t="shared" si="56"/>
        <v>58199580</v>
      </c>
      <c r="H1088" s="46">
        <v>58199580</v>
      </c>
      <c r="I1088" s="47">
        <f t="shared" si="54"/>
        <v>0</v>
      </c>
      <c r="J1088" s="48">
        <v>45764</v>
      </c>
      <c r="K1088" s="49">
        <v>45853</v>
      </c>
      <c r="L1088" s="50" t="s">
        <v>2895</v>
      </c>
    </row>
    <row r="1089" spans="1:12" ht="15" customHeight="1" x14ac:dyDescent="0.35">
      <c r="A1089" s="85" t="s">
        <v>37</v>
      </c>
      <c r="B1089" s="86" t="s">
        <v>2906</v>
      </c>
      <c r="C1089" s="87"/>
      <c r="D1089" s="88" t="s">
        <v>2912</v>
      </c>
      <c r="E1089" s="43">
        <v>9440000</v>
      </c>
      <c r="F1089" s="44">
        <f t="shared" si="55"/>
        <v>755200</v>
      </c>
      <c r="G1089" s="45">
        <f t="shared" si="56"/>
        <v>10195200</v>
      </c>
      <c r="H1089" s="46">
        <v>10195200</v>
      </c>
      <c r="I1089" s="47">
        <f t="shared" si="54"/>
        <v>0</v>
      </c>
      <c r="J1089" s="48">
        <v>45764</v>
      </c>
      <c r="K1089" s="49">
        <v>45853</v>
      </c>
      <c r="L1089" s="50" t="s">
        <v>2914</v>
      </c>
    </row>
    <row r="1090" spans="1:12" ht="15" customHeight="1" x14ac:dyDescent="0.35">
      <c r="A1090" s="85" t="s">
        <v>29</v>
      </c>
      <c r="B1090" s="86" t="s">
        <v>362</v>
      </c>
      <c r="C1090" s="87"/>
      <c r="D1090" s="88" t="s">
        <v>2912</v>
      </c>
      <c r="E1090" s="43">
        <v>1040000</v>
      </c>
      <c r="F1090" s="44">
        <f t="shared" si="55"/>
        <v>83200</v>
      </c>
      <c r="G1090" s="45">
        <f t="shared" si="56"/>
        <v>1123200</v>
      </c>
      <c r="H1090" s="46">
        <v>1123200</v>
      </c>
      <c r="I1090" s="47">
        <f t="shared" si="54"/>
        <v>0</v>
      </c>
      <c r="J1090" s="48">
        <v>45764</v>
      </c>
      <c r="K1090" s="49">
        <v>45853</v>
      </c>
      <c r="L1090" s="50" t="s">
        <v>2915</v>
      </c>
    </row>
    <row r="1091" spans="1:12" ht="15" customHeight="1" x14ac:dyDescent="0.35">
      <c r="A1091" s="85" t="s">
        <v>37</v>
      </c>
      <c r="B1091" s="86" t="s">
        <v>2907</v>
      </c>
      <c r="C1091" s="87"/>
      <c r="D1091" s="88" t="s">
        <v>2913</v>
      </c>
      <c r="E1091" s="43">
        <v>640000</v>
      </c>
      <c r="F1091" s="44">
        <f t="shared" si="55"/>
        <v>51200</v>
      </c>
      <c r="G1091" s="45">
        <f t="shared" si="56"/>
        <v>691200</v>
      </c>
      <c r="H1091" s="46">
        <v>691200</v>
      </c>
      <c r="I1091" s="47">
        <f t="shared" si="54"/>
        <v>0</v>
      </c>
      <c r="J1091" s="48">
        <v>45764</v>
      </c>
      <c r="K1091" s="49">
        <v>45853</v>
      </c>
      <c r="L1091" s="50" t="s">
        <v>2916</v>
      </c>
    </row>
    <row r="1092" spans="1:12" ht="15" customHeight="1" x14ac:dyDescent="0.35">
      <c r="A1092" s="85" t="s">
        <v>85</v>
      </c>
      <c r="B1092" s="86" t="s">
        <v>2908</v>
      </c>
      <c r="C1092" s="87">
        <v>1771</v>
      </c>
      <c r="D1092" s="88">
        <v>45764</v>
      </c>
      <c r="E1092" s="43">
        <v>4875500</v>
      </c>
      <c r="F1092" s="44">
        <f t="shared" si="55"/>
        <v>390040</v>
      </c>
      <c r="G1092" s="45">
        <f t="shared" si="56"/>
        <v>5265540</v>
      </c>
      <c r="H1092" s="46">
        <v>5265540</v>
      </c>
      <c r="I1092" s="47">
        <f t="shared" si="54"/>
        <v>0</v>
      </c>
      <c r="J1092" s="48">
        <v>45764</v>
      </c>
      <c r="K1092" s="49">
        <v>45853</v>
      </c>
      <c r="L1092" s="50" t="s">
        <v>2917</v>
      </c>
    </row>
    <row r="1093" spans="1:12" ht="15" customHeight="1" x14ac:dyDescent="0.35">
      <c r="A1093" s="85" t="s">
        <v>37</v>
      </c>
      <c r="B1093" s="86" t="s">
        <v>2909</v>
      </c>
      <c r="C1093" s="87"/>
      <c r="D1093" s="88" t="s">
        <v>2913</v>
      </c>
      <c r="E1093" s="43">
        <v>16079000</v>
      </c>
      <c r="F1093" s="44">
        <f t="shared" si="55"/>
        <v>1286320</v>
      </c>
      <c r="G1093" s="45">
        <f t="shared" si="56"/>
        <v>17365320</v>
      </c>
      <c r="H1093" s="46">
        <v>17365320</v>
      </c>
      <c r="I1093" s="47">
        <f t="shared" si="54"/>
        <v>0</v>
      </c>
      <c r="J1093" s="48">
        <v>45764</v>
      </c>
      <c r="K1093" s="49">
        <v>45853</v>
      </c>
      <c r="L1093" s="50" t="s">
        <v>2918</v>
      </c>
    </row>
    <row r="1094" spans="1:12" ht="15" customHeight="1" x14ac:dyDescent="0.35">
      <c r="A1094" s="85" t="s">
        <v>29</v>
      </c>
      <c r="B1094" s="86" t="s">
        <v>2910</v>
      </c>
      <c r="C1094" s="87">
        <v>1772</v>
      </c>
      <c r="D1094" s="88">
        <v>45764</v>
      </c>
      <c r="E1094" s="43">
        <v>16762000</v>
      </c>
      <c r="F1094" s="44">
        <f t="shared" si="55"/>
        <v>1340960</v>
      </c>
      <c r="G1094" s="45">
        <f t="shared" si="56"/>
        <v>18102960</v>
      </c>
      <c r="H1094" s="46">
        <v>18102960</v>
      </c>
      <c r="I1094" s="47">
        <f t="shared" si="54"/>
        <v>0</v>
      </c>
      <c r="J1094" s="48">
        <v>45764</v>
      </c>
      <c r="K1094" s="49">
        <v>45853</v>
      </c>
      <c r="L1094" s="50" t="s">
        <v>2919</v>
      </c>
    </row>
    <row r="1095" spans="1:12" ht="15" customHeight="1" x14ac:dyDescent="0.35">
      <c r="A1095" s="85" t="s">
        <v>66</v>
      </c>
      <c r="B1095" s="86" t="s">
        <v>2911</v>
      </c>
      <c r="C1095" s="87"/>
      <c r="D1095" s="88" t="s">
        <v>2913</v>
      </c>
      <c r="E1095" s="43">
        <v>1264000</v>
      </c>
      <c r="F1095" s="44">
        <f t="shared" si="55"/>
        <v>101120</v>
      </c>
      <c r="G1095" s="45">
        <f t="shared" si="56"/>
        <v>1365120</v>
      </c>
      <c r="H1095" s="46">
        <v>1365120</v>
      </c>
      <c r="I1095" s="47">
        <f t="shared" si="54"/>
        <v>0</v>
      </c>
      <c r="J1095" s="48">
        <v>45764</v>
      </c>
      <c r="K1095" s="49">
        <v>45853</v>
      </c>
      <c r="L1095" s="50" t="s">
        <v>2920</v>
      </c>
    </row>
    <row r="1096" spans="1:12" ht="15" customHeight="1" x14ac:dyDescent="0.35">
      <c r="A1096" s="85" t="s">
        <v>37</v>
      </c>
      <c r="B1096" s="86" t="s">
        <v>2923</v>
      </c>
      <c r="C1096" s="87"/>
      <c r="D1096" s="88" t="s">
        <v>2945</v>
      </c>
      <c r="E1096" s="43">
        <v>1040000</v>
      </c>
      <c r="F1096" s="44">
        <f t="shared" si="55"/>
        <v>83200</v>
      </c>
      <c r="G1096" s="45">
        <f t="shared" si="56"/>
        <v>1123200</v>
      </c>
      <c r="H1096" s="46">
        <v>1123200</v>
      </c>
      <c r="I1096" s="47">
        <f t="shared" si="54"/>
        <v>0</v>
      </c>
      <c r="J1096" s="48">
        <v>45764</v>
      </c>
      <c r="K1096" s="49">
        <v>45853</v>
      </c>
      <c r="L1096" s="50" t="s">
        <v>2932</v>
      </c>
    </row>
    <row r="1097" spans="1:12" ht="15" customHeight="1" x14ac:dyDescent="0.35">
      <c r="A1097" s="85" t="s">
        <v>66</v>
      </c>
      <c r="B1097" s="86" t="s">
        <v>2924</v>
      </c>
      <c r="C1097" s="87"/>
      <c r="D1097" s="88" t="s">
        <v>2945</v>
      </c>
      <c r="E1097" s="43">
        <v>624000</v>
      </c>
      <c r="F1097" s="44">
        <f t="shared" si="55"/>
        <v>49920</v>
      </c>
      <c r="G1097" s="45">
        <f t="shared" si="56"/>
        <v>673920</v>
      </c>
      <c r="H1097" s="46">
        <v>673920</v>
      </c>
      <c r="I1097" s="47">
        <f t="shared" si="54"/>
        <v>0</v>
      </c>
      <c r="J1097" s="48">
        <v>45764</v>
      </c>
      <c r="K1097" s="49">
        <v>45853</v>
      </c>
      <c r="L1097" s="50" t="s">
        <v>2933</v>
      </c>
    </row>
    <row r="1098" spans="1:12" ht="15" customHeight="1" x14ac:dyDescent="0.35">
      <c r="A1098" s="85" t="s">
        <v>37</v>
      </c>
      <c r="B1098" s="86" t="s">
        <v>2925</v>
      </c>
      <c r="C1098" s="87"/>
      <c r="D1098" s="88" t="s">
        <v>2946</v>
      </c>
      <c r="E1098" s="43">
        <v>13370000</v>
      </c>
      <c r="F1098" s="44">
        <f t="shared" si="55"/>
        <v>1069600</v>
      </c>
      <c r="G1098" s="45">
        <f t="shared" si="56"/>
        <v>14439600</v>
      </c>
      <c r="H1098" s="46">
        <v>14439600</v>
      </c>
      <c r="I1098" s="47">
        <f t="shared" si="54"/>
        <v>0</v>
      </c>
      <c r="J1098" s="48">
        <v>45764</v>
      </c>
      <c r="K1098" s="49">
        <v>45853</v>
      </c>
      <c r="L1098" s="50" t="s">
        <v>2934</v>
      </c>
    </row>
    <row r="1099" spans="1:12" ht="15" customHeight="1" x14ac:dyDescent="0.35">
      <c r="A1099" s="85" t="s">
        <v>85</v>
      </c>
      <c r="B1099" s="86" t="s">
        <v>2926</v>
      </c>
      <c r="C1099" s="87"/>
      <c r="D1099" s="88" t="s">
        <v>2946</v>
      </c>
      <c r="E1099" s="43">
        <v>3600000</v>
      </c>
      <c r="F1099" s="44">
        <f t="shared" si="55"/>
        <v>288000</v>
      </c>
      <c r="G1099" s="45">
        <f t="shared" si="56"/>
        <v>3888000</v>
      </c>
      <c r="H1099" s="46">
        <v>3888000</v>
      </c>
      <c r="I1099" s="47">
        <f t="shared" si="54"/>
        <v>0</v>
      </c>
      <c r="J1099" s="48">
        <v>45764</v>
      </c>
      <c r="K1099" s="49">
        <v>45853</v>
      </c>
      <c r="L1099" s="50" t="s">
        <v>2935</v>
      </c>
    </row>
    <row r="1100" spans="1:12" ht="15" customHeight="1" x14ac:dyDescent="0.35">
      <c r="A1100" s="85" t="s">
        <v>56</v>
      </c>
      <c r="B1100" s="86" t="s">
        <v>287</v>
      </c>
      <c r="C1100" s="87"/>
      <c r="D1100" s="88" t="s">
        <v>2946</v>
      </c>
      <c r="E1100" s="43">
        <v>520000</v>
      </c>
      <c r="F1100" s="44">
        <f t="shared" si="55"/>
        <v>41600</v>
      </c>
      <c r="G1100" s="45">
        <f t="shared" si="56"/>
        <v>561600</v>
      </c>
      <c r="H1100" s="46">
        <v>561600</v>
      </c>
      <c r="I1100" s="47">
        <f t="shared" si="54"/>
        <v>0</v>
      </c>
      <c r="J1100" s="48">
        <v>45764</v>
      </c>
      <c r="K1100" s="49">
        <v>45853</v>
      </c>
      <c r="L1100" s="50" t="s">
        <v>2936</v>
      </c>
    </row>
    <row r="1101" spans="1:12" ht="15" customHeight="1" x14ac:dyDescent="0.35">
      <c r="A1101" s="85" t="s">
        <v>29</v>
      </c>
      <c r="B1101" s="86" t="s">
        <v>288</v>
      </c>
      <c r="C1101" s="87">
        <v>1773</v>
      </c>
      <c r="D1101" s="88">
        <v>45764</v>
      </c>
      <c r="E1101" s="43">
        <v>24005500</v>
      </c>
      <c r="F1101" s="44">
        <f t="shared" si="55"/>
        <v>1920440</v>
      </c>
      <c r="G1101" s="45">
        <f t="shared" si="56"/>
        <v>25925940</v>
      </c>
      <c r="H1101" s="46">
        <v>25925940</v>
      </c>
      <c r="I1101" s="47">
        <f t="shared" si="54"/>
        <v>0</v>
      </c>
      <c r="J1101" s="48">
        <v>45764</v>
      </c>
      <c r="K1101" s="49">
        <v>45853</v>
      </c>
      <c r="L1101" s="50" t="s">
        <v>2937</v>
      </c>
    </row>
    <row r="1102" spans="1:12" ht="15" customHeight="1" x14ac:dyDescent="0.35">
      <c r="A1102" s="85" t="s">
        <v>33</v>
      </c>
      <c r="B1102" s="86" t="s">
        <v>2927</v>
      </c>
      <c r="C1102" s="87">
        <v>1774</v>
      </c>
      <c r="D1102" s="88">
        <v>45764</v>
      </c>
      <c r="E1102" s="43">
        <v>53125500</v>
      </c>
      <c r="F1102" s="44">
        <f t="shared" si="55"/>
        <v>4250040</v>
      </c>
      <c r="G1102" s="45">
        <f t="shared" si="56"/>
        <v>57375540</v>
      </c>
      <c r="H1102" s="46">
        <v>57375540</v>
      </c>
      <c r="I1102" s="47">
        <f t="shared" si="54"/>
        <v>0</v>
      </c>
      <c r="J1102" s="48">
        <v>45764</v>
      </c>
      <c r="K1102" s="49">
        <v>45853</v>
      </c>
      <c r="L1102" s="50" t="s">
        <v>2938</v>
      </c>
    </row>
    <row r="1103" spans="1:12" ht="15" customHeight="1" x14ac:dyDescent="0.35">
      <c r="A1103" s="85" t="s">
        <v>37</v>
      </c>
      <c r="B1103" s="86" t="s">
        <v>2928</v>
      </c>
      <c r="C1103" s="87"/>
      <c r="D1103" s="88" t="s">
        <v>2947</v>
      </c>
      <c r="E1103" s="43">
        <v>5200000</v>
      </c>
      <c r="F1103" s="44">
        <f t="shared" si="55"/>
        <v>416000</v>
      </c>
      <c r="G1103" s="45">
        <f t="shared" si="56"/>
        <v>5616000</v>
      </c>
      <c r="H1103" s="46">
        <v>5616000</v>
      </c>
      <c r="I1103" s="47">
        <f t="shared" si="54"/>
        <v>0</v>
      </c>
      <c r="J1103" s="48">
        <v>45764</v>
      </c>
      <c r="K1103" s="49">
        <v>45853</v>
      </c>
      <c r="L1103" s="50" t="s">
        <v>2939</v>
      </c>
    </row>
    <row r="1104" spans="1:12" ht="15" customHeight="1" x14ac:dyDescent="0.35">
      <c r="A1104" s="85" t="s">
        <v>85</v>
      </c>
      <c r="B1104" s="86" t="s">
        <v>2929</v>
      </c>
      <c r="C1104" s="87"/>
      <c r="D1104" s="88" t="s">
        <v>2948</v>
      </c>
      <c r="E1104" s="43">
        <v>2120000</v>
      </c>
      <c r="F1104" s="44">
        <f t="shared" si="55"/>
        <v>169600</v>
      </c>
      <c r="G1104" s="45">
        <f t="shared" si="56"/>
        <v>2289600</v>
      </c>
      <c r="H1104" s="46">
        <v>2289600</v>
      </c>
      <c r="I1104" s="47">
        <f t="shared" si="54"/>
        <v>0</v>
      </c>
      <c r="J1104" s="48">
        <v>45764</v>
      </c>
      <c r="K1104" s="49">
        <v>45853</v>
      </c>
      <c r="L1104" s="50" t="s">
        <v>2940</v>
      </c>
    </row>
    <row r="1105" spans="1:12" ht="15" customHeight="1" x14ac:dyDescent="0.35">
      <c r="A1105" s="85" t="s">
        <v>56</v>
      </c>
      <c r="B1105" s="86" t="s">
        <v>2930</v>
      </c>
      <c r="C1105" s="87"/>
      <c r="D1105" s="88" t="s">
        <v>2948</v>
      </c>
      <c r="E1105" s="43">
        <v>1616000</v>
      </c>
      <c r="F1105" s="44">
        <f t="shared" si="55"/>
        <v>129280</v>
      </c>
      <c r="G1105" s="45">
        <f t="shared" si="56"/>
        <v>1745280</v>
      </c>
      <c r="H1105" s="46">
        <v>1745280</v>
      </c>
      <c r="I1105" s="47">
        <f t="shared" si="54"/>
        <v>0</v>
      </c>
      <c r="J1105" s="48">
        <v>45764</v>
      </c>
      <c r="K1105" s="49">
        <v>45853</v>
      </c>
      <c r="L1105" s="50" t="s">
        <v>2941</v>
      </c>
    </row>
    <row r="1106" spans="1:12" ht="15" customHeight="1" x14ac:dyDescent="0.35">
      <c r="A1106" s="85" t="s">
        <v>29</v>
      </c>
      <c r="B1106" s="86" t="s">
        <v>430</v>
      </c>
      <c r="C1106" s="87">
        <v>2171</v>
      </c>
      <c r="D1106" s="88">
        <v>45785</v>
      </c>
      <c r="E1106" s="43">
        <v>19059000</v>
      </c>
      <c r="F1106" s="44">
        <f t="shared" si="55"/>
        <v>1524720</v>
      </c>
      <c r="G1106" s="45">
        <f t="shared" si="56"/>
        <v>20583720</v>
      </c>
      <c r="H1106" s="46">
        <v>20583720</v>
      </c>
      <c r="I1106" s="47">
        <f t="shared" si="54"/>
        <v>0</v>
      </c>
      <c r="J1106" s="48">
        <v>45785</v>
      </c>
      <c r="K1106" s="49">
        <v>45863</v>
      </c>
      <c r="L1106" s="50" t="s">
        <v>2942</v>
      </c>
    </row>
    <row r="1107" spans="1:12" ht="15" customHeight="1" x14ac:dyDescent="0.35">
      <c r="A1107" s="85" t="s">
        <v>33</v>
      </c>
      <c r="B1107" s="86" t="s">
        <v>432</v>
      </c>
      <c r="C1107" s="87"/>
      <c r="D1107" s="88" t="s">
        <v>2948</v>
      </c>
      <c r="E1107" s="43">
        <v>1280000</v>
      </c>
      <c r="F1107" s="44">
        <f t="shared" si="55"/>
        <v>102400</v>
      </c>
      <c r="G1107" s="45">
        <f t="shared" si="56"/>
        <v>1382400</v>
      </c>
      <c r="H1107" s="46">
        <v>1382400</v>
      </c>
      <c r="I1107" s="47">
        <f t="shared" si="54"/>
        <v>0</v>
      </c>
      <c r="J1107" s="48">
        <v>45764</v>
      </c>
      <c r="K1107" s="49">
        <v>45853</v>
      </c>
      <c r="L1107" s="50" t="s">
        <v>2943</v>
      </c>
    </row>
    <row r="1108" spans="1:12" ht="15" customHeight="1" x14ac:dyDescent="0.35">
      <c r="A1108" s="85" t="s">
        <v>37</v>
      </c>
      <c r="B1108" s="86" t="s">
        <v>2931</v>
      </c>
      <c r="C1108" s="87"/>
      <c r="D1108" s="88" t="s">
        <v>2949</v>
      </c>
      <c r="E1108" s="43">
        <v>29495000</v>
      </c>
      <c r="F1108" s="44">
        <f t="shared" si="55"/>
        <v>2359600</v>
      </c>
      <c r="G1108" s="45">
        <f t="shared" si="56"/>
        <v>31854600</v>
      </c>
      <c r="H1108" s="46">
        <v>31854600</v>
      </c>
      <c r="I1108" s="47">
        <f t="shared" si="54"/>
        <v>0</v>
      </c>
      <c r="J1108" s="48">
        <v>45764</v>
      </c>
      <c r="K1108" s="49">
        <v>45853</v>
      </c>
      <c r="L1108" s="50" t="s">
        <v>2944</v>
      </c>
    </row>
    <row r="1109" spans="1:12" ht="15" customHeight="1" x14ac:dyDescent="0.35">
      <c r="A1109" s="85" t="s">
        <v>37</v>
      </c>
      <c r="B1109" s="86" t="s">
        <v>2950</v>
      </c>
      <c r="C1109" s="87"/>
      <c r="D1109" s="88" t="s">
        <v>2956</v>
      </c>
      <c r="E1109" s="43">
        <v>15085000</v>
      </c>
      <c r="F1109" s="44">
        <f t="shared" si="55"/>
        <v>1206800</v>
      </c>
      <c r="G1109" s="45">
        <f t="shared" si="56"/>
        <v>16291800</v>
      </c>
      <c r="H1109" s="46">
        <v>16291800</v>
      </c>
      <c r="I1109" s="47">
        <f t="shared" ref="I1109:I1172" si="57">G1109-H1109</f>
        <v>0</v>
      </c>
      <c r="J1109" s="48">
        <v>45785</v>
      </c>
      <c r="K1109" s="49">
        <v>45863</v>
      </c>
      <c r="L1109" s="50" t="s">
        <v>2957</v>
      </c>
    </row>
    <row r="1110" spans="1:12" ht="15" customHeight="1" x14ac:dyDescent="0.35">
      <c r="A1110" s="85" t="s">
        <v>85</v>
      </c>
      <c r="B1110" s="86" t="s">
        <v>2951</v>
      </c>
      <c r="C1110" s="87"/>
      <c r="D1110" s="88" t="s">
        <v>2956</v>
      </c>
      <c r="E1110" s="43">
        <v>5885000</v>
      </c>
      <c r="F1110" s="44">
        <f t="shared" ref="F1110:F1173" si="58">+E1110*0.08</f>
        <v>470800</v>
      </c>
      <c r="G1110" s="45">
        <f t="shared" ref="G1110:G1173" si="59">E1110+F1110</f>
        <v>6355800</v>
      </c>
      <c r="H1110" s="46">
        <v>6355800</v>
      </c>
      <c r="I1110" s="47">
        <f t="shared" si="57"/>
        <v>0</v>
      </c>
      <c r="J1110" s="48">
        <v>45785</v>
      </c>
      <c r="K1110" s="49">
        <v>45863</v>
      </c>
      <c r="L1110" s="50" t="s">
        <v>2958</v>
      </c>
    </row>
    <row r="1111" spans="1:12" ht="15" customHeight="1" x14ac:dyDescent="0.35">
      <c r="A1111" s="85" t="s">
        <v>56</v>
      </c>
      <c r="B1111" s="86" t="s">
        <v>2952</v>
      </c>
      <c r="C1111" s="87"/>
      <c r="D1111" s="88" t="s">
        <v>2956</v>
      </c>
      <c r="E1111" s="43">
        <v>2640000</v>
      </c>
      <c r="F1111" s="44">
        <f t="shared" si="58"/>
        <v>211200</v>
      </c>
      <c r="G1111" s="45">
        <f t="shared" si="59"/>
        <v>2851200</v>
      </c>
      <c r="H1111" s="46">
        <v>2851200</v>
      </c>
      <c r="I1111" s="47">
        <f t="shared" si="57"/>
        <v>0</v>
      </c>
      <c r="J1111" s="48">
        <v>45785</v>
      </c>
      <c r="K1111" s="49">
        <v>45863</v>
      </c>
      <c r="L1111" s="50" t="s">
        <v>2959</v>
      </c>
    </row>
    <row r="1112" spans="1:12" ht="15" customHeight="1" x14ac:dyDescent="0.35">
      <c r="A1112" s="85" t="s">
        <v>66</v>
      </c>
      <c r="B1112" s="86" t="s">
        <v>2953</v>
      </c>
      <c r="C1112" s="87"/>
      <c r="D1112" s="88" t="s">
        <v>2956</v>
      </c>
      <c r="E1112" s="43">
        <v>2120000</v>
      </c>
      <c r="F1112" s="44">
        <f t="shared" si="58"/>
        <v>169600</v>
      </c>
      <c r="G1112" s="45">
        <f t="shared" si="59"/>
        <v>2289600</v>
      </c>
      <c r="H1112" s="45">
        <v>2289600</v>
      </c>
      <c r="I1112" s="47">
        <f t="shared" si="57"/>
        <v>0</v>
      </c>
      <c r="J1112" s="48">
        <v>45785</v>
      </c>
      <c r="K1112" s="49">
        <v>45863</v>
      </c>
      <c r="L1112" s="50" t="s">
        <v>2960</v>
      </c>
    </row>
    <row r="1113" spans="1:12" ht="15" customHeight="1" x14ac:dyDescent="0.35">
      <c r="A1113" s="85" t="s">
        <v>29</v>
      </c>
      <c r="B1113" s="86" t="s">
        <v>2954</v>
      </c>
      <c r="C1113" s="87">
        <v>2172</v>
      </c>
      <c r="D1113" s="88">
        <v>45785</v>
      </c>
      <c r="E1113" s="43">
        <v>19128000</v>
      </c>
      <c r="F1113" s="44">
        <f t="shared" si="58"/>
        <v>1530240</v>
      </c>
      <c r="G1113" s="45">
        <f t="shared" si="59"/>
        <v>20658240</v>
      </c>
      <c r="H1113" s="46">
        <v>20658240</v>
      </c>
      <c r="I1113" s="47">
        <f t="shared" si="57"/>
        <v>0</v>
      </c>
      <c r="J1113" s="48">
        <v>45785</v>
      </c>
      <c r="K1113" s="49">
        <v>45863</v>
      </c>
      <c r="L1113" s="50" t="s">
        <v>2961</v>
      </c>
    </row>
    <row r="1114" spans="1:12" ht="15" customHeight="1" x14ac:dyDescent="0.35">
      <c r="A1114" s="85" t="s">
        <v>33</v>
      </c>
      <c r="B1114" s="86" t="s">
        <v>2955</v>
      </c>
      <c r="C1114" s="87"/>
      <c r="D1114" s="88" t="s">
        <v>2956</v>
      </c>
      <c r="E1114" s="43">
        <v>27515000</v>
      </c>
      <c r="F1114" s="44">
        <f t="shared" si="58"/>
        <v>2201200</v>
      </c>
      <c r="G1114" s="45">
        <f t="shared" si="59"/>
        <v>29716200</v>
      </c>
      <c r="H1114" s="46">
        <v>29716200</v>
      </c>
      <c r="I1114" s="47">
        <f t="shared" si="57"/>
        <v>0</v>
      </c>
      <c r="J1114" s="48">
        <v>45785</v>
      </c>
      <c r="K1114" s="49">
        <v>45863</v>
      </c>
      <c r="L1114" s="50" t="s">
        <v>2962</v>
      </c>
    </row>
    <row r="1115" spans="1:12" ht="15" customHeight="1" x14ac:dyDescent="0.35">
      <c r="A1115" s="85" t="s">
        <v>37</v>
      </c>
      <c r="B1115" s="86" t="s">
        <v>2964</v>
      </c>
      <c r="C1115" s="87"/>
      <c r="D1115" s="88" t="s">
        <v>2973</v>
      </c>
      <c r="E1115" s="43">
        <v>27600000</v>
      </c>
      <c r="F1115" s="44">
        <f t="shared" si="58"/>
        <v>2208000</v>
      </c>
      <c r="G1115" s="45">
        <f t="shared" si="59"/>
        <v>29808000</v>
      </c>
      <c r="H1115" s="46">
        <v>29808000</v>
      </c>
      <c r="I1115" s="47">
        <f t="shared" si="57"/>
        <v>0</v>
      </c>
      <c r="J1115" s="48">
        <v>45785</v>
      </c>
      <c r="K1115" s="49">
        <v>45863</v>
      </c>
      <c r="L1115" s="50" t="s">
        <v>2976</v>
      </c>
    </row>
    <row r="1116" spans="1:12" ht="15" customHeight="1" x14ac:dyDescent="0.35">
      <c r="A1116" s="85" t="s">
        <v>66</v>
      </c>
      <c r="B1116" s="86" t="s">
        <v>2965</v>
      </c>
      <c r="C1116" s="87"/>
      <c r="D1116" s="88" t="s">
        <v>2973</v>
      </c>
      <c r="E1116" s="43">
        <v>1056000</v>
      </c>
      <c r="F1116" s="44">
        <f t="shared" si="58"/>
        <v>84480</v>
      </c>
      <c r="G1116" s="45">
        <f t="shared" si="59"/>
        <v>1140480</v>
      </c>
      <c r="H1116" s="46">
        <v>1140480</v>
      </c>
      <c r="I1116" s="47">
        <f t="shared" si="57"/>
        <v>0</v>
      </c>
      <c r="J1116" s="48">
        <v>45785</v>
      </c>
      <c r="K1116" s="49">
        <v>45863</v>
      </c>
      <c r="L1116" s="50" t="s">
        <v>2977</v>
      </c>
    </row>
    <row r="1117" spans="1:12" ht="15" customHeight="1" x14ac:dyDescent="0.35">
      <c r="A1117" s="85" t="s">
        <v>29</v>
      </c>
      <c r="B1117" s="86" t="s">
        <v>2966</v>
      </c>
      <c r="C1117" s="87">
        <v>2173</v>
      </c>
      <c r="D1117" s="88">
        <v>45785</v>
      </c>
      <c r="E1117" s="43">
        <v>20271500</v>
      </c>
      <c r="F1117" s="44">
        <f t="shared" si="58"/>
        <v>1621720</v>
      </c>
      <c r="G1117" s="45">
        <f t="shared" si="59"/>
        <v>21893220</v>
      </c>
      <c r="H1117" s="46">
        <v>21893220</v>
      </c>
      <c r="I1117" s="47">
        <f t="shared" si="57"/>
        <v>0</v>
      </c>
      <c r="J1117" s="48">
        <v>45785</v>
      </c>
      <c r="K1117" s="49">
        <v>45863</v>
      </c>
      <c r="L1117" s="50" t="s">
        <v>2978</v>
      </c>
    </row>
    <row r="1118" spans="1:12" ht="15" customHeight="1" x14ac:dyDescent="0.35">
      <c r="A1118" s="85" t="s">
        <v>33</v>
      </c>
      <c r="B1118" s="86" t="s">
        <v>2967</v>
      </c>
      <c r="C1118" s="87">
        <v>2175</v>
      </c>
      <c r="D1118" s="88">
        <v>45785</v>
      </c>
      <c r="E1118" s="43">
        <v>30706000</v>
      </c>
      <c r="F1118" s="44">
        <f t="shared" si="58"/>
        <v>2456480</v>
      </c>
      <c r="G1118" s="45">
        <f t="shared" si="59"/>
        <v>33162480</v>
      </c>
      <c r="H1118" s="46">
        <v>33162480</v>
      </c>
      <c r="I1118" s="47">
        <f t="shared" si="57"/>
        <v>0</v>
      </c>
      <c r="J1118" s="48">
        <v>45785</v>
      </c>
      <c r="K1118" s="49">
        <v>45863</v>
      </c>
      <c r="L1118" s="50" t="s">
        <v>2979</v>
      </c>
    </row>
    <row r="1119" spans="1:12" ht="15" customHeight="1" x14ac:dyDescent="0.35">
      <c r="A1119" s="85" t="s">
        <v>56</v>
      </c>
      <c r="B1119" s="86" t="s">
        <v>2968</v>
      </c>
      <c r="C1119" s="87"/>
      <c r="D1119" s="88" t="s">
        <v>2974</v>
      </c>
      <c r="E1119" s="43">
        <v>2000000</v>
      </c>
      <c r="F1119" s="44">
        <f t="shared" si="58"/>
        <v>160000</v>
      </c>
      <c r="G1119" s="45">
        <f t="shared" si="59"/>
        <v>2160000</v>
      </c>
      <c r="H1119" s="46">
        <v>2160000</v>
      </c>
      <c r="I1119" s="47">
        <f t="shared" si="57"/>
        <v>0</v>
      </c>
      <c r="J1119" s="48">
        <v>45785</v>
      </c>
      <c r="K1119" s="49">
        <v>45863</v>
      </c>
      <c r="L1119" s="50" t="s">
        <v>2980</v>
      </c>
    </row>
    <row r="1120" spans="1:12" ht="15" customHeight="1" x14ac:dyDescent="0.35">
      <c r="A1120" s="85" t="s">
        <v>37</v>
      </c>
      <c r="B1120" s="86" t="s">
        <v>2969</v>
      </c>
      <c r="C1120" s="87">
        <v>2174</v>
      </c>
      <c r="D1120" s="88">
        <v>45785</v>
      </c>
      <c r="E1120" s="43">
        <v>10713000</v>
      </c>
      <c r="F1120" s="44">
        <f t="shared" si="58"/>
        <v>857040</v>
      </c>
      <c r="G1120" s="45">
        <f t="shared" si="59"/>
        <v>11570040</v>
      </c>
      <c r="H1120" s="46">
        <v>11570040</v>
      </c>
      <c r="I1120" s="47">
        <f t="shared" si="57"/>
        <v>0</v>
      </c>
      <c r="J1120" s="48">
        <v>45785</v>
      </c>
      <c r="K1120" s="49">
        <v>45863</v>
      </c>
      <c r="L1120" s="50" t="s">
        <v>2981</v>
      </c>
    </row>
    <row r="1121" spans="1:12" ht="15" customHeight="1" x14ac:dyDescent="0.35">
      <c r="A1121" s="85" t="s">
        <v>66</v>
      </c>
      <c r="B1121" s="86" t="s">
        <v>2970</v>
      </c>
      <c r="C1121" s="87"/>
      <c r="D1121" s="88" t="s">
        <v>2975</v>
      </c>
      <c r="E1121" s="43">
        <v>2320000</v>
      </c>
      <c r="F1121" s="44">
        <f t="shared" si="58"/>
        <v>185600</v>
      </c>
      <c r="G1121" s="45">
        <f t="shared" si="59"/>
        <v>2505600</v>
      </c>
      <c r="H1121" s="46">
        <v>2505600</v>
      </c>
      <c r="I1121" s="47">
        <f t="shared" si="57"/>
        <v>0</v>
      </c>
      <c r="J1121" s="48"/>
      <c r="K1121" s="49">
        <v>45884</v>
      </c>
      <c r="L1121" s="50" t="s">
        <v>2982</v>
      </c>
    </row>
    <row r="1122" spans="1:12" ht="15" customHeight="1" x14ac:dyDescent="0.35">
      <c r="A1122" s="85" t="s">
        <v>85</v>
      </c>
      <c r="B1122" s="86" t="s">
        <v>2971</v>
      </c>
      <c r="C1122" s="87"/>
      <c r="D1122" s="88" t="s">
        <v>2975</v>
      </c>
      <c r="E1122" s="43">
        <v>3565000</v>
      </c>
      <c r="F1122" s="44">
        <f t="shared" si="58"/>
        <v>285200</v>
      </c>
      <c r="G1122" s="45">
        <f t="shared" si="59"/>
        <v>3850200</v>
      </c>
      <c r="H1122" s="46">
        <v>3850200</v>
      </c>
      <c r="I1122" s="47">
        <f t="shared" si="57"/>
        <v>0</v>
      </c>
      <c r="J1122" s="48"/>
      <c r="K1122" s="49">
        <v>45884</v>
      </c>
      <c r="L1122" s="50" t="s">
        <v>2983</v>
      </c>
    </row>
    <row r="1123" spans="1:12" ht="15" customHeight="1" x14ac:dyDescent="0.35">
      <c r="A1123" s="85" t="s">
        <v>29</v>
      </c>
      <c r="B1123" s="86" t="s">
        <v>52</v>
      </c>
      <c r="C1123" s="87">
        <v>2469</v>
      </c>
      <c r="D1123" s="88">
        <v>45800</v>
      </c>
      <c r="E1123" s="43">
        <v>26073000</v>
      </c>
      <c r="F1123" s="44">
        <f t="shared" si="58"/>
        <v>2085840</v>
      </c>
      <c r="G1123" s="45">
        <f t="shared" si="59"/>
        <v>28158840</v>
      </c>
      <c r="H1123" s="46">
        <v>28158840</v>
      </c>
      <c r="I1123" s="47">
        <f t="shared" si="57"/>
        <v>0</v>
      </c>
      <c r="J1123" s="48"/>
      <c r="K1123" s="49">
        <v>45884</v>
      </c>
      <c r="L1123" s="50" t="s">
        <v>2984</v>
      </c>
    </row>
    <row r="1124" spans="1:12" ht="15" customHeight="1" x14ac:dyDescent="0.35">
      <c r="A1124" s="85" t="s">
        <v>33</v>
      </c>
      <c r="B1124" s="86" t="s">
        <v>2972</v>
      </c>
      <c r="C1124" s="87">
        <v>2470</v>
      </c>
      <c r="D1124" s="88">
        <v>45800</v>
      </c>
      <c r="E1124" s="43">
        <v>1044000</v>
      </c>
      <c r="F1124" s="44">
        <f t="shared" si="58"/>
        <v>83520</v>
      </c>
      <c r="G1124" s="45">
        <f t="shared" si="59"/>
        <v>1127520</v>
      </c>
      <c r="H1124" s="46">
        <v>1127520</v>
      </c>
      <c r="I1124" s="47">
        <f t="shared" si="57"/>
        <v>0</v>
      </c>
      <c r="J1124" s="48"/>
      <c r="K1124" s="49">
        <v>45884</v>
      </c>
      <c r="L1124" s="50" t="s">
        <v>2985</v>
      </c>
    </row>
    <row r="1125" spans="1:12" ht="15" customHeight="1" x14ac:dyDescent="0.35">
      <c r="A1125" s="85" t="s">
        <v>85</v>
      </c>
      <c r="B1125" s="86" t="s">
        <v>462</v>
      </c>
      <c r="C1125" s="87"/>
      <c r="D1125" s="88" t="s">
        <v>3203</v>
      </c>
      <c r="E1125" s="43">
        <v>2000000</v>
      </c>
      <c r="F1125" s="44">
        <f t="shared" si="58"/>
        <v>160000</v>
      </c>
      <c r="G1125" s="45">
        <f t="shared" si="59"/>
        <v>2160000</v>
      </c>
      <c r="H1125" s="46">
        <v>2160000</v>
      </c>
      <c r="I1125" s="47">
        <f t="shared" si="57"/>
        <v>0</v>
      </c>
      <c r="J1125" s="48"/>
      <c r="K1125" s="49">
        <v>45884</v>
      </c>
      <c r="L1125" s="50" t="s">
        <v>3271</v>
      </c>
    </row>
    <row r="1126" spans="1:12" ht="15" customHeight="1" x14ac:dyDescent="0.35">
      <c r="A1126" s="85" t="s">
        <v>29</v>
      </c>
      <c r="B1126" s="86" t="s">
        <v>2987</v>
      </c>
      <c r="C1126" s="87">
        <v>2471</v>
      </c>
      <c r="D1126" s="88">
        <v>45800</v>
      </c>
      <c r="E1126" s="43">
        <v>41403000</v>
      </c>
      <c r="F1126" s="44">
        <f t="shared" si="58"/>
        <v>3312240</v>
      </c>
      <c r="G1126" s="45">
        <f t="shared" si="59"/>
        <v>44715240</v>
      </c>
      <c r="H1126" s="46">
        <v>44715240</v>
      </c>
      <c r="I1126" s="47">
        <f t="shared" si="57"/>
        <v>0</v>
      </c>
      <c r="J1126" s="48"/>
      <c r="K1126" s="49">
        <v>45884</v>
      </c>
      <c r="L1126" s="50" t="s">
        <v>3272</v>
      </c>
    </row>
    <row r="1127" spans="1:12" ht="15" customHeight="1" x14ac:dyDescent="0.35">
      <c r="A1127" s="85" t="s">
        <v>85</v>
      </c>
      <c r="B1127" s="86" t="s">
        <v>2988</v>
      </c>
      <c r="C1127" s="87"/>
      <c r="D1127" s="88" t="s">
        <v>3204</v>
      </c>
      <c r="E1127" s="43">
        <v>2520000</v>
      </c>
      <c r="F1127" s="44">
        <f t="shared" si="58"/>
        <v>201600</v>
      </c>
      <c r="G1127" s="45">
        <f t="shared" si="59"/>
        <v>2721600</v>
      </c>
      <c r="H1127" s="46">
        <v>2721600</v>
      </c>
      <c r="I1127" s="47">
        <f t="shared" si="57"/>
        <v>0</v>
      </c>
      <c r="J1127" s="48"/>
      <c r="K1127" s="49">
        <v>45884</v>
      </c>
      <c r="L1127" s="50" t="s">
        <v>3273</v>
      </c>
    </row>
    <row r="1128" spans="1:12" ht="15" customHeight="1" x14ac:dyDescent="0.35">
      <c r="A1128" s="85" t="s">
        <v>37</v>
      </c>
      <c r="B1128" s="86" t="s">
        <v>2989</v>
      </c>
      <c r="C1128" s="87"/>
      <c r="D1128" s="88" t="s">
        <v>3204</v>
      </c>
      <c r="E1128" s="43">
        <v>21760000</v>
      </c>
      <c r="F1128" s="44">
        <f t="shared" si="58"/>
        <v>1740800</v>
      </c>
      <c r="G1128" s="45">
        <f t="shared" si="59"/>
        <v>23500800</v>
      </c>
      <c r="H1128" s="46">
        <v>23500800</v>
      </c>
      <c r="I1128" s="47">
        <f t="shared" si="57"/>
        <v>0</v>
      </c>
      <c r="J1128" s="48"/>
      <c r="K1128" s="49">
        <v>45884</v>
      </c>
      <c r="L1128" s="50" t="s">
        <v>3274</v>
      </c>
    </row>
    <row r="1129" spans="1:12" ht="15" customHeight="1" x14ac:dyDescent="0.35">
      <c r="A1129" s="85" t="s">
        <v>56</v>
      </c>
      <c r="B1129" s="86" t="s">
        <v>2990</v>
      </c>
      <c r="C1129" s="87"/>
      <c r="D1129" s="88" t="s">
        <v>3204</v>
      </c>
      <c r="E1129" s="43">
        <v>3920000</v>
      </c>
      <c r="F1129" s="44">
        <f t="shared" si="58"/>
        <v>313600</v>
      </c>
      <c r="G1129" s="45">
        <f t="shared" si="59"/>
        <v>4233600</v>
      </c>
      <c r="H1129" s="46">
        <v>4233600</v>
      </c>
      <c r="I1129" s="47">
        <f t="shared" si="57"/>
        <v>0</v>
      </c>
      <c r="J1129" s="48"/>
      <c r="K1129" s="49">
        <v>45884</v>
      </c>
      <c r="L1129" s="50" t="s">
        <v>3275</v>
      </c>
    </row>
    <row r="1130" spans="1:12" ht="15" customHeight="1" x14ac:dyDescent="0.35">
      <c r="A1130" s="85" t="s">
        <v>66</v>
      </c>
      <c r="B1130" s="86" t="s">
        <v>2991</v>
      </c>
      <c r="C1130" s="87"/>
      <c r="D1130" s="88" t="s">
        <v>3204</v>
      </c>
      <c r="E1130" s="43">
        <v>2576000</v>
      </c>
      <c r="F1130" s="44">
        <f t="shared" si="58"/>
        <v>206080</v>
      </c>
      <c r="G1130" s="45">
        <f t="shared" si="59"/>
        <v>2782080</v>
      </c>
      <c r="H1130" s="46">
        <v>2782080</v>
      </c>
      <c r="I1130" s="47">
        <f t="shared" si="57"/>
        <v>0</v>
      </c>
      <c r="J1130" s="48"/>
      <c r="K1130" s="49">
        <v>45884</v>
      </c>
      <c r="L1130" s="50" t="s">
        <v>3276</v>
      </c>
    </row>
    <row r="1131" spans="1:12" ht="15" customHeight="1" x14ac:dyDescent="0.35">
      <c r="A1131" s="85" t="s">
        <v>37</v>
      </c>
      <c r="B1131" s="86" t="s">
        <v>2992</v>
      </c>
      <c r="C1131" s="87"/>
      <c r="D1131" s="88" t="s">
        <v>3205</v>
      </c>
      <c r="E1131" s="43">
        <v>9320000</v>
      </c>
      <c r="F1131" s="44">
        <f t="shared" si="58"/>
        <v>745600</v>
      </c>
      <c r="G1131" s="45">
        <f t="shared" si="59"/>
        <v>10065600</v>
      </c>
      <c r="H1131" s="46">
        <v>10065600</v>
      </c>
      <c r="I1131" s="47">
        <f t="shared" si="57"/>
        <v>0</v>
      </c>
      <c r="J1131" s="48"/>
      <c r="K1131" s="49">
        <v>45884</v>
      </c>
      <c r="L1131" s="50" t="s">
        <v>3277</v>
      </c>
    </row>
    <row r="1132" spans="1:12" ht="15" customHeight="1" x14ac:dyDescent="0.35">
      <c r="A1132" s="85" t="s">
        <v>33</v>
      </c>
      <c r="B1132" s="86" t="s">
        <v>2993</v>
      </c>
      <c r="C1132" s="87">
        <v>2472</v>
      </c>
      <c r="D1132" s="88">
        <v>45800</v>
      </c>
      <c r="E1132" s="43">
        <v>28968000</v>
      </c>
      <c r="F1132" s="44">
        <f t="shared" si="58"/>
        <v>2317440</v>
      </c>
      <c r="G1132" s="45">
        <f t="shared" si="59"/>
        <v>31285440</v>
      </c>
      <c r="H1132" s="46">
        <v>31285440</v>
      </c>
      <c r="I1132" s="47">
        <f t="shared" si="57"/>
        <v>0</v>
      </c>
      <c r="J1132" s="48"/>
      <c r="K1132" s="49">
        <v>45884</v>
      </c>
      <c r="L1132" s="50" t="s">
        <v>3278</v>
      </c>
    </row>
    <row r="1133" spans="1:12" ht="15" customHeight="1" x14ac:dyDescent="0.35">
      <c r="A1133" s="85" t="s">
        <v>33</v>
      </c>
      <c r="B1133" s="86" t="s">
        <v>2994</v>
      </c>
      <c r="C1133" s="87">
        <v>3727</v>
      </c>
      <c r="D1133" s="88">
        <v>45862</v>
      </c>
      <c r="E1133" s="43">
        <v>3536000</v>
      </c>
      <c r="F1133" s="44">
        <f t="shared" si="58"/>
        <v>282880</v>
      </c>
      <c r="G1133" s="45">
        <f t="shared" si="59"/>
        <v>3818880</v>
      </c>
      <c r="H1133" s="46">
        <v>3818880</v>
      </c>
      <c r="I1133" s="47">
        <f t="shared" si="57"/>
        <v>0</v>
      </c>
      <c r="J1133" s="48"/>
      <c r="K1133" s="49">
        <v>45955</v>
      </c>
      <c r="L1133" s="50" t="s">
        <v>3279</v>
      </c>
    </row>
    <row r="1134" spans="1:12" ht="15" customHeight="1" x14ac:dyDescent="0.35">
      <c r="A1134" s="85" t="s">
        <v>85</v>
      </c>
      <c r="B1134" s="86" t="s">
        <v>2995</v>
      </c>
      <c r="C1134" s="87"/>
      <c r="D1134" s="88" t="s">
        <v>3206</v>
      </c>
      <c r="E1134" s="43">
        <v>4040000</v>
      </c>
      <c r="F1134" s="44">
        <f t="shared" si="58"/>
        <v>323200</v>
      </c>
      <c r="G1134" s="45">
        <f t="shared" si="59"/>
        <v>4363200</v>
      </c>
      <c r="H1134" s="46">
        <v>4363200</v>
      </c>
      <c r="I1134" s="47">
        <f t="shared" si="57"/>
        <v>0</v>
      </c>
      <c r="J1134" s="48"/>
      <c r="K1134" s="49">
        <v>45884</v>
      </c>
      <c r="L1134" s="50" t="s">
        <v>3280</v>
      </c>
    </row>
    <row r="1135" spans="1:12" ht="15" customHeight="1" x14ac:dyDescent="0.35">
      <c r="A1135" s="85" t="s">
        <v>66</v>
      </c>
      <c r="B1135" s="86" t="s">
        <v>2996</v>
      </c>
      <c r="C1135" s="87"/>
      <c r="D1135" s="88" t="s">
        <v>3206</v>
      </c>
      <c r="E1135" s="43">
        <v>1024000</v>
      </c>
      <c r="F1135" s="44">
        <f t="shared" si="58"/>
        <v>81920</v>
      </c>
      <c r="G1135" s="45">
        <f t="shared" si="59"/>
        <v>1105920</v>
      </c>
      <c r="H1135" s="46">
        <v>1105920</v>
      </c>
      <c r="I1135" s="47">
        <f t="shared" si="57"/>
        <v>0</v>
      </c>
      <c r="J1135" s="48"/>
      <c r="K1135" s="49">
        <v>45894</v>
      </c>
      <c r="L1135" s="50" t="s">
        <v>3281</v>
      </c>
    </row>
    <row r="1136" spans="1:12" ht="15" customHeight="1" x14ac:dyDescent="0.35">
      <c r="A1136" s="85" t="s">
        <v>56</v>
      </c>
      <c r="B1136" s="86" t="s">
        <v>2997</v>
      </c>
      <c r="C1136" s="87"/>
      <c r="D1136" s="88" t="s">
        <v>3206</v>
      </c>
      <c r="E1136" s="43">
        <v>3600000</v>
      </c>
      <c r="F1136" s="44">
        <f t="shared" si="58"/>
        <v>288000</v>
      </c>
      <c r="G1136" s="45">
        <f t="shared" si="59"/>
        <v>3888000</v>
      </c>
      <c r="H1136" s="46">
        <v>3888000</v>
      </c>
      <c r="I1136" s="47">
        <f t="shared" si="57"/>
        <v>0</v>
      </c>
      <c r="J1136" s="48"/>
      <c r="K1136" s="49">
        <v>45894</v>
      </c>
      <c r="L1136" s="50" t="s">
        <v>3282</v>
      </c>
    </row>
    <row r="1137" spans="1:12" ht="15" customHeight="1" x14ac:dyDescent="0.35">
      <c r="A1137" s="85" t="s">
        <v>29</v>
      </c>
      <c r="B1137" s="86" t="s">
        <v>2998</v>
      </c>
      <c r="C1137" s="87">
        <v>2856</v>
      </c>
      <c r="D1137" s="88">
        <v>45819</v>
      </c>
      <c r="E1137" s="43">
        <v>31630000</v>
      </c>
      <c r="F1137" s="44">
        <f t="shared" si="58"/>
        <v>2530400</v>
      </c>
      <c r="G1137" s="45">
        <f t="shared" si="59"/>
        <v>34160400</v>
      </c>
      <c r="H1137" s="46">
        <v>34160400</v>
      </c>
      <c r="I1137" s="47">
        <f t="shared" si="57"/>
        <v>0</v>
      </c>
      <c r="J1137" s="48"/>
      <c r="K1137" s="49">
        <v>45894</v>
      </c>
      <c r="L1137" s="50" t="s">
        <v>3283</v>
      </c>
    </row>
    <row r="1138" spans="1:12" ht="15" customHeight="1" x14ac:dyDescent="0.35">
      <c r="A1138" s="85" t="s">
        <v>37</v>
      </c>
      <c r="B1138" s="86" t="s">
        <v>2999</v>
      </c>
      <c r="C1138" s="87"/>
      <c r="D1138" s="88" t="s">
        <v>3206</v>
      </c>
      <c r="E1138" s="43">
        <v>16555000</v>
      </c>
      <c r="F1138" s="44">
        <f t="shared" si="58"/>
        <v>1324400</v>
      </c>
      <c r="G1138" s="45">
        <f t="shared" si="59"/>
        <v>17879400</v>
      </c>
      <c r="H1138" s="46">
        <v>17879400</v>
      </c>
      <c r="I1138" s="47">
        <f t="shared" si="57"/>
        <v>0</v>
      </c>
      <c r="J1138" s="48"/>
      <c r="K1138" s="49">
        <v>45894</v>
      </c>
      <c r="L1138" s="50" t="s">
        <v>3284</v>
      </c>
    </row>
    <row r="1139" spans="1:12" ht="15" customHeight="1" x14ac:dyDescent="0.35">
      <c r="A1139" s="85" t="s">
        <v>66</v>
      </c>
      <c r="B1139" s="86" t="s">
        <v>3000</v>
      </c>
      <c r="C1139" s="87"/>
      <c r="D1139" s="88" t="s">
        <v>3207</v>
      </c>
      <c r="E1139" s="43">
        <v>384000</v>
      </c>
      <c r="F1139" s="44">
        <f t="shared" si="58"/>
        <v>30720</v>
      </c>
      <c r="G1139" s="45">
        <f t="shared" si="59"/>
        <v>414720</v>
      </c>
      <c r="H1139" s="46">
        <v>414720</v>
      </c>
      <c r="I1139" s="47">
        <f t="shared" si="57"/>
        <v>0</v>
      </c>
      <c r="J1139" s="48"/>
      <c r="K1139" s="49">
        <v>45894</v>
      </c>
      <c r="L1139" s="50" t="s">
        <v>3285</v>
      </c>
    </row>
    <row r="1140" spans="1:12" ht="15" customHeight="1" x14ac:dyDescent="0.35">
      <c r="A1140" s="85" t="s">
        <v>56</v>
      </c>
      <c r="B1140" s="86" t="s">
        <v>3001</v>
      </c>
      <c r="C1140" s="87"/>
      <c r="D1140" s="88" t="s">
        <v>3208</v>
      </c>
      <c r="E1140" s="43">
        <v>3935000</v>
      </c>
      <c r="F1140" s="44">
        <f t="shared" si="58"/>
        <v>314800</v>
      </c>
      <c r="G1140" s="45">
        <f t="shared" si="59"/>
        <v>4249800</v>
      </c>
      <c r="H1140" s="46">
        <v>4249800</v>
      </c>
      <c r="I1140" s="47">
        <f t="shared" si="57"/>
        <v>0</v>
      </c>
      <c r="J1140" s="48"/>
      <c r="K1140" s="49">
        <v>45894</v>
      </c>
      <c r="L1140" s="50" t="s">
        <v>3286</v>
      </c>
    </row>
    <row r="1141" spans="1:12" ht="15" customHeight="1" x14ac:dyDescent="0.35">
      <c r="A1141" s="85" t="s">
        <v>85</v>
      </c>
      <c r="B1141" s="86" t="s">
        <v>3002</v>
      </c>
      <c r="C1141" s="87"/>
      <c r="D1141" s="88" t="s">
        <v>3208</v>
      </c>
      <c r="E1141" s="43">
        <v>4704000</v>
      </c>
      <c r="F1141" s="44">
        <f t="shared" si="58"/>
        <v>376320</v>
      </c>
      <c r="G1141" s="45">
        <f t="shared" si="59"/>
        <v>5080320</v>
      </c>
      <c r="H1141" s="46">
        <v>5080320</v>
      </c>
      <c r="I1141" s="47">
        <f t="shared" si="57"/>
        <v>0</v>
      </c>
      <c r="J1141" s="48"/>
      <c r="K1141" s="49">
        <v>45894</v>
      </c>
      <c r="L1141" s="50" t="s">
        <v>3287</v>
      </c>
    </row>
    <row r="1142" spans="1:12" ht="15" customHeight="1" x14ac:dyDescent="0.35">
      <c r="A1142" s="85" t="s">
        <v>66</v>
      </c>
      <c r="B1142" s="86" t="s">
        <v>3003</v>
      </c>
      <c r="C1142" s="87"/>
      <c r="D1142" s="88" t="s">
        <v>3208</v>
      </c>
      <c r="E1142" s="43">
        <v>768000</v>
      </c>
      <c r="F1142" s="44">
        <f t="shared" si="58"/>
        <v>61440</v>
      </c>
      <c r="G1142" s="45">
        <f t="shared" si="59"/>
        <v>829440</v>
      </c>
      <c r="H1142" s="46">
        <v>829440</v>
      </c>
      <c r="I1142" s="47">
        <f t="shared" si="57"/>
        <v>0</v>
      </c>
      <c r="J1142" s="48"/>
      <c r="K1142" s="49">
        <v>45894</v>
      </c>
      <c r="L1142" s="50" t="s">
        <v>3288</v>
      </c>
    </row>
    <row r="1143" spans="1:12" ht="15" customHeight="1" x14ac:dyDescent="0.35">
      <c r="A1143" s="85" t="s">
        <v>29</v>
      </c>
      <c r="B1143" s="86" t="s">
        <v>3004</v>
      </c>
      <c r="C1143" s="87">
        <v>2857</v>
      </c>
      <c r="D1143" s="88">
        <v>45819</v>
      </c>
      <c r="E1143" s="43">
        <v>27597000</v>
      </c>
      <c r="F1143" s="44">
        <f t="shared" si="58"/>
        <v>2207760</v>
      </c>
      <c r="G1143" s="45">
        <f t="shared" si="59"/>
        <v>29804760</v>
      </c>
      <c r="H1143" s="46">
        <v>29804760</v>
      </c>
      <c r="I1143" s="47">
        <f t="shared" si="57"/>
        <v>0</v>
      </c>
      <c r="J1143" s="48"/>
      <c r="K1143" s="49">
        <v>45894</v>
      </c>
      <c r="L1143" s="50" t="s">
        <v>3289</v>
      </c>
    </row>
    <row r="1144" spans="1:12" ht="15" customHeight="1" x14ac:dyDescent="0.35">
      <c r="A1144" s="85" t="s">
        <v>37</v>
      </c>
      <c r="B1144" s="86" t="s">
        <v>3005</v>
      </c>
      <c r="C1144" s="87"/>
      <c r="D1144" s="88" t="s">
        <v>3209</v>
      </c>
      <c r="E1144" s="43">
        <v>10560000</v>
      </c>
      <c r="F1144" s="44">
        <f t="shared" si="58"/>
        <v>844800</v>
      </c>
      <c r="G1144" s="45">
        <f t="shared" si="59"/>
        <v>11404800</v>
      </c>
      <c r="H1144" s="46">
        <v>11404800</v>
      </c>
      <c r="I1144" s="47">
        <f t="shared" si="57"/>
        <v>0</v>
      </c>
      <c r="J1144" s="48"/>
      <c r="K1144" s="49">
        <v>45894</v>
      </c>
      <c r="L1144" s="50" t="s">
        <v>3290</v>
      </c>
    </row>
    <row r="1145" spans="1:12" ht="15" customHeight="1" x14ac:dyDescent="0.35">
      <c r="A1145" s="85" t="s">
        <v>37</v>
      </c>
      <c r="B1145" s="86" t="s">
        <v>3006</v>
      </c>
      <c r="C1145" s="87">
        <v>2858</v>
      </c>
      <c r="D1145" s="88">
        <v>45819</v>
      </c>
      <c r="E1145" s="43">
        <v>40600000</v>
      </c>
      <c r="F1145" s="44">
        <f t="shared" si="58"/>
        <v>3248000</v>
      </c>
      <c r="G1145" s="45">
        <f t="shared" si="59"/>
        <v>43848000</v>
      </c>
      <c r="H1145" s="46">
        <v>43848000</v>
      </c>
      <c r="I1145" s="47">
        <f t="shared" si="57"/>
        <v>0</v>
      </c>
      <c r="J1145" s="48"/>
      <c r="K1145" s="49">
        <v>45894</v>
      </c>
      <c r="L1145" s="50" t="s">
        <v>3291</v>
      </c>
    </row>
    <row r="1146" spans="1:12" ht="15" customHeight="1" x14ac:dyDescent="0.35">
      <c r="A1146" s="85" t="s">
        <v>37</v>
      </c>
      <c r="B1146" s="86" t="s">
        <v>3007</v>
      </c>
      <c r="C1146" s="87"/>
      <c r="D1146" s="88" t="s">
        <v>3209</v>
      </c>
      <c r="E1146" s="43">
        <v>1920000</v>
      </c>
      <c r="F1146" s="44">
        <f t="shared" si="58"/>
        <v>153600</v>
      </c>
      <c r="G1146" s="45">
        <f t="shared" si="59"/>
        <v>2073600</v>
      </c>
      <c r="H1146" s="46">
        <v>2073600</v>
      </c>
      <c r="I1146" s="47">
        <f t="shared" si="57"/>
        <v>0</v>
      </c>
      <c r="J1146" s="48"/>
      <c r="K1146" s="49">
        <v>45894</v>
      </c>
      <c r="L1146" s="50" t="s">
        <v>3292</v>
      </c>
    </row>
    <row r="1147" spans="1:12" ht="15" customHeight="1" x14ac:dyDescent="0.35">
      <c r="A1147" s="85" t="s">
        <v>33</v>
      </c>
      <c r="B1147" s="86" t="s">
        <v>3008</v>
      </c>
      <c r="C1147" s="87">
        <v>2859</v>
      </c>
      <c r="D1147" s="88">
        <v>45819</v>
      </c>
      <c r="E1147" s="43">
        <v>22561500</v>
      </c>
      <c r="F1147" s="44">
        <f t="shared" si="58"/>
        <v>1804920</v>
      </c>
      <c r="G1147" s="45">
        <f t="shared" si="59"/>
        <v>24366420</v>
      </c>
      <c r="H1147" s="46">
        <v>24366420</v>
      </c>
      <c r="I1147" s="47">
        <f t="shared" si="57"/>
        <v>0</v>
      </c>
      <c r="J1147" s="48"/>
      <c r="K1147" s="49">
        <v>45894</v>
      </c>
      <c r="L1147" s="50" t="s">
        <v>3293</v>
      </c>
    </row>
    <row r="1148" spans="1:12" ht="15" customHeight="1" x14ac:dyDescent="0.35">
      <c r="A1148" s="85" t="s">
        <v>37</v>
      </c>
      <c r="B1148" s="86" t="s">
        <v>3009</v>
      </c>
      <c r="C1148" s="87"/>
      <c r="D1148" s="88" t="s">
        <v>3210</v>
      </c>
      <c r="E1148" s="43">
        <v>3840000</v>
      </c>
      <c r="F1148" s="44">
        <f t="shared" si="58"/>
        <v>307200</v>
      </c>
      <c r="G1148" s="45">
        <f t="shared" si="59"/>
        <v>4147200</v>
      </c>
      <c r="H1148" s="46">
        <v>4147200</v>
      </c>
      <c r="I1148" s="47">
        <f t="shared" si="57"/>
        <v>0</v>
      </c>
      <c r="J1148" s="48"/>
      <c r="K1148" s="49">
        <v>45894</v>
      </c>
      <c r="L1148" s="50" t="s">
        <v>3294</v>
      </c>
    </row>
    <row r="1149" spans="1:12" ht="15" customHeight="1" x14ac:dyDescent="0.35">
      <c r="A1149" s="85" t="s">
        <v>29</v>
      </c>
      <c r="B1149" s="86" t="s">
        <v>3010</v>
      </c>
      <c r="C1149" s="87">
        <v>2860</v>
      </c>
      <c r="D1149" s="88">
        <v>45819</v>
      </c>
      <c r="E1149" s="43">
        <v>10998000</v>
      </c>
      <c r="F1149" s="44">
        <f t="shared" si="58"/>
        <v>879840</v>
      </c>
      <c r="G1149" s="45">
        <f t="shared" si="59"/>
        <v>11877840</v>
      </c>
      <c r="H1149" s="46">
        <v>11877840</v>
      </c>
      <c r="I1149" s="47">
        <f t="shared" si="57"/>
        <v>0</v>
      </c>
      <c r="J1149" s="48"/>
      <c r="K1149" s="49">
        <v>45894</v>
      </c>
      <c r="L1149" s="50" t="s">
        <v>3295</v>
      </c>
    </row>
    <row r="1150" spans="1:12" ht="15" customHeight="1" x14ac:dyDescent="0.35">
      <c r="A1150" s="85" t="s">
        <v>66</v>
      </c>
      <c r="B1150" s="86" t="s">
        <v>166</v>
      </c>
      <c r="C1150" s="87"/>
      <c r="D1150" s="88" t="s">
        <v>3211</v>
      </c>
      <c r="E1150" s="43">
        <v>1680000</v>
      </c>
      <c r="F1150" s="44">
        <f t="shared" si="58"/>
        <v>134400</v>
      </c>
      <c r="G1150" s="45">
        <f t="shared" si="59"/>
        <v>1814400</v>
      </c>
      <c r="H1150" s="46">
        <v>1814400</v>
      </c>
      <c r="I1150" s="47">
        <f t="shared" si="57"/>
        <v>0</v>
      </c>
      <c r="J1150" s="48"/>
      <c r="K1150" s="49">
        <v>45894</v>
      </c>
      <c r="L1150" s="50" t="s">
        <v>3296</v>
      </c>
    </row>
    <row r="1151" spans="1:12" ht="15" customHeight="1" x14ac:dyDescent="0.35">
      <c r="A1151" s="85" t="s">
        <v>56</v>
      </c>
      <c r="B1151" s="86" t="s">
        <v>3011</v>
      </c>
      <c r="C1151" s="87"/>
      <c r="D1151" s="88" t="s">
        <v>3211</v>
      </c>
      <c r="E1151" s="43">
        <v>8200000</v>
      </c>
      <c r="F1151" s="44">
        <f t="shared" si="58"/>
        <v>656000</v>
      </c>
      <c r="G1151" s="45">
        <f t="shared" si="59"/>
        <v>8856000</v>
      </c>
      <c r="H1151" s="46">
        <v>8856000</v>
      </c>
      <c r="I1151" s="47">
        <f t="shared" si="57"/>
        <v>0</v>
      </c>
      <c r="J1151" s="48"/>
      <c r="K1151" s="49">
        <v>45894</v>
      </c>
      <c r="L1151" s="50" t="s">
        <v>3297</v>
      </c>
    </row>
    <row r="1152" spans="1:12" ht="15" customHeight="1" x14ac:dyDescent="0.35">
      <c r="A1152" s="85" t="s">
        <v>85</v>
      </c>
      <c r="B1152" s="86" t="s">
        <v>3012</v>
      </c>
      <c r="C1152" s="87"/>
      <c r="D1152" s="88" t="s">
        <v>3211</v>
      </c>
      <c r="E1152" s="43">
        <v>3215000</v>
      </c>
      <c r="F1152" s="44">
        <f t="shared" si="58"/>
        <v>257200</v>
      </c>
      <c r="G1152" s="45">
        <f t="shared" si="59"/>
        <v>3472200</v>
      </c>
      <c r="H1152" s="46">
        <v>3472200</v>
      </c>
      <c r="I1152" s="47">
        <f t="shared" si="57"/>
        <v>0</v>
      </c>
      <c r="J1152" s="48"/>
      <c r="K1152" s="49">
        <v>45894</v>
      </c>
      <c r="L1152" s="50" t="s">
        <v>3298</v>
      </c>
    </row>
    <row r="1153" spans="1:12" ht="15" customHeight="1" x14ac:dyDescent="0.35">
      <c r="A1153" s="85" t="s">
        <v>33</v>
      </c>
      <c r="B1153" s="86" t="s">
        <v>3013</v>
      </c>
      <c r="C1153" s="87">
        <v>2861</v>
      </c>
      <c r="D1153" s="88">
        <v>45819</v>
      </c>
      <c r="E1153" s="43">
        <v>12616000</v>
      </c>
      <c r="F1153" s="44">
        <f t="shared" si="58"/>
        <v>1009280</v>
      </c>
      <c r="G1153" s="45">
        <f t="shared" si="59"/>
        <v>13625280</v>
      </c>
      <c r="H1153" s="46">
        <v>13625280</v>
      </c>
      <c r="I1153" s="47">
        <f t="shared" si="57"/>
        <v>0</v>
      </c>
      <c r="J1153" s="48"/>
      <c r="K1153" s="49">
        <v>45894</v>
      </c>
      <c r="L1153" s="50" t="s">
        <v>3299</v>
      </c>
    </row>
    <row r="1154" spans="1:12" ht="15" customHeight="1" x14ac:dyDescent="0.35">
      <c r="A1154" s="85" t="s">
        <v>66</v>
      </c>
      <c r="B1154" s="86" t="s">
        <v>3014</v>
      </c>
      <c r="C1154" s="87"/>
      <c r="D1154" s="88" t="s">
        <v>3212</v>
      </c>
      <c r="E1154" s="43">
        <v>960000</v>
      </c>
      <c r="F1154" s="44">
        <f t="shared" si="58"/>
        <v>76800</v>
      </c>
      <c r="G1154" s="45">
        <f t="shared" si="59"/>
        <v>1036800</v>
      </c>
      <c r="H1154" s="46">
        <v>1036800</v>
      </c>
      <c r="I1154" s="47">
        <f t="shared" si="57"/>
        <v>0</v>
      </c>
      <c r="J1154" s="48"/>
      <c r="K1154" s="49">
        <v>45894</v>
      </c>
      <c r="L1154" s="50" t="s">
        <v>3300</v>
      </c>
    </row>
    <row r="1155" spans="1:12" ht="15" customHeight="1" x14ac:dyDescent="0.35">
      <c r="A1155" s="85" t="s">
        <v>37</v>
      </c>
      <c r="B1155" s="86" t="s">
        <v>523</v>
      </c>
      <c r="C1155" s="87"/>
      <c r="D1155" s="88" t="s">
        <v>3213</v>
      </c>
      <c r="E1155" s="43">
        <v>20620000</v>
      </c>
      <c r="F1155" s="44">
        <f t="shared" si="58"/>
        <v>1649600</v>
      </c>
      <c r="G1155" s="45">
        <f t="shared" si="59"/>
        <v>22269600</v>
      </c>
      <c r="H1155" s="46">
        <v>22269600</v>
      </c>
      <c r="I1155" s="47">
        <f t="shared" si="57"/>
        <v>0</v>
      </c>
      <c r="J1155" s="48"/>
      <c r="K1155" s="49">
        <v>45894</v>
      </c>
      <c r="L1155" s="50" t="s">
        <v>3301</v>
      </c>
    </row>
    <row r="1156" spans="1:12" ht="15" customHeight="1" x14ac:dyDescent="0.35">
      <c r="A1156" s="85" t="s">
        <v>29</v>
      </c>
      <c r="B1156" s="86" t="s">
        <v>3015</v>
      </c>
      <c r="C1156" s="87">
        <v>3161</v>
      </c>
      <c r="D1156" s="88">
        <v>45833</v>
      </c>
      <c r="E1156" s="43">
        <v>35902000</v>
      </c>
      <c r="F1156" s="44">
        <f t="shared" si="58"/>
        <v>2872160</v>
      </c>
      <c r="G1156" s="45">
        <f t="shared" si="59"/>
        <v>38774160</v>
      </c>
      <c r="H1156" s="46">
        <v>38774160</v>
      </c>
      <c r="I1156" s="47">
        <f t="shared" si="57"/>
        <v>0</v>
      </c>
      <c r="J1156" s="48"/>
      <c r="K1156" s="49">
        <v>45915</v>
      </c>
      <c r="L1156" s="50" t="s">
        <v>3302</v>
      </c>
    </row>
    <row r="1157" spans="1:12" ht="15" customHeight="1" x14ac:dyDescent="0.35">
      <c r="A1157" s="85" t="s">
        <v>85</v>
      </c>
      <c r="B1157" s="86" t="s">
        <v>3016</v>
      </c>
      <c r="C1157" s="87"/>
      <c r="D1157" s="88" t="s">
        <v>3214</v>
      </c>
      <c r="E1157" s="43">
        <v>1864000</v>
      </c>
      <c r="F1157" s="44">
        <f t="shared" si="58"/>
        <v>149120</v>
      </c>
      <c r="G1157" s="45">
        <f t="shared" si="59"/>
        <v>2013120</v>
      </c>
      <c r="H1157" s="46">
        <v>2013120</v>
      </c>
      <c r="I1157" s="47">
        <f t="shared" si="57"/>
        <v>0</v>
      </c>
      <c r="J1157" s="48"/>
      <c r="K1157" s="49">
        <v>45915</v>
      </c>
      <c r="L1157" s="50" t="s">
        <v>3303</v>
      </c>
    </row>
    <row r="1158" spans="1:12" ht="15" customHeight="1" x14ac:dyDescent="0.35">
      <c r="A1158" s="85" t="s">
        <v>56</v>
      </c>
      <c r="B1158" s="86" t="s">
        <v>3017</v>
      </c>
      <c r="C1158" s="87"/>
      <c r="D1158" s="88" t="s">
        <v>3214</v>
      </c>
      <c r="E1158" s="43">
        <v>960000</v>
      </c>
      <c r="F1158" s="44">
        <f t="shared" si="58"/>
        <v>76800</v>
      </c>
      <c r="G1158" s="45">
        <f t="shared" si="59"/>
        <v>1036800</v>
      </c>
      <c r="H1158" s="46">
        <v>1036800</v>
      </c>
      <c r="I1158" s="47">
        <f t="shared" si="57"/>
        <v>0</v>
      </c>
      <c r="J1158" s="48"/>
      <c r="K1158" s="49">
        <v>45915</v>
      </c>
      <c r="L1158" s="50" t="s">
        <v>3304</v>
      </c>
    </row>
    <row r="1159" spans="1:12" ht="15" customHeight="1" x14ac:dyDescent="0.35">
      <c r="A1159" s="85" t="s">
        <v>66</v>
      </c>
      <c r="B1159" s="86" t="s">
        <v>3018</v>
      </c>
      <c r="C1159" s="87"/>
      <c r="D1159" s="88" t="s">
        <v>3214</v>
      </c>
      <c r="E1159" s="43">
        <v>384000</v>
      </c>
      <c r="F1159" s="44">
        <f t="shared" si="58"/>
        <v>30720</v>
      </c>
      <c r="G1159" s="45">
        <f t="shared" si="59"/>
        <v>414720</v>
      </c>
      <c r="H1159" s="46">
        <v>414720</v>
      </c>
      <c r="I1159" s="47">
        <f t="shared" si="57"/>
        <v>0</v>
      </c>
      <c r="J1159" s="48"/>
      <c r="K1159" s="49">
        <v>45915</v>
      </c>
      <c r="L1159" s="50" t="s">
        <v>3305</v>
      </c>
    </row>
    <row r="1160" spans="1:12" ht="15" customHeight="1" x14ac:dyDescent="0.35">
      <c r="A1160" s="85" t="s">
        <v>37</v>
      </c>
      <c r="B1160" s="86" t="s">
        <v>3019</v>
      </c>
      <c r="C1160" s="87"/>
      <c r="D1160" s="88" t="s">
        <v>3215</v>
      </c>
      <c r="E1160" s="43">
        <v>19645000</v>
      </c>
      <c r="F1160" s="44">
        <f t="shared" si="58"/>
        <v>1571600</v>
      </c>
      <c r="G1160" s="45">
        <f t="shared" si="59"/>
        <v>21216600</v>
      </c>
      <c r="H1160" s="46">
        <v>21216600</v>
      </c>
      <c r="I1160" s="47">
        <f t="shared" si="57"/>
        <v>0</v>
      </c>
      <c r="J1160" s="48"/>
      <c r="K1160" s="49">
        <v>45915</v>
      </c>
      <c r="L1160" s="50" t="s">
        <v>3306</v>
      </c>
    </row>
    <row r="1161" spans="1:12" ht="15" customHeight="1" x14ac:dyDescent="0.35">
      <c r="A1161" s="85" t="s">
        <v>33</v>
      </c>
      <c r="B1161" s="86" t="s">
        <v>1273</v>
      </c>
      <c r="C1161" s="87"/>
      <c r="D1161" s="88" t="s">
        <v>3216</v>
      </c>
      <c r="E1161" s="43">
        <v>26215000</v>
      </c>
      <c r="F1161" s="44">
        <f t="shared" si="58"/>
        <v>2097200</v>
      </c>
      <c r="G1161" s="45">
        <f t="shared" si="59"/>
        <v>28312200</v>
      </c>
      <c r="H1161" s="46">
        <v>28312200</v>
      </c>
      <c r="I1161" s="47">
        <f t="shared" si="57"/>
        <v>0</v>
      </c>
      <c r="J1161" s="48"/>
      <c r="K1161" s="49">
        <v>45915</v>
      </c>
      <c r="L1161" s="50" t="s">
        <v>3307</v>
      </c>
    </row>
    <row r="1162" spans="1:12" ht="15" customHeight="1" x14ac:dyDescent="0.35">
      <c r="A1162" s="85" t="s">
        <v>33</v>
      </c>
      <c r="B1162" s="86" t="s">
        <v>1275</v>
      </c>
      <c r="C1162" s="87"/>
      <c r="D1162" s="88" t="s">
        <v>3216</v>
      </c>
      <c r="E1162" s="43">
        <v>2080000</v>
      </c>
      <c r="F1162" s="44">
        <f t="shared" si="58"/>
        <v>166400</v>
      </c>
      <c r="G1162" s="45">
        <f t="shared" si="59"/>
        <v>2246400</v>
      </c>
      <c r="H1162" s="46">
        <v>2246400</v>
      </c>
      <c r="I1162" s="47">
        <f t="shared" si="57"/>
        <v>0</v>
      </c>
      <c r="J1162" s="48"/>
      <c r="K1162" s="49">
        <v>45915</v>
      </c>
      <c r="L1162" s="50" t="s">
        <v>3308</v>
      </c>
    </row>
    <row r="1163" spans="1:12" ht="15" customHeight="1" x14ac:dyDescent="0.35">
      <c r="A1163" s="85" t="s">
        <v>37</v>
      </c>
      <c r="B1163" s="86" t="s">
        <v>3020</v>
      </c>
      <c r="C1163" s="87"/>
      <c r="D1163" s="88" t="s">
        <v>3216</v>
      </c>
      <c r="E1163" s="43">
        <v>15056000</v>
      </c>
      <c r="F1163" s="44">
        <f t="shared" si="58"/>
        <v>1204480</v>
      </c>
      <c r="G1163" s="45">
        <f t="shared" si="59"/>
        <v>16260480</v>
      </c>
      <c r="H1163" s="46">
        <v>16260480</v>
      </c>
      <c r="I1163" s="47">
        <f t="shared" si="57"/>
        <v>0</v>
      </c>
      <c r="J1163" s="48"/>
      <c r="K1163" s="49">
        <v>45915</v>
      </c>
      <c r="L1163" s="50" t="s">
        <v>3309</v>
      </c>
    </row>
    <row r="1164" spans="1:12" ht="15" customHeight="1" x14ac:dyDescent="0.35">
      <c r="A1164" s="85" t="s">
        <v>29</v>
      </c>
      <c r="B1164" s="86" t="s">
        <v>3021</v>
      </c>
      <c r="C1164" s="87"/>
      <c r="D1164" s="88" t="s">
        <v>3216</v>
      </c>
      <c r="E1164" s="43">
        <v>8320000</v>
      </c>
      <c r="F1164" s="44">
        <f t="shared" si="58"/>
        <v>665600</v>
      </c>
      <c r="G1164" s="45">
        <f t="shared" si="59"/>
        <v>8985600</v>
      </c>
      <c r="H1164" s="46">
        <v>8985600</v>
      </c>
      <c r="I1164" s="47">
        <f t="shared" si="57"/>
        <v>0</v>
      </c>
      <c r="J1164" s="48"/>
      <c r="K1164" s="49">
        <v>45915</v>
      </c>
      <c r="L1164" s="50" t="s">
        <v>3310</v>
      </c>
    </row>
    <row r="1165" spans="1:12" ht="15" customHeight="1" x14ac:dyDescent="0.35">
      <c r="A1165" s="85" t="s">
        <v>66</v>
      </c>
      <c r="B1165" s="86" t="s">
        <v>3022</v>
      </c>
      <c r="C1165" s="87"/>
      <c r="D1165" s="88" t="s">
        <v>3216</v>
      </c>
      <c r="E1165" s="43">
        <v>1056000</v>
      </c>
      <c r="F1165" s="44">
        <f t="shared" si="58"/>
        <v>84480</v>
      </c>
      <c r="G1165" s="45">
        <f t="shared" si="59"/>
        <v>1140480</v>
      </c>
      <c r="H1165" s="46">
        <v>1140480</v>
      </c>
      <c r="I1165" s="47">
        <f t="shared" si="57"/>
        <v>0</v>
      </c>
      <c r="J1165" s="48"/>
      <c r="K1165" s="49">
        <v>45915</v>
      </c>
      <c r="L1165" s="50" t="s">
        <v>3311</v>
      </c>
    </row>
    <row r="1166" spans="1:12" ht="15" customHeight="1" x14ac:dyDescent="0.35">
      <c r="A1166" s="85" t="s">
        <v>56</v>
      </c>
      <c r="B1166" s="86" t="s">
        <v>3023</v>
      </c>
      <c r="C1166" s="87"/>
      <c r="D1166" s="88" t="s">
        <v>3216</v>
      </c>
      <c r="E1166" s="43">
        <v>1344000</v>
      </c>
      <c r="F1166" s="44">
        <f t="shared" si="58"/>
        <v>107520</v>
      </c>
      <c r="G1166" s="45">
        <f t="shared" si="59"/>
        <v>1451520</v>
      </c>
      <c r="H1166" s="46">
        <v>1451520</v>
      </c>
      <c r="I1166" s="47">
        <f t="shared" si="57"/>
        <v>0</v>
      </c>
      <c r="J1166" s="48"/>
      <c r="K1166" s="49">
        <v>45915</v>
      </c>
      <c r="L1166" s="50" t="s">
        <v>3312</v>
      </c>
    </row>
    <row r="1167" spans="1:12" ht="15" customHeight="1" x14ac:dyDescent="0.35">
      <c r="A1167" s="85" t="s">
        <v>85</v>
      </c>
      <c r="B1167" s="86" t="s">
        <v>3024</v>
      </c>
      <c r="C1167" s="87"/>
      <c r="D1167" s="88" t="s">
        <v>3216</v>
      </c>
      <c r="E1167" s="43">
        <v>2080000</v>
      </c>
      <c r="F1167" s="44">
        <f t="shared" si="58"/>
        <v>166400</v>
      </c>
      <c r="G1167" s="45">
        <f t="shared" si="59"/>
        <v>2246400</v>
      </c>
      <c r="H1167" s="46">
        <v>2246400</v>
      </c>
      <c r="I1167" s="47">
        <f t="shared" si="57"/>
        <v>0</v>
      </c>
      <c r="J1167" s="48"/>
      <c r="K1167" s="49">
        <v>45915</v>
      </c>
      <c r="L1167" s="50" t="s">
        <v>3313</v>
      </c>
    </row>
    <row r="1168" spans="1:12" ht="15" customHeight="1" x14ac:dyDescent="0.35">
      <c r="A1168" s="85" t="s">
        <v>33</v>
      </c>
      <c r="B1168" s="86" t="s">
        <v>881</v>
      </c>
      <c r="C1168" s="87"/>
      <c r="D1168" s="88" t="s">
        <v>3216</v>
      </c>
      <c r="E1168" s="43">
        <v>23192000</v>
      </c>
      <c r="F1168" s="44">
        <f t="shared" si="58"/>
        <v>1855360</v>
      </c>
      <c r="G1168" s="45">
        <f t="shared" si="59"/>
        <v>25047360</v>
      </c>
      <c r="H1168" s="46">
        <v>25047360</v>
      </c>
      <c r="I1168" s="47">
        <f t="shared" si="57"/>
        <v>0</v>
      </c>
      <c r="J1168" s="48"/>
      <c r="K1168" s="49">
        <v>45915</v>
      </c>
      <c r="L1168" s="50" t="s">
        <v>3314</v>
      </c>
    </row>
    <row r="1169" spans="1:12" ht="15" customHeight="1" x14ac:dyDescent="0.35">
      <c r="A1169" s="85" t="s">
        <v>37</v>
      </c>
      <c r="B1169" s="86" t="s">
        <v>3025</v>
      </c>
      <c r="C1169" s="87"/>
      <c r="D1169" s="88" t="s">
        <v>3216</v>
      </c>
      <c r="E1169" s="43">
        <v>1040000</v>
      </c>
      <c r="F1169" s="44">
        <f t="shared" si="58"/>
        <v>83200</v>
      </c>
      <c r="G1169" s="45">
        <f t="shared" si="59"/>
        <v>1123200</v>
      </c>
      <c r="H1169" s="46">
        <v>1123200</v>
      </c>
      <c r="I1169" s="47">
        <f t="shared" si="57"/>
        <v>0</v>
      </c>
      <c r="J1169" s="48"/>
      <c r="K1169" s="49">
        <v>45915</v>
      </c>
      <c r="L1169" s="50" t="s">
        <v>3315</v>
      </c>
    </row>
    <row r="1170" spans="1:12" ht="15" customHeight="1" x14ac:dyDescent="0.35">
      <c r="A1170" s="85" t="s">
        <v>56</v>
      </c>
      <c r="B1170" s="86" t="s">
        <v>3026</v>
      </c>
      <c r="C1170" s="87"/>
      <c r="D1170" s="88" t="s">
        <v>3216</v>
      </c>
      <c r="E1170" s="43">
        <v>3152000</v>
      </c>
      <c r="F1170" s="44">
        <f t="shared" si="58"/>
        <v>252160</v>
      </c>
      <c r="G1170" s="45">
        <f t="shared" si="59"/>
        <v>3404160</v>
      </c>
      <c r="H1170" s="46">
        <v>3404160</v>
      </c>
      <c r="I1170" s="47">
        <f t="shared" si="57"/>
        <v>0</v>
      </c>
      <c r="J1170" s="48"/>
      <c r="K1170" s="49">
        <v>45915</v>
      </c>
      <c r="L1170" s="50" t="s">
        <v>3316</v>
      </c>
    </row>
    <row r="1171" spans="1:12" ht="15" customHeight="1" x14ac:dyDescent="0.35">
      <c r="A1171" s="85" t="s">
        <v>85</v>
      </c>
      <c r="B1171" s="86" t="s">
        <v>3027</v>
      </c>
      <c r="C1171" s="87"/>
      <c r="D1171" s="88" t="s">
        <v>3216</v>
      </c>
      <c r="E1171" s="43">
        <v>3200000</v>
      </c>
      <c r="F1171" s="44">
        <f t="shared" si="58"/>
        <v>256000</v>
      </c>
      <c r="G1171" s="45">
        <f t="shared" si="59"/>
        <v>3456000</v>
      </c>
      <c r="H1171" s="46">
        <v>3456000</v>
      </c>
      <c r="I1171" s="47">
        <f t="shared" si="57"/>
        <v>0</v>
      </c>
      <c r="J1171" s="48"/>
      <c r="K1171" s="49">
        <v>45915</v>
      </c>
      <c r="L1171" s="50" t="s">
        <v>3317</v>
      </c>
    </row>
    <row r="1172" spans="1:12" ht="15" customHeight="1" x14ac:dyDescent="0.35">
      <c r="A1172" s="85" t="s">
        <v>37</v>
      </c>
      <c r="B1172" s="86" t="s">
        <v>3028</v>
      </c>
      <c r="C1172" s="87"/>
      <c r="D1172" s="88" t="s">
        <v>3216</v>
      </c>
      <c r="E1172" s="43">
        <v>24285000</v>
      </c>
      <c r="F1172" s="44">
        <f t="shared" si="58"/>
        <v>1942800</v>
      </c>
      <c r="G1172" s="45">
        <f t="shared" si="59"/>
        <v>26227800</v>
      </c>
      <c r="H1172" s="46">
        <v>26227800</v>
      </c>
      <c r="I1172" s="47">
        <f t="shared" si="57"/>
        <v>0</v>
      </c>
      <c r="J1172" s="48"/>
      <c r="K1172" s="49">
        <v>45915</v>
      </c>
      <c r="L1172" s="50" t="s">
        <v>3318</v>
      </c>
    </row>
    <row r="1173" spans="1:12" ht="15" customHeight="1" x14ac:dyDescent="0.35">
      <c r="A1173" s="85" t="s">
        <v>29</v>
      </c>
      <c r="B1173" s="86" t="s">
        <v>3029</v>
      </c>
      <c r="C1173" s="87"/>
      <c r="D1173" s="88" t="s">
        <v>3217</v>
      </c>
      <c r="E1173" s="43">
        <v>19488000</v>
      </c>
      <c r="F1173" s="44">
        <f t="shared" si="58"/>
        <v>1559040</v>
      </c>
      <c r="G1173" s="45">
        <f t="shared" si="59"/>
        <v>21047040</v>
      </c>
      <c r="H1173" s="46">
        <v>21047040</v>
      </c>
      <c r="I1173" s="47">
        <f t="shared" ref="I1173:I1232" si="60">G1173-H1173</f>
        <v>0</v>
      </c>
      <c r="J1173" s="48"/>
      <c r="K1173" s="49">
        <v>45915</v>
      </c>
      <c r="L1173" s="50" t="s">
        <v>3319</v>
      </c>
    </row>
    <row r="1174" spans="1:12" ht="15" customHeight="1" x14ac:dyDescent="0.35">
      <c r="A1174" s="85" t="s">
        <v>33</v>
      </c>
      <c r="B1174" s="86" t="s">
        <v>3030</v>
      </c>
      <c r="C1174" s="87"/>
      <c r="D1174" s="88" t="s">
        <v>3217</v>
      </c>
      <c r="E1174" s="43">
        <v>30416000</v>
      </c>
      <c r="F1174" s="44">
        <f t="shared" ref="F1174:F1233" si="61">+E1174*0.08</f>
        <v>2433280</v>
      </c>
      <c r="G1174" s="45">
        <f t="shared" ref="G1174:G1233" si="62">E1174+F1174</f>
        <v>32849280</v>
      </c>
      <c r="H1174" s="46">
        <v>32849280</v>
      </c>
      <c r="I1174" s="47">
        <f t="shared" si="60"/>
        <v>0</v>
      </c>
      <c r="J1174" s="48"/>
      <c r="K1174" s="49">
        <v>45915</v>
      </c>
      <c r="L1174" s="50" t="s">
        <v>3320</v>
      </c>
    </row>
    <row r="1175" spans="1:12" ht="15" customHeight="1" x14ac:dyDescent="0.35">
      <c r="A1175" s="85" t="s">
        <v>66</v>
      </c>
      <c r="B1175" s="86" t="s">
        <v>3031</v>
      </c>
      <c r="C1175" s="87"/>
      <c r="D1175" s="88" t="s">
        <v>3218</v>
      </c>
      <c r="E1175" s="43">
        <v>640000</v>
      </c>
      <c r="F1175" s="44">
        <f t="shared" si="61"/>
        <v>51200</v>
      </c>
      <c r="G1175" s="45">
        <f>E1175+F1175</f>
        <v>691200</v>
      </c>
      <c r="H1175" s="46">
        <v>691200</v>
      </c>
      <c r="I1175" s="47">
        <f>G1175-H1175</f>
        <v>0</v>
      </c>
      <c r="J1175" s="48"/>
      <c r="K1175" s="49">
        <v>45945</v>
      </c>
      <c r="L1175" s="50" t="s">
        <v>3321</v>
      </c>
    </row>
    <row r="1176" spans="1:12" ht="15" customHeight="1" x14ac:dyDescent="0.35">
      <c r="A1176" s="85" t="s">
        <v>29</v>
      </c>
      <c r="B1176" s="86" t="s">
        <v>3032</v>
      </c>
      <c r="C1176" s="87"/>
      <c r="D1176" s="88" t="s">
        <v>3218</v>
      </c>
      <c r="E1176" s="43">
        <v>13052500</v>
      </c>
      <c r="F1176" s="44">
        <f t="shared" si="61"/>
        <v>1044200</v>
      </c>
      <c r="G1176" s="45">
        <f t="shared" si="62"/>
        <v>14096700</v>
      </c>
      <c r="H1176" s="46">
        <v>14096700</v>
      </c>
      <c r="I1176" s="47">
        <f t="shared" si="60"/>
        <v>0</v>
      </c>
      <c r="J1176" s="48"/>
      <c r="K1176" s="49">
        <v>45945</v>
      </c>
      <c r="L1176" s="50" t="s">
        <v>3322</v>
      </c>
    </row>
    <row r="1177" spans="1:12" ht="15" customHeight="1" x14ac:dyDescent="0.35">
      <c r="A1177" s="85" t="s">
        <v>56</v>
      </c>
      <c r="B1177" s="86" t="s">
        <v>3033</v>
      </c>
      <c r="C1177" s="87"/>
      <c r="D1177" s="88" t="s">
        <v>3218</v>
      </c>
      <c r="E1177" s="43">
        <v>6528000</v>
      </c>
      <c r="F1177" s="44">
        <f t="shared" si="61"/>
        <v>522240</v>
      </c>
      <c r="G1177" s="45">
        <f t="shared" si="62"/>
        <v>7050240</v>
      </c>
      <c r="H1177" s="45">
        <v>7050240</v>
      </c>
      <c r="I1177" s="47">
        <f t="shared" si="60"/>
        <v>0</v>
      </c>
      <c r="J1177" s="48"/>
      <c r="K1177" s="49">
        <v>45945</v>
      </c>
      <c r="L1177" s="50" t="s">
        <v>3323</v>
      </c>
    </row>
    <row r="1178" spans="1:12" ht="15" customHeight="1" x14ac:dyDescent="0.35">
      <c r="A1178" s="85" t="s">
        <v>85</v>
      </c>
      <c r="B1178" s="86" t="s">
        <v>3034</v>
      </c>
      <c r="C1178" s="87"/>
      <c r="D1178" s="88" t="s">
        <v>3218</v>
      </c>
      <c r="E1178" s="43">
        <v>2459000</v>
      </c>
      <c r="F1178" s="44">
        <f t="shared" si="61"/>
        <v>196720</v>
      </c>
      <c r="G1178" s="45">
        <f t="shared" si="62"/>
        <v>2655720</v>
      </c>
      <c r="H1178" s="45">
        <v>2655720</v>
      </c>
      <c r="I1178" s="47">
        <f t="shared" si="60"/>
        <v>0</v>
      </c>
      <c r="J1178" s="48"/>
      <c r="K1178" s="49">
        <v>45945</v>
      </c>
      <c r="L1178" s="50" t="s">
        <v>3324</v>
      </c>
    </row>
    <row r="1179" spans="1:12" ht="15" customHeight="1" x14ac:dyDescent="0.35">
      <c r="A1179" s="85" t="s">
        <v>33</v>
      </c>
      <c r="B1179" s="86" t="s">
        <v>1304</v>
      </c>
      <c r="C1179" s="87"/>
      <c r="D1179" s="88" t="s">
        <v>3218</v>
      </c>
      <c r="E1179" s="43">
        <v>19616000</v>
      </c>
      <c r="F1179" s="44">
        <f t="shared" si="61"/>
        <v>1569280</v>
      </c>
      <c r="G1179" s="45">
        <f t="shared" si="62"/>
        <v>21185280</v>
      </c>
      <c r="H1179" s="46">
        <v>21185280</v>
      </c>
      <c r="I1179" s="47">
        <f t="shared" si="60"/>
        <v>0</v>
      </c>
      <c r="J1179" s="48"/>
      <c r="K1179" s="49">
        <v>45945</v>
      </c>
      <c r="L1179" s="50" t="s">
        <v>3325</v>
      </c>
    </row>
    <row r="1180" spans="1:12" ht="15" customHeight="1" x14ac:dyDescent="0.35">
      <c r="A1180" s="85" t="s">
        <v>33</v>
      </c>
      <c r="B1180" s="86" t="s">
        <v>3035</v>
      </c>
      <c r="C1180" s="87"/>
      <c r="D1180" s="88" t="s">
        <v>3219</v>
      </c>
      <c r="E1180" s="43">
        <v>2890000</v>
      </c>
      <c r="F1180" s="44">
        <f t="shared" si="61"/>
        <v>231200</v>
      </c>
      <c r="G1180" s="45">
        <f t="shared" si="62"/>
        <v>3121200</v>
      </c>
      <c r="H1180" s="46">
        <v>3121200</v>
      </c>
      <c r="I1180" s="47">
        <f t="shared" si="60"/>
        <v>0</v>
      </c>
      <c r="J1180" s="48"/>
      <c r="K1180" s="49">
        <v>45945</v>
      </c>
      <c r="L1180" s="50" t="s">
        <v>3326</v>
      </c>
    </row>
    <row r="1181" spans="1:12" ht="15" customHeight="1" x14ac:dyDescent="0.35">
      <c r="A1181" s="85" t="s">
        <v>37</v>
      </c>
      <c r="B1181" s="86" t="s">
        <v>3036</v>
      </c>
      <c r="C1181" s="87"/>
      <c r="D1181" s="88" t="s">
        <v>3219</v>
      </c>
      <c r="E1181" s="43">
        <v>1000000</v>
      </c>
      <c r="F1181" s="44">
        <f t="shared" si="61"/>
        <v>80000</v>
      </c>
      <c r="G1181" s="45">
        <f t="shared" si="62"/>
        <v>1080000</v>
      </c>
      <c r="H1181" s="46">
        <v>1080000</v>
      </c>
      <c r="I1181" s="47">
        <f t="shared" si="60"/>
        <v>0</v>
      </c>
      <c r="J1181" s="48"/>
      <c r="K1181" s="49">
        <v>45945</v>
      </c>
      <c r="L1181" s="50" t="s">
        <v>3327</v>
      </c>
    </row>
    <row r="1182" spans="1:12" ht="15" customHeight="1" x14ac:dyDescent="0.35">
      <c r="A1182" s="85" t="s">
        <v>37</v>
      </c>
      <c r="B1182" s="86" t="s">
        <v>3037</v>
      </c>
      <c r="C1182" s="87"/>
      <c r="D1182" s="88" t="s">
        <v>3219</v>
      </c>
      <c r="E1182" s="43">
        <v>30857000</v>
      </c>
      <c r="F1182" s="44">
        <f t="shared" si="61"/>
        <v>2468560</v>
      </c>
      <c r="G1182" s="45">
        <f t="shared" si="62"/>
        <v>33325560</v>
      </c>
      <c r="H1182" s="46">
        <v>33325560</v>
      </c>
      <c r="I1182" s="47">
        <f t="shared" si="60"/>
        <v>0</v>
      </c>
      <c r="J1182" s="48"/>
      <c r="K1182" s="49">
        <v>45945</v>
      </c>
      <c r="L1182" s="50" t="s">
        <v>3328</v>
      </c>
    </row>
    <row r="1183" spans="1:12" ht="15" customHeight="1" x14ac:dyDescent="0.35">
      <c r="A1183" s="85" t="s">
        <v>29</v>
      </c>
      <c r="B1183" s="86" t="s">
        <v>3038</v>
      </c>
      <c r="C1183" s="87"/>
      <c r="D1183" s="88" t="s">
        <v>3219</v>
      </c>
      <c r="E1183" s="43">
        <v>910000</v>
      </c>
      <c r="F1183" s="44">
        <f t="shared" si="61"/>
        <v>72800</v>
      </c>
      <c r="G1183" s="45">
        <f t="shared" si="62"/>
        <v>982800</v>
      </c>
      <c r="H1183" s="46">
        <v>982800</v>
      </c>
      <c r="I1183" s="47">
        <f t="shared" si="60"/>
        <v>0</v>
      </c>
      <c r="J1183" s="48"/>
      <c r="K1183" s="49">
        <v>45945</v>
      </c>
      <c r="L1183" s="50" t="s">
        <v>3329</v>
      </c>
    </row>
    <row r="1184" spans="1:12" ht="15" customHeight="1" x14ac:dyDescent="0.35">
      <c r="A1184" s="85" t="s">
        <v>29</v>
      </c>
      <c r="B1184" s="86" t="s">
        <v>3039</v>
      </c>
      <c r="C1184" s="87"/>
      <c r="D1184" s="88" t="s">
        <v>3219</v>
      </c>
      <c r="E1184" s="43">
        <v>520000</v>
      </c>
      <c r="F1184" s="44">
        <f t="shared" si="61"/>
        <v>41600</v>
      </c>
      <c r="G1184" s="45">
        <f t="shared" si="62"/>
        <v>561600</v>
      </c>
      <c r="H1184" s="46">
        <v>561600</v>
      </c>
      <c r="I1184" s="47">
        <f t="shared" si="60"/>
        <v>0</v>
      </c>
      <c r="J1184" s="48"/>
      <c r="K1184" s="49">
        <v>45945</v>
      </c>
      <c r="L1184" s="50" t="s">
        <v>3330</v>
      </c>
    </row>
    <row r="1185" spans="1:19" ht="15" customHeight="1" x14ac:dyDescent="0.35">
      <c r="A1185" s="85" t="s">
        <v>33</v>
      </c>
      <c r="B1185" s="86" t="s">
        <v>1312</v>
      </c>
      <c r="C1185" s="87"/>
      <c r="D1185" s="88" t="s">
        <v>3219</v>
      </c>
      <c r="E1185" s="43">
        <v>4320000</v>
      </c>
      <c r="F1185" s="44">
        <f t="shared" si="61"/>
        <v>345600</v>
      </c>
      <c r="G1185" s="45">
        <f t="shared" si="62"/>
        <v>4665600</v>
      </c>
      <c r="H1185" s="46">
        <v>4665600</v>
      </c>
      <c r="I1185" s="47">
        <f t="shared" si="60"/>
        <v>0</v>
      </c>
      <c r="J1185" s="48"/>
      <c r="K1185" s="49">
        <v>45945</v>
      </c>
      <c r="L1185" s="50" t="s">
        <v>3331</v>
      </c>
    </row>
    <row r="1186" spans="1:19" ht="15" customHeight="1" x14ac:dyDescent="0.35">
      <c r="A1186" s="85" t="s">
        <v>29</v>
      </c>
      <c r="B1186" s="86" t="s">
        <v>3040</v>
      </c>
      <c r="C1186" s="87"/>
      <c r="D1186" s="88" t="s">
        <v>3219</v>
      </c>
      <c r="E1186" s="43">
        <v>11100000</v>
      </c>
      <c r="F1186" s="44">
        <f t="shared" si="61"/>
        <v>888000</v>
      </c>
      <c r="G1186" s="45">
        <f t="shared" si="62"/>
        <v>11988000</v>
      </c>
      <c r="H1186" s="46">
        <v>11988000</v>
      </c>
      <c r="I1186" s="47">
        <f t="shared" si="60"/>
        <v>0</v>
      </c>
      <c r="J1186" s="48"/>
      <c r="K1186" s="49">
        <v>45945</v>
      </c>
      <c r="L1186" s="50" t="s">
        <v>3332</v>
      </c>
    </row>
    <row r="1187" spans="1:19" ht="15" customHeight="1" x14ac:dyDescent="0.35">
      <c r="A1187" s="85" t="s">
        <v>56</v>
      </c>
      <c r="B1187" s="86" t="s">
        <v>3041</v>
      </c>
      <c r="C1187" s="87"/>
      <c r="D1187" s="88" t="s">
        <v>3219</v>
      </c>
      <c r="E1187" s="43">
        <v>3168000</v>
      </c>
      <c r="F1187" s="44">
        <f t="shared" si="61"/>
        <v>253440</v>
      </c>
      <c r="G1187" s="45">
        <f t="shared" si="62"/>
        <v>3421440</v>
      </c>
      <c r="H1187" s="46">
        <v>3421440</v>
      </c>
      <c r="I1187" s="47">
        <f t="shared" si="60"/>
        <v>0</v>
      </c>
      <c r="J1187" s="48"/>
      <c r="K1187" s="49">
        <v>45945</v>
      </c>
      <c r="L1187" s="50" t="s">
        <v>3333</v>
      </c>
    </row>
    <row r="1188" spans="1:19" ht="15" customHeight="1" x14ac:dyDescent="0.35">
      <c r="A1188" s="85" t="s">
        <v>85</v>
      </c>
      <c r="B1188" s="86" t="s">
        <v>3042</v>
      </c>
      <c r="C1188" s="87"/>
      <c r="D1188" s="88" t="s">
        <v>3219</v>
      </c>
      <c r="E1188" s="43">
        <v>3480000</v>
      </c>
      <c r="F1188" s="44">
        <f t="shared" si="61"/>
        <v>278400</v>
      </c>
      <c r="G1188" s="45">
        <f t="shared" si="62"/>
        <v>3758400</v>
      </c>
      <c r="H1188" s="46">
        <v>3758400</v>
      </c>
      <c r="I1188" s="47">
        <f t="shared" si="60"/>
        <v>0</v>
      </c>
      <c r="J1188" s="48"/>
      <c r="K1188" s="49">
        <v>45945</v>
      </c>
      <c r="L1188" s="50" t="s">
        <v>3334</v>
      </c>
    </row>
    <row r="1189" spans="1:19" ht="15" customHeight="1" x14ac:dyDescent="0.35">
      <c r="A1189" s="85" t="s">
        <v>3227</v>
      </c>
      <c r="B1189" s="86" t="s">
        <v>3043</v>
      </c>
      <c r="C1189" s="87"/>
      <c r="D1189" s="88" t="s">
        <v>3219</v>
      </c>
      <c r="E1189" s="43">
        <v>2504000</v>
      </c>
      <c r="F1189" s="44">
        <f t="shared" si="61"/>
        <v>200320</v>
      </c>
      <c r="G1189" s="45">
        <f t="shared" si="62"/>
        <v>2704320</v>
      </c>
      <c r="H1189" s="46">
        <v>2704320</v>
      </c>
      <c r="I1189" s="47">
        <f t="shared" si="60"/>
        <v>0</v>
      </c>
      <c r="J1189" s="48"/>
      <c r="K1189" s="49">
        <v>45945</v>
      </c>
      <c r="L1189" s="50" t="s">
        <v>3335</v>
      </c>
    </row>
    <row r="1190" spans="1:19" ht="15" customHeight="1" x14ac:dyDescent="0.35">
      <c r="A1190" s="85" t="s">
        <v>37</v>
      </c>
      <c r="B1190" s="86" t="s">
        <v>3044</v>
      </c>
      <c r="C1190" s="87"/>
      <c r="D1190" s="88" t="s">
        <v>3219</v>
      </c>
      <c r="E1190" s="43">
        <v>12490000</v>
      </c>
      <c r="F1190" s="44">
        <f t="shared" si="61"/>
        <v>999200</v>
      </c>
      <c r="G1190" s="45">
        <f t="shared" si="62"/>
        <v>13489200</v>
      </c>
      <c r="H1190" s="46">
        <v>13489200</v>
      </c>
      <c r="I1190" s="47">
        <f t="shared" si="60"/>
        <v>0</v>
      </c>
      <c r="J1190" s="48"/>
      <c r="K1190" s="49">
        <v>45945</v>
      </c>
      <c r="L1190" s="50" t="s">
        <v>3336</v>
      </c>
    </row>
    <row r="1191" spans="1:19" ht="15" customHeight="1" x14ac:dyDescent="0.35">
      <c r="A1191" s="85" t="s">
        <v>33</v>
      </c>
      <c r="B1191" s="86" t="s">
        <v>3045</v>
      </c>
      <c r="C1191" s="87"/>
      <c r="D1191" s="88" t="s">
        <v>3219</v>
      </c>
      <c r="E1191" s="43">
        <v>27262000</v>
      </c>
      <c r="F1191" s="44">
        <f t="shared" si="61"/>
        <v>2180960</v>
      </c>
      <c r="G1191" s="45">
        <f t="shared" si="62"/>
        <v>29442960</v>
      </c>
      <c r="H1191" s="46">
        <v>29442960</v>
      </c>
      <c r="I1191" s="47">
        <f t="shared" si="60"/>
        <v>0</v>
      </c>
      <c r="J1191" s="48"/>
      <c r="K1191" s="49">
        <v>45945</v>
      </c>
      <c r="L1191" s="50" t="s">
        <v>3337</v>
      </c>
    </row>
    <row r="1192" spans="1:19" ht="15" customHeight="1" x14ac:dyDescent="0.35">
      <c r="A1192" s="85" t="s">
        <v>37</v>
      </c>
      <c r="B1192" s="86" t="s">
        <v>3046</v>
      </c>
      <c r="C1192" s="87"/>
      <c r="D1192" s="88" t="s">
        <v>3219</v>
      </c>
      <c r="E1192" s="43">
        <v>192000</v>
      </c>
      <c r="F1192" s="44">
        <f t="shared" si="61"/>
        <v>15360</v>
      </c>
      <c r="G1192" s="45">
        <f t="shared" si="62"/>
        <v>207360</v>
      </c>
      <c r="H1192" s="46">
        <v>207360</v>
      </c>
      <c r="I1192" s="47">
        <f t="shared" si="60"/>
        <v>0</v>
      </c>
      <c r="J1192" s="48"/>
      <c r="K1192" s="49">
        <v>45945</v>
      </c>
      <c r="L1192" s="50" t="s">
        <v>3338</v>
      </c>
    </row>
    <row r="1193" spans="1:19" ht="15" customHeight="1" x14ac:dyDescent="0.35">
      <c r="A1193" s="85" t="s">
        <v>3228</v>
      </c>
      <c r="B1193" s="86" t="s">
        <v>3047</v>
      </c>
      <c r="C1193" s="87"/>
      <c r="D1193" s="88" t="s">
        <v>3220</v>
      </c>
      <c r="E1193" s="43">
        <v>3840000</v>
      </c>
      <c r="F1193" s="44">
        <f t="shared" si="61"/>
        <v>307200</v>
      </c>
      <c r="G1193" s="45">
        <f t="shared" si="62"/>
        <v>4147200</v>
      </c>
      <c r="H1193" s="46">
        <v>4147200</v>
      </c>
      <c r="I1193" s="47">
        <f t="shared" si="60"/>
        <v>0</v>
      </c>
      <c r="J1193" s="48"/>
      <c r="K1193" s="49">
        <v>45945</v>
      </c>
      <c r="L1193" s="50" t="s">
        <v>3339</v>
      </c>
    </row>
    <row r="1194" spans="1:19" ht="15" customHeight="1" x14ac:dyDescent="0.35">
      <c r="A1194" s="85" t="s">
        <v>85</v>
      </c>
      <c r="B1194" s="86" t="s">
        <v>3048</v>
      </c>
      <c r="C1194" s="87"/>
      <c r="D1194" s="88" t="s">
        <v>3220</v>
      </c>
      <c r="E1194" s="43">
        <v>2605000</v>
      </c>
      <c r="F1194" s="44">
        <f t="shared" si="61"/>
        <v>208400</v>
      </c>
      <c r="G1194" s="45">
        <f t="shared" si="62"/>
        <v>2813400</v>
      </c>
      <c r="H1194" s="46">
        <v>2813400</v>
      </c>
      <c r="I1194" s="47">
        <f t="shared" si="60"/>
        <v>0</v>
      </c>
      <c r="J1194" s="48"/>
      <c r="K1194" s="49">
        <v>45945</v>
      </c>
      <c r="L1194" s="50" t="s">
        <v>3340</v>
      </c>
    </row>
    <row r="1195" spans="1:19" s="82" customFormat="1" ht="15" customHeight="1" x14ac:dyDescent="0.35">
      <c r="A1195" s="91" t="s">
        <v>37</v>
      </c>
      <c r="B1195" s="92" t="s">
        <v>3049</v>
      </c>
      <c r="C1195" s="93"/>
      <c r="D1195" s="94" t="s">
        <v>3220</v>
      </c>
      <c r="E1195" s="74">
        <v>16080000</v>
      </c>
      <c r="F1195" s="74">
        <f t="shared" si="61"/>
        <v>1286400</v>
      </c>
      <c r="G1195" s="54">
        <f t="shared" si="62"/>
        <v>17366400</v>
      </c>
      <c r="H1195" s="75">
        <v>17366400</v>
      </c>
      <c r="I1195" s="76">
        <f t="shared" si="60"/>
        <v>0</v>
      </c>
      <c r="J1195" s="48"/>
      <c r="K1195" s="78">
        <v>46167</v>
      </c>
      <c r="L1195" s="79" t="s">
        <v>3341</v>
      </c>
      <c r="M1195" s="82" t="s">
        <v>3781</v>
      </c>
      <c r="S1195" s="83"/>
    </row>
    <row r="1196" spans="1:19" ht="15" customHeight="1" x14ac:dyDescent="0.35">
      <c r="A1196" s="85" t="s">
        <v>56</v>
      </c>
      <c r="B1196" s="86" t="s">
        <v>3050</v>
      </c>
      <c r="C1196" s="87"/>
      <c r="D1196" s="88" t="s">
        <v>3220</v>
      </c>
      <c r="E1196" s="43">
        <v>3488000</v>
      </c>
      <c r="F1196" s="44">
        <f t="shared" si="61"/>
        <v>279040</v>
      </c>
      <c r="G1196" s="45">
        <f t="shared" si="62"/>
        <v>3767040</v>
      </c>
      <c r="H1196" s="46">
        <v>3767040</v>
      </c>
      <c r="I1196" s="47">
        <f t="shared" si="60"/>
        <v>0</v>
      </c>
      <c r="J1196" s="48"/>
      <c r="K1196" s="49">
        <v>45945</v>
      </c>
      <c r="L1196" s="50" t="s">
        <v>3342</v>
      </c>
    </row>
    <row r="1197" spans="1:19" ht="15" customHeight="1" x14ac:dyDescent="0.35">
      <c r="A1197" s="85" t="s">
        <v>3227</v>
      </c>
      <c r="B1197" s="86" t="s">
        <v>3051</v>
      </c>
      <c r="C1197" s="87"/>
      <c r="D1197" s="88" t="s">
        <v>3220</v>
      </c>
      <c r="E1197" s="43">
        <v>1680000</v>
      </c>
      <c r="F1197" s="44">
        <f t="shared" si="61"/>
        <v>134400</v>
      </c>
      <c r="G1197" s="45">
        <f t="shared" si="62"/>
        <v>1814400</v>
      </c>
      <c r="H1197" s="46">
        <v>1814400</v>
      </c>
      <c r="I1197" s="47">
        <f t="shared" si="60"/>
        <v>0</v>
      </c>
      <c r="J1197" s="48"/>
      <c r="K1197" s="49">
        <v>45945</v>
      </c>
      <c r="L1197" s="50" t="s">
        <v>3343</v>
      </c>
    </row>
    <row r="1198" spans="1:19" ht="15" customHeight="1" x14ac:dyDescent="0.35">
      <c r="A1198" s="85" t="s">
        <v>33</v>
      </c>
      <c r="B1198" s="86" t="s">
        <v>3052</v>
      </c>
      <c r="C1198" s="87"/>
      <c r="D1198" s="88" t="s">
        <v>3220</v>
      </c>
      <c r="E1198" s="43">
        <v>19396000</v>
      </c>
      <c r="F1198" s="44">
        <f t="shared" si="61"/>
        <v>1551680</v>
      </c>
      <c r="G1198" s="45">
        <f t="shared" si="62"/>
        <v>20947680</v>
      </c>
      <c r="H1198" s="46">
        <v>20947680</v>
      </c>
      <c r="I1198" s="47">
        <f t="shared" si="60"/>
        <v>0</v>
      </c>
      <c r="J1198" s="48"/>
      <c r="K1198" s="49">
        <v>45945</v>
      </c>
      <c r="L1198" s="50" t="s">
        <v>3344</v>
      </c>
    </row>
    <row r="1199" spans="1:19" ht="15" customHeight="1" x14ac:dyDescent="0.35">
      <c r="A1199" s="85" t="s">
        <v>29</v>
      </c>
      <c r="B1199" s="86" t="s">
        <v>3053</v>
      </c>
      <c r="C1199" s="87"/>
      <c r="D1199" s="88" t="s">
        <v>3220</v>
      </c>
      <c r="E1199" s="43">
        <v>7250000</v>
      </c>
      <c r="F1199" s="44">
        <f t="shared" si="61"/>
        <v>580000</v>
      </c>
      <c r="G1199" s="45">
        <f t="shared" si="62"/>
        <v>7830000</v>
      </c>
      <c r="H1199" s="46">
        <v>7830000</v>
      </c>
      <c r="I1199" s="47">
        <f t="shared" si="60"/>
        <v>0</v>
      </c>
      <c r="J1199" s="48"/>
      <c r="K1199" s="49">
        <v>45945</v>
      </c>
      <c r="L1199" s="50" t="s">
        <v>3345</v>
      </c>
    </row>
    <row r="1200" spans="1:19" ht="15" customHeight="1" x14ac:dyDescent="0.35">
      <c r="A1200" s="85" t="s">
        <v>29</v>
      </c>
      <c r="B1200" s="86" t="s">
        <v>3054</v>
      </c>
      <c r="C1200" s="87"/>
      <c r="D1200" s="88" t="s">
        <v>3220</v>
      </c>
      <c r="E1200" s="43">
        <v>1005000</v>
      </c>
      <c r="F1200" s="44">
        <f t="shared" si="61"/>
        <v>80400</v>
      </c>
      <c r="G1200" s="45">
        <f t="shared" si="62"/>
        <v>1085400</v>
      </c>
      <c r="H1200" s="46">
        <v>1085400</v>
      </c>
      <c r="I1200" s="47">
        <f t="shared" si="60"/>
        <v>0</v>
      </c>
      <c r="J1200" s="48"/>
      <c r="K1200" s="49">
        <v>45945</v>
      </c>
      <c r="L1200" s="50" t="s">
        <v>3346</v>
      </c>
    </row>
    <row r="1201" spans="1:19" ht="15" customHeight="1" x14ac:dyDescent="0.35">
      <c r="A1201" s="85" t="s">
        <v>37</v>
      </c>
      <c r="B1201" s="86" t="s">
        <v>3055</v>
      </c>
      <c r="C1201" s="87"/>
      <c r="D1201" s="88" t="s">
        <v>3220</v>
      </c>
      <c r="E1201" s="43">
        <v>2640000</v>
      </c>
      <c r="F1201" s="44">
        <f t="shared" si="61"/>
        <v>211200</v>
      </c>
      <c r="G1201" s="45">
        <f t="shared" si="62"/>
        <v>2851200</v>
      </c>
      <c r="H1201" s="46">
        <v>2851200</v>
      </c>
      <c r="I1201" s="47">
        <f t="shared" si="60"/>
        <v>0</v>
      </c>
      <c r="J1201" s="48"/>
      <c r="K1201" s="49">
        <v>45945</v>
      </c>
      <c r="L1201" s="50" t="s">
        <v>3347</v>
      </c>
    </row>
    <row r="1202" spans="1:19" ht="15" customHeight="1" x14ac:dyDescent="0.35">
      <c r="A1202" s="85" t="s">
        <v>85</v>
      </c>
      <c r="B1202" s="86" t="s">
        <v>3056</v>
      </c>
      <c r="C1202" s="87"/>
      <c r="D1202" s="88" t="s">
        <v>3220</v>
      </c>
      <c r="E1202" s="43">
        <v>5440000</v>
      </c>
      <c r="F1202" s="44">
        <f t="shared" si="61"/>
        <v>435200</v>
      </c>
      <c r="G1202" s="45">
        <f t="shared" si="62"/>
        <v>5875200</v>
      </c>
      <c r="H1202" s="46">
        <v>5875200</v>
      </c>
      <c r="I1202" s="47">
        <f t="shared" si="60"/>
        <v>0</v>
      </c>
      <c r="J1202" s="48"/>
      <c r="K1202" s="49">
        <v>45945</v>
      </c>
      <c r="L1202" s="50" t="s">
        <v>3348</v>
      </c>
    </row>
    <row r="1203" spans="1:19" ht="15" customHeight="1" x14ac:dyDescent="0.35">
      <c r="A1203" s="85" t="s">
        <v>37</v>
      </c>
      <c r="B1203" s="86" t="s">
        <v>2440</v>
      </c>
      <c r="C1203" s="87"/>
      <c r="D1203" s="88" t="s">
        <v>3220</v>
      </c>
      <c r="E1203" s="43">
        <v>14000000</v>
      </c>
      <c r="F1203" s="44">
        <f t="shared" si="61"/>
        <v>1120000</v>
      </c>
      <c r="G1203" s="45">
        <f t="shared" si="62"/>
        <v>15120000</v>
      </c>
      <c r="H1203" s="46">
        <v>15120000</v>
      </c>
      <c r="I1203" s="47">
        <f t="shared" si="60"/>
        <v>0</v>
      </c>
      <c r="J1203" s="48"/>
      <c r="K1203" s="49">
        <v>45945</v>
      </c>
      <c r="L1203" s="50" t="s">
        <v>3349</v>
      </c>
    </row>
    <row r="1204" spans="1:19" ht="15" customHeight="1" x14ac:dyDescent="0.35">
      <c r="A1204" s="85" t="s">
        <v>3227</v>
      </c>
      <c r="B1204" s="86" t="s">
        <v>3057</v>
      </c>
      <c r="C1204" s="87"/>
      <c r="D1204" s="88" t="s">
        <v>3220</v>
      </c>
      <c r="E1204" s="43">
        <v>384000</v>
      </c>
      <c r="F1204" s="44">
        <f t="shared" si="61"/>
        <v>30720</v>
      </c>
      <c r="G1204" s="45">
        <f t="shared" si="62"/>
        <v>414720</v>
      </c>
      <c r="H1204" s="46">
        <v>414720</v>
      </c>
      <c r="I1204" s="47">
        <f t="shared" si="60"/>
        <v>0</v>
      </c>
      <c r="J1204" s="48"/>
      <c r="K1204" s="49">
        <v>45945</v>
      </c>
      <c r="L1204" s="50" t="s">
        <v>3350</v>
      </c>
    </row>
    <row r="1205" spans="1:19" ht="15" customHeight="1" x14ac:dyDescent="0.35">
      <c r="A1205" s="85" t="s">
        <v>56</v>
      </c>
      <c r="B1205" s="86" t="s">
        <v>3058</v>
      </c>
      <c r="C1205" s="87"/>
      <c r="D1205" s="88" t="s">
        <v>3220</v>
      </c>
      <c r="E1205" s="43">
        <v>2640000</v>
      </c>
      <c r="F1205" s="44">
        <f t="shared" si="61"/>
        <v>211200</v>
      </c>
      <c r="G1205" s="45">
        <f t="shared" si="62"/>
        <v>2851200</v>
      </c>
      <c r="H1205" s="46">
        <v>2851200</v>
      </c>
      <c r="I1205" s="47">
        <f t="shared" si="60"/>
        <v>0</v>
      </c>
      <c r="J1205" s="48"/>
      <c r="K1205" s="49">
        <v>45945</v>
      </c>
      <c r="L1205" s="50" t="s">
        <v>3351</v>
      </c>
    </row>
    <row r="1206" spans="1:19" s="82" customFormat="1" ht="15" customHeight="1" x14ac:dyDescent="0.35">
      <c r="A1206" s="91" t="s">
        <v>29</v>
      </c>
      <c r="B1206" s="92" t="s">
        <v>3059</v>
      </c>
      <c r="C1206" s="93"/>
      <c r="D1206" s="94" t="s">
        <v>3220</v>
      </c>
      <c r="E1206" s="74">
        <v>24349000</v>
      </c>
      <c r="F1206" s="74">
        <f t="shared" si="61"/>
        <v>1947920</v>
      </c>
      <c r="G1206" s="54">
        <f t="shared" si="62"/>
        <v>26296920</v>
      </c>
      <c r="H1206" s="75">
        <v>26296920</v>
      </c>
      <c r="I1206" s="76">
        <f t="shared" si="60"/>
        <v>0</v>
      </c>
      <c r="J1206" s="48"/>
      <c r="K1206" s="78">
        <v>46167</v>
      </c>
      <c r="L1206" s="79" t="s">
        <v>3352</v>
      </c>
      <c r="M1206" s="82" t="s">
        <v>3781</v>
      </c>
      <c r="S1206" s="83"/>
    </row>
    <row r="1207" spans="1:19" s="82" customFormat="1" ht="15" customHeight="1" x14ac:dyDescent="0.35">
      <c r="A1207" s="91" t="s">
        <v>33</v>
      </c>
      <c r="B1207" s="92" t="s">
        <v>3060</v>
      </c>
      <c r="C1207" s="93"/>
      <c r="D1207" s="94" t="s">
        <v>3220</v>
      </c>
      <c r="E1207" s="74">
        <v>15932000</v>
      </c>
      <c r="F1207" s="74">
        <f t="shared" si="61"/>
        <v>1274560</v>
      </c>
      <c r="G1207" s="54">
        <f t="shared" si="62"/>
        <v>17206560</v>
      </c>
      <c r="H1207" s="75">
        <v>17206560</v>
      </c>
      <c r="I1207" s="76">
        <f t="shared" si="60"/>
        <v>0</v>
      </c>
      <c r="J1207" s="48"/>
      <c r="K1207" s="78">
        <v>46167</v>
      </c>
      <c r="L1207" s="79" t="s">
        <v>3353</v>
      </c>
      <c r="M1207" s="82" t="s">
        <v>3781</v>
      </c>
      <c r="S1207" s="83"/>
    </row>
    <row r="1208" spans="1:19" ht="15" customHeight="1" x14ac:dyDescent="0.35">
      <c r="A1208" s="85" t="s">
        <v>37</v>
      </c>
      <c r="B1208" s="86" t="s">
        <v>3061</v>
      </c>
      <c r="C1208" s="87"/>
      <c r="D1208" s="88" t="s">
        <v>3220</v>
      </c>
      <c r="E1208" s="43">
        <v>1040000</v>
      </c>
      <c r="F1208" s="44">
        <f t="shared" si="61"/>
        <v>83200</v>
      </c>
      <c r="G1208" s="45">
        <f t="shared" si="62"/>
        <v>1123200</v>
      </c>
      <c r="H1208" s="46">
        <v>1123200</v>
      </c>
      <c r="I1208" s="47">
        <f t="shared" si="60"/>
        <v>0</v>
      </c>
      <c r="J1208" s="48"/>
      <c r="K1208" s="49">
        <v>45945</v>
      </c>
      <c r="L1208" s="50" t="s">
        <v>3354</v>
      </c>
    </row>
    <row r="1209" spans="1:19" ht="15" customHeight="1" x14ac:dyDescent="0.35">
      <c r="A1209" s="85" t="s">
        <v>85</v>
      </c>
      <c r="B1209" s="86" t="s">
        <v>3062</v>
      </c>
      <c r="C1209" s="87"/>
      <c r="D1209" s="88" t="s">
        <v>3220</v>
      </c>
      <c r="E1209" s="43">
        <v>4704000</v>
      </c>
      <c r="F1209" s="44">
        <f t="shared" si="61"/>
        <v>376320</v>
      </c>
      <c r="G1209" s="45">
        <f t="shared" si="62"/>
        <v>5080320</v>
      </c>
      <c r="H1209" s="46">
        <v>5080320</v>
      </c>
      <c r="I1209" s="47">
        <f t="shared" si="60"/>
        <v>0</v>
      </c>
      <c r="J1209" s="48"/>
      <c r="K1209" s="49">
        <v>45945</v>
      </c>
      <c r="L1209" s="50" t="s">
        <v>3355</v>
      </c>
    </row>
    <row r="1210" spans="1:19" ht="15" customHeight="1" x14ac:dyDescent="0.35">
      <c r="A1210" s="85" t="s">
        <v>37</v>
      </c>
      <c r="B1210" s="86" t="s">
        <v>3063</v>
      </c>
      <c r="C1210" s="87"/>
      <c r="D1210" s="88" t="s">
        <v>3220</v>
      </c>
      <c r="E1210" s="43">
        <v>640000</v>
      </c>
      <c r="F1210" s="44">
        <f t="shared" si="61"/>
        <v>51200</v>
      </c>
      <c r="G1210" s="45">
        <f t="shared" si="62"/>
        <v>691200</v>
      </c>
      <c r="H1210" s="46">
        <v>691200</v>
      </c>
      <c r="I1210" s="47">
        <f t="shared" si="60"/>
        <v>0</v>
      </c>
      <c r="J1210" s="48"/>
      <c r="K1210" s="49">
        <v>45945</v>
      </c>
      <c r="L1210" s="50" t="s">
        <v>3356</v>
      </c>
    </row>
    <row r="1211" spans="1:19" ht="15" customHeight="1" x14ac:dyDescent="0.35">
      <c r="A1211" s="85" t="s">
        <v>37</v>
      </c>
      <c r="B1211" s="86" t="s">
        <v>3064</v>
      </c>
      <c r="C1211" s="87"/>
      <c r="D1211" s="88" t="s">
        <v>3220</v>
      </c>
      <c r="E1211" s="43">
        <v>23850000</v>
      </c>
      <c r="F1211" s="44">
        <f t="shared" si="61"/>
        <v>1908000</v>
      </c>
      <c r="G1211" s="45">
        <f t="shared" si="62"/>
        <v>25758000</v>
      </c>
      <c r="H1211" s="46">
        <v>25758000</v>
      </c>
      <c r="I1211" s="47">
        <f t="shared" si="60"/>
        <v>0</v>
      </c>
      <c r="J1211" s="48"/>
      <c r="K1211" s="49">
        <v>45945</v>
      </c>
      <c r="L1211" s="50" t="s">
        <v>3357</v>
      </c>
    </row>
    <row r="1212" spans="1:19" ht="15" customHeight="1" x14ac:dyDescent="0.35">
      <c r="A1212" s="85" t="s">
        <v>37</v>
      </c>
      <c r="B1212" s="86" t="s">
        <v>3065</v>
      </c>
      <c r="C1212" s="87"/>
      <c r="D1212" s="88" t="s">
        <v>3220</v>
      </c>
      <c r="E1212" s="43">
        <v>1042000</v>
      </c>
      <c r="F1212" s="44">
        <f t="shared" si="61"/>
        <v>83360</v>
      </c>
      <c r="G1212" s="45">
        <f t="shared" si="62"/>
        <v>1125360</v>
      </c>
      <c r="H1212" s="46">
        <v>1125360</v>
      </c>
      <c r="I1212" s="47">
        <f t="shared" si="60"/>
        <v>0</v>
      </c>
      <c r="J1212" s="48"/>
      <c r="K1212" s="49">
        <v>45945</v>
      </c>
      <c r="L1212" s="50" t="s">
        <v>3358</v>
      </c>
    </row>
    <row r="1213" spans="1:19" ht="15" customHeight="1" x14ac:dyDescent="0.35">
      <c r="A1213" s="85" t="s">
        <v>56</v>
      </c>
      <c r="B1213" s="86" t="s">
        <v>3066</v>
      </c>
      <c r="C1213" s="87"/>
      <c r="D1213" s="88" t="s">
        <v>3221</v>
      </c>
      <c r="E1213" s="43">
        <v>3295000</v>
      </c>
      <c r="F1213" s="44">
        <f t="shared" si="61"/>
        <v>263600</v>
      </c>
      <c r="G1213" s="45">
        <f t="shared" si="62"/>
        <v>3558600</v>
      </c>
      <c r="H1213" s="46">
        <v>3558600</v>
      </c>
      <c r="I1213" s="47">
        <f t="shared" si="60"/>
        <v>0</v>
      </c>
      <c r="J1213" s="48"/>
      <c r="K1213" s="49">
        <v>45976</v>
      </c>
      <c r="L1213" s="50" t="s">
        <v>3359</v>
      </c>
    </row>
    <row r="1214" spans="1:19" ht="15" customHeight="1" x14ac:dyDescent="0.35">
      <c r="A1214" s="85" t="s">
        <v>3227</v>
      </c>
      <c r="B1214" s="86" t="s">
        <v>3067</v>
      </c>
      <c r="C1214" s="87"/>
      <c r="D1214" s="88" t="s">
        <v>3221</v>
      </c>
      <c r="E1214" s="43">
        <v>384000</v>
      </c>
      <c r="F1214" s="44">
        <f t="shared" si="61"/>
        <v>30720</v>
      </c>
      <c r="G1214" s="45">
        <f t="shared" si="62"/>
        <v>414720</v>
      </c>
      <c r="H1214" s="46">
        <v>414720</v>
      </c>
      <c r="I1214" s="47">
        <f t="shared" si="60"/>
        <v>0</v>
      </c>
      <c r="J1214" s="48"/>
      <c r="K1214" s="49">
        <v>45976</v>
      </c>
      <c r="L1214" s="50" t="s">
        <v>3360</v>
      </c>
    </row>
    <row r="1215" spans="1:19" ht="15" customHeight="1" x14ac:dyDescent="0.35">
      <c r="A1215" s="85" t="s">
        <v>29</v>
      </c>
      <c r="B1215" s="86" t="s">
        <v>3068</v>
      </c>
      <c r="C1215" s="87"/>
      <c r="D1215" s="88" t="s">
        <v>3221</v>
      </c>
      <c r="E1215" s="43">
        <v>18042000</v>
      </c>
      <c r="F1215" s="44">
        <f t="shared" si="61"/>
        <v>1443360</v>
      </c>
      <c r="G1215" s="45">
        <f t="shared" si="62"/>
        <v>19485360</v>
      </c>
      <c r="H1215" s="46">
        <v>19485360</v>
      </c>
      <c r="I1215" s="47">
        <f t="shared" si="60"/>
        <v>0</v>
      </c>
      <c r="J1215" s="48"/>
      <c r="K1215" s="49">
        <v>45976</v>
      </c>
      <c r="L1215" s="50" t="s">
        <v>3361</v>
      </c>
    </row>
    <row r="1216" spans="1:19" ht="15" customHeight="1" x14ac:dyDescent="0.35">
      <c r="A1216" s="85" t="s">
        <v>33</v>
      </c>
      <c r="B1216" s="86" t="s">
        <v>3069</v>
      </c>
      <c r="C1216" s="87"/>
      <c r="D1216" s="88" t="s">
        <v>3221</v>
      </c>
      <c r="E1216" s="43">
        <v>8614000</v>
      </c>
      <c r="F1216" s="44">
        <f t="shared" si="61"/>
        <v>689120</v>
      </c>
      <c r="G1216" s="45">
        <f t="shared" si="62"/>
        <v>9303120</v>
      </c>
      <c r="H1216" s="46">
        <v>9303120</v>
      </c>
      <c r="I1216" s="47">
        <f t="shared" si="60"/>
        <v>0</v>
      </c>
      <c r="J1216" s="48"/>
      <c r="K1216" s="49">
        <v>45976</v>
      </c>
      <c r="L1216" s="50" t="s">
        <v>3362</v>
      </c>
    </row>
    <row r="1217" spans="1:12" ht="15" customHeight="1" x14ac:dyDescent="0.35">
      <c r="A1217" s="85" t="s">
        <v>56</v>
      </c>
      <c r="B1217" s="86" t="s">
        <v>3070</v>
      </c>
      <c r="C1217" s="87"/>
      <c r="D1217" s="88" t="s">
        <v>3221</v>
      </c>
      <c r="E1217" s="43">
        <v>640000</v>
      </c>
      <c r="F1217" s="44">
        <f t="shared" si="61"/>
        <v>51200</v>
      </c>
      <c r="G1217" s="45">
        <f t="shared" si="62"/>
        <v>691200</v>
      </c>
      <c r="H1217" s="46">
        <v>691200</v>
      </c>
      <c r="I1217" s="47">
        <f t="shared" si="60"/>
        <v>0</v>
      </c>
      <c r="J1217" s="48"/>
      <c r="K1217" s="49">
        <v>45976</v>
      </c>
      <c r="L1217" s="50" t="s">
        <v>3363</v>
      </c>
    </row>
    <row r="1218" spans="1:12" ht="15" customHeight="1" x14ac:dyDescent="0.35">
      <c r="A1218" s="85" t="s">
        <v>37</v>
      </c>
      <c r="B1218" s="86" t="s">
        <v>3071</v>
      </c>
      <c r="C1218" s="87"/>
      <c r="D1218" s="88" t="s">
        <v>3221</v>
      </c>
      <c r="E1218" s="43">
        <v>960000</v>
      </c>
      <c r="F1218" s="44">
        <f t="shared" si="61"/>
        <v>76800</v>
      </c>
      <c r="G1218" s="45">
        <f t="shared" si="62"/>
        <v>1036800</v>
      </c>
      <c r="H1218" s="46">
        <v>1036800</v>
      </c>
      <c r="I1218" s="47">
        <f t="shared" si="60"/>
        <v>0</v>
      </c>
      <c r="J1218" s="48"/>
      <c r="K1218" s="49">
        <v>45976</v>
      </c>
      <c r="L1218" s="50" t="s">
        <v>3364</v>
      </c>
    </row>
    <row r="1219" spans="1:12" ht="15" customHeight="1" x14ac:dyDescent="0.35">
      <c r="A1219" s="85" t="s">
        <v>29</v>
      </c>
      <c r="B1219" s="86" t="s">
        <v>3072</v>
      </c>
      <c r="C1219" s="87"/>
      <c r="D1219" s="88" t="s">
        <v>3221</v>
      </c>
      <c r="E1219" s="43">
        <v>1040000</v>
      </c>
      <c r="F1219" s="44">
        <f t="shared" si="61"/>
        <v>83200</v>
      </c>
      <c r="G1219" s="45">
        <f t="shared" si="62"/>
        <v>1123200</v>
      </c>
      <c r="H1219" s="46">
        <v>1123200</v>
      </c>
      <c r="I1219" s="47">
        <f t="shared" si="60"/>
        <v>0</v>
      </c>
      <c r="J1219" s="48"/>
      <c r="K1219" s="49">
        <v>45976</v>
      </c>
      <c r="L1219" s="50" t="s">
        <v>3365</v>
      </c>
    </row>
    <row r="1220" spans="1:12" ht="15" customHeight="1" x14ac:dyDescent="0.35">
      <c r="A1220" s="85" t="s">
        <v>85</v>
      </c>
      <c r="B1220" s="86" t="s">
        <v>3073</v>
      </c>
      <c r="C1220" s="87"/>
      <c r="D1220" s="88" t="s">
        <v>3221</v>
      </c>
      <c r="E1220" s="43">
        <v>4285000</v>
      </c>
      <c r="F1220" s="44">
        <f t="shared" si="61"/>
        <v>342800</v>
      </c>
      <c r="G1220" s="45">
        <f t="shared" si="62"/>
        <v>4627800</v>
      </c>
      <c r="H1220" s="46">
        <v>4627800</v>
      </c>
      <c r="I1220" s="47">
        <f t="shared" si="60"/>
        <v>0</v>
      </c>
      <c r="J1220" s="48"/>
      <c r="K1220" s="49">
        <v>45976</v>
      </c>
      <c r="L1220" s="50" t="s">
        <v>3366</v>
      </c>
    </row>
    <row r="1221" spans="1:12" ht="15" customHeight="1" x14ac:dyDescent="0.35">
      <c r="A1221" s="85" t="s">
        <v>56</v>
      </c>
      <c r="B1221" s="86" t="s">
        <v>3074</v>
      </c>
      <c r="C1221" s="87"/>
      <c r="D1221" s="88" t="s">
        <v>3221</v>
      </c>
      <c r="E1221" s="43">
        <v>4000000</v>
      </c>
      <c r="F1221" s="44">
        <f t="shared" si="61"/>
        <v>320000</v>
      </c>
      <c r="G1221" s="45">
        <f t="shared" si="62"/>
        <v>4320000</v>
      </c>
      <c r="H1221" s="46">
        <v>4320000</v>
      </c>
      <c r="I1221" s="47">
        <f t="shared" si="60"/>
        <v>0</v>
      </c>
      <c r="J1221" s="48"/>
      <c r="K1221" s="49">
        <v>45976</v>
      </c>
      <c r="L1221" s="50" t="s">
        <v>3367</v>
      </c>
    </row>
    <row r="1222" spans="1:12" ht="15" customHeight="1" x14ac:dyDescent="0.35">
      <c r="A1222" s="85" t="s">
        <v>3227</v>
      </c>
      <c r="B1222" s="86" t="s">
        <v>3075</v>
      </c>
      <c r="C1222" s="87"/>
      <c r="D1222" s="88" t="s">
        <v>3221</v>
      </c>
      <c r="E1222" s="43">
        <v>800000</v>
      </c>
      <c r="F1222" s="44">
        <f t="shared" si="61"/>
        <v>64000</v>
      </c>
      <c r="G1222" s="45">
        <f t="shared" si="62"/>
        <v>864000</v>
      </c>
      <c r="H1222" s="46">
        <v>864000</v>
      </c>
      <c r="I1222" s="47">
        <f t="shared" si="60"/>
        <v>0</v>
      </c>
      <c r="J1222" s="48"/>
      <c r="K1222" s="49">
        <v>45976</v>
      </c>
      <c r="L1222" s="50" t="s">
        <v>3368</v>
      </c>
    </row>
    <row r="1223" spans="1:12" ht="15" customHeight="1" x14ac:dyDescent="0.35">
      <c r="A1223" s="85" t="s">
        <v>29</v>
      </c>
      <c r="B1223" s="86" t="s">
        <v>3076</v>
      </c>
      <c r="C1223" s="87"/>
      <c r="D1223" s="88" t="s">
        <v>3221</v>
      </c>
      <c r="E1223" s="43">
        <v>5123500</v>
      </c>
      <c r="F1223" s="44">
        <f t="shared" si="61"/>
        <v>409880</v>
      </c>
      <c r="G1223" s="45">
        <f t="shared" si="62"/>
        <v>5533380</v>
      </c>
      <c r="H1223" s="46">
        <v>5533380</v>
      </c>
      <c r="I1223" s="47">
        <f t="shared" si="60"/>
        <v>0</v>
      </c>
      <c r="J1223" s="48"/>
      <c r="K1223" s="49">
        <v>45976</v>
      </c>
      <c r="L1223" s="50" t="s">
        <v>3369</v>
      </c>
    </row>
    <row r="1224" spans="1:12" ht="15" customHeight="1" x14ac:dyDescent="0.35">
      <c r="A1224" s="85" t="s">
        <v>33</v>
      </c>
      <c r="B1224" s="86" t="s">
        <v>3077</v>
      </c>
      <c r="C1224" s="87"/>
      <c r="D1224" s="88" t="s">
        <v>3221</v>
      </c>
      <c r="E1224" s="43">
        <v>27018500</v>
      </c>
      <c r="F1224" s="44">
        <f t="shared" si="61"/>
        <v>2161480</v>
      </c>
      <c r="G1224" s="45">
        <f t="shared" si="62"/>
        <v>29179980</v>
      </c>
      <c r="H1224" s="46">
        <v>29179980</v>
      </c>
      <c r="I1224" s="47">
        <f t="shared" si="60"/>
        <v>0</v>
      </c>
      <c r="J1224" s="48"/>
      <c r="K1224" s="49">
        <v>45976</v>
      </c>
      <c r="L1224" s="50" t="s">
        <v>3370</v>
      </c>
    </row>
    <row r="1225" spans="1:12" ht="15" customHeight="1" x14ac:dyDescent="0.35">
      <c r="A1225" s="85" t="s">
        <v>29</v>
      </c>
      <c r="B1225" s="86" t="s">
        <v>3078</v>
      </c>
      <c r="C1225" s="87"/>
      <c r="D1225" s="88" t="s">
        <v>3221</v>
      </c>
      <c r="E1225" s="43">
        <v>13440000</v>
      </c>
      <c r="F1225" s="44">
        <f t="shared" si="61"/>
        <v>1075200</v>
      </c>
      <c r="G1225" s="45">
        <f t="shared" si="62"/>
        <v>14515200</v>
      </c>
      <c r="H1225" s="46">
        <v>14515200</v>
      </c>
      <c r="I1225" s="47">
        <f t="shared" si="60"/>
        <v>0</v>
      </c>
      <c r="J1225" s="48"/>
      <c r="K1225" s="49">
        <v>45976</v>
      </c>
      <c r="L1225" s="50" t="s">
        <v>3371</v>
      </c>
    </row>
    <row r="1226" spans="1:12" ht="15" customHeight="1" x14ac:dyDescent="0.35">
      <c r="A1226" s="85" t="s">
        <v>77</v>
      </c>
      <c r="B1226" s="86" t="s">
        <v>3079</v>
      </c>
      <c r="C1226" s="87"/>
      <c r="D1226" s="88" t="s">
        <v>3221</v>
      </c>
      <c r="E1226" s="43">
        <v>17040000</v>
      </c>
      <c r="F1226" s="44">
        <f t="shared" si="61"/>
        <v>1363200</v>
      </c>
      <c r="G1226" s="45">
        <f t="shared" si="62"/>
        <v>18403200</v>
      </c>
      <c r="H1226" s="46">
        <v>18403200</v>
      </c>
      <c r="I1226" s="47">
        <f t="shared" si="60"/>
        <v>0</v>
      </c>
      <c r="J1226" s="48"/>
      <c r="K1226" s="49">
        <v>45976</v>
      </c>
      <c r="L1226" s="50" t="s">
        <v>3372</v>
      </c>
    </row>
    <row r="1227" spans="1:12" ht="15" customHeight="1" x14ac:dyDescent="0.35">
      <c r="A1227" s="85" t="s">
        <v>3229</v>
      </c>
      <c r="B1227" s="86" t="s">
        <v>3080</v>
      </c>
      <c r="C1227" s="87"/>
      <c r="D1227" s="88" t="s">
        <v>3221</v>
      </c>
      <c r="E1227" s="43">
        <v>520000</v>
      </c>
      <c r="F1227" s="44">
        <f t="shared" si="61"/>
        <v>41600</v>
      </c>
      <c r="G1227" s="45">
        <f t="shared" si="62"/>
        <v>561600</v>
      </c>
      <c r="H1227" s="46">
        <v>561600</v>
      </c>
      <c r="I1227" s="47">
        <f t="shared" si="60"/>
        <v>0</v>
      </c>
      <c r="J1227" s="48"/>
      <c r="K1227" s="49">
        <v>45976</v>
      </c>
      <c r="L1227" s="50" t="s">
        <v>3373</v>
      </c>
    </row>
    <row r="1228" spans="1:12" ht="15" customHeight="1" x14ac:dyDescent="0.35">
      <c r="A1228" s="85" t="s">
        <v>37</v>
      </c>
      <c r="B1228" s="86" t="s">
        <v>3081</v>
      </c>
      <c r="C1228" s="87"/>
      <c r="D1228" s="88" t="s">
        <v>3221</v>
      </c>
      <c r="E1228" s="43">
        <v>25920000</v>
      </c>
      <c r="F1228" s="44">
        <f t="shared" si="61"/>
        <v>2073600</v>
      </c>
      <c r="G1228" s="45">
        <f t="shared" si="62"/>
        <v>27993600</v>
      </c>
      <c r="H1228" s="46">
        <v>27993600</v>
      </c>
      <c r="I1228" s="47">
        <f t="shared" si="60"/>
        <v>0</v>
      </c>
      <c r="J1228" s="48"/>
      <c r="K1228" s="49">
        <v>45976</v>
      </c>
      <c r="L1228" s="50" t="s">
        <v>3374</v>
      </c>
    </row>
    <row r="1229" spans="1:12" ht="15" customHeight="1" x14ac:dyDescent="0.35">
      <c r="A1229" s="85" t="s">
        <v>37</v>
      </c>
      <c r="B1229" s="86" t="s">
        <v>3082</v>
      </c>
      <c r="C1229" s="87"/>
      <c r="D1229" s="88" t="s">
        <v>3221</v>
      </c>
      <c r="E1229" s="43">
        <v>20920000</v>
      </c>
      <c r="F1229" s="44">
        <f t="shared" si="61"/>
        <v>1673600</v>
      </c>
      <c r="G1229" s="45">
        <f t="shared" si="62"/>
        <v>22593600</v>
      </c>
      <c r="H1229" s="46">
        <v>22593600</v>
      </c>
      <c r="I1229" s="47">
        <f t="shared" si="60"/>
        <v>0</v>
      </c>
      <c r="J1229" s="48"/>
      <c r="K1229" s="49">
        <v>45976</v>
      </c>
      <c r="L1229" s="50" t="s">
        <v>3375</v>
      </c>
    </row>
    <row r="1230" spans="1:12" ht="15" customHeight="1" x14ac:dyDescent="0.35">
      <c r="A1230" s="85" t="s">
        <v>29</v>
      </c>
      <c r="B1230" s="86" t="s">
        <v>3083</v>
      </c>
      <c r="C1230" s="87"/>
      <c r="D1230" s="88" t="s">
        <v>3221</v>
      </c>
      <c r="E1230" s="43">
        <v>11914500</v>
      </c>
      <c r="F1230" s="44">
        <f t="shared" si="61"/>
        <v>953160</v>
      </c>
      <c r="G1230" s="45">
        <f t="shared" si="62"/>
        <v>12867660</v>
      </c>
      <c r="H1230" s="46">
        <v>12867660</v>
      </c>
      <c r="I1230" s="47">
        <f t="shared" si="60"/>
        <v>0</v>
      </c>
      <c r="J1230" s="48"/>
      <c r="K1230" s="49">
        <v>45976</v>
      </c>
      <c r="L1230" s="50" t="s">
        <v>3376</v>
      </c>
    </row>
    <row r="1231" spans="1:12" ht="15" customHeight="1" x14ac:dyDescent="0.35">
      <c r="A1231" s="85" t="s">
        <v>3227</v>
      </c>
      <c r="B1231" s="86" t="s">
        <v>3084</v>
      </c>
      <c r="C1231" s="87"/>
      <c r="D1231" s="88" t="s">
        <v>3221</v>
      </c>
      <c r="E1231" s="43">
        <v>416000</v>
      </c>
      <c r="F1231" s="44">
        <f t="shared" si="61"/>
        <v>33280</v>
      </c>
      <c r="G1231" s="45">
        <f t="shared" si="62"/>
        <v>449280</v>
      </c>
      <c r="H1231" s="46">
        <v>449280</v>
      </c>
      <c r="I1231" s="47">
        <f t="shared" si="60"/>
        <v>0</v>
      </c>
      <c r="J1231" s="48"/>
      <c r="K1231" s="49">
        <v>45976</v>
      </c>
      <c r="L1231" s="50" t="s">
        <v>3377</v>
      </c>
    </row>
    <row r="1232" spans="1:12" ht="15" customHeight="1" x14ac:dyDescent="0.35">
      <c r="A1232" s="85" t="s">
        <v>85</v>
      </c>
      <c r="B1232" s="86" t="s">
        <v>3085</v>
      </c>
      <c r="C1232" s="87"/>
      <c r="D1232" s="88" t="s">
        <v>3221</v>
      </c>
      <c r="E1232" s="43">
        <v>3160000</v>
      </c>
      <c r="F1232" s="44">
        <f t="shared" si="61"/>
        <v>252800</v>
      </c>
      <c r="G1232" s="45">
        <f t="shared" si="62"/>
        <v>3412800</v>
      </c>
      <c r="H1232" s="46">
        <v>3412800</v>
      </c>
      <c r="I1232" s="47">
        <f t="shared" si="60"/>
        <v>0</v>
      </c>
      <c r="J1232" s="48"/>
      <c r="K1232" s="49">
        <v>45976</v>
      </c>
      <c r="L1232" s="50" t="s">
        <v>3378</v>
      </c>
    </row>
    <row r="1233" spans="1:12" ht="15" customHeight="1" x14ac:dyDescent="0.35">
      <c r="A1233" s="85" t="s">
        <v>56</v>
      </c>
      <c r="B1233" s="86" t="s">
        <v>3086</v>
      </c>
      <c r="C1233" s="87"/>
      <c r="D1233" s="88" t="s">
        <v>3221</v>
      </c>
      <c r="E1233" s="43">
        <v>3565000</v>
      </c>
      <c r="F1233" s="44">
        <f t="shared" si="61"/>
        <v>285200</v>
      </c>
      <c r="G1233" s="45">
        <f t="shared" si="62"/>
        <v>3850200</v>
      </c>
      <c r="H1233" s="46">
        <v>3850200</v>
      </c>
      <c r="I1233" s="47">
        <f t="shared" ref="I1233:I1288" si="63">G1233-H1233</f>
        <v>0</v>
      </c>
      <c r="J1233" s="48"/>
      <c r="K1233" s="49">
        <v>45976</v>
      </c>
      <c r="L1233" s="50" t="s">
        <v>3379</v>
      </c>
    </row>
    <row r="1234" spans="1:12" ht="15" customHeight="1" x14ac:dyDescent="0.35">
      <c r="A1234" s="85" t="s">
        <v>33</v>
      </c>
      <c r="B1234" s="86" t="s">
        <v>3087</v>
      </c>
      <c r="C1234" s="87"/>
      <c r="D1234" s="88" t="s">
        <v>3221</v>
      </c>
      <c r="E1234" s="43">
        <v>3630000</v>
      </c>
      <c r="F1234" s="44">
        <f t="shared" ref="F1234:F1289" si="64">+E1234*0.08</f>
        <v>290400</v>
      </c>
      <c r="G1234" s="45">
        <f t="shared" ref="G1234:G1289" si="65">E1234+F1234</f>
        <v>3920400</v>
      </c>
      <c r="H1234" s="46">
        <v>3920400</v>
      </c>
      <c r="I1234" s="47">
        <f t="shared" si="63"/>
        <v>0</v>
      </c>
      <c r="J1234" s="48"/>
      <c r="K1234" s="49">
        <v>45976</v>
      </c>
      <c r="L1234" s="50" t="s">
        <v>3380</v>
      </c>
    </row>
    <row r="1235" spans="1:12" ht="15" customHeight="1" x14ac:dyDescent="0.35">
      <c r="A1235" s="85" t="s">
        <v>33</v>
      </c>
      <c r="B1235" s="86" t="s">
        <v>3088</v>
      </c>
      <c r="C1235" s="87"/>
      <c r="D1235" s="88" t="s">
        <v>3221</v>
      </c>
      <c r="E1235" s="43">
        <v>1040000</v>
      </c>
      <c r="F1235" s="44">
        <f t="shared" si="64"/>
        <v>83200</v>
      </c>
      <c r="G1235" s="45">
        <f t="shared" si="65"/>
        <v>1123200</v>
      </c>
      <c r="H1235" s="46">
        <v>1123200</v>
      </c>
      <c r="I1235" s="47">
        <f t="shared" si="63"/>
        <v>0</v>
      </c>
      <c r="J1235" s="48"/>
      <c r="K1235" s="49">
        <v>45976</v>
      </c>
      <c r="L1235" s="50" t="s">
        <v>3381</v>
      </c>
    </row>
    <row r="1236" spans="1:12" ht="15" customHeight="1" x14ac:dyDescent="0.35">
      <c r="A1236" s="85" t="s">
        <v>37</v>
      </c>
      <c r="B1236" s="86" t="s">
        <v>3089</v>
      </c>
      <c r="C1236" s="87"/>
      <c r="D1236" s="88" t="s">
        <v>3221</v>
      </c>
      <c r="E1236" s="43">
        <v>30405000</v>
      </c>
      <c r="F1236" s="44">
        <f t="shared" si="64"/>
        <v>2432400</v>
      </c>
      <c r="G1236" s="45">
        <f t="shared" si="65"/>
        <v>32837400</v>
      </c>
      <c r="H1236" s="46">
        <v>32837400</v>
      </c>
      <c r="I1236" s="47">
        <f t="shared" si="63"/>
        <v>0</v>
      </c>
      <c r="J1236" s="48"/>
      <c r="K1236" s="49">
        <v>45976</v>
      </c>
      <c r="L1236" s="50" t="s">
        <v>3382</v>
      </c>
    </row>
    <row r="1237" spans="1:12" ht="15" customHeight="1" x14ac:dyDescent="0.35">
      <c r="A1237" s="85" t="s">
        <v>29</v>
      </c>
      <c r="B1237" s="86" t="s">
        <v>3090</v>
      </c>
      <c r="C1237" s="87"/>
      <c r="D1237" s="88" t="s">
        <v>3222</v>
      </c>
      <c r="E1237" s="43">
        <v>640000</v>
      </c>
      <c r="F1237" s="44">
        <f t="shared" si="64"/>
        <v>51200</v>
      </c>
      <c r="G1237" s="45">
        <f t="shared" si="65"/>
        <v>691200</v>
      </c>
      <c r="H1237" s="46">
        <v>691200</v>
      </c>
      <c r="I1237" s="47">
        <f t="shared" si="63"/>
        <v>0</v>
      </c>
      <c r="J1237" s="48"/>
      <c r="K1237" s="49">
        <v>45976</v>
      </c>
      <c r="L1237" s="50" t="s">
        <v>3383</v>
      </c>
    </row>
    <row r="1238" spans="1:12" ht="15" customHeight="1" x14ac:dyDescent="0.35">
      <c r="A1238" s="85" t="s">
        <v>71</v>
      </c>
      <c r="B1238" s="86" t="s">
        <v>3091</v>
      </c>
      <c r="C1238" s="87"/>
      <c r="D1238" s="88" t="s">
        <v>3222</v>
      </c>
      <c r="E1238" s="43">
        <v>1480000</v>
      </c>
      <c r="F1238" s="44">
        <f t="shared" si="64"/>
        <v>118400</v>
      </c>
      <c r="G1238" s="45">
        <f t="shared" si="65"/>
        <v>1598400</v>
      </c>
      <c r="H1238" s="46">
        <v>1598400</v>
      </c>
      <c r="I1238" s="47">
        <f t="shared" si="63"/>
        <v>0</v>
      </c>
      <c r="J1238" s="48"/>
      <c r="K1238" s="49">
        <v>45976</v>
      </c>
      <c r="L1238" s="50" t="s">
        <v>3384</v>
      </c>
    </row>
    <row r="1239" spans="1:12" ht="15" customHeight="1" x14ac:dyDescent="0.35">
      <c r="A1239" s="85" t="s">
        <v>33</v>
      </c>
      <c r="B1239" s="86" t="s">
        <v>3092</v>
      </c>
      <c r="C1239" s="87"/>
      <c r="D1239" s="88" t="s">
        <v>3222</v>
      </c>
      <c r="E1239" s="43">
        <v>4640000</v>
      </c>
      <c r="F1239" s="44">
        <f t="shared" si="64"/>
        <v>371200</v>
      </c>
      <c r="G1239" s="45">
        <f t="shared" si="65"/>
        <v>5011200</v>
      </c>
      <c r="H1239" s="46">
        <v>5011200</v>
      </c>
      <c r="I1239" s="47">
        <f t="shared" si="63"/>
        <v>0</v>
      </c>
      <c r="J1239" s="48"/>
      <c r="K1239" s="49">
        <v>45976</v>
      </c>
      <c r="L1239" s="50" t="s">
        <v>3385</v>
      </c>
    </row>
    <row r="1240" spans="1:12" ht="15" customHeight="1" x14ac:dyDescent="0.35">
      <c r="A1240" s="85" t="s">
        <v>33</v>
      </c>
      <c r="B1240" s="86" t="s">
        <v>3093</v>
      </c>
      <c r="C1240" s="87"/>
      <c r="D1240" s="88" t="s">
        <v>3222</v>
      </c>
      <c r="E1240" s="43">
        <v>5440000</v>
      </c>
      <c r="F1240" s="44">
        <f t="shared" si="64"/>
        <v>435200</v>
      </c>
      <c r="G1240" s="45">
        <f t="shared" si="65"/>
        <v>5875200</v>
      </c>
      <c r="H1240" s="46">
        <v>5875200</v>
      </c>
      <c r="I1240" s="47">
        <f t="shared" si="63"/>
        <v>0</v>
      </c>
      <c r="J1240" s="48"/>
      <c r="K1240" s="49">
        <v>45976</v>
      </c>
      <c r="L1240" s="50" t="s">
        <v>3386</v>
      </c>
    </row>
    <row r="1241" spans="1:12" ht="15" customHeight="1" x14ac:dyDescent="0.35">
      <c r="A1241" s="85" t="s">
        <v>33</v>
      </c>
      <c r="B1241" s="86" t="s">
        <v>3094</v>
      </c>
      <c r="C1241" s="87"/>
      <c r="D1241" s="88" t="s">
        <v>3222</v>
      </c>
      <c r="E1241" s="43">
        <v>71257500</v>
      </c>
      <c r="F1241" s="44">
        <f t="shared" si="64"/>
        <v>5700600</v>
      </c>
      <c r="G1241" s="45">
        <f t="shared" si="65"/>
        <v>76958100</v>
      </c>
      <c r="H1241" s="46">
        <v>76958100</v>
      </c>
      <c r="I1241" s="47">
        <f t="shared" si="63"/>
        <v>0</v>
      </c>
      <c r="J1241" s="48"/>
      <c r="K1241" s="49">
        <v>45976</v>
      </c>
      <c r="L1241" s="50" t="s">
        <v>3387</v>
      </c>
    </row>
    <row r="1242" spans="1:12" ht="15" customHeight="1" x14ac:dyDescent="0.35">
      <c r="A1242" s="85" t="s">
        <v>71</v>
      </c>
      <c r="B1242" s="86" t="s">
        <v>3095</v>
      </c>
      <c r="C1242" s="87"/>
      <c r="D1242" s="88" t="s">
        <v>3222</v>
      </c>
      <c r="E1242" s="43">
        <v>5045000</v>
      </c>
      <c r="F1242" s="44">
        <f t="shared" si="64"/>
        <v>403600</v>
      </c>
      <c r="G1242" s="45">
        <f t="shared" si="65"/>
        <v>5448600</v>
      </c>
      <c r="H1242" s="46">
        <v>5448600</v>
      </c>
      <c r="I1242" s="47">
        <f t="shared" si="63"/>
        <v>0</v>
      </c>
      <c r="J1242" s="48"/>
      <c r="K1242" s="49">
        <v>45976</v>
      </c>
      <c r="L1242" s="50" t="s">
        <v>3388</v>
      </c>
    </row>
    <row r="1243" spans="1:12" ht="15" customHeight="1" x14ac:dyDescent="0.35">
      <c r="A1243" s="85" t="s">
        <v>29</v>
      </c>
      <c r="B1243" s="86" t="s">
        <v>3096</v>
      </c>
      <c r="C1243" s="87"/>
      <c r="D1243" s="88" t="s">
        <v>3222</v>
      </c>
      <c r="E1243" s="43">
        <v>6276000</v>
      </c>
      <c r="F1243" s="44">
        <f t="shared" si="64"/>
        <v>502080</v>
      </c>
      <c r="G1243" s="45">
        <f t="shared" si="65"/>
        <v>6778080</v>
      </c>
      <c r="H1243" s="46">
        <v>6778080</v>
      </c>
      <c r="I1243" s="47">
        <f t="shared" si="63"/>
        <v>0</v>
      </c>
      <c r="J1243" s="48"/>
      <c r="K1243" s="49">
        <v>45976</v>
      </c>
      <c r="L1243" s="50" t="s">
        <v>3389</v>
      </c>
    </row>
    <row r="1244" spans="1:12" ht="15" customHeight="1" x14ac:dyDescent="0.35">
      <c r="A1244" s="85" t="s">
        <v>3227</v>
      </c>
      <c r="B1244" s="86" t="s">
        <v>3097</v>
      </c>
      <c r="C1244" s="87"/>
      <c r="D1244" s="88" t="s">
        <v>3222</v>
      </c>
      <c r="E1244" s="43">
        <v>416000</v>
      </c>
      <c r="F1244" s="44">
        <f t="shared" si="64"/>
        <v>33280</v>
      </c>
      <c r="G1244" s="45">
        <f t="shared" si="65"/>
        <v>449280</v>
      </c>
      <c r="H1244" s="46">
        <v>449280</v>
      </c>
      <c r="I1244" s="47">
        <f t="shared" si="63"/>
        <v>0</v>
      </c>
      <c r="J1244" s="48"/>
      <c r="K1244" s="49">
        <v>45976</v>
      </c>
      <c r="L1244" s="50" t="s">
        <v>3390</v>
      </c>
    </row>
    <row r="1245" spans="1:12" ht="15" customHeight="1" x14ac:dyDescent="0.35">
      <c r="A1245" s="85" t="s">
        <v>3229</v>
      </c>
      <c r="B1245" s="86" t="s">
        <v>3098</v>
      </c>
      <c r="C1245" s="87"/>
      <c r="D1245" s="88" t="s">
        <v>3222</v>
      </c>
      <c r="E1245" s="43">
        <v>3920000</v>
      </c>
      <c r="F1245" s="44">
        <f t="shared" si="64"/>
        <v>313600</v>
      </c>
      <c r="G1245" s="45">
        <f t="shared" si="65"/>
        <v>4233600</v>
      </c>
      <c r="H1245" s="46">
        <v>4233600</v>
      </c>
      <c r="I1245" s="47">
        <f t="shared" si="63"/>
        <v>0</v>
      </c>
      <c r="J1245" s="48"/>
      <c r="K1245" s="49">
        <v>45976</v>
      </c>
      <c r="L1245" s="50" t="s">
        <v>3391</v>
      </c>
    </row>
    <row r="1246" spans="1:12" ht="15" customHeight="1" x14ac:dyDescent="0.35">
      <c r="A1246" s="85" t="s">
        <v>71</v>
      </c>
      <c r="B1246" s="86" t="s">
        <v>3099</v>
      </c>
      <c r="C1246" s="87"/>
      <c r="D1246" s="88" t="s">
        <v>3222</v>
      </c>
      <c r="E1246" s="43">
        <v>520000</v>
      </c>
      <c r="F1246" s="44">
        <f t="shared" si="64"/>
        <v>41600</v>
      </c>
      <c r="G1246" s="45">
        <f t="shared" si="65"/>
        <v>561600</v>
      </c>
      <c r="H1246" s="46">
        <v>561600</v>
      </c>
      <c r="I1246" s="47">
        <f t="shared" si="63"/>
        <v>0</v>
      </c>
      <c r="J1246" s="48"/>
      <c r="K1246" s="49">
        <v>45976</v>
      </c>
      <c r="L1246" s="50" t="s">
        <v>3392</v>
      </c>
    </row>
    <row r="1247" spans="1:12" ht="15" customHeight="1" x14ac:dyDescent="0.35">
      <c r="A1247" s="85" t="s">
        <v>71</v>
      </c>
      <c r="B1247" s="86" t="s">
        <v>3100</v>
      </c>
      <c r="C1247" s="87"/>
      <c r="D1247" s="88" t="s">
        <v>3222</v>
      </c>
      <c r="E1247" s="43">
        <v>520000</v>
      </c>
      <c r="F1247" s="44">
        <f t="shared" si="64"/>
        <v>41600</v>
      </c>
      <c r="G1247" s="45">
        <f t="shared" si="65"/>
        <v>561600</v>
      </c>
      <c r="H1247" s="46">
        <v>561600</v>
      </c>
      <c r="I1247" s="47">
        <f t="shared" si="63"/>
        <v>0</v>
      </c>
      <c r="J1247" s="48"/>
      <c r="K1247" s="49">
        <v>45976</v>
      </c>
      <c r="L1247" s="50" t="s">
        <v>3393</v>
      </c>
    </row>
    <row r="1248" spans="1:12" ht="15" customHeight="1" x14ac:dyDescent="0.35">
      <c r="A1248" s="85" t="s">
        <v>71</v>
      </c>
      <c r="B1248" s="86" t="s">
        <v>3101</v>
      </c>
      <c r="C1248" s="87"/>
      <c r="D1248" s="88" t="s">
        <v>3222</v>
      </c>
      <c r="E1248" s="43">
        <v>3720000</v>
      </c>
      <c r="F1248" s="44">
        <f t="shared" si="64"/>
        <v>297600</v>
      </c>
      <c r="G1248" s="45">
        <f t="shared" si="65"/>
        <v>4017600</v>
      </c>
      <c r="H1248" s="46">
        <v>4017600</v>
      </c>
      <c r="I1248" s="47">
        <f t="shared" si="63"/>
        <v>0</v>
      </c>
      <c r="J1248" s="48"/>
      <c r="K1248" s="49">
        <v>45976</v>
      </c>
      <c r="L1248" s="50" t="s">
        <v>3394</v>
      </c>
    </row>
    <row r="1249" spans="1:12" ht="15" customHeight="1" x14ac:dyDescent="0.35">
      <c r="A1249" s="85" t="s">
        <v>123</v>
      </c>
      <c r="B1249" s="86" t="s">
        <v>3102</v>
      </c>
      <c r="C1249" s="87"/>
      <c r="D1249" s="88" t="s">
        <v>3222</v>
      </c>
      <c r="E1249" s="43">
        <v>960000</v>
      </c>
      <c r="F1249" s="44">
        <f t="shared" si="64"/>
        <v>76800</v>
      </c>
      <c r="G1249" s="45">
        <f t="shared" si="65"/>
        <v>1036800</v>
      </c>
      <c r="H1249" s="46">
        <v>1036800</v>
      </c>
      <c r="I1249" s="47">
        <f t="shared" si="63"/>
        <v>0</v>
      </c>
      <c r="J1249" s="48"/>
      <c r="K1249" s="49">
        <v>45976</v>
      </c>
      <c r="L1249" s="50" t="s">
        <v>3395</v>
      </c>
    </row>
    <row r="1250" spans="1:12" ht="15" customHeight="1" x14ac:dyDescent="0.35">
      <c r="A1250" s="85" t="s">
        <v>56</v>
      </c>
      <c r="B1250" s="86" t="s">
        <v>3103</v>
      </c>
      <c r="C1250" s="87"/>
      <c r="D1250" s="88" t="s">
        <v>3222</v>
      </c>
      <c r="E1250" s="43">
        <v>5184000</v>
      </c>
      <c r="F1250" s="44">
        <f t="shared" si="64"/>
        <v>414720</v>
      </c>
      <c r="G1250" s="45">
        <f t="shared" si="65"/>
        <v>5598720</v>
      </c>
      <c r="H1250" s="46">
        <v>5598720</v>
      </c>
      <c r="I1250" s="47">
        <f t="shared" si="63"/>
        <v>0</v>
      </c>
      <c r="J1250" s="48"/>
      <c r="K1250" s="49">
        <v>45976</v>
      </c>
      <c r="L1250" s="50" t="s">
        <v>3396</v>
      </c>
    </row>
    <row r="1251" spans="1:12" ht="15" customHeight="1" x14ac:dyDescent="0.35">
      <c r="A1251" s="85" t="s">
        <v>71</v>
      </c>
      <c r="B1251" s="86" t="s">
        <v>3104</v>
      </c>
      <c r="C1251" s="87"/>
      <c r="D1251" s="88" t="s">
        <v>3222</v>
      </c>
      <c r="E1251" s="43">
        <v>520000</v>
      </c>
      <c r="F1251" s="44">
        <f t="shared" si="64"/>
        <v>41600</v>
      </c>
      <c r="G1251" s="45">
        <f t="shared" si="65"/>
        <v>561600</v>
      </c>
      <c r="H1251" s="46">
        <v>561600</v>
      </c>
      <c r="I1251" s="47">
        <f t="shared" si="63"/>
        <v>0</v>
      </c>
      <c r="J1251" s="48"/>
      <c r="K1251" s="49">
        <v>45976</v>
      </c>
      <c r="L1251" s="50" t="s">
        <v>3397</v>
      </c>
    </row>
    <row r="1252" spans="1:12" ht="15" customHeight="1" x14ac:dyDescent="0.35">
      <c r="A1252" s="85" t="s">
        <v>135</v>
      </c>
      <c r="B1252" s="86" t="s">
        <v>3105</v>
      </c>
      <c r="C1252" s="87"/>
      <c r="D1252" s="88" t="s">
        <v>3222</v>
      </c>
      <c r="E1252" s="43">
        <v>640000</v>
      </c>
      <c r="F1252" s="44">
        <f t="shared" si="64"/>
        <v>51200</v>
      </c>
      <c r="G1252" s="45">
        <f t="shared" si="65"/>
        <v>691200</v>
      </c>
      <c r="H1252" s="46">
        <v>691200</v>
      </c>
      <c r="I1252" s="47">
        <f t="shared" si="63"/>
        <v>0</v>
      </c>
      <c r="J1252" s="48"/>
      <c r="K1252" s="49">
        <v>45976</v>
      </c>
      <c r="L1252" s="50" t="s">
        <v>3398</v>
      </c>
    </row>
    <row r="1253" spans="1:12" ht="15" customHeight="1" x14ac:dyDescent="0.35">
      <c r="A1253" s="85" t="s">
        <v>63</v>
      </c>
      <c r="B1253" s="86" t="s">
        <v>3106</v>
      </c>
      <c r="C1253" s="87"/>
      <c r="D1253" s="88" t="s">
        <v>3222</v>
      </c>
      <c r="E1253" s="43">
        <v>1584000</v>
      </c>
      <c r="F1253" s="44">
        <f t="shared" si="64"/>
        <v>126720</v>
      </c>
      <c r="G1253" s="45">
        <f t="shared" si="65"/>
        <v>1710720</v>
      </c>
      <c r="H1253" s="46">
        <v>1710720</v>
      </c>
      <c r="I1253" s="47">
        <f t="shared" si="63"/>
        <v>0</v>
      </c>
      <c r="J1253" s="48"/>
      <c r="K1253" s="49">
        <v>45976</v>
      </c>
      <c r="L1253" s="50" t="s">
        <v>3399</v>
      </c>
    </row>
    <row r="1254" spans="1:12" ht="15" customHeight="1" x14ac:dyDescent="0.35">
      <c r="A1254" s="85" t="s">
        <v>71</v>
      </c>
      <c r="B1254" s="86" t="s">
        <v>3107</v>
      </c>
      <c r="C1254" s="87"/>
      <c r="D1254" s="88" t="s">
        <v>3222</v>
      </c>
      <c r="E1254" s="43">
        <v>520000</v>
      </c>
      <c r="F1254" s="44">
        <f t="shared" si="64"/>
        <v>41600</v>
      </c>
      <c r="G1254" s="45">
        <f t="shared" si="65"/>
        <v>561600</v>
      </c>
      <c r="H1254" s="46">
        <v>561600</v>
      </c>
      <c r="I1254" s="47">
        <f t="shared" si="63"/>
        <v>0</v>
      </c>
      <c r="J1254" s="48"/>
      <c r="K1254" s="49">
        <v>45976</v>
      </c>
      <c r="L1254" s="50" t="s">
        <v>3400</v>
      </c>
    </row>
    <row r="1255" spans="1:12" ht="15" customHeight="1" x14ac:dyDescent="0.35">
      <c r="A1255" s="85" t="s">
        <v>71</v>
      </c>
      <c r="B1255" s="86" t="s">
        <v>3108</v>
      </c>
      <c r="C1255" s="87"/>
      <c r="D1255" s="88" t="s">
        <v>3222</v>
      </c>
      <c r="E1255" s="43">
        <v>520000</v>
      </c>
      <c r="F1255" s="44">
        <f t="shared" si="64"/>
        <v>41600</v>
      </c>
      <c r="G1255" s="45">
        <f t="shared" si="65"/>
        <v>561600</v>
      </c>
      <c r="H1255" s="46">
        <v>561600</v>
      </c>
      <c r="I1255" s="47">
        <f t="shared" si="63"/>
        <v>0</v>
      </c>
      <c r="J1255" s="48"/>
      <c r="K1255" s="49">
        <v>45976</v>
      </c>
      <c r="L1255" s="50" t="s">
        <v>3401</v>
      </c>
    </row>
    <row r="1256" spans="1:12" ht="15" customHeight="1" x14ac:dyDescent="0.35">
      <c r="A1256" s="85" t="s">
        <v>71</v>
      </c>
      <c r="B1256" s="86" t="s">
        <v>3109</v>
      </c>
      <c r="C1256" s="87"/>
      <c r="D1256" s="88" t="s">
        <v>3222</v>
      </c>
      <c r="E1256" s="43">
        <v>320000</v>
      </c>
      <c r="F1256" s="44">
        <f t="shared" si="64"/>
        <v>25600</v>
      </c>
      <c r="G1256" s="45">
        <f t="shared" si="65"/>
        <v>345600</v>
      </c>
      <c r="H1256" s="46">
        <v>345600</v>
      </c>
      <c r="I1256" s="47">
        <f t="shared" si="63"/>
        <v>0</v>
      </c>
      <c r="J1256" s="48"/>
      <c r="K1256" s="49">
        <v>45976</v>
      </c>
      <c r="L1256" s="50" t="s">
        <v>3402</v>
      </c>
    </row>
    <row r="1257" spans="1:12" ht="15" customHeight="1" x14ac:dyDescent="0.35">
      <c r="A1257" s="85" t="s">
        <v>71</v>
      </c>
      <c r="B1257" s="86" t="s">
        <v>3110</v>
      </c>
      <c r="C1257" s="87"/>
      <c r="D1257" s="88" t="s">
        <v>3222</v>
      </c>
      <c r="E1257" s="43">
        <v>480000</v>
      </c>
      <c r="F1257" s="44">
        <f t="shared" si="64"/>
        <v>38400</v>
      </c>
      <c r="G1257" s="45">
        <f t="shared" si="65"/>
        <v>518400</v>
      </c>
      <c r="H1257" s="46">
        <v>518400</v>
      </c>
      <c r="I1257" s="47">
        <f t="shared" si="63"/>
        <v>0</v>
      </c>
      <c r="J1257" s="48"/>
      <c r="K1257" s="49">
        <v>45976</v>
      </c>
      <c r="L1257" s="50" t="s">
        <v>3403</v>
      </c>
    </row>
    <row r="1258" spans="1:12" ht="15" customHeight="1" x14ac:dyDescent="0.35">
      <c r="A1258" s="85" t="s">
        <v>56</v>
      </c>
      <c r="B1258" s="86" t="s">
        <v>3111</v>
      </c>
      <c r="C1258" s="87"/>
      <c r="D1258" s="88" t="s">
        <v>3222</v>
      </c>
      <c r="E1258" s="43">
        <v>4880000</v>
      </c>
      <c r="F1258" s="44">
        <f t="shared" si="64"/>
        <v>390400</v>
      </c>
      <c r="G1258" s="45">
        <f t="shared" si="65"/>
        <v>5270400</v>
      </c>
      <c r="H1258" s="46">
        <v>5270400</v>
      </c>
      <c r="I1258" s="47">
        <f t="shared" si="63"/>
        <v>0</v>
      </c>
      <c r="J1258" s="48"/>
      <c r="K1258" s="49">
        <v>45976</v>
      </c>
      <c r="L1258" s="50" t="s">
        <v>3404</v>
      </c>
    </row>
    <row r="1259" spans="1:12" ht="15" customHeight="1" x14ac:dyDescent="0.35">
      <c r="A1259" s="85" t="s">
        <v>56</v>
      </c>
      <c r="B1259" s="86" t="s">
        <v>3112</v>
      </c>
      <c r="C1259" s="87"/>
      <c r="D1259" s="88" t="s">
        <v>3222</v>
      </c>
      <c r="E1259" s="43">
        <v>4960000</v>
      </c>
      <c r="F1259" s="44">
        <f t="shared" si="64"/>
        <v>396800</v>
      </c>
      <c r="G1259" s="45">
        <f t="shared" si="65"/>
        <v>5356800</v>
      </c>
      <c r="H1259" s="46">
        <v>5356800</v>
      </c>
      <c r="I1259" s="47">
        <f t="shared" si="63"/>
        <v>0</v>
      </c>
      <c r="J1259" s="48"/>
      <c r="K1259" s="49">
        <v>45976</v>
      </c>
      <c r="L1259" s="50" t="s">
        <v>3405</v>
      </c>
    </row>
    <row r="1260" spans="1:12" ht="15" customHeight="1" x14ac:dyDescent="0.35">
      <c r="A1260" s="85" t="s">
        <v>33</v>
      </c>
      <c r="B1260" s="86" t="s">
        <v>3113</v>
      </c>
      <c r="C1260" s="87"/>
      <c r="D1260" s="88" t="s">
        <v>3222</v>
      </c>
      <c r="E1260" s="43">
        <v>1600000</v>
      </c>
      <c r="F1260" s="44">
        <f t="shared" si="64"/>
        <v>128000</v>
      </c>
      <c r="G1260" s="45">
        <f t="shared" si="65"/>
        <v>1728000</v>
      </c>
      <c r="H1260" s="46">
        <v>1728000</v>
      </c>
      <c r="I1260" s="47">
        <f t="shared" si="63"/>
        <v>0</v>
      </c>
      <c r="J1260" s="48"/>
      <c r="K1260" s="49">
        <v>45976</v>
      </c>
      <c r="L1260" s="50" t="s">
        <v>3406</v>
      </c>
    </row>
    <row r="1261" spans="1:12" ht="15" customHeight="1" x14ac:dyDescent="0.35">
      <c r="A1261" s="85" t="s">
        <v>37</v>
      </c>
      <c r="B1261" s="86" t="s">
        <v>3114</v>
      </c>
      <c r="C1261" s="87"/>
      <c r="D1261" s="88" t="s">
        <v>3222</v>
      </c>
      <c r="E1261" s="43">
        <v>30336000</v>
      </c>
      <c r="F1261" s="44">
        <f t="shared" si="64"/>
        <v>2426880</v>
      </c>
      <c r="G1261" s="45">
        <f t="shared" si="65"/>
        <v>32762880</v>
      </c>
      <c r="H1261" s="46">
        <v>32762880</v>
      </c>
      <c r="I1261" s="47">
        <f t="shared" si="63"/>
        <v>0</v>
      </c>
      <c r="J1261" s="48"/>
      <c r="K1261" s="49">
        <v>45976</v>
      </c>
      <c r="L1261" s="50" t="s">
        <v>3407</v>
      </c>
    </row>
    <row r="1262" spans="1:12" ht="15" customHeight="1" x14ac:dyDescent="0.35">
      <c r="A1262" s="85" t="s">
        <v>85</v>
      </c>
      <c r="B1262" s="86" t="s">
        <v>3115</v>
      </c>
      <c r="C1262" s="87"/>
      <c r="D1262" s="88" t="s">
        <v>3223</v>
      </c>
      <c r="E1262" s="43">
        <v>2562000</v>
      </c>
      <c r="F1262" s="44">
        <f t="shared" si="64"/>
        <v>204960</v>
      </c>
      <c r="G1262" s="45">
        <f t="shared" si="65"/>
        <v>2766960</v>
      </c>
      <c r="H1262" s="46">
        <v>2766960</v>
      </c>
      <c r="I1262" s="47">
        <f t="shared" si="63"/>
        <v>0</v>
      </c>
      <c r="J1262" s="48">
        <v>46006</v>
      </c>
      <c r="K1262" s="49"/>
      <c r="L1262" s="50" t="s">
        <v>3408</v>
      </c>
    </row>
    <row r="1263" spans="1:12" ht="15" customHeight="1" x14ac:dyDescent="0.35">
      <c r="A1263" s="85" t="s">
        <v>3227</v>
      </c>
      <c r="B1263" s="86" t="s">
        <v>3116</v>
      </c>
      <c r="C1263" s="87"/>
      <c r="D1263" s="88" t="s">
        <v>3223</v>
      </c>
      <c r="E1263" s="43">
        <v>1544000</v>
      </c>
      <c r="F1263" s="44">
        <f t="shared" si="64"/>
        <v>123520</v>
      </c>
      <c r="G1263" s="45">
        <f t="shared" si="65"/>
        <v>1667520</v>
      </c>
      <c r="H1263" s="46">
        <v>1667520</v>
      </c>
      <c r="I1263" s="47">
        <f t="shared" si="63"/>
        <v>0</v>
      </c>
      <c r="J1263" s="48">
        <v>46006</v>
      </c>
      <c r="K1263" s="49"/>
      <c r="L1263" s="50" t="s">
        <v>3409</v>
      </c>
    </row>
    <row r="1264" spans="1:12" ht="15" customHeight="1" x14ac:dyDescent="0.35">
      <c r="A1264" s="85" t="s">
        <v>29</v>
      </c>
      <c r="B1264" s="86" t="s">
        <v>3117</v>
      </c>
      <c r="C1264" s="87"/>
      <c r="D1264" s="88" t="s">
        <v>3223</v>
      </c>
      <c r="E1264" s="43">
        <v>12269500</v>
      </c>
      <c r="F1264" s="44">
        <f t="shared" si="64"/>
        <v>981560</v>
      </c>
      <c r="G1264" s="45">
        <f t="shared" si="65"/>
        <v>13251060</v>
      </c>
      <c r="H1264" s="46">
        <v>13251060</v>
      </c>
      <c r="I1264" s="47">
        <f t="shared" si="63"/>
        <v>0</v>
      </c>
      <c r="J1264" s="48">
        <v>46006</v>
      </c>
      <c r="K1264" s="49"/>
      <c r="L1264" s="50" t="s">
        <v>3410</v>
      </c>
    </row>
    <row r="1265" spans="1:12" ht="15" customHeight="1" x14ac:dyDescent="0.35">
      <c r="A1265" s="85" t="s">
        <v>3228</v>
      </c>
      <c r="B1265" s="86" t="s">
        <v>3118</v>
      </c>
      <c r="C1265" s="87"/>
      <c r="D1265" s="88" t="s">
        <v>3223</v>
      </c>
      <c r="E1265" s="43">
        <v>4940000</v>
      </c>
      <c r="F1265" s="44">
        <f t="shared" si="64"/>
        <v>395200</v>
      </c>
      <c r="G1265" s="45">
        <f t="shared" si="65"/>
        <v>5335200</v>
      </c>
      <c r="H1265" s="46">
        <v>5335200</v>
      </c>
      <c r="I1265" s="47">
        <f t="shared" si="63"/>
        <v>0</v>
      </c>
      <c r="J1265" s="48">
        <v>46006</v>
      </c>
      <c r="K1265" s="49"/>
      <c r="L1265" s="50" t="s">
        <v>3411</v>
      </c>
    </row>
    <row r="1266" spans="1:12" ht="15" customHeight="1" x14ac:dyDescent="0.35">
      <c r="A1266" s="85" t="s">
        <v>33</v>
      </c>
      <c r="B1266" s="86" t="s">
        <v>3119</v>
      </c>
      <c r="C1266" s="87"/>
      <c r="D1266" s="88" t="s">
        <v>3223</v>
      </c>
      <c r="E1266" s="43">
        <v>960000</v>
      </c>
      <c r="F1266" s="44">
        <f t="shared" si="64"/>
        <v>76800</v>
      </c>
      <c r="G1266" s="45">
        <f t="shared" si="65"/>
        <v>1036800</v>
      </c>
      <c r="H1266" s="46">
        <v>1036800</v>
      </c>
      <c r="I1266" s="47">
        <f t="shared" si="63"/>
        <v>0</v>
      </c>
      <c r="J1266" s="48">
        <v>46006</v>
      </c>
      <c r="K1266" s="49"/>
      <c r="L1266" s="50" t="s">
        <v>3412</v>
      </c>
    </row>
    <row r="1267" spans="1:12" ht="15" customHeight="1" x14ac:dyDescent="0.35">
      <c r="A1267" s="85" t="s">
        <v>33</v>
      </c>
      <c r="B1267" s="86" t="s">
        <v>3120</v>
      </c>
      <c r="C1267" s="87"/>
      <c r="D1267" s="88" t="s">
        <v>3223</v>
      </c>
      <c r="E1267" s="43">
        <v>1680000</v>
      </c>
      <c r="F1267" s="44">
        <f t="shared" si="64"/>
        <v>134400</v>
      </c>
      <c r="G1267" s="45">
        <f t="shared" si="65"/>
        <v>1814400</v>
      </c>
      <c r="H1267" s="46">
        <v>1814400</v>
      </c>
      <c r="I1267" s="47">
        <f t="shared" si="63"/>
        <v>0</v>
      </c>
      <c r="J1267" s="48">
        <v>46006</v>
      </c>
      <c r="K1267" s="49"/>
      <c r="L1267" s="50" t="s">
        <v>3413</v>
      </c>
    </row>
    <row r="1268" spans="1:12" ht="15" customHeight="1" x14ac:dyDescent="0.35">
      <c r="A1268" s="85" t="s">
        <v>85</v>
      </c>
      <c r="B1268" s="86" t="s">
        <v>3121</v>
      </c>
      <c r="C1268" s="87"/>
      <c r="D1268" s="88" t="s">
        <v>3223</v>
      </c>
      <c r="E1268" s="43">
        <v>5885000</v>
      </c>
      <c r="F1268" s="44">
        <f t="shared" si="64"/>
        <v>470800</v>
      </c>
      <c r="G1268" s="45">
        <f t="shared" si="65"/>
        <v>6355800</v>
      </c>
      <c r="H1268" s="46">
        <v>6355800</v>
      </c>
      <c r="I1268" s="47">
        <f t="shared" si="63"/>
        <v>0</v>
      </c>
      <c r="J1268" s="48">
        <v>46006</v>
      </c>
      <c r="K1268" s="49"/>
      <c r="L1268" s="50" t="s">
        <v>3414</v>
      </c>
    </row>
    <row r="1269" spans="1:12" ht="15" customHeight="1" x14ac:dyDescent="0.35">
      <c r="A1269" s="85" t="s">
        <v>56</v>
      </c>
      <c r="B1269" s="86" t="s">
        <v>3122</v>
      </c>
      <c r="C1269" s="87"/>
      <c r="D1269" s="88" t="s">
        <v>3223</v>
      </c>
      <c r="E1269" s="43">
        <v>6320000</v>
      </c>
      <c r="F1269" s="44">
        <f t="shared" si="64"/>
        <v>505600</v>
      </c>
      <c r="G1269" s="45">
        <f t="shared" si="65"/>
        <v>6825600</v>
      </c>
      <c r="H1269" s="46">
        <v>6825600</v>
      </c>
      <c r="I1269" s="47">
        <f t="shared" si="63"/>
        <v>0</v>
      </c>
      <c r="J1269" s="48">
        <v>46006</v>
      </c>
      <c r="K1269" s="49"/>
      <c r="L1269" s="50" t="s">
        <v>3415</v>
      </c>
    </row>
    <row r="1270" spans="1:12" ht="15" customHeight="1" x14ac:dyDescent="0.35">
      <c r="A1270" s="85" t="s">
        <v>29</v>
      </c>
      <c r="B1270" s="86" t="s">
        <v>3123</v>
      </c>
      <c r="C1270" s="87"/>
      <c r="D1270" s="88" t="s">
        <v>3223</v>
      </c>
      <c r="E1270" s="43">
        <v>10212000</v>
      </c>
      <c r="F1270" s="44">
        <f t="shared" si="64"/>
        <v>816960</v>
      </c>
      <c r="G1270" s="45">
        <f t="shared" si="65"/>
        <v>11028960</v>
      </c>
      <c r="H1270" s="46">
        <v>11028960</v>
      </c>
      <c r="I1270" s="47">
        <f t="shared" si="63"/>
        <v>0</v>
      </c>
      <c r="J1270" s="48">
        <v>46006</v>
      </c>
      <c r="K1270" s="49"/>
      <c r="L1270" s="50" t="s">
        <v>3416</v>
      </c>
    </row>
    <row r="1271" spans="1:12" ht="15" customHeight="1" x14ac:dyDescent="0.35">
      <c r="A1271" s="85" t="s">
        <v>123</v>
      </c>
      <c r="B1271" s="86" t="s">
        <v>3124</v>
      </c>
      <c r="C1271" s="87"/>
      <c r="D1271" s="88" t="s">
        <v>3223</v>
      </c>
      <c r="E1271" s="43">
        <v>3200000</v>
      </c>
      <c r="F1271" s="44">
        <f t="shared" si="64"/>
        <v>256000</v>
      </c>
      <c r="G1271" s="45">
        <f t="shared" si="65"/>
        <v>3456000</v>
      </c>
      <c r="H1271" s="46">
        <v>3456000</v>
      </c>
      <c r="I1271" s="47">
        <f t="shared" si="63"/>
        <v>0</v>
      </c>
      <c r="J1271" s="48">
        <v>46006</v>
      </c>
      <c r="K1271" s="49"/>
      <c r="L1271" s="50" t="s">
        <v>3417</v>
      </c>
    </row>
    <row r="1272" spans="1:12" ht="15" customHeight="1" x14ac:dyDescent="0.35">
      <c r="A1272" s="85" t="s">
        <v>29</v>
      </c>
      <c r="B1272" s="86" t="s">
        <v>3125</v>
      </c>
      <c r="C1272" s="87"/>
      <c r="D1272" s="88" t="s">
        <v>3223</v>
      </c>
      <c r="E1272" s="43">
        <v>1040000</v>
      </c>
      <c r="F1272" s="44">
        <f t="shared" si="64"/>
        <v>83200</v>
      </c>
      <c r="G1272" s="45">
        <f t="shared" si="65"/>
        <v>1123200</v>
      </c>
      <c r="H1272" s="46">
        <v>1123200</v>
      </c>
      <c r="I1272" s="47">
        <f t="shared" si="63"/>
        <v>0</v>
      </c>
      <c r="J1272" s="48">
        <v>46006</v>
      </c>
      <c r="K1272" s="49"/>
      <c r="L1272" s="50" t="s">
        <v>3418</v>
      </c>
    </row>
    <row r="1273" spans="1:12" ht="15" customHeight="1" x14ac:dyDescent="0.35">
      <c r="A1273" s="85" t="s">
        <v>33</v>
      </c>
      <c r="B1273" s="86" t="s">
        <v>3126</v>
      </c>
      <c r="C1273" s="87"/>
      <c r="D1273" s="88" t="s">
        <v>3223</v>
      </c>
      <c r="E1273" s="43">
        <v>10960000</v>
      </c>
      <c r="F1273" s="44">
        <f t="shared" si="64"/>
        <v>876800</v>
      </c>
      <c r="G1273" s="45">
        <f t="shared" si="65"/>
        <v>11836800</v>
      </c>
      <c r="H1273" s="46">
        <v>11836800</v>
      </c>
      <c r="I1273" s="47">
        <f t="shared" si="63"/>
        <v>0</v>
      </c>
      <c r="J1273" s="48">
        <v>46006</v>
      </c>
      <c r="K1273" s="49"/>
      <c r="L1273" s="50" t="s">
        <v>3419</v>
      </c>
    </row>
    <row r="1274" spans="1:12" ht="15" customHeight="1" x14ac:dyDescent="0.35">
      <c r="A1274" s="85" t="s">
        <v>33</v>
      </c>
      <c r="B1274" s="86" t="s">
        <v>3127</v>
      </c>
      <c r="C1274" s="87"/>
      <c r="D1274" s="88" t="s">
        <v>3223</v>
      </c>
      <c r="E1274" s="43">
        <v>1680000</v>
      </c>
      <c r="F1274" s="44">
        <f t="shared" si="64"/>
        <v>134400</v>
      </c>
      <c r="G1274" s="45">
        <f t="shared" si="65"/>
        <v>1814400</v>
      </c>
      <c r="H1274" s="46">
        <v>1814400</v>
      </c>
      <c r="I1274" s="47">
        <f t="shared" si="63"/>
        <v>0</v>
      </c>
      <c r="J1274" s="48">
        <v>46006</v>
      </c>
      <c r="K1274" s="49"/>
      <c r="L1274" s="50" t="s">
        <v>3420</v>
      </c>
    </row>
    <row r="1275" spans="1:12" ht="15" customHeight="1" x14ac:dyDescent="0.35">
      <c r="A1275" s="85" t="s">
        <v>29</v>
      </c>
      <c r="B1275" s="86" t="s">
        <v>3128</v>
      </c>
      <c r="C1275" s="87"/>
      <c r="D1275" s="88" t="s">
        <v>3223</v>
      </c>
      <c r="E1275" s="43">
        <v>16400000</v>
      </c>
      <c r="F1275" s="44">
        <f t="shared" si="64"/>
        <v>1312000</v>
      </c>
      <c r="G1275" s="45">
        <f t="shared" si="65"/>
        <v>17712000</v>
      </c>
      <c r="H1275" s="46">
        <v>17712000</v>
      </c>
      <c r="I1275" s="47">
        <f t="shared" si="63"/>
        <v>0</v>
      </c>
      <c r="J1275" s="48">
        <v>46006</v>
      </c>
      <c r="K1275" s="49"/>
      <c r="L1275" s="50" t="s">
        <v>3421</v>
      </c>
    </row>
    <row r="1276" spans="1:12" ht="15" customHeight="1" x14ac:dyDescent="0.35">
      <c r="A1276" s="85" t="s">
        <v>29</v>
      </c>
      <c r="B1276" s="86" t="s">
        <v>3129</v>
      </c>
      <c r="C1276" s="87"/>
      <c r="D1276" s="88" t="s">
        <v>3223</v>
      </c>
      <c r="E1276" s="43">
        <v>1980000</v>
      </c>
      <c r="F1276" s="44">
        <f t="shared" si="64"/>
        <v>158400</v>
      </c>
      <c r="G1276" s="45">
        <f t="shared" si="65"/>
        <v>2138400</v>
      </c>
      <c r="H1276" s="46">
        <v>2138400</v>
      </c>
      <c r="I1276" s="47">
        <f t="shared" si="63"/>
        <v>0</v>
      </c>
      <c r="J1276" s="48">
        <v>46006</v>
      </c>
      <c r="K1276" s="49"/>
      <c r="L1276" s="50" t="s">
        <v>3422</v>
      </c>
    </row>
    <row r="1277" spans="1:12" ht="15" customHeight="1" x14ac:dyDescent="0.35">
      <c r="A1277" s="85" t="s">
        <v>29</v>
      </c>
      <c r="B1277" s="86" t="s">
        <v>3130</v>
      </c>
      <c r="C1277" s="87"/>
      <c r="D1277" s="88" t="s">
        <v>3223</v>
      </c>
      <c r="E1277" s="43">
        <v>15732000</v>
      </c>
      <c r="F1277" s="44">
        <f t="shared" si="64"/>
        <v>1258560</v>
      </c>
      <c r="G1277" s="45">
        <f t="shared" si="65"/>
        <v>16990560</v>
      </c>
      <c r="H1277" s="46">
        <v>16990560</v>
      </c>
      <c r="I1277" s="47">
        <f t="shared" si="63"/>
        <v>0</v>
      </c>
      <c r="J1277" s="48">
        <v>46006</v>
      </c>
      <c r="K1277" s="49"/>
      <c r="L1277" s="50" t="s">
        <v>3423</v>
      </c>
    </row>
    <row r="1278" spans="1:12" ht="15" customHeight="1" x14ac:dyDescent="0.35">
      <c r="A1278" s="85" t="s">
        <v>123</v>
      </c>
      <c r="B1278" s="86" t="s">
        <v>3131</v>
      </c>
      <c r="C1278" s="87"/>
      <c r="D1278" s="88" t="s">
        <v>3223</v>
      </c>
      <c r="E1278" s="43">
        <v>5440000</v>
      </c>
      <c r="F1278" s="44">
        <f t="shared" si="64"/>
        <v>435200</v>
      </c>
      <c r="G1278" s="45">
        <f t="shared" si="65"/>
        <v>5875200</v>
      </c>
      <c r="H1278" s="46">
        <v>5875200</v>
      </c>
      <c r="I1278" s="47">
        <f t="shared" si="63"/>
        <v>0</v>
      </c>
      <c r="J1278" s="48">
        <v>46006</v>
      </c>
      <c r="K1278" s="49"/>
      <c r="L1278" s="50" t="s">
        <v>3424</v>
      </c>
    </row>
    <row r="1279" spans="1:12" ht="15" customHeight="1" x14ac:dyDescent="0.35">
      <c r="A1279" s="85" t="s">
        <v>56</v>
      </c>
      <c r="B1279" s="86" t="s">
        <v>3132</v>
      </c>
      <c r="C1279" s="87"/>
      <c r="D1279" s="88" t="s">
        <v>3223</v>
      </c>
      <c r="E1279" s="43">
        <v>3200000</v>
      </c>
      <c r="F1279" s="44">
        <f t="shared" si="64"/>
        <v>256000</v>
      </c>
      <c r="G1279" s="45">
        <f t="shared" si="65"/>
        <v>3456000</v>
      </c>
      <c r="H1279" s="46">
        <v>3456000</v>
      </c>
      <c r="I1279" s="47">
        <f t="shared" si="63"/>
        <v>0</v>
      </c>
      <c r="J1279" s="48">
        <v>46006</v>
      </c>
      <c r="K1279" s="49"/>
      <c r="L1279" s="50" t="s">
        <v>3425</v>
      </c>
    </row>
    <row r="1280" spans="1:12" ht="15" customHeight="1" x14ac:dyDescent="0.35">
      <c r="A1280" s="85" t="s">
        <v>33</v>
      </c>
      <c r="B1280" s="86" t="s">
        <v>3133</v>
      </c>
      <c r="C1280" s="87"/>
      <c r="D1280" s="88" t="s">
        <v>3223</v>
      </c>
      <c r="E1280" s="43">
        <v>19521000</v>
      </c>
      <c r="F1280" s="44">
        <f t="shared" si="64"/>
        <v>1561680</v>
      </c>
      <c r="G1280" s="45">
        <f t="shared" si="65"/>
        <v>21082680</v>
      </c>
      <c r="H1280" s="46">
        <v>21082680</v>
      </c>
      <c r="I1280" s="47">
        <f t="shared" si="63"/>
        <v>0</v>
      </c>
      <c r="J1280" s="48">
        <v>46006</v>
      </c>
      <c r="K1280" s="49"/>
      <c r="L1280" s="50" t="s">
        <v>3426</v>
      </c>
    </row>
    <row r="1281" spans="1:12" ht="15" customHeight="1" x14ac:dyDescent="0.35">
      <c r="A1281" s="85" t="s">
        <v>71</v>
      </c>
      <c r="B1281" s="86" t="s">
        <v>3134</v>
      </c>
      <c r="C1281" s="87"/>
      <c r="D1281" s="88" t="s">
        <v>3223</v>
      </c>
      <c r="E1281" s="43">
        <v>7210000</v>
      </c>
      <c r="F1281" s="44">
        <f t="shared" si="64"/>
        <v>576800</v>
      </c>
      <c r="G1281" s="45">
        <f t="shared" si="65"/>
        <v>7786800</v>
      </c>
      <c r="H1281" s="46">
        <v>7786800</v>
      </c>
      <c r="I1281" s="47">
        <f t="shared" si="63"/>
        <v>0</v>
      </c>
      <c r="J1281" s="48">
        <v>46006</v>
      </c>
      <c r="K1281" s="49"/>
      <c r="L1281" s="50" t="s">
        <v>3427</v>
      </c>
    </row>
    <row r="1282" spans="1:12" ht="15" customHeight="1" x14ac:dyDescent="0.35">
      <c r="A1282" s="85" t="s">
        <v>3227</v>
      </c>
      <c r="B1282" s="86" t="s">
        <v>3135</v>
      </c>
      <c r="C1282" s="87"/>
      <c r="D1282" s="88" t="s">
        <v>3224</v>
      </c>
      <c r="E1282" s="43">
        <v>520000</v>
      </c>
      <c r="F1282" s="44">
        <f t="shared" si="64"/>
        <v>41600</v>
      </c>
      <c r="G1282" s="45">
        <f t="shared" si="65"/>
        <v>561600</v>
      </c>
      <c r="H1282" s="46">
        <v>561600</v>
      </c>
      <c r="I1282" s="47">
        <f t="shared" si="63"/>
        <v>0</v>
      </c>
      <c r="J1282" s="48">
        <v>46006</v>
      </c>
      <c r="K1282" s="49"/>
      <c r="L1282" s="50" t="s">
        <v>3428</v>
      </c>
    </row>
    <row r="1283" spans="1:12" ht="15" customHeight="1" x14ac:dyDescent="0.35">
      <c r="A1283" s="85" t="s">
        <v>37</v>
      </c>
      <c r="B1283" s="86" t="s">
        <v>3136</v>
      </c>
      <c r="C1283" s="87"/>
      <c r="D1283" s="88" t="s">
        <v>3224</v>
      </c>
      <c r="E1283" s="43">
        <v>33440000</v>
      </c>
      <c r="F1283" s="44">
        <f t="shared" si="64"/>
        <v>2675200</v>
      </c>
      <c r="G1283" s="45">
        <f t="shared" si="65"/>
        <v>36115200</v>
      </c>
      <c r="H1283" s="46">
        <v>36115200</v>
      </c>
      <c r="I1283" s="47">
        <f t="shared" si="63"/>
        <v>0</v>
      </c>
      <c r="J1283" s="48">
        <v>46006</v>
      </c>
      <c r="K1283" s="49"/>
      <c r="L1283" s="50" t="s">
        <v>3429</v>
      </c>
    </row>
    <row r="1284" spans="1:12" ht="15" customHeight="1" x14ac:dyDescent="0.35">
      <c r="A1284" s="85" t="s">
        <v>33</v>
      </c>
      <c r="B1284" s="86" t="s">
        <v>3137</v>
      </c>
      <c r="C1284" s="87"/>
      <c r="D1284" s="88" t="s">
        <v>3224</v>
      </c>
      <c r="E1284" s="43">
        <v>1920000</v>
      </c>
      <c r="F1284" s="44">
        <f t="shared" si="64"/>
        <v>153600</v>
      </c>
      <c r="G1284" s="45">
        <f t="shared" si="65"/>
        <v>2073600</v>
      </c>
      <c r="H1284" s="46">
        <v>2073600</v>
      </c>
      <c r="I1284" s="47">
        <f t="shared" si="63"/>
        <v>0</v>
      </c>
      <c r="J1284" s="48">
        <v>46006</v>
      </c>
      <c r="K1284" s="49"/>
      <c r="L1284" s="50" t="s">
        <v>3430</v>
      </c>
    </row>
    <row r="1285" spans="1:12" ht="15" customHeight="1" x14ac:dyDescent="0.35">
      <c r="A1285" s="85" t="s">
        <v>56</v>
      </c>
      <c r="B1285" s="86" t="s">
        <v>3138</v>
      </c>
      <c r="C1285" s="87"/>
      <c r="D1285" s="88" t="s">
        <v>3224</v>
      </c>
      <c r="E1285" s="43">
        <v>960000</v>
      </c>
      <c r="F1285" s="44">
        <f t="shared" si="64"/>
        <v>76800</v>
      </c>
      <c r="G1285" s="45">
        <f t="shared" si="65"/>
        <v>1036800</v>
      </c>
      <c r="H1285" s="46">
        <v>1036800</v>
      </c>
      <c r="I1285" s="47">
        <f t="shared" si="63"/>
        <v>0</v>
      </c>
      <c r="J1285" s="48">
        <v>46006</v>
      </c>
      <c r="K1285" s="49"/>
      <c r="L1285" s="50" t="s">
        <v>3431</v>
      </c>
    </row>
    <row r="1286" spans="1:12" ht="15" customHeight="1" x14ac:dyDescent="0.35">
      <c r="A1286" s="85" t="s">
        <v>3227</v>
      </c>
      <c r="B1286" s="86" t="s">
        <v>3139</v>
      </c>
      <c r="C1286" s="87"/>
      <c r="D1286" s="88" t="s">
        <v>3224</v>
      </c>
      <c r="E1286" s="43">
        <v>640000</v>
      </c>
      <c r="F1286" s="44">
        <f t="shared" si="64"/>
        <v>51200</v>
      </c>
      <c r="G1286" s="45">
        <f t="shared" si="65"/>
        <v>691200</v>
      </c>
      <c r="H1286" s="46">
        <v>691200</v>
      </c>
      <c r="I1286" s="47">
        <f t="shared" si="63"/>
        <v>0</v>
      </c>
      <c r="J1286" s="48">
        <v>46006</v>
      </c>
      <c r="K1286" s="49"/>
      <c r="L1286" s="50" t="s">
        <v>3432</v>
      </c>
    </row>
    <row r="1287" spans="1:12" ht="15" customHeight="1" x14ac:dyDescent="0.35">
      <c r="A1287" s="85" t="s">
        <v>85</v>
      </c>
      <c r="B1287" s="86" t="s">
        <v>3140</v>
      </c>
      <c r="C1287" s="87"/>
      <c r="D1287" s="88" t="s">
        <v>3224</v>
      </c>
      <c r="E1287" s="43">
        <v>5280000</v>
      </c>
      <c r="F1287" s="44">
        <f t="shared" si="64"/>
        <v>422400</v>
      </c>
      <c r="G1287" s="45">
        <f t="shared" si="65"/>
        <v>5702400</v>
      </c>
      <c r="H1287" s="46">
        <v>5702400</v>
      </c>
      <c r="I1287" s="47">
        <f t="shared" si="63"/>
        <v>0</v>
      </c>
      <c r="J1287" s="48">
        <v>46006</v>
      </c>
      <c r="K1287" s="49"/>
      <c r="L1287" s="50" t="s">
        <v>3433</v>
      </c>
    </row>
    <row r="1288" spans="1:12" ht="15" customHeight="1" x14ac:dyDescent="0.35">
      <c r="A1288" s="85" t="s">
        <v>29</v>
      </c>
      <c r="B1288" s="86" t="s">
        <v>3141</v>
      </c>
      <c r="C1288" s="87"/>
      <c r="D1288" s="88" t="s">
        <v>3224</v>
      </c>
      <c r="E1288" s="43">
        <v>22741000</v>
      </c>
      <c r="F1288" s="44">
        <f t="shared" si="64"/>
        <v>1819280</v>
      </c>
      <c r="G1288" s="45">
        <f t="shared" si="65"/>
        <v>24560280</v>
      </c>
      <c r="H1288" s="46">
        <v>24560280</v>
      </c>
      <c r="I1288" s="47">
        <f t="shared" si="63"/>
        <v>0</v>
      </c>
      <c r="J1288" s="48">
        <v>46006</v>
      </c>
      <c r="K1288" s="49"/>
      <c r="L1288" s="50" t="s">
        <v>3434</v>
      </c>
    </row>
    <row r="1289" spans="1:12" ht="15" customHeight="1" x14ac:dyDescent="0.35">
      <c r="A1289" s="85" t="s">
        <v>33</v>
      </c>
      <c r="B1289" s="86" t="s">
        <v>3142</v>
      </c>
      <c r="C1289" s="87"/>
      <c r="D1289" s="88" t="s">
        <v>3224</v>
      </c>
      <c r="E1289" s="43">
        <v>22936000</v>
      </c>
      <c r="F1289" s="44">
        <f t="shared" si="64"/>
        <v>1834880</v>
      </c>
      <c r="G1289" s="45">
        <f t="shared" si="65"/>
        <v>24770880</v>
      </c>
      <c r="H1289" s="46">
        <v>24770880</v>
      </c>
      <c r="I1289" s="47">
        <f t="shared" ref="I1289:I1344" si="66">G1289-H1289</f>
        <v>0</v>
      </c>
      <c r="J1289" s="48">
        <v>46006</v>
      </c>
      <c r="K1289" s="49"/>
      <c r="L1289" s="50" t="s">
        <v>3435</v>
      </c>
    </row>
    <row r="1290" spans="1:12" ht="15" customHeight="1" x14ac:dyDescent="0.35">
      <c r="A1290" s="85" t="s">
        <v>123</v>
      </c>
      <c r="B1290" s="86" t="s">
        <v>3143</v>
      </c>
      <c r="C1290" s="87"/>
      <c r="D1290" s="88" t="s">
        <v>3224</v>
      </c>
      <c r="E1290" s="43">
        <v>8040000</v>
      </c>
      <c r="F1290" s="44">
        <f t="shared" ref="F1290:F1345" si="67">+E1290*0.08</f>
        <v>643200</v>
      </c>
      <c r="G1290" s="45">
        <f t="shared" ref="G1290:G1345" si="68">E1290+F1290</f>
        <v>8683200</v>
      </c>
      <c r="H1290" s="46">
        <v>8683200</v>
      </c>
      <c r="I1290" s="47">
        <f t="shared" si="66"/>
        <v>0</v>
      </c>
      <c r="J1290" s="48">
        <v>46006</v>
      </c>
      <c r="K1290" s="49"/>
      <c r="L1290" s="50" t="s">
        <v>3436</v>
      </c>
    </row>
    <row r="1291" spans="1:12" ht="15" customHeight="1" x14ac:dyDescent="0.35">
      <c r="A1291" s="85" t="s">
        <v>29</v>
      </c>
      <c r="B1291" s="86" t="s">
        <v>3144</v>
      </c>
      <c r="C1291" s="87"/>
      <c r="D1291" s="88" t="s">
        <v>3224</v>
      </c>
      <c r="E1291" s="43">
        <v>1920000</v>
      </c>
      <c r="F1291" s="44">
        <f t="shared" si="67"/>
        <v>153600</v>
      </c>
      <c r="G1291" s="45">
        <f t="shared" si="68"/>
        <v>2073600</v>
      </c>
      <c r="H1291" s="46">
        <v>2073600</v>
      </c>
      <c r="I1291" s="47">
        <f t="shared" si="66"/>
        <v>0</v>
      </c>
      <c r="J1291" s="48">
        <v>46006</v>
      </c>
      <c r="K1291" s="49"/>
      <c r="L1291" s="50" t="s">
        <v>3437</v>
      </c>
    </row>
    <row r="1292" spans="1:12" ht="15" customHeight="1" x14ac:dyDescent="0.35">
      <c r="A1292" s="85" t="s">
        <v>29</v>
      </c>
      <c r="B1292" s="86" t="s">
        <v>3145</v>
      </c>
      <c r="C1292" s="87"/>
      <c r="D1292" s="88" t="s">
        <v>3224</v>
      </c>
      <c r="E1292" s="43">
        <v>640000</v>
      </c>
      <c r="F1292" s="44">
        <f t="shared" si="67"/>
        <v>51200</v>
      </c>
      <c r="G1292" s="45">
        <f t="shared" si="68"/>
        <v>691200</v>
      </c>
      <c r="H1292" s="46">
        <v>691200</v>
      </c>
      <c r="I1292" s="47">
        <f t="shared" si="66"/>
        <v>0</v>
      </c>
      <c r="J1292" s="48">
        <v>46006</v>
      </c>
      <c r="K1292" s="49"/>
      <c r="L1292" s="50" t="s">
        <v>3438</v>
      </c>
    </row>
    <row r="1293" spans="1:12" ht="15" customHeight="1" x14ac:dyDescent="0.35">
      <c r="A1293" s="85" t="s">
        <v>56</v>
      </c>
      <c r="B1293" s="86" t="s">
        <v>3146</v>
      </c>
      <c r="C1293" s="87"/>
      <c r="D1293" s="88" t="s">
        <v>3224</v>
      </c>
      <c r="E1293" s="43">
        <v>4120000</v>
      </c>
      <c r="F1293" s="44">
        <f t="shared" si="67"/>
        <v>329600</v>
      </c>
      <c r="G1293" s="45">
        <f t="shared" si="68"/>
        <v>4449600</v>
      </c>
      <c r="H1293" s="46">
        <v>4449600</v>
      </c>
      <c r="I1293" s="47">
        <f t="shared" si="66"/>
        <v>0</v>
      </c>
      <c r="J1293" s="48">
        <v>46006</v>
      </c>
      <c r="K1293" s="49"/>
      <c r="L1293" s="50" t="s">
        <v>3439</v>
      </c>
    </row>
    <row r="1294" spans="1:12" ht="15" customHeight="1" x14ac:dyDescent="0.35">
      <c r="A1294" s="85" t="s">
        <v>3227</v>
      </c>
      <c r="B1294" s="86" t="s">
        <v>3147</v>
      </c>
      <c r="C1294" s="87"/>
      <c r="D1294" s="88" t="s">
        <v>3224</v>
      </c>
      <c r="E1294" s="43">
        <v>640000</v>
      </c>
      <c r="F1294" s="44">
        <f t="shared" si="67"/>
        <v>51200</v>
      </c>
      <c r="G1294" s="45">
        <f t="shared" si="68"/>
        <v>691200</v>
      </c>
      <c r="H1294" s="46">
        <v>691200</v>
      </c>
      <c r="I1294" s="47">
        <f t="shared" si="66"/>
        <v>0</v>
      </c>
      <c r="J1294" s="48">
        <v>46006</v>
      </c>
      <c r="K1294" s="49"/>
      <c r="L1294" s="50" t="s">
        <v>3440</v>
      </c>
    </row>
    <row r="1295" spans="1:12" ht="15" customHeight="1" x14ac:dyDescent="0.35">
      <c r="A1295" s="85" t="s">
        <v>37</v>
      </c>
      <c r="B1295" s="86" t="s">
        <v>2585</v>
      </c>
      <c r="C1295" s="87"/>
      <c r="D1295" s="88" t="s">
        <v>3224</v>
      </c>
      <c r="E1295" s="43">
        <v>25840000</v>
      </c>
      <c r="F1295" s="44">
        <f t="shared" si="67"/>
        <v>2067200</v>
      </c>
      <c r="G1295" s="45">
        <f t="shared" si="68"/>
        <v>27907200</v>
      </c>
      <c r="H1295" s="46">
        <v>27907200</v>
      </c>
      <c r="I1295" s="47">
        <f t="shared" si="66"/>
        <v>0</v>
      </c>
      <c r="J1295" s="48">
        <v>46006</v>
      </c>
      <c r="K1295" s="49"/>
      <c r="L1295" s="50" t="s">
        <v>3441</v>
      </c>
    </row>
    <row r="1296" spans="1:12" ht="15" customHeight="1" x14ac:dyDescent="0.35">
      <c r="A1296" s="85" t="s">
        <v>33</v>
      </c>
      <c r="B1296" s="86" t="s">
        <v>3148</v>
      </c>
      <c r="C1296" s="87"/>
      <c r="D1296" s="88" t="s">
        <v>3224</v>
      </c>
      <c r="E1296" s="43">
        <v>16510000</v>
      </c>
      <c r="F1296" s="44">
        <f t="shared" si="67"/>
        <v>1320800</v>
      </c>
      <c r="G1296" s="45">
        <f t="shared" si="68"/>
        <v>17830800</v>
      </c>
      <c r="H1296" s="46">
        <v>17830800</v>
      </c>
      <c r="I1296" s="47">
        <f t="shared" si="66"/>
        <v>0</v>
      </c>
      <c r="J1296" s="48">
        <v>46006</v>
      </c>
      <c r="K1296" s="49"/>
      <c r="L1296" s="50" t="s">
        <v>3442</v>
      </c>
    </row>
    <row r="1297" spans="1:12" ht="15" customHeight="1" x14ac:dyDescent="0.35">
      <c r="A1297" s="85" t="s">
        <v>37</v>
      </c>
      <c r="B1297" s="86" t="s">
        <v>3149</v>
      </c>
      <c r="C1297" s="87"/>
      <c r="D1297" s="88" t="s">
        <v>3224</v>
      </c>
      <c r="E1297" s="43">
        <v>31080000</v>
      </c>
      <c r="F1297" s="44">
        <f t="shared" si="67"/>
        <v>2486400</v>
      </c>
      <c r="G1297" s="45">
        <f t="shared" si="68"/>
        <v>33566400</v>
      </c>
      <c r="H1297" s="46">
        <v>33566400</v>
      </c>
      <c r="I1297" s="47">
        <f t="shared" si="66"/>
        <v>0</v>
      </c>
      <c r="J1297" s="48">
        <v>46006</v>
      </c>
      <c r="K1297" s="49"/>
      <c r="L1297" s="50" t="s">
        <v>3443</v>
      </c>
    </row>
    <row r="1298" spans="1:12" ht="15" customHeight="1" x14ac:dyDescent="0.35">
      <c r="A1298" s="85" t="s">
        <v>29</v>
      </c>
      <c r="B1298" s="86" t="s">
        <v>3150</v>
      </c>
      <c r="C1298" s="87"/>
      <c r="D1298" s="88" t="s">
        <v>3225</v>
      </c>
      <c r="E1298" s="43">
        <v>11728000</v>
      </c>
      <c r="F1298" s="44">
        <f t="shared" si="67"/>
        <v>938240</v>
      </c>
      <c r="G1298" s="45">
        <f t="shared" si="68"/>
        <v>12666240</v>
      </c>
      <c r="H1298" s="46">
        <v>12666240</v>
      </c>
      <c r="I1298" s="47">
        <f t="shared" si="66"/>
        <v>0</v>
      </c>
      <c r="J1298" s="48"/>
      <c r="K1298" s="49">
        <v>46106</v>
      </c>
      <c r="L1298" s="50" t="s">
        <v>3444</v>
      </c>
    </row>
    <row r="1299" spans="1:12" ht="15" customHeight="1" x14ac:dyDescent="0.35">
      <c r="A1299" s="85" t="s">
        <v>29</v>
      </c>
      <c r="B1299" s="86" t="s">
        <v>3151</v>
      </c>
      <c r="C1299" s="87"/>
      <c r="D1299" s="88" t="s">
        <v>3225</v>
      </c>
      <c r="E1299" s="43">
        <v>5580000</v>
      </c>
      <c r="F1299" s="44">
        <f t="shared" si="67"/>
        <v>446400</v>
      </c>
      <c r="G1299" s="45">
        <f t="shared" si="68"/>
        <v>6026400</v>
      </c>
      <c r="H1299" s="46">
        <v>6026400</v>
      </c>
      <c r="I1299" s="47">
        <f t="shared" si="66"/>
        <v>0</v>
      </c>
      <c r="J1299" s="48"/>
      <c r="K1299" s="49">
        <v>46106</v>
      </c>
      <c r="L1299" s="50" t="s">
        <v>3445</v>
      </c>
    </row>
    <row r="1300" spans="1:12" ht="15" customHeight="1" x14ac:dyDescent="0.35">
      <c r="A1300" s="85" t="s">
        <v>85</v>
      </c>
      <c r="B1300" s="86" t="s">
        <v>3152</v>
      </c>
      <c r="C1300" s="87"/>
      <c r="D1300" s="88" t="s">
        <v>3225</v>
      </c>
      <c r="E1300" s="43">
        <v>8525000</v>
      </c>
      <c r="F1300" s="44">
        <f t="shared" si="67"/>
        <v>682000</v>
      </c>
      <c r="G1300" s="45">
        <f t="shared" si="68"/>
        <v>9207000</v>
      </c>
      <c r="H1300" s="46">
        <v>9207000</v>
      </c>
      <c r="I1300" s="47">
        <f t="shared" si="66"/>
        <v>0</v>
      </c>
      <c r="J1300" s="48"/>
      <c r="K1300" s="49">
        <v>46106</v>
      </c>
      <c r="L1300" s="50" t="s">
        <v>3446</v>
      </c>
    </row>
    <row r="1301" spans="1:12" ht="15" customHeight="1" x14ac:dyDescent="0.35">
      <c r="A1301" s="85" t="s">
        <v>123</v>
      </c>
      <c r="B1301" s="86" t="s">
        <v>3153</v>
      </c>
      <c r="C1301" s="87"/>
      <c r="D1301" s="88" t="s">
        <v>3225</v>
      </c>
      <c r="E1301" s="43">
        <v>5920000</v>
      </c>
      <c r="F1301" s="44">
        <f t="shared" si="67"/>
        <v>473600</v>
      </c>
      <c r="G1301" s="45">
        <f t="shared" si="68"/>
        <v>6393600</v>
      </c>
      <c r="H1301" s="46">
        <v>6393600</v>
      </c>
      <c r="I1301" s="47">
        <f t="shared" si="66"/>
        <v>0</v>
      </c>
      <c r="J1301" s="48"/>
      <c r="K1301" s="49">
        <v>46106</v>
      </c>
      <c r="L1301" s="50" t="s">
        <v>3447</v>
      </c>
    </row>
    <row r="1302" spans="1:12" ht="15" customHeight="1" x14ac:dyDescent="0.35">
      <c r="A1302" s="85" t="s">
        <v>56</v>
      </c>
      <c r="B1302" s="86" t="s">
        <v>3154</v>
      </c>
      <c r="C1302" s="87"/>
      <c r="D1302" s="88" t="s">
        <v>3225</v>
      </c>
      <c r="E1302" s="43">
        <v>2560000</v>
      </c>
      <c r="F1302" s="44">
        <f t="shared" si="67"/>
        <v>204800</v>
      </c>
      <c r="G1302" s="45">
        <f t="shared" si="68"/>
        <v>2764800</v>
      </c>
      <c r="H1302" s="46">
        <v>2764800</v>
      </c>
      <c r="I1302" s="47">
        <f t="shared" si="66"/>
        <v>0</v>
      </c>
      <c r="J1302" s="48"/>
      <c r="K1302" s="49">
        <v>46106</v>
      </c>
      <c r="L1302" s="50" t="s">
        <v>3448</v>
      </c>
    </row>
    <row r="1303" spans="1:12" ht="15" customHeight="1" x14ac:dyDescent="0.35">
      <c r="A1303" s="85" t="s">
        <v>37</v>
      </c>
      <c r="B1303" s="86" t="s">
        <v>3155</v>
      </c>
      <c r="C1303" s="87"/>
      <c r="D1303" s="88" t="s">
        <v>3225</v>
      </c>
      <c r="E1303" s="43">
        <v>9551000</v>
      </c>
      <c r="F1303" s="44">
        <f t="shared" si="67"/>
        <v>764080</v>
      </c>
      <c r="G1303" s="45">
        <f t="shared" si="68"/>
        <v>10315080</v>
      </c>
      <c r="H1303" s="46">
        <v>10315080</v>
      </c>
      <c r="I1303" s="47">
        <f t="shared" si="66"/>
        <v>0</v>
      </c>
      <c r="J1303" s="48"/>
      <c r="K1303" s="49">
        <v>46106</v>
      </c>
      <c r="L1303" s="50" t="s">
        <v>3449</v>
      </c>
    </row>
    <row r="1304" spans="1:12" ht="15" customHeight="1" x14ac:dyDescent="0.35">
      <c r="A1304" s="85" t="s">
        <v>33</v>
      </c>
      <c r="B1304" s="86" t="s">
        <v>3156</v>
      </c>
      <c r="C1304" s="87"/>
      <c r="D1304" s="88" t="s">
        <v>3225</v>
      </c>
      <c r="E1304" s="43">
        <v>7424000</v>
      </c>
      <c r="F1304" s="44">
        <f t="shared" si="67"/>
        <v>593920</v>
      </c>
      <c r="G1304" s="45">
        <f t="shared" si="68"/>
        <v>8017920</v>
      </c>
      <c r="H1304" s="46">
        <v>8017920</v>
      </c>
      <c r="I1304" s="47">
        <f t="shared" si="66"/>
        <v>0</v>
      </c>
      <c r="J1304" s="48"/>
      <c r="K1304" s="49">
        <v>46106</v>
      </c>
      <c r="L1304" s="50" t="s">
        <v>3450</v>
      </c>
    </row>
    <row r="1305" spans="1:12" ht="15" customHeight="1" x14ac:dyDescent="0.35">
      <c r="A1305" s="85" t="s">
        <v>33</v>
      </c>
      <c r="B1305" s="86" t="s">
        <v>3157</v>
      </c>
      <c r="C1305" s="87"/>
      <c r="D1305" s="88" t="s">
        <v>3225</v>
      </c>
      <c r="E1305" s="43">
        <v>19696500</v>
      </c>
      <c r="F1305" s="44">
        <f t="shared" si="67"/>
        <v>1575720</v>
      </c>
      <c r="G1305" s="45">
        <f t="shared" si="68"/>
        <v>21272220</v>
      </c>
      <c r="H1305" s="46">
        <v>21272220</v>
      </c>
      <c r="I1305" s="47">
        <f t="shared" si="66"/>
        <v>0</v>
      </c>
      <c r="J1305" s="48"/>
      <c r="K1305" s="49">
        <v>46106</v>
      </c>
      <c r="L1305" s="50" t="s">
        <v>3451</v>
      </c>
    </row>
    <row r="1306" spans="1:12" ht="15" customHeight="1" x14ac:dyDescent="0.35">
      <c r="A1306" s="85" t="s">
        <v>3227</v>
      </c>
      <c r="B1306" s="86" t="s">
        <v>3158</v>
      </c>
      <c r="C1306" s="87"/>
      <c r="D1306" s="88" t="s">
        <v>3225</v>
      </c>
      <c r="E1306" s="43">
        <v>14175000</v>
      </c>
      <c r="F1306" s="44">
        <f t="shared" si="67"/>
        <v>1134000</v>
      </c>
      <c r="G1306" s="45">
        <f t="shared" si="68"/>
        <v>15309000</v>
      </c>
      <c r="H1306" s="46">
        <v>15309000</v>
      </c>
      <c r="I1306" s="47">
        <f t="shared" si="66"/>
        <v>0</v>
      </c>
      <c r="J1306" s="48"/>
      <c r="K1306" s="49">
        <v>46106</v>
      </c>
      <c r="L1306" s="50" t="s">
        <v>3452</v>
      </c>
    </row>
    <row r="1307" spans="1:12" ht="15" customHeight="1" x14ac:dyDescent="0.35">
      <c r="A1307" s="85" t="s">
        <v>29</v>
      </c>
      <c r="B1307" s="86" t="s">
        <v>3159</v>
      </c>
      <c r="C1307" s="87"/>
      <c r="D1307" s="88" t="s">
        <v>3225</v>
      </c>
      <c r="E1307" s="43">
        <v>53865000</v>
      </c>
      <c r="F1307" s="44">
        <f t="shared" si="67"/>
        <v>4309200</v>
      </c>
      <c r="G1307" s="45">
        <f t="shared" si="68"/>
        <v>58174200</v>
      </c>
      <c r="H1307" s="46">
        <v>58174200</v>
      </c>
      <c r="I1307" s="47">
        <f t="shared" si="66"/>
        <v>0</v>
      </c>
      <c r="J1307" s="48"/>
      <c r="K1307" s="49">
        <v>46106</v>
      </c>
      <c r="L1307" s="50" t="s">
        <v>3453</v>
      </c>
    </row>
    <row r="1308" spans="1:12" ht="15" customHeight="1" x14ac:dyDescent="0.35">
      <c r="A1308" s="85" t="s">
        <v>56</v>
      </c>
      <c r="B1308" s="86" t="s">
        <v>3160</v>
      </c>
      <c r="C1308" s="87"/>
      <c r="D1308" s="88" t="s">
        <v>3225</v>
      </c>
      <c r="E1308" s="43">
        <v>480000</v>
      </c>
      <c r="F1308" s="44">
        <f t="shared" si="67"/>
        <v>38400</v>
      </c>
      <c r="G1308" s="45">
        <f t="shared" si="68"/>
        <v>518400</v>
      </c>
      <c r="H1308" s="46">
        <v>518400</v>
      </c>
      <c r="I1308" s="47">
        <f t="shared" si="66"/>
        <v>0</v>
      </c>
      <c r="J1308" s="48"/>
      <c r="K1308" s="49">
        <v>46106</v>
      </c>
      <c r="L1308" s="50" t="s">
        <v>3454</v>
      </c>
    </row>
    <row r="1309" spans="1:12" ht="15" customHeight="1" x14ac:dyDescent="0.35">
      <c r="A1309" s="85" t="s">
        <v>123</v>
      </c>
      <c r="B1309" s="86" t="s">
        <v>3161</v>
      </c>
      <c r="C1309" s="87"/>
      <c r="D1309" s="88" t="s">
        <v>3225</v>
      </c>
      <c r="E1309" s="43">
        <v>480000</v>
      </c>
      <c r="F1309" s="44">
        <f t="shared" si="67"/>
        <v>38400</v>
      </c>
      <c r="G1309" s="45">
        <f t="shared" si="68"/>
        <v>518400</v>
      </c>
      <c r="H1309" s="46">
        <v>518400</v>
      </c>
      <c r="I1309" s="47">
        <f t="shared" si="66"/>
        <v>0</v>
      </c>
      <c r="J1309" s="48"/>
      <c r="K1309" s="49">
        <v>46106</v>
      </c>
      <c r="L1309" s="50" t="s">
        <v>3455</v>
      </c>
    </row>
    <row r="1310" spans="1:12" ht="15" customHeight="1" x14ac:dyDescent="0.35">
      <c r="A1310" s="85" t="s">
        <v>37</v>
      </c>
      <c r="B1310" s="86" t="s">
        <v>3162</v>
      </c>
      <c r="C1310" s="87"/>
      <c r="D1310" s="88" t="s">
        <v>3225</v>
      </c>
      <c r="E1310" s="43">
        <v>5620000</v>
      </c>
      <c r="F1310" s="44">
        <f t="shared" si="67"/>
        <v>449600</v>
      </c>
      <c r="G1310" s="45">
        <f t="shared" si="68"/>
        <v>6069600</v>
      </c>
      <c r="H1310" s="46">
        <v>6069600</v>
      </c>
      <c r="I1310" s="47">
        <f t="shared" si="66"/>
        <v>0</v>
      </c>
      <c r="J1310" s="48"/>
      <c r="K1310" s="49">
        <v>46106</v>
      </c>
      <c r="L1310" s="50" t="s">
        <v>3456</v>
      </c>
    </row>
    <row r="1311" spans="1:12" ht="15" customHeight="1" x14ac:dyDescent="0.35">
      <c r="A1311" s="85" t="s">
        <v>56</v>
      </c>
      <c r="B1311" s="86" t="s">
        <v>3163</v>
      </c>
      <c r="C1311" s="87"/>
      <c r="D1311" s="88" t="s">
        <v>3225</v>
      </c>
      <c r="E1311" s="43">
        <v>4200000</v>
      </c>
      <c r="F1311" s="44">
        <f t="shared" si="67"/>
        <v>336000</v>
      </c>
      <c r="G1311" s="45">
        <f t="shared" si="68"/>
        <v>4536000</v>
      </c>
      <c r="H1311" s="46">
        <v>4536000</v>
      </c>
      <c r="I1311" s="47">
        <f t="shared" si="66"/>
        <v>0</v>
      </c>
      <c r="J1311" s="48"/>
      <c r="K1311" s="49">
        <v>46106</v>
      </c>
      <c r="L1311" s="50" t="s">
        <v>3457</v>
      </c>
    </row>
    <row r="1312" spans="1:12" ht="15" customHeight="1" x14ac:dyDescent="0.35">
      <c r="A1312" s="85" t="s">
        <v>85</v>
      </c>
      <c r="B1312" s="86" t="s">
        <v>3164</v>
      </c>
      <c r="C1312" s="87"/>
      <c r="D1312" s="88" t="s">
        <v>3225</v>
      </c>
      <c r="E1312" s="43">
        <v>2062000</v>
      </c>
      <c r="F1312" s="44">
        <f t="shared" si="67"/>
        <v>164960</v>
      </c>
      <c r="G1312" s="45">
        <f t="shared" si="68"/>
        <v>2226960</v>
      </c>
      <c r="H1312" s="46">
        <v>2226960</v>
      </c>
      <c r="I1312" s="47">
        <f t="shared" si="66"/>
        <v>0</v>
      </c>
      <c r="J1312" s="48"/>
      <c r="K1312" s="49">
        <v>46106</v>
      </c>
      <c r="L1312" s="50" t="s">
        <v>3458</v>
      </c>
    </row>
    <row r="1313" spans="1:12" ht="15" customHeight="1" x14ac:dyDescent="0.35">
      <c r="A1313" s="85" t="s">
        <v>123</v>
      </c>
      <c r="B1313" s="86" t="s">
        <v>3165</v>
      </c>
      <c r="C1313" s="87"/>
      <c r="D1313" s="88" t="s">
        <v>3225</v>
      </c>
      <c r="E1313" s="43">
        <v>960000</v>
      </c>
      <c r="F1313" s="44">
        <f t="shared" si="67"/>
        <v>76800</v>
      </c>
      <c r="G1313" s="45">
        <f t="shared" si="68"/>
        <v>1036800</v>
      </c>
      <c r="H1313" s="46">
        <v>1036800</v>
      </c>
      <c r="I1313" s="47">
        <f t="shared" si="66"/>
        <v>0</v>
      </c>
      <c r="J1313" s="48"/>
      <c r="K1313" s="49">
        <v>46106</v>
      </c>
      <c r="L1313" s="50" t="s">
        <v>3459</v>
      </c>
    </row>
    <row r="1314" spans="1:12" ht="15" customHeight="1" x14ac:dyDescent="0.35">
      <c r="A1314" s="85" t="s">
        <v>3227</v>
      </c>
      <c r="B1314" s="86" t="s">
        <v>3166</v>
      </c>
      <c r="C1314" s="87"/>
      <c r="D1314" s="88" t="s">
        <v>3225</v>
      </c>
      <c r="E1314" s="43">
        <v>1024000</v>
      </c>
      <c r="F1314" s="44">
        <f t="shared" si="67"/>
        <v>81920</v>
      </c>
      <c r="G1314" s="45">
        <f t="shared" si="68"/>
        <v>1105920</v>
      </c>
      <c r="H1314" s="46">
        <v>1105920</v>
      </c>
      <c r="I1314" s="47">
        <f t="shared" si="66"/>
        <v>0</v>
      </c>
      <c r="J1314" s="48"/>
      <c r="K1314" s="49">
        <v>46106</v>
      </c>
      <c r="L1314" s="50" t="s">
        <v>3460</v>
      </c>
    </row>
    <row r="1315" spans="1:12" ht="15" customHeight="1" x14ac:dyDescent="0.35">
      <c r="A1315" s="85" t="s">
        <v>29</v>
      </c>
      <c r="B1315" s="86" t="s">
        <v>3167</v>
      </c>
      <c r="C1315" s="87"/>
      <c r="D1315" s="88" t="s">
        <v>3225</v>
      </c>
      <c r="E1315" s="43">
        <v>15849000</v>
      </c>
      <c r="F1315" s="44">
        <f t="shared" si="67"/>
        <v>1267920</v>
      </c>
      <c r="G1315" s="45">
        <f t="shared" si="68"/>
        <v>17116920</v>
      </c>
      <c r="H1315" s="46">
        <v>17116920</v>
      </c>
      <c r="I1315" s="47">
        <f t="shared" si="66"/>
        <v>0</v>
      </c>
      <c r="J1315" s="48"/>
      <c r="K1315" s="49">
        <v>46106</v>
      </c>
      <c r="L1315" s="50" t="s">
        <v>3461</v>
      </c>
    </row>
    <row r="1316" spans="1:12" ht="15" customHeight="1" x14ac:dyDescent="0.35">
      <c r="A1316" s="85" t="s">
        <v>33</v>
      </c>
      <c r="B1316" s="86" t="s">
        <v>3168</v>
      </c>
      <c r="C1316" s="87"/>
      <c r="D1316" s="88" t="s">
        <v>3225</v>
      </c>
      <c r="E1316" s="43">
        <v>30243000</v>
      </c>
      <c r="F1316" s="44">
        <f t="shared" si="67"/>
        <v>2419440</v>
      </c>
      <c r="G1316" s="45">
        <f t="shared" si="68"/>
        <v>32662440</v>
      </c>
      <c r="H1316" s="46">
        <v>32662440</v>
      </c>
      <c r="I1316" s="47">
        <f t="shared" si="66"/>
        <v>0</v>
      </c>
      <c r="J1316" s="48"/>
      <c r="K1316" s="49">
        <v>46106</v>
      </c>
      <c r="L1316" s="50" t="s">
        <v>3462</v>
      </c>
    </row>
    <row r="1317" spans="1:12" ht="15" customHeight="1" x14ac:dyDescent="0.35">
      <c r="A1317" s="85" t="s">
        <v>29</v>
      </c>
      <c r="B1317" s="86" t="s">
        <v>3169</v>
      </c>
      <c r="C1317" s="87"/>
      <c r="D1317" s="88" t="s">
        <v>3225</v>
      </c>
      <c r="E1317" s="43">
        <v>1680000</v>
      </c>
      <c r="F1317" s="44">
        <f t="shared" si="67"/>
        <v>134400</v>
      </c>
      <c r="G1317" s="45">
        <f t="shared" si="68"/>
        <v>1814400</v>
      </c>
      <c r="H1317" s="46">
        <v>1814400</v>
      </c>
      <c r="I1317" s="47">
        <f t="shared" si="66"/>
        <v>0</v>
      </c>
      <c r="J1317" s="48"/>
      <c r="K1317" s="49">
        <v>46106</v>
      </c>
      <c r="L1317" s="50" t="s">
        <v>3463</v>
      </c>
    </row>
    <row r="1318" spans="1:12" ht="15" customHeight="1" x14ac:dyDescent="0.35">
      <c r="A1318" s="85" t="s">
        <v>123</v>
      </c>
      <c r="B1318" s="86" t="s">
        <v>3170</v>
      </c>
      <c r="C1318" s="87"/>
      <c r="D1318" s="88" t="s">
        <v>3225</v>
      </c>
      <c r="E1318" s="43">
        <v>14760000</v>
      </c>
      <c r="F1318" s="44">
        <f t="shared" si="67"/>
        <v>1180800</v>
      </c>
      <c r="G1318" s="45">
        <f t="shared" si="68"/>
        <v>15940800</v>
      </c>
      <c r="H1318" s="46">
        <v>15940800</v>
      </c>
      <c r="I1318" s="47">
        <f t="shared" si="66"/>
        <v>0</v>
      </c>
      <c r="J1318" s="48"/>
      <c r="K1318" s="49">
        <v>46106</v>
      </c>
      <c r="L1318" s="50" t="s">
        <v>3464</v>
      </c>
    </row>
    <row r="1319" spans="1:12" ht="15" customHeight="1" x14ac:dyDescent="0.35">
      <c r="A1319" s="85" t="s">
        <v>37</v>
      </c>
      <c r="B1319" s="86" t="s">
        <v>3171</v>
      </c>
      <c r="C1319" s="87"/>
      <c r="D1319" s="88" t="s">
        <v>3225</v>
      </c>
      <c r="E1319" s="43">
        <v>3240000</v>
      </c>
      <c r="F1319" s="44">
        <f t="shared" si="67"/>
        <v>259200</v>
      </c>
      <c r="G1319" s="45">
        <f t="shared" si="68"/>
        <v>3499200</v>
      </c>
      <c r="H1319" s="46">
        <v>3499200</v>
      </c>
      <c r="I1319" s="47">
        <f t="shared" si="66"/>
        <v>0</v>
      </c>
      <c r="J1319" s="48"/>
      <c r="K1319" s="49">
        <v>46106</v>
      </c>
      <c r="L1319" s="50" t="s">
        <v>3465</v>
      </c>
    </row>
    <row r="1320" spans="1:12" ht="15" customHeight="1" x14ac:dyDescent="0.35">
      <c r="A1320" s="85" t="s">
        <v>56</v>
      </c>
      <c r="B1320" s="86" t="s">
        <v>3172</v>
      </c>
      <c r="C1320" s="87"/>
      <c r="D1320" s="88" t="s">
        <v>3225</v>
      </c>
      <c r="E1320" s="43">
        <v>1215000</v>
      </c>
      <c r="F1320" s="44">
        <f t="shared" si="67"/>
        <v>97200</v>
      </c>
      <c r="G1320" s="45">
        <f t="shared" si="68"/>
        <v>1312200</v>
      </c>
      <c r="H1320" s="46">
        <v>1312200</v>
      </c>
      <c r="I1320" s="47">
        <f t="shared" si="66"/>
        <v>0</v>
      </c>
      <c r="J1320" s="48"/>
      <c r="K1320" s="49">
        <v>46106</v>
      </c>
      <c r="L1320" s="50" t="s">
        <v>3466</v>
      </c>
    </row>
    <row r="1321" spans="1:12" ht="15" customHeight="1" x14ac:dyDescent="0.35">
      <c r="A1321" s="85" t="s">
        <v>56</v>
      </c>
      <c r="B1321" s="86" t="s">
        <v>3173</v>
      </c>
      <c r="C1321" s="87"/>
      <c r="D1321" s="88" t="s">
        <v>3225</v>
      </c>
      <c r="E1321" s="43">
        <v>5216000</v>
      </c>
      <c r="F1321" s="44">
        <f t="shared" si="67"/>
        <v>417280</v>
      </c>
      <c r="G1321" s="45">
        <f t="shared" si="68"/>
        <v>5633280</v>
      </c>
      <c r="H1321" s="46">
        <v>5633280</v>
      </c>
      <c r="I1321" s="47">
        <f t="shared" si="66"/>
        <v>0</v>
      </c>
      <c r="J1321" s="48"/>
      <c r="K1321" s="49">
        <v>46106</v>
      </c>
      <c r="L1321" s="50" t="s">
        <v>3467</v>
      </c>
    </row>
    <row r="1322" spans="1:12" ht="15" customHeight="1" x14ac:dyDescent="0.35">
      <c r="A1322" s="85" t="s">
        <v>85</v>
      </c>
      <c r="B1322" s="86" t="s">
        <v>3174</v>
      </c>
      <c r="C1322" s="87"/>
      <c r="D1322" s="88" t="s">
        <v>3225</v>
      </c>
      <c r="E1322" s="43">
        <v>4080000</v>
      </c>
      <c r="F1322" s="44">
        <f t="shared" si="67"/>
        <v>326400</v>
      </c>
      <c r="G1322" s="45">
        <f t="shared" si="68"/>
        <v>4406400</v>
      </c>
      <c r="H1322" s="46">
        <v>4406400</v>
      </c>
      <c r="I1322" s="47">
        <f t="shared" si="66"/>
        <v>0</v>
      </c>
      <c r="J1322" s="48"/>
      <c r="K1322" s="49">
        <v>46106</v>
      </c>
      <c r="L1322" s="50" t="s">
        <v>3468</v>
      </c>
    </row>
    <row r="1323" spans="1:12" ht="15" customHeight="1" x14ac:dyDescent="0.35">
      <c r="A1323" s="85" t="s">
        <v>85</v>
      </c>
      <c r="B1323" s="86" t="s">
        <v>3175</v>
      </c>
      <c r="C1323" s="87"/>
      <c r="D1323" s="88" t="s">
        <v>3225</v>
      </c>
      <c r="E1323" s="43">
        <v>480000</v>
      </c>
      <c r="F1323" s="44">
        <f t="shared" si="67"/>
        <v>38400</v>
      </c>
      <c r="G1323" s="45">
        <f t="shared" si="68"/>
        <v>518400</v>
      </c>
      <c r="H1323" s="46">
        <v>518400</v>
      </c>
      <c r="I1323" s="47">
        <f t="shared" si="66"/>
        <v>0</v>
      </c>
      <c r="J1323" s="48"/>
      <c r="K1323" s="49">
        <v>46106</v>
      </c>
      <c r="L1323" s="50" t="s">
        <v>3469</v>
      </c>
    </row>
    <row r="1324" spans="1:12" ht="15" customHeight="1" x14ac:dyDescent="0.35">
      <c r="A1324" s="85" t="s">
        <v>85</v>
      </c>
      <c r="B1324" s="86" t="s">
        <v>3176</v>
      </c>
      <c r="C1324" s="87"/>
      <c r="D1324" s="88" t="s">
        <v>3225</v>
      </c>
      <c r="E1324" s="43">
        <v>2308500</v>
      </c>
      <c r="F1324" s="44">
        <f t="shared" si="67"/>
        <v>184680</v>
      </c>
      <c r="G1324" s="45">
        <f t="shared" si="68"/>
        <v>2493180</v>
      </c>
      <c r="H1324" s="46">
        <v>2493180</v>
      </c>
      <c r="I1324" s="47">
        <f t="shared" si="66"/>
        <v>0</v>
      </c>
      <c r="J1324" s="48"/>
      <c r="K1324" s="49">
        <v>46106</v>
      </c>
      <c r="L1324" s="50" t="s">
        <v>3470</v>
      </c>
    </row>
    <row r="1325" spans="1:12" ht="15" customHeight="1" x14ac:dyDescent="0.35">
      <c r="A1325" s="85" t="s">
        <v>85</v>
      </c>
      <c r="B1325" s="86" t="s">
        <v>3177</v>
      </c>
      <c r="C1325" s="87"/>
      <c r="D1325" s="88" t="s">
        <v>3226</v>
      </c>
      <c r="E1325" s="43">
        <v>340200</v>
      </c>
      <c r="F1325" s="44">
        <f t="shared" si="67"/>
        <v>27216</v>
      </c>
      <c r="G1325" s="45">
        <f t="shared" si="68"/>
        <v>367416</v>
      </c>
      <c r="H1325" s="46">
        <v>367416</v>
      </c>
      <c r="I1325" s="47">
        <f t="shared" si="66"/>
        <v>0</v>
      </c>
      <c r="J1325" s="48"/>
      <c r="K1325" s="49">
        <v>46106</v>
      </c>
      <c r="L1325" s="50" t="s">
        <v>3471</v>
      </c>
    </row>
    <row r="1326" spans="1:12" ht="15" customHeight="1" x14ac:dyDescent="0.35">
      <c r="A1326" s="85" t="s">
        <v>29</v>
      </c>
      <c r="B1326" s="86" t="s">
        <v>3178</v>
      </c>
      <c r="C1326" s="87"/>
      <c r="D1326" s="88" t="s">
        <v>3226</v>
      </c>
      <c r="E1326" s="43">
        <v>576000</v>
      </c>
      <c r="F1326" s="44">
        <f t="shared" si="67"/>
        <v>46080</v>
      </c>
      <c r="G1326" s="45">
        <f t="shared" si="68"/>
        <v>622080</v>
      </c>
      <c r="H1326" s="46">
        <v>622080</v>
      </c>
      <c r="I1326" s="47">
        <f t="shared" si="66"/>
        <v>0</v>
      </c>
      <c r="J1326" s="48"/>
      <c r="K1326" s="49">
        <v>46106</v>
      </c>
      <c r="L1326" s="50" t="s">
        <v>3472</v>
      </c>
    </row>
    <row r="1327" spans="1:12" ht="15" customHeight="1" x14ac:dyDescent="0.35">
      <c r="A1327" s="85" t="s">
        <v>37</v>
      </c>
      <c r="B1327" s="86" t="s">
        <v>3179</v>
      </c>
      <c r="C1327" s="87"/>
      <c r="D1327" s="88" t="s">
        <v>3226</v>
      </c>
      <c r="E1327" s="43">
        <v>5886000</v>
      </c>
      <c r="F1327" s="44">
        <f t="shared" si="67"/>
        <v>470880</v>
      </c>
      <c r="G1327" s="45">
        <f t="shared" si="68"/>
        <v>6356880</v>
      </c>
      <c r="H1327" s="46">
        <v>6356880</v>
      </c>
      <c r="I1327" s="47">
        <f t="shared" si="66"/>
        <v>0</v>
      </c>
      <c r="J1327" s="48"/>
      <c r="K1327" s="49">
        <v>46106</v>
      </c>
      <c r="L1327" s="50" t="s">
        <v>3473</v>
      </c>
    </row>
    <row r="1328" spans="1:12" ht="15" customHeight="1" x14ac:dyDescent="0.35">
      <c r="A1328" s="85" t="s">
        <v>3227</v>
      </c>
      <c r="B1328" s="86" t="s">
        <v>3180</v>
      </c>
      <c r="C1328" s="87"/>
      <c r="D1328" s="88" t="s">
        <v>3226</v>
      </c>
      <c r="E1328" s="43">
        <v>1472000</v>
      </c>
      <c r="F1328" s="44">
        <f t="shared" si="67"/>
        <v>117760</v>
      </c>
      <c r="G1328" s="45">
        <f t="shared" si="68"/>
        <v>1589760</v>
      </c>
      <c r="H1328" s="46">
        <v>1589760</v>
      </c>
      <c r="I1328" s="47">
        <f t="shared" si="66"/>
        <v>0</v>
      </c>
      <c r="J1328" s="48"/>
      <c r="K1328" s="49">
        <v>46106</v>
      </c>
      <c r="L1328" s="50" t="s">
        <v>3474</v>
      </c>
    </row>
    <row r="1329" spans="1:12" ht="15" customHeight="1" x14ac:dyDescent="0.35">
      <c r="A1329" s="85" t="s">
        <v>123</v>
      </c>
      <c r="B1329" s="86" t="s">
        <v>3181</v>
      </c>
      <c r="C1329" s="87"/>
      <c r="D1329" s="88" t="s">
        <v>3226</v>
      </c>
      <c r="E1329" s="43">
        <v>520000</v>
      </c>
      <c r="F1329" s="44">
        <f t="shared" si="67"/>
        <v>41600</v>
      </c>
      <c r="G1329" s="45">
        <f t="shared" si="68"/>
        <v>561600</v>
      </c>
      <c r="H1329" s="46">
        <v>561600</v>
      </c>
      <c r="I1329" s="47">
        <f t="shared" si="66"/>
        <v>0</v>
      </c>
      <c r="J1329" s="48"/>
      <c r="K1329" s="49">
        <v>46106</v>
      </c>
      <c r="L1329" s="50" t="s">
        <v>3475</v>
      </c>
    </row>
    <row r="1330" spans="1:12" ht="15" customHeight="1" x14ac:dyDescent="0.35">
      <c r="A1330" s="85" t="s">
        <v>29</v>
      </c>
      <c r="B1330" s="86" t="s">
        <v>3182</v>
      </c>
      <c r="C1330" s="87"/>
      <c r="D1330" s="88" t="s">
        <v>3226</v>
      </c>
      <c r="E1330" s="43">
        <v>16723000</v>
      </c>
      <c r="F1330" s="44">
        <f t="shared" si="67"/>
        <v>1337840</v>
      </c>
      <c r="G1330" s="45">
        <f t="shared" si="68"/>
        <v>18060840</v>
      </c>
      <c r="H1330" s="46">
        <v>18060840</v>
      </c>
      <c r="I1330" s="47">
        <f t="shared" si="66"/>
        <v>0</v>
      </c>
      <c r="J1330" s="48"/>
      <c r="K1330" s="49">
        <v>46106</v>
      </c>
      <c r="L1330" s="50" t="s">
        <v>3476</v>
      </c>
    </row>
    <row r="1331" spans="1:12" ht="15" customHeight="1" x14ac:dyDescent="0.35">
      <c r="A1331" s="85" t="s">
        <v>37</v>
      </c>
      <c r="B1331" s="86" t="s">
        <v>3183</v>
      </c>
      <c r="C1331" s="87"/>
      <c r="D1331" s="88" t="s">
        <v>3226</v>
      </c>
      <c r="E1331" s="43">
        <v>243000</v>
      </c>
      <c r="F1331" s="44">
        <f t="shared" si="67"/>
        <v>19440</v>
      </c>
      <c r="G1331" s="45">
        <f t="shared" si="68"/>
        <v>262440</v>
      </c>
      <c r="H1331" s="46">
        <v>262440</v>
      </c>
      <c r="I1331" s="47">
        <f t="shared" si="66"/>
        <v>0</v>
      </c>
      <c r="J1331" s="48"/>
      <c r="K1331" s="49">
        <v>46106</v>
      </c>
      <c r="L1331" s="50" t="s">
        <v>3477</v>
      </c>
    </row>
    <row r="1332" spans="1:12" ht="15" customHeight="1" x14ac:dyDescent="0.35">
      <c r="A1332" s="85" t="s">
        <v>33</v>
      </c>
      <c r="B1332" s="86" t="s">
        <v>3184</v>
      </c>
      <c r="C1332" s="87">
        <v>2610</v>
      </c>
      <c r="D1332" s="88">
        <v>46115</v>
      </c>
      <c r="E1332" s="43">
        <v>27948000</v>
      </c>
      <c r="F1332" s="44">
        <f t="shared" si="67"/>
        <v>2235840</v>
      </c>
      <c r="G1332" s="45">
        <f t="shared" si="68"/>
        <v>30183840</v>
      </c>
      <c r="H1332" s="46"/>
      <c r="I1332" s="47">
        <f t="shared" si="66"/>
        <v>30183840</v>
      </c>
      <c r="J1332" s="48"/>
      <c r="K1332" s="49" t="s">
        <v>3781</v>
      </c>
      <c r="L1332" s="50" t="s">
        <v>3478</v>
      </c>
    </row>
    <row r="1333" spans="1:12" ht="15" customHeight="1" x14ac:dyDescent="0.35">
      <c r="A1333" s="85" t="s">
        <v>33</v>
      </c>
      <c r="B1333" s="86" t="s">
        <v>3185</v>
      </c>
      <c r="C1333" s="87"/>
      <c r="D1333" s="88" t="s">
        <v>3226</v>
      </c>
      <c r="E1333" s="43">
        <v>3584000</v>
      </c>
      <c r="F1333" s="44">
        <f t="shared" si="67"/>
        <v>286720</v>
      </c>
      <c r="G1333" s="45">
        <f t="shared" si="68"/>
        <v>3870720</v>
      </c>
      <c r="H1333" s="46">
        <v>3870720</v>
      </c>
      <c r="I1333" s="47">
        <f t="shared" si="66"/>
        <v>0</v>
      </c>
      <c r="J1333" s="48"/>
      <c r="K1333" s="49">
        <v>46106</v>
      </c>
      <c r="L1333" s="50" t="s">
        <v>3479</v>
      </c>
    </row>
    <row r="1334" spans="1:12" ht="15" customHeight="1" x14ac:dyDescent="0.35">
      <c r="A1334" s="85" t="s">
        <v>123</v>
      </c>
      <c r="B1334" s="86" t="s">
        <v>3186</v>
      </c>
      <c r="C1334" s="87"/>
      <c r="D1334" s="88" t="s">
        <v>3226</v>
      </c>
      <c r="E1334" s="43">
        <v>19856000</v>
      </c>
      <c r="F1334" s="44">
        <f t="shared" si="67"/>
        <v>1588480</v>
      </c>
      <c r="G1334" s="45">
        <f t="shared" si="68"/>
        <v>21444480</v>
      </c>
      <c r="H1334" s="46">
        <v>21444480</v>
      </c>
      <c r="I1334" s="47">
        <f t="shared" si="66"/>
        <v>0</v>
      </c>
      <c r="J1334" s="48"/>
      <c r="K1334" s="49">
        <v>46106</v>
      </c>
      <c r="L1334" s="50" t="s">
        <v>3480</v>
      </c>
    </row>
    <row r="1335" spans="1:12" ht="15" customHeight="1" x14ac:dyDescent="0.35">
      <c r="A1335" s="85" t="s">
        <v>29</v>
      </c>
      <c r="B1335" s="86" t="s">
        <v>3187</v>
      </c>
      <c r="C1335" s="87"/>
      <c r="D1335" s="88" t="s">
        <v>3226</v>
      </c>
      <c r="E1335" s="43">
        <v>2260000</v>
      </c>
      <c r="F1335" s="44">
        <f t="shared" si="67"/>
        <v>180800</v>
      </c>
      <c r="G1335" s="45">
        <f t="shared" si="68"/>
        <v>2440800</v>
      </c>
      <c r="H1335" s="46">
        <v>2440800</v>
      </c>
      <c r="I1335" s="47">
        <f t="shared" si="66"/>
        <v>0</v>
      </c>
      <c r="J1335" s="48"/>
      <c r="K1335" s="49">
        <v>46106</v>
      </c>
      <c r="L1335" s="50" t="s">
        <v>3481</v>
      </c>
    </row>
    <row r="1336" spans="1:12" ht="15" customHeight="1" x14ac:dyDescent="0.35">
      <c r="A1336" s="85" t="s">
        <v>123</v>
      </c>
      <c r="B1336" s="86" t="s">
        <v>3188</v>
      </c>
      <c r="C1336" s="87"/>
      <c r="D1336" s="88" t="s">
        <v>3226</v>
      </c>
      <c r="E1336" s="43">
        <v>960000</v>
      </c>
      <c r="F1336" s="44">
        <f t="shared" si="67"/>
        <v>76800</v>
      </c>
      <c r="G1336" s="45">
        <f t="shared" si="68"/>
        <v>1036800</v>
      </c>
      <c r="H1336" s="46">
        <v>1036800</v>
      </c>
      <c r="I1336" s="47">
        <f t="shared" si="66"/>
        <v>0</v>
      </c>
      <c r="J1336" s="48"/>
      <c r="K1336" s="49">
        <v>46106</v>
      </c>
      <c r="L1336" s="50" t="s">
        <v>3482</v>
      </c>
    </row>
    <row r="1337" spans="1:12" ht="15" customHeight="1" x14ac:dyDescent="0.35">
      <c r="A1337" s="85" t="s">
        <v>3227</v>
      </c>
      <c r="B1337" s="86" t="s">
        <v>3189</v>
      </c>
      <c r="C1337" s="87"/>
      <c r="D1337" s="88" t="s">
        <v>3226</v>
      </c>
      <c r="E1337" s="43">
        <v>772000</v>
      </c>
      <c r="F1337" s="44">
        <f t="shared" si="67"/>
        <v>61760</v>
      </c>
      <c r="G1337" s="45">
        <f t="shared" si="68"/>
        <v>833760</v>
      </c>
      <c r="H1337" s="46">
        <v>833760</v>
      </c>
      <c r="I1337" s="47">
        <f t="shared" si="66"/>
        <v>0</v>
      </c>
      <c r="J1337" s="48"/>
      <c r="K1337" s="49">
        <v>46106</v>
      </c>
      <c r="L1337" s="50" t="s">
        <v>3483</v>
      </c>
    </row>
    <row r="1338" spans="1:12" ht="15" customHeight="1" x14ac:dyDescent="0.35">
      <c r="A1338" s="85" t="s">
        <v>56</v>
      </c>
      <c r="B1338" s="86" t="s">
        <v>3190</v>
      </c>
      <c r="C1338" s="87"/>
      <c r="D1338" s="88" t="s">
        <v>3226</v>
      </c>
      <c r="E1338" s="43">
        <v>972000</v>
      </c>
      <c r="F1338" s="44">
        <f t="shared" si="67"/>
        <v>77760</v>
      </c>
      <c r="G1338" s="45">
        <f t="shared" si="68"/>
        <v>1049760</v>
      </c>
      <c r="H1338" s="46">
        <v>1049760</v>
      </c>
      <c r="I1338" s="47">
        <f t="shared" si="66"/>
        <v>0</v>
      </c>
      <c r="J1338" s="48"/>
      <c r="K1338" s="49">
        <v>46106</v>
      </c>
      <c r="L1338" s="50" t="s">
        <v>3484</v>
      </c>
    </row>
    <row r="1339" spans="1:12" ht="15" customHeight="1" x14ac:dyDescent="0.35">
      <c r="A1339" s="85" t="s">
        <v>85</v>
      </c>
      <c r="B1339" s="86" t="s">
        <v>3191</v>
      </c>
      <c r="C1339" s="87"/>
      <c r="D1339" s="88" t="s">
        <v>3226</v>
      </c>
      <c r="E1339" s="43">
        <v>923400</v>
      </c>
      <c r="F1339" s="44">
        <f t="shared" si="67"/>
        <v>73872</v>
      </c>
      <c r="G1339" s="45">
        <f t="shared" si="68"/>
        <v>997272</v>
      </c>
      <c r="H1339" s="46">
        <v>997272</v>
      </c>
      <c r="I1339" s="47">
        <f t="shared" si="66"/>
        <v>0</v>
      </c>
      <c r="J1339" s="48"/>
      <c r="K1339" s="49">
        <v>46106</v>
      </c>
      <c r="L1339" s="50" t="s">
        <v>3485</v>
      </c>
    </row>
    <row r="1340" spans="1:12" ht="15" customHeight="1" x14ac:dyDescent="0.35">
      <c r="A1340" s="85" t="s">
        <v>29</v>
      </c>
      <c r="B1340" s="86" t="s">
        <v>3192</v>
      </c>
      <c r="C1340" s="87"/>
      <c r="D1340" s="88" t="s">
        <v>3226</v>
      </c>
      <c r="E1340" s="43">
        <v>25502000</v>
      </c>
      <c r="F1340" s="44">
        <f t="shared" si="67"/>
        <v>2040160</v>
      </c>
      <c r="G1340" s="45">
        <f t="shared" si="68"/>
        <v>27542160</v>
      </c>
      <c r="H1340" s="46">
        <v>27542160</v>
      </c>
      <c r="I1340" s="47">
        <f t="shared" si="66"/>
        <v>0</v>
      </c>
      <c r="J1340" s="48"/>
      <c r="K1340" s="49">
        <v>46106</v>
      </c>
      <c r="L1340" s="50" t="s">
        <v>3486</v>
      </c>
    </row>
    <row r="1341" spans="1:12" ht="15" customHeight="1" x14ac:dyDescent="0.35">
      <c r="A1341" s="85" t="s">
        <v>37</v>
      </c>
      <c r="B1341" s="86" t="s">
        <v>3193</v>
      </c>
      <c r="C1341" s="87"/>
      <c r="D1341" s="88" t="s">
        <v>3226</v>
      </c>
      <c r="E1341" s="43">
        <v>4016000</v>
      </c>
      <c r="F1341" s="44">
        <f t="shared" si="67"/>
        <v>321280</v>
      </c>
      <c r="G1341" s="45">
        <f t="shared" si="68"/>
        <v>4337280</v>
      </c>
      <c r="H1341" s="46">
        <v>4337280</v>
      </c>
      <c r="I1341" s="47">
        <f t="shared" si="66"/>
        <v>0</v>
      </c>
      <c r="J1341" s="48"/>
      <c r="K1341" s="49">
        <v>46106</v>
      </c>
      <c r="L1341" s="50" t="s">
        <v>3487</v>
      </c>
    </row>
    <row r="1342" spans="1:12" ht="15" customHeight="1" x14ac:dyDescent="0.35">
      <c r="A1342" s="85" t="s">
        <v>37</v>
      </c>
      <c r="B1342" s="86" t="s">
        <v>3194</v>
      </c>
      <c r="C1342" s="87"/>
      <c r="D1342" s="88" t="s">
        <v>3226</v>
      </c>
      <c r="E1342" s="43">
        <v>3645000</v>
      </c>
      <c r="F1342" s="44">
        <f t="shared" si="67"/>
        <v>291600</v>
      </c>
      <c r="G1342" s="45">
        <f t="shared" si="68"/>
        <v>3936600</v>
      </c>
      <c r="H1342" s="46">
        <v>3936600</v>
      </c>
      <c r="I1342" s="47">
        <f t="shared" si="66"/>
        <v>0</v>
      </c>
      <c r="J1342" s="48"/>
      <c r="K1342" s="49">
        <v>46106</v>
      </c>
      <c r="L1342" s="50" t="s">
        <v>3488</v>
      </c>
    </row>
    <row r="1343" spans="1:12" ht="15" customHeight="1" x14ac:dyDescent="0.35">
      <c r="A1343" s="85" t="s">
        <v>56</v>
      </c>
      <c r="B1343" s="86" t="s">
        <v>3195</v>
      </c>
      <c r="C1343" s="87"/>
      <c r="D1343" s="88" t="s">
        <v>3226</v>
      </c>
      <c r="E1343" s="43">
        <v>3245000</v>
      </c>
      <c r="F1343" s="44">
        <f t="shared" si="67"/>
        <v>259600</v>
      </c>
      <c r="G1343" s="45">
        <f t="shared" si="68"/>
        <v>3504600</v>
      </c>
      <c r="H1343" s="46">
        <v>3504600</v>
      </c>
      <c r="I1343" s="47">
        <f t="shared" si="66"/>
        <v>0</v>
      </c>
      <c r="J1343" s="48"/>
      <c r="K1343" s="49">
        <v>46106</v>
      </c>
      <c r="L1343" s="50" t="s">
        <v>3489</v>
      </c>
    </row>
    <row r="1344" spans="1:12" ht="15" customHeight="1" x14ac:dyDescent="0.35">
      <c r="A1344" s="85" t="s">
        <v>33</v>
      </c>
      <c r="B1344" s="86" t="s">
        <v>3196</v>
      </c>
      <c r="C1344" s="87"/>
      <c r="D1344" s="88" t="s">
        <v>3226</v>
      </c>
      <c r="E1344" s="43">
        <v>15040000</v>
      </c>
      <c r="F1344" s="44">
        <f t="shared" si="67"/>
        <v>1203200</v>
      </c>
      <c r="G1344" s="45">
        <f t="shared" si="68"/>
        <v>16243200</v>
      </c>
      <c r="H1344" s="46">
        <v>16243200</v>
      </c>
      <c r="I1344" s="47">
        <f t="shared" si="66"/>
        <v>0</v>
      </c>
      <c r="J1344" s="48"/>
      <c r="K1344" s="49">
        <v>46106</v>
      </c>
      <c r="L1344" s="50" t="s">
        <v>3490</v>
      </c>
    </row>
    <row r="1345" spans="1:12" ht="15" customHeight="1" x14ac:dyDescent="0.35">
      <c r="A1345" s="85" t="s">
        <v>37</v>
      </c>
      <c r="B1345" s="86" t="s">
        <v>3197</v>
      </c>
      <c r="C1345" s="87"/>
      <c r="D1345" s="88" t="s">
        <v>3226</v>
      </c>
      <c r="E1345" s="43">
        <v>7560000</v>
      </c>
      <c r="F1345" s="44">
        <f t="shared" si="67"/>
        <v>604800</v>
      </c>
      <c r="G1345" s="45">
        <f t="shared" si="68"/>
        <v>8164800</v>
      </c>
      <c r="H1345" s="46">
        <v>8164800</v>
      </c>
      <c r="I1345" s="47">
        <f t="shared" ref="I1345:I1408" si="69">G1345-H1345</f>
        <v>0</v>
      </c>
      <c r="J1345" s="48"/>
      <c r="K1345" s="49">
        <v>46106</v>
      </c>
      <c r="L1345" s="50" t="s">
        <v>3491</v>
      </c>
    </row>
    <row r="1346" spans="1:12" ht="15" customHeight="1" x14ac:dyDescent="0.35">
      <c r="A1346" s="85" t="s">
        <v>33</v>
      </c>
      <c r="B1346" s="86" t="s">
        <v>3198</v>
      </c>
      <c r="C1346" s="87"/>
      <c r="D1346" s="88" t="s">
        <v>3226</v>
      </c>
      <c r="E1346" s="43">
        <v>5943000</v>
      </c>
      <c r="F1346" s="44">
        <f t="shared" ref="F1346:F1409" si="70">+E1346*0.08</f>
        <v>475440</v>
      </c>
      <c r="G1346" s="45">
        <f t="shared" ref="G1346:G1409" si="71">E1346+F1346</f>
        <v>6418440</v>
      </c>
      <c r="H1346" s="46">
        <v>6418440</v>
      </c>
      <c r="I1346" s="47">
        <f t="shared" si="69"/>
        <v>0</v>
      </c>
      <c r="J1346" s="48"/>
      <c r="K1346" s="49">
        <v>46106</v>
      </c>
      <c r="L1346" s="50" t="s">
        <v>3492</v>
      </c>
    </row>
    <row r="1347" spans="1:12" ht="15" customHeight="1" x14ac:dyDescent="0.35">
      <c r="A1347" s="85" t="s">
        <v>37</v>
      </c>
      <c r="B1347" s="86" t="s">
        <v>3199</v>
      </c>
      <c r="C1347" s="87">
        <v>6099</v>
      </c>
      <c r="D1347" s="88">
        <v>45973</v>
      </c>
      <c r="E1347" s="43">
        <v>729000</v>
      </c>
      <c r="F1347" s="44">
        <f t="shared" si="70"/>
        <v>58320</v>
      </c>
      <c r="G1347" s="45">
        <f t="shared" si="71"/>
        <v>787320</v>
      </c>
      <c r="H1347" s="46">
        <v>787320</v>
      </c>
      <c r="I1347" s="47">
        <f t="shared" si="69"/>
        <v>0</v>
      </c>
      <c r="J1347" s="48"/>
      <c r="K1347" s="49">
        <v>46106</v>
      </c>
      <c r="L1347" s="50" t="s">
        <v>3493</v>
      </c>
    </row>
    <row r="1348" spans="1:12" ht="15" customHeight="1" x14ac:dyDescent="0.35">
      <c r="A1348" s="85" t="s">
        <v>56</v>
      </c>
      <c r="B1348" s="86" t="s">
        <v>3200</v>
      </c>
      <c r="C1348" s="87">
        <v>6100</v>
      </c>
      <c r="D1348" s="88">
        <v>45973</v>
      </c>
      <c r="E1348" s="43">
        <v>437400</v>
      </c>
      <c r="F1348" s="44">
        <f t="shared" si="70"/>
        <v>34992</v>
      </c>
      <c r="G1348" s="45">
        <f t="shared" si="71"/>
        <v>472392</v>
      </c>
      <c r="H1348" s="46">
        <v>472392</v>
      </c>
      <c r="I1348" s="47">
        <f t="shared" si="69"/>
        <v>0</v>
      </c>
      <c r="J1348" s="48"/>
      <c r="K1348" s="49">
        <v>46106</v>
      </c>
      <c r="L1348" s="50" t="s">
        <v>3494</v>
      </c>
    </row>
    <row r="1349" spans="1:12" ht="15" customHeight="1" x14ac:dyDescent="0.35">
      <c r="A1349" s="85" t="s">
        <v>56</v>
      </c>
      <c r="B1349" s="86" t="s">
        <v>3201</v>
      </c>
      <c r="C1349" s="87"/>
      <c r="D1349" s="88" t="s">
        <v>3226</v>
      </c>
      <c r="E1349" s="43">
        <v>1040000</v>
      </c>
      <c r="F1349" s="44">
        <f t="shared" si="70"/>
        <v>83200</v>
      </c>
      <c r="G1349" s="45">
        <f t="shared" si="71"/>
        <v>1123200</v>
      </c>
      <c r="H1349" s="46">
        <v>1123200</v>
      </c>
      <c r="I1349" s="47">
        <f t="shared" si="69"/>
        <v>0</v>
      </c>
      <c r="J1349" s="48"/>
      <c r="K1349" s="49">
        <v>46106</v>
      </c>
      <c r="L1349" s="50" t="s">
        <v>3495</v>
      </c>
    </row>
    <row r="1350" spans="1:12" ht="15" customHeight="1" x14ac:dyDescent="0.35">
      <c r="A1350" s="85" t="s">
        <v>63</v>
      </c>
      <c r="B1350" s="86" t="s">
        <v>3202</v>
      </c>
      <c r="C1350" s="87"/>
      <c r="D1350" s="88" t="s">
        <v>3226</v>
      </c>
      <c r="E1350" s="43">
        <v>1920000</v>
      </c>
      <c r="F1350" s="44">
        <f t="shared" si="70"/>
        <v>153600</v>
      </c>
      <c r="G1350" s="45">
        <f t="shared" si="71"/>
        <v>2073600</v>
      </c>
      <c r="H1350" s="46">
        <v>2073600</v>
      </c>
      <c r="I1350" s="47">
        <f t="shared" si="69"/>
        <v>0</v>
      </c>
      <c r="J1350" s="48"/>
      <c r="K1350" s="49">
        <v>46106</v>
      </c>
      <c r="L1350" s="50" t="s">
        <v>3496</v>
      </c>
    </row>
    <row r="1351" spans="1:12" ht="15" customHeight="1" x14ac:dyDescent="0.35">
      <c r="A1351" s="85" t="s">
        <v>37</v>
      </c>
      <c r="B1351" s="86" t="s">
        <v>3230</v>
      </c>
      <c r="C1351" s="87">
        <v>6101</v>
      </c>
      <c r="D1351" s="88">
        <v>45973</v>
      </c>
      <c r="E1351" s="43">
        <v>2916000</v>
      </c>
      <c r="F1351" s="44">
        <f t="shared" si="70"/>
        <v>233280</v>
      </c>
      <c r="G1351" s="45">
        <f t="shared" si="71"/>
        <v>3149280</v>
      </c>
      <c r="H1351" s="46">
        <v>3149280</v>
      </c>
      <c r="I1351" s="47">
        <f t="shared" si="69"/>
        <v>0</v>
      </c>
      <c r="J1351" s="48"/>
      <c r="K1351" s="49">
        <v>46106</v>
      </c>
      <c r="L1351" s="50" t="s">
        <v>3251</v>
      </c>
    </row>
    <row r="1352" spans="1:12" ht="15" customHeight="1" x14ac:dyDescent="0.35">
      <c r="A1352" s="85" t="s">
        <v>85</v>
      </c>
      <c r="B1352" s="86" t="s">
        <v>3231</v>
      </c>
      <c r="C1352" s="87"/>
      <c r="D1352" s="88" t="s">
        <v>3250</v>
      </c>
      <c r="E1352" s="43">
        <v>6165000</v>
      </c>
      <c r="F1352" s="44">
        <f t="shared" si="70"/>
        <v>493200</v>
      </c>
      <c r="G1352" s="45">
        <f t="shared" si="71"/>
        <v>6658200</v>
      </c>
      <c r="H1352" s="46">
        <v>6658200</v>
      </c>
      <c r="I1352" s="47">
        <f t="shared" si="69"/>
        <v>0</v>
      </c>
      <c r="J1352" s="48"/>
      <c r="K1352" s="49">
        <v>46106</v>
      </c>
      <c r="L1352" s="50" t="s">
        <v>3252</v>
      </c>
    </row>
    <row r="1353" spans="1:12" ht="15" customHeight="1" x14ac:dyDescent="0.35">
      <c r="A1353" s="85" t="s">
        <v>29</v>
      </c>
      <c r="B1353" s="86" t="s">
        <v>3232</v>
      </c>
      <c r="C1353" s="87"/>
      <c r="D1353" s="88" t="s">
        <v>3250</v>
      </c>
      <c r="E1353" s="43">
        <v>640000</v>
      </c>
      <c r="F1353" s="44">
        <f t="shared" si="70"/>
        <v>51200</v>
      </c>
      <c r="G1353" s="45">
        <f t="shared" si="71"/>
        <v>691200</v>
      </c>
      <c r="H1353" s="46">
        <v>691200</v>
      </c>
      <c r="I1353" s="47">
        <f t="shared" si="69"/>
        <v>0</v>
      </c>
      <c r="J1353" s="48"/>
      <c r="K1353" s="49">
        <v>46106</v>
      </c>
      <c r="L1353" s="50" t="s">
        <v>3253</v>
      </c>
    </row>
    <row r="1354" spans="1:12" ht="15" customHeight="1" x14ac:dyDescent="0.35">
      <c r="A1354" s="85" t="s">
        <v>29</v>
      </c>
      <c r="B1354" s="86" t="s">
        <v>3233</v>
      </c>
      <c r="C1354" s="87"/>
      <c r="D1354" s="88" t="s">
        <v>3250</v>
      </c>
      <c r="E1354" s="43">
        <v>27721000</v>
      </c>
      <c r="F1354" s="44">
        <f t="shared" si="70"/>
        <v>2217680</v>
      </c>
      <c r="G1354" s="45">
        <f t="shared" si="71"/>
        <v>29938680</v>
      </c>
      <c r="H1354" s="46">
        <v>29938680</v>
      </c>
      <c r="I1354" s="47">
        <f t="shared" si="69"/>
        <v>0</v>
      </c>
      <c r="J1354" s="48"/>
      <c r="K1354" s="49">
        <v>46106</v>
      </c>
      <c r="L1354" s="50" t="s">
        <v>3254</v>
      </c>
    </row>
    <row r="1355" spans="1:12" ht="15" customHeight="1" x14ac:dyDescent="0.35">
      <c r="A1355" s="85" t="s">
        <v>29</v>
      </c>
      <c r="B1355" s="86" t="s">
        <v>3234</v>
      </c>
      <c r="C1355" s="87"/>
      <c r="D1355" s="88" t="s">
        <v>3250</v>
      </c>
      <c r="E1355" s="43">
        <v>810000</v>
      </c>
      <c r="F1355" s="44">
        <f t="shared" si="70"/>
        <v>64800</v>
      </c>
      <c r="G1355" s="45">
        <f t="shared" si="71"/>
        <v>874800</v>
      </c>
      <c r="H1355" s="46">
        <v>874800</v>
      </c>
      <c r="I1355" s="47">
        <f t="shared" si="69"/>
        <v>0</v>
      </c>
      <c r="J1355" s="48"/>
      <c r="K1355" s="49">
        <v>46106</v>
      </c>
      <c r="L1355" s="50" t="s">
        <v>3255</v>
      </c>
    </row>
    <row r="1356" spans="1:12" ht="15" customHeight="1" x14ac:dyDescent="0.35">
      <c r="A1356" s="85" t="s">
        <v>85</v>
      </c>
      <c r="B1356" s="86" t="s">
        <v>3235</v>
      </c>
      <c r="C1356" s="87"/>
      <c r="D1356" s="88" t="s">
        <v>3250</v>
      </c>
      <c r="E1356" s="43">
        <v>486000</v>
      </c>
      <c r="F1356" s="44">
        <f t="shared" si="70"/>
        <v>38880</v>
      </c>
      <c r="G1356" s="45">
        <f t="shared" si="71"/>
        <v>524880</v>
      </c>
      <c r="H1356" s="46">
        <v>524880</v>
      </c>
      <c r="I1356" s="47">
        <f t="shared" si="69"/>
        <v>0</v>
      </c>
      <c r="J1356" s="48"/>
      <c r="K1356" s="49">
        <v>46106</v>
      </c>
      <c r="L1356" s="50" t="s">
        <v>3256</v>
      </c>
    </row>
    <row r="1357" spans="1:12" ht="15" customHeight="1" x14ac:dyDescent="0.35">
      <c r="A1357" s="85" t="s">
        <v>123</v>
      </c>
      <c r="B1357" s="86" t="s">
        <v>3236</v>
      </c>
      <c r="C1357" s="87"/>
      <c r="D1357" s="88" t="s">
        <v>3250</v>
      </c>
      <c r="E1357" s="43">
        <v>11560000</v>
      </c>
      <c r="F1357" s="44">
        <f t="shared" si="70"/>
        <v>924800</v>
      </c>
      <c r="G1357" s="45">
        <f t="shared" si="71"/>
        <v>12484800</v>
      </c>
      <c r="H1357" s="46">
        <v>12484800</v>
      </c>
      <c r="I1357" s="47">
        <f t="shared" si="69"/>
        <v>0</v>
      </c>
      <c r="J1357" s="48"/>
      <c r="K1357" s="49">
        <v>46106</v>
      </c>
      <c r="L1357" s="50" t="s">
        <v>3257</v>
      </c>
    </row>
    <row r="1358" spans="1:12" ht="15" customHeight="1" x14ac:dyDescent="0.35">
      <c r="A1358" s="85" t="s">
        <v>85</v>
      </c>
      <c r="B1358" s="86" t="s">
        <v>3237</v>
      </c>
      <c r="C1358" s="87"/>
      <c r="D1358" s="88" t="s">
        <v>3250</v>
      </c>
      <c r="E1358" s="43">
        <v>3785000</v>
      </c>
      <c r="F1358" s="44">
        <f t="shared" si="70"/>
        <v>302800</v>
      </c>
      <c r="G1358" s="45">
        <f t="shared" si="71"/>
        <v>4087800</v>
      </c>
      <c r="H1358" s="46">
        <v>4087800</v>
      </c>
      <c r="I1358" s="47">
        <f t="shared" si="69"/>
        <v>0</v>
      </c>
      <c r="J1358" s="48"/>
      <c r="K1358" s="49">
        <v>46106</v>
      </c>
      <c r="L1358" s="50" t="s">
        <v>3258</v>
      </c>
    </row>
    <row r="1359" spans="1:12" ht="15" customHeight="1" x14ac:dyDescent="0.35">
      <c r="A1359" s="85" t="s">
        <v>37</v>
      </c>
      <c r="B1359" s="86" t="s">
        <v>3238</v>
      </c>
      <c r="C1359" s="87"/>
      <c r="D1359" s="88" t="s">
        <v>3250</v>
      </c>
      <c r="E1359" s="43">
        <v>6974000</v>
      </c>
      <c r="F1359" s="44">
        <f t="shared" si="70"/>
        <v>557920</v>
      </c>
      <c r="G1359" s="45">
        <f t="shared" si="71"/>
        <v>7531920</v>
      </c>
      <c r="H1359" s="46">
        <v>7531920</v>
      </c>
      <c r="I1359" s="47">
        <f t="shared" si="69"/>
        <v>0</v>
      </c>
      <c r="J1359" s="48"/>
      <c r="K1359" s="49">
        <v>46106</v>
      </c>
      <c r="L1359" s="50" t="s">
        <v>3259</v>
      </c>
    </row>
    <row r="1360" spans="1:12" ht="15" customHeight="1" x14ac:dyDescent="0.35">
      <c r="A1360" s="85" t="s">
        <v>29</v>
      </c>
      <c r="B1360" s="86" t="s">
        <v>3239</v>
      </c>
      <c r="C1360" s="87"/>
      <c r="D1360" s="88" t="s">
        <v>3250</v>
      </c>
      <c r="E1360" s="43">
        <v>640000</v>
      </c>
      <c r="F1360" s="44">
        <f t="shared" si="70"/>
        <v>51200</v>
      </c>
      <c r="G1360" s="45">
        <f t="shared" si="71"/>
        <v>691200</v>
      </c>
      <c r="H1360" s="46">
        <v>691200</v>
      </c>
      <c r="I1360" s="47">
        <f t="shared" si="69"/>
        <v>0</v>
      </c>
      <c r="J1360" s="48"/>
      <c r="K1360" s="49">
        <v>46106</v>
      </c>
      <c r="L1360" s="50" t="s">
        <v>3260</v>
      </c>
    </row>
    <row r="1361" spans="1:12" ht="15" customHeight="1" x14ac:dyDescent="0.35">
      <c r="A1361" s="85" t="s">
        <v>29</v>
      </c>
      <c r="B1361" s="86" t="s">
        <v>3240</v>
      </c>
      <c r="C1361" s="87"/>
      <c r="D1361" s="88" t="s">
        <v>3250</v>
      </c>
      <c r="E1361" s="43">
        <v>1450000</v>
      </c>
      <c r="F1361" s="44">
        <f t="shared" si="70"/>
        <v>116000</v>
      </c>
      <c r="G1361" s="45">
        <f t="shared" si="71"/>
        <v>1566000</v>
      </c>
      <c r="H1361" s="46">
        <v>1566000</v>
      </c>
      <c r="I1361" s="47">
        <f t="shared" si="69"/>
        <v>0</v>
      </c>
      <c r="J1361" s="48"/>
      <c r="K1361" s="49">
        <v>46106</v>
      </c>
      <c r="L1361" s="50" t="s">
        <v>3261</v>
      </c>
    </row>
    <row r="1362" spans="1:12" ht="15" customHeight="1" x14ac:dyDescent="0.35">
      <c r="A1362" s="85" t="s">
        <v>33</v>
      </c>
      <c r="B1362" s="86" t="s">
        <v>3241</v>
      </c>
      <c r="C1362" s="87"/>
      <c r="D1362" s="88" t="s">
        <v>3250</v>
      </c>
      <c r="E1362" s="43">
        <v>1620000</v>
      </c>
      <c r="F1362" s="44">
        <f t="shared" si="70"/>
        <v>129600</v>
      </c>
      <c r="G1362" s="45">
        <f t="shared" si="71"/>
        <v>1749600</v>
      </c>
      <c r="H1362" s="46">
        <v>1749600</v>
      </c>
      <c r="I1362" s="47">
        <f t="shared" si="69"/>
        <v>0</v>
      </c>
      <c r="J1362" s="48"/>
      <c r="K1362" s="49">
        <v>46106</v>
      </c>
      <c r="L1362" s="50" t="s">
        <v>3262</v>
      </c>
    </row>
    <row r="1363" spans="1:12" ht="15" customHeight="1" x14ac:dyDescent="0.35">
      <c r="A1363" s="85" t="s">
        <v>63</v>
      </c>
      <c r="B1363" s="86" t="s">
        <v>3242</v>
      </c>
      <c r="C1363" s="87"/>
      <c r="D1363" s="88" t="s">
        <v>3250</v>
      </c>
      <c r="E1363" s="43">
        <v>1824000</v>
      </c>
      <c r="F1363" s="44">
        <f t="shared" si="70"/>
        <v>145920</v>
      </c>
      <c r="G1363" s="45">
        <f t="shared" si="71"/>
        <v>1969920</v>
      </c>
      <c r="H1363" s="46">
        <v>1969920</v>
      </c>
      <c r="I1363" s="47">
        <f t="shared" si="69"/>
        <v>0</v>
      </c>
      <c r="J1363" s="48"/>
      <c r="K1363" s="49">
        <v>46106</v>
      </c>
      <c r="L1363" s="50" t="s">
        <v>3263</v>
      </c>
    </row>
    <row r="1364" spans="1:12" ht="15" customHeight="1" x14ac:dyDescent="0.35">
      <c r="A1364" s="85" t="s">
        <v>37</v>
      </c>
      <c r="B1364" s="86" t="s">
        <v>3243</v>
      </c>
      <c r="C1364" s="87"/>
      <c r="D1364" s="88" t="s">
        <v>3250</v>
      </c>
      <c r="E1364" s="43">
        <v>5128000</v>
      </c>
      <c r="F1364" s="44">
        <f t="shared" si="70"/>
        <v>410240</v>
      </c>
      <c r="G1364" s="45">
        <f t="shared" si="71"/>
        <v>5538240</v>
      </c>
      <c r="H1364" s="46">
        <v>5538240</v>
      </c>
      <c r="I1364" s="47">
        <f t="shared" si="69"/>
        <v>0</v>
      </c>
      <c r="J1364" s="48"/>
      <c r="K1364" s="49">
        <v>46106</v>
      </c>
      <c r="L1364" s="65" t="s">
        <v>3264</v>
      </c>
    </row>
    <row r="1365" spans="1:12" ht="15" customHeight="1" x14ac:dyDescent="0.35">
      <c r="A1365" s="85" t="s">
        <v>85</v>
      </c>
      <c r="B1365" s="86" t="s">
        <v>3244</v>
      </c>
      <c r="C1365" s="87"/>
      <c r="D1365" s="88" t="s">
        <v>3250</v>
      </c>
      <c r="E1365" s="43">
        <v>5832000</v>
      </c>
      <c r="F1365" s="44">
        <f t="shared" si="70"/>
        <v>466560</v>
      </c>
      <c r="G1365" s="45">
        <f t="shared" si="71"/>
        <v>6298560</v>
      </c>
      <c r="H1365" s="46">
        <v>6298560</v>
      </c>
      <c r="I1365" s="47">
        <f t="shared" si="69"/>
        <v>0</v>
      </c>
      <c r="J1365" s="48"/>
      <c r="K1365" s="49">
        <v>46106</v>
      </c>
      <c r="L1365" s="50" t="s">
        <v>3265</v>
      </c>
    </row>
    <row r="1366" spans="1:12" ht="15" customHeight="1" x14ac:dyDescent="0.35">
      <c r="A1366" s="85" t="s">
        <v>29</v>
      </c>
      <c r="B1366" s="86" t="s">
        <v>3245</v>
      </c>
      <c r="C1366" s="87"/>
      <c r="D1366" s="88" t="s">
        <v>3250</v>
      </c>
      <c r="E1366" s="43">
        <v>19852000</v>
      </c>
      <c r="F1366" s="44">
        <f t="shared" si="70"/>
        <v>1588160</v>
      </c>
      <c r="G1366" s="45">
        <f t="shared" si="71"/>
        <v>21440160</v>
      </c>
      <c r="H1366" s="46">
        <v>21440160</v>
      </c>
      <c r="I1366" s="47">
        <f t="shared" si="69"/>
        <v>0</v>
      </c>
      <c r="J1366" s="48"/>
      <c r="K1366" s="49">
        <v>46106</v>
      </c>
      <c r="L1366" s="50" t="s">
        <v>3266</v>
      </c>
    </row>
    <row r="1367" spans="1:12" ht="15" customHeight="1" x14ac:dyDescent="0.35">
      <c r="A1367" s="85" t="s">
        <v>85</v>
      </c>
      <c r="B1367" s="86" t="s">
        <v>3246</v>
      </c>
      <c r="C1367" s="87"/>
      <c r="D1367" s="88" t="s">
        <v>3250</v>
      </c>
      <c r="E1367" s="43">
        <v>640000</v>
      </c>
      <c r="F1367" s="44">
        <f t="shared" si="70"/>
        <v>51200</v>
      </c>
      <c r="G1367" s="45">
        <f t="shared" si="71"/>
        <v>691200</v>
      </c>
      <c r="H1367" s="46">
        <v>691200</v>
      </c>
      <c r="I1367" s="47">
        <f t="shared" si="69"/>
        <v>0</v>
      </c>
      <c r="J1367" s="48"/>
      <c r="K1367" s="49">
        <v>46106</v>
      </c>
      <c r="L1367" s="50" t="s">
        <v>3267</v>
      </c>
    </row>
    <row r="1368" spans="1:12" ht="15" customHeight="1" x14ac:dyDescent="0.35">
      <c r="A1368" s="85" t="s">
        <v>63</v>
      </c>
      <c r="B1368" s="86" t="s">
        <v>3247</v>
      </c>
      <c r="C1368" s="87"/>
      <c r="D1368" s="88" t="s">
        <v>3250</v>
      </c>
      <c r="E1368" s="43">
        <v>4864000</v>
      </c>
      <c r="F1368" s="44">
        <f t="shared" si="70"/>
        <v>389120</v>
      </c>
      <c r="G1368" s="45">
        <f t="shared" si="71"/>
        <v>5253120</v>
      </c>
      <c r="H1368" s="46">
        <v>5253120</v>
      </c>
      <c r="I1368" s="47">
        <f t="shared" si="69"/>
        <v>0</v>
      </c>
      <c r="J1368" s="48"/>
      <c r="K1368" s="49">
        <v>46106</v>
      </c>
      <c r="L1368" s="50" t="s">
        <v>3268</v>
      </c>
    </row>
    <row r="1369" spans="1:12" ht="15" customHeight="1" x14ac:dyDescent="0.35">
      <c r="A1369" s="85" t="s">
        <v>37</v>
      </c>
      <c r="B1369" s="86" t="s">
        <v>3248</v>
      </c>
      <c r="C1369" s="87"/>
      <c r="D1369" s="88" t="s">
        <v>3250</v>
      </c>
      <c r="E1369" s="43">
        <v>631800</v>
      </c>
      <c r="F1369" s="44">
        <f t="shared" si="70"/>
        <v>50544</v>
      </c>
      <c r="G1369" s="45">
        <f t="shared" si="71"/>
        <v>682344</v>
      </c>
      <c r="H1369" s="46">
        <v>682344</v>
      </c>
      <c r="I1369" s="47">
        <f t="shared" si="69"/>
        <v>0</v>
      </c>
      <c r="J1369" s="48"/>
      <c r="K1369" s="49">
        <v>46106</v>
      </c>
      <c r="L1369" s="50" t="s">
        <v>3269</v>
      </c>
    </row>
    <row r="1370" spans="1:12" ht="15" customHeight="1" x14ac:dyDescent="0.35">
      <c r="A1370" s="85" t="s">
        <v>37</v>
      </c>
      <c r="B1370" s="86" t="s">
        <v>3249</v>
      </c>
      <c r="C1370" s="87"/>
      <c r="D1370" s="88" t="s">
        <v>3250</v>
      </c>
      <c r="E1370" s="43">
        <v>1458000</v>
      </c>
      <c r="F1370" s="44">
        <f t="shared" si="70"/>
        <v>116640</v>
      </c>
      <c r="G1370" s="45">
        <f t="shared" si="71"/>
        <v>1574640</v>
      </c>
      <c r="H1370" s="46">
        <v>1574640</v>
      </c>
      <c r="I1370" s="47">
        <f t="shared" si="69"/>
        <v>0</v>
      </c>
      <c r="J1370" s="48"/>
      <c r="K1370" s="49">
        <v>46106</v>
      </c>
      <c r="L1370" s="50" t="s">
        <v>3270</v>
      </c>
    </row>
    <row r="1371" spans="1:12" ht="15" customHeight="1" x14ac:dyDescent="0.35">
      <c r="A1371" s="85" t="s">
        <v>37</v>
      </c>
      <c r="B1371" s="86"/>
      <c r="C1371" s="87"/>
      <c r="D1371" s="88"/>
      <c r="E1371" s="43">
        <v>1166400</v>
      </c>
      <c r="F1371" s="44"/>
      <c r="G1371" s="45"/>
      <c r="H1371" s="46"/>
      <c r="I1371" s="47">
        <f t="shared" si="69"/>
        <v>0</v>
      </c>
      <c r="J1371" s="48" t="s">
        <v>44</v>
      </c>
      <c r="K1371" s="49"/>
      <c r="L1371" s="50">
        <v>4179242729</v>
      </c>
    </row>
    <row r="1372" spans="1:12" ht="15" customHeight="1" x14ac:dyDescent="0.35">
      <c r="A1372" s="85" t="s">
        <v>56</v>
      </c>
      <c r="B1372" s="86"/>
      <c r="C1372" s="87"/>
      <c r="D1372" s="88"/>
      <c r="E1372" s="43">
        <v>5445000</v>
      </c>
      <c r="F1372" s="44"/>
      <c r="G1372" s="45"/>
      <c r="H1372" s="46"/>
      <c r="I1372" s="47">
        <f t="shared" si="69"/>
        <v>0</v>
      </c>
      <c r="J1372" s="48" t="s">
        <v>44</v>
      </c>
      <c r="K1372" s="49"/>
      <c r="L1372" s="50">
        <v>4179228871</v>
      </c>
    </row>
    <row r="1373" spans="1:12" ht="15" customHeight="1" x14ac:dyDescent="0.35">
      <c r="A1373" s="85" t="s">
        <v>33</v>
      </c>
      <c r="B1373" s="86">
        <v>6466</v>
      </c>
      <c r="C1373" s="87"/>
      <c r="D1373" s="88">
        <v>45989</v>
      </c>
      <c r="E1373" s="43">
        <v>29392000</v>
      </c>
      <c r="F1373" s="44">
        <f t="shared" si="70"/>
        <v>2351360</v>
      </c>
      <c r="G1373" s="45">
        <f t="shared" si="71"/>
        <v>31743360</v>
      </c>
      <c r="H1373" s="46">
        <v>31743360</v>
      </c>
      <c r="I1373" s="47">
        <f t="shared" si="69"/>
        <v>0</v>
      </c>
      <c r="J1373" s="48"/>
      <c r="K1373" s="49">
        <v>46106</v>
      </c>
      <c r="L1373" s="65">
        <v>4901274743</v>
      </c>
    </row>
    <row r="1374" spans="1:12" ht="15" customHeight="1" x14ac:dyDescent="0.35">
      <c r="A1374" s="85" t="s">
        <v>29</v>
      </c>
      <c r="B1374" s="86"/>
      <c r="C1374" s="87"/>
      <c r="D1374" s="88"/>
      <c r="E1374" s="43">
        <v>402000</v>
      </c>
      <c r="F1374" s="44"/>
      <c r="G1374" s="45"/>
      <c r="H1374" s="46"/>
      <c r="I1374" s="47">
        <f t="shared" si="69"/>
        <v>0</v>
      </c>
      <c r="J1374" s="48" t="s">
        <v>44</v>
      </c>
      <c r="K1374" s="49"/>
      <c r="L1374" s="50">
        <v>4179263281</v>
      </c>
    </row>
    <row r="1375" spans="1:12" ht="15" customHeight="1" x14ac:dyDescent="0.35">
      <c r="A1375" s="85" t="s">
        <v>29</v>
      </c>
      <c r="B1375" s="86">
        <v>6467</v>
      </c>
      <c r="C1375" s="87"/>
      <c r="D1375" s="88">
        <v>45989</v>
      </c>
      <c r="E1375" s="43">
        <v>2900000</v>
      </c>
      <c r="F1375" s="44">
        <f t="shared" si="70"/>
        <v>232000</v>
      </c>
      <c r="G1375" s="45">
        <f t="shared" si="71"/>
        <v>3132000</v>
      </c>
      <c r="H1375" s="46">
        <v>3132000</v>
      </c>
      <c r="I1375" s="47">
        <f t="shared" si="69"/>
        <v>0</v>
      </c>
      <c r="J1375" s="48"/>
      <c r="K1375" s="49">
        <v>46106</v>
      </c>
      <c r="L1375" s="65">
        <v>4179453262</v>
      </c>
    </row>
    <row r="1376" spans="1:12" ht="15" customHeight="1" x14ac:dyDescent="0.35">
      <c r="A1376" s="85" t="s">
        <v>37</v>
      </c>
      <c r="B1376" s="86">
        <v>6468</v>
      </c>
      <c r="C1376" s="87"/>
      <c r="D1376" s="88">
        <v>45989</v>
      </c>
      <c r="E1376" s="43">
        <v>11528000</v>
      </c>
      <c r="F1376" s="44">
        <f t="shared" si="70"/>
        <v>922240</v>
      </c>
      <c r="G1376" s="45">
        <f t="shared" si="71"/>
        <v>12450240</v>
      </c>
      <c r="H1376" s="46">
        <v>12450240</v>
      </c>
      <c r="I1376" s="47">
        <f t="shared" si="69"/>
        <v>0</v>
      </c>
      <c r="J1376" s="48"/>
      <c r="K1376" s="49">
        <v>46106</v>
      </c>
      <c r="L1376" s="65">
        <v>4179544584</v>
      </c>
    </row>
    <row r="1377" spans="1:13" ht="15" customHeight="1" x14ac:dyDescent="0.35">
      <c r="A1377" s="85" t="s">
        <v>85</v>
      </c>
      <c r="B1377" s="86">
        <v>6469</v>
      </c>
      <c r="C1377" s="87"/>
      <c r="D1377" s="88">
        <v>45989</v>
      </c>
      <c r="E1377" s="43">
        <v>378000</v>
      </c>
      <c r="F1377" s="44">
        <f t="shared" si="70"/>
        <v>30240</v>
      </c>
      <c r="G1377" s="45">
        <f t="shared" si="71"/>
        <v>408240</v>
      </c>
      <c r="H1377" s="46">
        <v>408240</v>
      </c>
      <c r="I1377" s="47">
        <f t="shared" si="69"/>
        <v>0</v>
      </c>
      <c r="J1377" s="48"/>
      <c r="K1377" s="49">
        <v>46127</v>
      </c>
      <c r="L1377" s="65">
        <v>4179460757</v>
      </c>
      <c r="M1377" s="3" t="s">
        <v>3781</v>
      </c>
    </row>
    <row r="1378" spans="1:13" ht="15" customHeight="1" x14ac:dyDescent="0.35">
      <c r="A1378" s="85" t="s">
        <v>123</v>
      </c>
      <c r="B1378" s="86">
        <v>6471</v>
      </c>
      <c r="C1378" s="87"/>
      <c r="D1378" s="88">
        <v>45989</v>
      </c>
      <c r="E1378" s="43">
        <v>10080000</v>
      </c>
      <c r="F1378" s="44">
        <f t="shared" si="70"/>
        <v>806400</v>
      </c>
      <c r="G1378" s="45">
        <f t="shared" si="71"/>
        <v>10886400</v>
      </c>
      <c r="H1378" s="46">
        <v>10886400</v>
      </c>
      <c r="I1378" s="47">
        <f t="shared" si="69"/>
        <v>0</v>
      </c>
      <c r="J1378" s="48"/>
      <c r="K1378" s="49">
        <v>46106</v>
      </c>
      <c r="L1378" s="65">
        <v>4179544554</v>
      </c>
    </row>
    <row r="1379" spans="1:13" ht="15" customHeight="1" x14ac:dyDescent="0.35">
      <c r="A1379" s="85" t="s">
        <v>85</v>
      </c>
      <c r="B1379" s="86">
        <v>6472</v>
      </c>
      <c r="C1379" s="87"/>
      <c r="D1379" s="88">
        <v>45989</v>
      </c>
      <c r="E1379" s="43">
        <v>1433000</v>
      </c>
      <c r="F1379" s="44">
        <f t="shared" si="70"/>
        <v>114640</v>
      </c>
      <c r="G1379" s="45">
        <f t="shared" si="71"/>
        <v>1547640</v>
      </c>
      <c r="H1379" s="46">
        <v>1547640</v>
      </c>
      <c r="I1379" s="47">
        <f t="shared" si="69"/>
        <v>0</v>
      </c>
      <c r="J1379" s="48"/>
      <c r="K1379" s="49">
        <v>46106</v>
      </c>
      <c r="L1379" s="50">
        <v>4179544544</v>
      </c>
    </row>
    <row r="1380" spans="1:13" ht="15" customHeight="1" x14ac:dyDescent="0.35">
      <c r="A1380" s="85" t="s">
        <v>29</v>
      </c>
      <c r="B1380" s="86">
        <v>6473</v>
      </c>
      <c r="C1380" s="87"/>
      <c r="D1380" s="88">
        <v>45989</v>
      </c>
      <c r="E1380" s="43">
        <v>4300000</v>
      </c>
      <c r="F1380" s="44">
        <f t="shared" si="70"/>
        <v>344000</v>
      </c>
      <c r="G1380" s="45">
        <f t="shared" si="71"/>
        <v>4644000</v>
      </c>
      <c r="H1380" s="46">
        <v>4644000</v>
      </c>
      <c r="I1380" s="47">
        <f t="shared" si="69"/>
        <v>0</v>
      </c>
      <c r="J1380" s="48"/>
      <c r="K1380" s="49">
        <v>46106</v>
      </c>
      <c r="L1380" s="65">
        <v>4179553790</v>
      </c>
    </row>
    <row r="1381" spans="1:13" ht="15" customHeight="1" x14ac:dyDescent="0.35">
      <c r="A1381" s="85" t="s">
        <v>56</v>
      </c>
      <c r="B1381" s="86">
        <v>6474</v>
      </c>
      <c r="C1381" s="87"/>
      <c r="D1381" s="88">
        <v>45989</v>
      </c>
      <c r="E1381" s="43">
        <v>3264000</v>
      </c>
      <c r="F1381" s="44">
        <f t="shared" si="70"/>
        <v>261120</v>
      </c>
      <c r="G1381" s="45">
        <f t="shared" si="71"/>
        <v>3525120</v>
      </c>
      <c r="H1381" s="46">
        <v>3525120</v>
      </c>
      <c r="I1381" s="47">
        <f t="shared" si="69"/>
        <v>0</v>
      </c>
      <c r="J1381" s="48"/>
      <c r="K1381" s="49">
        <v>46106</v>
      </c>
      <c r="L1381" s="65">
        <v>4179544532</v>
      </c>
    </row>
    <row r="1382" spans="1:13" ht="15" customHeight="1" x14ac:dyDescent="0.35">
      <c r="A1382" s="85" t="s">
        <v>56</v>
      </c>
      <c r="B1382" s="86">
        <v>6475</v>
      </c>
      <c r="C1382" s="87"/>
      <c r="D1382" s="88">
        <v>45989</v>
      </c>
      <c r="E1382" s="43">
        <v>3006000</v>
      </c>
      <c r="F1382" s="44">
        <f t="shared" si="70"/>
        <v>240480</v>
      </c>
      <c r="G1382" s="45">
        <f t="shared" si="71"/>
        <v>3246480</v>
      </c>
      <c r="H1382" s="46">
        <v>3246480</v>
      </c>
      <c r="I1382" s="47">
        <f t="shared" si="69"/>
        <v>0</v>
      </c>
      <c r="J1382" s="48"/>
      <c r="K1382" s="49">
        <v>46106</v>
      </c>
      <c r="L1382" s="65">
        <v>4179548083</v>
      </c>
    </row>
    <row r="1383" spans="1:13" ht="15" customHeight="1" x14ac:dyDescent="0.35">
      <c r="A1383" s="85" t="s">
        <v>33</v>
      </c>
      <c r="B1383" s="86">
        <v>6476</v>
      </c>
      <c r="C1383" s="87"/>
      <c r="D1383" s="88">
        <v>45989</v>
      </c>
      <c r="E1383" s="43">
        <v>8036500</v>
      </c>
      <c r="F1383" s="44">
        <f t="shared" si="70"/>
        <v>642920</v>
      </c>
      <c r="G1383" s="45">
        <f t="shared" si="71"/>
        <v>8679420</v>
      </c>
      <c r="H1383" s="46">
        <v>8679420</v>
      </c>
      <c r="I1383" s="47">
        <f t="shared" si="69"/>
        <v>0</v>
      </c>
      <c r="J1383" s="48"/>
      <c r="K1383" s="49">
        <v>46106</v>
      </c>
      <c r="L1383" s="65">
        <v>4901275566</v>
      </c>
    </row>
    <row r="1384" spans="1:13" ht="15" customHeight="1" x14ac:dyDescent="0.35">
      <c r="A1384" s="85" t="s">
        <v>33</v>
      </c>
      <c r="B1384" s="86">
        <v>6477</v>
      </c>
      <c r="C1384" s="87"/>
      <c r="D1384" s="88">
        <v>45989</v>
      </c>
      <c r="E1384" s="43">
        <v>3199500</v>
      </c>
      <c r="F1384" s="44">
        <f t="shared" si="70"/>
        <v>255960</v>
      </c>
      <c r="G1384" s="45">
        <f t="shared" si="71"/>
        <v>3455460</v>
      </c>
      <c r="H1384" s="46">
        <v>3455460</v>
      </c>
      <c r="I1384" s="47">
        <f t="shared" si="69"/>
        <v>0</v>
      </c>
      <c r="J1384" s="48"/>
      <c r="K1384" s="49">
        <v>46106</v>
      </c>
      <c r="L1384" s="65">
        <v>4901275755</v>
      </c>
    </row>
    <row r="1385" spans="1:13" ht="15" customHeight="1" x14ac:dyDescent="0.35">
      <c r="A1385" s="85" t="s">
        <v>29</v>
      </c>
      <c r="B1385" s="86">
        <v>6478</v>
      </c>
      <c r="C1385" s="87"/>
      <c r="D1385" s="88">
        <v>45989</v>
      </c>
      <c r="E1385" s="43">
        <v>1450000</v>
      </c>
      <c r="F1385" s="44">
        <f t="shared" si="70"/>
        <v>116000</v>
      </c>
      <c r="G1385" s="45">
        <f t="shared" si="71"/>
        <v>1566000</v>
      </c>
      <c r="H1385" s="46">
        <v>1566000</v>
      </c>
      <c r="I1385" s="47">
        <f t="shared" si="69"/>
        <v>0</v>
      </c>
      <c r="J1385" s="48"/>
      <c r="K1385" s="49">
        <v>46106</v>
      </c>
      <c r="L1385" s="65">
        <v>4179820782</v>
      </c>
    </row>
    <row r="1386" spans="1:13" ht="15" customHeight="1" x14ac:dyDescent="0.35">
      <c r="A1386" s="85" t="s">
        <v>33</v>
      </c>
      <c r="B1386" s="86">
        <v>6479</v>
      </c>
      <c r="C1386" s="87"/>
      <c r="D1386" s="88">
        <v>45989</v>
      </c>
      <c r="E1386" s="43">
        <v>3669500</v>
      </c>
      <c r="F1386" s="44">
        <f t="shared" si="70"/>
        <v>293560</v>
      </c>
      <c r="G1386" s="45">
        <f t="shared" si="71"/>
        <v>3963060</v>
      </c>
      <c r="H1386" s="46">
        <v>3963060</v>
      </c>
      <c r="I1386" s="47">
        <f t="shared" si="69"/>
        <v>0</v>
      </c>
      <c r="J1386" s="48"/>
      <c r="K1386" s="49">
        <v>46106</v>
      </c>
      <c r="L1386" s="50">
        <v>4901276138</v>
      </c>
    </row>
    <row r="1387" spans="1:13" ht="15" customHeight="1" x14ac:dyDescent="0.35">
      <c r="A1387" s="85" t="s">
        <v>33</v>
      </c>
      <c r="B1387" s="86">
        <v>6480</v>
      </c>
      <c r="C1387" s="87"/>
      <c r="D1387" s="88">
        <v>45989</v>
      </c>
      <c r="E1387" s="43">
        <v>20560000</v>
      </c>
      <c r="F1387" s="44">
        <f t="shared" si="70"/>
        <v>1644800</v>
      </c>
      <c r="G1387" s="45">
        <f t="shared" si="71"/>
        <v>22204800</v>
      </c>
      <c r="H1387" s="46">
        <v>22204800</v>
      </c>
      <c r="I1387" s="47">
        <f t="shared" si="69"/>
        <v>0</v>
      </c>
      <c r="J1387" s="48"/>
      <c r="K1387" s="49">
        <v>46106</v>
      </c>
      <c r="L1387" s="50">
        <v>4901276264</v>
      </c>
    </row>
    <row r="1388" spans="1:13" ht="15" customHeight="1" x14ac:dyDescent="0.35">
      <c r="A1388" s="85" t="s">
        <v>29</v>
      </c>
      <c r="B1388" s="86">
        <v>6482</v>
      </c>
      <c r="C1388" s="87"/>
      <c r="D1388" s="88">
        <v>45989</v>
      </c>
      <c r="E1388" s="43">
        <v>12651000</v>
      </c>
      <c r="F1388" s="44">
        <f t="shared" si="70"/>
        <v>1012080</v>
      </c>
      <c r="G1388" s="45">
        <f t="shared" si="71"/>
        <v>13663080</v>
      </c>
      <c r="H1388" s="46">
        <v>13663080</v>
      </c>
      <c r="I1388" s="47">
        <f t="shared" si="69"/>
        <v>0</v>
      </c>
      <c r="J1388" s="48"/>
      <c r="K1388" s="49">
        <v>46106</v>
      </c>
      <c r="L1388" s="65">
        <v>4179905301</v>
      </c>
    </row>
    <row r="1389" spans="1:13" ht="15" customHeight="1" x14ac:dyDescent="0.35">
      <c r="A1389" s="85" t="s">
        <v>3227</v>
      </c>
      <c r="B1389" s="86">
        <v>6483</v>
      </c>
      <c r="C1389" s="87"/>
      <c r="D1389" s="88">
        <v>45989</v>
      </c>
      <c r="E1389" s="43">
        <v>520000</v>
      </c>
      <c r="F1389" s="44">
        <f t="shared" si="70"/>
        <v>41600</v>
      </c>
      <c r="G1389" s="45">
        <f t="shared" si="71"/>
        <v>561600</v>
      </c>
      <c r="H1389" s="46">
        <v>561600</v>
      </c>
      <c r="I1389" s="47">
        <f t="shared" si="69"/>
        <v>0</v>
      </c>
      <c r="J1389" s="48"/>
      <c r="K1389" s="49">
        <v>46106</v>
      </c>
      <c r="L1389" s="50">
        <v>4179905264</v>
      </c>
    </row>
    <row r="1390" spans="1:13" ht="15" customHeight="1" x14ac:dyDescent="0.35">
      <c r="A1390" s="85" t="s">
        <v>37</v>
      </c>
      <c r="B1390" s="86">
        <v>6484</v>
      </c>
      <c r="C1390" s="87"/>
      <c r="D1390" s="88">
        <v>45989</v>
      </c>
      <c r="E1390" s="43">
        <v>14892000</v>
      </c>
      <c r="F1390" s="44">
        <f t="shared" si="70"/>
        <v>1191360</v>
      </c>
      <c r="G1390" s="45">
        <f t="shared" si="71"/>
        <v>16083360</v>
      </c>
      <c r="H1390" s="46">
        <v>16083360</v>
      </c>
      <c r="I1390" s="47">
        <f t="shared" si="69"/>
        <v>0</v>
      </c>
      <c r="J1390" s="48"/>
      <c r="K1390" s="49">
        <v>46106</v>
      </c>
      <c r="L1390" s="65">
        <v>4179900814</v>
      </c>
    </row>
    <row r="1391" spans="1:13" ht="15" customHeight="1" x14ac:dyDescent="0.35">
      <c r="A1391" s="85" t="s">
        <v>85</v>
      </c>
      <c r="B1391" s="86">
        <v>6485</v>
      </c>
      <c r="C1391" s="87"/>
      <c r="D1391" s="88">
        <v>45989</v>
      </c>
      <c r="E1391" s="43">
        <v>4352000</v>
      </c>
      <c r="F1391" s="44">
        <f t="shared" si="70"/>
        <v>348160</v>
      </c>
      <c r="G1391" s="45">
        <f t="shared" si="71"/>
        <v>4700160</v>
      </c>
      <c r="H1391" s="46">
        <v>4700160</v>
      </c>
      <c r="I1391" s="47">
        <f t="shared" si="69"/>
        <v>0</v>
      </c>
      <c r="J1391" s="48"/>
      <c r="K1391" s="49">
        <v>46106</v>
      </c>
      <c r="L1391" s="65">
        <v>4179900765</v>
      </c>
    </row>
    <row r="1392" spans="1:13" ht="15" customHeight="1" x14ac:dyDescent="0.35">
      <c r="A1392" s="85" t="s">
        <v>123</v>
      </c>
      <c r="B1392" s="86">
        <v>6486</v>
      </c>
      <c r="C1392" s="87"/>
      <c r="D1392" s="88">
        <v>45989</v>
      </c>
      <c r="E1392" s="43">
        <v>9504000</v>
      </c>
      <c r="F1392" s="44">
        <f t="shared" si="70"/>
        <v>760320</v>
      </c>
      <c r="G1392" s="45">
        <f t="shared" si="71"/>
        <v>10264320</v>
      </c>
      <c r="H1392" s="46">
        <v>10264320</v>
      </c>
      <c r="I1392" s="47">
        <f t="shared" si="69"/>
        <v>0</v>
      </c>
      <c r="J1392" s="48"/>
      <c r="K1392" s="49">
        <v>46106</v>
      </c>
      <c r="L1392" s="65">
        <v>4179900788</v>
      </c>
    </row>
    <row r="1393" spans="1:12" ht="15" customHeight="1" x14ac:dyDescent="0.35">
      <c r="A1393" s="85" t="s">
        <v>63</v>
      </c>
      <c r="B1393" s="86">
        <v>6487</v>
      </c>
      <c r="C1393" s="87"/>
      <c r="D1393" s="88">
        <v>45989</v>
      </c>
      <c r="E1393" s="43">
        <v>520000</v>
      </c>
      <c r="F1393" s="44">
        <f t="shared" si="70"/>
        <v>41600</v>
      </c>
      <c r="G1393" s="45">
        <f t="shared" si="71"/>
        <v>561600</v>
      </c>
      <c r="H1393" s="46">
        <v>561600</v>
      </c>
      <c r="I1393" s="47">
        <f t="shared" si="69"/>
        <v>0</v>
      </c>
      <c r="J1393" s="48"/>
      <c r="K1393" s="49">
        <v>46106</v>
      </c>
      <c r="L1393" s="50">
        <v>4179900702</v>
      </c>
    </row>
    <row r="1394" spans="1:12" ht="15" customHeight="1" x14ac:dyDescent="0.35">
      <c r="A1394" s="85" t="s">
        <v>123</v>
      </c>
      <c r="B1394" s="86">
        <v>6488</v>
      </c>
      <c r="C1394" s="87"/>
      <c r="D1394" s="88">
        <v>45989</v>
      </c>
      <c r="E1394" s="43">
        <v>1060000</v>
      </c>
      <c r="F1394" s="44">
        <f t="shared" si="70"/>
        <v>84800</v>
      </c>
      <c r="G1394" s="45">
        <f t="shared" si="71"/>
        <v>1144800</v>
      </c>
      <c r="H1394" s="46">
        <v>1144800</v>
      </c>
      <c r="I1394" s="47">
        <f t="shared" si="69"/>
        <v>0</v>
      </c>
      <c r="J1394" s="48"/>
      <c r="K1394" s="49">
        <v>46106</v>
      </c>
      <c r="L1394" s="65">
        <v>4179789069</v>
      </c>
    </row>
    <row r="1395" spans="1:12" ht="15" customHeight="1" x14ac:dyDescent="0.35">
      <c r="A1395" s="85" t="s">
        <v>85</v>
      </c>
      <c r="B1395" s="86">
        <v>6489</v>
      </c>
      <c r="C1395" s="87"/>
      <c r="D1395" s="88">
        <v>45989</v>
      </c>
      <c r="E1395" s="43">
        <v>868000</v>
      </c>
      <c r="F1395" s="44">
        <f t="shared" si="70"/>
        <v>69440</v>
      </c>
      <c r="G1395" s="45">
        <f t="shared" si="71"/>
        <v>937440</v>
      </c>
      <c r="H1395" s="46">
        <v>937440</v>
      </c>
      <c r="I1395" s="47">
        <f t="shared" si="69"/>
        <v>0</v>
      </c>
      <c r="J1395" s="48"/>
      <c r="K1395" s="49">
        <v>46106</v>
      </c>
      <c r="L1395" s="50">
        <v>4179789095</v>
      </c>
    </row>
    <row r="1396" spans="1:12" ht="15" customHeight="1" x14ac:dyDescent="0.35">
      <c r="A1396" s="85" t="s">
        <v>56</v>
      </c>
      <c r="B1396" s="86">
        <v>6490</v>
      </c>
      <c r="C1396" s="87"/>
      <c r="D1396" s="88">
        <v>45989</v>
      </c>
      <c r="E1396" s="43">
        <v>340200</v>
      </c>
      <c r="F1396" s="44">
        <f t="shared" si="70"/>
        <v>27216</v>
      </c>
      <c r="G1396" s="45">
        <f t="shared" si="71"/>
        <v>367416</v>
      </c>
      <c r="H1396" s="46">
        <v>367416</v>
      </c>
      <c r="I1396" s="47">
        <f t="shared" si="69"/>
        <v>0</v>
      </c>
      <c r="J1396" s="48"/>
      <c r="K1396" s="49">
        <v>46106</v>
      </c>
      <c r="L1396" s="65">
        <v>4179719055</v>
      </c>
    </row>
    <row r="1397" spans="1:12" ht="15" customHeight="1" x14ac:dyDescent="0.35">
      <c r="A1397" s="85" t="s">
        <v>85</v>
      </c>
      <c r="B1397" s="86"/>
      <c r="C1397" s="87"/>
      <c r="D1397" s="88"/>
      <c r="E1397" s="43">
        <v>324000</v>
      </c>
      <c r="F1397" s="44"/>
      <c r="G1397" s="45"/>
      <c r="H1397" s="46"/>
      <c r="I1397" s="47">
        <f t="shared" si="69"/>
        <v>0</v>
      </c>
      <c r="J1397" s="48" t="s">
        <v>36</v>
      </c>
      <c r="K1397" s="49"/>
      <c r="L1397" s="50">
        <v>4179719323</v>
      </c>
    </row>
    <row r="1398" spans="1:12" ht="15" customHeight="1" x14ac:dyDescent="0.35">
      <c r="A1398" s="85" t="s">
        <v>37</v>
      </c>
      <c r="B1398" s="86">
        <v>6491</v>
      </c>
      <c r="C1398" s="87"/>
      <c r="D1398" s="88">
        <v>45989</v>
      </c>
      <c r="E1398" s="43">
        <v>2187000</v>
      </c>
      <c r="F1398" s="44">
        <f t="shared" si="70"/>
        <v>174960</v>
      </c>
      <c r="G1398" s="45">
        <f t="shared" si="71"/>
        <v>2361960</v>
      </c>
      <c r="H1398" s="46">
        <v>2361960</v>
      </c>
      <c r="I1398" s="47">
        <f t="shared" si="69"/>
        <v>0</v>
      </c>
      <c r="J1398" s="48"/>
      <c r="K1398" s="49">
        <v>46106</v>
      </c>
      <c r="L1398" s="65">
        <v>4179719218</v>
      </c>
    </row>
    <row r="1399" spans="1:12" ht="15" customHeight="1" x14ac:dyDescent="0.35">
      <c r="A1399" s="85" t="s">
        <v>37</v>
      </c>
      <c r="B1399" s="86">
        <v>6492</v>
      </c>
      <c r="C1399" s="87"/>
      <c r="D1399" s="88">
        <v>45989</v>
      </c>
      <c r="E1399" s="43">
        <v>486000</v>
      </c>
      <c r="F1399" s="44">
        <f t="shared" si="70"/>
        <v>38880</v>
      </c>
      <c r="G1399" s="45">
        <f t="shared" si="71"/>
        <v>524880</v>
      </c>
      <c r="H1399" s="46">
        <v>524880</v>
      </c>
      <c r="I1399" s="47">
        <f t="shared" si="69"/>
        <v>0</v>
      </c>
      <c r="J1399" s="48"/>
      <c r="K1399" s="49">
        <v>46106</v>
      </c>
      <c r="L1399" s="50">
        <v>4179921360</v>
      </c>
    </row>
    <row r="1400" spans="1:12" ht="15" customHeight="1" x14ac:dyDescent="0.35">
      <c r="A1400" s="85" t="s">
        <v>56</v>
      </c>
      <c r="B1400" s="86">
        <v>6493</v>
      </c>
      <c r="C1400" s="87"/>
      <c r="D1400" s="88">
        <v>45989</v>
      </c>
      <c r="E1400" s="43">
        <v>388800</v>
      </c>
      <c r="F1400" s="44">
        <f t="shared" si="70"/>
        <v>31104</v>
      </c>
      <c r="G1400" s="45">
        <f t="shared" si="71"/>
        <v>419904</v>
      </c>
      <c r="H1400" s="46">
        <v>419904</v>
      </c>
      <c r="I1400" s="47">
        <f t="shared" si="69"/>
        <v>0</v>
      </c>
      <c r="J1400" s="48"/>
      <c r="K1400" s="49">
        <v>46106</v>
      </c>
      <c r="L1400" s="65">
        <v>4179921247</v>
      </c>
    </row>
    <row r="1401" spans="1:12" ht="15" customHeight="1" x14ac:dyDescent="0.35">
      <c r="A1401" s="85" t="s">
        <v>3227</v>
      </c>
      <c r="B1401" s="86">
        <v>6494</v>
      </c>
      <c r="C1401" s="87"/>
      <c r="D1401" s="88">
        <v>45989</v>
      </c>
      <c r="E1401" s="43">
        <v>1560000</v>
      </c>
      <c r="F1401" s="44">
        <f t="shared" si="70"/>
        <v>124800</v>
      </c>
      <c r="G1401" s="45">
        <f t="shared" si="71"/>
        <v>1684800</v>
      </c>
      <c r="H1401" s="46">
        <v>1684800</v>
      </c>
      <c r="I1401" s="47">
        <f t="shared" si="69"/>
        <v>0</v>
      </c>
      <c r="J1401" s="48"/>
      <c r="K1401" s="49">
        <v>46106</v>
      </c>
      <c r="L1401" s="50">
        <v>4180117486</v>
      </c>
    </row>
    <row r="1402" spans="1:12" ht="15" customHeight="1" x14ac:dyDescent="0.35">
      <c r="A1402" s="85" t="s">
        <v>29</v>
      </c>
      <c r="B1402" s="86">
        <v>6495</v>
      </c>
      <c r="C1402" s="87"/>
      <c r="D1402" s="88">
        <v>45989</v>
      </c>
      <c r="E1402" s="43">
        <v>810000</v>
      </c>
      <c r="F1402" s="44">
        <f t="shared" si="70"/>
        <v>64800</v>
      </c>
      <c r="G1402" s="45">
        <f t="shared" si="71"/>
        <v>874800</v>
      </c>
      <c r="H1402" s="46">
        <v>874800</v>
      </c>
      <c r="I1402" s="47">
        <f t="shared" si="69"/>
        <v>0</v>
      </c>
      <c r="J1402" s="48"/>
      <c r="K1402" s="49">
        <v>46106</v>
      </c>
      <c r="L1402" s="50">
        <v>4180071846</v>
      </c>
    </row>
    <row r="1403" spans="1:12" ht="15" customHeight="1" x14ac:dyDescent="0.35">
      <c r="A1403" s="85" t="s">
        <v>37</v>
      </c>
      <c r="B1403" s="86">
        <v>6558</v>
      </c>
      <c r="C1403" s="87"/>
      <c r="D1403" s="88">
        <v>45990</v>
      </c>
      <c r="E1403" s="43">
        <v>1240000</v>
      </c>
      <c r="F1403" s="44">
        <f t="shared" si="70"/>
        <v>99200</v>
      </c>
      <c r="G1403" s="45">
        <f t="shared" si="71"/>
        <v>1339200</v>
      </c>
      <c r="H1403" s="46">
        <v>1339200</v>
      </c>
      <c r="I1403" s="47">
        <f t="shared" si="69"/>
        <v>0</v>
      </c>
      <c r="J1403" s="48"/>
      <c r="K1403" s="49">
        <v>46106</v>
      </c>
      <c r="L1403" s="65">
        <v>4180108200</v>
      </c>
    </row>
    <row r="1404" spans="1:12" ht="15" customHeight="1" x14ac:dyDescent="0.35">
      <c r="A1404" s="85" t="s">
        <v>37</v>
      </c>
      <c r="B1404" s="86">
        <v>6559</v>
      </c>
      <c r="C1404" s="87"/>
      <c r="D1404" s="88">
        <v>45990</v>
      </c>
      <c r="E1404" s="43">
        <v>810000</v>
      </c>
      <c r="F1404" s="44">
        <f t="shared" si="70"/>
        <v>64800</v>
      </c>
      <c r="G1404" s="45">
        <f t="shared" si="71"/>
        <v>874800</v>
      </c>
      <c r="H1404" s="46">
        <v>874800</v>
      </c>
      <c r="I1404" s="47">
        <f t="shared" si="69"/>
        <v>0</v>
      </c>
      <c r="J1404" s="48"/>
      <c r="K1404" s="49">
        <v>46106</v>
      </c>
      <c r="L1404" s="65">
        <v>4180071986</v>
      </c>
    </row>
    <row r="1405" spans="1:12" ht="15" customHeight="1" x14ac:dyDescent="0.35">
      <c r="A1405" s="85" t="s">
        <v>85</v>
      </c>
      <c r="B1405" s="86">
        <v>6560</v>
      </c>
      <c r="C1405" s="87"/>
      <c r="D1405" s="88">
        <v>45990</v>
      </c>
      <c r="E1405" s="43">
        <v>640000</v>
      </c>
      <c r="F1405" s="44">
        <f t="shared" si="70"/>
        <v>51200</v>
      </c>
      <c r="G1405" s="45">
        <f t="shared" si="71"/>
        <v>691200</v>
      </c>
      <c r="H1405" s="46">
        <v>691200</v>
      </c>
      <c r="I1405" s="47">
        <f t="shared" si="69"/>
        <v>0</v>
      </c>
      <c r="J1405" s="48"/>
      <c r="K1405" s="49">
        <v>46106</v>
      </c>
      <c r="L1405" s="65">
        <v>4180108246</v>
      </c>
    </row>
    <row r="1406" spans="1:12" ht="15" customHeight="1" x14ac:dyDescent="0.35">
      <c r="A1406" s="85" t="s">
        <v>29</v>
      </c>
      <c r="B1406" s="86"/>
      <c r="C1406" s="87"/>
      <c r="D1406" s="88"/>
      <c r="E1406" s="43">
        <v>820000</v>
      </c>
      <c r="F1406" s="44"/>
      <c r="G1406" s="45"/>
      <c r="H1406" s="46"/>
      <c r="I1406" s="47">
        <f t="shared" si="69"/>
        <v>0</v>
      </c>
      <c r="J1406" s="48" t="s">
        <v>62</v>
      </c>
      <c r="K1406" s="49"/>
      <c r="L1406" s="50">
        <v>4180117526</v>
      </c>
    </row>
    <row r="1407" spans="1:12" ht="15" customHeight="1" x14ac:dyDescent="0.35">
      <c r="A1407" s="85" t="s">
        <v>29</v>
      </c>
      <c r="B1407" s="86">
        <v>6561</v>
      </c>
      <c r="C1407" s="87"/>
      <c r="D1407" s="88">
        <v>45990</v>
      </c>
      <c r="E1407" s="43">
        <v>2260000</v>
      </c>
      <c r="F1407" s="44">
        <f t="shared" si="70"/>
        <v>180800</v>
      </c>
      <c r="G1407" s="45">
        <f t="shared" si="71"/>
        <v>2440800</v>
      </c>
      <c r="H1407" s="46">
        <v>2440800</v>
      </c>
      <c r="I1407" s="47">
        <f t="shared" si="69"/>
        <v>0</v>
      </c>
      <c r="J1407" s="48"/>
      <c r="K1407" s="49">
        <v>46106</v>
      </c>
      <c r="L1407" s="50">
        <v>4180157990</v>
      </c>
    </row>
    <row r="1408" spans="1:12" ht="15" customHeight="1" x14ac:dyDescent="0.35">
      <c r="A1408" s="85" t="s">
        <v>3227</v>
      </c>
      <c r="B1408" s="86"/>
      <c r="C1408" s="87"/>
      <c r="D1408" s="88"/>
      <c r="E1408" s="43">
        <v>810000</v>
      </c>
      <c r="F1408" s="44"/>
      <c r="G1408" s="45"/>
      <c r="H1408" s="46"/>
      <c r="I1408" s="47">
        <f t="shared" si="69"/>
        <v>0</v>
      </c>
      <c r="J1408" s="48" t="s">
        <v>62</v>
      </c>
      <c r="K1408" s="49"/>
      <c r="L1408" s="50">
        <v>4180158700</v>
      </c>
    </row>
    <row r="1409" spans="1:12" ht="15" customHeight="1" x14ac:dyDescent="0.35">
      <c r="A1409" s="85" t="s">
        <v>37</v>
      </c>
      <c r="B1409" s="86">
        <v>6562</v>
      </c>
      <c r="C1409" s="87"/>
      <c r="D1409" s="88">
        <v>45990</v>
      </c>
      <c r="E1409" s="43">
        <v>972000</v>
      </c>
      <c r="F1409" s="44">
        <f t="shared" si="70"/>
        <v>77760</v>
      </c>
      <c r="G1409" s="45">
        <f t="shared" si="71"/>
        <v>1049760</v>
      </c>
      <c r="H1409" s="46">
        <v>1049760</v>
      </c>
      <c r="I1409" s="47">
        <f t="shared" ref="I1409:I1472" si="72">G1409-H1409</f>
        <v>0</v>
      </c>
      <c r="J1409" s="48"/>
      <c r="K1409" s="49">
        <v>46106</v>
      </c>
      <c r="L1409" s="50">
        <v>4180157523</v>
      </c>
    </row>
    <row r="1410" spans="1:12" ht="15" customHeight="1" x14ac:dyDescent="0.35">
      <c r="A1410" s="85" t="s">
        <v>33</v>
      </c>
      <c r="B1410" s="86">
        <v>6563</v>
      </c>
      <c r="C1410" s="87"/>
      <c r="D1410" s="88">
        <v>45990</v>
      </c>
      <c r="E1410" s="43">
        <v>2260000</v>
      </c>
      <c r="F1410" s="44">
        <f t="shared" ref="F1410:F1473" si="73">+E1410*0.08</f>
        <v>180800</v>
      </c>
      <c r="G1410" s="45">
        <f t="shared" ref="G1410:G1473" si="74">E1410+F1410</f>
        <v>2440800</v>
      </c>
      <c r="H1410" s="46">
        <v>2440800</v>
      </c>
      <c r="I1410" s="47">
        <f t="shared" si="72"/>
        <v>0</v>
      </c>
      <c r="J1410" s="48"/>
      <c r="K1410" s="49">
        <v>46106</v>
      </c>
      <c r="L1410" s="50">
        <v>4901276861</v>
      </c>
    </row>
    <row r="1411" spans="1:12" ht="15" customHeight="1" x14ac:dyDescent="0.35">
      <c r="A1411" s="85" t="s">
        <v>37</v>
      </c>
      <c r="B1411" s="86">
        <v>6564</v>
      </c>
      <c r="C1411" s="87"/>
      <c r="D1411" s="88">
        <v>45990</v>
      </c>
      <c r="E1411" s="43">
        <v>810000</v>
      </c>
      <c r="F1411" s="44">
        <f t="shared" si="73"/>
        <v>64800</v>
      </c>
      <c r="G1411" s="45">
        <f t="shared" si="74"/>
        <v>874800</v>
      </c>
      <c r="H1411" s="46">
        <v>874800</v>
      </c>
      <c r="I1411" s="47">
        <f t="shared" si="72"/>
        <v>0</v>
      </c>
      <c r="J1411" s="48"/>
      <c r="K1411" s="49">
        <v>46106</v>
      </c>
      <c r="L1411" s="50">
        <v>4180180970</v>
      </c>
    </row>
    <row r="1412" spans="1:12" ht="15" customHeight="1" x14ac:dyDescent="0.35">
      <c r="A1412" s="85" t="s">
        <v>56</v>
      </c>
      <c r="B1412" s="86">
        <v>6565</v>
      </c>
      <c r="C1412" s="87"/>
      <c r="D1412" s="88">
        <v>45990</v>
      </c>
      <c r="E1412" s="43">
        <v>256000</v>
      </c>
      <c r="F1412" s="44">
        <f t="shared" si="73"/>
        <v>20480</v>
      </c>
      <c r="G1412" s="45">
        <f t="shared" si="74"/>
        <v>276480</v>
      </c>
      <c r="H1412" s="46">
        <v>276480</v>
      </c>
      <c r="I1412" s="47">
        <f t="shared" si="72"/>
        <v>0</v>
      </c>
      <c r="J1412" s="48"/>
      <c r="K1412" s="49">
        <v>46106</v>
      </c>
      <c r="L1412" s="50">
        <v>4180227453</v>
      </c>
    </row>
    <row r="1413" spans="1:12" ht="15" customHeight="1" x14ac:dyDescent="0.35">
      <c r="A1413" s="85" t="s">
        <v>85</v>
      </c>
      <c r="B1413" s="86">
        <v>6566</v>
      </c>
      <c r="C1413" s="87"/>
      <c r="D1413" s="88">
        <v>45990</v>
      </c>
      <c r="E1413" s="43">
        <v>2520000</v>
      </c>
      <c r="F1413" s="44">
        <f t="shared" si="73"/>
        <v>201600</v>
      </c>
      <c r="G1413" s="45">
        <f t="shared" si="74"/>
        <v>2721600</v>
      </c>
      <c r="H1413" s="46">
        <v>2721600</v>
      </c>
      <c r="I1413" s="47">
        <f t="shared" si="72"/>
        <v>0</v>
      </c>
      <c r="J1413" s="48"/>
      <c r="K1413" s="49">
        <v>46106</v>
      </c>
      <c r="L1413" s="50">
        <v>4180227452</v>
      </c>
    </row>
    <row r="1414" spans="1:12" ht="15" customHeight="1" x14ac:dyDescent="0.35">
      <c r="A1414" s="85" t="s">
        <v>29</v>
      </c>
      <c r="B1414" s="86">
        <v>6567</v>
      </c>
      <c r="C1414" s="87"/>
      <c r="D1414" s="88">
        <v>45990</v>
      </c>
      <c r="E1414" s="43">
        <v>19118000</v>
      </c>
      <c r="F1414" s="44">
        <f t="shared" si="73"/>
        <v>1529440</v>
      </c>
      <c r="G1414" s="45">
        <f t="shared" si="74"/>
        <v>20647440</v>
      </c>
      <c r="H1414" s="46">
        <v>20647440</v>
      </c>
      <c r="I1414" s="47">
        <f t="shared" si="72"/>
        <v>0</v>
      </c>
      <c r="J1414" s="48"/>
      <c r="K1414" s="49">
        <v>46106</v>
      </c>
      <c r="L1414" s="50">
        <v>4180224871</v>
      </c>
    </row>
    <row r="1415" spans="1:12" ht="15" customHeight="1" x14ac:dyDescent="0.35">
      <c r="A1415" s="85" t="s">
        <v>33</v>
      </c>
      <c r="B1415" s="86">
        <v>6568</v>
      </c>
      <c r="C1415" s="87"/>
      <c r="D1415" s="88">
        <v>45990</v>
      </c>
      <c r="E1415" s="43">
        <v>520000</v>
      </c>
      <c r="F1415" s="44">
        <f t="shared" si="73"/>
        <v>41600</v>
      </c>
      <c r="G1415" s="45">
        <f t="shared" si="74"/>
        <v>561600</v>
      </c>
      <c r="H1415" s="46">
        <v>561600</v>
      </c>
      <c r="I1415" s="47">
        <f t="shared" si="72"/>
        <v>0</v>
      </c>
      <c r="J1415" s="48"/>
      <c r="K1415" s="49">
        <v>46106</v>
      </c>
      <c r="L1415" s="50">
        <v>4901277025</v>
      </c>
    </row>
    <row r="1416" spans="1:12" ht="15" customHeight="1" x14ac:dyDescent="0.35">
      <c r="A1416" s="85" t="s">
        <v>37</v>
      </c>
      <c r="B1416" s="86">
        <v>6569</v>
      </c>
      <c r="C1416" s="87"/>
      <c r="D1416" s="88">
        <v>45990</v>
      </c>
      <c r="E1416" s="43">
        <v>22448000</v>
      </c>
      <c r="F1416" s="44">
        <f t="shared" si="73"/>
        <v>1795840</v>
      </c>
      <c r="G1416" s="45">
        <f t="shared" si="74"/>
        <v>24243840</v>
      </c>
      <c r="H1416" s="46">
        <v>24243840</v>
      </c>
      <c r="I1416" s="47">
        <f t="shared" si="72"/>
        <v>0</v>
      </c>
      <c r="J1416" s="48"/>
      <c r="K1416" s="49">
        <v>46106</v>
      </c>
      <c r="L1416" s="50">
        <v>4180227444</v>
      </c>
    </row>
    <row r="1417" spans="1:12" ht="15" customHeight="1" x14ac:dyDescent="0.35">
      <c r="A1417" s="85" t="s">
        <v>29</v>
      </c>
      <c r="B1417" s="86">
        <v>7129</v>
      </c>
      <c r="C1417" s="87"/>
      <c r="D1417" s="88">
        <v>46004</v>
      </c>
      <c r="E1417" s="43">
        <v>13606000</v>
      </c>
      <c r="F1417" s="44">
        <f t="shared" si="73"/>
        <v>1088480</v>
      </c>
      <c r="G1417" s="45">
        <f t="shared" si="74"/>
        <v>14694480</v>
      </c>
      <c r="H1417" s="46">
        <v>14694480</v>
      </c>
      <c r="I1417" s="47">
        <f t="shared" si="72"/>
        <v>0</v>
      </c>
      <c r="J1417" s="48">
        <v>46006</v>
      </c>
      <c r="K1417" s="49">
        <v>46106</v>
      </c>
      <c r="L1417" s="50">
        <v>4180399373</v>
      </c>
    </row>
    <row r="1418" spans="1:12" ht="15" customHeight="1" x14ac:dyDescent="0.35">
      <c r="A1418" s="85" t="s">
        <v>29</v>
      </c>
      <c r="B1418" s="86">
        <v>7130</v>
      </c>
      <c r="C1418" s="87"/>
      <c r="D1418" s="88">
        <v>46004</v>
      </c>
      <c r="E1418" s="43">
        <v>1620000</v>
      </c>
      <c r="F1418" s="44">
        <f t="shared" si="73"/>
        <v>129600</v>
      </c>
      <c r="G1418" s="45">
        <f t="shared" si="74"/>
        <v>1749600</v>
      </c>
      <c r="H1418" s="46">
        <v>1749600</v>
      </c>
      <c r="I1418" s="47">
        <f t="shared" si="72"/>
        <v>0</v>
      </c>
      <c r="J1418" s="48">
        <v>46006</v>
      </c>
      <c r="K1418" s="49">
        <v>46106</v>
      </c>
      <c r="L1418" s="50">
        <v>4180331579</v>
      </c>
    </row>
    <row r="1419" spans="1:12" ht="15" customHeight="1" x14ac:dyDescent="0.35">
      <c r="A1419" s="85" t="s">
        <v>85</v>
      </c>
      <c r="B1419" s="86">
        <v>7131</v>
      </c>
      <c r="C1419" s="87"/>
      <c r="D1419" s="88">
        <v>46004</v>
      </c>
      <c r="E1419" s="43">
        <v>1684800</v>
      </c>
      <c r="F1419" s="44">
        <f t="shared" si="73"/>
        <v>134784</v>
      </c>
      <c r="G1419" s="45">
        <f t="shared" si="74"/>
        <v>1819584</v>
      </c>
      <c r="H1419" s="46">
        <v>1819584</v>
      </c>
      <c r="I1419" s="47">
        <f t="shared" si="72"/>
        <v>0</v>
      </c>
      <c r="J1419" s="48">
        <v>46006</v>
      </c>
      <c r="K1419" s="49">
        <v>46106</v>
      </c>
      <c r="L1419" s="50">
        <v>4180397869</v>
      </c>
    </row>
    <row r="1420" spans="1:12" ht="15" customHeight="1" x14ac:dyDescent="0.35">
      <c r="A1420" s="85" t="s">
        <v>123</v>
      </c>
      <c r="B1420" s="86">
        <v>6570</v>
      </c>
      <c r="C1420" s="87"/>
      <c r="D1420" s="88">
        <v>45990</v>
      </c>
      <c r="E1420" s="43">
        <v>1630000</v>
      </c>
      <c r="F1420" s="44">
        <f t="shared" si="73"/>
        <v>130400</v>
      </c>
      <c r="G1420" s="45">
        <f t="shared" si="74"/>
        <v>1760400</v>
      </c>
      <c r="H1420" s="46">
        <v>1760400</v>
      </c>
      <c r="I1420" s="47">
        <f t="shared" si="72"/>
        <v>0</v>
      </c>
      <c r="J1420" s="48"/>
      <c r="K1420" s="49">
        <v>46106</v>
      </c>
      <c r="L1420" s="50">
        <v>4180398924</v>
      </c>
    </row>
    <row r="1421" spans="1:12" ht="15" customHeight="1" x14ac:dyDescent="0.35">
      <c r="A1421" s="85" t="s">
        <v>123</v>
      </c>
      <c r="B1421" s="86">
        <v>7132</v>
      </c>
      <c r="C1421" s="87"/>
      <c r="D1421" s="88">
        <v>46004</v>
      </c>
      <c r="E1421" s="43">
        <v>631800</v>
      </c>
      <c r="F1421" s="44">
        <f t="shared" si="73"/>
        <v>50544</v>
      </c>
      <c r="G1421" s="45">
        <f t="shared" si="74"/>
        <v>682344</v>
      </c>
      <c r="H1421" s="46">
        <v>682344</v>
      </c>
      <c r="I1421" s="47">
        <f t="shared" si="72"/>
        <v>0</v>
      </c>
      <c r="J1421" s="48">
        <v>46006</v>
      </c>
      <c r="K1421" s="49">
        <v>46106</v>
      </c>
      <c r="L1421" s="50">
        <v>4180434101</v>
      </c>
    </row>
    <row r="1422" spans="1:12" ht="15" customHeight="1" x14ac:dyDescent="0.35">
      <c r="A1422" s="85" t="s">
        <v>85</v>
      </c>
      <c r="B1422" s="86">
        <v>7133</v>
      </c>
      <c r="C1422" s="87"/>
      <c r="D1422" s="88">
        <v>46004</v>
      </c>
      <c r="E1422" s="43">
        <v>729000</v>
      </c>
      <c r="F1422" s="44">
        <f t="shared" si="73"/>
        <v>58320</v>
      </c>
      <c r="G1422" s="45">
        <f t="shared" si="74"/>
        <v>787320</v>
      </c>
      <c r="H1422" s="46">
        <v>787320</v>
      </c>
      <c r="I1422" s="47">
        <f t="shared" si="72"/>
        <v>0</v>
      </c>
      <c r="J1422" s="48">
        <v>46006</v>
      </c>
      <c r="K1422" s="49">
        <v>46106</v>
      </c>
      <c r="L1422" s="50">
        <v>4180438335</v>
      </c>
    </row>
    <row r="1423" spans="1:12" ht="15" customHeight="1" x14ac:dyDescent="0.35">
      <c r="A1423" s="85" t="s">
        <v>123</v>
      </c>
      <c r="B1423" s="86">
        <v>7134</v>
      </c>
      <c r="C1423" s="87"/>
      <c r="D1423" s="88">
        <v>46004</v>
      </c>
      <c r="E1423" s="43">
        <v>1260000</v>
      </c>
      <c r="F1423" s="44">
        <f t="shared" si="73"/>
        <v>100800</v>
      </c>
      <c r="G1423" s="45">
        <f t="shared" si="74"/>
        <v>1360800</v>
      </c>
      <c r="H1423" s="46">
        <v>1360800</v>
      </c>
      <c r="I1423" s="47">
        <f t="shared" si="72"/>
        <v>0</v>
      </c>
      <c r="J1423" s="48">
        <v>46006</v>
      </c>
      <c r="K1423" s="49">
        <v>46106</v>
      </c>
      <c r="L1423" s="50">
        <v>4180478403</v>
      </c>
    </row>
    <row r="1424" spans="1:12" ht="15" customHeight="1" x14ac:dyDescent="0.35">
      <c r="A1424" s="85" t="s">
        <v>29</v>
      </c>
      <c r="B1424" s="86">
        <v>7135</v>
      </c>
      <c r="C1424" s="87"/>
      <c r="D1424" s="88">
        <v>46004</v>
      </c>
      <c r="E1424" s="43">
        <v>2260000</v>
      </c>
      <c r="F1424" s="44">
        <f t="shared" si="73"/>
        <v>180800</v>
      </c>
      <c r="G1424" s="45">
        <f t="shared" si="74"/>
        <v>2440800</v>
      </c>
      <c r="H1424" s="46">
        <v>2440800</v>
      </c>
      <c r="I1424" s="47">
        <f t="shared" si="72"/>
        <v>0</v>
      </c>
      <c r="J1424" s="48">
        <v>46006</v>
      </c>
      <c r="K1424" s="49">
        <v>46106</v>
      </c>
      <c r="L1424" s="50">
        <v>4180491246</v>
      </c>
    </row>
    <row r="1425" spans="1:12" ht="15" customHeight="1" x14ac:dyDescent="0.35">
      <c r="A1425" s="85" t="s">
        <v>33</v>
      </c>
      <c r="B1425" s="86">
        <v>7136</v>
      </c>
      <c r="C1425" s="87"/>
      <c r="D1425" s="88">
        <v>46004</v>
      </c>
      <c r="E1425" s="43">
        <v>3664500</v>
      </c>
      <c r="F1425" s="44">
        <f t="shared" si="73"/>
        <v>293160</v>
      </c>
      <c r="G1425" s="45">
        <f t="shared" si="74"/>
        <v>3957660</v>
      </c>
      <c r="H1425" s="46">
        <v>3957660</v>
      </c>
      <c r="I1425" s="47">
        <f t="shared" si="72"/>
        <v>0</v>
      </c>
      <c r="J1425" s="48">
        <v>46006</v>
      </c>
      <c r="K1425" s="49">
        <v>46106</v>
      </c>
      <c r="L1425" s="50">
        <v>4901277408</v>
      </c>
    </row>
    <row r="1426" spans="1:12" ht="15" customHeight="1" x14ac:dyDescent="0.35">
      <c r="A1426" s="85" t="s">
        <v>123</v>
      </c>
      <c r="B1426" s="86">
        <v>7137</v>
      </c>
      <c r="C1426" s="87"/>
      <c r="D1426" s="88">
        <v>46004</v>
      </c>
      <c r="E1426" s="43">
        <v>3891000</v>
      </c>
      <c r="F1426" s="44">
        <f t="shared" si="73"/>
        <v>311280</v>
      </c>
      <c r="G1426" s="45">
        <f t="shared" si="74"/>
        <v>4202280</v>
      </c>
      <c r="H1426" s="46">
        <v>4202280</v>
      </c>
      <c r="I1426" s="47">
        <f t="shared" si="72"/>
        <v>0</v>
      </c>
      <c r="J1426" s="48">
        <v>46006</v>
      </c>
      <c r="K1426" s="49">
        <v>46106</v>
      </c>
      <c r="L1426" s="50">
        <v>4180570926</v>
      </c>
    </row>
    <row r="1427" spans="1:12" ht="15" customHeight="1" x14ac:dyDescent="0.35">
      <c r="A1427" s="85" t="s">
        <v>63</v>
      </c>
      <c r="B1427" s="86">
        <v>7138</v>
      </c>
      <c r="C1427" s="87"/>
      <c r="D1427" s="88">
        <v>46004</v>
      </c>
      <c r="E1427" s="43">
        <v>900000</v>
      </c>
      <c r="F1427" s="44">
        <f t="shared" si="73"/>
        <v>72000</v>
      </c>
      <c r="G1427" s="45">
        <f t="shared" si="74"/>
        <v>972000</v>
      </c>
      <c r="H1427" s="46">
        <v>972000</v>
      </c>
      <c r="I1427" s="47">
        <f t="shared" si="72"/>
        <v>0</v>
      </c>
      <c r="J1427" s="48">
        <v>46006</v>
      </c>
      <c r="K1427" s="49">
        <v>46106</v>
      </c>
      <c r="L1427" s="50">
        <v>4180570925</v>
      </c>
    </row>
    <row r="1428" spans="1:12" ht="15" customHeight="1" x14ac:dyDescent="0.35">
      <c r="A1428" s="85" t="s">
        <v>3227</v>
      </c>
      <c r="B1428" s="86">
        <v>7139</v>
      </c>
      <c r="C1428" s="87"/>
      <c r="D1428" s="88">
        <v>46004</v>
      </c>
      <c r="E1428" s="43">
        <v>2380000</v>
      </c>
      <c r="F1428" s="44">
        <f t="shared" si="73"/>
        <v>190400</v>
      </c>
      <c r="G1428" s="45">
        <f t="shared" si="74"/>
        <v>2570400</v>
      </c>
      <c r="H1428" s="46">
        <v>2570400</v>
      </c>
      <c r="I1428" s="47">
        <f t="shared" si="72"/>
        <v>0</v>
      </c>
      <c r="J1428" s="48">
        <v>46006</v>
      </c>
      <c r="K1428" s="49">
        <v>46106</v>
      </c>
      <c r="L1428" s="50">
        <v>4180570529</v>
      </c>
    </row>
    <row r="1429" spans="1:12" ht="15" customHeight="1" x14ac:dyDescent="0.35">
      <c r="A1429" s="85" t="s">
        <v>85</v>
      </c>
      <c r="B1429" s="86">
        <v>7140</v>
      </c>
      <c r="C1429" s="87"/>
      <c r="D1429" s="88">
        <v>46004</v>
      </c>
      <c r="E1429" s="43">
        <v>864000</v>
      </c>
      <c r="F1429" s="44">
        <f t="shared" si="73"/>
        <v>69120</v>
      </c>
      <c r="G1429" s="45">
        <f t="shared" si="74"/>
        <v>933120</v>
      </c>
      <c r="H1429" s="46">
        <v>933120</v>
      </c>
      <c r="I1429" s="47">
        <f t="shared" si="72"/>
        <v>0</v>
      </c>
      <c r="J1429" s="48">
        <v>46006</v>
      </c>
      <c r="K1429" s="49">
        <v>46106</v>
      </c>
      <c r="L1429" s="50">
        <v>4180570947</v>
      </c>
    </row>
    <row r="1430" spans="1:12" ht="15" customHeight="1" x14ac:dyDescent="0.35">
      <c r="A1430" s="85" t="s">
        <v>29</v>
      </c>
      <c r="B1430" s="86">
        <v>7141</v>
      </c>
      <c r="C1430" s="87"/>
      <c r="D1430" s="88">
        <v>46004</v>
      </c>
      <c r="E1430" s="43">
        <v>36643500</v>
      </c>
      <c r="F1430" s="44">
        <f t="shared" si="73"/>
        <v>2931480</v>
      </c>
      <c r="G1430" s="45">
        <f t="shared" si="74"/>
        <v>39574980</v>
      </c>
      <c r="H1430" s="46">
        <v>39574980</v>
      </c>
      <c r="I1430" s="47">
        <f t="shared" si="72"/>
        <v>0</v>
      </c>
      <c r="J1430" s="48">
        <v>46006</v>
      </c>
      <c r="K1430" s="49">
        <v>46106</v>
      </c>
      <c r="L1430" s="50">
        <v>4180570571</v>
      </c>
    </row>
    <row r="1431" spans="1:12" ht="15" customHeight="1" x14ac:dyDescent="0.35">
      <c r="A1431" s="85" t="s">
        <v>77</v>
      </c>
      <c r="B1431" s="86">
        <v>7142</v>
      </c>
      <c r="C1431" s="87"/>
      <c r="D1431" s="88">
        <v>46004</v>
      </c>
      <c r="E1431" s="43">
        <v>18640000</v>
      </c>
      <c r="F1431" s="44">
        <f t="shared" si="73"/>
        <v>1491200</v>
      </c>
      <c r="G1431" s="45">
        <f t="shared" si="74"/>
        <v>20131200</v>
      </c>
      <c r="H1431" s="46">
        <v>20131200</v>
      </c>
      <c r="I1431" s="47">
        <f t="shared" si="72"/>
        <v>0</v>
      </c>
      <c r="J1431" s="48">
        <v>46006</v>
      </c>
      <c r="K1431" s="49">
        <v>46106</v>
      </c>
      <c r="L1431" s="50">
        <v>4180600268</v>
      </c>
    </row>
    <row r="1432" spans="1:12" ht="15" customHeight="1" x14ac:dyDescent="0.35">
      <c r="A1432" s="85" t="s">
        <v>85</v>
      </c>
      <c r="B1432" s="86">
        <v>7143</v>
      </c>
      <c r="C1432" s="87"/>
      <c r="D1432" s="88">
        <v>46004</v>
      </c>
      <c r="E1432" s="43">
        <v>670000</v>
      </c>
      <c r="F1432" s="44">
        <f t="shared" si="73"/>
        <v>53600</v>
      </c>
      <c r="G1432" s="45">
        <f t="shared" si="74"/>
        <v>723600</v>
      </c>
      <c r="H1432" s="46">
        <v>723600</v>
      </c>
      <c r="I1432" s="47">
        <f t="shared" si="72"/>
        <v>0</v>
      </c>
      <c r="J1432" s="48">
        <v>46006</v>
      </c>
      <c r="K1432" s="49">
        <v>46106</v>
      </c>
      <c r="L1432" s="50">
        <v>4180602626</v>
      </c>
    </row>
    <row r="1433" spans="1:12" ht="15" customHeight="1" x14ac:dyDescent="0.35">
      <c r="A1433" s="85" t="s">
        <v>37</v>
      </c>
      <c r="B1433" s="86">
        <v>7144</v>
      </c>
      <c r="C1433" s="87"/>
      <c r="D1433" s="88">
        <v>46004</v>
      </c>
      <c r="E1433" s="43">
        <v>1200000</v>
      </c>
      <c r="F1433" s="44">
        <f t="shared" si="73"/>
        <v>96000</v>
      </c>
      <c r="G1433" s="45">
        <f t="shared" si="74"/>
        <v>1296000</v>
      </c>
      <c r="H1433" s="46">
        <v>1296000</v>
      </c>
      <c r="I1433" s="47">
        <f t="shared" si="72"/>
        <v>0</v>
      </c>
      <c r="J1433" s="48">
        <v>46006</v>
      </c>
      <c r="K1433" s="49">
        <v>46106</v>
      </c>
      <c r="L1433" s="50">
        <v>4180602447</v>
      </c>
    </row>
    <row r="1434" spans="1:12" ht="15" customHeight="1" x14ac:dyDescent="0.35">
      <c r="A1434" s="85" t="s">
        <v>29</v>
      </c>
      <c r="B1434" s="86">
        <v>7145</v>
      </c>
      <c r="C1434" s="87"/>
      <c r="D1434" s="88">
        <v>46004</v>
      </c>
      <c r="E1434" s="43">
        <v>2171000</v>
      </c>
      <c r="F1434" s="44">
        <f t="shared" si="73"/>
        <v>173680</v>
      </c>
      <c r="G1434" s="45">
        <f t="shared" si="74"/>
        <v>2344680</v>
      </c>
      <c r="H1434" s="46">
        <v>2344680</v>
      </c>
      <c r="I1434" s="47">
        <f t="shared" si="72"/>
        <v>0</v>
      </c>
      <c r="J1434" s="48">
        <v>46006</v>
      </c>
      <c r="K1434" s="49">
        <v>46106</v>
      </c>
      <c r="L1434" s="50">
        <v>4180599004</v>
      </c>
    </row>
    <row r="1435" spans="1:12" ht="15" customHeight="1" x14ac:dyDescent="0.35">
      <c r="A1435" s="85" t="s">
        <v>37</v>
      </c>
      <c r="B1435" s="86">
        <v>7146</v>
      </c>
      <c r="C1435" s="87"/>
      <c r="D1435" s="88">
        <v>46004</v>
      </c>
      <c r="E1435" s="43">
        <v>10290000</v>
      </c>
      <c r="F1435" s="44">
        <f t="shared" si="73"/>
        <v>823200</v>
      </c>
      <c r="G1435" s="45">
        <f t="shared" si="74"/>
        <v>11113200</v>
      </c>
      <c r="H1435" s="46">
        <v>11113200</v>
      </c>
      <c r="I1435" s="47">
        <f t="shared" si="72"/>
        <v>0</v>
      </c>
      <c r="J1435" s="48">
        <v>46006</v>
      </c>
      <c r="K1435" s="49">
        <v>46106</v>
      </c>
      <c r="L1435" s="50">
        <v>4180570667</v>
      </c>
    </row>
    <row r="1436" spans="1:12" ht="15" customHeight="1" x14ac:dyDescent="0.35">
      <c r="A1436" s="85" t="s">
        <v>123</v>
      </c>
      <c r="B1436" s="86">
        <v>7147</v>
      </c>
      <c r="C1436" s="87"/>
      <c r="D1436" s="88">
        <v>46004</v>
      </c>
      <c r="E1436" s="43">
        <v>10704000</v>
      </c>
      <c r="F1436" s="44">
        <f t="shared" si="73"/>
        <v>856320</v>
      </c>
      <c r="G1436" s="45">
        <f t="shared" si="74"/>
        <v>11560320</v>
      </c>
      <c r="H1436" s="46">
        <v>11560320</v>
      </c>
      <c r="I1436" s="47">
        <f t="shared" si="72"/>
        <v>0</v>
      </c>
      <c r="J1436" s="48">
        <v>46006</v>
      </c>
      <c r="K1436" s="49">
        <v>46106</v>
      </c>
      <c r="L1436" s="50">
        <v>4180570662</v>
      </c>
    </row>
    <row r="1437" spans="1:12" ht="15" customHeight="1" x14ac:dyDescent="0.35">
      <c r="A1437" s="85" t="s">
        <v>56</v>
      </c>
      <c r="B1437" s="86"/>
      <c r="C1437" s="87"/>
      <c r="D1437" s="88"/>
      <c r="E1437" s="43">
        <v>8296000</v>
      </c>
      <c r="F1437" s="44"/>
      <c r="G1437" s="45"/>
      <c r="H1437" s="46"/>
      <c r="I1437" s="47">
        <f t="shared" si="72"/>
        <v>0</v>
      </c>
      <c r="J1437" s="48" t="s">
        <v>62</v>
      </c>
      <c r="K1437" s="49"/>
      <c r="L1437" s="50">
        <v>4180570668</v>
      </c>
    </row>
    <row r="1438" spans="1:12" ht="15" customHeight="1" x14ac:dyDescent="0.35">
      <c r="A1438" s="85" t="s">
        <v>29</v>
      </c>
      <c r="B1438" s="86"/>
      <c r="C1438" s="87"/>
      <c r="D1438" s="88"/>
      <c r="E1438" s="43">
        <v>480000</v>
      </c>
      <c r="F1438" s="44"/>
      <c r="G1438" s="45"/>
      <c r="H1438" s="46"/>
      <c r="I1438" s="47">
        <f t="shared" si="72"/>
        <v>0</v>
      </c>
      <c r="J1438" s="48" t="s">
        <v>3658</v>
      </c>
      <c r="K1438" s="49"/>
      <c r="L1438" s="50">
        <v>4180603080</v>
      </c>
    </row>
    <row r="1439" spans="1:12" ht="15" customHeight="1" x14ac:dyDescent="0.35">
      <c r="A1439" s="85" t="s">
        <v>85</v>
      </c>
      <c r="B1439" s="86">
        <v>7148</v>
      </c>
      <c r="C1439" s="87"/>
      <c r="D1439" s="88">
        <v>46004</v>
      </c>
      <c r="E1439" s="43">
        <v>3400000</v>
      </c>
      <c r="F1439" s="44">
        <f t="shared" si="73"/>
        <v>272000</v>
      </c>
      <c r="G1439" s="45">
        <f t="shared" si="74"/>
        <v>3672000</v>
      </c>
      <c r="H1439" s="46">
        <v>3672000</v>
      </c>
      <c r="I1439" s="47">
        <f t="shared" si="72"/>
        <v>0</v>
      </c>
      <c r="J1439" s="48">
        <v>46006</v>
      </c>
      <c r="K1439" s="49">
        <v>46106</v>
      </c>
      <c r="L1439" s="50">
        <v>4180720215</v>
      </c>
    </row>
    <row r="1440" spans="1:12" ht="15" customHeight="1" x14ac:dyDescent="0.35">
      <c r="A1440" s="85" t="s">
        <v>123</v>
      </c>
      <c r="B1440" s="86">
        <v>7149</v>
      </c>
      <c r="C1440" s="87"/>
      <c r="D1440" s="88">
        <v>46004</v>
      </c>
      <c r="E1440" s="43">
        <v>486000</v>
      </c>
      <c r="F1440" s="44">
        <f t="shared" si="73"/>
        <v>38880</v>
      </c>
      <c r="G1440" s="45">
        <f t="shared" si="74"/>
        <v>524880</v>
      </c>
      <c r="H1440" s="46">
        <v>524880</v>
      </c>
      <c r="I1440" s="47">
        <f t="shared" si="72"/>
        <v>0</v>
      </c>
      <c r="J1440" s="48">
        <v>46006</v>
      </c>
      <c r="K1440" s="49">
        <v>46106</v>
      </c>
      <c r="L1440" s="50">
        <v>4180715732</v>
      </c>
    </row>
    <row r="1441" spans="1:13" ht="15" customHeight="1" x14ac:dyDescent="0.35">
      <c r="A1441" s="85" t="s">
        <v>123</v>
      </c>
      <c r="B1441" s="86">
        <v>7150</v>
      </c>
      <c r="C1441" s="87"/>
      <c r="D1441" s="88">
        <v>46004</v>
      </c>
      <c r="E1441" s="43">
        <v>1824000</v>
      </c>
      <c r="F1441" s="44">
        <f t="shared" si="73"/>
        <v>145920</v>
      </c>
      <c r="G1441" s="45">
        <f t="shared" si="74"/>
        <v>1969920</v>
      </c>
      <c r="H1441" s="46">
        <v>1969920</v>
      </c>
      <c r="I1441" s="47">
        <f t="shared" si="72"/>
        <v>0</v>
      </c>
      <c r="J1441" s="48">
        <v>46006</v>
      </c>
      <c r="K1441" s="49">
        <v>46106</v>
      </c>
      <c r="L1441" s="50">
        <v>4180720196</v>
      </c>
    </row>
    <row r="1442" spans="1:13" ht="15" customHeight="1" x14ac:dyDescent="0.35">
      <c r="A1442" s="85" t="s">
        <v>37</v>
      </c>
      <c r="B1442" s="86">
        <v>7151</v>
      </c>
      <c r="C1442" s="87"/>
      <c r="D1442" s="88">
        <v>46004</v>
      </c>
      <c r="E1442" s="43">
        <v>810000</v>
      </c>
      <c r="F1442" s="44">
        <f t="shared" si="73"/>
        <v>64800</v>
      </c>
      <c r="G1442" s="45">
        <f t="shared" si="74"/>
        <v>874800</v>
      </c>
      <c r="H1442" s="46">
        <v>874800</v>
      </c>
      <c r="I1442" s="47">
        <f t="shared" si="72"/>
        <v>0</v>
      </c>
      <c r="J1442" s="48">
        <v>46006</v>
      </c>
      <c r="K1442" s="49">
        <v>46106</v>
      </c>
      <c r="L1442" s="50">
        <v>4180776652</v>
      </c>
    </row>
    <row r="1443" spans="1:13" ht="15" customHeight="1" x14ac:dyDescent="0.35">
      <c r="A1443" s="85" t="s">
        <v>29</v>
      </c>
      <c r="B1443" s="86">
        <v>7152</v>
      </c>
      <c r="C1443" s="87"/>
      <c r="D1443" s="88">
        <v>46004</v>
      </c>
      <c r="E1443" s="43">
        <v>3816000</v>
      </c>
      <c r="F1443" s="44">
        <f t="shared" si="73"/>
        <v>305280</v>
      </c>
      <c r="G1443" s="45">
        <f t="shared" si="74"/>
        <v>4121280</v>
      </c>
      <c r="H1443" s="46">
        <v>4121280</v>
      </c>
      <c r="I1443" s="47">
        <f t="shared" si="72"/>
        <v>0</v>
      </c>
      <c r="J1443" s="48">
        <v>46006</v>
      </c>
      <c r="K1443" s="49">
        <v>46106</v>
      </c>
      <c r="L1443" s="50">
        <v>4180777958</v>
      </c>
    </row>
    <row r="1444" spans="1:13" ht="15" customHeight="1" x14ac:dyDescent="0.35">
      <c r="A1444" s="85" t="s">
        <v>3227</v>
      </c>
      <c r="B1444" s="86">
        <v>7153</v>
      </c>
      <c r="C1444" s="87"/>
      <c r="D1444" s="88">
        <v>46004</v>
      </c>
      <c r="E1444" s="43">
        <v>810000</v>
      </c>
      <c r="F1444" s="44">
        <f t="shared" si="73"/>
        <v>64800</v>
      </c>
      <c r="G1444" s="45">
        <f t="shared" si="74"/>
        <v>874800</v>
      </c>
      <c r="H1444" s="46">
        <v>874800</v>
      </c>
      <c r="I1444" s="47">
        <f t="shared" si="72"/>
        <v>0</v>
      </c>
      <c r="J1444" s="48">
        <v>46006</v>
      </c>
      <c r="K1444" s="49">
        <v>46106</v>
      </c>
      <c r="L1444" s="50">
        <v>4180788103</v>
      </c>
    </row>
    <row r="1445" spans="1:13" ht="15" customHeight="1" x14ac:dyDescent="0.35">
      <c r="A1445" s="85" t="s">
        <v>37</v>
      </c>
      <c r="B1445" s="86">
        <v>7154</v>
      </c>
      <c r="C1445" s="87"/>
      <c r="D1445" s="88">
        <v>46004</v>
      </c>
      <c r="E1445" s="43">
        <v>364500</v>
      </c>
      <c r="F1445" s="44">
        <f t="shared" si="73"/>
        <v>29160</v>
      </c>
      <c r="G1445" s="45">
        <f t="shared" si="74"/>
        <v>393660</v>
      </c>
      <c r="H1445" s="46">
        <v>393660</v>
      </c>
      <c r="I1445" s="47">
        <f t="shared" si="72"/>
        <v>0</v>
      </c>
      <c r="J1445" s="48">
        <v>46006</v>
      </c>
      <c r="K1445" s="49">
        <v>46106</v>
      </c>
      <c r="L1445" s="50">
        <v>4180823822</v>
      </c>
    </row>
    <row r="1446" spans="1:13" ht="15" customHeight="1" x14ac:dyDescent="0.35">
      <c r="A1446" s="85" t="s">
        <v>85</v>
      </c>
      <c r="B1446" s="86">
        <v>7155</v>
      </c>
      <c r="C1446" s="87"/>
      <c r="D1446" s="88">
        <v>46004</v>
      </c>
      <c r="E1446" s="43">
        <v>1069200</v>
      </c>
      <c r="F1446" s="44">
        <f t="shared" si="73"/>
        <v>85536</v>
      </c>
      <c r="G1446" s="45">
        <f t="shared" si="74"/>
        <v>1154736</v>
      </c>
      <c r="H1446" s="46">
        <v>1154736</v>
      </c>
      <c r="I1446" s="47">
        <f t="shared" si="72"/>
        <v>0</v>
      </c>
      <c r="J1446" s="48">
        <v>46006</v>
      </c>
      <c r="K1446" s="49">
        <v>46106</v>
      </c>
      <c r="L1446" s="50">
        <v>4180823935</v>
      </c>
    </row>
    <row r="1447" spans="1:13" ht="15" customHeight="1" x14ac:dyDescent="0.35">
      <c r="A1447" s="85" t="s">
        <v>33</v>
      </c>
      <c r="B1447" s="86"/>
      <c r="C1447" s="87"/>
      <c r="D1447" s="88"/>
      <c r="E1447" s="43">
        <v>4050000</v>
      </c>
      <c r="F1447" s="44"/>
      <c r="G1447" s="45"/>
      <c r="H1447" s="46"/>
      <c r="I1447" s="47">
        <f t="shared" si="72"/>
        <v>0</v>
      </c>
      <c r="J1447" s="48" t="s">
        <v>3658</v>
      </c>
      <c r="K1447" s="49"/>
      <c r="L1447" s="50">
        <v>4901277971</v>
      </c>
    </row>
    <row r="1448" spans="1:13" ht="15" customHeight="1" x14ac:dyDescent="0.35">
      <c r="A1448" s="85" t="s">
        <v>123</v>
      </c>
      <c r="B1448" s="86">
        <v>7156</v>
      </c>
      <c r="C1448" s="87"/>
      <c r="D1448" s="88">
        <v>46004</v>
      </c>
      <c r="E1448" s="43">
        <v>10496000</v>
      </c>
      <c r="F1448" s="44">
        <f t="shared" si="73"/>
        <v>839680</v>
      </c>
      <c r="G1448" s="45">
        <f t="shared" si="74"/>
        <v>11335680</v>
      </c>
      <c r="H1448" s="46">
        <v>11335680</v>
      </c>
      <c r="I1448" s="47">
        <f t="shared" si="72"/>
        <v>0</v>
      </c>
      <c r="J1448" s="48">
        <v>46006</v>
      </c>
      <c r="K1448" s="49">
        <v>46106</v>
      </c>
      <c r="L1448" s="50">
        <v>4180863537</v>
      </c>
    </row>
    <row r="1449" spans="1:13" ht="15" customHeight="1" x14ac:dyDescent="0.35">
      <c r="A1449" s="85" t="s">
        <v>123</v>
      </c>
      <c r="B1449" s="86">
        <v>7157</v>
      </c>
      <c r="C1449" s="87"/>
      <c r="D1449" s="88">
        <v>46004</v>
      </c>
      <c r="E1449" s="43">
        <v>3464000</v>
      </c>
      <c r="F1449" s="44">
        <f t="shared" si="73"/>
        <v>277120</v>
      </c>
      <c r="G1449" s="45">
        <f t="shared" si="74"/>
        <v>3741120</v>
      </c>
      <c r="H1449" s="46">
        <v>3741120</v>
      </c>
      <c r="I1449" s="47">
        <f t="shared" si="72"/>
        <v>0</v>
      </c>
      <c r="J1449" s="48">
        <v>46006</v>
      </c>
      <c r="K1449" s="49">
        <v>46106</v>
      </c>
      <c r="L1449" s="50">
        <v>4180867698</v>
      </c>
    </row>
    <row r="1450" spans="1:13" ht="15" customHeight="1" x14ac:dyDescent="0.35">
      <c r="A1450" s="85" t="s">
        <v>123</v>
      </c>
      <c r="B1450" s="86">
        <v>7158</v>
      </c>
      <c r="C1450" s="87"/>
      <c r="D1450" s="88">
        <v>46004</v>
      </c>
      <c r="E1450" s="43">
        <v>2400000</v>
      </c>
      <c r="F1450" s="44">
        <f t="shared" si="73"/>
        <v>192000</v>
      </c>
      <c r="G1450" s="45">
        <f t="shared" si="74"/>
        <v>2592000</v>
      </c>
      <c r="H1450" s="46">
        <v>2592000</v>
      </c>
      <c r="I1450" s="47">
        <f t="shared" si="72"/>
        <v>0</v>
      </c>
      <c r="J1450" s="48">
        <v>46006</v>
      </c>
      <c r="K1450" s="49">
        <v>46106</v>
      </c>
      <c r="L1450" s="50">
        <v>4180867875</v>
      </c>
    </row>
    <row r="1451" spans="1:13" ht="15" customHeight="1" x14ac:dyDescent="0.35">
      <c r="A1451" s="85" t="s">
        <v>3227</v>
      </c>
      <c r="B1451" s="86">
        <v>7159</v>
      </c>
      <c r="C1451" s="87"/>
      <c r="D1451" s="88">
        <v>46004</v>
      </c>
      <c r="E1451" s="43">
        <v>640000</v>
      </c>
      <c r="F1451" s="44">
        <f t="shared" si="73"/>
        <v>51200</v>
      </c>
      <c r="G1451" s="45">
        <f t="shared" si="74"/>
        <v>691200</v>
      </c>
      <c r="H1451" s="46">
        <v>691200</v>
      </c>
      <c r="I1451" s="47">
        <f t="shared" si="72"/>
        <v>0</v>
      </c>
      <c r="J1451" s="48">
        <v>46006</v>
      </c>
      <c r="K1451" s="49">
        <v>46106</v>
      </c>
      <c r="L1451" s="50">
        <v>4180874745</v>
      </c>
    </row>
    <row r="1452" spans="1:13" ht="15" customHeight="1" x14ac:dyDescent="0.35">
      <c r="A1452" s="85" t="s">
        <v>29</v>
      </c>
      <c r="B1452" s="86">
        <v>7160</v>
      </c>
      <c r="C1452" s="87"/>
      <c r="D1452" s="88">
        <v>46004</v>
      </c>
      <c r="E1452" s="43">
        <v>15286000</v>
      </c>
      <c r="F1452" s="44">
        <f t="shared" si="73"/>
        <v>1222880</v>
      </c>
      <c r="G1452" s="45">
        <f t="shared" si="74"/>
        <v>16508880</v>
      </c>
      <c r="H1452" s="46">
        <v>16508880</v>
      </c>
      <c r="I1452" s="47">
        <f t="shared" si="72"/>
        <v>0</v>
      </c>
      <c r="J1452" s="48">
        <v>46006</v>
      </c>
      <c r="K1452" s="49">
        <v>46106</v>
      </c>
      <c r="L1452" s="50">
        <v>4180874918</v>
      </c>
    </row>
    <row r="1453" spans="1:13" ht="15" customHeight="1" x14ac:dyDescent="0.35">
      <c r="A1453" s="85" t="s">
        <v>37</v>
      </c>
      <c r="B1453" s="86">
        <v>7161</v>
      </c>
      <c r="C1453" s="87"/>
      <c r="D1453" s="88">
        <v>46004</v>
      </c>
      <c r="E1453" s="43">
        <v>3380000</v>
      </c>
      <c r="F1453" s="44">
        <f t="shared" si="73"/>
        <v>270400</v>
      </c>
      <c r="G1453" s="45">
        <f t="shared" si="74"/>
        <v>3650400</v>
      </c>
      <c r="H1453" s="46">
        <v>3650400</v>
      </c>
      <c r="I1453" s="47">
        <f t="shared" si="72"/>
        <v>0</v>
      </c>
      <c r="J1453" s="48">
        <v>46006</v>
      </c>
      <c r="K1453" s="49">
        <v>46106</v>
      </c>
      <c r="L1453" s="50">
        <v>4180867703</v>
      </c>
    </row>
    <row r="1454" spans="1:13" ht="15" customHeight="1" x14ac:dyDescent="0.35">
      <c r="A1454" s="85" t="s">
        <v>85</v>
      </c>
      <c r="B1454" s="86">
        <v>7162</v>
      </c>
      <c r="C1454" s="87"/>
      <c r="D1454" s="88">
        <v>46004</v>
      </c>
      <c r="E1454" s="43">
        <v>4287000</v>
      </c>
      <c r="F1454" s="44">
        <f t="shared" si="73"/>
        <v>342960</v>
      </c>
      <c r="G1454" s="45">
        <f t="shared" si="74"/>
        <v>4629960</v>
      </c>
      <c r="H1454" s="46">
        <v>4629960</v>
      </c>
      <c r="I1454" s="47">
        <f t="shared" si="72"/>
        <v>0</v>
      </c>
      <c r="J1454" s="48">
        <v>46006</v>
      </c>
      <c r="K1454" s="49">
        <v>46106</v>
      </c>
      <c r="L1454" s="50">
        <v>4180868631</v>
      </c>
    </row>
    <row r="1455" spans="1:13" ht="15" customHeight="1" x14ac:dyDescent="0.35">
      <c r="A1455" s="85" t="s">
        <v>63</v>
      </c>
      <c r="B1455" s="86">
        <v>7595</v>
      </c>
      <c r="C1455" s="87"/>
      <c r="D1455" s="88">
        <v>46017</v>
      </c>
      <c r="E1455" s="43">
        <v>1680000</v>
      </c>
      <c r="F1455" s="44">
        <f t="shared" si="73"/>
        <v>134400</v>
      </c>
      <c r="G1455" s="45">
        <f t="shared" si="74"/>
        <v>1814400</v>
      </c>
      <c r="H1455" s="46">
        <v>1814400</v>
      </c>
      <c r="I1455" s="47">
        <f t="shared" si="72"/>
        <v>0</v>
      </c>
      <c r="J1455" s="48">
        <v>46017</v>
      </c>
      <c r="K1455" s="49">
        <v>46106</v>
      </c>
      <c r="L1455" s="65">
        <v>4180868629</v>
      </c>
    </row>
    <row r="1456" spans="1:13" ht="15" customHeight="1" x14ac:dyDescent="0.35">
      <c r="A1456" s="85" t="s">
        <v>56</v>
      </c>
      <c r="B1456" s="86">
        <v>7596</v>
      </c>
      <c r="C1456" s="87">
        <v>7804</v>
      </c>
      <c r="D1456" s="88">
        <v>46021</v>
      </c>
      <c r="E1456" s="43">
        <v>5860000</v>
      </c>
      <c r="F1456" s="44">
        <f t="shared" si="73"/>
        <v>468800</v>
      </c>
      <c r="G1456" s="45">
        <f t="shared" si="74"/>
        <v>6328800</v>
      </c>
      <c r="H1456" s="46">
        <v>6328800</v>
      </c>
      <c r="I1456" s="47">
        <f t="shared" si="72"/>
        <v>0</v>
      </c>
      <c r="J1456" s="48">
        <v>46017</v>
      </c>
      <c r="K1456" s="49">
        <v>46127</v>
      </c>
      <c r="L1456" s="65">
        <v>4180867878</v>
      </c>
      <c r="M1456" s="3" t="s">
        <v>3781</v>
      </c>
    </row>
    <row r="1457" spans="1:12" ht="15" customHeight="1" x14ac:dyDescent="0.35">
      <c r="A1457" s="85" t="s">
        <v>33</v>
      </c>
      <c r="B1457" s="86">
        <v>7597</v>
      </c>
      <c r="C1457" s="87"/>
      <c r="D1457" s="88">
        <v>46017</v>
      </c>
      <c r="E1457" s="43">
        <v>26496000</v>
      </c>
      <c r="F1457" s="44">
        <f t="shared" si="73"/>
        <v>2119680</v>
      </c>
      <c r="G1457" s="45">
        <f t="shared" si="74"/>
        <v>28615680</v>
      </c>
      <c r="H1457" s="46">
        <v>28615680</v>
      </c>
      <c r="I1457" s="47">
        <f t="shared" si="72"/>
        <v>0</v>
      </c>
      <c r="J1457" s="48">
        <v>46017</v>
      </c>
      <c r="K1457" s="49">
        <v>46106</v>
      </c>
      <c r="L1457" s="65">
        <v>4901278457</v>
      </c>
    </row>
    <row r="1458" spans="1:12" ht="15" customHeight="1" x14ac:dyDescent="0.35">
      <c r="A1458" s="85" t="s">
        <v>85</v>
      </c>
      <c r="B1458" s="86">
        <v>7598</v>
      </c>
      <c r="C1458" s="87"/>
      <c r="D1458" s="88">
        <v>46017</v>
      </c>
      <c r="E1458" s="43">
        <v>3840000</v>
      </c>
      <c r="F1458" s="44">
        <f t="shared" si="73"/>
        <v>307200</v>
      </c>
      <c r="G1458" s="45">
        <f t="shared" si="74"/>
        <v>4147200</v>
      </c>
      <c r="H1458" s="46">
        <v>4147200</v>
      </c>
      <c r="I1458" s="47">
        <f t="shared" si="72"/>
        <v>0</v>
      </c>
      <c r="J1458" s="48">
        <v>46017</v>
      </c>
      <c r="K1458" s="49">
        <v>46106</v>
      </c>
      <c r="L1458" s="65">
        <v>4180901826</v>
      </c>
    </row>
    <row r="1459" spans="1:12" ht="15" customHeight="1" x14ac:dyDescent="0.35">
      <c r="A1459" s="85" t="s">
        <v>37</v>
      </c>
      <c r="B1459" s="86"/>
      <c r="C1459" s="87"/>
      <c r="D1459" s="88"/>
      <c r="E1459" s="43">
        <v>192000</v>
      </c>
      <c r="F1459" s="44"/>
      <c r="G1459" s="45"/>
      <c r="H1459" s="46"/>
      <c r="I1459" s="47">
        <f t="shared" si="72"/>
        <v>0</v>
      </c>
      <c r="J1459" s="48" t="s">
        <v>3658</v>
      </c>
      <c r="K1459" s="49"/>
      <c r="L1459" s="50">
        <v>4180926009</v>
      </c>
    </row>
    <row r="1460" spans="1:12" ht="15" customHeight="1" x14ac:dyDescent="0.35">
      <c r="A1460" s="85" t="s">
        <v>56</v>
      </c>
      <c r="B1460" s="86"/>
      <c r="C1460" s="87"/>
      <c r="D1460" s="88"/>
      <c r="E1460" s="43">
        <v>720000</v>
      </c>
      <c r="F1460" s="44"/>
      <c r="G1460" s="45"/>
      <c r="H1460" s="46"/>
      <c r="I1460" s="47">
        <f t="shared" si="72"/>
        <v>0</v>
      </c>
      <c r="J1460" s="48" t="s">
        <v>3658</v>
      </c>
      <c r="K1460" s="49"/>
      <c r="L1460" s="50">
        <v>4180925974</v>
      </c>
    </row>
    <row r="1461" spans="1:12" ht="15" customHeight="1" x14ac:dyDescent="0.35">
      <c r="A1461" s="85" t="s">
        <v>33</v>
      </c>
      <c r="B1461" s="86">
        <v>7599</v>
      </c>
      <c r="C1461" s="87"/>
      <c r="D1461" s="88">
        <v>46017</v>
      </c>
      <c r="E1461" s="43">
        <v>6133000</v>
      </c>
      <c r="F1461" s="44">
        <f t="shared" si="73"/>
        <v>490640</v>
      </c>
      <c r="G1461" s="45">
        <f t="shared" si="74"/>
        <v>6623640</v>
      </c>
      <c r="H1461" s="46">
        <v>6623640</v>
      </c>
      <c r="I1461" s="47">
        <f t="shared" si="72"/>
        <v>0</v>
      </c>
      <c r="J1461" s="48">
        <v>46017</v>
      </c>
      <c r="K1461" s="49">
        <v>46106</v>
      </c>
      <c r="L1461" s="65">
        <v>4901279093</v>
      </c>
    </row>
    <row r="1462" spans="1:12" ht="15" customHeight="1" x14ac:dyDescent="0.35">
      <c r="A1462" s="85" t="s">
        <v>29</v>
      </c>
      <c r="B1462" s="86">
        <v>7600</v>
      </c>
      <c r="C1462" s="87"/>
      <c r="D1462" s="88">
        <v>46017</v>
      </c>
      <c r="E1462" s="43">
        <v>7120000</v>
      </c>
      <c r="F1462" s="44">
        <f t="shared" si="73"/>
        <v>569600</v>
      </c>
      <c r="G1462" s="45">
        <f t="shared" si="74"/>
        <v>7689600</v>
      </c>
      <c r="H1462" s="46">
        <v>7689600</v>
      </c>
      <c r="I1462" s="47">
        <f t="shared" si="72"/>
        <v>0</v>
      </c>
      <c r="J1462" s="48">
        <v>46017</v>
      </c>
      <c r="K1462" s="49">
        <v>46106</v>
      </c>
      <c r="L1462" s="65">
        <v>4181177973</v>
      </c>
    </row>
    <row r="1463" spans="1:12" ht="15" customHeight="1" x14ac:dyDescent="0.35">
      <c r="A1463" s="85" t="s">
        <v>56</v>
      </c>
      <c r="B1463" s="86">
        <v>7601</v>
      </c>
      <c r="C1463" s="87"/>
      <c r="D1463" s="88">
        <v>46017</v>
      </c>
      <c r="E1463" s="43">
        <v>640000</v>
      </c>
      <c r="F1463" s="44">
        <f t="shared" si="73"/>
        <v>51200</v>
      </c>
      <c r="G1463" s="45">
        <f t="shared" si="74"/>
        <v>691200</v>
      </c>
      <c r="H1463" s="46">
        <v>691200</v>
      </c>
      <c r="I1463" s="47">
        <f t="shared" si="72"/>
        <v>0</v>
      </c>
      <c r="J1463" s="48">
        <v>46017</v>
      </c>
      <c r="K1463" s="49">
        <v>46106</v>
      </c>
      <c r="L1463" s="65">
        <v>4181218378</v>
      </c>
    </row>
    <row r="1464" spans="1:12" ht="15" customHeight="1" x14ac:dyDescent="0.35">
      <c r="A1464" s="85" t="s">
        <v>3227</v>
      </c>
      <c r="B1464" s="86">
        <v>7602</v>
      </c>
      <c r="C1464" s="87"/>
      <c r="D1464" s="88">
        <v>46017</v>
      </c>
      <c r="E1464" s="43">
        <v>810000</v>
      </c>
      <c r="F1464" s="44">
        <f t="shared" si="73"/>
        <v>64800</v>
      </c>
      <c r="G1464" s="45">
        <f t="shared" si="74"/>
        <v>874800</v>
      </c>
      <c r="H1464" s="46">
        <v>874800</v>
      </c>
      <c r="I1464" s="47">
        <f t="shared" si="72"/>
        <v>0</v>
      </c>
      <c r="J1464" s="48">
        <v>46017</v>
      </c>
      <c r="K1464" s="49">
        <v>46106</v>
      </c>
      <c r="L1464" s="65">
        <v>4181240110</v>
      </c>
    </row>
    <row r="1465" spans="1:12" ht="15" customHeight="1" x14ac:dyDescent="0.35">
      <c r="A1465" s="85" t="s">
        <v>123</v>
      </c>
      <c r="B1465" s="86"/>
      <c r="C1465" s="87"/>
      <c r="D1465" s="88"/>
      <c r="E1465" s="43">
        <v>520000</v>
      </c>
      <c r="F1465" s="44"/>
      <c r="G1465" s="45"/>
      <c r="H1465" s="46"/>
      <c r="I1465" s="47">
        <f t="shared" si="72"/>
        <v>0</v>
      </c>
      <c r="J1465" s="48" t="s">
        <v>3658</v>
      </c>
      <c r="K1465" s="49"/>
      <c r="L1465" s="50">
        <v>4181140094</v>
      </c>
    </row>
    <row r="1466" spans="1:12" ht="15" customHeight="1" x14ac:dyDescent="0.35">
      <c r="A1466" s="85" t="s">
        <v>85</v>
      </c>
      <c r="B1466" s="86">
        <v>7603</v>
      </c>
      <c r="C1466" s="87"/>
      <c r="D1466" s="88">
        <v>46017</v>
      </c>
      <c r="E1466" s="43">
        <v>413100</v>
      </c>
      <c r="F1466" s="44">
        <f t="shared" si="73"/>
        <v>33048</v>
      </c>
      <c r="G1466" s="45">
        <f t="shared" si="74"/>
        <v>446148</v>
      </c>
      <c r="H1466" s="46">
        <v>446148</v>
      </c>
      <c r="I1466" s="47">
        <f t="shared" si="72"/>
        <v>0</v>
      </c>
      <c r="J1466" s="48">
        <v>46017</v>
      </c>
      <c r="K1466" s="49">
        <v>46106</v>
      </c>
      <c r="L1466" s="65">
        <v>4181118632</v>
      </c>
    </row>
    <row r="1467" spans="1:12" ht="15" customHeight="1" x14ac:dyDescent="0.35">
      <c r="A1467" s="85" t="s">
        <v>37</v>
      </c>
      <c r="B1467" s="86">
        <v>7604</v>
      </c>
      <c r="C1467" s="87"/>
      <c r="D1467" s="88">
        <v>46017</v>
      </c>
      <c r="E1467" s="43">
        <v>810000</v>
      </c>
      <c r="F1467" s="44">
        <f t="shared" si="73"/>
        <v>64800</v>
      </c>
      <c r="G1467" s="45">
        <f t="shared" si="74"/>
        <v>874800</v>
      </c>
      <c r="H1467" s="46">
        <v>874800</v>
      </c>
      <c r="I1467" s="47">
        <f t="shared" si="72"/>
        <v>0</v>
      </c>
      <c r="J1467" s="48">
        <v>46017</v>
      </c>
      <c r="K1467" s="49">
        <v>46106</v>
      </c>
      <c r="L1467" s="65">
        <v>4181175293</v>
      </c>
    </row>
    <row r="1468" spans="1:12" ht="15" customHeight="1" x14ac:dyDescent="0.35">
      <c r="A1468" s="85" t="s">
        <v>37</v>
      </c>
      <c r="B1468" s="86">
        <v>7605</v>
      </c>
      <c r="C1468" s="87"/>
      <c r="D1468" s="88">
        <v>46017</v>
      </c>
      <c r="E1468" s="43">
        <v>5807700</v>
      </c>
      <c r="F1468" s="44">
        <f t="shared" si="73"/>
        <v>464616</v>
      </c>
      <c r="G1468" s="45">
        <f t="shared" si="74"/>
        <v>6272316</v>
      </c>
      <c r="H1468" s="46">
        <v>6272316</v>
      </c>
      <c r="I1468" s="47">
        <f t="shared" si="72"/>
        <v>0</v>
      </c>
      <c r="J1468" s="48">
        <v>46017</v>
      </c>
      <c r="K1468" s="49">
        <v>46106</v>
      </c>
      <c r="L1468" s="65">
        <v>4181118490</v>
      </c>
    </row>
    <row r="1469" spans="1:12" ht="15" customHeight="1" x14ac:dyDescent="0.35">
      <c r="A1469" s="85" t="s">
        <v>123</v>
      </c>
      <c r="B1469" s="86">
        <v>7606</v>
      </c>
      <c r="C1469" s="87"/>
      <c r="D1469" s="88">
        <v>46017</v>
      </c>
      <c r="E1469" s="43">
        <v>1263600</v>
      </c>
      <c r="F1469" s="44">
        <f t="shared" si="73"/>
        <v>101088</v>
      </c>
      <c r="G1469" s="45">
        <f t="shared" si="74"/>
        <v>1364688</v>
      </c>
      <c r="H1469" s="46">
        <v>1364688</v>
      </c>
      <c r="I1469" s="47">
        <f t="shared" si="72"/>
        <v>0</v>
      </c>
      <c r="J1469" s="48">
        <v>46017</v>
      </c>
      <c r="K1469" s="49">
        <v>46106</v>
      </c>
      <c r="L1469" s="65">
        <v>4181118428</v>
      </c>
    </row>
    <row r="1470" spans="1:12" ht="15" customHeight="1" x14ac:dyDescent="0.35">
      <c r="A1470" s="85" t="s">
        <v>56</v>
      </c>
      <c r="B1470" s="86">
        <v>7607</v>
      </c>
      <c r="C1470" s="87"/>
      <c r="D1470" s="88">
        <v>46017</v>
      </c>
      <c r="E1470" s="43">
        <v>486000</v>
      </c>
      <c r="F1470" s="44">
        <f t="shared" si="73"/>
        <v>38880</v>
      </c>
      <c r="G1470" s="45">
        <f t="shared" si="74"/>
        <v>524880</v>
      </c>
      <c r="H1470" s="46">
        <v>524880</v>
      </c>
      <c r="I1470" s="47">
        <f t="shared" si="72"/>
        <v>0</v>
      </c>
      <c r="J1470" s="48">
        <v>46017</v>
      </c>
      <c r="K1470" s="49">
        <v>46106</v>
      </c>
      <c r="L1470" s="65">
        <v>4181118441</v>
      </c>
    </row>
    <row r="1471" spans="1:12" ht="15" customHeight="1" x14ac:dyDescent="0.35">
      <c r="A1471" s="85" t="s">
        <v>85</v>
      </c>
      <c r="B1471" s="86"/>
      <c r="C1471" s="87"/>
      <c r="D1471" s="88"/>
      <c r="E1471" s="43">
        <v>640000</v>
      </c>
      <c r="F1471" s="44"/>
      <c r="G1471" s="45"/>
      <c r="H1471" s="46"/>
      <c r="I1471" s="47">
        <f t="shared" si="72"/>
        <v>0</v>
      </c>
      <c r="J1471" s="48" t="s">
        <v>3658</v>
      </c>
      <c r="K1471" s="49"/>
      <c r="L1471" s="50">
        <v>4181154929</v>
      </c>
    </row>
    <row r="1472" spans="1:12" ht="15" customHeight="1" x14ac:dyDescent="0.35">
      <c r="A1472" s="85" t="s">
        <v>3227</v>
      </c>
      <c r="B1472" s="86">
        <v>7608</v>
      </c>
      <c r="C1472" s="87"/>
      <c r="D1472" s="88">
        <v>46017</v>
      </c>
      <c r="E1472" s="43">
        <v>4240000</v>
      </c>
      <c r="F1472" s="44">
        <f t="shared" si="73"/>
        <v>339200</v>
      </c>
      <c r="G1472" s="45">
        <f t="shared" si="74"/>
        <v>4579200</v>
      </c>
      <c r="H1472" s="46">
        <v>4579200</v>
      </c>
      <c r="I1472" s="47">
        <f t="shared" si="72"/>
        <v>0</v>
      </c>
      <c r="J1472" s="48">
        <v>46017</v>
      </c>
      <c r="K1472" s="49">
        <v>46106</v>
      </c>
      <c r="L1472" s="65">
        <v>4181250712</v>
      </c>
    </row>
    <row r="1473" spans="1:12" ht="15" customHeight="1" x14ac:dyDescent="0.35">
      <c r="A1473" s="85" t="s">
        <v>29</v>
      </c>
      <c r="B1473" s="86">
        <v>7609</v>
      </c>
      <c r="C1473" s="87"/>
      <c r="D1473" s="88">
        <v>46017</v>
      </c>
      <c r="E1473" s="43">
        <v>16496500</v>
      </c>
      <c r="F1473" s="44">
        <f t="shared" si="73"/>
        <v>1319720</v>
      </c>
      <c r="G1473" s="45">
        <f t="shared" si="74"/>
        <v>17816220</v>
      </c>
      <c r="H1473" s="46">
        <v>17816220</v>
      </c>
      <c r="I1473" s="47">
        <f t="shared" ref="I1473:I1536" si="75">G1473-H1473</f>
        <v>0</v>
      </c>
      <c r="J1473" s="48">
        <v>46017</v>
      </c>
      <c r="K1473" s="49">
        <v>46106</v>
      </c>
      <c r="L1473" s="65">
        <v>4181250675</v>
      </c>
    </row>
    <row r="1474" spans="1:12" ht="15" customHeight="1" x14ac:dyDescent="0.35">
      <c r="A1474" s="85" t="s">
        <v>33</v>
      </c>
      <c r="B1474" s="86">
        <v>7610</v>
      </c>
      <c r="C1474" s="87"/>
      <c r="D1474" s="88">
        <v>46017</v>
      </c>
      <c r="E1474" s="43">
        <v>20124000</v>
      </c>
      <c r="F1474" s="44">
        <f t="shared" ref="F1474:F1537" si="76">+E1474*0.08</f>
        <v>1609920</v>
      </c>
      <c r="G1474" s="45">
        <f t="shared" ref="G1474:G1537" si="77">E1474+F1474</f>
        <v>21733920</v>
      </c>
      <c r="H1474" s="46">
        <v>21733920</v>
      </c>
      <c r="I1474" s="47">
        <f t="shared" si="75"/>
        <v>0</v>
      </c>
      <c r="J1474" s="48">
        <v>46017</v>
      </c>
      <c r="K1474" s="49">
        <v>46106</v>
      </c>
      <c r="L1474" s="65">
        <v>4901279235</v>
      </c>
    </row>
    <row r="1475" spans="1:12" ht="15" customHeight="1" x14ac:dyDescent="0.35">
      <c r="A1475" s="85" t="s">
        <v>33</v>
      </c>
      <c r="B1475" s="86">
        <v>7611</v>
      </c>
      <c r="C1475" s="87"/>
      <c r="D1475" s="88">
        <v>46017</v>
      </c>
      <c r="E1475" s="43">
        <v>6600000</v>
      </c>
      <c r="F1475" s="44">
        <f t="shared" si="76"/>
        <v>528000</v>
      </c>
      <c r="G1475" s="45">
        <f t="shared" si="77"/>
        <v>7128000</v>
      </c>
      <c r="H1475" s="46">
        <v>7128000</v>
      </c>
      <c r="I1475" s="47">
        <f t="shared" si="75"/>
        <v>0</v>
      </c>
      <c r="J1475" s="48">
        <v>46017</v>
      </c>
      <c r="K1475" s="49">
        <v>46106</v>
      </c>
      <c r="L1475" s="65">
        <v>4901279390</v>
      </c>
    </row>
    <row r="1476" spans="1:12" ht="15" customHeight="1" x14ac:dyDescent="0.35">
      <c r="A1476" s="85" t="s">
        <v>29</v>
      </c>
      <c r="B1476" s="86">
        <v>7612</v>
      </c>
      <c r="C1476" s="87"/>
      <c r="D1476" s="88">
        <v>46017</v>
      </c>
      <c r="E1476" s="43">
        <v>4492000</v>
      </c>
      <c r="F1476" s="44">
        <f t="shared" si="76"/>
        <v>359360</v>
      </c>
      <c r="G1476" s="45">
        <f t="shared" si="77"/>
        <v>4851360</v>
      </c>
      <c r="H1476" s="46">
        <v>4851360</v>
      </c>
      <c r="I1476" s="47">
        <f t="shared" si="75"/>
        <v>0</v>
      </c>
      <c r="J1476" s="48">
        <v>46017</v>
      </c>
      <c r="K1476" s="49">
        <v>46106</v>
      </c>
      <c r="L1476" s="65">
        <v>4181298498</v>
      </c>
    </row>
    <row r="1477" spans="1:12" ht="15" customHeight="1" x14ac:dyDescent="0.35">
      <c r="A1477" s="85" t="s">
        <v>29</v>
      </c>
      <c r="B1477" s="86">
        <v>7613</v>
      </c>
      <c r="C1477" s="87"/>
      <c r="D1477" s="88">
        <v>46017</v>
      </c>
      <c r="E1477" s="43">
        <v>960000</v>
      </c>
      <c r="F1477" s="44">
        <f t="shared" si="76"/>
        <v>76800</v>
      </c>
      <c r="G1477" s="45">
        <f t="shared" si="77"/>
        <v>1036800</v>
      </c>
      <c r="H1477" s="46">
        <v>1036800</v>
      </c>
      <c r="I1477" s="47">
        <f t="shared" si="75"/>
        <v>0</v>
      </c>
      <c r="J1477" s="48">
        <v>46017</v>
      </c>
      <c r="K1477" s="49">
        <v>46106</v>
      </c>
      <c r="L1477" s="65">
        <v>4181313978</v>
      </c>
    </row>
    <row r="1478" spans="1:12" ht="15" customHeight="1" x14ac:dyDescent="0.35">
      <c r="A1478" s="85" t="s">
        <v>56</v>
      </c>
      <c r="B1478" s="86">
        <v>7614</v>
      </c>
      <c r="C1478" s="87"/>
      <c r="D1478" s="88">
        <v>46017</v>
      </c>
      <c r="E1478" s="43">
        <v>388800</v>
      </c>
      <c r="F1478" s="44">
        <f t="shared" si="76"/>
        <v>31104</v>
      </c>
      <c r="G1478" s="45">
        <f t="shared" si="77"/>
        <v>419904</v>
      </c>
      <c r="H1478" s="46">
        <v>419904</v>
      </c>
      <c r="I1478" s="47">
        <f t="shared" si="75"/>
        <v>0</v>
      </c>
      <c r="J1478" s="48">
        <v>46017</v>
      </c>
      <c r="K1478" s="49">
        <v>46106</v>
      </c>
      <c r="L1478" s="65">
        <v>4181256087</v>
      </c>
    </row>
    <row r="1479" spans="1:12" ht="15" customHeight="1" x14ac:dyDescent="0.35">
      <c r="A1479" s="85" t="s">
        <v>85</v>
      </c>
      <c r="B1479" s="86">
        <v>7615</v>
      </c>
      <c r="C1479" s="87"/>
      <c r="D1479" s="88">
        <v>46017</v>
      </c>
      <c r="E1479" s="43">
        <v>1312200</v>
      </c>
      <c r="F1479" s="44">
        <f t="shared" si="76"/>
        <v>104976</v>
      </c>
      <c r="G1479" s="45">
        <f t="shared" si="77"/>
        <v>1417176</v>
      </c>
      <c r="H1479" s="46">
        <v>1417176</v>
      </c>
      <c r="I1479" s="47">
        <f t="shared" si="75"/>
        <v>0</v>
      </c>
      <c r="J1479" s="48">
        <v>46017</v>
      </c>
      <c r="K1479" s="49">
        <v>46106</v>
      </c>
      <c r="L1479" s="65">
        <v>4181256812</v>
      </c>
    </row>
    <row r="1480" spans="1:12" ht="15" customHeight="1" x14ac:dyDescent="0.35">
      <c r="A1480" s="85" t="s">
        <v>37</v>
      </c>
      <c r="B1480" s="86">
        <v>7616</v>
      </c>
      <c r="C1480" s="87"/>
      <c r="D1480" s="88">
        <v>46017</v>
      </c>
      <c r="E1480" s="43">
        <v>923400</v>
      </c>
      <c r="F1480" s="44">
        <f t="shared" si="76"/>
        <v>73872</v>
      </c>
      <c r="G1480" s="45">
        <f t="shared" si="77"/>
        <v>997272</v>
      </c>
      <c r="H1480" s="46">
        <v>997272</v>
      </c>
      <c r="I1480" s="47">
        <f t="shared" si="75"/>
        <v>0</v>
      </c>
      <c r="J1480" s="48">
        <v>46017</v>
      </c>
      <c r="K1480" s="49">
        <v>46106</v>
      </c>
      <c r="L1480" s="65">
        <v>4181256918</v>
      </c>
    </row>
    <row r="1481" spans="1:12" ht="15" customHeight="1" x14ac:dyDescent="0.35">
      <c r="A1481" s="85" t="s">
        <v>123</v>
      </c>
      <c r="B1481" s="86">
        <v>7617</v>
      </c>
      <c r="C1481" s="87"/>
      <c r="D1481" s="88">
        <v>46017</v>
      </c>
      <c r="E1481" s="43">
        <v>5832000</v>
      </c>
      <c r="F1481" s="44">
        <f t="shared" si="76"/>
        <v>466560</v>
      </c>
      <c r="G1481" s="45">
        <f t="shared" si="77"/>
        <v>6298560</v>
      </c>
      <c r="H1481" s="46">
        <v>6298560</v>
      </c>
      <c r="I1481" s="47">
        <f t="shared" si="75"/>
        <v>0</v>
      </c>
      <c r="J1481" s="48">
        <v>46017</v>
      </c>
      <c r="K1481" s="49">
        <v>46106</v>
      </c>
      <c r="L1481" s="65">
        <v>4181257427</v>
      </c>
    </row>
    <row r="1482" spans="1:12" ht="15" customHeight="1" x14ac:dyDescent="0.35">
      <c r="A1482" s="85" t="s">
        <v>37</v>
      </c>
      <c r="B1482" s="86">
        <v>7618</v>
      </c>
      <c r="C1482" s="87"/>
      <c r="D1482" s="88">
        <v>46017</v>
      </c>
      <c r="E1482" s="43">
        <v>752000</v>
      </c>
      <c r="F1482" s="44">
        <f t="shared" si="76"/>
        <v>60160</v>
      </c>
      <c r="G1482" s="45">
        <f t="shared" si="77"/>
        <v>812160</v>
      </c>
      <c r="H1482" s="46">
        <v>812160</v>
      </c>
      <c r="I1482" s="47">
        <f t="shared" si="75"/>
        <v>0</v>
      </c>
      <c r="J1482" s="48">
        <v>46017</v>
      </c>
      <c r="K1482" s="49">
        <v>46106</v>
      </c>
      <c r="L1482" s="65">
        <v>4181294975</v>
      </c>
    </row>
    <row r="1483" spans="1:12" ht="15" customHeight="1" x14ac:dyDescent="0.35">
      <c r="A1483" s="85" t="s">
        <v>3227</v>
      </c>
      <c r="B1483" s="86">
        <v>7619</v>
      </c>
      <c r="C1483" s="87"/>
      <c r="D1483" s="88">
        <v>46017</v>
      </c>
      <c r="E1483" s="43">
        <v>1220000</v>
      </c>
      <c r="F1483" s="44">
        <f t="shared" si="76"/>
        <v>97600</v>
      </c>
      <c r="G1483" s="45">
        <f t="shared" si="77"/>
        <v>1317600</v>
      </c>
      <c r="H1483" s="46">
        <v>1317600</v>
      </c>
      <c r="I1483" s="47">
        <f t="shared" si="75"/>
        <v>0</v>
      </c>
      <c r="J1483" s="48">
        <v>46017</v>
      </c>
      <c r="K1483" s="49">
        <v>46106</v>
      </c>
      <c r="L1483" s="65">
        <v>4181321841</v>
      </c>
    </row>
    <row r="1484" spans="1:12" ht="15" customHeight="1" x14ac:dyDescent="0.35">
      <c r="A1484" s="85" t="s">
        <v>63</v>
      </c>
      <c r="B1484" s="86">
        <v>7620</v>
      </c>
      <c r="C1484" s="87"/>
      <c r="D1484" s="88">
        <v>46017</v>
      </c>
      <c r="E1484" s="43">
        <v>2912000</v>
      </c>
      <c r="F1484" s="44">
        <f t="shared" si="76"/>
        <v>232960</v>
      </c>
      <c r="G1484" s="45">
        <f t="shared" si="77"/>
        <v>3144960</v>
      </c>
      <c r="H1484" s="46">
        <v>3144960</v>
      </c>
      <c r="I1484" s="47">
        <f t="shared" si="75"/>
        <v>0</v>
      </c>
      <c r="J1484" s="48">
        <v>46017</v>
      </c>
      <c r="K1484" s="49">
        <v>46106</v>
      </c>
      <c r="L1484" s="65">
        <v>4181322122</v>
      </c>
    </row>
    <row r="1485" spans="1:12" ht="15" customHeight="1" x14ac:dyDescent="0.35">
      <c r="A1485" s="85" t="s">
        <v>56</v>
      </c>
      <c r="B1485" s="86">
        <v>7621</v>
      </c>
      <c r="C1485" s="87"/>
      <c r="D1485" s="88">
        <v>46017</v>
      </c>
      <c r="E1485" s="43">
        <v>486000</v>
      </c>
      <c r="F1485" s="44">
        <f t="shared" si="76"/>
        <v>38880</v>
      </c>
      <c r="G1485" s="45">
        <f t="shared" si="77"/>
        <v>524880</v>
      </c>
      <c r="H1485" s="46">
        <v>524880</v>
      </c>
      <c r="I1485" s="47">
        <f t="shared" si="75"/>
        <v>0</v>
      </c>
      <c r="J1485" s="48">
        <v>46017</v>
      </c>
      <c r="K1485" s="49">
        <v>46106</v>
      </c>
      <c r="L1485" s="65">
        <v>4181360229</v>
      </c>
    </row>
    <row r="1486" spans="1:12" ht="15" customHeight="1" x14ac:dyDescent="0.35">
      <c r="A1486" s="85" t="s">
        <v>123</v>
      </c>
      <c r="B1486" s="86">
        <v>7622</v>
      </c>
      <c r="C1486" s="87"/>
      <c r="D1486" s="88">
        <v>46017</v>
      </c>
      <c r="E1486" s="43">
        <v>972000</v>
      </c>
      <c r="F1486" s="44">
        <f t="shared" si="76"/>
        <v>77760</v>
      </c>
      <c r="G1486" s="45">
        <f t="shared" si="77"/>
        <v>1049760</v>
      </c>
      <c r="H1486" s="46">
        <v>1049760</v>
      </c>
      <c r="I1486" s="47">
        <f t="shared" si="75"/>
        <v>0</v>
      </c>
      <c r="J1486" s="48">
        <v>46017</v>
      </c>
      <c r="K1486" s="49">
        <v>46106</v>
      </c>
      <c r="L1486" s="65">
        <v>4181360467</v>
      </c>
    </row>
    <row r="1487" spans="1:12" ht="15" customHeight="1" x14ac:dyDescent="0.35">
      <c r="A1487" s="85" t="s">
        <v>37</v>
      </c>
      <c r="B1487" s="86">
        <v>7623</v>
      </c>
      <c r="C1487" s="87"/>
      <c r="D1487" s="88">
        <v>46017</v>
      </c>
      <c r="E1487" s="43">
        <v>486000</v>
      </c>
      <c r="F1487" s="44">
        <f t="shared" si="76"/>
        <v>38880</v>
      </c>
      <c r="G1487" s="45">
        <f t="shared" si="77"/>
        <v>524880</v>
      </c>
      <c r="H1487" s="46">
        <v>524880</v>
      </c>
      <c r="I1487" s="47">
        <f t="shared" si="75"/>
        <v>0</v>
      </c>
      <c r="J1487" s="48">
        <v>46017</v>
      </c>
      <c r="K1487" s="49">
        <v>46106</v>
      </c>
      <c r="L1487" s="65">
        <v>4181360383</v>
      </c>
    </row>
    <row r="1488" spans="1:12" ht="15" customHeight="1" x14ac:dyDescent="0.35">
      <c r="A1488" s="85" t="s">
        <v>37</v>
      </c>
      <c r="B1488" s="86">
        <v>7624</v>
      </c>
      <c r="C1488" s="87"/>
      <c r="D1488" s="88">
        <v>46017</v>
      </c>
      <c r="E1488" s="43">
        <v>20910000</v>
      </c>
      <c r="F1488" s="44">
        <f t="shared" si="76"/>
        <v>1672800</v>
      </c>
      <c r="G1488" s="45">
        <f t="shared" si="77"/>
        <v>22582800</v>
      </c>
      <c r="H1488" s="46">
        <v>22582800</v>
      </c>
      <c r="I1488" s="47">
        <f t="shared" si="75"/>
        <v>0</v>
      </c>
      <c r="J1488" s="48">
        <v>46017</v>
      </c>
      <c r="K1488" s="49">
        <v>46106</v>
      </c>
      <c r="L1488" s="65">
        <v>4181322346</v>
      </c>
    </row>
    <row r="1489" spans="1:12" ht="15" customHeight="1" x14ac:dyDescent="0.35">
      <c r="A1489" s="85" t="s">
        <v>85</v>
      </c>
      <c r="B1489" s="86">
        <v>7626</v>
      </c>
      <c r="C1489" s="87"/>
      <c r="D1489" s="88">
        <v>46017</v>
      </c>
      <c r="E1489" s="43">
        <v>3384000</v>
      </c>
      <c r="F1489" s="44">
        <f t="shared" si="76"/>
        <v>270720</v>
      </c>
      <c r="G1489" s="45">
        <f t="shared" si="77"/>
        <v>3654720</v>
      </c>
      <c r="H1489" s="46">
        <v>3654720</v>
      </c>
      <c r="I1489" s="47">
        <f t="shared" si="75"/>
        <v>0</v>
      </c>
      <c r="J1489" s="48">
        <v>46017</v>
      </c>
      <c r="K1489" s="49">
        <v>46106</v>
      </c>
      <c r="L1489" s="65">
        <v>4181322345</v>
      </c>
    </row>
    <row r="1490" spans="1:12" ht="15" customHeight="1" x14ac:dyDescent="0.35">
      <c r="A1490" s="85" t="s">
        <v>123</v>
      </c>
      <c r="B1490" s="86">
        <v>7627</v>
      </c>
      <c r="C1490" s="87"/>
      <c r="D1490" s="88">
        <v>46017</v>
      </c>
      <c r="E1490" s="43">
        <v>4800000</v>
      </c>
      <c r="F1490" s="44">
        <f t="shared" si="76"/>
        <v>384000</v>
      </c>
      <c r="G1490" s="45">
        <f t="shared" si="77"/>
        <v>5184000</v>
      </c>
      <c r="H1490" s="46">
        <v>5184000</v>
      </c>
      <c r="I1490" s="47">
        <f t="shared" si="75"/>
        <v>0</v>
      </c>
      <c r="J1490" s="48">
        <v>46017</v>
      </c>
      <c r="K1490" s="49">
        <v>46106</v>
      </c>
      <c r="L1490" s="65">
        <v>4181322353</v>
      </c>
    </row>
    <row r="1491" spans="1:12" ht="15" customHeight="1" x14ac:dyDescent="0.35">
      <c r="A1491" s="85" t="s">
        <v>123</v>
      </c>
      <c r="B1491" s="86">
        <v>7628</v>
      </c>
      <c r="C1491" s="87"/>
      <c r="D1491" s="88">
        <v>46017</v>
      </c>
      <c r="E1491" s="43">
        <v>5965000</v>
      </c>
      <c r="F1491" s="44">
        <f t="shared" si="76"/>
        <v>477200</v>
      </c>
      <c r="G1491" s="45">
        <f t="shared" si="77"/>
        <v>6442200</v>
      </c>
      <c r="H1491" s="46">
        <v>6442200</v>
      </c>
      <c r="I1491" s="47">
        <f t="shared" si="75"/>
        <v>0</v>
      </c>
      <c r="J1491" s="48">
        <v>46017</v>
      </c>
      <c r="K1491" s="49">
        <v>46106</v>
      </c>
      <c r="L1491" s="65">
        <v>4181322364</v>
      </c>
    </row>
    <row r="1492" spans="1:12" ht="15" customHeight="1" x14ac:dyDescent="0.35">
      <c r="A1492" s="85" t="s">
        <v>56</v>
      </c>
      <c r="B1492" s="86">
        <v>7629</v>
      </c>
      <c r="C1492" s="87"/>
      <c r="D1492" s="88">
        <v>46017</v>
      </c>
      <c r="E1492" s="43">
        <v>2576000</v>
      </c>
      <c r="F1492" s="44">
        <f t="shared" si="76"/>
        <v>206080</v>
      </c>
      <c r="G1492" s="45">
        <f t="shared" si="77"/>
        <v>2782080</v>
      </c>
      <c r="H1492" s="46">
        <v>2782080</v>
      </c>
      <c r="I1492" s="47">
        <f t="shared" si="75"/>
        <v>0</v>
      </c>
      <c r="J1492" s="48">
        <v>46017</v>
      </c>
      <c r="K1492" s="49">
        <v>46106</v>
      </c>
      <c r="L1492" s="65">
        <v>4181322356</v>
      </c>
    </row>
    <row r="1493" spans="1:12" ht="15" customHeight="1" x14ac:dyDescent="0.35">
      <c r="A1493" s="85" t="s">
        <v>3227</v>
      </c>
      <c r="B1493" s="86">
        <v>7630</v>
      </c>
      <c r="C1493" s="87"/>
      <c r="D1493" s="88">
        <v>46017</v>
      </c>
      <c r="E1493" s="43">
        <v>137373000</v>
      </c>
      <c r="F1493" s="44">
        <f t="shared" si="76"/>
        <v>10989840</v>
      </c>
      <c r="G1493" s="45">
        <f t="shared" si="77"/>
        <v>148362840</v>
      </c>
      <c r="H1493" s="46">
        <v>148362840</v>
      </c>
      <c r="I1493" s="47">
        <f t="shared" si="75"/>
        <v>0</v>
      </c>
      <c r="J1493" s="48">
        <v>46017</v>
      </c>
      <c r="K1493" s="49">
        <v>46106</v>
      </c>
      <c r="L1493" s="65">
        <v>4181451364</v>
      </c>
    </row>
    <row r="1494" spans="1:12" ht="15" customHeight="1" x14ac:dyDescent="0.35">
      <c r="A1494" s="85" t="s">
        <v>33</v>
      </c>
      <c r="B1494" s="86">
        <v>7631</v>
      </c>
      <c r="C1494" s="87"/>
      <c r="D1494" s="88">
        <v>46017</v>
      </c>
      <c r="E1494" s="43">
        <v>117119000</v>
      </c>
      <c r="F1494" s="44">
        <f t="shared" si="76"/>
        <v>9369520</v>
      </c>
      <c r="G1494" s="45">
        <f t="shared" si="77"/>
        <v>126488520</v>
      </c>
      <c r="H1494" s="46">
        <v>126488520</v>
      </c>
      <c r="I1494" s="47">
        <f t="shared" si="75"/>
        <v>0</v>
      </c>
      <c r="J1494" s="48">
        <v>46017</v>
      </c>
      <c r="K1494" s="49">
        <v>46106</v>
      </c>
      <c r="L1494" s="50">
        <v>4901279656</v>
      </c>
    </row>
    <row r="1495" spans="1:12" ht="15" customHeight="1" x14ac:dyDescent="0.35">
      <c r="A1495" s="85" t="s">
        <v>29</v>
      </c>
      <c r="B1495" s="86">
        <v>7632</v>
      </c>
      <c r="C1495" s="87"/>
      <c r="D1495" s="88">
        <v>46017</v>
      </c>
      <c r="E1495" s="43">
        <v>852831000</v>
      </c>
      <c r="F1495" s="44">
        <f t="shared" si="76"/>
        <v>68226480</v>
      </c>
      <c r="G1495" s="45">
        <f t="shared" si="77"/>
        <v>921057480</v>
      </c>
      <c r="H1495" s="46">
        <v>921057480</v>
      </c>
      <c r="I1495" s="47">
        <f t="shared" si="75"/>
        <v>0</v>
      </c>
      <c r="J1495" s="48">
        <v>46017</v>
      </c>
      <c r="K1495" s="49">
        <v>46106</v>
      </c>
      <c r="L1495" s="65">
        <v>4181451197</v>
      </c>
    </row>
    <row r="1496" spans="1:12" ht="15" customHeight="1" x14ac:dyDescent="0.35">
      <c r="A1496" s="85" t="s">
        <v>56</v>
      </c>
      <c r="B1496" s="86">
        <v>7633</v>
      </c>
      <c r="C1496" s="87"/>
      <c r="D1496" s="88">
        <v>46017</v>
      </c>
      <c r="E1496" s="43">
        <v>186298000</v>
      </c>
      <c r="F1496" s="44">
        <f t="shared" si="76"/>
        <v>14903840</v>
      </c>
      <c r="G1496" s="45">
        <f t="shared" si="77"/>
        <v>201201840</v>
      </c>
      <c r="H1496" s="46">
        <v>201201840</v>
      </c>
      <c r="I1496" s="47">
        <f t="shared" si="75"/>
        <v>0</v>
      </c>
      <c r="J1496" s="48">
        <v>46017</v>
      </c>
      <c r="K1496" s="49">
        <v>46106</v>
      </c>
      <c r="L1496" s="65">
        <v>4181460084</v>
      </c>
    </row>
    <row r="1497" spans="1:12" ht="15" customHeight="1" x14ac:dyDescent="0.35">
      <c r="A1497" s="85" t="s">
        <v>29</v>
      </c>
      <c r="B1497" s="86">
        <v>7634</v>
      </c>
      <c r="C1497" s="87"/>
      <c r="D1497" s="88">
        <v>46017</v>
      </c>
      <c r="E1497" s="43">
        <v>12685000</v>
      </c>
      <c r="F1497" s="44">
        <f t="shared" si="76"/>
        <v>1014800</v>
      </c>
      <c r="G1497" s="45">
        <f t="shared" si="77"/>
        <v>13699800</v>
      </c>
      <c r="H1497" s="46">
        <v>13699800</v>
      </c>
      <c r="I1497" s="47">
        <f t="shared" si="75"/>
        <v>0</v>
      </c>
      <c r="J1497" s="48">
        <v>46017</v>
      </c>
      <c r="K1497" s="49">
        <v>46106</v>
      </c>
      <c r="L1497" s="65">
        <v>4181545606</v>
      </c>
    </row>
    <row r="1498" spans="1:12" ht="15" customHeight="1" x14ac:dyDescent="0.35">
      <c r="A1498" s="85" t="s">
        <v>3227</v>
      </c>
      <c r="B1498" s="86">
        <v>7635</v>
      </c>
      <c r="C1498" s="87"/>
      <c r="D1498" s="88">
        <v>46017</v>
      </c>
      <c r="E1498" s="43">
        <v>2640000</v>
      </c>
      <c r="F1498" s="44">
        <f t="shared" si="76"/>
        <v>211200</v>
      </c>
      <c r="G1498" s="45">
        <f t="shared" si="77"/>
        <v>2851200</v>
      </c>
      <c r="H1498" s="46">
        <v>2851200</v>
      </c>
      <c r="I1498" s="47">
        <f t="shared" si="75"/>
        <v>0</v>
      </c>
      <c r="J1498" s="48">
        <v>46017</v>
      </c>
      <c r="K1498" s="49">
        <v>46106</v>
      </c>
      <c r="L1498" s="65">
        <v>4181545626</v>
      </c>
    </row>
    <row r="1499" spans="1:12" ht="15" customHeight="1" x14ac:dyDescent="0.35">
      <c r="A1499" s="85" t="s">
        <v>33</v>
      </c>
      <c r="B1499" s="86">
        <v>7636</v>
      </c>
      <c r="C1499" s="87"/>
      <c r="D1499" s="88">
        <v>46017</v>
      </c>
      <c r="E1499" s="43">
        <v>8880000</v>
      </c>
      <c r="F1499" s="44">
        <f t="shared" si="76"/>
        <v>710400</v>
      </c>
      <c r="G1499" s="45">
        <f t="shared" si="77"/>
        <v>9590400</v>
      </c>
      <c r="H1499" s="46">
        <v>9590400</v>
      </c>
      <c r="I1499" s="47">
        <f t="shared" si="75"/>
        <v>0</v>
      </c>
      <c r="J1499" s="48">
        <v>46017</v>
      </c>
      <c r="K1499" s="49">
        <v>46106</v>
      </c>
      <c r="L1499" s="50">
        <v>4901279872</v>
      </c>
    </row>
    <row r="1500" spans="1:12" ht="15" customHeight="1" x14ac:dyDescent="0.35">
      <c r="A1500" s="85" t="s">
        <v>33</v>
      </c>
      <c r="B1500" s="86">
        <v>7637</v>
      </c>
      <c r="C1500" s="87"/>
      <c r="D1500" s="88">
        <v>46017</v>
      </c>
      <c r="E1500" s="43">
        <v>6480000</v>
      </c>
      <c r="F1500" s="44">
        <f t="shared" si="76"/>
        <v>518400</v>
      </c>
      <c r="G1500" s="45">
        <f t="shared" si="77"/>
        <v>6998400</v>
      </c>
      <c r="H1500" s="46">
        <v>6998400</v>
      </c>
      <c r="I1500" s="47">
        <f t="shared" si="75"/>
        <v>0</v>
      </c>
      <c r="J1500" s="48">
        <v>46017</v>
      </c>
      <c r="K1500" s="49">
        <v>46106</v>
      </c>
      <c r="L1500" s="50">
        <v>4901279940</v>
      </c>
    </row>
    <row r="1501" spans="1:12" ht="15" customHeight="1" x14ac:dyDescent="0.35">
      <c r="A1501" s="85" t="s">
        <v>3227</v>
      </c>
      <c r="B1501" s="86">
        <v>7638</v>
      </c>
      <c r="C1501" s="87"/>
      <c r="D1501" s="88">
        <v>46017</v>
      </c>
      <c r="E1501" s="43">
        <v>810000</v>
      </c>
      <c r="F1501" s="44">
        <f t="shared" si="76"/>
        <v>64800</v>
      </c>
      <c r="G1501" s="45">
        <f t="shared" si="77"/>
        <v>874800</v>
      </c>
      <c r="H1501" s="46">
        <v>874800</v>
      </c>
      <c r="I1501" s="47">
        <f t="shared" si="75"/>
        <v>0</v>
      </c>
      <c r="J1501" s="48">
        <v>46017</v>
      </c>
      <c r="K1501" s="49">
        <v>46106</v>
      </c>
      <c r="L1501" s="65">
        <v>4181560728</v>
      </c>
    </row>
    <row r="1502" spans="1:12" ht="15" customHeight="1" x14ac:dyDescent="0.35">
      <c r="A1502" s="85" t="s">
        <v>63</v>
      </c>
      <c r="B1502" s="86">
        <v>7639</v>
      </c>
      <c r="C1502" s="87"/>
      <c r="D1502" s="88">
        <v>46017</v>
      </c>
      <c r="E1502" s="43">
        <v>160008000</v>
      </c>
      <c r="F1502" s="44">
        <f t="shared" si="76"/>
        <v>12800640</v>
      </c>
      <c r="G1502" s="45">
        <f t="shared" si="77"/>
        <v>172808640</v>
      </c>
      <c r="H1502" s="46">
        <v>172808640</v>
      </c>
      <c r="I1502" s="47">
        <f t="shared" si="75"/>
        <v>0</v>
      </c>
      <c r="J1502" s="48">
        <v>46017</v>
      </c>
      <c r="K1502" s="49">
        <v>46106</v>
      </c>
      <c r="L1502" s="65">
        <v>4181457593</v>
      </c>
    </row>
    <row r="1503" spans="1:12" ht="15" customHeight="1" x14ac:dyDescent="0.35">
      <c r="A1503" s="85" t="s">
        <v>29</v>
      </c>
      <c r="B1503" s="86">
        <v>7640</v>
      </c>
      <c r="C1503" s="87"/>
      <c r="D1503" s="88">
        <v>46017</v>
      </c>
      <c r="E1503" s="43">
        <v>4050000</v>
      </c>
      <c r="F1503" s="44">
        <f t="shared" si="76"/>
        <v>324000</v>
      </c>
      <c r="G1503" s="45">
        <f t="shared" si="77"/>
        <v>4374000</v>
      </c>
      <c r="H1503" s="46">
        <v>4374000</v>
      </c>
      <c r="I1503" s="47">
        <f t="shared" si="75"/>
        <v>0</v>
      </c>
      <c r="J1503" s="48">
        <v>46017</v>
      </c>
      <c r="K1503" s="49">
        <v>46106</v>
      </c>
      <c r="L1503" s="50">
        <v>4181515918</v>
      </c>
    </row>
    <row r="1504" spans="1:12" ht="15" customHeight="1" x14ac:dyDescent="0.35">
      <c r="A1504" s="85" t="s">
        <v>29</v>
      </c>
      <c r="B1504" s="86">
        <v>7641</v>
      </c>
      <c r="C1504" s="87"/>
      <c r="D1504" s="88">
        <v>46017</v>
      </c>
      <c r="E1504" s="43">
        <v>960000</v>
      </c>
      <c r="F1504" s="44">
        <f t="shared" si="76"/>
        <v>76800</v>
      </c>
      <c r="G1504" s="45">
        <f t="shared" si="77"/>
        <v>1036800</v>
      </c>
      <c r="H1504" s="46">
        <v>1036800</v>
      </c>
      <c r="I1504" s="47">
        <f t="shared" si="75"/>
        <v>0</v>
      </c>
      <c r="J1504" s="48">
        <v>46017</v>
      </c>
      <c r="K1504" s="49">
        <v>46106</v>
      </c>
      <c r="L1504" s="50">
        <v>4181559639</v>
      </c>
    </row>
    <row r="1505" spans="1:12" ht="15" customHeight="1" x14ac:dyDescent="0.35">
      <c r="A1505" s="85" t="s">
        <v>123</v>
      </c>
      <c r="B1505" s="86">
        <v>7642</v>
      </c>
      <c r="C1505" s="87"/>
      <c r="D1505" s="88">
        <v>46017</v>
      </c>
      <c r="E1505" s="43">
        <v>810000</v>
      </c>
      <c r="F1505" s="44">
        <f t="shared" si="76"/>
        <v>64800</v>
      </c>
      <c r="G1505" s="45">
        <f t="shared" si="77"/>
        <v>874800</v>
      </c>
      <c r="H1505" s="46">
        <v>874800</v>
      </c>
      <c r="I1505" s="47">
        <f t="shared" si="75"/>
        <v>0</v>
      </c>
      <c r="J1505" s="48">
        <v>46017</v>
      </c>
      <c r="K1505" s="49">
        <v>46106</v>
      </c>
      <c r="L1505" s="50">
        <v>4181552956</v>
      </c>
    </row>
    <row r="1506" spans="1:12" ht="15" customHeight="1" x14ac:dyDescent="0.35">
      <c r="A1506" s="85" t="s">
        <v>37</v>
      </c>
      <c r="B1506" s="86">
        <v>7643</v>
      </c>
      <c r="C1506" s="87"/>
      <c r="D1506" s="88">
        <v>46017</v>
      </c>
      <c r="E1506" s="43">
        <v>774983000</v>
      </c>
      <c r="F1506" s="44">
        <f t="shared" si="76"/>
        <v>61998640</v>
      </c>
      <c r="G1506" s="45">
        <f t="shared" si="77"/>
        <v>836981640</v>
      </c>
      <c r="H1506" s="46">
        <v>836981640</v>
      </c>
      <c r="I1506" s="47">
        <f t="shared" si="75"/>
        <v>0</v>
      </c>
      <c r="J1506" s="48">
        <v>46017</v>
      </c>
      <c r="K1506" s="49">
        <v>46106</v>
      </c>
      <c r="L1506" s="65">
        <v>4181460085</v>
      </c>
    </row>
    <row r="1507" spans="1:12" ht="15" customHeight="1" x14ac:dyDescent="0.35">
      <c r="A1507" s="85" t="s">
        <v>37</v>
      </c>
      <c r="B1507" s="86">
        <v>7644</v>
      </c>
      <c r="C1507" s="87"/>
      <c r="D1507" s="88">
        <v>46017</v>
      </c>
      <c r="E1507" s="43">
        <v>810000</v>
      </c>
      <c r="F1507" s="44">
        <f t="shared" si="76"/>
        <v>64800</v>
      </c>
      <c r="G1507" s="45">
        <f t="shared" si="77"/>
        <v>874800</v>
      </c>
      <c r="H1507" s="46">
        <v>874800</v>
      </c>
      <c r="I1507" s="47">
        <f t="shared" si="75"/>
        <v>0</v>
      </c>
      <c r="J1507" s="48">
        <v>46017</v>
      </c>
      <c r="K1507" s="49">
        <v>46106</v>
      </c>
      <c r="L1507" s="65">
        <v>4181515223</v>
      </c>
    </row>
    <row r="1508" spans="1:12" ht="15" customHeight="1" x14ac:dyDescent="0.35">
      <c r="A1508" s="85" t="s">
        <v>3227</v>
      </c>
      <c r="B1508" s="86">
        <v>7645</v>
      </c>
      <c r="C1508" s="87"/>
      <c r="D1508" s="88">
        <v>46017</v>
      </c>
      <c r="E1508" s="43">
        <v>1620000</v>
      </c>
      <c r="F1508" s="44">
        <f t="shared" si="76"/>
        <v>129600</v>
      </c>
      <c r="G1508" s="45">
        <f t="shared" si="77"/>
        <v>1749600</v>
      </c>
      <c r="H1508" s="46">
        <v>1749600</v>
      </c>
      <c r="I1508" s="47">
        <f t="shared" si="75"/>
        <v>0</v>
      </c>
      <c r="J1508" s="48">
        <v>46017</v>
      </c>
      <c r="K1508" s="49">
        <v>46106</v>
      </c>
      <c r="L1508" s="50">
        <v>4181617460</v>
      </c>
    </row>
    <row r="1509" spans="1:12" ht="15" customHeight="1" x14ac:dyDescent="0.35">
      <c r="A1509" s="85" t="s">
        <v>123</v>
      </c>
      <c r="B1509" s="86"/>
      <c r="C1509" s="87"/>
      <c r="D1509" s="88"/>
      <c r="E1509" s="43">
        <v>20702000</v>
      </c>
      <c r="F1509" s="44"/>
      <c r="G1509" s="45"/>
      <c r="H1509" s="46"/>
      <c r="I1509" s="47">
        <f t="shared" si="75"/>
        <v>0</v>
      </c>
      <c r="J1509" s="77" t="s">
        <v>3661</v>
      </c>
      <c r="K1509" s="49"/>
      <c r="L1509" s="50">
        <v>4181639416</v>
      </c>
    </row>
    <row r="1510" spans="1:12" ht="15" customHeight="1" x14ac:dyDescent="0.35">
      <c r="A1510" s="85" t="s">
        <v>56</v>
      </c>
      <c r="B1510" s="86">
        <v>7784</v>
      </c>
      <c r="C1510" s="87"/>
      <c r="D1510" s="88">
        <v>46021</v>
      </c>
      <c r="E1510" s="43">
        <v>9720000</v>
      </c>
      <c r="F1510" s="44">
        <f t="shared" si="76"/>
        <v>777600</v>
      </c>
      <c r="G1510" s="45">
        <f t="shared" si="77"/>
        <v>10497600</v>
      </c>
      <c r="H1510" s="46">
        <v>10497600</v>
      </c>
      <c r="I1510" s="47">
        <f t="shared" si="75"/>
        <v>0</v>
      </c>
      <c r="J1510" s="48">
        <v>46021</v>
      </c>
      <c r="K1510" s="49">
        <v>46106</v>
      </c>
      <c r="L1510" s="50">
        <v>4181639593</v>
      </c>
    </row>
    <row r="1511" spans="1:12" ht="15" customHeight="1" x14ac:dyDescent="0.35">
      <c r="A1511" s="85" t="s">
        <v>29</v>
      </c>
      <c r="B1511" s="86">
        <v>7786</v>
      </c>
      <c r="C1511" s="87"/>
      <c r="D1511" s="88">
        <v>46021</v>
      </c>
      <c r="E1511" s="43">
        <v>335000</v>
      </c>
      <c r="F1511" s="44">
        <f t="shared" si="76"/>
        <v>26800</v>
      </c>
      <c r="G1511" s="45">
        <f t="shared" si="77"/>
        <v>361800</v>
      </c>
      <c r="H1511" s="46">
        <v>361800</v>
      </c>
      <c r="I1511" s="47">
        <f t="shared" si="75"/>
        <v>0</v>
      </c>
      <c r="J1511" s="48">
        <v>46021</v>
      </c>
      <c r="K1511" s="49">
        <v>46106</v>
      </c>
      <c r="L1511" s="50">
        <v>4181645881</v>
      </c>
    </row>
    <row r="1512" spans="1:12" ht="15" customHeight="1" x14ac:dyDescent="0.35">
      <c r="A1512" s="85" t="s">
        <v>63</v>
      </c>
      <c r="B1512" s="86">
        <v>7646</v>
      </c>
      <c r="C1512" s="87"/>
      <c r="D1512" s="88">
        <v>46017</v>
      </c>
      <c r="E1512" s="43">
        <v>4160000</v>
      </c>
      <c r="F1512" s="44">
        <f t="shared" si="76"/>
        <v>332800</v>
      </c>
      <c r="G1512" s="45">
        <f t="shared" si="77"/>
        <v>4492800</v>
      </c>
      <c r="H1512" s="46">
        <v>4492800</v>
      </c>
      <c r="I1512" s="47">
        <f t="shared" si="75"/>
        <v>0</v>
      </c>
      <c r="J1512" s="48">
        <v>46017</v>
      </c>
      <c r="K1512" s="49">
        <v>46106</v>
      </c>
      <c r="L1512" s="50">
        <v>4181639560</v>
      </c>
    </row>
    <row r="1513" spans="1:12" ht="15" customHeight="1" x14ac:dyDescent="0.35">
      <c r="A1513" s="85" t="s">
        <v>33</v>
      </c>
      <c r="B1513" s="86">
        <v>7647</v>
      </c>
      <c r="C1513" s="87"/>
      <c r="D1513" s="88">
        <v>46017</v>
      </c>
      <c r="E1513" s="43">
        <v>3680000</v>
      </c>
      <c r="F1513" s="44">
        <f t="shared" si="76"/>
        <v>294400</v>
      </c>
      <c r="G1513" s="45">
        <f t="shared" si="77"/>
        <v>3974400</v>
      </c>
      <c r="H1513" s="46">
        <v>3974400</v>
      </c>
      <c r="I1513" s="47">
        <f t="shared" si="75"/>
        <v>0</v>
      </c>
      <c r="J1513" s="48">
        <v>46017</v>
      </c>
      <c r="K1513" s="49">
        <v>46106</v>
      </c>
      <c r="L1513" s="50">
        <v>4901280192</v>
      </c>
    </row>
    <row r="1514" spans="1:12" ht="15" customHeight="1" x14ac:dyDescent="0.35">
      <c r="A1514" s="85" t="s">
        <v>37</v>
      </c>
      <c r="B1514" s="86">
        <v>7648</v>
      </c>
      <c r="C1514" s="87"/>
      <c r="D1514" s="88">
        <v>46017</v>
      </c>
      <c r="E1514" s="43">
        <v>4506000</v>
      </c>
      <c r="F1514" s="44">
        <f t="shared" si="76"/>
        <v>360480</v>
      </c>
      <c r="G1514" s="45">
        <f t="shared" si="77"/>
        <v>4866480</v>
      </c>
      <c r="H1514" s="46">
        <v>4866480</v>
      </c>
      <c r="I1514" s="47">
        <f t="shared" si="75"/>
        <v>0</v>
      </c>
      <c r="J1514" s="48">
        <v>46017</v>
      </c>
      <c r="K1514" s="49">
        <v>46106</v>
      </c>
      <c r="L1514" s="65">
        <v>4181639365</v>
      </c>
    </row>
    <row r="1515" spans="1:12" ht="15" customHeight="1" x14ac:dyDescent="0.35">
      <c r="A1515" s="85" t="s">
        <v>123</v>
      </c>
      <c r="B1515" s="86">
        <v>7649</v>
      </c>
      <c r="C1515" s="87"/>
      <c r="D1515" s="88">
        <v>46017</v>
      </c>
      <c r="E1515" s="43">
        <v>6240000</v>
      </c>
      <c r="F1515" s="44">
        <f t="shared" si="76"/>
        <v>499200</v>
      </c>
      <c r="G1515" s="45">
        <f t="shared" si="77"/>
        <v>6739200</v>
      </c>
      <c r="H1515" s="46">
        <v>6739200</v>
      </c>
      <c r="I1515" s="47">
        <f t="shared" si="75"/>
        <v>0</v>
      </c>
      <c r="J1515" s="48">
        <v>46017</v>
      </c>
      <c r="K1515" s="49">
        <v>46106</v>
      </c>
      <c r="L1515" s="50">
        <v>4181489556</v>
      </c>
    </row>
    <row r="1516" spans="1:12" ht="15" customHeight="1" x14ac:dyDescent="0.35">
      <c r="A1516" s="85" t="s">
        <v>123</v>
      </c>
      <c r="B1516" s="86">
        <v>7650</v>
      </c>
      <c r="C1516" s="87"/>
      <c r="D1516" s="88">
        <v>46017</v>
      </c>
      <c r="E1516" s="43">
        <v>327337000</v>
      </c>
      <c r="F1516" s="44">
        <f t="shared" si="76"/>
        <v>26186960</v>
      </c>
      <c r="G1516" s="45">
        <f t="shared" si="77"/>
        <v>353523960</v>
      </c>
      <c r="H1516" s="46">
        <v>353523960</v>
      </c>
      <c r="I1516" s="47">
        <f t="shared" si="75"/>
        <v>0</v>
      </c>
      <c r="J1516" s="48">
        <v>46017</v>
      </c>
      <c r="K1516" s="49">
        <v>46106</v>
      </c>
      <c r="L1516" s="50">
        <v>4181457592</v>
      </c>
    </row>
    <row r="1517" spans="1:12" ht="15" customHeight="1" x14ac:dyDescent="0.35">
      <c r="A1517" s="85" t="s">
        <v>85</v>
      </c>
      <c r="B1517" s="86">
        <v>7651</v>
      </c>
      <c r="C1517" s="87"/>
      <c r="D1517" s="88">
        <v>46017</v>
      </c>
      <c r="E1517" s="43">
        <v>378899000</v>
      </c>
      <c r="F1517" s="44">
        <f t="shared" si="76"/>
        <v>30311920</v>
      </c>
      <c r="G1517" s="45">
        <f t="shared" si="77"/>
        <v>409210920</v>
      </c>
      <c r="H1517" s="46">
        <v>409210920</v>
      </c>
      <c r="I1517" s="47">
        <f t="shared" si="75"/>
        <v>0</v>
      </c>
      <c r="J1517" s="48">
        <v>46017</v>
      </c>
      <c r="K1517" s="49">
        <v>46106</v>
      </c>
      <c r="L1517" s="65">
        <v>4181460043</v>
      </c>
    </row>
    <row r="1518" spans="1:12" ht="15" customHeight="1" x14ac:dyDescent="0.35">
      <c r="A1518" s="85" t="s">
        <v>85</v>
      </c>
      <c r="B1518" s="86">
        <v>7652</v>
      </c>
      <c r="C1518" s="87"/>
      <c r="D1518" s="88">
        <v>46017</v>
      </c>
      <c r="E1518" s="43">
        <v>5040000</v>
      </c>
      <c r="F1518" s="44">
        <f t="shared" si="76"/>
        <v>403200</v>
      </c>
      <c r="G1518" s="45">
        <f t="shared" si="77"/>
        <v>5443200</v>
      </c>
      <c r="H1518" s="46">
        <v>5443200</v>
      </c>
      <c r="I1518" s="47">
        <f t="shared" si="75"/>
        <v>0</v>
      </c>
      <c r="J1518" s="48">
        <v>46017</v>
      </c>
      <c r="K1518" s="49">
        <v>46106</v>
      </c>
      <c r="L1518" s="65">
        <v>4181639537</v>
      </c>
    </row>
    <row r="1519" spans="1:12" ht="15" customHeight="1" x14ac:dyDescent="0.35">
      <c r="A1519" s="85" t="s">
        <v>37</v>
      </c>
      <c r="B1519" s="86">
        <v>7787</v>
      </c>
      <c r="C1519" s="87"/>
      <c r="D1519" s="88">
        <v>46021</v>
      </c>
      <c r="E1519" s="43">
        <v>1548000</v>
      </c>
      <c r="F1519" s="44">
        <f t="shared" si="76"/>
        <v>123840</v>
      </c>
      <c r="G1519" s="45">
        <f t="shared" si="77"/>
        <v>1671840</v>
      </c>
      <c r="H1519" s="46">
        <v>1671840</v>
      </c>
      <c r="I1519" s="47">
        <f t="shared" si="75"/>
        <v>0</v>
      </c>
      <c r="J1519" s="48">
        <v>46021</v>
      </c>
      <c r="K1519" s="49">
        <v>46106</v>
      </c>
      <c r="L1519" s="50">
        <v>4181659281</v>
      </c>
    </row>
    <row r="1520" spans="1:12" ht="15" customHeight="1" x14ac:dyDescent="0.35">
      <c r="A1520" s="85" t="s">
        <v>29</v>
      </c>
      <c r="B1520" s="86">
        <v>7789</v>
      </c>
      <c r="C1520" s="87"/>
      <c r="D1520" s="88">
        <v>46021</v>
      </c>
      <c r="E1520" s="43">
        <v>3104000</v>
      </c>
      <c r="F1520" s="44">
        <f t="shared" si="76"/>
        <v>248320</v>
      </c>
      <c r="G1520" s="45">
        <f t="shared" si="77"/>
        <v>3352320</v>
      </c>
      <c r="H1520" s="46">
        <v>3352320</v>
      </c>
      <c r="I1520" s="47">
        <f t="shared" si="75"/>
        <v>0</v>
      </c>
      <c r="J1520" s="48">
        <v>46021</v>
      </c>
      <c r="K1520" s="49">
        <v>46106</v>
      </c>
      <c r="L1520" s="50">
        <v>4181802947</v>
      </c>
    </row>
    <row r="1521" spans="1:13" ht="15" customHeight="1" x14ac:dyDescent="0.35">
      <c r="A1521" s="85" t="s">
        <v>29</v>
      </c>
      <c r="B1521" s="86">
        <v>7790</v>
      </c>
      <c r="C1521" s="87"/>
      <c r="D1521" s="88">
        <v>46021</v>
      </c>
      <c r="E1521" s="43">
        <v>938000</v>
      </c>
      <c r="F1521" s="44">
        <f t="shared" si="76"/>
        <v>75040</v>
      </c>
      <c r="G1521" s="45">
        <f t="shared" si="77"/>
        <v>1013040</v>
      </c>
      <c r="H1521" s="46">
        <v>1013040</v>
      </c>
      <c r="I1521" s="47">
        <f t="shared" si="75"/>
        <v>0</v>
      </c>
      <c r="J1521" s="48">
        <v>46021</v>
      </c>
      <c r="K1521" s="49">
        <v>46106</v>
      </c>
      <c r="L1521" s="50">
        <v>4181813687</v>
      </c>
    </row>
    <row r="1522" spans="1:13" ht="15" customHeight="1" x14ac:dyDescent="0.35">
      <c r="A1522" s="85" t="s">
        <v>33</v>
      </c>
      <c r="B1522" s="86">
        <v>395</v>
      </c>
      <c r="C1522" s="87"/>
      <c r="D1522" s="88">
        <v>46032</v>
      </c>
      <c r="E1522" s="43">
        <v>1800000</v>
      </c>
      <c r="F1522" s="44">
        <f t="shared" si="76"/>
        <v>144000</v>
      </c>
      <c r="G1522" s="45">
        <f t="shared" si="77"/>
        <v>1944000</v>
      </c>
      <c r="H1522" s="46">
        <v>1944000</v>
      </c>
      <c r="I1522" s="47">
        <f t="shared" si="75"/>
        <v>0</v>
      </c>
      <c r="J1522" s="48">
        <v>46034</v>
      </c>
      <c r="K1522" s="49">
        <v>46127</v>
      </c>
      <c r="L1522" s="65">
        <v>4901280369</v>
      </c>
      <c r="M1522" s="3" t="s">
        <v>3781</v>
      </c>
    </row>
    <row r="1523" spans="1:13" ht="15" customHeight="1" x14ac:dyDescent="0.35">
      <c r="A1523" s="85" t="s">
        <v>123</v>
      </c>
      <c r="B1523" s="86">
        <v>7653</v>
      </c>
      <c r="C1523" s="87"/>
      <c r="D1523" s="88">
        <v>46017</v>
      </c>
      <c r="E1523" s="43">
        <v>3675000</v>
      </c>
      <c r="F1523" s="44">
        <f t="shared" si="76"/>
        <v>294000</v>
      </c>
      <c r="G1523" s="45">
        <f t="shared" si="77"/>
        <v>3969000</v>
      </c>
      <c r="H1523" s="46">
        <v>3969000</v>
      </c>
      <c r="I1523" s="47">
        <f t="shared" si="75"/>
        <v>0</v>
      </c>
      <c r="J1523" s="48">
        <v>46017</v>
      </c>
      <c r="K1523" s="49">
        <v>46106</v>
      </c>
      <c r="L1523" s="65">
        <v>4181489644</v>
      </c>
    </row>
    <row r="1524" spans="1:13" ht="15" customHeight="1" x14ac:dyDescent="0.35">
      <c r="A1524" s="85" t="s">
        <v>123</v>
      </c>
      <c r="B1524" s="86">
        <v>7654</v>
      </c>
      <c r="C1524" s="87"/>
      <c r="D1524" s="88">
        <v>46017</v>
      </c>
      <c r="E1524" s="43">
        <v>560994000</v>
      </c>
      <c r="F1524" s="44">
        <f t="shared" si="76"/>
        <v>44879520</v>
      </c>
      <c r="G1524" s="45">
        <f t="shared" si="77"/>
        <v>605873520</v>
      </c>
      <c r="H1524" s="46">
        <v>605873520</v>
      </c>
      <c r="I1524" s="47">
        <f t="shared" si="75"/>
        <v>0</v>
      </c>
      <c r="J1524" s="48">
        <v>46017</v>
      </c>
      <c r="K1524" s="49">
        <v>46106</v>
      </c>
      <c r="L1524" s="65">
        <v>4181460086</v>
      </c>
    </row>
    <row r="1525" spans="1:13" ht="15" customHeight="1" x14ac:dyDescent="0.35">
      <c r="A1525" s="85" t="s">
        <v>123</v>
      </c>
      <c r="B1525" s="86">
        <v>7655</v>
      </c>
      <c r="C1525" s="87"/>
      <c r="D1525" s="88">
        <v>46017</v>
      </c>
      <c r="E1525" s="43">
        <v>8881000</v>
      </c>
      <c r="F1525" s="44">
        <f t="shared" si="76"/>
        <v>710480</v>
      </c>
      <c r="G1525" s="45">
        <f t="shared" si="77"/>
        <v>9591480</v>
      </c>
      <c r="H1525" s="46">
        <v>9591480</v>
      </c>
      <c r="I1525" s="47">
        <f t="shared" si="75"/>
        <v>0</v>
      </c>
      <c r="J1525" s="48">
        <v>46017</v>
      </c>
      <c r="K1525" s="49">
        <v>46106</v>
      </c>
      <c r="L1525" s="65">
        <v>4181638081</v>
      </c>
    </row>
    <row r="1526" spans="1:13" ht="15" customHeight="1" x14ac:dyDescent="0.35">
      <c r="A1526" s="85" t="s">
        <v>123</v>
      </c>
      <c r="B1526" s="86">
        <v>7791</v>
      </c>
      <c r="C1526" s="87"/>
      <c r="D1526" s="88">
        <v>46021</v>
      </c>
      <c r="E1526" s="43">
        <v>1680000</v>
      </c>
      <c r="F1526" s="44">
        <f t="shared" si="76"/>
        <v>134400</v>
      </c>
      <c r="G1526" s="45">
        <f t="shared" si="77"/>
        <v>1814400</v>
      </c>
      <c r="H1526" s="46">
        <v>1814400</v>
      </c>
      <c r="I1526" s="47">
        <f t="shared" si="75"/>
        <v>0</v>
      </c>
      <c r="J1526" s="48">
        <v>46021</v>
      </c>
      <c r="K1526" s="49">
        <v>46106</v>
      </c>
      <c r="L1526" s="50">
        <v>4181868257</v>
      </c>
    </row>
    <row r="1527" spans="1:13" ht="15" customHeight="1" x14ac:dyDescent="0.35">
      <c r="A1527" s="85" t="s">
        <v>123</v>
      </c>
      <c r="B1527" s="86"/>
      <c r="C1527" s="87"/>
      <c r="D1527" s="88"/>
      <c r="E1527" s="43">
        <v>6570000</v>
      </c>
      <c r="F1527" s="44"/>
      <c r="G1527" s="45"/>
      <c r="H1527" s="46"/>
      <c r="I1527" s="47">
        <f t="shared" si="75"/>
        <v>0</v>
      </c>
      <c r="J1527" s="77" t="s">
        <v>3661</v>
      </c>
      <c r="K1527" s="49"/>
      <c r="L1527" s="50">
        <v>4181868467</v>
      </c>
    </row>
    <row r="1528" spans="1:13" ht="15" customHeight="1" x14ac:dyDescent="0.35">
      <c r="A1528" s="85" t="s">
        <v>29</v>
      </c>
      <c r="B1528" s="86">
        <v>396</v>
      </c>
      <c r="C1528" s="87"/>
      <c r="D1528" s="88">
        <v>46032</v>
      </c>
      <c r="E1528" s="43">
        <v>640000</v>
      </c>
      <c r="F1528" s="44">
        <f t="shared" si="76"/>
        <v>51200</v>
      </c>
      <c r="G1528" s="45">
        <f t="shared" si="77"/>
        <v>691200</v>
      </c>
      <c r="H1528" s="46">
        <v>691200</v>
      </c>
      <c r="I1528" s="47">
        <f t="shared" si="75"/>
        <v>0</v>
      </c>
      <c r="J1528" s="48">
        <v>46034</v>
      </c>
      <c r="K1528" s="49">
        <v>46127</v>
      </c>
      <c r="L1528" s="65">
        <v>4181933109</v>
      </c>
      <c r="M1528" s="3" t="s">
        <v>3781</v>
      </c>
    </row>
    <row r="1529" spans="1:13" ht="15" customHeight="1" x14ac:dyDescent="0.35">
      <c r="A1529" s="85" t="s">
        <v>29</v>
      </c>
      <c r="B1529" s="86">
        <v>397</v>
      </c>
      <c r="C1529" s="87"/>
      <c r="D1529" s="88">
        <v>46032</v>
      </c>
      <c r="E1529" s="43">
        <v>2430000</v>
      </c>
      <c r="F1529" s="44">
        <f t="shared" si="76"/>
        <v>194400</v>
      </c>
      <c r="G1529" s="45">
        <f t="shared" si="77"/>
        <v>2624400</v>
      </c>
      <c r="H1529" s="46">
        <v>2624400</v>
      </c>
      <c r="I1529" s="47">
        <f t="shared" si="75"/>
        <v>0</v>
      </c>
      <c r="J1529" s="48">
        <v>46034</v>
      </c>
      <c r="K1529" s="49">
        <v>46127</v>
      </c>
      <c r="L1529" s="65">
        <v>4181879203</v>
      </c>
      <c r="M1529" s="3" t="s">
        <v>3781</v>
      </c>
    </row>
    <row r="1530" spans="1:13" ht="15" customHeight="1" x14ac:dyDescent="0.35">
      <c r="A1530" s="85" t="s">
        <v>33</v>
      </c>
      <c r="B1530" s="86">
        <v>398</v>
      </c>
      <c r="C1530" s="87"/>
      <c r="D1530" s="88">
        <v>46032</v>
      </c>
      <c r="E1530" s="43">
        <v>11575000</v>
      </c>
      <c r="F1530" s="44">
        <f t="shared" si="76"/>
        <v>926000</v>
      </c>
      <c r="G1530" s="45">
        <f t="shared" si="77"/>
        <v>12501000</v>
      </c>
      <c r="H1530" s="46">
        <v>12501000</v>
      </c>
      <c r="I1530" s="47">
        <f t="shared" si="75"/>
        <v>0</v>
      </c>
      <c r="J1530" s="48">
        <v>46048</v>
      </c>
      <c r="K1530" s="49">
        <v>46127</v>
      </c>
      <c r="L1530" s="65">
        <v>4901280816</v>
      </c>
      <c r="M1530" s="3" t="s">
        <v>3781</v>
      </c>
    </row>
    <row r="1531" spans="1:13" ht="15" customHeight="1" x14ac:dyDescent="0.35">
      <c r="A1531" s="85" t="s">
        <v>123</v>
      </c>
      <c r="B1531" s="86">
        <v>399</v>
      </c>
      <c r="C1531" s="87"/>
      <c r="D1531" s="88">
        <v>46032</v>
      </c>
      <c r="E1531" s="43">
        <v>810000</v>
      </c>
      <c r="F1531" s="44">
        <f t="shared" si="76"/>
        <v>64800</v>
      </c>
      <c r="G1531" s="45">
        <f t="shared" si="77"/>
        <v>874800</v>
      </c>
      <c r="H1531" s="46">
        <v>874800</v>
      </c>
      <c r="I1531" s="47">
        <f t="shared" si="75"/>
        <v>0</v>
      </c>
      <c r="J1531" s="48">
        <v>46034</v>
      </c>
      <c r="K1531" s="49">
        <v>46127</v>
      </c>
      <c r="L1531" s="65">
        <v>4181929915</v>
      </c>
      <c r="M1531" s="3" t="s">
        <v>3781</v>
      </c>
    </row>
    <row r="1532" spans="1:13" ht="15" customHeight="1" x14ac:dyDescent="0.35">
      <c r="A1532" s="85" t="s">
        <v>37</v>
      </c>
      <c r="B1532" s="86">
        <v>400</v>
      </c>
      <c r="C1532" s="87"/>
      <c r="D1532" s="88">
        <v>46032</v>
      </c>
      <c r="E1532" s="43">
        <v>1620000</v>
      </c>
      <c r="F1532" s="44">
        <f t="shared" si="76"/>
        <v>129600</v>
      </c>
      <c r="G1532" s="45">
        <f t="shared" si="77"/>
        <v>1749600</v>
      </c>
      <c r="H1532" s="46">
        <v>1749600</v>
      </c>
      <c r="I1532" s="47">
        <f t="shared" si="75"/>
        <v>0</v>
      </c>
      <c r="J1532" s="48">
        <v>46034</v>
      </c>
      <c r="K1532" s="49">
        <v>46127</v>
      </c>
      <c r="L1532" s="65">
        <v>4181878889</v>
      </c>
      <c r="M1532" s="3" t="s">
        <v>3781</v>
      </c>
    </row>
    <row r="1533" spans="1:13" ht="15" customHeight="1" x14ac:dyDescent="0.35">
      <c r="A1533" s="85" t="s">
        <v>63</v>
      </c>
      <c r="B1533" s="86">
        <v>401</v>
      </c>
      <c r="C1533" s="87"/>
      <c r="D1533" s="88">
        <v>46032</v>
      </c>
      <c r="E1533" s="43">
        <v>810000</v>
      </c>
      <c r="F1533" s="44">
        <f t="shared" si="76"/>
        <v>64800</v>
      </c>
      <c r="G1533" s="45">
        <f t="shared" si="77"/>
        <v>874800</v>
      </c>
      <c r="H1533" s="46">
        <v>874800</v>
      </c>
      <c r="I1533" s="47">
        <f t="shared" si="75"/>
        <v>0</v>
      </c>
      <c r="J1533" s="48">
        <v>46034</v>
      </c>
      <c r="K1533" s="49">
        <v>46127</v>
      </c>
      <c r="L1533" s="65">
        <v>4181929997</v>
      </c>
      <c r="M1533" s="3" t="s">
        <v>3781</v>
      </c>
    </row>
    <row r="1534" spans="1:13" ht="15" customHeight="1" x14ac:dyDescent="0.35">
      <c r="A1534" s="85" t="s">
        <v>37</v>
      </c>
      <c r="B1534" s="86">
        <v>402</v>
      </c>
      <c r="C1534" s="87"/>
      <c r="D1534" s="88">
        <v>46032</v>
      </c>
      <c r="E1534" s="43">
        <v>923400</v>
      </c>
      <c r="F1534" s="44">
        <f t="shared" si="76"/>
        <v>73872</v>
      </c>
      <c r="G1534" s="45">
        <f t="shared" si="77"/>
        <v>997272</v>
      </c>
      <c r="H1534" s="46">
        <v>997272</v>
      </c>
      <c r="I1534" s="47">
        <f t="shared" si="75"/>
        <v>0</v>
      </c>
      <c r="J1534" s="48">
        <v>46034</v>
      </c>
      <c r="K1534" s="49">
        <v>46127</v>
      </c>
      <c r="L1534" s="65">
        <v>4181868708</v>
      </c>
      <c r="M1534" s="3" t="s">
        <v>3781</v>
      </c>
    </row>
    <row r="1535" spans="1:13" ht="15" customHeight="1" x14ac:dyDescent="0.35">
      <c r="A1535" s="85" t="s">
        <v>29</v>
      </c>
      <c r="B1535" s="86">
        <v>403</v>
      </c>
      <c r="C1535" s="87"/>
      <c r="D1535" s="88">
        <v>46032</v>
      </c>
      <c r="E1535" s="43">
        <v>1920000</v>
      </c>
      <c r="F1535" s="44">
        <f t="shared" si="76"/>
        <v>153600</v>
      </c>
      <c r="G1535" s="45">
        <f t="shared" si="77"/>
        <v>2073600</v>
      </c>
      <c r="H1535" s="46">
        <v>2073600</v>
      </c>
      <c r="I1535" s="47">
        <f t="shared" si="75"/>
        <v>0</v>
      </c>
      <c r="J1535" s="48">
        <v>46034</v>
      </c>
      <c r="K1535" s="49">
        <v>46127</v>
      </c>
      <c r="L1535" s="65">
        <v>4182028912</v>
      </c>
      <c r="M1535" s="3" t="s">
        <v>3781</v>
      </c>
    </row>
    <row r="1536" spans="1:13" ht="15" customHeight="1" x14ac:dyDescent="0.35">
      <c r="A1536" s="85" t="s">
        <v>56</v>
      </c>
      <c r="B1536" s="86">
        <v>404</v>
      </c>
      <c r="C1536" s="87"/>
      <c r="D1536" s="88">
        <v>46032</v>
      </c>
      <c r="E1536" s="43">
        <v>2720000</v>
      </c>
      <c r="F1536" s="44">
        <f t="shared" si="76"/>
        <v>217600</v>
      </c>
      <c r="G1536" s="45">
        <f t="shared" si="77"/>
        <v>2937600</v>
      </c>
      <c r="H1536" s="46">
        <v>2937600</v>
      </c>
      <c r="I1536" s="47">
        <f t="shared" si="75"/>
        <v>0</v>
      </c>
      <c r="J1536" s="48">
        <v>46034</v>
      </c>
      <c r="K1536" s="49">
        <v>46127</v>
      </c>
      <c r="L1536" s="50">
        <v>4182090292</v>
      </c>
      <c r="M1536" s="3" t="s">
        <v>3781</v>
      </c>
    </row>
    <row r="1537" spans="1:13" ht="15" customHeight="1" x14ac:dyDescent="0.35">
      <c r="A1537" s="85" t="s">
        <v>63</v>
      </c>
      <c r="B1537" s="86">
        <v>405</v>
      </c>
      <c r="C1537" s="87"/>
      <c r="D1537" s="88">
        <v>46032</v>
      </c>
      <c r="E1537" s="43">
        <v>640000</v>
      </c>
      <c r="F1537" s="44">
        <f t="shared" si="76"/>
        <v>51200</v>
      </c>
      <c r="G1537" s="45">
        <f t="shared" si="77"/>
        <v>691200</v>
      </c>
      <c r="H1537" s="46">
        <v>691200</v>
      </c>
      <c r="I1537" s="47">
        <f t="shared" ref="I1537:I1600" si="78">G1537-H1537</f>
        <v>0</v>
      </c>
      <c r="J1537" s="48">
        <v>46034</v>
      </c>
      <c r="K1537" s="49">
        <v>46127</v>
      </c>
      <c r="L1537" s="50">
        <v>4182090270</v>
      </c>
      <c r="M1537" s="3" t="s">
        <v>3781</v>
      </c>
    </row>
    <row r="1538" spans="1:13" ht="15" customHeight="1" x14ac:dyDescent="0.35">
      <c r="A1538" s="85" t="s">
        <v>123</v>
      </c>
      <c r="B1538" s="86"/>
      <c r="C1538" s="87"/>
      <c r="D1538" s="88"/>
      <c r="E1538" s="43">
        <v>4605000</v>
      </c>
      <c r="F1538" s="44"/>
      <c r="G1538" s="45"/>
      <c r="H1538" s="46"/>
      <c r="I1538" s="47">
        <f t="shared" si="78"/>
        <v>0</v>
      </c>
      <c r="J1538" s="48" t="s">
        <v>36</v>
      </c>
      <c r="K1538" s="49"/>
      <c r="L1538" s="50">
        <v>4182090264</v>
      </c>
    </row>
    <row r="1539" spans="1:13" ht="15" customHeight="1" x14ac:dyDescent="0.35">
      <c r="A1539" s="85" t="s">
        <v>123</v>
      </c>
      <c r="B1539" s="86">
        <v>406</v>
      </c>
      <c r="C1539" s="87"/>
      <c r="D1539" s="88">
        <v>46032</v>
      </c>
      <c r="E1539" s="43">
        <v>4045000</v>
      </c>
      <c r="F1539" s="44">
        <f t="shared" ref="F1539:F1601" si="79">+E1539*0.08</f>
        <v>323600</v>
      </c>
      <c r="G1539" s="45">
        <f t="shared" ref="G1539:G1713" si="80">E1539+F1539</f>
        <v>4368600</v>
      </c>
      <c r="H1539" s="46">
        <v>4368600</v>
      </c>
      <c r="I1539" s="47">
        <f t="shared" si="78"/>
        <v>0</v>
      </c>
      <c r="J1539" s="48">
        <v>46034</v>
      </c>
      <c r="K1539" s="49">
        <v>46127</v>
      </c>
      <c r="L1539" s="50">
        <v>4182090183</v>
      </c>
      <c r="M1539" s="3" t="s">
        <v>3781</v>
      </c>
    </row>
    <row r="1540" spans="1:13" ht="15" customHeight="1" x14ac:dyDescent="0.35">
      <c r="A1540" s="85" t="s">
        <v>37</v>
      </c>
      <c r="B1540" s="86">
        <v>407</v>
      </c>
      <c r="C1540" s="87"/>
      <c r="D1540" s="88">
        <v>46032</v>
      </c>
      <c r="E1540" s="43">
        <v>3120000</v>
      </c>
      <c r="F1540" s="44">
        <f t="shared" si="79"/>
        <v>249600</v>
      </c>
      <c r="G1540" s="45">
        <f t="shared" si="80"/>
        <v>3369600</v>
      </c>
      <c r="H1540" s="46">
        <v>3369600</v>
      </c>
      <c r="I1540" s="47">
        <f t="shared" si="78"/>
        <v>0</v>
      </c>
      <c r="J1540" s="48">
        <v>46034</v>
      </c>
      <c r="K1540" s="49">
        <v>46127</v>
      </c>
      <c r="L1540" s="65">
        <v>4182090058</v>
      </c>
      <c r="M1540" s="3" t="s">
        <v>3781</v>
      </c>
    </row>
    <row r="1541" spans="1:13" ht="15" customHeight="1" x14ac:dyDescent="0.35">
      <c r="A1541" s="85" t="s">
        <v>37</v>
      </c>
      <c r="B1541" s="86">
        <v>408</v>
      </c>
      <c r="C1541" s="87"/>
      <c r="D1541" s="88">
        <v>46032</v>
      </c>
      <c r="E1541" s="43">
        <v>388800</v>
      </c>
      <c r="F1541" s="44">
        <f t="shared" si="79"/>
        <v>31104</v>
      </c>
      <c r="G1541" s="45">
        <f t="shared" si="80"/>
        <v>419904</v>
      </c>
      <c r="H1541" s="46">
        <v>419904</v>
      </c>
      <c r="I1541" s="47">
        <f t="shared" si="78"/>
        <v>0</v>
      </c>
      <c r="J1541" s="48">
        <v>46034</v>
      </c>
      <c r="K1541" s="49">
        <v>46127</v>
      </c>
      <c r="L1541" s="50">
        <v>4182054722</v>
      </c>
      <c r="M1541" s="3" t="s">
        <v>3781</v>
      </c>
    </row>
    <row r="1542" spans="1:13" ht="15" customHeight="1" x14ac:dyDescent="0.35">
      <c r="A1542" s="85" t="s">
        <v>85</v>
      </c>
      <c r="B1542" s="86">
        <v>409</v>
      </c>
      <c r="C1542" s="87"/>
      <c r="D1542" s="88">
        <v>46032</v>
      </c>
      <c r="E1542" s="43">
        <v>2000000</v>
      </c>
      <c r="F1542" s="44">
        <f t="shared" si="79"/>
        <v>160000</v>
      </c>
      <c r="G1542" s="45">
        <f t="shared" si="80"/>
        <v>2160000</v>
      </c>
      <c r="H1542" s="45">
        <v>2160000</v>
      </c>
      <c r="I1542" s="47">
        <f t="shared" si="78"/>
        <v>0</v>
      </c>
      <c r="J1542" s="48">
        <v>46034</v>
      </c>
      <c r="K1542" s="49">
        <v>46127</v>
      </c>
      <c r="L1542" s="50">
        <v>4182090230</v>
      </c>
      <c r="M1542" s="3" t="s">
        <v>3781</v>
      </c>
    </row>
    <row r="1543" spans="1:13" ht="15" customHeight="1" x14ac:dyDescent="0.35">
      <c r="A1543" s="85" t="s">
        <v>33</v>
      </c>
      <c r="B1543" s="86">
        <v>410</v>
      </c>
      <c r="C1543" s="87"/>
      <c r="D1543" s="88">
        <v>46032</v>
      </c>
      <c r="E1543" s="43">
        <v>54341200</v>
      </c>
      <c r="F1543" s="44">
        <f t="shared" si="79"/>
        <v>4347296</v>
      </c>
      <c r="G1543" s="45">
        <f t="shared" si="80"/>
        <v>58688496</v>
      </c>
      <c r="H1543" s="46">
        <v>58688496</v>
      </c>
      <c r="I1543" s="47">
        <f t="shared" si="78"/>
        <v>0</v>
      </c>
      <c r="J1543" s="48">
        <v>46034</v>
      </c>
      <c r="K1543" s="49">
        <v>46127</v>
      </c>
      <c r="L1543" s="50">
        <v>4901281490</v>
      </c>
      <c r="M1543" s="3" t="s">
        <v>3781</v>
      </c>
    </row>
    <row r="1544" spans="1:13" ht="15" customHeight="1" x14ac:dyDescent="0.35">
      <c r="A1544" s="85" t="s">
        <v>29</v>
      </c>
      <c r="B1544" s="86">
        <v>411</v>
      </c>
      <c r="C1544" s="87"/>
      <c r="D1544" s="88">
        <v>46032</v>
      </c>
      <c r="E1544" s="43">
        <v>5808000</v>
      </c>
      <c r="F1544" s="44">
        <f t="shared" si="79"/>
        <v>464640</v>
      </c>
      <c r="G1544" s="45">
        <f t="shared" si="80"/>
        <v>6272640</v>
      </c>
      <c r="H1544" s="46">
        <v>6272640</v>
      </c>
      <c r="I1544" s="47">
        <f t="shared" si="78"/>
        <v>0</v>
      </c>
      <c r="J1544" s="48">
        <v>46034</v>
      </c>
      <c r="K1544" s="49">
        <v>46127</v>
      </c>
      <c r="L1544" s="50">
        <v>4182260666</v>
      </c>
      <c r="M1544" s="3" t="s">
        <v>3781</v>
      </c>
    </row>
    <row r="1545" spans="1:13" ht="15" customHeight="1" x14ac:dyDescent="0.35">
      <c r="A1545" s="85" t="s">
        <v>56</v>
      </c>
      <c r="B1545" s="86">
        <v>412</v>
      </c>
      <c r="C1545" s="87"/>
      <c r="D1545" s="88">
        <v>46032</v>
      </c>
      <c r="E1545" s="43">
        <v>536000</v>
      </c>
      <c r="F1545" s="44">
        <f t="shared" si="79"/>
        <v>42880</v>
      </c>
      <c r="G1545" s="45">
        <f t="shared" si="80"/>
        <v>578880</v>
      </c>
      <c r="H1545" s="46">
        <v>578880</v>
      </c>
      <c r="I1545" s="47">
        <f t="shared" si="78"/>
        <v>0</v>
      </c>
      <c r="J1545" s="48">
        <v>46034</v>
      </c>
      <c r="K1545" s="49">
        <v>46127</v>
      </c>
      <c r="L1545" s="65">
        <v>4182028845</v>
      </c>
      <c r="M1545" s="3" t="s">
        <v>3781</v>
      </c>
    </row>
    <row r="1546" spans="1:13" ht="15" customHeight="1" x14ac:dyDescent="0.35">
      <c r="A1546" s="85" t="s">
        <v>29</v>
      </c>
      <c r="B1546" s="86">
        <v>413</v>
      </c>
      <c r="C1546" s="87"/>
      <c r="D1546" s="88">
        <v>46032</v>
      </c>
      <c r="E1546" s="43">
        <v>177504000</v>
      </c>
      <c r="F1546" s="44">
        <f t="shared" si="79"/>
        <v>14200320</v>
      </c>
      <c r="G1546" s="45">
        <f t="shared" si="80"/>
        <v>191704320</v>
      </c>
      <c r="H1546" s="46">
        <v>191704320</v>
      </c>
      <c r="I1546" s="47">
        <f t="shared" si="78"/>
        <v>0</v>
      </c>
      <c r="J1546" s="48">
        <v>46034</v>
      </c>
      <c r="K1546" s="49">
        <v>46127</v>
      </c>
      <c r="L1546" s="65">
        <v>4182244837</v>
      </c>
      <c r="M1546" s="3" t="s">
        <v>3781</v>
      </c>
    </row>
    <row r="1547" spans="1:13" ht="15" customHeight="1" x14ac:dyDescent="0.35">
      <c r="A1547" s="85" t="s">
        <v>33</v>
      </c>
      <c r="B1547" s="86">
        <v>414</v>
      </c>
      <c r="C1547" s="87"/>
      <c r="D1547" s="88">
        <v>46032</v>
      </c>
      <c r="E1547" s="43">
        <v>16928500</v>
      </c>
      <c r="F1547" s="44">
        <f t="shared" si="79"/>
        <v>1354280</v>
      </c>
      <c r="G1547" s="45">
        <f t="shared" si="80"/>
        <v>18282780</v>
      </c>
      <c r="H1547" s="46">
        <v>18282780</v>
      </c>
      <c r="I1547" s="47">
        <f t="shared" si="78"/>
        <v>0</v>
      </c>
      <c r="J1547" s="48">
        <v>46034</v>
      </c>
      <c r="K1547" s="49">
        <v>46127</v>
      </c>
      <c r="L1547" s="50">
        <v>4901281678</v>
      </c>
      <c r="M1547" s="3" t="s">
        <v>3781</v>
      </c>
    </row>
    <row r="1548" spans="1:13" ht="15" customHeight="1" x14ac:dyDescent="0.35">
      <c r="A1548" s="85" t="s">
        <v>37</v>
      </c>
      <c r="B1548" s="86">
        <v>415</v>
      </c>
      <c r="C1548" s="87"/>
      <c r="D1548" s="88">
        <v>46032</v>
      </c>
      <c r="E1548" s="43">
        <v>4940000</v>
      </c>
      <c r="F1548" s="44">
        <f t="shared" si="79"/>
        <v>395200</v>
      </c>
      <c r="G1548" s="45">
        <f t="shared" si="80"/>
        <v>5335200</v>
      </c>
      <c r="H1548" s="46">
        <v>5335200</v>
      </c>
      <c r="I1548" s="47">
        <f t="shared" si="78"/>
        <v>0</v>
      </c>
      <c r="J1548" s="48">
        <v>46034</v>
      </c>
      <c r="K1548" s="49">
        <v>46127</v>
      </c>
      <c r="L1548" s="50">
        <v>4182324096</v>
      </c>
      <c r="M1548" s="3" t="s">
        <v>3781</v>
      </c>
    </row>
    <row r="1549" spans="1:13" ht="15" customHeight="1" x14ac:dyDescent="0.35">
      <c r="A1549" s="85" t="s">
        <v>37</v>
      </c>
      <c r="B1549" s="86">
        <v>164</v>
      </c>
      <c r="C1549" s="87"/>
      <c r="D1549" s="88">
        <v>46028</v>
      </c>
      <c r="E1549" s="43">
        <v>384000</v>
      </c>
      <c r="F1549" s="44">
        <f t="shared" si="79"/>
        <v>30720</v>
      </c>
      <c r="G1549" s="45">
        <f t="shared" si="80"/>
        <v>414720</v>
      </c>
      <c r="H1549" s="46">
        <v>414720</v>
      </c>
      <c r="I1549" s="47">
        <f t="shared" si="78"/>
        <v>0</v>
      </c>
      <c r="J1549" s="48">
        <v>46028</v>
      </c>
      <c r="K1549" s="49">
        <v>46106</v>
      </c>
      <c r="L1549" s="50">
        <v>4182335598</v>
      </c>
    </row>
    <row r="1550" spans="1:13" ht="15" customHeight="1" x14ac:dyDescent="0.35">
      <c r="A1550" s="85" t="s">
        <v>37</v>
      </c>
      <c r="B1550" s="86">
        <v>416</v>
      </c>
      <c r="C1550" s="87"/>
      <c r="D1550" s="88">
        <v>46032</v>
      </c>
      <c r="E1550" s="43">
        <v>1450000</v>
      </c>
      <c r="F1550" s="44">
        <f t="shared" si="79"/>
        <v>116000</v>
      </c>
      <c r="G1550" s="45">
        <f t="shared" si="80"/>
        <v>1566000</v>
      </c>
      <c r="H1550" s="46">
        <v>1566000</v>
      </c>
      <c r="I1550" s="47">
        <f t="shared" si="78"/>
        <v>0</v>
      </c>
      <c r="J1550" s="48">
        <v>46048</v>
      </c>
      <c r="K1550" s="49">
        <v>46127</v>
      </c>
      <c r="L1550" s="65">
        <v>4182287570</v>
      </c>
      <c r="M1550" s="3" t="s">
        <v>3781</v>
      </c>
    </row>
    <row r="1551" spans="1:13" ht="15" customHeight="1" x14ac:dyDescent="0.35">
      <c r="A1551" s="85" t="s">
        <v>37</v>
      </c>
      <c r="B1551" s="86">
        <v>417</v>
      </c>
      <c r="C1551" s="87"/>
      <c r="D1551" s="88">
        <v>46032</v>
      </c>
      <c r="E1551" s="43">
        <v>317998000</v>
      </c>
      <c r="F1551" s="44">
        <f t="shared" si="79"/>
        <v>25439840</v>
      </c>
      <c r="G1551" s="45">
        <f t="shared" si="80"/>
        <v>343437840</v>
      </c>
      <c r="H1551" s="46">
        <v>343437840</v>
      </c>
      <c r="I1551" s="47">
        <f t="shared" si="78"/>
        <v>0</v>
      </c>
      <c r="J1551" s="48">
        <v>46034</v>
      </c>
      <c r="K1551" s="49">
        <v>46127</v>
      </c>
      <c r="L1551" s="65">
        <v>4182216210</v>
      </c>
      <c r="M1551" s="3" t="s">
        <v>3781</v>
      </c>
    </row>
    <row r="1552" spans="1:13" ht="15" customHeight="1" x14ac:dyDescent="0.35">
      <c r="A1552" s="85" t="s">
        <v>37</v>
      </c>
      <c r="B1552" s="86">
        <v>419</v>
      </c>
      <c r="C1552" s="87"/>
      <c r="D1552" s="88">
        <v>46032</v>
      </c>
      <c r="E1552" s="43">
        <v>1458000</v>
      </c>
      <c r="F1552" s="44">
        <f t="shared" si="79"/>
        <v>116640</v>
      </c>
      <c r="G1552" s="45">
        <f t="shared" si="80"/>
        <v>1574640</v>
      </c>
      <c r="H1552" s="46">
        <v>1574640</v>
      </c>
      <c r="I1552" s="47">
        <f t="shared" si="78"/>
        <v>0</v>
      </c>
      <c r="J1552" s="48">
        <v>46034</v>
      </c>
      <c r="K1552" s="49">
        <v>46127</v>
      </c>
      <c r="L1552" s="65">
        <v>4182247091</v>
      </c>
      <c r="M1552" s="3" t="s">
        <v>3781</v>
      </c>
    </row>
    <row r="1553" spans="1:13" ht="15" customHeight="1" x14ac:dyDescent="0.35">
      <c r="A1553" s="85" t="s">
        <v>3227</v>
      </c>
      <c r="B1553" s="86">
        <v>420</v>
      </c>
      <c r="C1553" s="87"/>
      <c r="D1553" s="88">
        <v>46032</v>
      </c>
      <c r="E1553" s="43">
        <v>810000</v>
      </c>
      <c r="F1553" s="44">
        <f t="shared" si="79"/>
        <v>64800</v>
      </c>
      <c r="G1553" s="45">
        <f t="shared" si="80"/>
        <v>874800</v>
      </c>
      <c r="H1553" s="46">
        <v>874800</v>
      </c>
      <c r="I1553" s="47">
        <f t="shared" si="78"/>
        <v>0</v>
      </c>
      <c r="J1553" s="48">
        <v>46034</v>
      </c>
      <c r="K1553" s="49">
        <v>46127</v>
      </c>
      <c r="L1553" s="50">
        <v>4182313993</v>
      </c>
      <c r="M1553" s="3" t="s">
        <v>3781</v>
      </c>
    </row>
    <row r="1554" spans="1:13" ht="15" customHeight="1" x14ac:dyDescent="0.35">
      <c r="A1554" s="85" t="s">
        <v>3227</v>
      </c>
      <c r="B1554" s="86">
        <v>421</v>
      </c>
      <c r="C1554" s="87"/>
      <c r="D1554" s="88">
        <v>46032</v>
      </c>
      <c r="E1554" s="43">
        <v>1040000</v>
      </c>
      <c r="F1554" s="44">
        <f t="shared" si="79"/>
        <v>83200</v>
      </c>
      <c r="G1554" s="45">
        <f t="shared" si="80"/>
        <v>1123200</v>
      </c>
      <c r="H1554" s="46">
        <v>1123200</v>
      </c>
      <c r="I1554" s="47">
        <f t="shared" si="78"/>
        <v>0</v>
      </c>
      <c r="J1554" s="48">
        <v>46034</v>
      </c>
      <c r="K1554" s="49">
        <v>46127</v>
      </c>
      <c r="L1554" s="50">
        <v>4182316931</v>
      </c>
      <c r="M1554" s="3" t="s">
        <v>3781</v>
      </c>
    </row>
    <row r="1555" spans="1:13" ht="15" customHeight="1" x14ac:dyDescent="0.35">
      <c r="A1555" s="85" t="s">
        <v>29</v>
      </c>
      <c r="B1555" s="86">
        <v>422</v>
      </c>
      <c r="C1555" s="87"/>
      <c r="D1555" s="88">
        <v>46032</v>
      </c>
      <c r="E1555" s="43">
        <v>26789500</v>
      </c>
      <c r="F1555" s="44">
        <f t="shared" si="79"/>
        <v>2143160</v>
      </c>
      <c r="G1555" s="45">
        <f t="shared" si="80"/>
        <v>28932660</v>
      </c>
      <c r="H1555" s="46">
        <v>28932660</v>
      </c>
      <c r="I1555" s="47">
        <f t="shared" si="78"/>
        <v>0</v>
      </c>
      <c r="J1555" s="48">
        <v>46034</v>
      </c>
      <c r="K1555" s="49">
        <v>46127</v>
      </c>
      <c r="L1555" s="50">
        <v>4182314201</v>
      </c>
      <c r="M1555" s="3" t="s">
        <v>3781</v>
      </c>
    </row>
    <row r="1556" spans="1:13" ht="15" customHeight="1" x14ac:dyDescent="0.35">
      <c r="A1556" s="85" t="s">
        <v>29</v>
      </c>
      <c r="B1556" s="86">
        <v>423</v>
      </c>
      <c r="C1556" s="87"/>
      <c r="D1556" s="88">
        <v>46032</v>
      </c>
      <c r="E1556" s="43">
        <v>2349000</v>
      </c>
      <c r="F1556" s="44">
        <f t="shared" si="79"/>
        <v>187920</v>
      </c>
      <c r="G1556" s="45">
        <f t="shared" si="80"/>
        <v>2536920</v>
      </c>
      <c r="H1556" s="46">
        <v>2536920</v>
      </c>
      <c r="I1556" s="47">
        <f t="shared" si="78"/>
        <v>0</v>
      </c>
      <c r="J1556" s="48">
        <v>46034</v>
      </c>
      <c r="K1556" s="49">
        <v>46127</v>
      </c>
      <c r="L1556" s="50">
        <v>4182288180</v>
      </c>
      <c r="M1556" s="3" t="s">
        <v>3781</v>
      </c>
    </row>
    <row r="1557" spans="1:13" ht="15" customHeight="1" x14ac:dyDescent="0.35">
      <c r="A1557" s="85" t="s">
        <v>123</v>
      </c>
      <c r="B1557" s="86">
        <v>424</v>
      </c>
      <c r="C1557" s="87"/>
      <c r="D1557" s="88">
        <v>46032</v>
      </c>
      <c r="E1557" s="43">
        <v>135232000</v>
      </c>
      <c r="F1557" s="44">
        <f t="shared" si="79"/>
        <v>10818560</v>
      </c>
      <c r="G1557" s="45">
        <f t="shared" si="80"/>
        <v>146050560</v>
      </c>
      <c r="H1557" s="46">
        <v>146050560</v>
      </c>
      <c r="I1557" s="47">
        <f t="shared" si="78"/>
        <v>0</v>
      </c>
      <c r="J1557" s="48">
        <v>46034</v>
      </c>
      <c r="K1557" s="49">
        <v>46127</v>
      </c>
      <c r="L1557" s="65">
        <v>4182216208</v>
      </c>
      <c r="M1557" s="3" t="s">
        <v>3781</v>
      </c>
    </row>
    <row r="1558" spans="1:13" ht="15" customHeight="1" x14ac:dyDescent="0.35">
      <c r="A1558" s="85" t="s">
        <v>123</v>
      </c>
      <c r="B1558" s="86">
        <v>425</v>
      </c>
      <c r="C1558" s="87"/>
      <c r="D1558" s="88">
        <v>46032</v>
      </c>
      <c r="E1558" s="43">
        <v>1216000</v>
      </c>
      <c r="F1558" s="44">
        <f t="shared" si="79"/>
        <v>97280</v>
      </c>
      <c r="G1558" s="45">
        <f t="shared" si="80"/>
        <v>1313280</v>
      </c>
      <c r="H1558" s="46">
        <v>1313280</v>
      </c>
      <c r="I1558" s="47">
        <f t="shared" si="78"/>
        <v>0</v>
      </c>
      <c r="J1558" s="48">
        <v>46034</v>
      </c>
      <c r="K1558" s="49">
        <v>46127</v>
      </c>
      <c r="L1558" s="65">
        <v>4182324465</v>
      </c>
      <c r="M1558" s="3" t="s">
        <v>3781</v>
      </c>
    </row>
    <row r="1559" spans="1:13" ht="15" customHeight="1" x14ac:dyDescent="0.35">
      <c r="A1559" s="85" t="s">
        <v>123</v>
      </c>
      <c r="B1559" s="86">
        <v>426</v>
      </c>
      <c r="C1559" s="87"/>
      <c r="D1559" s="88">
        <v>46032</v>
      </c>
      <c r="E1559" s="43">
        <v>5344000</v>
      </c>
      <c r="F1559" s="44">
        <f t="shared" si="79"/>
        <v>427520</v>
      </c>
      <c r="G1559" s="45">
        <f t="shared" si="80"/>
        <v>5771520</v>
      </c>
      <c r="H1559" s="46">
        <v>5771520</v>
      </c>
      <c r="I1559" s="47">
        <f t="shared" si="78"/>
        <v>0</v>
      </c>
      <c r="J1559" s="48">
        <v>46034</v>
      </c>
      <c r="K1559" s="49">
        <v>46127</v>
      </c>
      <c r="L1559" s="65">
        <v>4182324176</v>
      </c>
      <c r="M1559" s="3" t="s">
        <v>3781</v>
      </c>
    </row>
    <row r="1560" spans="1:13" ht="15" customHeight="1" x14ac:dyDescent="0.35">
      <c r="A1560" s="85" t="s">
        <v>56</v>
      </c>
      <c r="B1560" s="86">
        <v>427</v>
      </c>
      <c r="C1560" s="87"/>
      <c r="D1560" s="88">
        <v>46032</v>
      </c>
      <c r="E1560" s="43">
        <v>1616000</v>
      </c>
      <c r="F1560" s="44">
        <f t="shared" si="79"/>
        <v>129280</v>
      </c>
      <c r="G1560" s="45">
        <f t="shared" si="80"/>
        <v>1745280</v>
      </c>
      <c r="H1560" s="46">
        <v>1745280</v>
      </c>
      <c r="I1560" s="47">
        <f t="shared" si="78"/>
        <v>0</v>
      </c>
      <c r="J1560" s="48">
        <v>46034</v>
      </c>
      <c r="K1560" s="49">
        <v>46127</v>
      </c>
      <c r="L1560" s="65">
        <v>4182324273</v>
      </c>
      <c r="M1560" s="3" t="s">
        <v>3781</v>
      </c>
    </row>
    <row r="1561" spans="1:13" ht="15" customHeight="1" x14ac:dyDescent="0.35">
      <c r="A1561" s="85" t="s">
        <v>56</v>
      </c>
      <c r="B1561" s="86">
        <v>428</v>
      </c>
      <c r="C1561" s="87"/>
      <c r="D1561" s="88">
        <v>46032</v>
      </c>
      <c r="E1561" s="43">
        <v>61435000</v>
      </c>
      <c r="F1561" s="44">
        <f t="shared" si="79"/>
        <v>4914800</v>
      </c>
      <c r="G1561" s="45">
        <f t="shared" si="80"/>
        <v>66349800</v>
      </c>
      <c r="H1561" s="46">
        <v>66349800</v>
      </c>
      <c r="I1561" s="47">
        <f t="shared" si="78"/>
        <v>0</v>
      </c>
      <c r="J1561" s="48">
        <v>46034</v>
      </c>
      <c r="K1561" s="49">
        <v>46127</v>
      </c>
      <c r="L1561" s="65">
        <v>4182216211</v>
      </c>
      <c r="M1561" s="3" t="s">
        <v>3781</v>
      </c>
    </row>
    <row r="1562" spans="1:13" ht="15" customHeight="1" x14ac:dyDescent="0.35">
      <c r="A1562" s="85" t="s">
        <v>123</v>
      </c>
      <c r="B1562" s="86">
        <v>429</v>
      </c>
      <c r="C1562" s="87"/>
      <c r="D1562" s="88">
        <v>46032</v>
      </c>
      <c r="E1562" s="43">
        <v>236523000</v>
      </c>
      <c r="F1562" s="44">
        <f t="shared" si="79"/>
        <v>18921840</v>
      </c>
      <c r="G1562" s="45">
        <f t="shared" si="80"/>
        <v>255444840</v>
      </c>
      <c r="H1562" s="46">
        <v>255444840</v>
      </c>
      <c r="I1562" s="47">
        <f t="shared" si="78"/>
        <v>0</v>
      </c>
      <c r="J1562" s="48">
        <v>46034</v>
      </c>
      <c r="K1562" s="49">
        <v>46127</v>
      </c>
      <c r="L1562" s="65">
        <v>4182216209</v>
      </c>
      <c r="M1562" s="3" t="s">
        <v>3781</v>
      </c>
    </row>
    <row r="1563" spans="1:13" ht="15" customHeight="1" x14ac:dyDescent="0.35">
      <c r="A1563" s="85" t="s">
        <v>63</v>
      </c>
      <c r="B1563" s="86">
        <v>430</v>
      </c>
      <c r="C1563" s="87"/>
      <c r="D1563" s="88">
        <v>46032</v>
      </c>
      <c r="E1563" s="43">
        <v>74365000</v>
      </c>
      <c r="F1563" s="44">
        <f t="shared" si="79"/>
        <v>5949200</v>
      </c>
      <c r="G1563" s="45">
        <f t="shared" si="80"/>
        <v>80314200</v>
      </c>
      <c r="H1563" s="46">
        <v>80314200</v>
      </c>
      <c r="I1563" s="47">
        <f t="shared" si="78"/>
        <v>0</v>
      </c>
      <c r="J1563" s="48">
        <v>46034</v>
      </c>
      <c r="K1563" s="49">
        <v>46127</v>
      </c>
      <c r="L1563" s="65">
        <v>4182211715</v>
      </c>
      <c r="M1563" s="3" t="s">
        <v>3781</v>
      </c>
    </row>
    <row r="1564" spans="1:13" ht="15" customHeight="1" x14ac:dyDescent="0.35">
      <c r="A1564" s="85" t="s">
        <v>63</v>
      </c>
      <c r="B1564" s="86">
        <v>431</v>
      </c>
      <c r="C1564" s="87"/>
      <c r="D1564" s="88">
        <v>46032</v>
      </c>
      <c r="E1564" s="43">
        <v>904000</v>
      </c>
      <c r="F1564" s="44">
        <f t="shared" si="79"/>
        <v>72320</v>
      </c>
      <c r="G1564" s="45">
        <f t="shared" si="80"/>
        <v>976320</v>
      </c>
      <c r="H1564" s="46">
        <v>976320</v>
      </c>
      <c r="I1564" s="47">
        <f t="shared" si="78"/>
        <v>0</v>
      </c>
      <c r="J1564" s="48">
        <v>46034</v>
      </c>
      <c r="K1564" s="49">
        <v>46127</v>
      </c>
      <c r="L1564" s="65">
        <v>4182335589</v>
      </c>
      <c r="M1564" s="3" t="s">
        <v>3781</v>
      </c>
    </row>
    <row r="1565" spans="1:13" ht="15" customHeight="1" x14ac:dyDescent="0.35">
      <c r="A1565" s="85" t="s">
        <v>63</v>
      </c>
      <c r="B1565" s="86">
        <v>432</v>
      </c>
      <c r="C1565" s="87"/>
      <c r="D1565" s="88">
        <v>46032</v>
      </c>
      <c r="E1565" s="43">
        <v>810000</v>
      </c>
      <c r="F1565" s="44">
        <f t="shared" si="79"/>
        <v>64800</v>
      </c>
      <c r="G1565" s="45">
        <f t="shared" si="80"/>
        <v>874800</v>
      </c>
      <c r="H1565" s="46">
        <v>874800</v>
      </c>
      <c r="I1565" s="47">
        <f t="shared" si="78"/>
        <v>0</v>
      </c>
      <c r="J1565" s="48">
        <v>46034</v>
      </c>
      <c r="K1565" s="49">
        <v>46127</v>
      </c>
      <c r="L1565" s="65">
        <v>4182321793</v>
      </c>
      <c r="M1565" s="3" t="s">
        <v>3781</v>
      </c>
    </row>
    <row r="1566" spans="1:13" ht="15" customHeight="1" x14ac:dyDescent="0.35">
      <c r="A1566" s="85" t="s">
        <v>63</v>
      </c>
      <c r="B1566" s="86">
        <v>433</v>
      </c>
      <c r="C1566" s="87"/>
      <c r="D1566" s="88">
        <v>46032</v>
      </c>
      <c r="E1566" s="43">
        <v>960000</v>
      </c>
      <c r="F1566" s="44">
        <f t="shared" si="79"/>
        <v>76800</v>
      </c>
      <c r="G1566" s="45">
        <f t="shared" si="80"/>
        <v>1036800</v>
      </c>
      <c r="H1566" s="46">
        <v>1036800</v>
      </c>
      <c r="I1566" s="47">
        <f t="shared" si="78"/>
        <v>0</v>
      </c>
      <c r="J1566" s="48">
        <v>46034</v>
      </c>
      <c r="K1566" s="49">
        <v>46127</v>
      </c>
      <c r="L1566" s="65">
        <v>4182324511</v>
      </c>
      <c r="M1566" s="3" t="s">
        <v>3781</v>
      </c>
    </row>
    <row r="1567" spans="1:13" ht="15" customHeight="1" x14ac:dyDescent="0.35">
      <c r="A1567" s="85" t="s">
        <v>37</v>
      </c>
      <c r="B1567" s="86">
        <v>434</v>
      </c>
      <c r="C1567" s="87"/>
      <c r="D1567" s="88">
        <v>46032</v>
      </c>
      <c r="E1567" s="43">
        <v>923400</v>
      </c>
      <c r="F1567" s="44">
        <f t="shared" si="79"/>
        <v>73872</v>
      </c>
      <c r="G1567" s="45">
        <f t="shared" si="80"/>
        <v>997272</v>
      </c>
      <c r="H1567" s="46">
        <v>997272</v>
      </c>
      <c r="I1567" s="47">
        <f t="shared" si="78"/>
        <v>0</v>
      </c>
      <c r="J1567" s="48">
        <v>46048</v>
      </c>
      <c r="K1567" s="49">
        <v>46127</v>
      </c>
      <c r="L1567" s="65">
        <v>4182575186</v>
      </c>
      <c r="M1567" s="3" t="s">
        <v>3781</v>
      </c>
    </row>
    <row r="1568" spans="1:13" ht="15" customHeight="1" x14ac:dyDescent="0.35">
      <c r="A1568" s="85" t="s">
        <v>33</v>
      </c>
      <c r="B1568" s="86">
        <v>899</v>
      </c>
      <c r="C1568" s="87"/>
      <c r="D1568" s="88">
        <v>46046</v>
      </c>
      <c r="E1568" s="43">
        <v>2496000</v>
      </c>
      <c r="F1568" s="44">
        <f t="shared" si="79"/>
        <v>199680</v>
      </c>
      <c r="G1568" s="45">
        <f t="shared" si="80"/>
        <v>2695680</v>
      </c>
      <c r="H1568" s="46">
        <v>2695680</v>
      </c>
      <c r="I1568" s="47">
        <f t="shared" si="78"/>
        <v>0</v>
      </c>
      <c r="J1568" s="48">
        <v>46048</v>
      </c>
      <c r="K1568" s="49">
        <v>46127</v>
      </c>
      <c r="L1568" s="65">
        <v>4901282568</v>
      </c>
      <c r="M1568" s="3" t="s">
        <v>3781</v>
      </c>
    </row>
    <row r="1569" spans="1:13" ht="15" customHeight="1" x14ac:dyDescent="0.35">
      <c r="A1569" s="85" t="s">
        <v>56</v>
      </c>
      <c r="B1569" s="86">
        <v>914</v>
      </c>
      <c r="C1569" s="87"/>
      <c r="D1569" s="88">
        <v>46046</v>
      </c>
      <c r="E1569" s="43">
        <v>486000</v>
      </c>
      <c r="F1569" s="44">
        <f t="shared" si="79"/>
        <v>38880</v>
      </c>
      <c r="G1569" s="45">
        <f t="shared" si="80"/>
        <v>524880</v>
      </c>
      <c r="H1569" s="46">
        <v>524880</v>
      </c>
      <c r="I1569" s="47">
        <f t="shared" si="78"/>
        <v>0</v>
      </c>
      <c r="J1569" s="48">
        <v>46048</v>
      </c>
      <c r="K1569" s="49">
        <v>46127</v>
      </c>
      <c r="L1569" s="65">
        <v>4182583652</v>
      </c>
      <c r="M1569" s="3" t="s">
        <v>3781</v>
      </c>
    </row>
    <row r="1570" spans="1:13" ht="15" customHeight="1" x14ac:dyDescent="0.35">
      <c r="A1570" s="85" t="s">
        <v>85</v>
      </c>
      <c r="B1570" s="86">
        <v>435</v>
      </c>
      <c r="C1570" s="87"/>
      <c r="D1570" s="88">
        <v>46032</v>
      </c>
      <c r="E1570" s="43">
        <v>12538000</v>
      </c>
      <c r="F1570" s="44">
        <f t="shared" si="79"/>
        <v>1003040</v>
      </c>
      <c r="G1570" s="45">
        <f t="shared" si="80"/>
        <v>13541040</v>
      </c>
      <c r="H1570" s="46">
        <v>13541040</v>
      </c>
      <c r="I1570" s="47">
        <f t="shared" si="78"/>
        <v>0</v>
      </c>
      <c r="J1570" s="48">
        <v>46034</v>
      </c>
      <c r="K1570" s="49">
        <v>46127</v>
      </c>
      <c r="L1570" s="65">
        <v>4182324372</v>
      </c>
      <c r="M1570" s="3" t="s">
        <v>3781</v>
      </c>
    </row>
    <row r="1571" spans="1:13" ht="15" customHeight="1" x14ac:dyDescent="0.35">
      <c r="A1571" s="85" t="s">
        <v>85</v>
      </c>
      <c r="B1571" s="86">
        <v>436</v>
      </c>
      <c r="C1571" s="87"/>
      <c r="D1571" s="88">
        <v>46032</v>
      </c>
      <c r="E1571" s="43">
        <v>185685000</v>
      </c>
      <c r="F1571" s="44">
        <f t="shared" si="79"/>
        <v>14854800</v>
      </c>
      <c r="G1571" s="45">
        <f t="shared" si="80"/>
        <v>200539800</v>
      </c>
      <c r="H1571" s="46">
        <v>200539800</v>
      </c>
      <c r="I1571" s="47">
        <f t="shared" si="78"/>
        <v>0</v>
      </c>
      <c r="J1571" s="48">
        <v>46034</v>
      </c>
      <c r="K1571" s="49">
        <v>46157</v>
      </c>
      <c r="L1571" s="65">
        <v>4182216207</v>
      </c>
      <c r="M1571" s="3" t="s">
        <v>3781</v>
      </c>
    </row>
    <row r="1572" spans="1:13" ht="15" customHeight="1" x14ac:dyDescent="0.35">
      <c r="A1572" s="85" t="s">
        <v>29</v>
      </c>
      <c r="B1572" s="86">
        <v>916</v>
      </c>
      <c r="C1572" s="87"/>
      <c r="D1572" s="88">
        <v>46046</v>
      </c>
      <c r="E1572" s="43">
        <v>74660000</v>
      </c>
      <c r="F1572" s="44">
        <f t="shared" si="79"/>
        <v>5972800</v>
      </c>
      <c r="G1572" s="45">
        <f t="shared" si="80"/>
        <v>80632800</v>
      </c>
      <c r="H1572" s="46">
        <v>80632800</v>
      </c>
      <c r="I1572" s="47">
        <f t="shared" si="78"/>
        <v>0</v>
      </c>
      <c r="J1572" s="48">
        <v>46048</v>
      </c>
      <c r="K1572" s="49">
        <v>46127</v>
      </c>
      <c r="L1572" s="65">
        <v>4182727132</v>
      </c>
      <c r="M1572" s="3" t="s">
        <v>3781</v>
      </c>
    </row>
    <row r="1573" spans="1:13" ht="15" customHeight="1" x14ac:dyDescent="0.35">
      <c r="A1573" s="85" t="s">
        <v>29</v>
      </c>
      <c r="B1573" s="86">
        <v>917</v>
      </c>
      <c r="C1573" s="87"/>
      <c r="D1573" s="88">
        <v>46046</v>
      </c>
      <c r="E1573" s="43">
        <v>1898000</v>
      </c>
      <c r="F1573" s="44">
        <f t="shared" si="79"/>
        <v>151840</v>
      </c>
      <c r="G1573" s="45">
        <f t="shared" si="80"/>
        <v>2049840</v>
      </c>
      <c r="H1573" s="46">
        <v>2049840</v>
      </c>
      <c r="I1573" s="47">
        <f t="shared" si="78"/>
        <v>0</v>
      </c>
      <c r="J1573" s="48">
        <v>46048</v>
      </c>
      <c r="K1573" s="49">
        <v>46127</v>
      </c>
      <c r="L1573" s="65">
        <v>4182750049</v>
      </c>
      <c r="M1573" s="3" t="s">
        <v>3781</v>
      </c>
    </row>
    <row r="1574" spans="1:13" ht="15" customHeight="1" x14ac:dyDescent="0.35">
      <c r="A1574" s="85" t="s">
        <v>56</v>
      </c>
      <c r="B1574" s="86">
        <v>918</v>
      </c>
      <c r="C1574" s="87"/>
      <c r="D1574" s="88">
        <v>46046</v>
      </c>
      <c r="E1574" s="43">
        <v>11250000</v>
      </c>
      <c r="F1574" s="44">
        <f t="shared" si="79"/>
        <v>900000</v>
      </c>
      <c r="G1574" s="45">
        <f t="shared" si="80"/>
        <v>12150000</v>
      </c>
      <c r="H1574" s="46">
        <v>12150000</v>
      </c>
      <c r="I1574" s="47">
        <f t="shared" si="78"/>
        <v>0</v>
      </c>
      <c r="J1574" s="48">
        <v>46048</v>
      </c>
      <c r="K1574" s="49">
        <v>46127</v>
      </c>
      <c r="L1574" s="65">
        <v>4182741509</v>
      </c>
      <c r="M1574" s="3" t="s">
        <v>3781</v>
      </c>
    </row>
    <row r="1575" spans="1:13" ht="15" customHeight="1" x14ac:dyDescent="0.35">
      <c r="A1575" s="85" t="s">
        <v>63</v>
      </c>
      <c r="B1575" s="86">
        <v>919</v>
      </c>
      <c r="C1575" s="87"/>
      <c r="D1575" s="88">
        <v>46046</v>
      </c>
      <c r="E1575" s="43">
        <v>18986000</v>
      </c>
      <c r="F1575" s="44">
        <f t="shared" si="79"/>
        <v>1518880</v>
      </c>
      <c r="G1575" s="45">
        <f t="shared" si="80"/>
        <v>20504880</v>
      </c>
      <c r="H1575" s="46">
        <v>20504880</v>
      </c>
      <c r="I1575" s="47">
        <f t="shared" si="78"/>
        <v>0</v>
      </c>
      <c r="J1575" s="48">
        <v>46048</v>
      </c>
      <c r="K1575" s="49">
        <v>46157</v>
      </c>
      <c r="L1575" s="65">
        <v>4182741516</v>
      </c>
      <c r="M1575" s="3" t="s">
        <v>3781</v>
      </c>
    </row>
    <row r="1576" spans="1:13" ht="15" customHeight="1" x14ac:dyDescent="0.35">
      <c r="A1576" s="85" t="s">
        <v>37</v>
      </c>
      <c r="B1576" s="86">
        <v>920</v>
      </c>
      <c r="C1576" s="87"/>
      <c r="D1576" s="88">
        <v>46046</v>
      </c>
      <c r="E1576" s="43">
        <v>33056000</v>
      </c>
      <c r="F1576" s="44">
        <f t="shared" si="79"/>
        <v>2644480</v>
      </c>
      <c r="G1576" s="45">
        <f t="shared" si="80"/>
        <v>35700480</v>
      </c>
      <c r="H1576" s="46">
        <v>35700480</v>
      </c>
      <c r="I1576" s="47">
        <f t="shared" si="78"/>
        <v>0</v>
      </c>
      <c r="J1576" s="48">
        <v>46048</v>
      </c>
      <c r="K1576" s="49">
        <v>46127</v>
      </c>
      <c r="L1576" s="65">
        <v>4182741362</v>
      </c>
      <c r="M1576" s="3" t="s">
        <v>3781</v>
      </c>
    </row>
    <row r="1577" spans="1:13" ht="15" customHeight="1" x14ac:dyDescent="0.35">
      <c r="A1577" s="85" t="s">
        <v>85</v>
      </c>
      <c r="B1577" s="86">
        <v>921</v>
      </c>
      <c r="C1577" s="87"/>
      <c r="D1577" s="88">
        <v>46046</v>
      </c>
      <c r="E1577" s="43">
        <v>25121000</v>
      </c>
      <c r="F1577" s="44">
        <f t="shared" si="79"/>
        <v>2009680</v>
      </c>
      <c r="G1577" s="45">
        <f t="shared" si="80"/>
        <v>27130680</v>
      </c>
      <c r="H1577" s="46">
        <v>27130680</v>
      </c>
      <c r="I1577" s="47">
        <f t="shared" si="78"/>
        <v>0</v>
      </c>
      <c r="J1577" s="48">
        <v>46048</v>
      </c>
      <c r="K1577" s="49">
        <v>46127</v>
      </c>
      <c r="L1577" s="65">
        <v>4182741542</v>
      </c>
      <c r="M1577" s="3" t="s">
        <v>3781</v>
      </c>
    </row>
    <row r="1578" spans="1:13" ht="15" customHeight="1" x14ac:dyDescent="0.35">
      <c r="A1578" s="85" t="s">
        <v>123</v>
      </c>
      <c r="B1578" s="86">
        <v>922</v>
      </c>
      <c r="C1578" s="87"/>
      <c r="D1578" s="88">
        <v>46046</v>
      </c>
      <c r="E1578" s="43">
        <v>39691000</v>
      </c>
      <c r="F1578" s="44">
        <f t="shared" si="79"/>
        <v>3175280</v>
      </c>
      <c r="G1578" s="45">
        <f t="shared" si="80"/>
        <v>42866280</v>
      </c>
      <c r="H1578" s="46">
        <v>42866280</v>
      </c>
      <c r="I1578" s="47">
        <f t="shared" si="78"/>
        <v>0</v>
      </c>
      <c r="J1578" s="48">
        <v>46048</v>
      </c>
      <c r="K1578" s="49">
        <v>46127</v>
      </c>
      <c r="L1578" s="65">
        <v>4182741442</v>
      </c>
      <c r="M1578" s="3" t="s">
        <v>3781</v>
      </c>
    </row>
    <row r="1579" spans="1:13" ht="15" customHeight="1" x14ac:dyDescent="0.35">
      <c r="A1579" s="85" t="s">
        <v>123</v>
      </c>
      <c r="B1579" s="86">
        <v>923</v>
      </c>
      <c r="C1579" s="87"/>
      <c r="D1579" s="88">
        <v>46046</v>
      </c>
      <c r="E1579" s="43">
        <v>29909000</v>
      </c>
      <c r="F1579" s="44">
        <f t="shared" si="79"/>
        <v>2392720</v>
      </c>
      <c r="G1579" s="45">
        <f t="shared" si="80"/>
        <v>32301720</v>
      </c>
      <c r="H1579" s="46">
        <v>32301720</v>
      </c>
      <c r="I1579" s="47">
        <f t="shared" si="78"/>
        <v>0</v>
      </c>
      <c r="J1579" s="48">
        <v>46048</v>
      </c>
      <c r="K1579" s="49">
        <v>46127</v>
      </c>
      <c r="L1579" s="65">
        <v>4182741529</v>
      </c>
      <c r="M1579" s="3" t="s">
        <v>3781</v>
      </c>
    </row>
    <row r="1580" spans="1:13" ht="15" customHeight="1" x14ac:dyDescent="0.35">
      <c r="A1580" s="85" t="s">
        <v>33</v>
      </c>
      <c r="B1580" s="86">
        <v>955</v>
      </c>
      <c r="C1580" s="87">
        <v>1499</v>
      </c>
      <c r="D1580" s="88">
        <v>46063</v>
      </c>
      <c r="E1580" s="43">
        <v>7456000</v>
      </c>
      <c r="F1580" s="44">
        <f t="shared" si="79"/>
        <v>596480</v>
      </c>
      <c r="G1580" s="45">
        <f t="shared" si="80"/>
        <v>8052480</v>
      </c>
      <c r="H1580" s="46">
        <v>8052480</v>
      </c>
      <c r="I1580" s="47">
        <f t="shared" si="78"/>
        <v>0</v>
      </c>
      <c r="J1580" s="48">
        <v>46048</v>
      </c>
      <c r="K1580" s="49">
        <v>46157</v>
      </c>
      <c r="L1580" s="65">
        <v>4901283364</v>
      </c>
      <c r="M1580" s="3" t="s">
        <v>3781</v>
      </c>
    </row>
    <row r="1581" spans="1:13" ht="15" customHeight="1" x14ac:dyDescent="0.35">
      <c r="A1581" s="85" t="s">
        <v>3227</v>
      </c>
      <c r="B1581" s="86">
        <v>924</v>
      </c>
      <c r="C1581" s="87"/>
      <c r="D1581" s="88">
        <v>46046</v>
      </c>
      <c r="E1581" s="43">
        <v>960000</v>
      </c>
      <c r="F1581" s="44">
        <f t="shared" si="79"/>
        <v>76800</v>
      </c>
      <c r="G1581" s="45">
        <f t="shared" si="80"/>
        <v>1036800</v>
      </c>
      <c r="H1581" s="46">
        <v>1036800</v>
      </c>
      <c r="I1581" s="47">
        <f t="shared" si="78"/>
        <v>0</v>
      </c>
      <c r="J1581" s="48">
        <v>46048</v>
      </c>
      <c r="K1581" s="49">
        <v>46127</v>
      </c>
      <c r="L1581" s="65">
        <v>4183040248</v>
      </c>
      <c r="M1581" s="3" t="s">
        <v>3781</v>
      </c>
    </row>
    <row r="1582" spans="1:13" ht="15" customHeight="1" x14ac:dyDescent="0.35">
      <c r="A1582" s="85" t="s">
        <v>29</v>
      </c>
      <c r="B1582" s="86">
        <v>925</v>
      </c>
      <c r="C1582" s="87"/>
      <c r="D1582" s="88">
        <v>46046</v>
      </c>
      <c r="E1582" s="43">
        <v>29100000</v>
      </c>
      <c r="F1582" s="44">
        <f t="shared" si="79"/>
        <v>2328000</v>
      </c>
      <c r="G1582" s="45">
        <f t="shared" si="80"/>
        <v>31428000</v>
      </c>
      <c r="H1582" s="46">
        <v>31428000</v>
      </c>
      <c r="I1582" s="47">
        <f t="shared" si="78"/>
        <v>0</v>
      </c>
      <c r="J1582" s="48">
        <v>46048</v>
      </c>
      <c r="K1582" s="49">
        <v>46127</v>
      </c>
      <c r="L1582" s="65">
        <v>4183040424</v>
      </c>
      <c r="M1582" s="3" t="s">
        <v>3781</v>
      </c>
    </row>
    <row r="1583" spans="1:13" ht="15" customHeight="1" x14ac:dyDescent="0.35">
      <c r="A1583" s="85" t="s">
        <v>123</v>
      </c>
      <c r="B1583" s="86">
        <v>926</v>
      </c>
      <c r="C1583" s="87"/>
      <c r="D1583" s="88">
        <v>46046</v>
      </c>
      <c r="E1583" s="43">
        <v>4600000</v>
      </c>
      <c r="F1583" s="44">
        <f t="shared" si="79"/>
        <v>368000</v>
      </c>
      <c r="G1583" s="45">
        <f t="shared" si="80"/>
        <v>4968000</v>
      </c>
      <c r="H1583" s="46">
        <v>4968000</v>
      </c>
      <c r="I1583" s="47">
        <f t="shared" si="78"/>
        <v>0</v>
      </c>
      <c r="J1583" s="48">
        <v>46048</v>
      </c>
      <c r="K1583" s="49">
        <v>46127</v>
      </c>
      <c r="L1583" s="65">
        <v>4183052926</v>
      </c>
      <c r="M1583" s="3" t="s">
        <v>3781</v>
      </c>
    </row>
    <row r="1584" spans="1:13" ht="15" customHeight="1" x14ac:dyDescent="0.35">
      <c r="A1584" s="85" t="s">
        <v>37</v>
      </c>
      <c r="B1584" s="86">
        <v>927</v>
      </c>
      <c r="C1584" s="87"/>
      <c r="D1584" s="88">
        <v>46046</v>
      </c>
      <c r="E1584" s="43">
        <v>4955000</v>
      </c>
      <c r="F1584" s="44">
        <f t="shared" si="79"/>
        <v>396400</v>
      </c>
      <c r="G1584" s="45">
        <f t="shared" si="80"/>
        <v>5351400</v>
      </c>
      <c r="H1584" s="46">
        <v>5351400</v>
      </c>
      <c r="I1584" s="47">
        <f t="shared" si="78"/>
        <v>0</v>
      </c>
      <c r="J1584" s="48">
        <v>46048</v>
      </c>
      <c r="K1584" s="49">
        <v>46157</v>
      </c>
      <c r="L1584" s="65">
        <v>4183053020</v>
      </c>
      <c r="M1584" s="3" t="s">
        <v>3781</v>
      </c>
    </row>
    <row r="1585" spans="1:14" ht="15" customHeight="1" x14ac:dyDescent="0.35">
      <c r="A1585" s="85" t="s">
        <v>29</v>
      </c>
      <c r="B1585" s="86">
        <v>928</v>
      </c>
      <c r="C1585" s="87"/>
      <c r="D1585" s="88">
        <v>46046</v>
      </c>
      <c r="E1585" s="43">
        <v>95568000</v>
      </c>
      <c r="F1585" s="44">
        <f t="shared" si="79"/>
        <v>7645440</v>
      </c>
      <c r="G1585" s="45">
        <f t="shared" si="80"/>
        <v>103213440</v>
      </c>
      <c r="H1585" s="46">
        <v>103213440</v>
      </c>
      <c r="I1585" s="47">
        <f t="shared" si="78"/>
        <v>0</v>
      </c>
      <c r="J1585" s="48">
        <v>46048</v>
      </c>
      <c r="K1585" s="49">
        <v>46157</v>
      </c>
      <c r="L1585" s="65">
        <v>4183111325</v>
      </c>
      <c r="M1585" s="3" t="s">
        <v>3781</v>
      </c>
    </row>
    <row r="1586" spans="1:14" ht="15" customHeight="1" x14ac:dyDescent="0.35">
      <c r="A1586" s="85" t="s">
        <v>85</v>
      </c>
      <c r="B1586" s="86"/>
      <c r="C1586" s="87"/>
      <c r="D1586" s="88"/>
      <c r="E1586" s="43">
        <v>7020000</v>
      </c>
      <c r="F1586" s="44"/>
      <c r="G1586" s="45"/>
      <c r="H1586" s="46"/>
      <c r="I1586" s="47">
        <f t="shared" si="78"/>
        <v>0</v>
      </c>
      <c r="J1586" s="48" t="s">
        <v>2896</v>
      </c>
      <c r="K1586" s="49"/>
      <c r="L1586" s="50">
        <v>4183046420</v>
      </c>
    </row>
    <row r="1587" spans="1:14" ht="15" customHeight="1" x14ac:dyDescent="0.35">
      <c r="A1587" s="85" t="s">
        <v>123</v>
      </c>
      <c r="B1587" s="86">
        <v>929</v>
      </c>
      <c r="C1587" s="87"/>
      <c r="D1587" s="88">
        <v>46046</v>
      </c>
      <c r="E1587" s="43">
        <v>855000</v>
      </c>
      <c r="F1587" s="44">
        <f t="shared" si="79"/>
        <v>68400</v>
      </c>
      <c r="G1587" s="45">
        <f t="shared" si="80"/>
        <v>923400</v>
      </c>
      <c r="H1587" s="46">
        <v>923400</v>
      </c>
      <c r="I1587" s="47">
        <f t="shared" si="78"/>
        <v>0</v>
      </c>
      <c r="J1587" s="48">
        <v>46065</v>
      </c>
      <c r="K1587" s="49">
        <v>46157</v>
      </c>
      <c r="L1587" s="50">
        <v>4183123111</v>
      </c>
      <c r="M1587" s="3" t="s">
        <v>3781</v>
      </c>
    </row>
    <row r="1588" spans="1:14" ht="15" customHeight="1" x14ac:dyDescent="0.35">
      <c r="A1588" s="85" t="s">
        <v>85</v>
      </c>
      <c r="B1588" s="86">
        <v>930</v>
      </c>
      <c r="C1588" s="87"/>
      <c r="D1588" s="88">
        <v>46046</v>
      </c>
      <c r="E1588" s="43">
        <v>13686000</v>
      </c>
      <c r="F1588" s="44">
        <f t="shared" si="79"/>
        <v>1094880</v>
      </c>
      <c r="G1588" s="45">
        <f t="shared" si="80"/>
        <v>14780880</v>
      </c>
      <c r="H1588" s="46">
        <v>14780880</v>
      </c>
      <c r="I1588" s="47">
        <f t="shared" si="78"/>
        <v>0</v>
      </c>
      <c r="J1588" s="48">
        <v>46048</v>
      </c>
      <c r="K1588" s="49">
        <v>46127</v>
      </c>
      <c r="L1588" s="65">
        <v>4183052965</v>
      </c>
      <c r="M1588" s="3" t="s">
        <v>3781</v>
      </c>
    </row>
    <row r="1589" spans="1:14" ht="15" customHeight="1" x14ac:dyDescent="0.35">
      <c r="A1589" s="85" t="s">
        <v>37</v>
      </c>
      <c r="B1589" s="86">
        <v>931</v>
      </c>
      <c r="C1589" s="87"/>
      <c r="D1589" s="88">
        <v>46046</v>
      </c>
      <c r="E1589" s="43">
        <v>188893000</v>
      </c>
      <c r="F1589" s="44">
        <f t="shared" si="79"/>
        <v>15111440</v>
      </c>
      <c r="G1589" s="45">
        <f t="shared" si="80"/>
        <v>204004440</v>
      </c>
      <c r="H1589" s="46">
        <v>204004440</v>
      </c>
      <c r="I1589" s="47">
        <f t="shared" si="78"/>
        <v>0</v>
      </c>
      <c r="J1589" s="48">
        <v>46048</v>
      </c>
      <c r="K1589" s="49">
        <v>46157</v>
      </c>
      <c r="L1589" s="65">
        <v>4183109939</v>
      </c>
      <c r="M1589" s="3" t="s">
        <v>3781</v>
      </c>
    </row>
    <row r="1590" spans="1:14" ht="15" customHeight="1" x14ac:dyDescent="0.35">
      <c r="A1590" s="85" t="s">
        <v>63</v>
      </c>
      <c r="B1590" s="86">
        <v>940</v>
      </c>
      <c r="C1590" s="87"/>
      <c r="D1590" s="88">
        <v>46047</v>
      </c>
      <c r="E1590" s="43">
        <v>39839000</v>
      </c>
      <c r="F1590" s="44">
        <f t="shared" si="79"/>
        <v>3187120</v>
      </c>
      <c r="G1590" s="45">
        <f t="shared" si="80"/>
        <v>43026120</v>
      </c>
      <c r="H1590" s="46">
        <v>43026120</v>
      </c>
      <c r="I1590" s="47">
        <f t="shared" si="78"/>
        <v>0</v>
      </c>
      <c r="J1590" s="48">
        <v>46048</v>
      </c>
      <c r="K1590" s="49">
        <v>46127</v>
      </c>
      <c r="L1590" s="65">
        <v>4183108858</v>
      </c>
      <c r="M1590" s="3" t="s">
        <v>3781</v>
      </c>
    </row>
    <row r="1591" spans="1:14" ht="15" customHeight="1" x14ac:dyDescent="0.35">
      <c r="A1591" s="85" t="s">
        <v>56</v>
      </c>
      <c r="B1591" s="86">
        <v>941</v>
      </c>
      <c r="C1591" s="87"/>
      <c r="D1591" s="88">
        <v>46047</v>
      </c>
      <c r="E1591" s="43">
        <v>55756000</v>
      </c>
      <c r="F1591" s="44">
        <f t="shared" si="79"/>
        <v>4460480</v>
      </c>
      <c r="G1591" s="45">
        <f t="shared" si="80"/>
        <v>60216480</v>
      </c>
      <c r="H1591" s="46">
        <v>60216480</v>
      </c>
      <c r="I1591" s="47">
        <f t="shared" si="78"/>
        <v>0</v>
      </c>
      <c r="J1591" s="48">
        <v>46048</v>
      </c>
      <c r="K1591" s="49">
        <v>46127</v>
      </c>
      <c r="L1591" s="65">
        <v>4183110704</v>
      </c>
      <c r="M1591" s="3" t="s">
        <v>3781</v>
      </c>
    </row>
    <row r="1592" spans="1:14" ht="15" customHeight="1" x14ac:dyDescent="0.35">
      <c r="A1592" s="85" t="s">
        <v>63</v>
      </c>
      <c r="B1592" s="86">
        <v>942</v>
      </c>
      <c r="C1592" s="87"/>
      <c r="D1592" s="88">
        <v>46047</v>
      </c>
      <c r="E1592" s="43">
        <v>1424000</v>
      </c>
      <c r="F1592" s="44">
        <f t="shared" si="79"/>
        <v>113920</v>
      </c>
      <c r="G1592" s="45">
        <f t="shared" si="80"/>
        <v>1537920</v>
      </c>
      <c r="H1592" s="46">
        <v>1537920</v>
      </c>
      <c r="I1592" s="47">
        <f t="shared" si="78"/>
        <v>0</v>
      </c>
      <c r="J1592" s="48">
        <v>46048</v>
      </c>
      <c r="K1592" s="49">
        <v>46127</v>
      </c>
      <c r="L1592" s="65">
        <v>4183053065</v>
      </c>
      <c r="M1592" s="3" t="s">
        <v>3781</v>
      </c>
    </row>
    <row r="1593" spans="1:14" ht="15" customHeight="1" x14ac:dyDescent="0.35">
      <c r="A1593" s="85" t="s">
        <v>123</v>
      </c>
      <c r="B1593" s="86">
        <v>943</v>
      </c>
      <c r="C1593" s="87"/>
      <c r="D1593" s="88">
        <v>46047</v>
      </c>
      <c r="E1593" s="43">
        <v>8735000</v>
      </c>
      <c r="F1593" s="44">
        <f t="shared" si="79"/>
        <v>698800</v>
      </c>
      <c r="G1593" s="45">
        <f t="shared" si="80"/>
        <v>9433800</v>
      </c>
      <c r="H1593" s="46">
        <v>9433800</v>
      </c>
      <c r="I1593" s="47">
        <f t="shared" si="78"/>
        <v>0</v>
      </c>
      <c r="J1593" s="48">
        <v>46048</v>
      </c>
      <c r="K1593" s="49">
        <v>46127</v>
      </c>
      <c r="L1593" s="65">
        <v>4183052944</v>
      </c>
      <c r="M1593" s="3" t="s">
        <v>3781</v>
      </c>
    </row>
    <row r="1594" spans="1:14" ht="15" customHeight="1" x14ac:dyDescent="0.35">
      <c r="A1594" s="85" t="s">
        <v>123</v>
      </c>
      <c r="B1594" s="86">
        <v>944</v>
      </c>
      <c r="C1594" s="87"/>
      <c r="D1594" s="88">
        <v>46047</v>
      </c>
      <c r="E1594" s="43">
        <v>60484000</v>
      </c>
      <c r="F1594" s="44">
        <f t="shared" si="79"/>
        <v>4838720</v>
      </c>
      <c r="G1594" s="45">
        <f t="shared" si="80"/>
        <v>65322720</v>
      </c>
      <c r="H1594" s="46">
        <v>65322720</v>
      </c>
      <c r="I1594" s="47">
        <f t="shared" si="78"/>
        <v>0</v>
      </c>
      <c r="J1594" s="48">
        <v>46048</v>
      </c>
      <c r="K1594" s="49">
        <v>46127</v>
      </c>
      <c r="L1594" s="65">
        <v>4183109938</v>
      </c>
      <c r="M1594" s="3" t="s">
        <v>3781</v>
      </c>
    </row>
    <row r="1595" spans="1:14" ht="15" customHeight="1" x14ac:dyDescent="0.35">
      <c r="A1595" s="85" t="s">
        <v>85</v>
      </c>
      <c r="B1595" s="86">
        <v>945</v>
      </c>
      <c r="C1595" s="87"/>
      <c r="D1595" s="88">
        <v>46047</v>
      </c>
      <c r="E1595" s="43">
        <v>3200000</v>
      </c>
      <c r="F1595" s="44">
        <f t="shared" si="79"/>
        <v>256000</v>
      </c>
      <c r="G1595" s="45">
        <f t="shared" si="80"/>
        <v>3456000</v>
      </c>
      <c r="H1595" s="46">
        <v>3456000</v>
      </c>
      <c r="I1595" s="47">
        <f t="shared" si="78"/>
        <v>0</v>
      </c>
      <c r="J1595" s="48">
        <v>46048</v>
      </c>
      <c r="K1595" s="49">
        <v>46127</v>
      </c>
      <c r="L1595" s="65">
        <v>4183108859</v>
      </c>
      <c r="M1595" s="3" t="s">
        <v>3781</v>
      </c>
    </row>
    <row r="1596" spans="1:14" ht="15" customHeight="1" x14ac:dyDescent="0.35">
      <c r="A1596" s="85" t="s">
        <v>29</v>
      </c>
      <c r="B1596" s="86">
        <v>1433</v>
      </c>
      <c r="C1596" s="87"/>
      <c r="D1596" s="88">
        <v>46062</v>
      </c>
      <c r="E1596" s="43">
        <v>4800000</v>
      </c>
      <c r="F1596" s="44">
        <f t="shared" si="79"/>
        <v>384000</v>
      </c>
      <c r="G1596" s="45">
        <f t="shared" si="80"/>
        <v>5184000</v>
      </c>
      <c r="H1596" s="46">
        <v>5184000</v>
      </c>
      <c r="I1596" s="47">
        <f t="shared" si="78"/>
        <v>0</v>
      </c>
      <c r="J1596" s="48">
        <v>46062</v>
      </c>
      <c r="K1596" s="49">
        <v>46157</v>
      </c>
      <c r="L1596" s="50">
        <v>4183730000</v>
      </c>
      <c r="M1596" s="50" t="s">
        <v>3781</v>
      </c>
      <c r="N1596" s="50" t="s">
        <v>3664</v>
      </c>
    </row>
    <row r="1597" spans="1:14" ht="15" customHeight="1" x14ac:dyDescent="0.35">
      <c r="A1597" s="85" t="s">
        <v>123</v>
      </c>
      <c r="B1597" s="86">
        <v>946</v>
      </c>
      <c r="C1597" s="87"/>
      <c r="D1597" s="88">
        <v>46047</v>
      </c>
      <c r="E1597" s="43">
        <v>170333000</v>
      </c>
      <c r="F1597" s="44">
        <f t="shared" si="79"/>
        <v>13626640</v>
      </c>
      <c r="G1597" s="45">
        <f t="shared" si="80"/>
        <v>183959640</v>
      </c>
      <c r="H1597" s="46">
        <v>183959640</v>
      </c>
      <c r="I1597" s="47">
        <f t="shared" si="78"/>
        <v>0</v>
      </c>
      <c r="J1597" s="48">
        <v>46048</v>
      </c>
      <c r="K1597" s="49">
        <v>46127</v>
      </c>
      <c r="L1597" s="65">
        <v>4183108857</v>
      </c>
      <c r="M1597" s="3" t="s">
        <v>3781</v>
      </c>
    </row>
    <row r="1598" spans="1:14" ht="15" customHeight="1" x14ac:dyDescent="0.35">
      <c r="A1598" s="85" t="s">
        <v>71</v>
      </c>
      <c r="B1598" s="86">
        <v>947</v>
      </c>
      <c r="C1598" s="87"/>
      <c r="D1598" s="88">
        <v>46047</v>
      </c>
      <c r="E1598" s="43">
        <v>5985000</v>
      </c>
      <c r="F1598" s="44">
        <f t="shared" si="79"/>
        <v>478800</v>
      </c>
      <c r="G1598" s="45">
        <f t="shared" si="80"/>
        <v>6463800</v>
      </c>
      <c r="H1598" s="46">
        <v>6463800</v>
      </c>
      <c r="I1598" s="47">
        <f t="shared" si="78"/>
        <v>0</v>
      </c>
      <c r="J1598" s="48">
        <v>46048</v>
      </c>
      <c r="K1598" s="49">
        <v>46127</v>
      </c>
      <c r="L1598" s="65">
        <v>4183354386</v>
      </c>
      <c r="M1598" s="3" t="s">
        <v>3781</v>
      </c>
    </row>
    <row r="1599" spans="1:14" ht="15" customHeight="1" x14ac:dyDescent="0.35">
      <c r="A1599" s="85" t="s">
        <v>77</v>
      </c>
      <c r="B1599" s="86">
        <v>1434</v>
      </c>
      <c r="C1599" s="87"/>
      <c r="D1599" s="88">
        <v>46062</v>
      </c>
      <c r="E1599" s="43">
        <v>29013000</v>
      </c>
      <c r="F1599" s="44">
        <f t="shared" si="79"/>
        <v>2321040</v>
      </c>
      <c r="G1599" s="45">
        <f t="shared" si="80"/>
        <v>31334040</v>
      </c>
      <c r="H1599" s="46">
        <v>31334040</v>
      </c>
      <c r="I1599" s="47">
        <f t="shared" si="78"/>
        <v>0</v>
      </c>
      <c r="J1599" s="48">
        <v>46062</v>
      </c>
      <c r="K1599" s="49">
        <v>46157</v>
      </c>
      <c r="L1599" s="50">
        <v>4183333636</v>
      </c>
      <c r="M1599" s="3" t="s">
        <v>3781</v>
      </c>
    </row>
    <row r="1600" spans="1:14" ht="15" customHeight="1" x14ac:dyDescent="0.35">
      <c r="A1600" s="85" t="s">
        <v>29</v>
      </c>
      <c r="B1600" s="86">
        <v>1435</v>
      </c>
      <c r="C1600" s="87"/>
      <c r="D1600" s="88">
        <v>46062</v>
      </c>
      <c r="E1600" s="43">
        <v>8960000</v>
      </c>
      <c r="F1600" s="44">
        <f t="shared" si="79"/>
        <v>716800</v>
      </c>
      <c r="G1600" s="45">
        <f t="shared" si="80"/>
        <v>9676800</v>
      </c>
      <c r="H1600" s="46">
        <v>9676800</v>
      </c>
      <c r="I1600" s="47">
        <f t="shared" si="78"/>
        <v>0</v>
      </c>
      <c r="J1600" s="48">
        <v>46062</v>
      </c>
      <c r="K1600" s="49">
        <v>46157</v>
      </c>
      <c r="L1600" s="50">
        <v>4183345888</v>
      </c>
      <c r="M1600" s="3" t="s">
        <v>3781</v>
      </c>
    </row>
    <row r="1601" spans="1:13" ht="15" customHeight="1" x14ac:dyDescent="0.35">
      <c r="A1601" s="85" t="s">
        <v>33</v>
      </c>
      <c r="B1601" s="86">
        <v>1436</v>
      </c>
      <c r="C1601" s="87"/>
      <c r="D1601" s="88">
        <v>46062</v>
      </c>
      <c r="E1601" s="43">
        <v>2528000</v>
      </c>
      <c r="F1601" s="44">
        <f t="shared" si="79"/>
        <v>202240</v>
      </c>
      <c r="G1601" s="45">
        <f t="shared" si="80"/>
        <v>2730240</v>
      </c>
      <c r="H1601" s="46">
        <v>2730240</v>
      </c>
      <c r="I1601" s="47">
        <f t="shared" ref="I1601:I1713" si="81">G1601-H1601</f>
        <v>0</v>
      </c>
      <c r="J1601" s="48">
        <v>46062</v>
      </c>
      <c r="K1601" s="49">
        <v>46157</v>
      </c>
      <c r="L1601" s="50">
        <v>4901284302</v>
      </c>
      <c r="M1601" s="3" t="s">
        <v>3781</v>
      </c>
    </row>
    <row r="1602" spans="1:13" ht="15" customHeight="1" x14ac:dyDescent="0.35">
      <c r="A1602" s="85" t="s">
        <v>29</v>
      </c>
      <c r="B1602" s="86">
        <v>1437</v>
      </c>
      <c r="C1602" s="87"/>
      <c r="D1602" s="88">
        <v>46062</v>
      </c>
      <c r="E1602" s="43">
        <v>53716000</v>
      </c>
      <c r="F1602" s="44">
        <f t="shared" ref="F1602:F1713" si="82">+E1602*0.08</f>
        <v>4297280</v>
      </c>
      <c r="G1602" s="45">
        <f t="shared" si="80"/>
        <v>58013280</v>
      </c>
      <c r="H1602" s="46">
        <v>58013280</v>
      </c>
      <c r="I1602" s="47">
        <f t="shared" si="81"/>
        <v>0</v>
      </c>
      <c r="J1602" s="48">
        <v>46062</v>
      </c>
      <c r="K1602" s="49">
        <v>46157</v>
      </c>
      <c r="L1602" s="50">
        <v>4183379592</v>
      </c>
      <c r="M1602" s="3" t="s">
        <v>3781</v>
      </c>
    </row>
    <row r="1603" spans="1:13" ht="15" customHeight="1" x14ac:dyDescent="0.35">
      <c r="A1603" s="85" t="s">
        <v>29</v>
      </c>
      <c r="B1603" s="86">
        <v>1438</v>
      </c>
      <c r="C1603" s="87"/>
      <c r="D1603" s="88">
        <v>46062</v>
      </c>
      <c r="E1603" s="43">
        <v>1280000</v>
      </c>
      <c r="F1603" s="44">
        <f t="shared" si="82"/>
        <v>102400</v>
      </c>
      <c r="G1603" s="45">
        <f t="shared" si="80"/>
        <v>1382400</v>
      </c>
      <c r="H1603" s="46">
        <v>1382400</v>
      </c>
      <c r="I1603" s="47">
        <f t="shared" si="81"/>
        <v>0</v>
      </c>
      <c r="J1603" s="63">
        <v>46084</v>
      </c>
      <c r="K1603" s="49">
        <v>46167</v>
      </c>
      <c r="L1603" s="50">
        <v>4183381947</v>
      </c>
      <c r="M1603" s="3" t="s">
        <v>3781</v>
      </c>
    </row>
    <row r="1604" spans="1:13" ht="15" customHeight="1" x14ac:dyDescent="0.35">
      <c r="A1604" s="85" t="s">
        <v>123</v>
      </c>
      <c r="B1604" s="86">
        <v>1439</v>
      </c>
      <c r="C1604" s="87"/>
      <c r="D1604" s="88">
        <v>46062</v>
      </c>
      <c r="E1604" s="43">
        <v>1152000</v>
      </c>
      <c r="F1604" s="44">
        <f t="shared" si="82"/>
        <v>92160</v>
      </c>
      <c r="G1604" s="45">
        <f t="shared" si="80"/>
        <v>1244160</v>
      </c>
      <c r="H1604" s="46">
        <v>1244160</v>
      </c>
      <c r="I1604" s="47">
        <f t="shared" si="81"/>
        <v>0</v>
      </c>
      <c r="J1604" s="48">
        <v>46062</v>
      </c>
      <c r="K1604" s="49">
        <v>46157</v>
      </c>
      <c r="L1604" s="50">
        <v>4183362201</v>
      </c>
      <c r="M1604" s="3" t="s">
        <v>3781</v>
      </c>
    </row>
    <row r="1605" spans="1:13" ht="15" customHeight="1" x14ac:dyDescent="0.35">
      <c r="A1605" s="85" t="s">
        <v>37</v>
      </c>
      <c r="B1605" s="86">
        <v>1440</v>
      </c>
      <c r="C1605" s="87"/>
      <c r="D1605" s="88">
        <v>46062</v>
      </c>
      <c r="E1605" s="43">
        <v>1280000</v>
      </c>
      <c r="F1605" s="44">
        <f t="shared" si="82"/>
        <v>102400</v>
      </c>
      <c r="G1605" s="45">
        <f t="shared" si="80"/>
        <v>1382400</v>
      </c>
      <c r="H1605" s="46">
        <v>1382400</v>
      </c>
      <c r="I1605" s="47">
        <f t="shared" si="81"/>
        <v>0</v>
      </c>
      <c r="J1605" s="48">
        <v>46062</v>
      </c>
      <c r="K1605" s="49">
        <v>46157</v>
      </c>
      <c r="L1605" s="50">
        <v>4183444820</v>
      </c>
      <c r="M1605" s="3" t="s">
        <v>3781</v>
      </c>
    </row>
    <row r="1606" spans="1:13" ht="15" customHeight="1" x14ac:dyDescent="0.35">
      <c r="A1606" s="85" t="s">
        <v>37</v>
      </c>
      <c r="B1606" s="86">
        <v>1441</v>
      </c>
      <c r="C1606" s="87"/>
      <c r="D1606" s="88">
        <v>46062</v>
      </c>
      <c r="E1606" s="43">
        <v>1856000</v>
      </c>
      <c r="F1606" s="44">
        <f t="shared" si="82"/>
        <v>148480</v>
      </c>
      <c r="G1606" s="45">
        <f t="shared" si="80"/>
        <v>2004480</v>
      </c>
      <c r="H1606" s="46">
        <v>2004480</v>
      </c>
      <c r="I1606" s="47">
        <f t="shared" si="81"/>
        <v>0</v>
      </c>
      <c r="J1606" s="48">
        <v>46062</v>
      </c>
      <c r="K1606" s="49">
        <v>46157</v>
      </c>
      <c r="L1606" s="50">
        <v>4183362240</v>
      </c>
      <c r="M1606" s="3" t="s">
        <v>3781</v>
      </c>
    </row>
    <row r="1607" spans="1:13" ht="15" customHeight="1" x14ac:dyDescent="0.35">
      <c r="A1607" s="85" t="s">
        <v>123</v>
      </c>
      <c r="B1607" s="86">
        <v>1442</v>
      </c>
      <c r="C1607" s="87"/>
      <c r="D1607" s="88">
        <v>46062</v>
      </c>
      <c r="E1607" s="43">
        <v>1280000</v>
      </c>
      <c r="F1607" s="44">
        <f t="shared" si="82"/>
        <v>102400</v>
      </c>
      <c r="G1607" s="45">
        <f t="shared" si="80"/>
        <v>1382400</v>
      </c>
      <c r="H1607" s="46">
        <v>1382400</v>
      </c>
      <c r="I1607" s="47">
        <f t="shared" si="81"/>
        <v>0</v>
      </c>
      <c r="J1607" s="48">
        <v>46062</v>
      </c>
      <c r="K1607" s="49">
        <v>46157</v>
      </c>
      <c r="L1607" s="50">
        <v>4183422388</v>
      </c>
      <c r="M1607" s="3" t="s">
        <v>3781</v>
      </c>
    </row>
    <row r="1608" spans="1:13" ht="15" customHeight="1" x14ac:dyDescent="0.35">
      <c r="A1608" s="85" t="s">
        <v>37</v>
      </c>
      <c r="B1608" s="86">
        <v>1443</v>
      </c>
      <c r="C1608" s="87"/>
      <c r="D1608" s="88">
        <v>46062</v>
      </c>
      <c r="E1608" s="43">
        <v>1040000</v>
      </c>
      <c r="F1608" s="44">
        <f t="shared" si="82"/>
        <v>83200</v>
      </c>
      <c r="G1608" s="45">
        <f t="shared" si="80"/>
        <v>1123200</v>
      </c>
      <c r="H1608" s="46">
        <v>1123200</v>
      </c>
      <c r="I1608" s="47">
        <f t="shared" si="81"/>
        <v>0</v>
      </c>
      <c r="J1608" s="48">
        <v>46062</v>
      </c>
      <c r="K1608" s="49">
        <v>46157</v>
      </c>
      <c r="L1608" s="50">
        <v>4183425283</v>
      </c>
      <c r="M1608" s="3" t="s">
        <v>3781</v>
      </c>
    </row>
    <row r="1609" spans="1:13" ht="15" customHeight="1" x14ac:dyDescent="0.35">
      <c r="A1609" s="85" t="s">
        <v>56</v>
      </c>
      <c r="B1609" s="86">
        <v>1444</v>
      </c>
      <c r="C1609" s="87"/>
      <c r="D1609" s="88">
        <v>46062</v>
      </c>
      <c r="E1609" s="43">
        <v>1184000</v>
      </c>
      <c r="F1609" s="44">
        <f t="shared" si="82"/>
        <v>94720</v>
      </c>
      <c r="G1609" s="45">
        <f t="shared" si="80"/>
        <v>1278720</v>
      </c>
      <c r="H1609" s="46">
        <v>1278720</v>
      </c>
      <c r="I1609" s="47">
        <f t="shared" si="81"/>
        <v>0</v>
      </c>
      <c r="J1609" s="63">
        <v>46084</v>
      </c>
      <c r="K1609" s="49">
        <v>46167</v>
      </c>
      <c r="L1609" s="50">
        <v>4183422126</v>
      </c>
      <c r="M1609" s="3" t="s">
        <v>3781</v>
      </c>
    </row>
    <row r="1610" spans="1:13" ht="15" customHeight="1" x14ac:dyDescent="0.35">
      <c r="A1610" s="85" t="s">
        <v>56</v>
      </c>
      <c r="B1610" s="86"/>
      <c r="C1610" s="87"/>
      <c r="D1610" s="88"/>
      <c r="E1610" s="43">
        <v>448000</v>
      </c>
      <c r="F1610" s="44"/>
      <c r="G1610" s="45"/>
      <c r="H1610" s="46"/>
      <c r="I1610" s="47">
        <f t="shared" si="81"/>
        <v>0</v>
      </c>
      <c r="J1610" s="48" t="s">
        <v>2896</v>
      </c>
      <c r="K1610" s="49"/>
      <c r="L1610" s="50">
        <v>4183362197</v>
      </c>
    </row>
    <row r="1611" spans="1:13" ht="15" customHeight="1" x14ac:dyDescent="0.35">
      <c r="A1611" s="85" t="s">
        <v>85</v>
      </c>
      <c r="B1611" s="86"/>
      <c r="C1611" s="87"/>
      <c r="D1611" s="88"/>
      <c r="E1611" s="43">
        <v>4890000</v>
      </c>
      <c r="F1611" s="44"/>
      <c r="G1611" s="45"/>
      <c r="H1611" s="46"/>
      <c r="I1611" s="47">
        <f t="shared" si="81"/>
        <v>0</v>
      </c>
      <c r="J1611" s="48" t="s">
        <v>2896</v>
      </c>
      <c r="K1611" s="49"/>
      <c r="L1611" s="50">
        <v>4183425390</v>
      </c>
    </row>
    <row r="1612" spans="1:13" ht="15" customHeight="1" x14ac:dyDescent="0.35">
      <c r="A1612" s="85" t="s">
        <v>63</v>
      </c>
      <c r="B1612" s="86">
        <v>1445</v>
      </c>
      <c r="C1612" s="87"/>
      <c r="D1612" s="88">
        <v>46062</v>
      </c>
      <c r="E1612" s="43">
        <v>640000</v>
      </c>
      <c r="F1612" s="44">
        <f t="shared" si="82"/>
        <v>51200</v>
      </c>
      <c r="G1612" s="45">
        <f t="shared" si="80"/>
        <v>691200</v>
      </c>
      <c r="H1612" s="46">
        <v>691200</v>
      </c>
      <c r="I1612" s="47">
        <f t="shared" si="81"/>
        <v>0</v>
      </c>
      <c r="J1612" s="48">
        <v>46062</v>
      </c>
      <c r="K1612" s="49">
        <v>46157</v>
      </c>
      <c r="L1612" s="50">
        <v>4183425378</v>
      </c>
      <c r="M1612" s="3" t="s">
        <v>3781</v>
      </c>
    </row>
    <row r="1613" spans="1:13" ht="15" customHeight="1" x14ac:dyDescent="0.35">
      <c r="A1613" s="85" t="s">
        <v>33</v>
      </c>
      <c r="B1613" s="86">
        <v>1446</v>
      </c>
      <c r="C1613" s="87"/>
      <c r="D1613" s="88">
        <v>46062</v>
      </c>
      <c r="E1613" s="43">
        <v>41743000</v>
      </c>
      <c r="F1613" s="44">
        <f t="shared" si="82"/>
        <v>3339440</v>
      </c>
      <c r="G1613" s="45">
        <f t="shared" si="80"/>
        <v>45082440</v>
      </c>
      <c r="H1613" s="46">
        <v>45082440</v>
      </c>
      <c r="I1613" s="47">
        <f t="shared" si="81"/>
        <v>0</v>
      </c>
      <c r="J1613" s="48">
        <v>46062</v>
      </c>
      <c r="K1613" s="49">
        <v>46157</v>
      </c>
      <c r="L1613" s="50">
        <v>4901284235</v>
      </c>
      <c r="M1613" s="3" t="s">
        <v>3781</v>
      </c>
    </row>
    <row r="1614" spans="1:13" ht="15" customHeight="1" x14ac:dyDescent="0.35">
      <c r="A1614" s="85" t="s">
        <v>33</v>
      </c>
      <c r="B1614" s="86">
        <v>1447</v>
      </c>
      <c r="C1614" s="87"/>
      <c r="D1614" s="88">
        <v>46062</v>
      </c>
      <c r="E1614" s="43">
        <v>43815000</v>
      </c>
      <c r="F1614" s="44">
        <f t="shared" si="82"/>
        <v>3505200</v>
      </c>
      <c r="G1614" s="45">
        <f t="shared" si="80"/>
        <v>47320200</v>
      </c>
      <c r="H1614" s="46">
        <v>47320200</v>
      </c>
      <c r="I1614" s="47">
        <f t="shared" si="81"/>
        <v>0</v>
      </c>
      <c r="J1614" s="48">
        <v>46062</v>
      </c>
      <c r="K1614" s="49">
        <v>46157</v>
      </c>
      <c r="L1614" s="50">
        <v>4901284490</v>
      </c>
      <c r="M1614" s="3" t="s">
        <v>3781</v>
      </c>
    </row>
    <row r="1615" spans="1:13" ht="15" customHeight="1" x14ac:dyDescent="0.35">
      <c r="A1615" s="85" t="s">
        <v>29</v>
      </c>
      <c r="B1615" s="86">
        <v>1448</v>
      </c>
      <c r="C1615" s="87"/>
      <c r="D1615" s="88">
        <v>46062</v>
      </c>
      <c r="E1615" s="43">
        <v>7105500</v>
      </c>
      <c r="F1615" s="44">
        <f t="shared" si="82"/>
        <v>568440</v>
      </c>
      <c r="G1615" s="45">
        <f t="shared" si="80"/>
        <v>7673940</v>
      </c>
      <c r="H1615" s="46">
        <v>7673940</v>
      </c>
      <c r="I1615" s="47">
        <f t="shared" si="81"/>
        <v>0</v>
      </c>
      <c r="J1615" s="48">
        <v>46062</v>
      </c>
      <c r="K1615" s="49">
        <v>46157</v>
      </c>
      <c r="L1615" s="50">
        <v>4183520962</v>
      </c>
      <c r="M1615" s="3" t="s">
        <v>3781</v>
      </c>
    </row>
    <row r="1616" spans="1:13" ht="15" customHeight="1" x14ac:dyDescent="0.35">
      <c r="A1616" s="85" t="s">
        <v>3229</v>
      </c>
      <c r="B1616" s="86">
        <v>1449</v>
      </c>
      <c r="C1616" s="87"/>
      <c r="D1616" s="88">
        <v>46062</v>
      </c>
      <c r="E1616" s="43">
        <v>15755000</v>
      </c>
      <c r="F1616" s="44">
        <f t="shared" si="82"/>
        <v>1260400</v>
      </c>
      <c r="G1616" s="45">
        <f t="shared" si="80"/>
        <v>17015400</v>
      </c>
      <c r="H1616" s="46">
        <v>17015400</v>
      </c>
      <c r="I1616" s="47">
        <f t="shared" si="81"/>
        <v>0</v>
      </c>
      <c r="J1616" s="48">
        <v>46062</v>
      </c>
      <c r="K1616" s="49">
        <v>46157</v>
      </c>
      <c r="L1616" s="50">
        <v>4183354452</v>
      </c>
      <c r="M1616" s="3" t="s">
        <v>3781</v>
      </c>
    </row>
    <row r="1617" spans="1:13" ht="15" customHeight="1" x14ac:dyDescent="0.35">
      <c r="A1617" s="85" t="s">
        <v>135</v>
      </c>
      <c r="B1617" s="86">
        <v>1450</v>
      </c>
      <c r="C1617" s="87"/>
      <c r="D1617" s="88">
        <v>46062</v>
      </c>
      <c r="E1617" s="43">
        <v>7006250</v>
      </c>
      <c r="F1617" s="44">
        <f t="shared" si="82"/>
        <v>560500</v>
      </c>
      <c r="G1617" s="45">
        <f t="shared" si="80"/>
        <v>7566750</v>
      </c>
      <c r="H1617" s="46">
        <v>7566750</v>
      </c>
      <c r="I1617" s="47">
        <f t="shared" si="81"/>
        <v>0</v>
      </c>
      <c r="J1617" s="48">
        <v>46062</v>
      </c>
      <c r="K1617" s="49">
        <v>46157</v>
      </c>
      <c r="L1617" s="50">
        <v>4183354408</v>
      </c>
      <c r="M1617" s="3" t="s">
        <v>3781</v>
      </c>
    </row>
    <row r="1618" spans="1:13" ht="15" customHeight="1" x14ac:dyDescent="0.35">
      <c r="A1618" s="85" t="s">
        <v>123</v>
      </c>
      <c r="B1618" s="86">
        <v>1451</v>
      </c>
      <c r="C1618" s="87"/>
      <c r="D1618" s="88">
        <v>46062</v>
      </c>
      <c r="E1618" s="43">
        <v>384000</v>
      </c>
      <c r="F1618" s="44">
        <f t="shared" si="82"/>
        <v>30720</v>
      </c>
      <c r="G1618" s="45">
        <f t="shared" si="80"/>
        <v>414720</v>
      </c>
      <c r="H1618" s="46">
        <v>414720</v>
      </c>
      <c r="I1618" s="47">
        <f t="shared" si="81"/>
        <v>0</v>
      </c>
      <c r="J1618" s="63">
        <v>46085</v>
      </c>
      <c r="K1618" s="49">
        <v>46167</v>
      </c>
      <c r="L1618" s="50">
        <v>4183362160</v>
      </c>
      <c r="M1618" s="3" t="s">
        <v>3781</v>
      </c>
    </row>
    <row r="1619" spans="1:13" ht="15" customHeight="1" x14ac:dyDescent="0.35">
      <c r="A1619" s="85" t="s">
        <v>123</v>
      </c>
      <c r="B1619" s="86">
        <v>1452</v>
      </c>
      <c r="C1619" s="87"/>
      <c r="D1619" s="88">
        <v>46062</v>
      </c>
      <c r="E1619" s="43">
        <v>3100000</v>
      </c>
      <c r="F1619" s="44">
        <f t="shared" si="82"/>
        <v>248000</v>
      </c>
      <c r="G1619" s="45">
        <f t="shared" si="80"/>
        <v>3348000</v>
      </c>
      <c r="H1619" s="46">
        <v>3348000</v>
      </c>
      <c r="I1619" s="47">
        <f t="shared" si="81"/>
        <v>0</v>
      </c>
      <c r="J1619" s="48">
        <v>46062</v>
      </c>
      <c r="K1619" s="49">
        <v>46157</v>
      </c>
      <c r="L1619" s="50">
        <v>4183331238</v>
      </c>
      <c r="M1619" s="3" t="s">
        <v>3781</v>
      </c>
    </row>
    <row r="1620" spans="1:13" ht="15" customHeight="1" x14ac:dyDescent="0.35">
      <c r="A1620" s="85" t="s">
        <v>123</v>
      </c>
      <c r="B1620" s="86">
        <v>1453</v>
      </c>
      <c r="C1620" s="87"/>
      <c r="D1620" s="88">
        <v>46062</v>
      </c>
      <c r="E1620" s="43">
        <v>10038000</v>
      </c>
      <c r="F1620" s="44">
        <f t="shared" si="82"/>
        <v>803040</v>
      </c>
      <c r="G1620" s="45">
        <f t="shared" si="80"/>
        <v>10841040</v>
      </c>
      <c r="H1620" s="46">
        <v>10841040</v>
      </c>
      <c r="I1620" s="47">
        <f t="shared" si="81"/>
        <v>0</v>
      </c>
      <c r="J1620" s="48">
        <v>46062</v>
      </c>
      <c r="K1620" s="49">
        <v>46157</v>
      </c>
      <c r="L1620" s="50">
        <v>4183425417</v>
      </c>
      <c r="M1620" s="3" t="s">
        <v>3781</v>
      </c>
    </row>
    <row r="1621" spans="1:13" ht="15" customHeight="1" x14ac:dyDescent="0.35">
      <c r="A1621" s="85" t="s">
        <v>3538</v>
      </c>
      <c r="B1621" s="86">
        <v>1454</v>
      </c>
      <c r="C1621" s="87"/>
      <c r="D1621" s="88">
        <v>46062</v>
      </c>
      <c r="E1621" s="43">
        <v>8400000</v>
      </c>
      <c r="F1621" s="44">
        <f t="shared" si="82"/>
        <v>672000</v>
      </c>
      <c r="G1621" s="45">
        <f t="shared" si="80"/>
        <v>9072000</v>
      </c>
      <c r="H1621" s="46">
        <v>9072000</v>
      </c>
      <c r="I1621" s="47">
        <f t="shared" si="81"/>
        <v>0</v>
      </c>
      <c r="J1621" s="48">
        <v>46062</v>
      </c>
      <c r="K1621" s="49">
        <v>46157</v>
      </c>
      <c r="L1621" s="50">
        <v>4183598245</v>
      </c>
      <c r="M1621" s="3" t="s">
        <v>3781</v>
      </c>
    </row>
    <row r="1622" spans="1:13" ht="15" customHeight="1" x14ac:dyDescent="0.35">
      <c r="A1622" s="85" t="s">
        <v>3662</v>
      </c>
      <c r="B1622" s="86">
        <v>1455</v>
      </c>
      <c r="C1622" s="87"/>
      <c r="D1622" s="88">
        <v>46062</v>
      </c>
      <c r="E1622" s="43">
        <v>37620000</v>
      </c>
      <c r="F1622" s="44">
        <f t="shared" si="82"/>
        <v>3009600</v>
      </c>
      <c r="G1622" s="45">
        <f t="shared" si="80"/>
        <v>40629600</v>
      </c>
      <c r="H1622" s="46">
        <v>40629600</v>
      </c>
      <c r="I1622" s="47">
        <f t="shared" si="81"/>
        <v>0</v>
      </c>
      <c r="J1622" s="48">
        <v>46062</v>
      </c>
      <c r="K1622" s="49">
        <v>46157</v>
      </c>
      <c r="L1622" s="50">
        <v>4183595532</v>
      </c>
      <c r="M1622" s="3" t="s">
        <v>3781</v>
      </c>
    </row>
    <row r="1623" spans="1:13" ht="15" customHeight="1" x14ac:dyDescent="0.35">
      <c r="A1623" s="85" t="s">
        <v>3663</v>
      </c>
      <c r="B1623" s="86">
        <v>1456</v>
      </c>
      <c r="C1623" s="87"/>
      <c r="D1623" s="88">
        <v>46062</v>
      </c>
      <c r="E1623" s="43">
        <v>4861000</v>
      </c>
      <c r="F1623" s="44">
        <f t="shared" si="82"/>
        <v>388880</v>
      </c>
      <c r="G1623" s="45">
        <f t="shared" si="80"/>
        <v>5249880</v>
      </c>
      <c r="H1623" s="46">
        <v>5249880</v>
      </c>
      <c r="I1623" s="47">
        <f t="shared" si="81"/>
        <v>0</v>
      </c>
      <c r="J1623" s="48">
        <v>46062</v>
      </c>
      <c r="K1623" s="49">
        <v>46157</v>
      </c>
      <c r="L1623" s="50">
        <v>4183614114</v>
      </c>
      <c r="M1623" s="3" t="s">
        <v>3781</v>
      </c>
    </row>
    <row r="1624" spans="1:13" ht="15" customHeight="1" x14ac:dyDescent="0.35">
      <c r="A1624" s="85" t="s">
        <v>71</v>
      </c>
      <c r="B1624" s="86">
        <v>1457</v>
      </c>
      <c r="C1624" s="87"/>
      <c r="D1624" s="88">
        <v>46062</v>
      </c>
      <c r="E1624" s="43">
        <v>3840000</v>
      </c>
      <c r="F1624" s="44">
        <f t="shared" si="82"/>
        <v>307200</v>
      </c>
      <c r="G1624" s="45">
        <f t="shared" si="80"/>
        <v>4147200</v>
      </c>
      <c r="H1624" s="46">
        <v>4147200</v>
      </c>
      <c r="I1624" s="47">
        <f t="shared" si="81"/>
        <v>0</v>
      </c>
      <c r="J1624" s="63">
        <v>46084</v>
      </c>
      <c r="K1624" s="49">
        <v>46167</v>
      </c>
      <c r="L1624" s="50">
        <v>4183822022</v>
      </c>
      <c r="M1624" s="3" t="s">
        <v>3781</v>
      </c>
    </row>
    <row r="1625" spans="1:13" ht="15" customHeight="1" x14ac:dyDescent="0.35">
      <c r="A1625" s="85" t="s">
        <v>3227</v>
      </c>
      <c r="B1625" s="86">
        <v>1458</v>
      </c>
      <c r="C1625" s="87"/>
      <c r="D1625" s="88">
        <v>46062</v>
      </c>
      <c r="E1625" s="43">
        <v>2560000</v>
      </c>
      <c r="F1625" s="44">
        <f t="shared" si="82"/>
        <v>204800</v>
      </c>
      <c r="G1625" s="45">
        <f t="shared" si="80"/>
        <v>2764800</v>
      </c>
      <c r="H1625" s="46">
        <v>2764800</v>
      </c>
      <c r="I1625" s="47">
        <f t="shared" si="81"/>
        <v>0</v>
      </c>
      <c r="J1625" s="48">
        <v>46062</v>
      </c>
      <c r="K1625" s="49">
        <v>46157</v>
      </c>
      <c r="L1625" s="50">
        <v>4183885865</v>
      </c>
      <c r="M1625" s="3" t="s">
        <v>3781</v>
      </c>
    </row>
    <row r="1626" spans="1:13" ht="15" customHeight="1" x14ac:dyDescent="0.35">
      <c r="A1626" s="85" t="s">
        <v>29</v>
      </c>
      <c r="B1626" s="86">
        <v>1459</v>
      </c>
      <c r="C1626" s="87"/>
      <c r="D1626" s="88">
        <v>46062</v>
      </c>
      <c r="E1626" s="43">
        <v>6534000</v>
      </c>
      <c r="F1626" s="44">
        <f t="shared" si="82"/>
        <v>522720</v>
      </c>
      <c r="G1626" s="45">
        <f t="shared" si="80"/>
        <v>7056720</v>
      </c>
      <c r="H1626" s="46">
        <v>7056720</v>
      </c>
      <c r="I1626" s="47">
        <f t="shared" si="81"/>
        <v>0</v>
      </c>
      <c r="J1626" s="48">
        <v>46062</v>
      </c>
      <c r="K1626" s="49">
        <v>46157</v>
      </c>
      <c r="L1626" s="50">
        <v>4183885944</v>
      </c>
      <c r="M1626" s="3" t="s">
        <v>3781</v>
      </c>
    </row>
    <row r="1627" spans="1:13" ht="15" customHeight="1" x14ac:dyDescent="0.35">
      <c r="A1627" s="85" t="s">
        <v>56</v>
      </c>
      <c r="B1627" s="86">
        <v>1460</v>
      </c>
      <c r="C1627" s="87"/>
      <c r="D1627" s="88">
        <v>46062</v>
      </c>
      <c r="E1627" s="43">
        <v>3344000</v>
      </c>
      <c r="F1627" s="44">
        <f t="shared" si="82"/>
        <v>267520</v>
      </c>
      <c r="G1627" s="45">
        <f t="shared" si="80"/>
        <v>3611520</v>
      </c>
      <c r="H1627" s="46">
        <v>3611520</v>
      </c>
      <c r="I1627" s="47">
        <f t="shared" si="81"/>
        <v>0</v>
      </c>
      <c r="J1627" s="48">
        <v>46062</v>
      </c>
      <c r="K1627" s="49">
        <v>46157</v>
      </c>
      <c r="L1627" s="50">
        <v>4183889770</v>
      </c>
      <c r="M1627" s="3" t="s">
        <v>3781</v>
      </c>
    </row>
    <row r="1628" spans="1:13" ht="15" customHeight="1" x14ac:dyDescent="0.35">
      <c r="A1628" s="85" t="s">
        <v>85</v>
      </c>
      <c r="B1628" s="86">
        <v>1461</v>
      </c>
      <c r="C1628" s="87"/>
      <c r="D1628" s="88">
        <v>46062</v>
      </c>
      <c r="E1628" s="43">
        <v>1408000</v>
      </c>
      <c r="F1628" s="44">
        <f t="shared" si="82"/>
        <v>112640</v>
      </c>
      <c r="G1628" s="45">
        <f t="shared" si="80"/>
        <v>1520640</v>
      </c>
      <c r="H1628" s="46">
        <v>1520640</v>
      </c>
      <c r="I1628" s="47">
        <f t="shared" si="81"/>
        <v>0</v>
      </c>
      <c r="J1628" s="63">
        <v>46084</v>
      </c>
      <c r="K1628" s="49">
        <v>46167</v>
      </c>
      <c r="L1628" s="50">
        <v>4183889784</v>
      </c>
      <c r="M1628" s="3" t="s">
        <v>3781</v>
      </c>
    </row>
    <row r="1629" spans="1:13" ht="15" customHeight="1" x14ac:dyDescent="0.35">
      <c r="A1629" s="85" t="s">
        <v>123</v>
      </c>
      <c r="B1629" s="86">
        <v>1462</v>
      </c>
      <c r="C1629" s="87"/>
      <c r="D1629" s="88">
        <v>46062</v>
      </c>
      <c r="E1629" s="43">
        <v>4544000</v>
      </c>
      <c r="F1629" s="44">
        <f t="shared" si="82"/>
        <v>363520</v>
      </c>
      <c r="G1629" s="45">
        <f t="shared" si="80"/>
        <v>4907520</v>
      </c>
      <c r="H1629" s="46">
        <v>4907520</v>
      </c>
      <c r="I1629" s="47">
        <f t="shared" si="81"/>
        <v>0</v>
      </c>
      <c r="J1629" s="48">
        <v>46062</v>
      </c>
      <c r="K1629" s="49">
        <v>46157</v>
      </c>
      <c r="L1629" s="50">
        <v>4183889727</v>
      </c>
      <c r="M1629" s="3" t="s">
        <v>3781</v>
      </c>
    </row>
    <row r="1630" spans="1:13" ht="15" customHeight="1" x14ac:dyDescent="0.35">
      <c r="A1630" s="85" t="s">
        <v>85</v>
      </c>
      <c r="B1630" s="86">
        <v>1463</v>
      </c>
      <c r="C1630" s="87"/>
      <c r="D1630" s="88">
        <v>46062</v>
      </c>
      <c r="E1630" s="43">
        <v>5760000</v>
      </c>
      <c r="F1630" s="44">
        <f t="shared" si="82"/>
        <v>460800</v>
      </c>
      <c r="G1630" s="45">
        <f t="shared" si="80"/>
        <v>6220800</v>
      </c>
      <c r="H1630" s="46">
        <v>6220800</v>
      </c>
      <c r="I1630" s="47">
        <f t="shared" si="81"/>
        <v>0</v>
      </c>
      <c r="J1630" s="48">
        <v>46062</v>
      </c>
      <c r="K1630" s="49">
        <v>46157</v>
      </c>
      <c r="L1630" s="50">
        <v>4183842906</v>
      </c>
      <c r="M1630" s="3" t="s">
        <v>3781</v>
      </c>
    </row>
    <row r="1631" spans="1:13" ht="15" customHeight="1" x14ac:dyDescent="0.35">
      <c r="A1631" s="85" t="s">
        <v>37</v>
      </c>
      <c r="B1631" s="86">
        <v>1464</v>
      </c>
      <c r="C1631" s="87"/>
      <c r="D1631" s="88">
        <v>46062</v>
      </c>
      <c r="E1631" s="43">
        <v>1040000</v>
      </c>
      <c r="F1631" s="44">
        <f t="shared" si="82"/>
        <v>83200</v>
      </c>
      <c r="G1631" s="45">
        <f t="shared" si="80"/>
        <v>1123200</v>
      </c>
      <c r="H1631" s="46">
        <v>1123200</v>
      </c>
      <c r="I1631" s="47">
        <f t="shared" si="81"/>
        <v>0</v>
      </c>
      <c r="J1631" s="48">
        <v>46062</v>
      </c>
      <c r="K1631" s="49">
        <v>46157</v>
      </c>
      <c r="L1631" s="50">
        <v>4183889380</v>
      </c>
      <c r="M1631" s="3" t="s">
        <v>3781</v>
      </c>
    </row>
    <row r="1632" spans="1:13" ht="15" customHeight="1" x14ac:dyDescent="0.35">
      <c r="A1632" s="85" t="s">
        <v>123</v>
      </c>
      <c r="B1632" s="86">
        <v>1465</v>
      </c>
      <c r="C1632" s="87"/>
      <c r="D1632" s="88">
        <v>46062</v>
      </c>
      <c r="E1632" s="43">
        <v>7230000</v>
      </c>
      <c r="F1632" s="44">
        <f t="shared" si="82"/>
        <v>578400</v>
      </c>
      <c r="G1632" s="45">
        <f t="shared" si="80"/>
        <v>7808400</v>
      </c>
      <c r="H1632" s="46">
        <v>7808400</v>
      </c>
      <c r="I1632" s="47">
        <f t="shared" si="81"/>
        <v>0</v>
      </c>
      <c r="J1632" s="48">
        <v>46062</v>
      </c>
      <c r="K1632" s="49">
        <v>46157</v>
      </c>
      <c r="L1632" s="50">
        <v>4183889719</v>
      </c>
      <c r="M1632" s="3" t="s">
        <v>3781</v>
      </c>
    </row>
    <row r="1633" spans="1:13" ht="15" customHeight="1" x14ac:dyDescent="0.35">
      <c r="A1633" s="85" t="s">
        <v>71</v>
      </c>
      <c r="B1633" s="86">
        <v>1466</v>
      </c>
      <c r="C1633" s="87"/>
      <c r="D1633" s="88">
        <v>46062</v>
      </c>
      <c r="E1633" s="43">
        <v>7286000</v>
      </c>
      <c r="F1633" s="44">
        <f t="shared" si="82"/>
        <v>582880</v>
      </c>
      <c r="G1633" s="45">
        <f t="shared" si="80"/>
        <v>7868880</v>
      </c>
      <c r="H1633" s="46">
        <v>7868880</v>
      </c>
      <c r="I1633" s="47">
        <f t="shared" si="81"/>
        <v>0</v>
      </c>
      <c r="J1633" s="48">
        <v>46062</v>
      </c>
      <c r="K1633" s="49">
        <v>46157</v>
      </c>
      <c r="L1633" s="50">
        <v>4183721759</v>
      </c>
      <c r="M1633" s="3" t="s">
        <v>3781</v>
      </c>
    </row>
    <row r="1634" spans="1:13" ht="15" customHeight="1" x14ac:dyDescent="0.35">
      <c r="A1634" s="85" t="s">
        <v>102</v>
      </c>
      <c r="B1634" s="86">
        <v>1467</v>
      </c>
      <c r="C1634" s="87">
        <v>1730</v>
      </c>
      <c r="D1634" s="88">
        <v>46080</v>
      </c>
      <c r="E1634" s="43">
        <v>9975000</v>
      </c>
      <c r="F1634" s="44">
        <f t="shared" si="82"/>
        <v>798000</v>
      </c>
      <c r="G1634" s="45">
        <f t="shared" si="80"/>
        <v>10773000</v>
      </c>
      <c r="H1634" s="46">
        <v>10773000</v>
      </c>
      <c r="I1634" s="47">
        <f t="shared" si="81"/>
        <v>0</v>
      </c>
      <c r="J1634" s="48">
        <v>46062</v>
      </c>
      <c r="K1634" s="49">
        <v>46198</v>
      </c>
      <c r="L1634" s="50">
        <v>4183721852</v>
      </c>
      <c r="M1634" s="3" t="s">
        <v>3781</v>
      </c>
    </row>
    <row r="1635" spans="1:13" ht="15" customHeight="1" x14ac:dyDescent="0.35">
      <c r="A1635" s="85" t="s">
        <v>29</v>
      </c>
      <c r="B1635" s="86">
        <v>1468</v>
      </c>
      <c r="C1635" s="87"/>
      <c r="D1635" s="88">
        <v>46062</v>
      </c>
      <c r="E1635" s="43">
        <v>4310000</v>
      </c>
      <c r="F1635" s="44">
        <f t="shared" si="82"/>
        <v>344800</v>
      </c>
      <c r="G1635" s="45">
        <f t="shared" si="80"/>
        <v>4654800</v>
      </c>
      <c r="H1635" s="46">
        <v>4654800</v>
      </c>
      <c r="I1635" s="47">
        <f t="shared" si="81"/>
        <v>0</v>
      </c>
      <c r="J1635" s="63">
        <v>46084</v>
      </c>
      <c r="K1635" s="49">
        <v>46167</v>
      </c>
      <c r="L1635" s="50">
        <v>4183987974</v>
      </c>
      <c r="M1635" s="3" t="s">
        <v>3781</v>
      </c>
    </row>
    <row r="1636" spans="1:13" ht="15" customHeight="1" x14ac:dyDescent="0.35">
      <c r="A1636" s="85" t="s">
        <v>33</v>
      </c>
      <c r="B1636" s="86">
        <v>1469</v>
      </c>
      <c r="C1636" s="87"/>
      <c r="D1636" s="88">
        <v>46062</v>
      </c>
      <c r="E1636" s="43">
        <v>3488000</v>
      </c>
      <c r="F1636" s="44">
        <f t="shared" si="82"/>
        <v>279040</v>
      </c>
      <c r="G1636" s="45">
        <f t="shared" si="80"/>
        <v>3767040</v>
      </c>
      <c r="H1636" s="46">
        <v>3767040</v>
      </c>
      <c r="I1636" s="47">
        <f t="shared" si="81"/>
        <v>0</v>
      </c>
      <c r="J1636" s="48">
        <v>46062</v>
      </c>
      <c r="K1636" s="49">
        <v>46157</v>
      </c>
      <c r="L1636" s="50">
        <v>4901285273</v>
      </c>
      <c r="M1636" s="3" t="s">
        <v>3781</v>
      </c>
    </row>
    <row r="1637" spans="1:13" ht="15" customHeight="1" x14ac:dyDescent="0.35">
      <c r="A1637" s="85" t="s">
        <v>37</v>
      </c>
      <c r="B1637" s="86">
        <v>1470</v>
      </c>
      <c r="C1637" s="87"/>
      <c r="D1637" s="88">
        <v>46062</v>
      </c>
      <c r="E1637" s="43">
        <v>3416000</v>
      </c>
      <c r="F1637" s="44">
        <f t="shared" si="82"/>
        <v>273280</v>
      </c>
      <c r="G1637" s="45">
        <f t="shared" si="80"/>
        <v>3689280</v>
      </c>
      <c r="H1637" s="46">
        <v>3689280</v>
      </c>
      <c r="I1637" s="47">
        <f t="shared" si="81"/>
        <v>0</v>
      </c>
      <c r="J1637" s="48">
        <v>46062</v>
      </c>
      <c r="K1637" s="49">
        <v>46157</v>
      </c>
      <c r="L1637" s="50">
        <v>4184017185</v>
      </c>
      <c r="M1637" s="3" t="s">
        <v>3781</v>
      </c>
    </row>
    <row r="1638" spans="1:13" ht="15" customHeight="1" x14ac:dyDescent="0.35">
      <c r="A1638" s="85" t="s">
        <v>85</v>
      </c>
      <c r="B1638" s="86">
        <v>1471</v>
      </c>
      <c r="C1638" s="87"/>
      <c r="D1638" s="88">
        <v>46062</v>
      </c>
      <c r="E1638" s="43">
        <v>971500</v>
      </c>
      <c r="F1638" s="44">
        <f t="shared" si="82"/>
        <v>77720</v>
      </c>
      <c r="G1638" s="45">
        <f t="shared" si="80"/>
        <v>1049220</v>
      </c>
      <c r="H1638" s="46">
        <v>1049220</v>
      </c>
      <c r="I1638" s="47">
        <f t="shared" si="81"/>
        <v>0</v>
      </c>
      <c r="J1638" s="48">
        <v>46062</v>
      </c>
      <c r="K1638" s="49">
        <v>46157</v>
      </c>
      <c r="L1638" s="50">
        <v>4184016799</v>
      </c>
      <c r="M1638" s="3" t="s">
        <v>3781</v>
      </c>
    </row>
    <row r="1639" spans="1:13" ht="15" customHeight="1" x14ac:dyDescent="0.35">
      <c r="A1639" s="85" t="s">
        <v>56</v>
      </c>
      <c r="B1639" s="86">
        <v>1472</v>
      </c>
      <c r="C1639" s="87">
        <v>1731</v>
      </c>
      <c r="D1639" s="88">
        <v>46080</v>
      </c>
      <c r="E1639" s="43">
        <v>2316000</v>
      </c>
      <c r="F1639" s="44">
        <f t="shared" si="82"/>
        <v>185280</v>
      </c>
      <c r="G1639" s="45">
        <f t="shared" si="80"/>
        <v>2501280</v>
      </c>
      <c r="H1639" s="46">
        <v>2501280</v>
      </c>
      <c r="I1639" s="47">
        <f t="shared" si="81"/>
        <v>0</v>
      </c>
      <c r="J1639" s="48">
        <v>46062</v>
      </c>
      <c r="K1639" s="49">
        <v>46157</v>
      </c>
      <c r="L1639" s="50">
        <v>4184017226</v>
      </c>
      <c r="M1639" s="3" t="s">
        <v>3781</v>
      </c>
    </row>
    <row r="1640" spans="1:13" ht="15" customHeight="1" x14ac:dyDescent="0.35">
      <c r="A1640" s="85" t="s">
        <v>123</v>
      </c>
      <c r="B1640" s="86">
        <v>1473</v>
      </c>
      <c r="C1640" s="87"/>
      <c r="D1640" s="88">
        <v>46062</v>
      </c>
      <c r="E1640" s="43">
        <v>640000</v>
      </c>
      <c r="F1640" s="44">
        <f t="shared" si="82"/>
        <v>51200</v>
      </c>
      <c r="G1640" s="45">
        <f t="shared" si="80"/>
        <v>691200</v>
      </c>
      <c r="H1640" s="46">
        <v>691200</v>
      </c>
      <c r="I1640" s="47">
        <f t="shared" si="81"/>
        <v>0</v>
      </c>
      <c r="J1640" s="48">
        <v>46062</v>
      </c>
      <c r="K1640" s="49">
        <v>46157</v>
      </c>
      <c r="L1640" s="50">
        <v>4184017270</v>
      </c>
      <c r="M1640" s="3" t="s">
        <v>3781</v>
      </c>
    </row>
    <row r="1641" spans="1:13" ht="15" customHeight="1" x14ac:dyDescent="0.35">
      <c r="A1641" s="85" t="s">
        <v>123</v>
      </c>
      <c r="B1641" s="86">
        <v>1474</v>
      </c>
      <c r="C1641" s="87"/>
      <c r="D1641" s="88">
        <v>46062</v>
      </c>
      <c r="E1641" s="43">
        <v>6560000</v>
      </c>
      <c r="F1641" s="44">
        <f t="shared" si="82"/>
        <v>524800</v>
      </c>
      <c r="G1641" s="45">
        <f t="shared" si="80"/>
        <v>7084800</v>
      </c>
      <c r="H1641" s="46">
        <v>7084800</v>
      </c>
      <c r="I1641" s="47">
        <f t="shared" si="81"/>
        <v>0</v>
      </c>
      <c r="J1641" s="48">
        <v>46062</v>
      </c>
      <c r="K1641" s="49">
        <v>46157</v>
      </c>
      <c r="L1641" s="50">
        <v>4184017260</v>
      </c>
      <c r="M1641" s="3" t="s">
        <v>3781</v>
      </c>
    </row>
    <row r="1642" spans="1:13" ht="15" customHeight="1" x14ac:dyDescent="0.35">
      <c r="A1642" s="85" t="s">
        <v>29</v>
      </c>
      <c r="B1642" s="86">
        <v>1760</v>
      </c>
      <c r="C1642" s="87"/>
      <c r="D1642" s="88">
        <v>46081</v>
      </c>
      <c r="E1642" s="43">
        <v>5494000</v>
      </c>
      <c r="F1642" s="44">
        <f t="shared" si="82"/>
        <v>439520</v>
      </c>
      <c r="G1642" s="45">
        <f t="shared" si="80"/>
        <v>5933520</v>
      </c>
      <c r="H1642" s="46">
        <v>5933520</v>
      </c>
      <c r="I1642" s="47">
        <f t="shared" si="81"/>
        <v>0</v>
      </c>
      <c r="J1642" s="48">
        <v>46084</v>
      </c>
      <c r="K1642" s="49">
        <v>46167</v>
      </c>
      <c r="L1642" s="50">
        <v>4184263474</v>
      </c>
      <c r="M1642" s="3" t="s">
        <v>3781</v>
      </c>
    </row>
    <row r="1643" spans="1:13" ht="15" customHeight="1" x14ac:dyDescent="0.35">
      <c r="A1643" s="85" t="s">
        <v>33</v>
      </c>
      <c r="B1643" s="86">
        <v>1781</v>
      </c>
      <c r="C1643" s="87"/>
      <c r="D1643" s="88">
        <v>46081</v>
      </c>
      <c r="E1643" s="43">
        <v>1184000</v>
      </c>
      <c r="F1643" s="44">
        <f t="shared" si="82"/>
        <v>94720</v>
      </c>
      <c r="G1643" s="45">
        <f t="shared" si="80"/>
        <v>1278720</v>
      </c>
      <c r="H1643" s="46">
        <v>1278720</v>
      </c>
      <c r="I1643" s="47">
        <f t="shared" si="81"/>
        <v>0</v>
      </c>
      <c r="J1643" s="63">
        <v>46084</v>
      </c>
      <c r="K1643" s="49">
        <v>46167</v>
      </c>
      <c r="L1643" s="50">
        <v>4901285690</v>
      </c>
      <c r="M1643" s="3" t="s">
        <v>3781</v>
      </c>
    </row>
    <row r="1644" spans="1:13" ht="15" customHeight="1" x14ac:dyDescent="0.35">
      <c r="A1644" s="85" t="s">
        <v>123</v>
      </c>
      <c r="B1644" s="86">
        <v>1765</v>
      </c>
      <c r="C1644" s="87"/>
      <c r="D1644" s="88">
        <v>46081</v>
      </c>
      <c r="E1644" s="43">
        <v>14780000</v>
      </c>
      <c r="F1644" s="44">
        <f t="shared" si="82"/>
        <v>1182400</v>
      </c>
      <c r="G1644" s="45">
        <f t="shared" si="80"/>
        <v>15962400</v>
      </c>
      <c r="H1644" s="46">
        <v>15962400</v>
      </c>
      <c r="I1644" s="47">
        <f t="shared" si="81"/>
        <v>0</v>
      </c>
      <c r="J1644" s="63">
        <v>46084</v>
      </c>
      <c r="K1644" s="49">
        <v>46167</v>
      </c>
      <c r="L1644" s="50">
        <v>4184283274</v>
      </c>
      <c r="M1644" s="3" t="s">
        <v>3781</v>
      </c>
    </row>
    <row r="1645" spans="1:13" ht="15" customHeight="1" x14ac:dyDescent="0.35">
      <c r="A1645" s="85" t="s">
        <v>123</v>
      </c>
      <c r="B1645" s="86">
        <v>1761</v>
      </c>
      <c r="C1645" s="87"/>
      <c r="D1645" s="88">
        <v>46081</v>
      </c>
      <c r="E1645" s="43">
        <v>2440000</v>
      </c>
      <c r="F1645" s="44">
        <f t="shared" si="82"/>
        <v>195200</v>
      </c>
      <c r="G1645" s="45">
        <f t="shared" si="80"/>
        <v>2635200</v>
      </c>
      <c r="H1645" s="46">
        <v>2635200</v>
      </c>
      <c r="I1645" s="47">
        <f t="shared" si="81"/>
        <v>0</v>
      </c>
      <c r="J1645" s="63">
        <v>46084</v>
      </c>
      <c r="K1645" s="49">
        <v>46167</v>
      </c>
      <c r="L1645" s="50">
        <v>4184282142</v>
      </c>
      <c r="M1645" s="3" t="s">
        <v>3781</v>
      </c>
    </row>
    <row r="1646" spans="1:13" ht="15" customHeight="1" x14ac:dyDescent="0.35">
      <c r="A1646" s="85" t="s">
        <v>56</v>
      </c>
      <c r="B1646" s="86">
        <v>1762</v>
      </c>
      <c r="C1646" s="87"/>
      <c r="D1646" s="88">
        <v>46081</v>
      </c>
      <c r="E1646" s="43">
        <v>1920000</v>
      </c>
      <c r="F1646" s="44">
        <f t="shared" si="82"/>
        <v>153600</v>
      </c>
      <c r="G1646" s="45">
        <f t="shared" si="80"/>
        <v>2073600</v>
      </c>
      <c r="H1646" s="46">
        <v>2073600</v>
      </c>
      <c r="I1646" s="47">
        <f t="shared" si="81"/>
        <v>0</v>
      </c>
      <c r="J1646" s="63">
        <v>46084</v>
      </c>
      <c r="K1646" s="49">
        <v>46167</v>
      </c>
      <c r="L1646" s="50">
        <v>4184283232</v>
      </c>
      <c r="M1646" s="3" t="s">
        <v>3781</v>
      </c>
    </row>
    <row r="1647" spans="1:13" ht="15" customHeight="1" x14ac:dyDescent="0.35">
      <c r="A1647" s="85" t="s">
        <v>37</v>
      </c>
      <c r="B1647" s="86">
        <v>1780</v>
      </c>
      <c r="C1647" s="87"/>
      <c r="D1647" s="88">
        <v>46081</v>
      </c>
      <c r="E1647" s="43">
        <v>9267000</v>
      </c>
      <c r="F1647" s="44">
        <f t="shared" si="82"/>
        <v>741360</v>
      </c>
      <c r="G1647" s="45">
        <f t="shared" si="80"/>
        <v>10008360</v>
      </c>
      <c r="H1647" s="46">
        <v>10008360</v>
      </c>
      <c r="I1647" s="47">
        <f t="shared" si="81"/>
        <v>0</v>
      </c>
      <c r="J1647" s="48">
        <v>46084</v>
      </c>
      <c r="K1647" s="49">
        <v>46167</v>
      </c>
      <c r="L1647" s="50">
        <v>4184283191</v>
      </c>
      <c r="M1647" s="3" t="s">
        <v>3781</v>
      </c>
    </row>
    <row r="1648" spans="1:13" ht="15" customHeight="1" x14ac:dyDescent="0.35">
      <c r="A1648" s="85" t="s">
        <v>3227</v>
      </c>
      <c r="B1648" s="86">
        <v>2081</v>
      </c>
      <c r="C1648" s="87"/>
      <c r="D1648" s="88">
        <v>46093</v>
      </c>
      <c r="E1648" s="43">
        <v>2180000</v>
      </c>
      <c r="F1648" s="44">
        <f t="shared" si="82"/>
        <v>174400</v>
      </c>
      <c r="G1648" s="45">
        <f t="shared" si="80"/>
        <v>2354400</v>
      </c>
      <c r="H1648" s="46">
        <v>2354400</v>
      </c>
      <c r="I1648" s="47">
        <f t="shared" si="81"/>
        <v>0</v>
      </c>
      <c r="J1648" s="48">
        <v>46094</v>
      </c>
      <c r="K1648" s="49">
        <v>46188</v>
      </c>
      <c r="L1648" s="50">
        <v>4184844511</v>
      </c>
      <c r="M1648" s="3" t="s">
        <v>3781</v>
      </c>
    </row>
    <row r="1649" spans="1:13" ht="15" customHeight="1" x14ac:dyDescent="0.35">
      <c r="A1649" s="85" t="s">
        <v>37</v>
      </c>
      <c r="B1649" s="86">
        <v>1764</v>
      </c>
      <c r="C1649" s="87"/>
      <c r="D1649" s="88">
        <v>46081</v>
      </c>
      <c r="E1649" s="43">
        <v>1280000</v>
      </c>
      <c r="F1649" s="44">
        <f t="shared" si="82"/>
        <v>102400</v>
      </c>
      <c r="G1649" s="45">
        <f t="shared" si="80"/>
        <v>1382400</v>
      </c>
      <c r="H1649" s="46">
        <v>1382400</v>
      </c>
      <c r="I1649" s="47">
        <f t="shared" si="81"/>
        <v>0</v>
      </c>
      <c r="J1649" s="48">
        <v>46084</v>
      </c>
      <c r="K1649" s="49">
        <v>46167</v>
      </c>
      <c r="L1649" s="50">
        <v>4184787831</v>
      </c>
      <c r="M1649" s="3" t="s">
        <v>3781</v>
      </c>
    </row>
    <row r="1650" spans="1:13" ht="15" customHeight="1" x14ac:dyDescent="0.35">
      <c r="A1650" s="85" t="s">
        <v>123</v>
      </c>
      <c r="B1650" s="86">
        <v>2082</v>
      </c>
      <c r="C1650" s="87"/>
      <c r="D1650" s="88">
        <v>46093</v>
      </c>
      <c r="E1650" s="43">
        <v>640000</v>
      </c>
      <c r="F1650" s="44">
        <f t="shared" si="82"/>
        <v>51200</v>
      </c>
      <c r="G1650" s="45">
        <f t="shared" si="80"/>
        <v>691200</v>
      </c>
      <c r="H1650" s="46">
        <v>691200</v>
      </c>
      <c r="I1650" s="47">
        <f t="shared" si="81"/>
        <v>0</v>
      </c>
      <c r="J1650" s="48">
        <v>46094</v>
      </c>
      <c r="K1650" s="49">
        <v>46188</v>
      </c>
      <c r="L1650" s="50">
        <v>4184789274</v>
      </c>
      <c r="M1650" s="3" t="s">
        <v>3781</v>
      </c>
    </row>
    <row r="1651" spans="1:13" ht="15" customHeight="1" x14ac:dyDescent="0.35">
      <c r="A1651" s="85" t="s">
        <v>37</v>
      </c>
      <c r="B1651" s="86">
        <v>1763</v>
      </c>
      <c r="C1651" s="87"/>
      <c r="D1651" s="88">
        <v>46081</v>
      </c>
      <c r="E1651" s="43">
        <v>810000</v>
      </c>
      <c r="F1651" s="44">
        <f t="shared" si="82"/>
        <v>64800</v>
      </c>
      <c r="G1651" s="45">
        <f t="shared" si="80"/>
        <v>874800</v>
      </c>
      <c r="H1651" s="46">
        <v>874800</v>
      </c>
      <c r="I1651" s="47">
        <f t="shared" si="81"/>
        <v>0</v>
      </c>
      <c r="J1651" s="48">
        <v>46084</v>
      </c>
      <c r="K1651" s="49">
        <v>46167</v>
      </c>
      <c r="L1651" s="50">
        <v>4184824372</v>
      </c>
      <c r="M1651" s="3" t="s">
        <v>3781</v>
      </c>
    </row>
    <row r="1652" spans="1:13" ht="15" customHeight="1" x14ac:dyDescent="0.35">
      <c r="A1652" s="85" t="s">
        <v>29</v>
      </c>
      <c r="B1652" s="86">
        <v>2083</v>
      </c>
      <c r="C1652" s="87"/>
      <c r="D1652" s="88">
        <v>46093</v>
      </c>
      <c r="E1652" s="43">
        <v>9000000</v>
      </c>
      <c r="F1652" s="44">
        <f t="shared" si="82"/>
        <v>720000</v>
      </c>
      <c r="G1652" s="45">
        <f t="shared" si="80"/>
        <v>9720000</v>
      </c>
      <c r="H1652" s="46">
        <v>9720000</v>
      </c>
      <c r="I1652" s="47">
        <f t="shared" si="81"/>
        <v>0</v>
      </c>
      <c r="J1652" s="48">
        <v>46094</v>
      </c>
      <c r="K1652" s="49">
        <v>46188</v>
      </c>
      <c r="L1652" s="50">
        <v>4184824576</v>
      </c>
      <c r="M1652" s="3" t="s">
        <v>3781</v>
      </c>
    </row>
    <row r="1653" spans="1:13" ht="15" customHeight="1" x14ac:dyDescent="0.35">
      <c r="A1653" s="85" t="s">
        <v>123</v>
      </c>
      <c r="B1653" s="86">
        <v>2084</v>
      </c>
      <c r="C1653" s="87"/>
      <c r="D1653" s="88">
        <v>46093</v>
      </c>
      <c r="E1653" s="43">
        <v>1201000</v>
      </c>
      <c r="F1653" s="44">
        <f t="shared" si="82"/>
        <v>96080</v>
      </c>
      <c r="G1653" s="45">
        <f t="shared" si="80"/>
        <v>1297080</v>
      </c>
      <c r="H1653" s="46">
        <v>1297080</v>
      </c>
      <c r="I1653" s="47">
        <f t="shared" si="81"/>
        <v>0</v>
      </c>
      <c r="J1653" s="48">
        <v>46094</v>
      </c>
      <c r="K1653" s="49">
        <v>46188</v>
      </c>
      <c r="L1653" s="50">
        <v>4184843720</v>
      </c>
      <c r="M1653" s="3" t="s">
        <v>3781</v>
      </c>
    </row>
    <row r="1654" spans="1:13" ht="15" customHeight="1" x14ac:dyDescent="0.35">
      <c r="A1654" s="85" t="s">
        <v>29</v>
      </c>
      <c r="B1654" s="86">
        <v>2085</v>
      </c>
      <c r="C1654" s="87"/>
      <c r="D1654" s="88">
        <v>46093</v>
      </c>
      <c r="E1654" s="43">
        <v>17641000</v>
      </c>
      <c r="F1654" s="44">
        <f t="shared" si="82"/>
        <v>1411280</v>
      </c>
      <c r="G1654" s="45">
        <f t="shared" si="80"/>
        <v>19052280</v>
      </c>
      <c r="H1654" s="46">
        <v>19052280</v>
      </c>
      <c r="I1654" s="47">
        <f t="shared" si="81"/>
        <v>0</v>
      </c>
      <c r="J1654" s="48">
        <v>46094</v>
      </c>
      <c r="K1654" s="49">
        <v>46188</v>
      </c>
      <c r="L1654" s="50">
        <v>4184844398</v>
      </c>
      <c r="M1654" s="3" t="s">
        <v>3781</v>
      </c>
    </row>
    <row r="1655" spans="1:13" ht="15" customHeight="1" x14ac:dyDescent="0.35">
      <c r="A1655" s="85" t="s">
        <v>33</v>
      </c>
      <c r="B1655" s="86">
        <v>2086</v>
      </c>
      <c r="C1655" s="87"/>
      <c r="D1655" s="88">
        <v>46093</v>
      </c>
      <c r="E1655" s="43">
        <v>15360000</v>
      </c>
      <c r="F1655" s="44">
        <f t="shared" si="82"/>
        <v>1228800</v>
      </c>
      <c r="G1655" s="45">
        <f t="shared" si="80"/>
        <v>16588800</v>
      </c>
      <c r="H1655" s="46">
        <v>16588800</v>
      </c>
      <c r="I1655" s="47">
        <f t="shared" si="81"/>
        <v>0</v>
      </c>
      <c r="J1655" s="48">
        <v>46094</v>
      </c>
      <c r="K1655" s="49">
        <v>46188</v>
      </c>
      <c r="L1655" s="50">
        <v>4901286659</v>
      </c>
      <c r="M1655" s="3" t="s">
        <v>3781</v>
      </c>
    </row>
    <row r="1656" spans="1:13" ht="15" customHeight="1" x14ac:dyDescent="0.35">
      <c r="A1656" s="85" t="s">
        <v>33</v>
      </c>
      <c r="B1656" s="86">
        <v>2087</v>
      </c>
      <c r="C1656" s="87"/>
      <c r="D1656" s="88">
        <v>46093</v>
      </c>
      <c r="E1656" s="43">
        <v>5096000</v>
      </c>
      <c r="F1656" s="44">
        <f t="shared" si="82"/>
        <v>407680</v>
      </c>
      <c r="G1656" s="45">
        <f t="shared" si="80"/>
        <v>5503680</v>
      </c>
      <c r="H1656" s="46">
        <v>5503680</v>
      </c>
      <c r="I1656" s="47">
        <f t="shared" si="81"/>
        <v>0</v>
      </c>
      <c r="J1656" s="48">
        <v>46094</v>
      </c>
      <c r="K1656" s="49">
        <v>46188</v>
      </c>
      <c r="L1656" s="50">
        <v>4901286589</v>
      </c>
      <c r="M1656" s="3" t="s">
        <v>3781</v>
      </c>
    </row>
    <row r="1657" spans="1:13" ht="15" customHeight="1" x14ac:dyDescent="0.35">
      <c r="A1657" s="85" t="s">
        <v>29</v>
      </c>
      <c r="B1657" s="86">
        <v>2088</v>
      </c>
      <c r="C1657" s="87"/>
      <c r="D1657" s="88">
        <v>46093</v>
      </c>
      <c r="E1657" s="43">
        <v>60750000</v>
      </c>
      <c r="F1657" s="44">
        <f t="shared" si="82"/>
        <v>4860000</v>
      </c>
      <c r="G1657" s="45">
        <f t="shared" si="80"/>
        <v>65610000</v>
      </c>
      <c r="H1657" s="46">
        <v>65610000</v>
      </c>
      <c r="I1657" s="47">
        <f t="shared" si="81"/>
        <v>0</v>
      </c>
      <c r="J1657" s="48">
        <v>46094</v>
      </c>
      <c r="K1657" s="49">
        <v>46188</v>
      </c>
      <c r="L1657" s="50">
        <v>4184633097</v>
      </c>
      <c r="M1657" s="3" t="s">
        <v>3781</v>
      </c>
    </row>
    <row r="1658" spans="1:13" ht="15" customHeight="1" x14ac:dyDescent="0.35">
      <c r="A1658" s="85" t="s">
        <v>3227</v>
      </c>
      <c r="B1658" s="86">
        <v>2089</v>
      </c>
      <c r="C1658" s="87"/>
      <c r="D1658" s="88">
        <v>46093</v>
      </c>
      <c r="E1658" s="43">
        <v>1680000</v>
      </c>
      <c r="F1658" s="44">
        <f t="shared" si="82"/>
        <v>134400</v>
      </c>
      <c r="G1658" s="45">
        <f t="shared" si="80"/>
        <v>1814400</v>
      </c>
      <c r="H1658" s="46">
        <v>1814400</v>
      </c>
      <c r="I1658" s="47">
        <f t="shared" si="81"/>
        <v>0</v>
      </c>
      <c r="J1658" s="48">
        <v>46094</v>
      </c>
      <c r="K1658" s="49">
        <v>46188</v>
      </c>
      <c r="L1658" s="50">
        <v>4185045597</v>
      </c>
      <c r="M1658" s="3" t="s">
        <v>3781</v>
      </c>
    </row>
    <row r="1659" spans="1:13" ht="15" customHeight="1" x14ac:dyDescent="0.35">
      <c r="A1659" s="85" t="s">
        <v>3227</v>
      </c>
      <c r="B1659" s="86">
        <v>2090</v>
      </c>
      <c r="C1659" s="87"/>
      <c r="D1659" s="88">
        <v>46093</v>
      </c>
      <c r="E1659" s="43">
        <v>810000</v>
      </c>
      <c r="F1659" s="44">
        <f t="shared" si="82"/>
        <v>64800</v>
      </c>
      <c r="G1659" s="45">
        <f t="shared" si="80"/>
        <v>874800</v>
      </c>
      <c r="H1659" s="46">
        <v>874800</v>
      </c>
      <c r="I1659" s="47">
        <f t="shared" si="81"/>
        <v>0</v>
      </c>
      <c r="J1659" s="48">
        <v>46094</v>
      </c>
      <c r="K1659" s="49">
        <v>46188</v>
      </c>
      <c r="L1659" s="50">
        <v>4184996352</v>
      </c>
      <c r="M1659" s="3" t="s">
        <v>3781</v>
      </c>
    </row>
    <row r="1660" spans="1:13" ht="15" customHeight="1" x14ac:dyDescent="0.35">
      <c r="A1660" s="85" t="s">
        <v>29</v>
      </c>
      <c r="B1660" s="86">
        <v>2091</v>
      </c>
      <c r="C1660" s="87"/>
      <c r="D1660" s="88">
        <v>46093</v>
      </c>
      <c r="E1660" s="43">
        <v>3240000</v>
      </c>
      <c r="F1660" s="44">
        <f t="shared" si="82"/>
        <v>259200</v>
      </c>
      <c r="G1660" s="45">
        <f t="shared" si="80"/>
        <v>3499200</v>
      </c>
      <c r="H1660" s="46">
        <v>3499200</v>
      </c>
      <c r="I1660" s="47">
        <f t="shared" si="81"/>
        <v>0</v>
      </c>
      <c r="J1660" s="48">
        <v>46094</v>
      </c>
      <c r="K1660" s="49">
        <v>46188</v>
      </c>
      <c r="L1660" s="50">
        <v>4184934254</v>
      </c>
      <c r="M1660" s="3" t="s">
        <v>3781</v>
      </c>
    </row>
    <row r="1661" spans="1:13" ht="15" customHeight="1" x14ac:dyDescent="0.35">
      <c r="A1661" s="85" t="s">
        <v>123</v>
      </c>
      <c r="B1661" s="86">
        <v>2092</v>
      </c>
      <c r="C1661" s="87"/>
      <c r="D1661" s="88">
        <v>46093</v>
      </c>
      <c r="E1661" s="43">
        <v>18330000</v>
      </c>
      <c r="F1661" s="44">
        <f t="shared" si="82"/>
        <v>1466400</v>
      </c>
      <c r="G1661" s="45">
        <f t="shared" si="80"/>
        <v>19796400</v>
      </c>
      <c r="H1661" s="46">
        <v>19796400</v>
      </c>
      <c r="I1661" s="47">
        <f t="shared" si="81"/>
        <v>0</v>
      </c>
      <c r="J1661" s="48">
        <v>46094</v>
      </c>
      <c r="K1661" s="49">
        <v>46188</v>
      </c>
      <c r="L1661" s="50">
        <v>4184966324</v>
      </c>
      <c r="M1661" s="3" t="s">
        <v>3781</v>
      </c>
    </row>
    <row r="1662" spans="1:13" ht="15" customHeight="1" x14ac:dyDescent="0.35">
      <c r="A1662" s="85" t="s">
        <v>56</v>
      </c>
      <c r="B1662" s="86">
        <v>2093</v>
      </c>
      <c r="C1662" s="87"/>
      <c r="D1662" s="88">
        <v>46093</v>
      </c>
      <c r="E1662" s="43">
        <v>8620000</v>
      </c>
      <c r="F1662" s="44">
        <f t="shared" si="82"/>
        <v>689600</v>
      </c>
      <c r="G1662" s="45">
        <f t="shared" si="80"/>
        <v>9309600</v>
      </c>
      <c r="H1662" s="46">
        <v>9309600</v>
      </c>
      <c r="I1662" s="47">
        <f t="shared" si="81"/>
        <v>0</v>
      </c>
      <c r="J1662" s="48">
        <v>46094</v>
      </c>
      <c r="K1662" s="49">
        <v>46188</v>
      </c>
      <c r="L1662" s="50">
        <v>4184966311</v>
      </c>
      <c r="M1662" s="3" t="s">
        <v>3781</v>
      </c>
    </row>
    <row r="1663" spans="1:13" ht="15" customHeight="1" x14ac:dyDescent="0.35">
      <c r="A1663" s="85" t="s">
        <v>37</v>
      </c>
      <c r="B1663" s="86">
        <v>2094</v>
      </c>
      <c r="C1663" s="87"/>
      <c r="D1663" s="88">
        <v>46093</v>
      </c>
      <c r="E1663" s="43">
        <v>17770000</v>
      </c>
      <c r="F1663" s="44">
        <f t="shared" si="82"/>
        <v>1421600</v>
      </c>
      <c r="G1663" s="45">
        <f t="shared" si="80"/>
        <v>19191600</v>
      </c>
      <c r="H1663" s="46">
        <v>19191600</v>
      </c>
      <c r="I1663" s="47">
        <f t="shared" si="81"/>
        <v>0</v>
      </c>
      <c r="J1663" s="48">
        <v>46094</v>
      </c>
      <c r="K1663" s="49">
        <v>46188</v>
      </c>
      <c r="L1663" s="50">
        <v>4184966377</v>
      </c>
      <c r="M1663" s="3" t="s">
        <v>3781</v>
      </c>
    </row>
    <row r="1664" spans="1:13" ht="15" customHeight="1" x14ac:dyDescent="0.35">
      <c r="A1664" s="85" t="s">
        <v>123</v>
      </c>
      <c r="B1664" s="86">
        <v>2095</v>
      </c>
      <c r="C1664" s="87"/>
      <c r="D1664" s="88">
        <v>46093</v>
      </c>
      <c r="E1664" s="43">
        <v>18410000</v>
      </c>
      <c r="F1664" s="44">
        <f t="shared" si="82"/>
        <v>1472800</v>
      </c>
      <c r="G1664" s="45">
        <f t="shared" si="80"/>
        <v>19882800</v>
      </c>
      <c r="H1664" s="46">
        <v>19882800</v>
      </c>
      <c r="I1664" s="47">
        <f t="shared" si="81"/>
        <v>0</v>
      </c>
      <c r="J1664" s="48">
        <v>46094</v>
      </c>
      <c r="K1664" s="49">
        <v>46188</v>
      </c>
      <c r="L1664" s="50">
        <v>4184966572</v>
      </c>
      <c r="M1664" s="3" t="s">
        <v>3781</v>
      </c>
    </row>
    <row r="1665" spans="1:13" ht="15" customHeight="1" x14ac:dyDescent="0.35">
      <c r="A1665" s="85" t="s">
        <v>85</v>
      </c>
      <c r="B1665" s="86">
        <v>2096</v>
      </c>
      <c r="C1665" s="87"/>
      <c r="D1665" s="88">
        <v>46093</v>
      </c>
      <c r="E1665" s="43">
        <v>10445000</v>
      </c>
      <c r="F1665" s="44">
        <f t="shared" si="82"/>
        <v>835600</v>
      </c>
      <c r="G1665" s="45">
        <f t="shared" si="80"/>
        <v>11280600</v>
      </c>
      <c r="H1665" s="46">
        <v>11280600</v>
      </c>
      <c r="I1665" s="47">
        <f t="shared" si="81"/>
        <v>0</v>
      </c>
      <c r="J1665" s="48">
        <v>46094</v>
      </c>
      <c r="K1665" s="49">
        <v>46188</v>
      </c>
      <c r="L1665" s="50">
        <v>4184966605</v>
      </c>
      <c r="M1665" s="3" t="s">
        <v>3781</v>
      </c>
    </row>
    <row r="1666" spans="1:13" ht="15" customHeight="1" x14ac:dyDescent="0.35">
      <c r="A1666" s="85" t="s">
        <v>63</v>
      </c>
      <c r="B1666" s="86">
        <v>2097</v>
      </c>
      <c r="C1666" s="87"/>
      <c r="D1666" s="88">
        <v>46093</v>
      </c>
      <c r="E1666" s="43">
        <v>5420000</v>
      </c>
      <c r="F1666" s="44">
        <f t="shared" si="82"/>
        <v>433600</v>
      </c>
      <c r="G1666" s="45">
        <f t="shared" si="80"/>
        <v>5853600</v>
      </c>
      <c r="H1666" s="46">
        <v>5853600</v>
      </c>
      <c r="I1666" s="47">
        <f t="shared" si="81"/>
        <v>0</v>
      </c>
      <c r="J1666" s="48">
        <v>46094</v>
      </c>
      <c r="K1666" s="49">
        <v>46188</v>
      </c>
      <c r="L1666" s="50">
        <v>4184966582</v>
      </c>
      <c r="M1666" s="3" t="s">
        <v>3781</v>
      </c>
    </row>
    <row r="1667" spans="1:13" ht="15" customHeight="1" x14ac:dyDescent="0.35">
      <c r="A1667" s="85" t="s">
        <v>29</v>
      </c>
      <c r="B1667" s="86">
        <v>2177</v>
      </c>
      <c r="C1667" s="87"/>
      <c r="D1667" s="88">
        <v>46097</v>
      </c>
      <c r="E1667" s="43">
        <v>14731500</v>
      </c>
      <c r="F1667" s="44">
        <f t="shared" si="82"/>
        <v>1178520</v>
      </c>
      <c r="G1667" s="45">
        <f t="shared" si="80"/>
        <v>15910020</v>
      </c>
      <c r="H1667" s="46">
        <v>15910020</v>
      </c>
      <c r="I1667" s="47">
        <f t="shared" si="81"/>
        <v>0</v>
      </c>
      <c r="J1667" s="48">
        <v>46094</v>
      </c>
      <c r="K1667" s="49">
        <v>46188</v>
      </c>
      <c r="L1667" s="50">
        <v>4185045610</v>
      </c>
      <c r="M1667" s="3" t="s">
        <v>3781</v>
      </c>
    </row>
    <row r="1668" spans="1:13" ht="15" customHeight="1" x14ac:dyDescent="0.35">
      <c r="A1668" s="85" t="s">
        <v>63</v>
      </c>
      <c r="B1668" s="86">
        <v>2099</v>
      </c>
      <c r="C1668" s="87"/>
      <c r="D1668" s="88">
        <v>46093</v>
      </c>
      <c r="E1668" s="43">
        <v>2430000</v>
      </c>
      <c r="F1668" s="44">
        <f t="shared" si="82"/>
        <v>194400</v>
      </c>
      <c r="G1668" s="45">
        <f t="shared" si="80"/>
        <v>2624400</v>
      </c>
      <c r="H1668" s="46">
        <v>2624400</v>
      </c>
      <c r="I1668" s="47">
        <f t="shared" si="81"/>
        <v>0</v>
      </c>
      <c r="J1668" s="48">
        <v>46094</v>
      </c>
      <c r="K1668" s="49">
        <v>46188</v>
      </c>
      <c r="L1668" s="50">
        <v>4184558789</v>
      </c>
      <c r="M1668" s="3" t="s">
        <v>3781</v>
      </c>
    </row>
    <row r="1669" spans="1:13" ht="15" customHeight="1" x14ac:dyDescent="0.35">
      <c r="A1669" s="85" t="s">
        <v>56</v>
      </c>
      <c r="B1669" s="86">
        <v>2100</v>
      </c>
      <c r="C1669" s="87"/>
      <c r="D1669" s="88">
        <v>46093</v>
      </c>
      <c r="E1669" s="43">
        <v>1920000</v>
      </c>
      <c r="F1669" s="44">
        <f t="shared" si="82"/>
        <v>153600</v>
      </c>
      <c r="G1669" s="45">
        <f t="shared" si="80"/>
        <v>2073600</v>
      </c>
      <c r="H1669" s="46">
        <v>2073600</v>
      </c>
      <c r="I1669" s="47">
        <f t="shared" si="81"/>
        <v>0</v>
      </c>
      <c r="J1669" s="48">
        <v>46094</v>
      </c>
      <c r="K1669" s="49">
        <v>46188</v>
      </c>
      <c r="L1669" s="50">
        <v>4184558705</v>
      </c>
      <c r="M1669" s="3" t="s">
        <v>3781</v>
      </c>
    </row>
    <row r="1670" spans="1:13" ht="15" customHeight="1" x14ac:dyDescent="0.35">
      <c r="A1670" s="85" t="s">
        <v>123</v>
      </c>
      <c r="B1670" s="86">
        <v>2101</v>
      </c>
      <c r="C1670" s="87"/>
      <c r="D1670" s="88">
        <v>46093</v>
      </c>
      <c r="E1670" s="43">
        <v>640000</v>
      </c>
      <c r="F1670" s="44">
        <f t="shared" si="82"/>
        <v>51200</v>
      </c>
      <c r="G1670" s="45">
        <f t="shared" si="80"/>
        <v>691200</v>
      </c>
      <c r="H1670" s="46">
        <v>691200</v>
      </c>
      <c r="I1670" s="47">
        <f t="shared" si="81"/>
        <v>0</v>
      </c>
      <c r="J1670" s="48">
        <v>46094</v>
      </c>
      <c r="K1670" s="49">
        <v>46188</v>
      </c>
      <c r="L1670" s="50">
        <v>4184558858</v>
      </c>
      <c r="M1670" s="3" t="s">
        <v>3781</v>
      </c>
    </row>
    <row r="1671" spans="1:13" ht="15" customHeight="1" x14ac:dyDescent="0.35">
      <c r="A1671" s="85" t="s">
        <v>63</v>
      </c>
      <c r="B1671" s="86">
        <v>2102</v>
      </c>
      <c r="C1671" s="87"/>
      <c r="D1671" s="88">
        <v>46093</v>
      </c>
      <c r="E1671" s="43">
        <v>520000</v>
      </c>
      <c r="F1671" s="44">
        <f t="shared" si="82"/>
        <v>41600</v>
      </c>
      <c r="G1671" s="45">
        <f t="shared" si="80"/>
        <v>561600</v>
      </c>
      <c r="H1671" s="46">
        <v>561600</v>
      </c>
      <c r="I1671" s="47">
        <f t="shared" si="81"/>
        <v>0</v>
      </c>
      <c r="J1671" s="48">
        <v>46094</v>
      </c>
      <c r="K1671" s="49">
        <v>46188</v>
      </c>
      <c r="L1671" s="50">
        <v>4184590054</v>
      </c>
      <c r="M1671" s="3" t="s">
        <v>3781</v>
      </c>
    </row>
    <row r="1672" spans="1:13" ht="15" customHeight="1" x14ac:dyDescent="0.35">
      <c r="A1672" s="85" t="s">
        <v>37</v>
      </c>
      <c r="B1672" s="86"/>
      <c r="C1672" s="87"/>
      <c r="D1672" s="88"/>
      <c r="E1672" s="43">
        <v>1280000</v>
      </c>
      <c r="F1672" s="44"/>
      <c r="G1672" s="45"/>
      <c r="H1672" s="46"/>
      <c r="I1672" s="47">
        <f t="shared" si="81"/>
        <v>0</v>
      </c>
      <c r="J1672" s="48" t="s">
        <v>65</v>
      </c>
      <c r="K1672" s="49"/>
      <c r="L1672" s="50">
        <v>4184540154</v>
      </c>
    </row>
    <row r="1673" spans="1:13" ht="15" customHeight="1" x14ac:dyDescent="0.35">
      <c r="A1673" s="85" t="s">
        <v>123</v>
      </c>
      <c r="B1673" s="86"/>
      <c r="C1673" s="87"/>
      <c r="D1673" s="88"/>
      <c r="E1673" s="43">
        <v>2440000</v>
      </c>
      <c r="F1673" s="44"/>
      <c r="G1673" s="45"/>
      <c r="H1673" s="46"/>
      <c r="I1673" s="47">
        <f t="shared" si="81"/>
        <v>0</v>
      </c>
      <c r="J1673" s="48" t="s">
        <v>65</v>
      </c>
      <c r="K1673" s="49"/>
      <c r="L1673" s="50">
        <v>4184590061</v>
      </c>
    </row>
    <row r="1674" spans="1:13" ht="15" customHeight="1" x14ac:dyDescent="0.35">
      <c r="A1674" s="85" t="s">
        <v>37</v>
      </c>
      <c r="B1674" s="86">
        <v>2103</v>
      </c>
      <c r="C1674" s="87"/>
      <c r="D1674" s="88">
        <v>46093</v>
      </c>
      <c r="E1674" s="43">
        <v>3752000</v>
      </c>
      <c r="F1674" s="44">
        <f t="shared" si="82"/>
        <v>300160</v>
      </c>
      <c r="G1674" s="45">
        <f t="shared" si="80"/>
        <v>4052160</v>
      </c>
      <c r="H1674" s="46">
        <v>4052160</v>
      </c>
      <c r="I1674" s="47">
        <f t="shared" si="81"/>
        <v>0</v>
      </c>
      <c r="J1674" s="48">
        <v>46094</v>
      </c>
      <c r="K1674" s="49">
        <v>46188</v>
      </c>
      <c r="L1674" s="50">
        <v>4184590124</v>
      </c>
      <c r="M1674" s="3" t="s">
        <v>3781</v>
      </c>
    </row>
    <row r="1675" spans="1:13" ht="15" customHeight="1" x14ac:dyDescent="0.35">
      <c r="A1675" s="85" t="s">
        <v>56</v>
      </c>
      <c r="B1675" s="86">
        <v>2104</v>
      </c>
      <c r="C1675" s="87"/>
      <c r="D1675" s="88">
        <v>46093</v>
      </c>
      <c r="E1675" s="43">
        <v>1680000</v>
      </c>
      <c r="F1675" s="44">
        <f t="shared" si="82"/>
        <v>134400</v>
      </c>
      <c r="G1675" s="45">
        <f t="shared" si="80"/>
        <v>1814400</v>
      </c>
      <c r="H1675" s="46">
        <v>1814400</v>
      </c>
      <c r="I1675" s="47">
        <f t="shared" si="81"/>
        <v>0</v>
      </c>
      <c r="J1675" s="48">
        <v>46094</v>
      </c>
      <c r="K1675" s="49">
        <v>46188</v>
      </c>
      <c r="L1675" s="50">
        <v>4184590132</v>
      </c>
      <c r="M1675" s="3" t="s">
        <v>3781</v>
      </c>
    </row>
    <row r="1676" spans="1:13" ht="15" customHeight="1" x14ac:dyDescent="0.35">
      <c r="A1676" s="85" t="s">
        <v>3227</v>
      </c>
      <c r="B1676" s="86">
        <v>2105</v>
      </c>
      <c r="C1676" s="87"/>
      <c r="D1676" s="88">
        <v>46093</v>
      </c>
      <c r="E1676" s="43">
        <v>10530000</v>
      </c>
      <c r="F1676" s="44">
        <f t="shared" si="82"/>
        <v>842400</v>
      </c>
      <c r="G1676" s="45">
        <f t="shared" si="80"/>
        <v>11372400</v>
      </c>
      <c r="H1676" s="46">
        <v>11372400</v>
      </c>
      <c r="I1676" s="47">
        <f t="shared" si="81"/>
        <v>0</v>
      </c>
      <c r="J1676" s="48">
        <v>46094</v>
      </c>
      <c r="K1676" s="49">
        <v>46188</v>
      </c>
      <c r="L1676" s="50">
        <v>4184630661</v>
      </c>
      <c r="M1676" s="3" t="s">
        <v>3781</v>
      </c>
    </row>
    <row r="1677" spans="1:13" ht="15" customHeight="1" x14ac:dyDescent="0.35">
      <c r="A1677" s="85" t="s">
        <v>29</v>
      </c>
      <c r="B1677" s="86">
        <v>2106</v>
      </c>
      <c r="C1677" s="87"/>
      <c r="D1677" s="88">
        <v>46093</v>
      </c>
      <c r="E1677" s="43">
        <v>1920000</v>
      </c>
      <c r="F1677" s="44">
        <f t="shared" si="82"/>
        <v>153600</v>
      </c>
      <c r="G1677" s="45">
        <f t="shared" si="80"/>
        <v>2073600</v>
      </c>
      <c r="H1677" s="46">
        <v>2073600</v>
      </c>
      <c r="I1677" s="47">
        <f t="shared" si="81"/>
        <v>0</v>
      </c>
      <c r="J1677" s="48">
        <v>46094</v>
      </c>
      <c r="K1677" s="49">
        <v>46188</v>
      </c>
      <c r="L1677" s="50">
        <v>4185196818</v>
      </c>
      <c r="M1677" s="3" t="s">
        <v>3781</v>
      </c>
    </row>
    <row r="1678" spans="1:13" ht="15" customHeight="1" x14ac:dyDescent="0.35">
      <c r="A1678" s="85" t="s">
        <v>29</v>
      </c>
      <c r="B1678" s="86">
        <v>2107</v>
      </c>
      <c r="C1678" s="87"/>
      <c r="D1678" s="88">
        <v>46093</v>
      </c>
      <c r="E1678" s="43">
        <v>1630000</v>
      </c>
      <c r="F1678" s="44">
        <f t="shared" si="82"/>
        <v>130400</v>
      </c>
      <c r="G1678" s="45">
        <f t="shared" si="80"/>
        <v>1760400</v>
      </c>
      <c r="H1678" s="46">
        <v>1760400</v>
      </c>
      <c r="I1678" s="47">
        <f t="shared" si="81"/>
        <v>0</v>
      </c>
      <c r="J1678" s="48">
        <v>46094</v>
      </c>
      <c r="K1678" s="49">
        <v>46188</v>
      </c>
      <c r="L1678" s="50">
        <v>4185145012</v>
      </c>
      <c r="M1678" s="3" t="s">
        <v>3781</v>
      </c>
    </row>
    <row r="1679" spans="1:13" ht="15" customHeight="1" x14ac:dyDescent="0.35">
      <c r="A1679" s="85" t="s">
        <v>29</v>
      </c>
      <c r="B1679" s="86">
        <v>2322</v>
      </c>
      <c r="C1679" s="87"/>
      <c r="D1679" s="88">
        <v>46103</v>
      </c>
      <c r="E1679" s="43">
        <v>2560000</v>
      </c>
      <c r="F1679" s="44">
        <f t="shared" si="82"/>
        <v>204800</v>
      </c>
      <c r="G1679" s="45">
        <f t="shared" si="80"/>
        <v>2764800</v>
      </c>
      <c r="H1679" s="46">
        <v>2764800</v>
      </c>
      <c r="I1679" s="47">
        <f t="shared" si="81"/>
        <v>0</v>
      </c>
      <c r="J1679" s="48">
        <v>46105</v>
      </c>
      <c r="K1679" s="49">
        <v>46188</v>
      </c>
      <c r="L1679" s="50">
        <v>4185111986</v>
      </c>
      <c r="M1679" s="3" t="s">
        <v>3781</v>
      </c>
    </row>
    <row r="1680" spans="1:13" ht="15" customHeight="1" x14ac:dyDescent="0.35">
      <c r="A1680" s="85" t="s">
        <v>33</v>
      </c>
      <c r="B1680" s="92">
        <v>2108</v>
      </c>
      <c r="C1680" s="87"/>
      <c r="D1680" s="88">
        <v>46093</v>
      </c>
      <c r="E1680" s="43">
        <v>5760000</v>
      </c>
      <c r="F1680" s="44">
        <f t="shared" si="82"/>
        <v>460800</v>
      </c>
      <c r="G1680" s="45">
        <f t="shared" si="80"/>
        <v>6220800</v>
      </c>
      <c r="H1680" s="46">
        <v>6220800</v>
      </c>
      <c r="I1680" s="47">
        <f t="shared" si="81"/>
        <v>0</v>
      </c>
      <c r="J1680" s="48">
        <v>46094</v>
      </c>
      <c r="K1680" s="49">
        <v>46188</v>
      </c>
      <c r="L1680" s="50">
        <v>4901287161</v>
      </c>
      <c r="M1680" s="3" t="s">
        <v>3781</v>
      </c>
    </row>
    <row r="1681" spans="1:13" ht="15" customHeight="1" x14ac:dyDescent="0.35">
      <c r="A1681" s="85" t="s">
        <v>33</v>
      </c>
      <c r="B1681" s="86">
        <v>2109</v>
      </c>
      <c r="C1681" s="87"/>
      <c r="D1681" s="88">
        <v>46093</v>
      </c>
      <c r="E1681" s="43">
        <v>7104000</v>
      </c>
      <c r="F1681" s="44">
        <f t="shared" si="82"/>
        <v>568320</v>
      </c>
      <c r="G1681" s="45">
        <f t="shared" si="80"/>
        <v>7672320</v>
      </c>
      <c r="H1681" s="46">
        <v>7672320</v>
      </c>
      <c r="I1681" s="47">
        <f t="shared" si="81"/>
        <v>0</v>
      </c>
      <c r="J1681" s="48">
        <v>46094</v>
      </c>
      <c r="K1681" s="49">
        <v>46188</v>
      </c>
      <c r="L1681" s="50">
        <v>4901287132</v>
      </c>
      <c r="M1681" s="3" t="s">
        <v>3781</v>
      </c>
    </row>
    <row r="1682" spans="1:13" ht="15" customHeight="1" x14ac:dyDescent="0.35">
      <c r="A1682" s="85" t="s">
        <v>123</v>
      </c>
      <c r="B1682" s="86">
        <v>2110</v>
      </c>
      <c r="C1682" s="87"/>
      <c r="D1682" s="88">
        <v>46093</v>
      </c>
      <c r="E1682" s="43">
        <v>2794000</v>
      </c>
      <c r="F1682" s="44">
        <f t="shared" si="82"/>
        <v>223520</v>
      </c>
      <c r="G1682" s="45">
        <f t="shared" si="80"/>
        <v>3017520</v>
      </c>
      <c r="H1682" s="46">
        <v>3017520</v>
      </c>
      <c r="I1682" s="47">
        <f t="shared" si="81"/>
        <v>0</v>
      </c>
      <c r="J1682" s="48">
        <v>46094</v>
      </c>
      <c r="K1682" s="49">
        <v>46188</v>
      </c>
      <c r="L1682" s="50">
        <v>4185085472</v>
      </c>
      <c r="M1682" s="3" t="s">
        <v>3781</v>
      </c>
    </row>
    <row r="1683" spans="1:13" ht="15" customHeight="1" x14ac:dyDescent="0.35">
      <c r="A1683" s="85" t="s">
        <v>33</v>
      </c>
      <c r="B1683" s="86">
        <v>2111</v>
      </c>
      <c r="C1683" s="87"/>
      <c r="D1683" s="88">
        <v>46093</v>
      </c>
      <c r="E1683" s="43">
        <v>2560000</v>
      </c>
      <c r="F1683" s="44">
        <f t="shared" si="82"/>
        <v>204800</v>
      </c>
      <c r="G1683" s="45">
        <f t="shared" si="80"/>
        <v>2764800</v>
      </c>
      <c r="H1683" s="46">
        <v>2764800</v>
      </c>
      <c r="I1683" s="47">
        <f t="shared" si="81"/>
        <v>0</v>
      </c>
      <c r="J1683" s="48">
        <v>46094</v>
      </c>
      <c r="K1683" s="49">
        <v>46188</v>
      </c>
      <c r="L1683" s="50">
        <v>4901287617</v>
      </c>
      <c r="M1683" s="3" t="s">
        <v>3781</v>
      </c>
    </row>
    <row r="1684" spans="1:13" ht="15" customHeight="1" x14ac:dyDescent="0.35">
      <c r="A1684" s="85" t="s">
        <v>33</v>
      </c>
      <c r="B1684" s="92">
        <v>2112</v>
      </c>
      <c r="C1684" s="87"/>
      <c r="D1684" s="88">
        <v>46093</v>
      </c>
      <c r="E1684" s="43">
        <v>3840000</v>
      </c>
      <c r="F1684" s="44">
        <f t="shared" si="82"/>
        <v>307200</v>
      </c>
      <c r="G1684" s="45">
        <f t="shared" si="80"/>
        <v>4147200</v>
      </c>
      <c r="H1684" s="45">
        <v>4147200</v>
      </c>
      <c r="I1684" s="47">
        <f t="shared" si="81"/>
        <v>0</v>
      </c>
      <c r="J1684" s="48">
        <v>46094</v>
      </c>
      <c r="K1684" s="49">
        <v>46188</v>
      </c>
      <c r="L1684" s="50">
        <v>4901287467</v>
      </c>
      <c r="M1684" s="3" t="s">
        <v>3781</v>
      </c>
    </row>
    <row r="1685" spans="1:13" ht="15" customHeight="1" x14ac:dyDescent="0.35">
      <c r="A1685" s="85" t="s">
        <v>123</v>
      </c>
      <c r="B1685" s="86">
        <v>2113</v>
      </c>
      <c r="C1685" s="87"/>
      <c r="D1685" s="88">
        <v>46093</v>
      </c>
      <c r="E1685" s="43">
        <v>16200000</v>
      </c>
      <c r="F1685" s="44">
        <f t="shared" si="82"/>
        <v>1296000</v>
      </c>
      <c r="G1685" s="45">
        <f t="shared" si="80"/>
        <v>17496000</v>
      </c>
      <c r="H1685" s="46">
        <v>17496000</v>
      </c>
      <c r="I1685" s="47">
        <f t="shared" si="81"/>
        <v>0</v>
      </c>
      <c r="J1685" s="48">
        <v>46094</v>
      </c>
      <c r="K1685" s="49">
        <v>46188</v>
      </c>
      <c r="L1685" s="50">
        <v>4184637726</v>
      </c>
      <c r="M1685" s="3" t="s">
        <v>3781</v>
      </c>
    </row>
    <row r="1686" spans="1:13" ht="15" customHeight="1" x14ac:dyDescent="0.35">
      <c r="A1686" s="85" t="s">
        <v>29</v>
      </c>
      <c r="B1686" s="86">
        <v>2114</v>
      </c>
      <c r="C1686" s="87"/>
      <c r="D1686" s="88">
        <v>46093</v>
      </c>
      <c r="E1686" s="43">
        <v>3200000</v>
      </c>
      <c r="F1686" s="44">
        <f t="shared" si="82"/>
        <v>256000</v>
      </c>
      <c r="G1686" s="45">
        <f t="shared" si="80"/>
        <v>3456000</v>
      </c>
      <c r="H1686" s="46">
        <v>3456000</v>
      </c>
      <c r="I1686" s="47">
        <f t="shared" si="81"/>
        <v>0</v>
      </c>
      <c r="J1686" s="48">
        <v>46094</v>
      </c>
      <c r="K1686" s="49">
        <v>46188</v>
      </c>
      <c r="L1686" s="50">
        <v>4185149332</v>
      </c>
      <c r="M1686" s="3" t="s">
        <v>3781</v>
      </c>
    </row>
    <row r="1687" spans="1:13" ht="15" customHeight="1" x14ac:dyDescent="0.35">
      <c r="A1687" s="85" t="s">
        <v>63</v>
      </c>
      <c r="B1687" s="86">
        <v>2386</v>
      </c>
      <c r="C1687" s="87"/>
      <c r="D1687" s="88">
        <v>46105</v>
      </c>
      <c r="E1687" s="43">
        <v>16200000</v>
      </c>
      <c r="F1687" s="44">
        <f t="shared" si="82"/>
        <v>1296000</v>
      </c>
      <c r="G1687" s="45">
        <f t="shared" si="80"/>
        <v>17496000</v>
      </c>
      <c r="H1687" s="46">
        <v>17496000</v>
      </c>
      <c r="I1687" s="47">
        <f t="shared" si="81"/>
        <v>0</v>
      </c>
      <c r="J1687" s="48">
        <v>46105</v>
      </c>
      <c r="K1687" s="49">
        <v>46188</v>
      </c>
      <c r="L1687" s="50">
        <v>4184637609</v>
      </c>
      <c r="M1687" s="3" t="s">
        <v>3781</v>
      </c>
    </row>
    <row r="1688" spans="1:13" ht="15" customHeight="1" x14ac:dyDescent="0.35">
      <c r="A1688" s="85" t="s">
        <v>33</v>
      </c>
      <c r="B1688" s="92">
        <v>2115</v>
      </c>
      <c r="C1688" s="87"/>
      <c r="D1688" s="88">
        <v>46093</v>
      </c>
      <c r="E1688" s="43">
        <v>6480000</v>
      </c>
      <c r="F1688" s="44">
        <f t="shared" si="82"/>
        <v>518400</v>
      </c>
      <c r="G1688" s="45">
        <f t="shared" si="80"/>
        <v>6998400</v>
      </c>
      <c r="H1688" s="46">
        <v>6998400</v>
      </c>
      <c r="I1688" s="47">
        <f t="shared" si="81"/>
        <v>0</v>
      </c>
      <c r="J1688" s="48">
        <v>46094</v>
      </c>
      <c r="K1688" s="49">
        <v>46188</v>
      </c>
      <c r="L1688" s="50">
        <v>4901287703</v>
      </c>
      <c r="M1688" s="3" t="s">
        <v>3781</v>
      </c>
    </row>
    <row r="1689" spans="1:13" ht="15" customHeight="1" x14ac:dyDescent="0.35">
      <c r="A1689" s="85" t="s">
        <v>56</v>
      </c>
      <c r="B1689" s="86">
        <v>2116</v>
      </c>
      <c r="C1689" s="87"/>
      <c r="D1689" s="88">
        <v>46093</v>
      </c>
      <c r="E1689" s="43">
        <v>319950000</v>
      </c>
      <c r="F1689" s="44">
        <f t="shared" si="82"/>
        <v>25596000</v>
      </c>
      <c r="G1689" s="45">
        <f t="shared" si="80"/>
        <v>345546000</v>
      </c>
      <c r="H1689" s="46">
        <v>345546000</v>
      </c>
      <c r="I1689" s="47">
        <f t="shared" si="81"/>
        <v>0</v>
      </c>
      <c r="J1689" s="48">
        <v>46094</v>
      </c>
      <c r="K1689" s="49">
        <v>46188</v>
      </c>
      <c r="L1689" s="50">
        <v>4184637622</v>
      </c>
      <c r="M1689" s="3" t="s">
        <v>3781</v>
      </c>
    </row>
    <row r="1690" spans="1:13" ht="15" customHeight="1" x14ac:dyDescent="0.35">
      <c r="A1690" s="85" t="s">
        <v>3227</v>
      </c>
      <c r="B1690" s="86">
        <v>2321</v>
      </c>
      <c r="C1690" s="87"/>
      <c r="D1690" s="88">
        <v>46103</v>
      </c>
      <c r="E1690" s="43">
        <v>1620000</v>
      </c>
      <c r="F1690" s="44">
        <f t="shared" si="82"/>
        <v>129600</v>
      </c>
      <c r="G1690" s="45">
        <f t="shared" si="80"/>
        <v>1749600</v>
      </c>
      <c r="H1690" s="46">
        <v>1749600</v>
      </c>
      <c r="I1690" s="47">
        <f t="shared" si="81"/>
        <v>0</v>
      </c>
      <c r="J1690" s="48">
        <v>46105</v>
      </c>
      <c r="K1690" s="49">
        <v>46188</v>
      </c>
      <c r="L1690" s="50">
        <v>4185399642</v>
      </c>
      <c r="M1690" s="3" t="s">
        <v>3781</v>
      </c>
    </row>
    <row r="1691" spans="1:13" ht="15" customHeight="1" x14ac:dyDescent="0.35">
      <c r="A1691" s="85" t="s">
        <v>56</v>
      </c>
      <c r="B1691" s="86">
        <v>2323</v>
      </c>
      <c r="C1691" s="87"/>
      <c r="D1691" s="88">
        <v>46103</v>
      </c>
      <c r="E1691" s="43">
        <v>640000</v>
      </c>
      <c r="F1691" s="44">
        <f t="shared" si="82"/>
        <v>51200</v>
      </c>
      <c r="G1691" s="45">
        <f t="shared" si="80"/>
        <v>691200</v>
      </c>
      <c r="H1691" s="46">
        <v>691200</v>
      </c>
      <c r="I1691" s="47">
        <f t="shared" si="81"/>
        <v>0</v>
      </c>
      <c r="J1691" s="48">
        <v>46105</v>
      </c>
      <c r="K1691" s="49">
        <v>46188</v>
      </c>
      <c r="L1691" s="50">
        <v>4185399885</v>
      </c>
      <c r="M1691" s="3" t="s">
        <v>3781</v>
      </c>
    </row>
    <row r="1692" spans="1:13" ht="15" customHeight="1" x14ac:dyDescent="0.35">
      <c r="A1692" s="85" t="s">
        <v>29</v>
      </c>
      <c r="B1692" s="86">
        <v>2324</v>
      </c>
      <c r="C1692" s="87"/>
      <c r="D1692" s="88">
        <v>46103</v>
      </c>
      <c r="E1692" s="43">
        <v>11790000</v>
      </c>
      <c r="F1692" s="44">
        <f t="shared" si="82"/>
        <v>943200</v>
      </c>
      <c r="G1692" s="45">
        <f t="shared" si="80"/>
        <v>12733200</v>
      </c>
      <c r="H1692" s="46">
        <v>12733200</v>
      </c>
      <c r="I1692" s="47">
        <f t="shared" si="81"/>
        <v>0</v>
      </c>
      <c r="J1692" s="48">
        <v>46105</v>
      </c>
      <c r="K1692" s="49">
        <v>46188</v>
      </c>
      <c r="L1692" s="50">
        <v>4185415048</v>
      </c>
      <c r="M1692" s="3" t="s">
        <v>3781</v>
      </c>
    </row>
    <row r="1693" spans="1:13" ht="15" customHeight="1" x14ac:dyDescent="0.35">
      <c r="A1693" s="85" t="s">
        <v>56</v>
      </c>
      <c r="B1693" s="86">
        <v>2325</v>
      </c>
      <c r="C1693" s="87"/>
      <c r="D1693" s="88">
        <v>46103</v>
      </c>
      <c r="E1693" s="43">
        <v>2583000</v>
      </c>
      <c r="F1693" s="44">
        <f t="shared" si="82"/>
        <v>206640</v>
      </c>
      <c r="G1693" s="45">
        <f t="shared" si="80"/>
        <v>2789640</v>
      </c>
      <c r="H1693" s="46">
        <v>2789640</v>
      </c>
      <c r="I1693" s="47">
        <f t="shared" si="81"/>
        <v>0</v>
      </c>
      <c r="J1693" s="48">
        <v>46105</v>
      </c>
      <c r="K1693" s="49">
        <v>46188</v>
      </c>
      <c r="L1693" s="50">
        <v>4185431042</v>
      </c>
      <c r="M1693" s="3" t="s">
        <v>3781</v>
      </c>
    </row>
    <row r="1694" spans="1:13" ht="15" customHeight="1" x14ac:dyDescent="0.35">
      <c r="A1694" s="85" t="s">
        <v>123</v>
      </c>
      <c r="B1694" s="86">
        <v>2326</v>
      </c>
      <c r="C1694" s="87"/>
      <c r="D1694" s="88">
        <v>46103</v>
      </c>
      <c r="E1694" s="43">
        <v>5685000</v>
      </c>
      <c r="F1694" s="44">
        <f t="shared" si="82"/>
        <v>454800</v>
      </c>
      <c r="G1694" s="45">
        <f t="shared" si="80"/>
        <v>6139800</v>
      </c>
      <c r="H1694" s="46">
        <v>6139800</v>
      </c>
      <c r="I1694" s="47">
        <f t="shared" si="81"/>
        <v>0</v>
      </c>
      <c r="J1694" s="48">
        <v>46105</v>
      </c>
      <c r="K1694" s="49">
        <v>46188</v>
      </c>
      <c r="L1694" s="50">
        <v>4185431120</v>
      </c>
      <c r="M1694" s="3" t="s">
        <v>3781</v>
      </c>
    </row>
    <row r="1695" spans="1:13" ht="15" customHeight="1" x14ac:dyDescent="0.35">
      <c r="A1695" s="85" t="s">
        <v>63</v>
      </c>
      <c r="B1695" s="86">
        <v>2327</v>
      </c>
      <c r="C1695" s="87">
        <v>2660</v>
      </c>
      <c r="D1695" s="88">
        <v>46116</v>
      </c>
      <c r="E1695" s="43">
        <v>2440000</v>
      </c>
      <c r="F1695" s="44">
        <f t="shared" si="82"/>
        <v>195200</v>
      </c>
      <c r="G1695" s="45">
        <f t="shared" si="80"/>
        <v>2635200</v>
      </c>
      <c r="H1695" s="46">
        <v>2635200</v>
      </c>
      <c r="I1695" s="47">
        <f t="shared" si="81"/>
        <v>0</v>
      </c>
      <c r="J1695" s="48">
        <v>46105</v>
      </c>
      <c r="K1695" s="49">
        <v>46198</v>
      </c>
      <c r="L1695" s="50">
        <v>4185431122</v>
      </c>
    </row>
    <row r="1696" spans="1:13" ht="15" customHeight="1" x14ac:dyDescent="0.35">
      <c r="A1696" s="85" t="s">
        <v>56</v>
      </c>
      <c r="B1696" s="86">
        <v>2328</v>
      </c>
      <c r="C1696" s="87">
        <v>2661</v>
      </c>
      <c r="D1696" s="88">
        <v>46116</v>
      </c>
      <c r="E1696" s="43">
        <v>315900</v>
      </c>
      <c r="F1696" s="44">
        <f t="shared" si="82"/>
        <v>25272</v>
      </c>
      <c r="G1696" s="45">
        <f>E1696+F1696</f>
        <v>341172</v>
      </c>
      <c r="H1696" s="46">
        <v>341172</v>
      </c>
      <c r="I1696" s="47">
        <f>G1696-H1696</f>
        <v>0</v>
      </c>
      <c r="J1696" s="48">
        <v>46105</v>
      </c>
      <c r="K1696" s="49">
        <v>46198</v>
      </c>
      <c r="L1696" s="50">
        <v>4185432227</v>
      </c>
    </row>
    <row r="1697" spans="1:13" ht="15" customHeight="1" x14ac:dyDescent="0.35">
      <c r="A1697" s="85" t="s">
        <v>123</v>
      </c>
      <c r="B1697" s="86">
        <v>2329</v>
      </c>
      <c r="C1697" s="87"/>
      <c r="D1697" s="88">
        <v>46103</v>
      </c>
      <c r="E1697" s="43">
        <v>11650500</v>
      </c>
      <c r="F1697" s="44">
        <f t="shared" si="82"/>
        <v>932040</v>
      </c>
      <c r="G1697" s="45">
        <f t="shared" si="80"/>
        <v>12582540</v>
      </c>
      <c r="H1697" s="46">
        <v>12582540</v>
      </c>
      <c r="I1697" s="47">
        <f t="shared" si="81"/>
        <v>0</v>
      </c>
      <c r="J1697" s="48">
        <v>46105</v>
      </c>
      <c r="K1697" s="49">
        <v>46188</v>
      </c>
      <c r="L1697" s="50">
        <v>4185431172</v>
      </c>
      <c r="M1697" s="3" t="s">
        <v>3781</v>
      </c>
    </row>
    <row r="1698" spans="1:13" ht="15" customHeight="1" x14ac:dyDescent="0.35">
      <c r="A1698" s="85" t="s">
        <v>33</v>
      </c>
      <c r="B1698" s="86">
        <v>2330</v>
      </c>
      <c r="C1698" s="87"/>
      <c r="D1698" s="88">
        <v>46103</v>
      </c>
      <c r="E1698" s="43">
        <v>3200000</v>
      </c>
      <c r="F1698" s="44">
        <f t="shared" si="82"/>
        <v>256000</v>
      </c>
      <c r="G1698" s="45">
        <f t="shared" si="80"/>
        <v>3456000</v>
      </c>
      <c r="H1698" s="46">
        <v>3456000</v>
      </c>
      <c r="I1698" s="47">
        <f t="shared" si="81"/>
        <v>0</v>
      </c>
      <c r="J1698" s="48">
        <v>46105</v>
      </c>
      <c r="K1698" s="49">
        <v>46188</v>
      </c>
      <c r="L1698" s="50">
        <v>4901288245</v>
      </c>
      <c r="M1698" s="3" t="s">
        <v>3781</v>
      </c>
    </row>
    <row r="1699" spans="1:13" ht="15" customHeight="1" x14ac:dyDescent="0.35">
      <c r="A1699" s="85" t="s">
        <v>3227</v>
      </c>
      <c r="B1699" s="86">
        <v>2331</v>
      </c>
      <c r="C1699" s="87"/>
      <c r="D1699" s="88">
        <v>46103</v>
      </c>
      <c r="E1699" s="43">
        <v>2960000</v>
      </c>
      <c r="F1699" s="44">
        <f t="shared" si="82"/>
        <v>236800</v>
      </c>
      <c r="G1699" s="45">
        <f t="shared" si="80"/>
        <v>3196800</v>
      </c>
      <c r="H1699" s="46">
        <v>3196800</v>
      </c>
      <c r="I1699" s="47">
        <f t="shared" si="81"/>
        <v>0</v>
      </c>
      <c r="J1699" s="48">
        <v>46105</v>
      </c>
      <c r="K1699" s="49">
        <v>46188</v>
      </c>
      <c r="L1699" s="50">
        <v>4185462424</v>
      </c>
      <c r="M1699" s="3" t="s">
        <v>3781</v>
      </c>
    </row>
    <row r="1700" spans="1:13" ht="15" customHeight="1" x14ac:dyDescent="0.35">
      <c r="A1700" s="85" t="s">
        <v>29</v>
      </c>
      <c r="B1700" s="86">
        <v>2332</v>
      </c>
      <c r="C1700" s="87"/>
      <c r="D1700" s="88">
        <v>46103</v>
      </c>
      <c r="E1700" s="43">
        <v>24732000</v>
      </c>
      <c r="F1700" s="44">
        <f t="shared" si="82"/>
        <v>1978560</v>
      </c>
      <c r="G1700" s="45">
        <f t="shared" si="80"/>
        <v>26710560</v>
      </c>
      <c r="H1700" s="46">
        <v>26710560</v>
      </c>
      <c r="I1700" s="47">
        <f t="shared" si="81"/>
        <v>0</v>
      </c>
      <c r="J1700" s="48">
        <v>46105</v>
      </c>
      <c r="K1700" s="49">
        <v>46188</v>
      </c>
      <c r="L1700" s="50">
        <v>4185462347</v>
      </c>
      <c r="M1700" s="3" t="s">
        <v>3781</v>
      </c>
    </row>
    <row r="1701" spans="1:13" ht="15" customHeight="1" x14ac:dyDescent="0.35">
      <c r="A1701" s="85" t="s">
        <v>33</v>
      </c>
      <c r="B1701" s="86">
        <v>2333</v>
      </c>
      <c r="C1701" s="87"/>
      <c r="D1701" s="88">
        <v>46103</v>
      </c>
      <c r="E1701" s="43">
        <v>15088000</v>
      </c>
      <c r="F1701" s="44">
        <f t="shared" si="82"/>
        <v>1207040</v>
      </c>
      <c r="G1701" s="45">
        <f t="shared" si="80"/>
        <v>16295040</v>
      </c>
      <c r="H1701" s="46">
        <v>16295040</v>
      </c>
      <c r="I1701" s="47">
        <f t="shared" si="81"/>
        <v>0</v>
      </c>
      <c r="J1701" s="48">
        <v>46105</v>
      </c>
      <c r="K1701" s="49">
        <v>46188</v>
      </c>
      <c r="L1701" s="50">
        <v>4901288182</v>
      </c>
      <c r="M1701" s="3" t="s">
        <v>3781</v>
      </c>
    </row>
    <row r="1702" spans="1:13" ht="15" customHeight="1" x14ac:dyDescent="0.35">
      <c r="A1702" s="85" t="s">
        <v>29</v>
      </c>
      <c r="B1702" s="86">
        <v>2334</v>
      </c>
      <c r="C1702" s="87"/>
      <c r="D1702" s="88">
        <v>46103</v>
      </c>
      <c r="E1702" s="43">
        <v>640000</v>
      </c>
      <c r="F1702" s="44">
        <f t="shared" si="82"/>
        <v>51200</v>
      </c>
      <c r="G1702" s="45">
        <f t="shared" si="80"/>
        <v>691200</v>
      </c>
      <c r="H1702" s="46">
        <v>691200</v>
      </c>
      <c r="I1702" s="47">
        <f t="shared" si="81"/>
        <v>0</v>
      </c>
      <c r="J1702" s="48">
        <v>46105</v>
      </c>
      <c r="K1702" s="49">
        <v>46188</v>
      </c>
      <c r="L1702" s="50">
        <v>4185450126</v>
      </c>
      <c r="M1702" s="3" t="s">
        <v>3781</v>
      </c>
    </row>
    <row r="1703" spans="1:13" ht="15" customHeight="1" x14ac:dyDescent="0.35">
      <c r="A1703" s="85" t="s">
        <v>85</v>
      </c>
      <c r="B1703" s="86">
        <v>2117</v>
      </c>
      <c r="C1703" s="87"/>
      <c r="D1703" s="88">
        <v>46093</v>
      </c>
      <c r="E1703" s="43">
        <v>810000</v>
      </c>
      <c r="F1703" s="44">
        <f t="shared" si="82"/>
        <v>64800</v>
      </c>
      <c r="G1703" s="45">
        <f t="shared" si="80"/>
        <v>874800</v>
      </c>
      <c r="H1703" s="46">
        <v>874800</v>
      </c>
      <c r="I1703" s="47">
        <f t="shared" si="81"/>
        <v>0</v>
      </c>
      <c r="J1703" s="48">
        <v>46094</v>
      </c>
      <c r="K1703" s="49">
        <v>46188</v>
      </c>
      <c r="L1703" s="50">
        <v>4184558698</v>
      </c>
      <c r="M1703" s="3" t="s">
        <v>3781</v>
      </c>
    </row>
    <row r="1704" spans="1:13" ht="15" customHeight="1" x14ac:dyDescent="0.35">
      <c r="A1704" s="85" t="s">
        <v>85</v>
      </c>
      <c r="B1704" s="86">
        <v>2118</v>
      </c>
      <c r="C1704" s="87"/>
      <c r="D1704" s="88">
        <v>46093</v>
      </c>
      <c r="E1704" s="43">
        <v>138375000</v>
      </c>
      <c r="F1704" s="44">
        <f t="shared" si="82"/>
        <v>11070000</v>
      </c>
      <c r="G1704" s="45">
        <f t="shared" si="80"/>
        <v>149445000</v>
      </c>
      <c r="H1704" s="46">
        <v>149445000</v>
      </c>
      <c r="I1704" s="47">
        <f t="shared" si="81"/>
        <v>0</v>
      </c>
      <c r="J1704" s="48">
        <v>46094</v>
      </c>
      <c r="K1704" s="49">
        <v>46188</v>
      </c>
      <c r="L1704" s="50">
        <v>4184637617</v>
      </c>
      <c r="M1704" s="3" t="s">
        <v>3781</v>
      </c>
    </row>
    <row r="1705" spans="1:13" ht="15" customHeight="1" x14ac:dyDescent="0.35">
      <c r="A1705" s="85" t="s">
        <v>85</v>
      </c>
      <c r="B1705" s="86">
        <v>2119</v>
      </c>
      <c r="C1705" s="87"/>
      <c r="D1705" s="88">
        <v>46093</v>
      </c>
      <c r="E1705" s="43">
        <v>2809000</v>
      </c>
      <c r="F1705" s="44">
        <f t="shared" si="82"/>
        <v>224720</v>
      </c>
      <c r="G1705" s="45">
        <f t="shared" si="80"/>
        <v>3033720</v>
      </c>
      <c r="H1705" s="46">
        <v>3033720</v>
      </c>
      <c r="I1705" s="47">
        <f t="shared" si="81"/>
        <v>0</v>
      </c>
      <c r="J1705" s="48">
        <v>46094</v>
      </c>
      <c r="K1705" s="49">
        <v>46188</v>
      </c>
      <c r="L1705" s="50">
        <v>4185431161</v>
      </c>
      <c r="M1705" s="3" t="s">
        <v>3781</v>
      </c>
    </row>
    <row r="1706" spans="1:13" ht="15" customHeight="1" x14ac:dyDescent="0.35">
      <c r="A1706" s="85" t="s">
        <v>37</v>
      </c>
      <c r="B1706" s="86">
        <v>2335</v>
      </c>
      <c r="C1706" s="87">
        <v>2662</v>
      </c>
      <c r="D1706" s="88">
        <v>46116</v>
      </c>
      <c r="E1706" s="43">
        <v>291600</v>
      </c>
      <c r="F1706" s="44">
        <f t="shared" ref="F1706:F1708" si="83">+E1706*0.08</f>
        <v>23328</v>
      </c>
      <c r="G1706" s="45">
        <f t="shared" ref="G1706:G1708" si="84">E1706+F1706</f>
        <v>314928</v>
      </c>
      <c r="H1706" s="46">
        <v>314928</v>
      </c>
      <c r="I1706" s="47">
        <f t="shared" ref="I1706:I1708" si="85">G1706-H1706</f>
        <v>0</v>
      </c>
      <c r="J1706" s="48">
        <v>46105</v>
      </c>
      <c r="K1706" s="49">
        <v>46198</v>
      </c>
      <c r="L1706" s="50">
        <v>4185506424</v>
      </c>
    </row>
    <row r="1707" spans="1:13" ht="15" customHeight="1" x14ac:dyDescent="0.35">
      <c r="A1707" s="85" t="s">
        <v>56</v>
      </c>
      <c r="B1707" s="86">
        <v>2336</v>
      </c>
      <c r="C1707" s="87"/>
      <c r="D1707" s="88">
        <v>46103</v>
      </c>
      <c r="E1707" s="43">
        <v>1280000</v>
      </c>
      <c r="F1707" s="44">
        <f t="shared" si="83"/>
        <v>102400</v>
      </c>
      <c r="G1707" s="45">
        <f t="shared" si="84"/>
        <v>1382400</v>
      </c>
      <c r="H1707" s="46">
        <v>1382400</v>
      </c>
      <c r="I1707" s="47">
        <f t="shared" si="85"/>
        <v>0</v>
      </c>
      <c r="J1707" s="48">
        <v>46105</v>
      </c>
      <c r="K1707" s="49">
        <v>46188</v>
      </c>
      <c r="L1707" s="50">
        <v>4185525655</v>
      </c>
      <c r="M1707" s="3" t="s">
        <v>3781</v>
      </c>
    </row>
    <row r="1708" spans="1:13" ht="15" customHeight="1" x14ac:dyDescent="0.35">
      <c r="A1708" s="85" t="s">
        <v>63</v>
      </c>
      <c r="B1708" s="86">
        <v>2337</v>
      </c>
      <c r="C1708" s="87"/>
      <c r="D1708" s="88">
        <v>46103</v>
      </c>
      <c r="E1708" s="43">
        <v>810000</v>
      </c>
      <c r="F1708" s="44">
        <f t="shared" si="83"/>
        <v>64800</v>
      </c>
      <c r="G1708" s="45">
        <f t="shared" si="84"/>
        <v>874800</v>
      </c>
      <c r="H1708" s="46">
        <v>874800</v>
      </c>
      <c r="I1708" s="47">
        <f t="shared" si="85"/>
        <v>0</v>
      </c>
      <c r="J1708" s="48">
        <v>46105</v>
      </c>
      <c r="K1708" s="49">
        <v>46188</v>
      </c>
      <c r="L1708" s="50">
        <v>4185525966</v>
      </c>
      <c r="M1708" s="3" t="s">
        <v>3781</v>
      </c>
    </row>
    <row r="1709" spans="1:13" ht="15" customHeight="1" x14ac:dyDescent="0.35">
      <c r="A1709" s="85" t="s">
        <v>123</v>
      </c>
      <c r="B1709" s="86">
        <v>2338</v>
      </c>
      <c r="C1709" s="87"/>
      <c r="D1709" s="88">
        <v>46103</v>
      </c>
      <c r="E1709" s="43">
        <v>640000</v>
      </c>
      <c r="F1709" s="44">
        <f t="shared" si="82"/>
        <v>51200</v>
      </c>
      <c r="G1709" s="45">
        <f t="shared" si="80"/>
        <v>691200</v>
      </c>
      <c r="H1709" s="46">
        <v>691200</v>
      </c>
      <c r="I1709" s="47">
        <f t="shared" si="81"/>
        <v>0</v>
      </c>
      <c r="J1709" s="48">
        <v>46105</v>
      </c>
      <c r="K1709" s="49">
        <v>46188</v>
      </c>
      <c r="L1709" s="50">
        <v>4185526028</v>
      </c>
      <c r="M1709" s="3" t="s">
        <v>3781</v>
      </c>
    </row>
    <row r="1710" spans="1:13" ht="15" customHeight="1" x14ac:dyDescent="0.35">
      <c r="A1710" s="85" t="s">
        <v>29</v>
      </c>
      <c r="B1710" s="86">
        <v>2339</v>
      </c>
      <c r="C1710" s="87"/>
      <c r="D1710" s="88">
        <v>46103</v>
      </c>
      <c r="E1710" s="43">
        <v>2970000</v>
      </c>
      <c r="F1710" s="44">
        <f t="shared" si="82"/>
        <v>237600</v>
      </c>
      <c r="G1710" s="45">
        <f t="shared" si="80"/>
        <v>3207600</v>
      </c>
      <c r="H1710" s="46">
        <v>3207600</v>
      </c>
      <c r="I1710" s="47">
        <f t="shared" si="81"/>
        <v>0</v>
      </c>
      <c r="J1710" s="48">
        <v>46105</v>
      </c>
      <c r="K1710" s="49">
        <v>46188</v>
      </c>
      <c r="L1710" s="50">
        <v>4185577678</v>
      </c>
      <c r="M1710" s="3" t="s">
        <v>3781</v>
      </c>
    </row>
    <row r="1711" spans="1:13" ht="15" customHeight="1" x14ac:dyDescent="0.35">
      <c r="A1711" s="85" t="s">
        <v>3227</v>
      </c>
      <c r="B1711" s="86">
        <v>2340</v>
      </c>
      <c r="C1711" s="87"/>
      <c r="D1711" s="88">
        <v>46103</v>
      </c>
      <c r="E1711" s="43">
        <v>2430000</v>
      </c>
      <c r="F1711" s="44">
        <f t="shared" si="82"/>
        <v>194400</v>
      </c>
      <c r="G1711" s="45">
        <f t="shared" si="80"/>
        <v>2624400</v>
      </c>
      <c r="H1711" s="46">
        <v>2624400</v>
      </c>
      <c r="I1711" s="47">
        <f t="shared" si="81"/>
        <v>0</v>
      </c>
      <c r="J1711" s="48">
        <v>46105</v>
      </c>
      <c r="K1711" s="49">
        <v>46188</v>
      </c>
      <c r="L1711" s="50">
        <v>4185602127</v>
      </c>
      <c r="M1711" s="3" t="s">
        <v>3781</v>
      </c>
    </row>
    <row r="1712" spans="1:13" ht="15" customHeight="1" x14ac:dyDescent="0.35">
      <c r="A1712" s="85" t="s">
        <v>123</v>
      </c>
      <c r="B1712" s="86">
        <v>2341</v>
      </c>
      <c r="C1712" s="87"/>
      <c r="D1712" s="88">
        <v>46103</v>
      </c>
      <c r="E1712" s="43">
        <v>810000</v>
      </c>
      <c r="F1712" s="44">
        <f t="shared" si="82"/>
        <v>64800</v>
      </c>
      <c r="G1712" s="45">
        <f t="shared" si="80"/>
        <v>874800</v>
      </c>
      <c r="H1712" s="46">
        <v>874800</v>
      </c>
      <c r="I1712" s="47">
        <f t="shared" si="81"/>
        <v>0</v>
      </c>
      <c r="J1712" s="48">
        <v>46105</v>
      </c>
      <c r="K1712" s="49">
        <v>46188</v>
      </c>
      <c r="L1712" s="50">
        <v>4185604602</v>
      </c>
      <c r="M1712" s="3" t="s">
        <v>3781</v>
      </c>
    </row>
    <row r="1713" spans="1:19" ht="15" customHeight="1" x14ac:dyDescent="0.35">
      <c r="A1713" s="85" t="s">
        <v>56</v>
      </c>
      <c r="B1713" s="86">
        <v>2342</v>
      </c>
      <c r="C1713" s="87">
        <v>2663</v>
      </c>
      <c r="D1713" s="88">
        <v>46116</v>
      </c>
      <c r="E1713" s="43">
        <v>486000</v>
      </c>
      <c r="F1713" s="44">
        <f t="shared" si="82"/>
        <v>38880</v>
      </c>
      <c r="G1713" s="45">
        <f t="shared" si="80"/>
        <v>524880</v>
      </c>
      <c r="H1713" s="46">
        <v>524880</v>
      </c>
      <c r="I1713" s="47">
        <f t="shared" si="81"/>
        <v>0</v>
      </c>
      <c r="J1713" s="48">
        <v>46105</v>
      </c>
      <c r="K1713" s="49">
        <v>46198</v>
      </c>
      <c r="L1713" s="50">
        <v>4185613012</v>
      </c>
    </row>
    <row r="1714" spans="1:19" ht="15" customHeight="1" x14ac:dyDescent="0.35">
      <c r="A1714" s="85" t="s">
        <v>63</v>
      </c>
      <c r="B1714" s="86">
        <v>2343</v>
      </c>
      <c r="C1714" s="87"/>
      <c r="D1714" s="88">
        <v>46103</v>
      </c>
      <c r="E1714" s="43">
        <v>810000</v>
      </c>
      <c r="F1714" s="44">
        <f t="shared" ref="F1714:F1971" si="86">+E1714*0.08</f>
        <v>64800</v>
      </c>
      <c r="G1714" s="45">
        <f t="shared" ref="G1714:G1971" si="87">E1714+F1714</f>
        <v>874800</v>
      </c>
      <c r="H1714" s="46">
        <v>874800</v>
      </c>
      <c r="I1714" s="47">
        <f t="shared" ref="I1714:I1968" si="88">G1714-H1714</f>
        <v>0</v>
      </c>
      <c r="J1714" s="48">
        <v>46105</v>
      </c>
      <c r="K1714" s="49">
        <v>46188</v>
      </c>
      <c r="L1714" s="50">
        <v>4185604710</v>
      </c>
      <c r="M1714" s="3" t="s">
        <v>3781</v>
      </c>
    </row>
    <row r="1715" spans="1:19" ht="15" customHeight="1" x14ac:dyDescent="0.35">
      <c r="A1715" s="85" t="s">
        <v>37</v>
      </c>
      <c r="B1715" s="86">
        <v>2344</v>
      </c>
      <c r="C1715" s="87">
        <v>2664</v>
      </c>
      <c r="D1715" s="88">
        <v>46116</v>
      </c>
      <c r="E1715" s="43">
        <v>291600</v>
      </c>
      <c r="F1715" s="44">
        <f t="shared" si="86"/>
        <v>23328</v>
      </c>
      <c r="G1715" s="45">
        <f t="shared" si="87"/>
        <v>314928</v>
      </c>
      <c r="H1715" s="46">
        <v>314928</v>
      </c>
      <c r="I1715" s="47">
        <f t="shared" si="88"/>
        <v>0</v>
      </c>
      <c r="J1715" s="48">
        <v>46105</v>
      </c>
      <c r="K1715" s="49">
        <v>46198</v>
      </c>
      <c r="L1715" s="50">
        <v>4185643720</v>
      </c>
    </row>
    <row r="1716" spans="1:19" ht="15" customHeight="1" x14ac:dyDescent="0.35">
      <c r="A1716" s="85" t="s">
        <v>77</v>
      </c>
      <c r="B1716" s="86">
        <v>2345</v>
      </c>
      <c r="C1716" s="87"/>
      <c r="D1716" s="88">
        <v>46103</v>
      </c>
      <c r="E1716" s="43">
        <v>20560000</v>
      </c>
      <c r="F1716" s="44">
        <f t="shared" si="86"/>
        <v>1644800</v>
      </c>
      <c r="G1716" s="45">
        <f t="shared" si="87"/>
        <v>22204800</v>
      </c>
      <c r="H1716" s="46">
        <v>22204800</v>
      </c>
      <c r="I1716" s="47">
        <f t="shared" si="88"/>
        <v>0</v>
      </c>
      <c r="J1716" s="48">
        <v>46105</v>
      </c>
      <c r="K1716" s="49">
        <v>46188</v>
      </c>
      <c r="L1716" s="50">
        <v>4185733987</v>
      </c>
      <c r="M1716" s="3" t="s">
        <v>3781</v>
      </c>
    </row>
    <row r="1717" spans="1:19" ht="15" customHeight="1" x14ac:dyDescent="0.35">
      <c r="A1717" s="85" t="s">
        <v>123</v>
      </c>
      <c r="B1717" s="86">
        <v>2346</v>
      </c>
      <c r="C1717" s="87"/>
      <c r="D1717" s="88">
        <v>46103</v>
      </c>
      <c r="E1717" s="43">
        <v>640000</v>
      </c>
      <c r="F1717" s="44">
        <f t="shared" si="86"/>
        <v>51200</v>
      </c>
      <c r="G1717" s="45">
        <f t="shared" si="87"/>
        <v>691200</v>
      </c>
      <c r="H1717" s="46">
        <v>691200</v>
      </c>
      <c r="I1717" s="47">
        <f t="shared" si="88"/>
        <v>0</v>
      </c>
      <c r="J1717" s="48">
        <v>46105</v>
      </c>
      <c r="K1717" s="49">
        <v>46188</v>
      </c>
      <c r="L1717" s="50">
        <v>4185883625</v>
      </c>
      <c r="M1717" s="3" t="s">
        <v>3781</v>
      </c>
    </row>
    <row r="1718" spans="1:19" ht="15" customHeight="1" x14ac:dyDescent="0.35">
      <c r="A1718" s="85" t="s">
        <v>29</v>
      </c>
      <c r="B1718" s="86">
        <v>2347</v>
      </c>
      <c r="C1718" s="87"/>
      <c r="D1718" s="88">
        <v>46103</v>
      </c>
      <c r="E1718" s="43">
        <v>729000</v>
      </c>
      <c r="F1718" s="44">
        <f t="shared" si="86"/>
        <v>58320</v>
      </c>
      <c r="G1718" s="45">
        <f t="shared" si="87"/>
        <v>787320</v>
      </c>
      <c r="H1718" s="46">
        <v>787320</v>
      </c>
      <c r="I1718" s="47">
        <f t="shared" si="88"/>
        <v>0</v>
      </c>
      <c r="J1718" s="48">
        <v>46105</v>
      </c>
      <c r="K1718" s="49">
        <v>46188</v>
      </c>
      <c r="L1718" s="50">
        <v>4185868917</v>
      </c>
      <c r="M1718" s="3" t="s">
        <v>3781</v>
      </c>
    </row>
    <row r="1719" spans="1:19" ht="15" customHeight="1" x14ac:dyDescent="0.35">
      <c r="A1719" s="85" t="s">
        <v>63</v>
      </c>
      <c r="B1719" s="86">
        <v>2348</v>
      </c>
      <c r="C1719" s="87"/>
      <c r="D1719" s="88">
        <v>46103</v>
      </c>
      <c r="E1719" s="43">
        <v>810000</v>
      </c>
      <c r="F1719" s="44">
        <f t="shared" si="86"/>
        <v>64800</v>
      </c>
      <c r="G1719" s="45">
        <f t="shared" si="87"/>
        <v>874800</v>
      </c>
      <c r="H1719" s="46">
        <v>874800</v>
      </c>
      <c r="I1719" s="47">
        <f t="shared" si="88"/>
        <v>0</v>
      </c>
      <c r="J1719" s="48">
        <v>46120</v>
      </c>
      <c r="K1719" s="49">
        <v>46198</v>
      </c>
      <c r="L1719" s="50">
        <v>4185883629</v>
      </c>
      <c r="M1719" s="3" t="s">
        <v>3781</v>
      </c>
    </row>
    <row r="1720" spans="1:19" ht="15" customHeight="1" x14ac:dyDescent="0.35">
      <c r="A1720" s="85" t="s">
        <v>29</v>
      </c>
      <c r="B1720" s="86">
        <v>2349</v>
      </c>
      <c r="C1720" s="87"/>
      <c r="D1720" s="88">
        <v>46103</v>
      </c>
      <c r="E1720" s="43">
        <v>1620000</v>
      </c>
      <c r="F1720" s="44">
        <f t="shared" si="86"/>
        <v>129600</v>
      </c>
      <c r="G1720" s="45">
        <f t="shared" si="87"/>
        <v>1749600</v>
      </c>
      <c r="H1720" s="46">
        <v>1749600</v>
      </c>
      <c r="I1720" s="47">
        <f t="shared" si="88"/>
        <v>0</v>
      </c>
      <c r="J1720" s="48">
        <v>46105</v>
      </c>
      <c r="K1720" s="49">
        <v>46188</v>
      </c>
      <c r="L1720" s="50">
        <v>4185864357</v>
      </c>
      <c r="M1720" s="3" t="s">
        <v>3781</v>
      </c>
    </row>
    <row r="1721" spans="1:19" ht="15" customHeight="1" x14ac:dyDescent="0.35">
      <c r="A1721" s="85" t="s">
        <v>37</v>
      </c>
      <c r="B1721" s="86">
        <v>2350</v>
      </c>
      <c r="C1721" s="87"/>
      <c r="D1721" s="88">
        <v>46103</v>
      </c>
      <c r="E1721" s="43">
        <v>2090000</v>
      </c>
      <c r="F1721" s="44">
        <f t="shared" si="86"/>
        <v>167200</v>
      </c>
      <c r="G1721" s="45">
        <f t="shared" si="87"/>
        <v>2257200</v>
      </c>
      <c r="H1721" s="45">
        <v>2257200</v>
      </c>
      <c r="I1721" s="47">
        <f t="shared" si="88"/>
        <v>0</v>
      </c>
      <c r="J1721" s="48">
        <v>46105</v>
      </c>
      <c r="K1721" s="49">
        <v>46188</v>
      </c>
      <c r="L1721" s="50">
        <v>4185864568</v>
      </c>
      <c r="M1721" s="3" t="s">
        <v>3781</v>
      </c>
    </row>
    <row r="1722" spans="1:19" ht="15" customHeight="1" x14ac:dyDescent="0.35">
      <c r="A1722" s="85" t="s">
        <v>3227</v>
      </c>
      <c r="B1722" s="86">
        <v>2351</v>
      </c>
      <c r="C1722" s="87"/>
      <c r="D1722" s="88">
        <v>46103</v>
      </c>
      <c r="E1722" s="43">
        <v>1280000</v>
      </c>
      <c r="F1722" s="44">
        <f t="shared" si="86"/>
        <v>102400</v>
      </c>
      <c r="G1722" s="45">
        <f t="shared" si="87"/>
        <v>1382400</v>
      </c>
      <c r="H1722" s="46">
        <v>1382400</v>
      </c>
      <c r="I1722" s="47">
        <f t="shared" si="88"/>
        <v>0</v>
      </c>
      <c r="J1722" s="48">
        <v>46105</v>
      </c>
      <c r="K1722" s="49">
        <v>46188</v>
      </c>
      <c r="L1722" s="50">
        <v>4185871108</v>
      </c>
      <c r="M1722" s="3" t="s">
        <v>3781</v>
      </c>
    </row>
    <row r="1723" spans="1:19" ht="15" customHeight="1" x14ac:dyDescent="0.35">
      <c r="A1723" s="85" t="s">
        <v>29</v>
      </c>
      <c r="B1723" s="86">
        <v>2352</v>
      </c>
      <c r="C1723" s="87"/>
      <c r="D1723" s="88">
        <v>46103</v>
      </c>
      <c r="E1723" s="43">
        <v>9312000</v>
      </c>
      <c r="F1723" s="44">
        <f t="shared" si="86"/>
        <v>744960</v>
      </c>
      <c r="G1723" s="45">
        <f t="shared" si="87"/>
        <v>10056960</v>
      </c>
      <c r="H1723" s="46">
        <v>10056960</v>
      </c>
      <c r="I1723" s="47">
        <f t="shared" si="88"/>
        <v>0</v>
      </c>
      <c r="J1723" s="48">
        <v>46105</v>
      </c>
      <c r="K1723" s="49">
        <v>46188</v>
      </c>
      <c r="L1723" s="50">
        <v>4185871112</v>
      </c>
      <c r="M1723" s="3" t="s">
        <v>3781</v>
      </c>
    </row>
    <row r="1724" spans="1:19" ht="15" customHeight="1" x14ac:dyDescent="0.35">
      <c r="A1724" s="85" t="s">
        <v>37</v>
      </c>
      <c r="B1724" s="86">
        <v>2387</v>
      </c>
      <c r="C1724" s="87"/>
      <c r="D1724" s="88">
        <v>46105</v>
      </c>
      <c r="E1724" s="43">
        <v>461700</v>
      </c>
      <c r="F1724" s="44">
        <f t="shared" si="86"/>
        <v>36936</v>
      </c>
      <c r="G1724" s="45">
        <f t="shared" si="87"/>
        <v>498636</v>
      </c>
      <c r="H1724" s="46">
        <v>498636</v>
      </c>
      <c r="I1724" s="47">
        <f t="shared" si="88"/>
        <v>0</v>
      </c>
      <c r="J1724" s="48">
        <v>46105</v>
      </c>
      <c r="K1724" s="49">
        <v>46188</v>
      </c>
      <c r="L1724" s="50">
        <v>4185792349</v>
      </c>
      <c r="M1724" s="3" t="s">
        <v>3781</v>
      </c>
    </row>
    <row r="1725" spans="1:19" ht="15" customHeight="1" x14ac:dyDescent="0.35">
      <c r="A1725" s="85" t="s">
        <v>33</v>
      </c>
      <c r="B1725" s="86">
        <v>2353</v>
      </c>
      <c r="C1725" s="87"/>
      <c r="D1725" s="88">
        <v>46103</v>
      </c>
      <c r="E1725" s="43">
        <v>23148000</v>
      </c>
      <c r="F1725" s="44">
        <f t="shared" si="86"/>
        <v>1851840</v>
      </c>
      <c r="G1725" s="45">
        <f t="shared" si="87"/>
        <v>24999840</v>
      </c>
      <c r="H1725" s="46">
        <v>24999840</v>
      </c>
      <c r="I1725" s="47">
        <f t="shared" si="88"/>
        <v>0</v>
      </c>
      <c r="J1725" s="48">
        <v>46105</v>
      </c>
      <c r="K1725" s="49">
        <v>46188</v>
      </c>
      <c r="L1725" s="50">
        <v>4901289128</v>
      </c>
      <c r="M1725" s="3" t="s">
        <v>3781</v>
      </c>
    </row>
    <row r="1726" spans="1:19" ht="15" customHeight="1" x14ac:dyDescent="0.35">
      <c r="A1726" s="85" t="s">
        <v>123</v>
      </c>
      <c r="B1726" s="86">
        <v>2354</v>
      </c>
      <c r="C1726" s="87"/>
      <c r="D1726" s="88">
        <v>46103</v>
      </c>
      <c r="E1726" s="43">
        <v>810000</v>
      </c>
      <c r="F1726" s="44">
        <f t="shared" si="86"/>
        <v>64800</v>
      </c>
      <c r="G1726" s="45">
        <f t="shared" si="87"/>
        <v>874800</v>
      </c>
      <c r="H1726" s="46">
        <v>874800</v>
      </c>
      <c r="I1726" s="47">
        <f t="shared" si="88"/>
        <v>0</v>
      </c>
      <c r="J1726" s="48">
        <v>46105</v>
      </c>
      <c r="K1726" s="49">
        <v>46188</v>
      </c>
      <c r="L1726" s="50">
        <v>4185883748</v>
      </c>
      <c r="M1726" s="3" t="s">
        <v>3781</v>
      </c>
    </row>
    <row r="1727" spans="1:19" ht="15" customHeight="1" x14ac:dyDescent="0.35">
      <c r="A1727" s="85" t="s">
        <v>3227</v>
      </c>
      <c r="B1727" s="86">
        <v>2355</v>
      </c>
      <c r="C1727" s="87"/>
      <c r="D1727" s="88">
        <v>46103</v>
      </c>
      <c r="E1727" s="43">
        <v>1280000</v>
      </c>
      <c r="F1727" s="44">
        <f t="shared" si="86"/>
        <v>102400</v>
      </c>
      <c r="G1727" s="45">
        <f t="shared" si="87"/>
        <v>1382400</v>
      </c>
      <c r="H1727" s="46">
        <v>1382400</v>
      </c>
      <c r="I1727" s="47">
        <f t="shared" si="88"/>
        <v>0</v>
      </c>
      <c r="J1727" s="48">
        <v>46120</v>
      </c>
      <c r="K1727" s="49">
        <v>46198</v>
      </c>
      <c r="L1727" s="50">
        <v>4185971150</v>
      </c>
      <c r="M1727" s="3" t="s">
        <v>3781</v>
      </c>
    </row>
    <row r="1728" spans="1:19" s="127" customFormat="1" ht="15" customHeight="1" x14ac:dyDescent="0.35">
      <c r="A1728" s="100" t="s">
        <v>29</v>
      </c>
      <c r="B1728" s="118">
        <v>2356</v>
      </c>
      <c r="C1728" s="119"/>
      <c r="D1728" s="120">
        <v>46103</v>
      </c>
      <c r="E1728" s="96">
        <v>17055000</v>
      </c>
      <c r="F1728" s="96">
        <f t="shared" si="86"/>
        <v>1364400</v>
      </c>
      <c r="G1728" s="95">
        <f t="shared" si="87"/>
        <v>18419400</v>
      </c>
      <c r="H1728" s="96">
        <v>18419400</v>
      </c>
      <c r="I1728" s="121">
        <f t="shared" si="88"/>
        <v>0</v>
      </c>
      <c r="J1728" s="122">
        <v>46105</v>
      </c>
      <c r="K1728" s="123">
        <v>46188</v>
      </c>
      <c r="L1728" s="124">
        <v>4185971141</v>
      </c>
      <c r="M1728" s="127" t="s">
        <v>3781</v>
      </c>
      <c r="S1728" s="128"/>
    </row>
    <row r="1729" spans="1:12" ht="15" customHeight="1" x14ac:dyDescent="0.35">
      <c r="A1729" s="85" t="s">
        <v>56</v>
      </c>
      <c r="B1729" s="86">
        <v>2699</v>
      </c>
      <c r="C1729" s="87"/>
      <c r="D1729" s="88">
        <v>46119</v>
      </c>
      <c r="E1729" s="43">
        <v>8632000</v>
      </c>
      <c r="F1729" s="44">
        <f t="shared" si="86"/>
        <v>690560</v>
      </c>
      <c r="G1729" s="45">
        <f t="shared" si="87"/>
        <v>9322560</v>
      </c>
      <c r="H1729" s="46">
        <v>9322560</v>
      </c>
      <c r="I1729" s="47">
        <f t="shared" si="88"/>
        <v>0</v>
      </c>
      <c r="J1729" s="48">
        <v>46120</v>
      </c>
      <c r="K1729" s="49">
        <v>46198</v>
      </c>
      <c r="L1729" s="50">
        <v>4186142258</v>
      </c>
    </row>
    <row r="1730" spans="1:12" ht="15" customHeight="1" x14ac:dyDescent="0.35">
      <c r="A1730" s="85" t="s">
        <v>123</v>
      </c>
      <c r="B1730" s="86">
        <v>2700</v>
      </c>
      <c r="C1730" s="87"/>
      <c r="D1730" s="88">
        <v>46119</v>
      </c>
      <c r="E1730" s="43">
        <v>13733000</v>
      </c>
      <c r="F1730" s="44">
        <f t="shared" si="86"/>
        <v>1098640</v>
      </c>
      <c r="G1730" s="45">
        <f t="shared" si="87"/>
        <v>14831640</v>
      </c>
      <c r="H1730" s="46">
        <v>14831640</v>
      </c>
      <c r="I1730" s="47">
        <f t="shared" si="88"/>
        <v>0</v>
      </c>
      <c r="J1730" s="48">
        <v>46120</v>
      </c>
      <c r="K1730" s="49">
        <v>46198</v>
      </c>
      <c r="L1730" s="50">
        <v>4186142280</v>
      </c>
    </row>
    <row r="1731" spans="1:12" ht="15" customHeight="1" x14ac:dyDescent="0.35">
      <c r="A1731" s="85" t="s">
        <v>37</v>
      </c>
      <c r="B1731" s="86">
        <v>2701</v>
      </c>
      <c r="C1731" s="87"/>
      <c r="D1731" s="88">
        <v>46119</v>
      </c>
      <c r="E1731" s="43">
        <v>9175000</v>
      </c>
      <c r="F1731" s="44">
        <f t="shared" si="86"/>
        <v>734000</v>
      </c>
      <c r="G1731" s="45">
        <f t="shared" si="87"/>
        <v>9909000</v>
      </c>
      <c r="H1731" s="46">
        <v>9909000</v>
      </c>
      <c r="I1731" s="47">
        <f t="shared" si="88"/>
        <v>0</v>
      </c>
      <c r="J1731" s="48">
        <v>46120</v>
      </c>
      <c r="K1731" s="49">
        <v>46198</v>
      </c>
      <c r="L1731" s="50">
        <v>4186142308</v>
      </c>
    </row>
    <row r="1732" spans="1:12" ht="15" customHeight="1" x14ac:dyDescent="0.35">
      <c r="A1732" s="85" t="s">
        <v>85</v>
      </c>
      <c r="B1732" s="86">
        <v>2702</v>
      </c>
      <c r="C1732" s="87"/>
      <c r="D1732" s="88">
        <v>46119</v>
      </c>
      <c r="E1732" s="43">
        <v>12027000</v>
      </c>
      <c r="F1732" s="44">
        <f t="shared" si="86"/>
        <v>962160</v>
      </c>
      <c r="G1732" s="45">
        <f t="shared" si="87"/>
        <v>12989160</v>
      </c>
      <c r="H1732" s="46">
        <v>12989160</v>
      </c>
      <c r="I1732" s="47">
        <f t="shared" si="88"/>
        <v>0</v>
      </c>
      <c r="J1732" s="48">
        <v>46120</v>
      </c>
      <c r="K1732" s="49">
        <v>46198</v>
      </c>
      <c r="L1732" s="50">
        <v>4186142339</v>
      </c>
    </row>
    <row r="1733" spans="1:12" ht="15" customHeight="1" x14ac:dyDescent="0.35">
      <c r="A1733" s="85" t="s">
        <v>63</v>
      </c>
      <c r="B1733" s="86">
        <v>2703</v>
      </c>
      <c r="C1733" s="87"/>
      <c r="D1733" s="88">
        <v>46119</v>
      </c>
      <c r="E1733" s="43">
        <v>2440000</v>
      </c>
      <c r="F1733" s="44">
        <f t="shared" si="86"/>
        <v>195200</v>
      </c>
      <c r="G1733" s="45">
        <f t="shared" si="87"/>
        <v>2635200</v>
      </c>
      <c r="H1733" s="46">
        <v>2635200</v>
      </c>
      <c r="I1733" s="47">
        <f t="shared" si="88"/>
        <v>0</v>
      </c>
      <c r="J1733" s="48">
        <v>46120</v>
      </c>
      <c r="K1733" s="49">
        <v>46198</v>
      </c>
      <c r="L1733" s="50">
        <v>4186142383</v>
      </c>
    </row>
    <row r="1734" spans="1:12" ht="15" customHeight="1" x14ac:dyDescent="0.35">
      <c r="A1734" s="85" t="s">
        <v>123</v>
      </c>
      <c r="B1734" s="86">
        <v>2704</v>
      </c>
      <c r="C1734" s="87"/>
      <c r="D1734" s="88">
        <v>46119</v>
      </c>
      <c r="E1734" s="43">
        <v>15056000</v>
      </c>
      <c r="F1734" s="44">
        <f t="shared" si="86"/>
        <v>1204480</v>
      </c>
      <c r="G1734" s="45">
        <f t="shared" si="87"/>
        <v>16260480</v>
      </c>
      <c r="H1734" s="46">
        <v>16260480</v>
      </c>
      <c r="I1734" s="47">
        <f t="shared" si="88"/>
        <v>0</v>
      </c>
      <c r="J1734" s="48">
        <v>46120</v>
      </c>
      <c r="K1734" s="49">
        <v>46198</v>
      </c>
      <c r="L1734" s="50">
        <v>4186142423</v>
      </c>
    </row>
    <row r="1735" spans="1:12" ht="15" customHeight="1" x14ac:dyDescent="0.35">
      <c r="A1735" s="85" t="s">
        <v>29</v>
      </c>
      <c r="B1735" s="86">
        <v>2705</v>
      </c>
      <c r="C1735" s="87"/>
      <c r="D1735" s="88">
        <v>46119</v>
      </c>
      <c r="E1735" s="43">
        <v>8320000</v>
      </c>
      <c r="F1735" s="44">
        <f t="shared" si="86"/>
        <v>665600</v>
      </c>
      <c r="G1735" s="45">
        <f t="shared" si="87"/>
        <v>8985600</v>
      </c>
      <c r="H1735" s="46">
        <v>8985600</v>
      </c>
      <c r="I1735" s="47">
        <f t="shared" si="88"/>
        <v>0</v>
      </c>
      <c r="J1735" s="48">
        <v>46120</v>
      </c>
      <c r="K1735" s="49">
        <v>46198</v>
      </c>
      <c r="L1735" s="50">
        <v>4186192083</v>
      </c>
    </row>
    <row r="1736" spans="1:12" ht="15" customHeight="1" x14ac:dyDescent="0.35">
      <c r="A1736" s="85" t="s">
        <v>37</v>
      </c>
      <c r="B1736" s="86">
        <v>2706</v>
      </c>
      <c r="C1736" s="87"/>
      <c r="D1736" s="88">
        <v>46119</v>
      </c>
      <c r="E1736" s="43">
        <v>1450000</v>
      </c>
      <c r="F1736" s="44">
        <f t="shared" si="86"/>
        <v>116000</v>
      </c>
      <c r="G1736" s="45">
        <f t="shared" si="87"/>
        <v>1566000</v>
      </c>
      <c r="H1736" s="46">
        <v>1566000</v>
      </c>
      <c r="I1736" s="47">
        <f t="shared" si="88"/>
        <v>0</v>
      </c>
      <c r="J1736" s="48">
        <v>46120</v>
      </c>
      <c r="K1736" s="49">
        <v>46198</v>
      </c>
      <c r="L1736" s="50">
        <v>4186191874</v>
      </c>
    </row>
    <row r="1737" spans="1:12" ht="15" customHeight="1" x14ac:dyDescent="0.35">
      <c r="A1737" s="85" t="s">
        <v>29</v>
      </c>
      <c r="B1737" s="86">
        <v>2707</v>
      </c>
      <c r="C1737" s="87"/>
      <c r="D1737" s="88">
        <v>46119</v>
      </c>
      <c r="E1737" s="43">
        <v>810000</v>
      </c>
      <c r="F1737" s="44">
        <f t="shared" si="86"/>
        <v>64800</v>
      </c>
      <c r="G1737" s="45">
        <f t="shared" si="87"/>
        <v>874800</v>
      </c>
      <c r="H1737" s="46">
        <v>874800</v>
      </c>
      <c r="I1737" s="47">
        <f t="shared" si="88"/>
        <v>0</v>
      </c>
      <c r="J1737" s="48">
        <v>46120</v>
      </c>
      <c r="K1737" s="49">
        <v>46198</v>
      </c>
      <c r="L1737" s="50">
        <v>4186191908</v>
      </c>
    </row>
    <row r="1738" spans="1:12" ht="15" customHeight="1" x14ac:dyDescent="0.35">
      <c r="A1738" s="85" t="s">
        <v>33</v>
      </c>
      <c r="B1738" s="86">
        <v>2708</v>
      </c>
      <c r="C1738" s="87"/>
      <c r="D1738" s="88">
        <v>46119</v>
      </c>
      <c r="E1738" s="43">
        <v>17792000</v>
      </c>
      <c r="F1738" s="44">
        <f t="shared" si="86"/>
        <v>1423360</v>
      </c>
      <c r="G1738" s="45">
        <f t="shared" si="87"/>
        <v>19215360</v>
      </c>
      <c r="H1738" s="46">
        <v>19215360</v>
      </c>
      <c r="I1738" s="47">
        <f t="shared" si="88"/>
        <v>0</v>
      </c>
      <c r="J1738" s="48">
        <v>46120</v>
      </c>
      <c r="K1738" s="49">
        <v>46198</v>
      </c>
      <c r="L1738" s="50">
        <v>4901289985</v>
      </c>
    </row>
    <row r="1739" spans="1:12" ht="15" customHeight="1" x14ac:dyDescent="0.35">
      <c r="A1739" s="85" t="s">
        <v>33</v>
      </c>
      <c r="B1739" s="86">
        <v>2709</v>
      </c>
      <c r="C1739" s="87"/>
      <c r="D1739" s="88">
        <v>46119</v>
      </c>
      <c r="E1739" s="43">
        <v>8987500</v>
      </c>
      <c r="F1739" s="44">
        <f t="shared" si="86"/>
        <v>719000</v>
      </c>
      <c r="G1739" s="45">
        <f t="shared" si="87"/>
        <v>9706500</v>
      </c>
      <c r="H1739" s="46">
        <v>9706500</v>
      </c>
      <c r="I1739" s="47">
        <f t="shared" si="88"/>
        <v>0</v>
      </c>
      <c r="J1739" s="48">
        <v>46120</v>
      </c>
      <c r="K1739" s="49">
        <v>46198</v>
      </c>
      <c r="L1739" s="50">
        <v>4901290041</v>
      </c>
    </row>
    <row r="1740" spans="1:12" ht="15" customHeight="1" x14ac:dyDescent="0.35">
      <c r="A1740" s="85" t="s">
        <v>29</v>
      </c>
      <c r="B1740" s="86">
        <v>2710</v>
      </c>
      <c r="C1740" s="87"/>
      <c r="D1740" s="88">
        <v>46119</v>
      </c>
      <c r="E1740" s="43">
        <v>26832000</v>
      </c>
      <c r="F1740" s="44">
        <f t="shared" si="86"/>
        <v>2146560</v>
      </c>
      <c r="G1740" s="45">
        <f t="shared" si="87"/>
        <v>28978560</v>
      </c>
      <c r="H1740" s="46">
        <v>28978560</v>
      </c>
      <c r="I1740" s="47">
        <f t="shared" si="88"/>
        <v>0</v>
      </c>
      <c r="J1740" s="48">
        <v>46120</v>
      </c>
      <c r="K1740" s="49">
        <v>46198</v>
      </c>
      <c r="L1740" s="50">
        <v>4186299867</v>
      </c>
    </row>
    <row r="1741" spans="1:12" ht="15" customHeight="1" x14ac:dyDescent="0.35">
      <c r="A1741" s="85" t="s">
        <v>63</v>
      </c>
      <c r="B1741" s="86">
        <v>2711</v>
      </c>
      <c r="C1741" s="87"/>
      <c r="D1741" s="88">
        <v>46119</v>
      </c>
      <c r="E1741" s="43">
        <v>1620000</v>
      </c>
      <c r="F1741" s="44">
        <f t="shared" si="86"/>
        <v>129600</v>
      </c>
      <c r="G1741" s="45">
        <f t="shared" si="87"/>
        <v>1749600</v>
      </c>
      <c r="H1741" s="46">
        <v>1749600</v>
      </c>
      <c r="I1741" s="47">
        <f t="shared" si="88"/>
        <v>0</v>
      </c>
      <c r="J1741" s="48">
        <v>46120</v>
      </c>
      <c r="K1741" s="49">
        <v>46198</v>
      </c>
      <c r="L1741" s="50">
        <v>4186222792</v>
      </c>
    </row>
    <row r="1742" spans="1:12" ht="15" customHeight="1" x14ac:dyDescent="0.35">
      <c r="A1742" s="85" t="s">
        <v>37</v>
      </c>
      <c r="B1742" s="86">
        <v>2712</v>
      </c>
      <c r="C1742" s="87"/>
      <c r="D1742" s="88">
        <v>46119</v>
      </c>
      <c r="E1742" s="43">
        <v>2090000</v>
      </c>
      <c r="F1742" s="44">
        <f t="shared" si="86"/>
        <v>167200</v>
      </c>
      <c r="G1742" s="45">
        <f t="shared" si="87"/>
        <v>2257200</v>
      </c>
      <c r="H1742" s="46">
        <v>2257200</v>
      </c>
      <c r="I1742" s="47">
        <f t="shared" si="88"/>
        <v>0</v>
      </c>
      <c r="J1742" s="48">
        <v>46120</v>
      </c>
      <c r="K1742" s="49">
        <v>46198</v>
      </c>
      <c r="L1742" s="50">
        <v>4186561052</v>
      </c>
    </row>
    <row r="1743" spans="1:12" ht="15" customHeight="1" x14ac:dyDescent="0.35">
      <c r="A1743" s="85" t="s">
        <v>37</v>
      </c>
      <c r="B1743" s="86">
        <v>2713</v>
      </c>
      <c r="C1743" s="87"/>
      <c r="D1743" s="88">
        <v>46119</v>
      </c>
      <c r="E1743" s="43">
        <v>9200000</v>
      </c>
      <c r="F1743" s="44">
        <f t="shared" si="86"/>
        <v>736000</v>
      </c>
      <c r="G1743" s="45">
        <f t="shared" si="87"/>
        <v>9936000</v>
      </c>
      <c r="H1743" s="46">
        <v>9936000</v>
      </c>
      <c r="I1743" s="47">
        <f t="shared" si="88"/>
        <v>0</v>
      </c>
      <c r="J1743" s="48">
        <v>46120</v>
      </c>
      <c r="K1743" s="49">
        <v>46198</v>
      </c>
      <c r="L1743" s="50">
        <v>4186603868</v>
      </c>
    </row>
    <row r="1744" spans="1:12" ht="15" customHeight="1" x14ac:dyDescent="0.35">
      <c r="A1744" s="85" t="s">
        <v>123</v>
      </c>
      <c r="B1744" s="86">
        <v>2714</v>
      </c>
      <c r="C1744" s="87"/>
      <c r="D1744" s="88">
        <v>46119</v>
      </c>
      <c r="E1744" s="43">
        <v>2045000</v>
      </c>
      <c r="F1744" s="44">
        <f t="shared" si="86"/>
        <v>163600</v>
      </c>
      <c r="G1744" s="45">
        <f t="shared" si="87"/>
        <v>2208600</v>
      </c>
      <c r="H1744" s="46">
        <v>2208600</v>
      </c>
      <c r="I1744" s="47">
        <f t="shared" si="88"/>
        <v>0</v>
      </c>
      <c r="J1744" s="48">
        <v>46120</v>
      </c>
      <c r="K1744" s="49">
        <v>46198</v>
      </c>
      <c r="L1744" s="50">
        <v>4186604214</v>
      </c>
    </row>
    <row r="1745" spans="1:12" ht="15" customHeight="1" x14ac:dyDescent="0.35">
      <c r="A1745" s="85" t="s">
        <v>123</v>
      </c>
      <c r="B1745" s="86">
        <v>2715</v>
      </c>
      <c r="C1745" s="87"/>
      <c r="D1745" s="88">
        <v>46119</v>
      </c>
      <c r="E1745" s="43">
        <v>6560000</v>
      </c>
      <c r="F1745" s="44">
        <f t="shared" si="86"/>
        <v>524800</v>
      </c>
      <c r="G1745" s="45">
        <f t="shared" si="87"/>
        <v>7084800</v>
      </c>
      <c r="H1745" s="46">
        <v>7084800</v>
      </c>
      <c r="I1745" s="47">
        <f t="shared" si="88"/>
        <v>0</v>
      </c>
      <c r="J1745" s="48">
        <v>46120</v>
      </c>
      <c r="K1745" s="49">
        <v>46198</v>
      </c>
      <c r="L1745" s="50">
        <v>4186603970</v>
      </c>
    </row>
    <row r="1746" spans="1:12" ht="15" customHeight="1" x14ac:dyDescent="0.35">
      <c r="A1746" s="85" t="s">
        <v>29</v>
      </c>
      <c r="B1746" s="86">
        <v>3238</v>
      </c>
      <c r="C1746" s="87"/>
      <c r="D1746" s="88">
        <v>46139</v>
      </c>
      <c r="E1746" s="43">
        <v>2705500</v>
      </c>
      <c r="F1746" s="44">
        <f t="shared" si="86"/>
        <v>216440</v>
      </c>
      <c r="G1746" s="45">
        <f t="shared" si="87"/>
        <v>2921940</v>
      </c>
      <c r="H1746" s="46">
        <v>2921940</v>
      </c>
      <c r="I1746" s="47">
        <f t="shared" si="88"/>
        <v>0</v>
      </c>
      <c r="J1746" s="48">
        <v>46139</v>
      </c>
      <c r="K1746" s="49">
        <v>46249</v>
      </c>
      <c r="L1746" s="50">
        <v>4186537363</v>
      </c>
    </row>
    <row r="1747" spans="1:12" ht="15" customHeight="1" x14ac:dyDescent="0.35">
      <c r="A1747" s="85" t="s">
        <v>29</v>
      </c>
      <c r="B1747" s="86"/>
      <c r="C1747" s="87"/>
      <c r="D1747" s="88"/>
      <c r="E1747" s="43">
        <v>640000</v>
      </c>
      <c r="F1747" s="44"/>
      <c r="G1747" s="45"/>
      <c r="H1747" s="46"/>
      <c r="I1747" s="47">
        <f t="shared" si="88"/>
        <v>0</v>
      </c>
      <c r="J1747" s="48" t="s">
        <v>3777</v>
      </c>
      <c r="K1747" s="49" t="s">
        <v>62</v>
      </c>
      <c r="L1747" s="50">
        <v>4186560897</v>
      </c>
    </row>
    <row r="1748" spans="1:12" ht="15" customHeight="1" x14ac:dyDescent="0.35">
      <c r="A1748" s="85" t="s">
        <v>29</v>
      </c>
      <c r="B1748" s="86">
        <v>3239</v>
      </c>
      <c r="C1748" s="87"/>
      <c r="D1748" s="88">
        <v>46139</v>
      </c>
      <c r="E1748" s="43">
        <v>5684000</v>
      </c>
      <c r="F1748" s="44">
        <f t="shared" si="86"/>
        <v>454720</v>
      </c>
      <c r="G1748" s="45">
        <f t="shared" si="87"/>
        <v>6138720</v>
      </c>
      <c r="H1748" s="46">
        <v>6138720</v>
      </c>
      <c r="I1748" s="47">
        <f t="shared" si="88"/>
        <v>0</v>
      </c>
      <c r="J1748" s="48">
        <v>46139</v>
      </c>
      <c r="K1748" s="49">
        <v>46249</v>
      </c>
      <c r="L1748" s="50">
        <v>4186603240</v>
      </c>
    </row>
    <row r="1749" spans="1:12" ht="15" customHeight="1" x14ac:dyDescent="0.35">
      <c r="A1749" s="85" t="s">
        <v>3227</v>
      </c>
      <c r="B1749" s="86">
        <v>3240</v>
      </c>
      <c r="C1749" s="87"/>
      <c r="D1749" s="88">
        <v>46139</v>
      </c>
      <c r="E1749" s="43">
        <v>2960000</v>
      </c>
      <c r="F1749" s="44">
        <f t="shared" si="86"/>
        <v>236800</v>
      </c>
      <c r="G1749" s="45">
        <f t="shared" si="87"/>
        <v>3196800</v>
      </c>
      <c r="H1749" s="46">
        <v>3196800</v>
      </c>
      <c r="I1749" s="47">
        <f t="shared" si="88"/>
        <v>0</v>
      </c>
      <c r="J1749" s="48">
        <v>46141</v>
      </c>
      <c r="K1749" s="49">
        <v>46249</v>
      </c>
      <c r="L1749" s="50">
        <v>4186603151</v>
      </c>
    </row>
    <row r="1750" spans="1:12" ht="15" customHeight="1" x14ac:dyDescent="0.35">
      <c r="A1750" s="85" t="s">
        <v>33</v>
      </c>
      <c r="B1750" s="86">
        <v>2716</v>
      </c>
      <c r="C1750" s="87"/>
      <c r="D1750" s="88">
        <v>46119</v>
      </c>
      <c r="E1750" s="43">
        <v>33818000</v>
      </c>
      <c r="F1750" s="44">
        <f t="shared" si="86"/>
        <v>2705440</v>
      </c>
      <c r="G1750" s="45">
        <f t="shared" si="87"/>
        <v>36523440</v>
      </c>
      <c r="H1750" s="46">
        <v>36523440</v>
      </c>
      <c r="I1750" s="47">
        <f t="shared" si="88"/>
        <v>0</v>
      </c>
      <c r="J1750" s="48">
        <v>46139</v>
      </c>
      <c r="K1750" s="49">
        <v>46249</v>
      </c>
      <c r="L1750" s="50">
        <v>4901290778</v>
      </c>
    </row>
    <row r="1751" spans="1:12" ht="15" customHeight="1" x14ac:dyDescent="0.35">
      <c r="A1751" s="85" t="s">
        <v>56</v>
      </c>
      <c r="B1751" s="86">
        <v>2718</v>
      </c>
      <c r="C1751" s="87"/>
      <c r="D1751" s="88">
        <v>46119</v>
      </c>
      <c r="E1751" s="43">
        <v>1600000</v>
      </c>
      <c r="F1751" s="44">
        <f t="shared" si="86"/>
        <v>128000</v>
      </c>
      <c r="G1751" s="45">
        <f t="shared" si="87"/>
        <v>1728000</v>
      </c>
      <c r="H1751" s="46">
        <v>1728000</v>
      </c>
      <c r="I1751" s="47">
        <f t="shared" si="88"/>
        <v>0</v>
      </c>
      <c r="J1751" s="48">
        <v>46120</v>
      </c>
      <c r="K1751" s="49">
        <v>46198</v>
      </c>
      <c r="L1751" s="50">
        <v>4186604013</v>
      </c>
    </row>
    <row r="1752" spans="1:12" ht="15" customHeight="1" x14ac:dyDescent="0.35">
      <c r="A1752" s="85" t="s">
        <v>85</v>
      </c>
      <c r="B1752" s="86">
        <v>2719</v>
      </c>
      <c r="C1752" s="87"/>
      <c r="D1752" s="88">
        <v>46119</v>
      </c>
      <c r="E1752" s="43">
        <v>9704000</v>
      </c>
      <c r="F1752" s="44">
        <f t="shared" si="86"/>
        <v>776320</v>
      </c>
      <c r="G1752" s="45">
        <f t="shared" si="87"/>
        <v>10480320</v>
      </c>
      <c r="H1752" s="46">
        <v>10480320</v>
      </c>
      <c r="I1752" s="47">
        <f t="shared" si="88"/>
        <v>0</v>
      </c>
      <c r="J1752" s="48">
        <v>46120</v>
      </c>
      <c r="K1752" s="49">
        <v>46198</v>
      </c>
      <c r="L1752" s="50">
        <v>4186604197</v>
      </c>
    </row>
    <row r="1753" spans="1:12" ht="15" customHeight="1" x14ac:dyDescent="0.35">
      <c r="A1753" s="85" t="s">
        <v>63</v>
      </c>
      <c r="B1753" s="86">
        <v>2720</v>
      </c>
      <c r="C1753" s="87"/>
      <c r="D1753" s="88">
        <v>46119</v>
      </c>
      <c r="E1753" s="43">
        <v>1040000</v>
      </c>
      <c r="F1753" s="44">
        <f t="shared" si="86"/>
        <v>83200</v>
      </c>
      <c r="G1753" s="45">
        <f t="shared" si="87"/>
        <v>1123200</v>
      </c>
      <c r="H1753" s="46">
        <v>1123200</v>
      </c>
      <c r="I1753" s="47">
        <f t="shared" si="88"/>
        <v>0</v>
      </c>
      <c r="J1753" s="48">
        <v>46120</v>
      </c>
      <c r="K1753" s="49">
        <v>46198</v>
      </c>
      <c r="L1753" s="50">
        <v>4186604185</v>
      </c>
    </row>
    <row r="1754" spans="1:12" ht="15" customHeight="1" x14ac:dyDescent="0.35">
      <c r="A1754" s="85" t="s">
        <v>123</v>
      </c>
      <c r="B1754" s="86">
        <v>2721</v>
      </c>
      <c r="C1754" s="87"/>
      <c r="D1754" s="88">
        <v>46119</v>
      </c>
      <c r="E1754" s="43">
        <v>1280000</v>
      </c>
      <c r="F1754" s="44">
        <f t="shared" si="86"/>
        <v>102400</v>
      </c>
      <c r="G1754" s="45">
        <f t="shared" si="87"/>
        <v>1382400</v>
      </c>
      <c r="H1754" s="46">
        <v>1382400</v>
      </c>
      <c r="I1754" s="47">
        <f t="shared" si="88"/>
        <v>0</v>
      </c>
      <c r="J1754" s="48">
        <v>46120</v>
      </c>
      <c r="K1754" s="49">
        <v>46198</v>
      </c>
      <c r="L1754" s="50">
        <v>4186610860</v>
      </c>
    </row>
    <row r="1755" spans="1:12" ht="15" customHeight="1" x14ac:dyDescent="0.35">
      <c r="A1755" s="85" t="s">
        <v>29</v>
      </c>
      <c r="B1755" s="86">
        <v>2722</v>
      </c>
      <c r="C1755" s="87"/>
      <c r="D1755" s="88">
        <v>46119</v>
      </c>
      <c r="E1755" s="43">
        <v>13913000</v>
      </c>
      <c r="F1755" s="44">
        <f t="shared" si="86"/>
        <v>1113040</v>
      </c>
      <c r="G1755" s="45">
        <f t="shared" si="87"/>
        <v>15026040</v>
      </c>
      <c r="H1755" s="46">
        <v>15026040</v>
      </c>
      <c r="I1755" s="47">
        <f t="shared" si="88"/>
        <v>0</v>
      </c>
      <c r="J1755" s="48">
        <v>46120</v>
      </c>
      <c r="K1755" s="49">
        <v>46198</v>
      </c>
      <c r="L1755" s="50">
        <v>4186672920</v>
      </c>
    </row>
    <row r="1756" spans="1:12" ht="15" customHeight="1" x14ac:dyDescent="0.35">
      <c r="A1756" s="85" t="s">
        <v>63</v>
      </c>
      <c r="B1756" s="86">
        <v>2723</v>
      </c>
      <c r="C1756" s="87"/>
      <c r="D1756" s="88">
        <v>46119</v>
      </c>
      <c r="E1756" s="43">
        <v>1620000</v>
      </c>
      <c r="F1756" s="44">
        <f t="shared" si="86"/>
        <v>129600</v>
      </c>
      <c r="G1756" s="45">
        <f t="shared" si="87"/>
        <v>1749600</v>
      </c>
      <c r="H1756" s="46">
        <v>1749600</v>
      </c>
      <c r="I1756" s="47">
        <f t="shared" si="88"/>
        <v>0</v>
      </c>
      <c r="J1756" s="48">
        <v>46120</v>
      </c>
      <c r="K1756" s="49">
        <v>46198</v>
      </c>
      <c r="L1756" s="50">
        <v>4186610770</v>
      </c>
    </row>
    <row r="1757" spans="1:12" ht="15" customHeight="1" x14ac:dyDescent="0.35">
      <c r="A1757" s="85" t="s">
        <v>63</v>
      </c>
      <c r="B1757" s="86">
        <v>2724</v>
      </c>
      <c r="C1757" s="87"/>
      <c r="D1757" s="88">
        <v>46119</v>
      </c>
      <c r="E1757" s="43">
        <v>1620000</v>
      </c>
      <c r="F1757" s="44">
        <f t="shared" si="86"/>
        <v>129600</v>
      </c>
      <c r="G1757" s="45">
        <f t="shared" si="87"/>
        <v>1749600</v>
      </c>
      <c r="H1757" s="46">
        <v>1749600</v>
      </c>
      <c r="I1757" s="47">
        <f t="shared" si="88"/>
        <v>0</v>
      </c>
      <c r="J1757" s="48">
        <v>46120</v>
      </c>
      <c r="K1757" s="49">
        <v>46198</v>
      </c>
      <c r="L1757" s="50">
        <v>4186610823</v>
      </c>
    </row>
    <row r="1758" spans="1:12" ht="15" customHeight="1" x14ac:dyDescent="0.35">
      <c r="A1758" s="85" t="s">
        <v>85</v>
      </c>
      <c r="B1758" s="86">
        <v>2725</v>
      </c>
      <c r="C1758" s="87"/>
      <c r="D1758" s="88">
        <v>46119</v>
      </c>
      <c r="E1758" s="43">
        <v>1948500</v>
      </c>
      <c r="F1758" s="44">
        <f t="shared" si="86"/>
        <v>155880</v>
      </c>
      <c r="G1758" s="45">
        <f t="shared" si="87"/>
        <v>2104380</v>
      </c>
      <c r="H1758" s="46">
        <v>2104380</v>
      </c>
      <c r="I1758" s="47">
        <f t="shared" si="88"/>
        <v>0</v>
      </c>
      <c r="J1758" s="48">
        <v>46120</v>
      </c>
      <c r="K1758" s="49">
        <v>46198</v>
      </c>
      <c r="L1758" s="50">
        <v>4186605573</v>
      </c>
    </row>
    <row r="1759" spans="1:12" ht="15" customHeight="1" x14ac:dyDescent="0.35">
      <c r="A1759" s="85" t="s">
        <v>29</v>
      </c>
      <c r="B1759" s="86">
        <v>2726</v>
      </c>
      <c r="C1759" s="87"/>
      <c r="D1759" s="88">
        <v>46119</v>
      </c>
      <c r="E1759" s="43">
        <v>2603700</v>
      </c>
      <c r="F1759" s="44">
        <f t="shared" si="86"/>
        <v>208296</v>
      </c>
      <c r="G1759" s="45">
        <f t="shared" si="87"/>
        <v>2811996</v>
      </c>
      <c r="H1759" s="46">
        <v>2811996</v>
      </c>
      <c r="I1759" s="47">
        <f t="shared" si="88"/>
        <v>0</v>
      </c>
      <c r="J1759" s="48">
        <v>46120</v>
      </c>
      <c r="K1759" s="49">
        <v>46198</v>
      </c>
      <c r="L1759" s="50">
        <v>4186687980</v>
      </c>
    </row>
    <row r="1760" spans="1:12" ht="15" customHeight="1" x14ac:dyDescent="0.35">
      <c r="A1760" s="85" t="s">
        <v>29</v>
      </c>
      <c r="B1760" s="86">
        <v>2727</v>
      </c>
      <c r="C1760" s="87"/>
      <c r="D1760" s="88">
        <v>46119</v>
      </c>
      <c r="E1760" s="43">
        <v>2477250</v>
      </c>
      <c r="F1760" s="44">
        <f t="shared" si="86"/>
        <v>198180</v>
      </c>
      <c r="G1760" s="45">
        <f t="shared" si="87"/>
        <v>2675430</v>
      </c>
      <c r="H1760" s="46">
        <v>2675430</v>
      </c>
      <c r="I1760" s="47">
        <f t="shared" si="88"/>
        <v>0</v>
      </c>
      <c r="J1760" s="48">
        <v>46139</v>
      </c>
      <c r="K1760" s="49">
        <v>46249</v>
      </c>
      <c r="L1760" s="50">
        <v>4186755441</v>
      </c>
    </row>
    <row r="1761" spans="1:12" ht="15" customHeight="1" x14ac:dyDescent="0.35">
      <c r="A1761" s="85" t="s">
        <v>29</v>
      </c>
      <c r="B1761" s="86">
        <v>2728</v>
      </c>
      <c r="C1761" s="87"/>
      <c r="D1761" s="88">
        <v>46119</v>
      </c>
      <c r="E1761" s="43">
        <v>5501000</v>
      </c>
      <c r="F1761" s="44">
        <f t="shared" si="86"/>
        <v>440080</v>
      </c>
      <c r="G1761" s="45">
        <f t="shared" si="87"/>
        <v>5941080</v>
      </c>
      <c r="H1761" s="46">
        <v>5941080</v>
      </c>
      <c r="I1761" s="47">
        <f t="shared" si="88"/>
        <v>0</v>
      </c>
      <c r="J1761" s="48">
        <v>46139</v>
      </c>
      <c r="K1761" s="49">
        <v>46249</v>
      </c>
      <c r="L1761" s="50">
        <v>4186865786</v>
      </c>
    </row>
    <row r="1762" spans="1:12" ht="15" customHeight="1" x14ac:dyDescent="0.35">
      <c r="A1762" s="85" t="s">
        <v>37</v>
      </c>
      <c r="B1762" s="86">
        <v>2729</v>
      </c>
      <c r="C1762" s="87"/>
      <c r="D1762" s="88">
        <v>46119</v>
      </c>
      <c r="E1762" s="43">
        <v>2640000</v>
      </c>
      <c r="F1762" s="44">
        <f t="shared" si="86"/>
        <v>211200</v>
      </c>
      <c r="G1762" s="45">
        <f t="shared" si="87"/>
        <v>2851200</v>
      </c>
      <c r="H1762" s="46">
        <v>2851200</v>
      </c>
      <c r="I1762" s="47">
        <f t="shared" si="88"/>
        <v>0</v>
      </c>
      <c r="J1762" s="48">
        <v>46139</v>
      </c>
      <c r="K1762" s="49">
        <v>46249</v>
      </c>
      <c r="L1762" s="50">
        <v>4186867282</v>
      </c>
    </row>
    <row r="1763" spans="1:12" ht="15" customHeight="1" x14ac:dyDescent="0.35">
      <c r="A1763" s="85" t="s">
        <v>33</v>
      </c>
      <c r="B1763" s="86">
        <v>2730</v>
      </c>
      <c r="C1763" s="87"/>
      <c r="D1763" s="88">
        <v>46119</v>
      </c>
      <c r="E1763" s="43">
        <v>20848000</v>
      </c>
      <c r="F1763" s="44">
        <f t="shared" si="86"/>
        <v>1667840</v>
      </c>
      <c r="G1763" s="45">
        <f t="shared" si="87"/>
        <v>22515840</v>
      </c>
      <c r="H1763" s="46">
        <v>22515840</v>
      </c>
      <c r="I1763" s="47">
        <f t="shared" si="88"/>
        <v>0</v>
      </c>
      <c r="J1763" s="48">
        <v>46141</v>
      </c>
      <c r="K1763" s="49">
        <v>46249</v>
      </c>
      <c r="L1763" s="50">
        <v>4901291402</v>
      </c>
    </row>
    <row r="1764" spans="1:12" ht="15" customHeight="1" x14ac:dyDescent="0.35">
      <c r="A1764" s="85" t="s">
        <v>123</v>
      </c>
      <c r="B1764" s="86">
        <v>2731</v>
      </c>
      <c r="C1764" s="87"/>
      <c r="D1764" s="88">
        <v>46119</v>
      </c>
      <c r="E1764" s="43">
        <v>18240000</v>
      </c>
      <c r="F1764" s="44">
        <f t="shared" si="86"/>
        <v>1459200</v>
      </c>
      <c r="G1764" s="45">
        <f t="shared" si="87"/>
        <v>19699200</v>
      </c>
      <c r="H1764" s="46">
        <v>19699200</v>
      </c>
      <c r="I1764" s="47">
        <f t="shared" si="88"/>
        <v>0</v>
      </c>
      <c r="J1764" s="48">
        <v>46120</v>
      </c>
      <c r="K1764" s="49">
        <v>46198</v>
      </c>
      <c r="L1764" s="50">
        <v>4186943297</v>
      </c>
    </row>
    <row r="1765" spans="1:12" ht="15" customHeight="1" x14ac:dyDescent="0.35">
      <c r="A1765" s="85" t="s">
        <v>123</v>
      </c>
      <c r="B1765" s="86">
        <v>2732</v>
      </c>
      <c r="C1765" s="87"/>
      <c r="D1765" s="88">
        <v>46119</v>
      </c>
      <c r="E1765" s="43">
        <v>11360000</v>
      </c>
      <c r="F1765" s="44">
        <f t="shared" si="86"/>
        <v>908800</v>
      </c>
      <c r="G1765" s="45">
        <f t="shared" si="87"/>
        <v>12268800</v>
      </c>
      <c r="H1765" s="46">
        <v>12268800</v>
      </c>
      <c r="I1765" s="47">
        <f t="shared" si="88"/>
        <v>0</v>
      </c>
      <c r="J1765" s="48">
        <v>46120</v>
      </c>
      <c r="K1765" s="49">
        <v>46198</v>
      </c>
      <c r="L1765" s="50">
        <v>4186867422</v>
      </c>
    </row>
    <row r="1766" spans="1:12" ht="15" customHeight="1" x14ac:dyDescent="0.35">
      <c r="A1766" s="85" t="s">
        <v>29</v>
      </c>
      <c r="B1766" s="86">
        <v>3241</v>
      </c>
      <c r="C1766" s="87"/>
      <c r="D1766" s="88">
        <v>46139</v>
      </c>
      <c r="E1766" s="43">
        <v>4908150</v>
      </c>
      <c r="F1766" s="44">
        <f t="shared" si="86"/>
        <v>392652</v>
      </c>
      <c r="G1766" s="45">
        <f t="shared" si="87"/>
        <v>5300802</v>
      </c>
      <c r="H1766" s="46">
        <v>5300802</v>
      </c>
      <c r="I1766" s="47">
        <f t="shared" si="88"/>
        <v>0</v>
      </c>
      <c r="J1766" s="48">
        <v>46139</v>
      </c>
      <c r="K1766" s="49">
        <v>46249</v>
      </c>
      <c r="L1766" s="50">
        <v>4186950873</v>
      </c>
    </row>
    <row r="1767" spans="1:12" ht="15" customHeight="1" x14ac:dyDescent="0.35">
      <c r="A1767" s="85" t="s">
        <v>29</v>
      </c>
      <c r="B1767" s="86">
        <v>3242</v>
      </c>
      <c r="C1767" s="87"/>
      <c r="D1767" s="88">
        <v>46139</v>
      </c>
      <c r="E1767" s="43">
        <v>2240000</v>
      </c>
      <c r="F1767" s="44">
        <f t="shared" si="86"/>
        <v>179200</v>
      </c>
      <c r="G1767" s="45">
        <f t="shared" si="87"/>
        <v>2419200</v>
      </c>
      <c r="H1767" s="46">
        <v>2419200</v>
      </c>
      <c r="I1767" s="47">
        <f t="shared" si="88"/>
        <v>0</v>
      </c>
      <c r="J1767" s="48">
        <v>46139</v>
      </c>
      <c r="K1767" s="49">
        <v>46249</v>
      </c>
      <c r="L1767" s="50">
        <v>4186889654</v>
      </c>
    </row>
    <row r="1768" spans="1:12" ht="15" customHeight="1" x14ac:dyDescent="0.35">
      <c r="A1768" s="85" t="s">
        <v>29</v>
      </c>
      <c r="B1768" s="86">
        <v>3243</v>
      </c>
      <c r="C1768" s="87"/>
      <c r="D1768" s="88">
        <v>46139</v>
      </c>
      <c r="E1768" s="43">
        <v>3623000</v>
      </c>
      <c r="F1768" s="44">
        <f t="shared" si="86"/>
        <v>289840</v>
      </c>
      <c r="G1768" s="45">
        <f t="shared" si="87"/>
        <v>3912840</v>
      </c>
      <c r="H1768" s="46">
        <v>3912840</v>
      </c>
      <c r="I1768" s="47">
        <f t="shared" si="88"/>
        <v>0</v>
      </c>
      <c r="J1768" s="48">
        <v>46139</v>
      </c>
      <c r="K1768" s="49">
        <v>46249</v>
      </c>
      <c r="L1768" s="50">
        <v>4187038375</v>
      </c>
    </row>
    <row r="1769" spans="1:12" ht="15" customHeight="1" x14ac:dyDescent="0.35">
      <c r="A1769" s="85" t="s">
        <v>77</v>
      </c>
      <c r="B1769" s="86">
        <v>3244</v>
      </c>
      <c r="C1769" s="87"/>
      <c r="D1769" s="88">
        <v>46139</v>
      </c>
      <c r="E1769" s="43">
        <v>8500000</v>
      </c>
      <c r="F1769" s="44">
        <f t="shared" si="86"/>
        <v>680000</v>
      </c>
      <c r="G1769" s="45">
        <f t="shared" si="87"/>
        <v>9180000</v>
      </c>
      <c r="H1769" s="46">
        <v>9180000</v>
      </c>
      <c r="I1769" s="47">
        <f t="shared" si="88"/>
        <v>0</v>
      </c>
      <c r="J1769" s="48">
        <v>46139</v>
      </c>
      <c r="K1769" s="49">
        <v>46249</v>
      </c>
      <c r="L1769" s="50">
        <v>4187288731</v>
      </c>
    </row>
    <row r="1770" spans="1:12" ht="15" customHeight="1" x14ac:dyDescent="0.35">
      <c r="A1770" s="85" t="s">
        <v>29</v>
      </c>
      <c r="B1770" s="86">
        <v>3245</v>
      </c>
      <c r="C1770" s="87"/>
      <c r="D1770" s="88">
        <v>46139</v>
      </c>
      <c r="E1770" s="43">
        <v>1720000</v>
      </c>
      <c r="F1770" s="44">
        <f t="shared" si="86"/>
        <v>137600</v>
      </c>
      <c r="G1770" s="45">
        <f t="shared" si="87"/>
        <v>1857600</v>
      </c>
      <c r="H1770" s="46">
        <v>1857600</v>
      </c>
      <c r="I1770" s="47">
        <f t="shared" si="88"/>
        <v>0</v>
      </c>
      <c r="J1770" s="48">
        <v>46139</v>
      </c>
      <c r="K1770" s="49">
        <v>46249</v>
      </c>
      <c r="L1770" s="50">
        <v>4187293020</v>
      </c>
    </row>
    <row r="1771" spans="1:12" ht="15" customHeight="1" x14ac:dyDescent="0.35">
      <c r="A1771" s="85" t="s">
        <v>37</v>
      </c>
      <c r="B1771" s="86">
        <v>3246</v>
      </c>
      <c r="C1771" s="87"/>
      <c r="D1771" s="88">
        <v>46139</v>
      </c>
      <c r="E1771" s="43">
        <v>1502500</v>
      </c>
      <c r="F1771" s="44">
        <f t="shared" si="86"/>
        <v>120200</v>
      </c>
      <c r="G1771" s="45">
        <f t="shared" si="87"/>
        <v>1622700</v>
      </c>
      <c r="H1771" s="46">
        <v>1622700</v>
      </c>
      <c r="I1771" s="47">
        <f t="shared" si="88"/>
        <v>0</v>
      </c>
      <c r="J1771" s="48">
        <v>46139</v>
      </c>
      <c r="K1771" s="49">
        <v>46249</v>
      </c>
      <c r="L1771" s="50">
        <v>4187299456</v>
      </c>
    </row>
    <row r="1772" spans="1:12" ht="15" customHeight="1" x14ac:dyDescent="0.35">
      <c r="A1772" s="85" t="s">
        <v>29</v>
      </c>
      <c r="B1772" s="86">
        <v>3247</v>
      </c>
      <c r="C1772" s="87"/>
      <c r="D1772" s="88">
        <v>46139</v>
      </c>
      <c r="E1772" s="43">
        <v>8989000</v>
      </c>
      <c r="F1772" s="44">
        <f t="shared" si="86"/>
        <v>719120</v>
      </c>
      <c r="G1772" s="45">
        <f t="shared" si="87"/>
        <v>9708120</v>
      </c>
      <c r="H1772" s="46">
        <v>9708120</v>
      </c>
      <c r="I1772" s="47">
        <f t="shared" si="88"/>
        <v>0</v>
      </c>
      <c r="J1772" s="48">
        <v>46139</v>
      </c>
      <c r="K1772" s="49">
        <v>46249</v>
      </c>
      <c r="L1772" s="50">
        <v>4187353154</v>
      </c>
    </row>
    <row r="1773" spans="1:12" ht="15" customHeight="1" x14ac:dyDescent="0.35">
      <c r="A1773" s="85" t="s">
        <v>37</v>
      </c>
      <c r="B1773" s="86">
        <v>3248</v>
      </c>
      <c r="C1773" s="87"/>
      <c r="D1773" s="88">
        <v>46139</v>
      </c>
      <c r="E1773" s="43">
        <v>2560000</v>
      </c>
      <c r="F1773" s="44">
        <f t="shared" si="86"/>
        <v>204800</v>
      </c>
      <c r="G1773" s="45">
        <f t="shared" si="87"/>
        <v>2764800</v>
      </c>
      <c r="H1773" s="46">
        <v>2764800</v>
      </c>
      <c r="I1773" s="47">
        <f t="shared" si="88"/>
        <v>0</v>
      </c>
      <c r="J1773" s="48">
        <v>46139</v>
      </c>
      <c r="K1773" s="49">
        <v>46249</v>
      </c>
      <c r="L1773" s="50">
        <v>4187311349</v>
      </c>
    </row>
    <row r="1774" spans="1:12" ht="15" customHeight="1" x14ac:dyDescent="0.35">
      <c r="A1774" s="85" t="s">
        <v>29</v>
      </c>
      <c r="B1774" s="86">
        <v>3250</v>
      </c>
      <c r="C1774" s="87"/>
      <c r="D1774" s="88">
        <v>46139</v>
      </c>
      <c r="E1774" s="43">
        <v>5760000</v>
      </c>
      <c r="F1774" s="44">
        <f t="shared" si="86"/>
        <v>460800</v>
      </c>
      <c r="G1774" s="45">
        <f t="shared" si="87"/>
        <v>6220800</v>
      </c>
      <c r="H1774" s="46">
        <v>6220800</v>
      </c>
      <c r="I1774" s="47">
        <f t="shared" si="88"/>
        <v>0</v>
      </c>
      <c r="J1774" s="48">
        <v>46139</v>
      </c>
      <c r="K1774" s="49">
        <v>46249</v>
      </c>
      <c r="L1774" s="50">
        <v>4187313820</v>
      </c>
    </row>
    <row r="1775" spans="1:12" ht="15" customHeight="1" x14ac:dyDescent="0.35">
      <c r="A1775" s="85" t="s">
        <v>85</v>
      </c>
      <c r="B1775" s="86">
        <v>3251</v>
      </c>
      <c r="C1775" s="87"/>
      <c r="D1775" s="88">
        <v>46139</v>
      </c>
      <c r="E1775" s="43">
        <v>480000</v>
      </c>
      <c r="F1775" s="44">
        <f t="shared" si="86"/>
        <v>38400</v>
      </c>
      <c r="G1775" s="45">
        <f t="shared" si="87"/>
        <v>518400</v>
      </c>
      <c r="H1775" s="46">
        <v>518400</v>
      </c>
      <c r="I1775" s="47">
        <f t="shared" si="88"/>
        <v>0</v>
      </c>
      <c r="J1775" s="48">
        <v>46139</v>
      </c>
      <c r="K1775" s="49">
        <v>46249</v>
      </c>
      <c r="L1775" s="50">
        <v>4187299470</v>
      </c>
    </row>
    <row r="1776" spans="1:12" ht="15" customHeight="1" x14ac:dyDescent="0.35">
      <c r="A1776" s="85" t="s">
        <v>3227</v>
      </c>
      <c r="B1776" s="86">
        <v>3252</v>
      </c>
      <c r="C1776" s="87"/>
      <c r="D1776" s="88">
        <v>46139</v>
      </c>
      <c r="E1776" s="43">
        <v>5645000</v>
      </c>
      <c r="F1776" s="44">
        <f t="shared" si="86"/>
        <v>451600</v>
      </c>
      <c r="G1776" s="45">
        <f t="shared" si="87"/>
        <v>6096600</v>
      </c>
      <c r="H1776" s="46">
        <v>6096600</v>
      </c>
      <c r="I1776" s="47">
        <f t="shared" si="88"/>
        <v>0</v>
      </c>
      <c r="J1776" s="48">
        <v>46139</v>
      </c>
      <c r="K1776" s="49">
        <v>46249</v>
      </c>
      <c r="L1776" s="50">
        <v>4187320250</v>
      </c>
    </row>
    <row r="1777" spans="1:12" ht="15" customHeight="1" x14ac:dyDescent="0.35">
      <c r="A1777" s="85" t="s">
        <v>85</v>
      </c>
      <c r="B1777" s="86">
        <v>3253</v>
      </c>
      <c r="C1777" s="87"/>
      <c r="D1777" s="88">
        <v>46139</v>
      </c>
      <c r="E1777" s="43">
        <v>2440000</v>
      </c>
      <c r="F1777" s="44">
        <f t="shared" si="86"/>
        <v>195200</v>
      </c>
      <c r="G1777" s="45">
        <f t="shared" si="87"/>
        <v>2635200</v>
      </c>
      <c r="H1777" s="46">
        <v>2635200</v>
      </c>
      <c r="I1777" s="47">
        <f t="shared" si="88"/>
        <v>0</v>
      </c>
      <c r="J1777" s="48">
        <v>46139</v>
      </c>
      <c r="K1777" s="49">
        <v>46249</v>
      </c>
      <c r="L1777" s="50">
        <v>4187306036</v>
      </c>
    </row>
    <row r="1778" spans="1:12" ht="15" customHeight="1" x14ac:dyDescent="0.35">
      <c r="A1778" s="85" t="s">
        <v>85</v>
      </c>
      <c r="B1778" s="86">
        <v>3254</v>
      </c>
      <c r="C1778" s="87"/>
      <c r="D1778" s="88">
        <v>46139</v>
      </c>
      <c r="E1778" s="43">
        <v>4920000</v>
      </c>
      <c r="F1778" s="44">
        <f t="shared" si="86"/>
        <v>393600</v>
      </c>
      <c r="G1778" s="45">
        <f t="shared" si="87"/>
        <v>5313600</v>
      </c>
      <c r="H1778" s="46">
        <v>5313600</v>
      </c>
      <c r="I1778" s="47">
        <f t="shared" si="88"/>
        <v>0</v>
      </c>
      <c r="J1778" s="48">
        <v>46139</v>
      </c>
      <c r="K1778" s="49">
        <v>46249</v>
      </c>
      <c r="L1778" s="50">
        <v>4187361280</v>
      </c>
    </row>
    <row r="1779" spans="1:12" ht="15" customHeight="1" x14ac:dyDescent="0.35">
      <c r="A1779" s="85" t="s">
        <v>29</v>
      </c>
      <c r="B1779" s="86">
        <v>3255</v>
      </c>
      <c r="C1779" s="87"/>
      <c r="D1779" s="88">
        <v>46139</v>
      </c>
      <c r="E1779" s="43">
        <v>11183000</v>
      </c>
      <c r="F1779" s="44">
        <f t="shared" si="86"/>
        <v>894640</v>
      </c>
      <c r="G1779" s="45">
        <f t="shared" si="87"/>
        <v>12077640</v>
      </c>
      <c r="H1779" s="46">
        <v>12077640</v>
      </c>
      <c r="I1779" s="47">
        <f t="shared" si="88"/>
        <v>0</v>
      </c>
      <c r="J1779" s="48">
        <v>46139</v>
      </c>
      <c r="K1779" s="49">
        <v>46249</v>
      </c>
      <c r="L1779" s="50">
        <v>4187320357</v>
      </c>
    </row>
    <row r="1780" spans="1:12" ht="15" customHeight="1" x14ac:dyDescent="0.35">
      <c r="A1780" s="85" t="s">
        <v>37</v>
      </c>
      <c r="B1780" s="86">
        <v>3256</v>
      </c>
      <c r="C1780" s="87"/>
      <c r="D1780" s="88">
        <v>46139</v>
      </c>
      <c r="E1780" s="43">
        <v>8640000</v>
      </c>
      <c r="F1780" s="44">
        <f t="shared" si="86"/>
        <v>691200</v>
      </c>
      <c r="G1780" s="45">
        <f t="shared" si="87"/>
        <v>9331200</v>
      </c>
      <c r="H1780" s="46">
        <v>9331200</v>
      </c>
      <c r="I1780" s="47">
        <f t="shared" si="88"/>
        <v>0</v>
      </c>
      <c r="J1780" s="48">
        <v>46139</v>
      </c>
      <c r="K1780" s="49">
        <v>46249</v>
      </c>
      <c r="L1780" s="50">
        <v>4187361221</v>
      </c>
    </row>
    <row r="1781" spans="1:12" ht="15" customHeight="1" x14ac:dyDescent="0.35">
      <c r="A1781" s="85" t="s">
        <v>56</v>
      </c>
      <c r="B1781" s="86">
        <v>3257</v>
      </c>
      <c r="C1781" s="87"/>
      <c r="D1781" s="88">
        <v>46139</v>
      </c>
      <c r="E1781" s="43">
        <v>7520000</v>
      </c>
      <c r="F1781" s="44">
        <f t="shared" si="86"/>
        <v>601600</v>
      </c>
      <c r="G1781" s="45">
        <f t="shared" si="87"/>
        <v>8121600</v>
      </c>
      <c r="H1781" s="46">
        <v>8121600</v>
      </c>
      <c r="I1781" s="47">
        <f t="shared" si="88"/>
        <v>0</v>
      </c>
      <c r="J1781" s="48">
        <v>46139</v>
      </c>
      <c r="K1781" s="49">
        <v>46249</v>
      </c>
      <c r="L1781" s="50">
        <v>4187361266</v>
      </c>
    </row>
    <row r="1782" spans="1:12" ht="15" customHeight="1" x14ac:dyDescent="0.35">
      <c r="A1782" s="85" t="s">
        <v>37</v>
      </c>
      <c r="B1782" s="86">
        <v>3258</v>
      </c>
      <c r="C1782" s="87"/>
      <c r="D1782" s="88">
        <v>46139</v>
      </c>
      <c r="E1782" s="43">
        <v>2525000</v>
      </c>
      <c r="F1782" s="44">
        <f t="shared" si="86"/>
        <v>202000</v>
      </c>
      <c r="G1782" s="45">
        <f t="shared" si="87"/>
        <v>2727000</v>
      </c>
      <c r="H1782" s="46">
        <v>2727000</v>
      </c>
      <c r="I1782" s="47">
        <f t="shared" si="88"/>
        <v>0</v>
      </c>
      <c r="J1782" s="48">
        <v>46139</v>
      </c>
      <c r="K1782" s="49">
        <v>46249</v>
      </c>
      <c r="L1782" s="50">
        <v>4187306086</v>
      </c>
    </row>
    <row r="1783" spans="1:12" ht="15" customHeight="1" x14ac:dyDescent="0.35">
      <c r="A1783" s="85" t="s">
        <v>56</v>
      </c>
      <c r="B1783" s="86">
        <v>3259</v>
      </c>
      <c r="C1783" s="87"/>
      <c r="D1783" s="88">
        <v>46139</v>
      </c>
      <c r="E1783" s="43">
        <v>480000</v>
      </c>
      <c r="F1783" s="44">
        <f t="shared" si="86"/>
        <v>38400</v>
      </c>
      <c r="G1783" s="45">
        <f t="shared" si="87"/>
        <v>518400</v>
      </c>
      <c r="H1783" s="46">
        <v>518400</v>
      </c>
      <c r="I1783" s="47">
        <f t="shared" si="88"/>
        <v>0</v>
      </c>
      <c r="J1783" s="48">
        <v>46139</v>
      </c>
      <c r="K1783" s="49">
        <v>46249</v>
      </c>
      <c r="L1783" s="50">
        <v>4187306081</v>
      </c>
    </row>
    <row r="1784" spans="1:12" ht="15" customHeight="1" x14ac:dyDescent="0.35">
      <c r="A1784" s="85" t="s">
        <v>123</v>
      </c>
      <c r="B1784" s="86">
        <v>3260</v>
      </c>
      <c r="C1784" s="87"/>
      <c r="D1784" s="88">
        <v>46139</v>
      </c>
      <c r="E1784" s="43">
        <v>1680000</v>
      </c>
      <c r="F1784" s="44">
        <f t="shared" si="86"/>
        <v>134400</v>
      </c>
      <c r="G1784" s="45">
        <f t="shared" si="87"/>
        <v>1814400</v>
      </c>
      <c r="H1784" s="46">
        <v>1814400</v>
      </c>
      <c r="I1784" s="47">
        <f t="shared" si="88"/>
        <v>0</v>
      </c>
      <c r="J1784" s="48">
        <v>46139</v>
      </c>
      <c r="K1784" s="49">
        <v>46249</v>
      </c>
      <c r="L1784" s="50">
        <v>4187360343</v>
      </c>
    </row>
    <row r="1785" spans="1:12" ht="15" customHeight="1" x14ac:dyDescent="0.35">
      <c r="A1785" s="85" t="s">
        <v>123</v>
      </c>
      <c r="B1785" s="86">
        <v>3261</v>
      </c>
      <c r="C1785" s="87"/>
      <c r="D1785" s="88">
        <v>46139</v>
      </c>
      <c r="E1785" s="43">
        <v>2560000</v>
      </c>
      <c r="F1785" s="44">
        <f t="shared" si="86"/>
        <v>204800</v>
      </c>
      <c r="G1785" s="45">
        <f t="shared" si="87"/>
        <v>2764800</v>
      </c>
      <c r="H1785" s="46">
        <v>2764800</v>
      </c>
      <c r="I1785" s="47">
        <f t="shared" si="88"/>
        <v>0</v>
      </c>
      <c r="J1785" s="48">
        <v>46139</v>
      </c>
      <c r="K1785" s="49">
        <v>46249</v>
      </c>
      <c r="L1785" s="50">
        <v>4187359207</v>
      </c>
    </row>
    <row r="1786" spans="1:12" ht="15" customHeight="1" x14ac:dyDescent="0.35">
      <c r="A1786" s="85" t="s">
        <v>123</v>
      </c>
      <c r="B1786" s="86">
        <v>3262</v>
      </c>
      <c r="C1786" s="87"/>
      <c r="D1786" s="88">
        <v>46139</v>
      </c>
      <c r="E1786" s="43">
        <v>4400000</v>
      </c>
      <c r="F1786" s="44">
        <f t="shared" si="86"/>
        <v>352000</v>
      </c>
      <c r="G1786" s="45">
        <f t="shared" si="87"/>
        <v>4752000</v>
      </c>
      <c r="H1786" s="46">
        <v>4752000</v>
      </c>
      <c r="I1786" s="47">
        <f t="shared" si="88"/>
        <v>0</v>
      </c>
      <c r="J1786" s="48">
        <v>46139</v>
      </c>
      <c r="K1786" s="49">
        <v>46249</v>
      </c>
      <c r="L1786" s="50">
        <v>4187360367</v>
      </c>
    </row>
    <row r="1787" spans="1:12" ht="15" customHeight="1" x14ac:dyDescent="0.35">
      <c r="A1787" s="85" t="s">
        <v>123</v>
      </c>
      <c r="B1787" s="86">
        <v>3263</v>
      </c>
      <c r="C1787" s="87"/>
      <c r="D1787" s="88">
        <v>46139</v>
      </c>
      <c r="E1787" s="43">
        <v>982500</v>
      </c>
      <c r="F1787" s="44">
        <f t="shared" si="86"/>
        <v>78600</v>
      </c>
      <c r="G1787" s="45">
        <f t="shared" si="87"/>
        <v>1061100</v>
      </c>
      <c r="H1787" s="46">
        <v>1061100</v>
      </c>
      <c r="I1787" s="47">
        <f t="shared" si="88"/>
        <v>0</v>
      </c>
      <c r="J1787" s="48">
        <v>46139</v>
      </c>
      <c r="K1787" s="49">
        <v>46249</v>
      </c>
      <c r="L1787" s="50">
        <v>4187306089</v>
      </c>
    </row>
    <row r="1788" spans="1:12" ht="15" customHeight="1" x14ac:dyDescent="0.35">
      <c r="A1788" s="85" t="s">
        <v>33</v>
      </c>
      <c r="B1788" s="86"/>
      <c r="C1788" s="87"/>
      <c r="D1788" s="88"/>
      <c r="E1788" s="43">
        <v>1920000</v>
      </c>
      <c r="F1788" s="44"/>
      <c r="G1788" s="45"/>
      <c r="H1788" s="46"/>
      <c r="I1788" s="47">
        <f t="shared" si="88"/>
        <v>0</v>
      </c>
      <c r="J1788" s="48" t="s">
        <v>3804</v>
      </c>
      <c r="K1788" s="49"/>
      <c r="L1788" s="50">
        <v>4901292312</v>
      </c>
    </row>
    <row r="1789" spans="1:12" ht="15" customHeight="1" x14ac:dyDescent="0.35">
      <c r="A1789" s="85" t="s">
        <v>33</v>
      </c>
      <c r="B1789" s="86">
        <v>3264</v>
      </c>
      <c r="C1789" s="87"/>
      <c r="D1789" s="88">
        <v>46139</v>
      </c>
      <c r="E1789" s="43">
        <v>5120000</v>
      </c>
      <c r="F1789" s="44">
        <f t="shared" si="86"/>
        <v>409600</v>
      </c>
      <c r="G1789" s="45">
        <f t="shared" si="87"/>
        <v>5529600</v>
      </c>
      <c r="H1789" s="46">
        <v>5529600</v>
      </c>
      <c r="I1789" s="47">
        <f t="shared" si="88"/>
        <v>0</v>
      </c>
      <c r="J1789" s="48">
        <v>46141</v>
      </c>
      <c r="K1789" s="49">
        <v>46249</v>
      </c>
      <c r="L1789" s="50">
        <v>4901292407</v>
      </c>
    </row>
    <row r="1790" spans="1:12" ht="15" customHeight="1" x14ac:dyDescent="0.35">
      <c r="A1790" s="85" t="s">
        <v>33</v>
      </c>
      <c r="B1790" s="86">
        <v>3265</v>
      </c>
      <c r="C1790" s="87"/>
      <c r="D1790" s="88">
        <v>46139</v>
      </c>
      <c r="E1790" s="43">
        <v>17764500</v>
      </c>
      <c r="F1790" s="44">
        <f t="shared" si="86"/>
        <v>1421160</v>
      </c>
      <c r="G1790" s="45">
        <f t="shared" si="87"/>
        <v>19185660</v>
      </c>
      <c r="H1790" s="46">
        <v>19185660</v>
      </c>
      <c r="I1790" s="47">
        <f t="shared" si="88"/>
        <v>0</v>
      </c>
      <c r="J1790" s="48">
        <v>46141</v>
      </c>
      <c r="K1790" s="49">
        <v>46249</v>
      </c>
      <c r="L1790" s="50">
        <v>4901292330</v>
      </c>
    </row>
    <row r="1791" spans="1:12" ht="15" customHeight="1" x14ac:dyDescent="0.35">
      <c r="A1791" s="85" t="s">
        <v>85</v>
      </c>
      <c r="B1791" s="86">
        <v>3266</v>
      </c>
      <c r="C1791" s="87"/>
      <c r="D1791" s="88">
        <v>46139</v>
      </c>
      <c r="E1791" s="43">
        <v>1440000</v>
      </c>
      <c r="F1791" s="44">
        <f t="shared" si="86"/>
        <v>115200</v>
      </c>
      <c r="G1791" s="45">
        <f t="shared" si="87"/>
        <v>1555200</v>
      </c>
      <c r="H1791" s="46">
        <v>1555200</v>
      </c>
      <c r="I1791" s="47">
        <f t="shared" si="88"/>
        <v>0</v>
      </c>
      <c r="J1791" s="48">
        <v>46139</v>
      </c>
      <c r="K1791" s="49">
        <v>46249</v>
      </c>
      <c r="L1791" s="50">
        <v>4187474117</v>
      </c>
    </row>
    <row r="1792" spans="1:12" ht="15" customHeight="1" x14ac:dyDescent="0.35">
      <c r="A1792" s="85" t="s">
        <v>29</v>
      </c>
      <c r="B1792" s="86">
        <v>3267</v>
      </c>
      <c r="C1792" s="87"/>
      <c r="D1792" s="88">
        <v>46139</v>
      </c>
      <c r="E1792" s="43">
        <v>1006000</v>
      </c>
      <c r="F1792" s="44">
        <f t="shared" si="86"/>
        <v>80480</v>
      </c>
      <c r="G1792" s="45">
        <f t="shared" si="87"/>
        <v>1086480</v>
      </c>
      <c r="H1792" s="46">
        <v>1086480</v>
      </c>
      <c r="I1792" s="47">
        <f t="shared" si="88"/>
        <v>0</v>
      </c>
      <c r="J1792" s="48">
        <v>46139</v>
      </c>
      <c r="K1792" s="49">
        <v>46249</v>
      </c>
      <c r="L1792" s="50">
        <v>4187466453</v>
      </c>
    </row>
    <row r="1793" spans="1:12" ht="15" customHeight="1" x14ac:dyDescent="0.35">
      <c r="A1793" s="85" t="s">
        <v>85</v>
      </c>
      <c r="B1793" s="86">
        <v>3268</v>
      </c>
      <c r="C1793" s="87"/>
      <c r="D1793" s="88">
        <v>46139</v>
      </c>
      <c r="E1793" s="43">
        <v>960000</v>
      </c>
      <c r="F1793" s="44">
        <f t="shared" si="86"/>
        <v>76800</v>
      </c>
      <c r="G1793" s="45">
        <f t="shared" si="87"/>
        <v>1036800</v>
      </c>
      <c r="H1793" s="46">
        <v>1036800</v>
      </c>
      <c r="I1793" s="47">
        <f t="shared" si="88"/>
        <v>0</v>
      </c>
      <c r="J1793" s="48">
        <v>46139</v>
      </c>
      <c r="K1793" s="49">
        <v>46249</v>
      </c>
      <c r="L1793" s="50">
        <v>4187420697</v>
      </c>
    </row>
    <row r="1794" spans="1:12" ht="15" customHeight="1" x14ac:dyDescent="0.35">
      <c r="A1794" s="85" t="s">
        <v>29</v>
      </c>
      <c r="B1794" s="86">
        <v>3269</v>
      </c>
      <c r="C1794" s="87"/>
      <c r="D1794" s="88">
        <v>46139</v>
      </c>
      <c r="E1794" s="43">
        <v>1261500</v>
      </c>
      <c r="F1794" s="44">
        <f t="shared" si="86"/>
        <v>100920</v>
      </c>
      <c r="G1794" s="45">
        <f t="shared" si="87"/>
        <v>1362420</v>
      </c>
      <c r="H1794" s="46">
        <v>1362420</v>
      </c>
      <c r="I1794" s="47">
        <f t="shared" si="88"/>
        <v>0</v>
      </c>
      <c r="J1794" s="48">
        <v>46139</v>
      </c>
      <c r="K1794" s="49">
        <v>46249</v>
      </c>
      <c r="L1794" s="50">
        <v>4187480746</v>
      </c>
    </row>
    <row r="1795" spans="1:12" ht="15" customHeight="1" x14ac:dyDescent="0.35">
      <c r="A1795" s="85" t="s">
        <v>29</v>
      </c>
      <c r="B1795" s="86">
        <v>3270</v>
      </c>
      <c r="C1795" s="87"/>
      <c r="D1795" s="88">
        <v>46139</v>
      </c>
      <c r="E1795" s="43">
        <v>2560000</v>
      </c>
      <c r="F1795" s="44">
        <f t="shared" si="86"/>
        <v>204800</v>
      </c>
      <c r="G1795" s="45">
        <f t="shared" si="87"/>
        <v>2764800</v>
      </c>
      <c r="H1795" s="46">
        <v>2764800</v>
      </c>
      <c r="I1795" s="47">
        <f t="shared" si="88"/>
        <v>0</v>
      </c>
      <c r="J1795" s="48">
        <v>46139</v>
      </c>
      <c r="K1795" s="49">
        <v>46249</v>
      </c>
      <c r="L1795" s="50">
        <v>4187498850</v>
      </c>
    </row>
    <row r="1796" spans="1:12" ht="15" customHeight="1" x14ac:dyDescent="0.35">
      <c r="A1796" s="85" t="s">
        <v>85</v>
      </c>
      <c r="B1796" s="86">
        <v>3271</v>
      </c>
      <c r="C1796" s="87"/>
      <c r="D1796" s="88">
        <v>46139</v>
      </c>
      <c r="E1796" s="43">
        <v>6848000</v>
      </c>
      <c r="F1796" s="44">
        <f t="shared" si="86"/>
        <v>547840</v>
      </c>
      <c r="G1796" s="45">
        <f t="shared" si="87"/>
        <v>7395840</v>
      </c>
      <c r="H1796" s="46">
        <v>7395840</v>
      </c>
      <c r="I1796" s="47">
        <f t="shared" si="88"/>
        <v>0</v>
      </c>
      <c r="J1796" s="48">
        <v>46141</v>
      </c>
      <c r="K1796" s="49">
        <v>46249</v>
      </c>
      <c r="L1796" s="50">
        <v>4187501180</v>
      </c>
    </row>
    <row r="1797" spans="1:12" ht="15" customHeight="1" x14ac:dyDescent="0.35">
      <c r="A1797" s="85" t="s">
        <v>56</v>
      </c>
      <c r="B1797" s="86">
        <v>3272</v>
      </c>
      <c r="C1797" s="87"/>
      <c r="D1797" s="88">
        <v>46139</v>
      </c>
      <c r="E1797" s="43">
        <v>2240000</v>
      </c>
      <c r="F1797" s="44">
        <f t="shared" si="86"/>
        <v>179200</v>
      </c>
      <c r="G1797" s="45">
        <f t="shared" si="87"/>
        <v>2419200</v>
      </c>
      <c r="H1797" s="46">
        <v>2419200</v>
      </c>
      <c r="I1797" s="47">
        <f t="shared" si="88"/>
        <v>0</v>
      </c>
      <c r="J1797" s="48">
        <v>46139</v>
      </c>
      <c r="K1797" s="49">
        <v>46249</v>
      </c>
      <c r="L1797" s="50">
        <v>4187501643</v>
      </c>
    </row>
    <row r="1798" spans="1:12" ht="15" customHeight="1" x14ac:dyDescent="0.35">
      <c r="A1798" s="85" t="s">
        <v>37</v>
      </c>
      <c r="B1798" s="86">
        <v>3273</v>
      </c>
      <c r="C1798" s="87"/>
      <c r="D1798" s="88">
        <v>46139</v>
      </c>
      <c r="E1798" s="43">
        <v>960000</v>
      </c>
      <c r="F1798" s="44">
        <f t="shared" si="86"/>
        <v>76800</v>
      </c>
      <c r="G1798" s="45">
        <f t="shared" si="87"/>
        <v>1036800</v>
      </c>
      <c r="H1798" s="46">
        <v>1036800</v>
      </c>
      <c r="I1798" s="47">
        <f t="shared" si="88"/>
        <v>0</v>
      </c>
      <c r="J1798" s="48">
        <v>46141</v>
      </c>
      <c r="K1798" s="49">
        <v>46249</v>
      </c>
      <c r="L1798" s="50">
        <v>4187501686</v>
      </c>
    </row>
    <row r="1799" spans="1:12" ht="15" customHeight="1" x14ac:dyDescent="0.35">
      <c r="A1799" s="85" t="s">
        <v>33</v>
      </c>
      <c r="B1799" s="86">
        <v>3274</v>
      </c>
      <c r="C1799" s="87"/>
      <c r="D1799" s="88">
        <v>46139</v>
      </c>
      <c r="E1799" s="43">
        <v>3840000</v>
      </c>
      <c r="F1799" s="44">
        <f t="shared" si="86"/>
        <v>307200</v>
      </c>
      <c r="G1799" s="45">
        <f t="shared" si="87"/>
        <v>4147200</v>
      </c>
      <c r="H1799" s="46">
        <v>4147200</v>
      </c>
      <c r="I1799" s="47">
        <f t="shared" si="88"/>
        <v>0</v>
      </c>
      <c r="J1799" s="48">
        <v>46141</v>
      </c>
      <c r="K1799" s="49">
        <v>46249</v>
      </c>
      <c r="L1799" s="50">
        <v>4901292564</v>
      </c>
    </row>
    <row r="1800" spans="1:12" ht="15" customHeight="1" x14ac:dyDescent="0.35">
      <c r="A1800" s="85" t="s">
        <v>33</v>
      </c>
      <c r="B1800" s="86">
        <v>3275</v>
      </c>
      <c r="C1800" s="87"/>
      <c r="D1800" s="88">
        <v>46139</v>
      </c>
      <c r="E1800" s="43">
        <v>5440000</v>
      </c>
      <c r="F1800" s="44">
        <f t="shared" si="86"/>
        <v>435200</v>
      </c>
      <c r="G1800" s="45">
        <f t="shared" si="87"/>
        <v>5875200</v>
      </c>
      <c r="H1800" s="46">
        <v>5875200</v>
      </c>
      <c r="I1800" s="47">
        <f t="shared" si="88"/>
        <v>0</v>
      </c>
      <c r="J1800" s="48">
        <v>46141</v>
      </c>
      <c r="K1800" s="49">
        <v>46249</v>
      </c>
      <c r="L1800" s="50">
        <v>4901292958</v>
      </c>
    </row>
    <row r="1801" spans="1:12" ht="15" customHeight="1" x14ac:dyDescent="0.35">
      <c r="A1801" s="85" t="s">
        <v>33</v>
      </c>
      <c r="B1801" s="86">
        <v>3276</v>
      </c>
      <c r="C1801" s="87"/>
      <c r="D1801" s="88">
        <v>46139</v>
      </c>
      <c r="E1801" s="43">
        <v>28306000</v>
      </c>
      <c r="F1801" s="44">
        <f t="shared" si="86"/>
        <v>2264480</v>
      </c>
      <c r="G1801" s="45">
        <f t="shared" si="87"/>
        <v>30570480</v>
      </c>
      <c r="H1801" s="46"/>
      <c r="I1801" s="47">
        <f t="shared" si="88"/>
        <v>30570480</v>
      </c>
      <c r="J1801" s="48">
        <v>46141</v>
      </c>
      <c r="K1801" s="49" t="s">
        <v>3781</v>
      </c>
      <c r="L1801" s="50">
        <v>4901293295</v>
      </c>
    </row>
    <row r="1802" spans="1:12" ht="15" customHeight="1" x14ac:dyDescent="0.35">
      <c r="A1802" s="85" t="s">
        <v>33</v>
      </c>
      <c r="B1802" s="50">
        <v>3277</v>
      </c>
      <c r="C1802" s="87"/>
      <c r="D1802" s="88">
        <v>46139</v>
      </c>
      <c r="E1802" s="43">
        <v>5760000</v>
      </c>
      <c r="F1802" s="44">
        <f t="shared" si="86"/>
        <v>460800</v>
      </c>
      <c r="G1802" s="45">
        <f t="shared" si="87"/>
        <v>6220800</v>
      </c>
      <c r="H1802" s="46">
        <v>6220800</v>
      </c>
      <c r="I1802" s="47">
        <f t="shared" si="88"/>
        <v>0</v>
      </c>
      <c r="J1802" s="48">
        <v>46141</v>
      </c>
      <c r="K1802" s="49">
        <v>46249</v>
      </c>
      <c r="L1802" s="50">
        <v>4901293449</v>
      </c>
    </row>
    <row r="1803" spans="1:12" ht="15" customHeight="1" x14ac:dyDescent="0.35">
      <c r="A1803" s="85" t="s">
        <v>29</v>
      </c>
      <c r="B1803" s="86">
        <v>3278</v>
      </c>
      <c r="C1803" s="87"/>
      <c r="D1803" s="88">
        <v>46139</v>
      </c>
      <c r="E1803" s="43">
        <v>960000</v>
      </c>
      <c r="F1803" s="44">
        <f t="shared" si="86"/>
        <v>76800</v>
      </c>
      <c r="G1803" s="45">
        <f t="shared" si="87"/>
        <v>1036800</v>
      </c>
      <c r="H1803" s="46">
        <v>1036800</v>
      </c>
      <c r="I1803" s="47">
        <f t="shared" si="88"/>
        <v>0</v>
      </c>
      <c r="J1803" s="48">
        <v>46141</v>
      </c>
      <c r="K1803" s="49">
        <v>46249</v>
      </c>
      <c r="L1803" s="50">
        <v>4187737616</v>
      </c>
    </row>
    <row r="1804" spans="1:12" ht="15" customHeight="1" x14ac:dyDescent="0.35">
      <c r="A1804" s="85" t="s">
        <v>29</v>
      </c>
      <c r="B1804" s="86">
        <v>3279</v>
      </c>
      <c r="C1804" s="87"/>
      <c r="D1804" s="88">
        <v>46139</v>
      </c>
      <c r="E1804" s="43">
        <v>4224000</v>
      </c>
      <c r="F1804" s="44">
        <f t="shared" si="86"/>
        <v>337920</v>
      </c>
      <c r="G1804" s="45">
        <f t="shared" si="87"/>
        <v>4561920</v>
      </c>
      <c r="H1804" s="46">
        <v>4561920</v>
      </c>
      <c r="I1804" s="47">
        <f t="shared" si="88"/>
        <v>0</v>
      </c>
      <c r="J1804" s="48">
        <v>46141</v>
      </c>
      <c r="K1804" s="49">
        <v>46249</v>
      </c>
      <c r="L1804" s="50">
        <v>4187779306</v>
      </c>
    </row>
    <row r="1805" spans="1:12" ht="15" customHeight="1" x14ac:dyDescent="0.35">
      <c r="A1805" s="85" t="s">
        <v>123</v>
      </c>
      <c r="B1805" s="86">
        <v>3280</v>
      </c>
      <c r="C1805" s="87"/>
      <c r="D1805" s="88">
        <v>46139</v>
      </c>
      <c r="E1805" s="43">
        <v>2000000</v>
      </c>
      <c r="F1805" s="44">
        <f t="shared" si="86"/>
        <v>160000</v>
      </c>
      <c r="G1805" s="45">
        <f t="shared" si="87"/>
        <v>2160000</v>
      </c>
      <c r="H1805" s="46">
        <v>2160000</v>
      </c>
      <c r="I1805" s="47">
        <f t="shared" si="88"/>
        <v>0</v>
      </c>
      <c r="J1805" s="48">
        <v>46139</v>
      </c>
      <c r="K1805" s="49">
        <v>46249</v>
      </c>
      <c r="L1805" s="50">
        <v>4187828975</v>
      </c>
    </row>
    <row r="1806" spans="1:12" ht="15" customHeight="1" x14ac:dyDescent="0.35">
      <c r="A1806" s="85" t="s">
        <v>123</v>
      </c>
      <c r="B1806" s="86">
        <v>3281</v>
      </c>
      <c r="C1806" s="87"/>
      <c r="D1806" s="88">
        <v>46139</v>
      </c>
      <c r="E1806" s="43">
        <v>1280000</v>
      </c>
      <c r="F1806" s="44">
        <f t="shared" si="86"/>
        <v>102400</v>
      </c>
      <c r="G1806" s="45">
        <f t="shared" si="87"/>
        <v>1382400</v>
      </c>
      <c r="H1806" s="46">
        <v>1382400</v>
      </c>
      <c r="I1806" s="47">
        <f t="shared" si="88"/>
        <v>0</v>
      </c>
      <c r="J1806" s="48">
        <v>46139</v>
      </c>
      <c r="K1806" s="49">
        <v>46249</v>
      </c>
      <c r="L1806" s="50">
        <v>4187814345</v>
      </c>
    </row>
    <row r="1807" spans="1:12" ht="15" customHeight="1" x14ac:dyDescent="0.35">
      <c r="A1807" s="85" t="s">
        <v>85</v>
      </c>
      <c r="B1807" s="86">
        <v>3282</v>
      </c>
      <c r="C1807" s="87"/>
      <c r="D1807" s="88">
        <v>46139</v>
      </c>
      <c r="E1807" s="43">
        <v>448000</v>
      </c>
      <c r="F1807" s="44">
        <f t="shared" si="86"/>
        <v>35840</v>
      </c>
      <c r="G1807" s="45">
        <f t="shared" si="87"/>
        <v>483840</v>
      </c>
      <c r="H1807" s="46">
        <v>483840</v>
      </c>
      <c r="I1807" s="47">
        <f t="shared" si="88"/>
        <v>0</v>
      </c>
      <c r="J1807" s="48">
        <v>46141</v>
      </c>
      <c r="K1807" s="49">
        <v>46249</v>
      </c>
      <c r="L1807" s="50">
        <v>4187696205</v>
      </c>
    </row>
    <row r="1808" spans="1:12" ht="15" customHeight="1" x14ac:dyDescent="0.35">
      <c r="A1808" s="85" t="s">
        <v>29</v>
      </c>
      <c r="B1808" s="86">
        <v>3283</v>
      </c>
      <c r="C1808" s="87"/>
      <c r="D1808" s="88">
        <v>46139</v>
      </c>
      <c r="E1808" s="43">
        <v>640000</v>
      </c>
      <c r="F1808" s="44">
        <f t="shared" si="86"/>
        <v>51200</v>
      </c>
      <c r="G1808" s="45">
        <f t="shared" si="87"/>
        <v>691200</v>
      </c>
      <c r="H1808" s="46">
        <v>691200</v>
      </c>
      <c r="I1808" s="47">
        <f t="shared" si="88"/>
        <v>0</v>
      </c>
      <c r="J1808" s="48">
        <v>46141</v>
      </c>
      <c r="K1808" s="49">
        <v>46249</v>
      </c>
      <c r="L1808" s="50">
        <v>4187697065</v>
      </c>
    </row>
    <row r="1809" spans="1:12" ht="15" customHeight="1" x14ac:dyDescent="0.35">
      <c r="A1809" s="85" t="s">
        <v>56</v>
      </c>
      <c r="B1809" s="86">
        <v>3284</v>
      </c>
      <c r="C1809" s="87"/>
      <c r="D1809" s="88">
        <v>46139</v>
      </c>
      <c r="E1809" s="43">
        <v>640000</v>
      </c>
      <c r="F1809" s="44">
        <f t="shared" si="86"/>
        <v>51200</v>
      </c>
      <c r="G1809" s="45">
        <f t="shared" si="87"/>
        <v>691200</v>
      </c>
      <c r="H1809" s="46">
        <v>691200</v>
      </c>
      <c r="I1809" s="47">
        <f t="shared" si="88"/>
        <v>0</v>
      </c>
      <c r="J1809" s="48">
        <v>46141</v>
      </c>
      <c r="K1809" s="49">
        <v>46249</v>
      </c>
      <c r="L1809" s="50">
        <v>4187814169</v>
      </c>
    </row>
    <row r="1810" spans="1:12" ht="15" customHeight="1" x14ac:dyDescent="0.35">
      <c r="A1810" s="85" t="s">
        <v>56</v>
      </c>
      <c r="B1810" s="86">
        <v>3285</v>
      </c>
      <c r="C1810" s="87"/>
      <c r="D1810" s="88">
        <v>46139</v>
      </c>
      <c r="E1810" s="43">
        <v>2120000</v>
      </c>
      <c r="F1810" s="44">
        <f t="shared" si="86"/>
        <v>169600</v>
      </c>
      <c r="G1810" s="45">
        <f t="shared" si="87"/>
        <v>2289600</v>
      </c>
      <c r="H1810" s="46">
        <v>2289600</v>
      </c>
      <c r="I1810" s="47">
        <f t="shared" si="88"/>
        <v>0</v>
      </c>
      <c r="J1810" s="48">
        <v>46141</v>
      </c>
      <c r="K1810" s="49">
        <v>46249</v>
      </c>
      <c r="L1810" s="50">
        <v>4187828966</v>
      </c>
    </row>
    <row r="1811" spans="1:12" ht="15" customHeight="1" x14ac:dyDescent="0.35">
      <c r="A1811" s="85" t="s">
        <v>123</v>
      </c>
      <c r="B1811" s="86">
        <v>3286</v>
      </c>
      <c r="C1811" s="87"/>
      <c r="D1811" s="88">
        <v>46139</v>
      </c>
      <c r="E1811" s="43">
        <v>4000000</v>
      </c>
      <c r="F1811" s="44">
        <f t="shared" si="86"/>
        <v>320000</v>
      </c>
      <c r="G1811" s="45">
        <f t="shared" si="87"/>
        <v>4320000</v>
      </c>
      <c r="H1811" s="46">
        <v>4320000</v>
      </c>
      <c r="I1811" s="47">
        <f t="shared" si="88"/>
        <v>0</v>
      </c>
      <c r="J1811" s="48">
        <v>46141</v>
      </c>
      <c r="K1811" s="49">
        <v>46249</v>
      </c>
      <c r="L1811" s="50">
        <v>4187828967</v>
      </c>
    </row>
    <row r="1812" spans="1:12" ht="15" customHeight="1" x14ac:dyDescent="0.35">
      <c r="A1812" s="85" t="s">
        <v>63</v>
      </c>
      <c r="B1812" s="86">
        <v>3287</v>
      </c>
      <c r="C1812" s="87"/>
      <c r="D1812" s="88">
        <v>46139</v>
      </c>
      <c r="E1812" s="43">
        <v>1920000</v>
      </c>
      <c r="F1812" s="44">
        <f t="shared" si="86"/>
        <v>153600</v>
      </c>
      <c r="G1812" s="45">
        <f t="shared" si="87"/>
        <v>2073600</v>
      </c>
      <c r="H1812" s="46">
        <v>2073600</v>
      </c>
      <c r="I1812" s="47">
        <f t="shared" si="88"/>
        <v>0</v>
      </c>
      <c r="J1812" s="48">
        <v>46141</v>
      </c>
      <c r="K1812" s="49">
        <v>46249</v>
      </c>
      <c r="L1812" s="50">
        <v>4187696214</v>
      </c>
    </row>
    <row r="1813" spans="1:12" ht="15" customHeight="1" x14ac:dyDescent="0.35">
      <c r="A1813" s="85" t="s">
        <v>37</v>
      </c>
      <c r="B1813" s="86">
        <v>3288</v>
      </c>
      <c r="C1813" s="87"/>
      <c r="D1813" s="88">
        <v>46139</v>
      </c>
      <c r="E1813" s="43">
        <v>640000</v>
      </c>
      <c r="F1813" s="44">
        <f t="shared" si="86"/>
        <v>51200</v>
      </c>
      <c r="G1813" s="45">
        <f t="shared" si="87"/>
        <v>691200</v>
      </c>
      <c r="H1813" s="46">
        <v>691200</v>
      </c>
      <c r="I1813" s="47">
        <f t="shared" si="88"/>
        <v>0</v>
      </c>
      <c r="J1813" s="48">
        <v>46141</v>
      </c>
      <c r="K1813" s="49">
        <v>46249</v>
      </c>
      <c r="L1813" s="50">
        <v>4187779245</v>
      </c>
    </row>
    <row r="1814" spans="1:12" ht="15" customHeight="1" x14ac:dyDescent="0.35">
      <c r="A1814" s="85" t="s">
        <v>37</v>
      </c>
      <c r="B1814" s="86">
        <v>3289</v>
      </c>
      <c r="C1814" s="87"/>
      <c r="D1814" s="88">
        <v>46139</v>
      </c>
      <c r="E1814" s="43">
        <v>5520000</v>
      </c>
      <c r="F1814" s="44">
        <f t="shared" si="86"/>
        <v>441600</v>
      </c>
      <c r="G1814" s="45">
        <f t="shared" si="87"/>
        <v>5961600</v>
      </c>
      <c r="H1814" s="46">
        <v>5961600</v>
      </c>
      <c r="I1814" s="47">
        <f t="shared" si="88"/>
        <v>0</v>
      </c>
      <c r="J1814" s="48">
        <v>46141</v>
      </c>
      <c r="K1814" s="49">
        <v>46249</v>
      </c>
      <c r="L1814" s="50">
        <v>4187828962</v>
      </c>
    </row>
    <row r="1815" spans="1:12" ht="15" customHeight="1" x14ac:dyDescent="0.35">
      <c r="A1815" s="85" t="s">
        <v>37</v>
      </c>
      <c r="B1815" s="86">
        <v>3290</v>
      </c>
      <c r="C1815" s="87"/>
      <c r="D1815" s="88">
        <v>46139</v>
      </c>
      <c r="E1815" s="43">
        <v>576000</v>
      </c>
      <c r="F1815" s="44">
        <f t="shared" si="86"/>
        <v>46080</v>
      </c>
      <c r="G1815" s="45">
        <f t="shared" si="87"/>
        <v>622080</v>
      </c>
      <c r="H1815" s="46">
        <v>622080</v>
      </c>
      <c r="I1815" s="47">
        <f t="shared" si="88"/>
        <v>0</v>
      </c>
      <c r="J1815" s="48">
        <v>46141</v>
      </c>
      <c r="K1815" s="49">
        <v>46249</v>
      </c>
      <c r="L1815" s="50">
        <v>4187697139</v>
      </c>
    </row>
    <row r="1816" spans="1:12" ht="15" customHeight="1" x14ac:dyDescent="0.35">
      <c r="A1816" s="85" t="s">
        <v>37</v>
      </c>
      <c r="B1816" s="86">
        <v>3291</v>
      </c>
      <c r="C1816" s="87"/>
      <c r="D1816" s="88">
        <v>46139</v>
      </c>
      <c r="E1816" s="43">
        <v>2916000</v>
      </c>
      <c r="F1816" s="44">
        <f t="shared" si="86"/>
        <v>233280</v>
      </c>
      <c r="G1816" s="45">
        <f t="shared" si="87"/>
        <v>3149280</v>
      </c>
      <c r="H1816" s="46">
        <v>3149280</v>
      </c>
      <c r="I1816" s="47">
        <f t="shared" si="88"/>
        <v>0</v>
      </c>
      <c r="J1816" s="48">
        <v>46141</v>
      </c>
      <c r="K1816" s="49">
        <v>46249</v>
      </c>
      <c r="L1816" s="50">
        <v>4187770313</v>
      </c>
    </row>
    <row r="1817" spans="1:12" ht="15" customHeight="1" x14ac:dyDescent="0.35">
      <c r="A1817" s="85" t="s">
        <v>29</v>
      </c>
      <c r="B1817" s="86">
        <v>3292</v>
      </c>
      <c r="C1817" s="87"/>
      <c r="D1817" s="88">
        <v>46139</v>
      </c>
      <c r="E1817" s="43">
        <v>3825000</v>
      </c>
      <c r="F1817" s="44">
        <f t="shared" si="86"/>
        <v>306000</v>
      </c>
      <c r="G1817" s="45">
        <f t="shared" si="87"/>
        <v>4131000</v>
      </c>
      <c r="H1817" s="46">
        <v>4131000</v>
      </c>
      <c r="I1817" s="47">
        <f t="shared" si="88"/>
        <v>0</v>
      </c>
      <c r="J1817" s="48">
        <v>46141</v>
      </c>
      <c r="K1817" s="49">
        <v>46249</v>
      </c>
      <c r="L1817" s="50">
        <v>4187891136</v>
      </c>
    </row>
    <row r="1818" spans="1:12" ht="15" customHeight="1" x14ac:dyDescent="0.35">
      <c r="A1818" s="85" t="s">
        <v>123</v>
      </c>
      <c r="B1818" s="86">
        <v>3293</v>
      </c>
      <c r="C1818" s="87"/>
      <c r="D1818" s="88">
        <v>46139</v>
      </c>
      <c r="E1818" s="43">
        <v>13400000</v>
      </c>
      <c r="F1818" s="44">
        <f t="shared" si="86"/>
        <v>1072000</v>
      </c>
      <c r="G1818" s="45">
        <f t="shared" si="87"/>
        <v>14472000</v>
      </c>
      <c r="H1818" s="46">
        <v>14472000</v>
      </c>
      <c r="I1818" s="47">
        <f t="shared" si="88"/>
        <v>0</v>
      </c>
      <c r="J1818" s="48">
        <v>46139</v>
      </c>
      <c r="K1818" s="49">
        <v>46249</v>
      </c>
      <c r="L1818" s="50">
        <v>4187935002</v>
      </c>
    </row>
    <row r="1819" spans="1:12" ht="15" customHeight="1" x14ac:dyDescent="0.35">
      <c r="A1819" s="85" t="s">
        <v>3227</v>
      </c>
      <c r="B1819" s="86"/>
      <c r="C1819" s="87"/>
      <c r="D1819" s="88"/>
      <c r="E1819" s="43">
        <v>640000</v>
      </c>
      <c r="F1819" s="44"/>
      <c r="G1819" s="45"/>
      <c r="H1819" s="46"/>
      <c r="I1819" s="47">
        <f t="shared" si="88"/>
        <v>0</v>
      </c>
      <c r="J1819" s="48" t="s">
        <v>3804</v>
      </c>
      <c r="K1819" s="49"/>
      <c r="L1819" s="50">
        <v>4187865723</v>
      </c>
    </row>
    <row r="1820" spans="1:12" ht="15" customHeight="1" x14ac:dyDescent="0.35">
      <c r="A1820" s="85" t="s">
        <v>29</v>
      </c>
      <c r="B1820" s="86">
        <v>3294</v>
      </c>
      <c r="C1820" s="87"/>
      <c r="D1820" s="88">
        <v>46139</v>
      </c>
      <c r="E1820" s="43">
        <v>3840000</v>
      </c>
      <c r="F1820" s="44">
        <f t="shared" si="86"/>
        <v>307200</v>
      </c>
      <c r="G1820" s="45">
        <f t="shared" si="87"/>
        <v>4147200</v>
      </c>
      <c r="H1820" s="46">
        <v>4147200</v>
      </c>
      <c r="I1820" s="47">
        <f t="shared" si="88"/>
        <v>0</v>
      </c>
      <c r="J1820" s="48">
        <v>46141</v>
      </c>
      <c r="K1820" s="49">
        <v>46249</v>
      </c>
      <c r="L1820" s="50">
        <v>4187869213</v>
      </c>
    </row>
    <row r="1821" spans="1:12" ht="15" customHeight="1" x14ac:dyDescent="0.35">
      <c r="A1821" s="85" t="s">
        <v>37</v>
      </c>
      <c r="B1821" s="86">
        <v>3295</v>
      </c>
      <c r="C1821" s="87"/>
      <c r="D1821" s="88">
        <v>46139</v>
      </c>
      <c r="E1821" s="43">
        <v>3822500</v>
      </c>
      <c r="F1821" s="44">
        <f t="shared" si="86"/>
        <v>305800</v>
      </c>
      <c r="G1821" s="45">
        <f t="shared" si="87"/>
        <v>4128300</v>
      </c>
      <c r="H1821" s="46">
        <v>4128300</v>
      </c>
      <c r="I1821" s="47">
        <f t="shared" si="88"/>
        <v>0</v>
      </c>
      <c r="J1821" s="48">
        <v>46141</v>
      </c>
      <c r="K1821" s="49">
        <v>46249</v>
      </c>
      <c r="L1821" s="50">
        <v>4187934876</v>
      </c>
    </row>
    <row r="1822" spans="1:12" ht="15" customHeight="1" x14ac:dyDescent="0.35">
      <c r="A1822" s="85" t="s">
        <v>63</v>
      </c>
      <c r="B1822" s="86">
        <v>3296</v>
      </c>
      <c r="C1822" s="87"/>
      <c r="D1822" s="88">
        <v>46139</v>
      </c>
      <c r="E1822" s="43">
        <v>1920000</v>
      </c>
      <c r="F1822" s="44">
        <f t="shared" si="86"/>
        <v>153600</v>
      </c>
      <c r="G1822" s="45">
        <f t="shared" si="87"/>
        <v>2073600</v>
      </c>
      <c r="H1822" s="46">
        <v>2073600</v>
      </c>
      <c r="I1822" s="47">
        <f t="shared" si="88"/>
        <v>0</v>
      </c>
      <c r="J1822" s="48">
        <v>46141</v>
      </c>
      <c r="K1822" s="49">
        <v>46249</v>
      </c>
      <c r="L1822" s="50">
        <v>4187934956</v>
      </c>
    </row>
    <row r="1823" spans="1:12" ht="15" customHeight="1" x14ac:dyDescent="0.35">
      <c r="A1823" s="85" t="s">
        <v>85</v>
      </c>
      <c r="B1823" s="86">
        <v>3297</v>
      </c>
      <c r="C1823" s="87"/>
      <c r="D1823" s="88">
        <v>46139</v>
      </c>
      <c r="E1823" s="43">
        <v>1480000</v>
      </c>
      <c r="F1823" s="44">
        <f t="shared" si="86"/>
        <v>118400</v>
      </c>
      <c r="G1823" s="45">
        <f t="shared" si="87"/>
        <v>1598400</v>
      </c>
      <c r="H1823" s="46">
        <v>1598400</v>
      </c>
      <c r="I1823" s="47" t="s">
        <v>475</v>
      </c>
      <c r="J1823" s="48">
        <v>46141</v>
      </c>
      <c r="K1823" s="49">
        <v>46249</v>
      </c>
      <c r="L1823" s="50">
        <v>4187934995</v>
      </c>
    </row>
    <row r="1824" spans="1:12" ht="15" customHeight="1" x14ac:dyDescent="0.35">
      <c r="A1824" s="85" t="s">
        <v>56</v>
      </c>
      <c r="B1824" s="86">
        <v>3298</v>
      </c>
      <c r="C1824" s="87"/>
      <c r="D1824" s="88">
        <v>46139</v>
      </c>
      <c r="E1824" s="43">
        <v>2240000</v>
      </c>
      <c r="F1824" s="44">
        <f t="shared" si="86"/>
        <v>179200</v>
      </c>
      <c r="G1824" s="45">
        <f t="shared" si="87"/>
        <v>2419200</v>
      </c>
      <c r="H1824" s="46">
        <v>2419200</v>
      </c>
      <c r="I1824" s="47">
        <f t="shared" si="88"/>
        <v>0</v>
      </c>
      <c r="J1824" s="48">
        <v>46141</v>
      </c>
      <c r="K1824" s="49">
        <v>46249</v>
      </c>
      <c r="L1824" s="50">
        <v>4187934994</v>
      </c>
    </row>
    <row r="1825" spans="1:12" ht="15" customHeight="1" x14ac:dyDescent="0.35">
      <c r="A1825" s="85" t="s">
        <v>123</v>
      </c>
      <c r="B1825" s="86">
        <v>3299</v>
      </c>
      <c r="C1825" s="87"/>
      <c r="D1825" s="88">
        <v>46139</v>
      </c>
      <c r="E1825" s="43">
        <v>982500</v>
      </c>
      <c r="F1825" s="44">
        <f t="shared" si="86"/>
        <v>78600</v>
      </c>
      <c r="G1825" s="45">
        <f t="shared" si="87"/>
        <v>1061100</v>
      </c>
      <c r="H1825" s="46">
        <v>1061100</v>
      </c>
      <c r="I1825" s="47">
        <f t="shared" si="88"/>
        <v>0</v>
      </c>
      <c r="J1825" s="48">
        <v>46141</v>
      </c>
      <c r="K1825" s="49">
        <v>46249</v>
      </c>
      <c r="L1825" s="50">
        <v>4187934997</v>
      </c>
    </row>
    <row r="1826" spans="1:12" ht="15" customHeight="1" x14ac:dyDescent="0.35">
      <c r="A1826" s="85" t="s">
        <v>33</v>
      </c>
      <c r="B1826" s="86">
        <v>3300</v>
      </c>
      <c r="C1826" s="87"/>
      <c r="D1826" s="88">
        <v>46139</v>
      </c>
      <c r="E1826" s="43">
        <v>5888000</v>
      </c>
      <c r="F1826" s="44">
        <f t="shared" si="86"/>
        <v>471040</v>
      </c>
      <c r="G1826" s="45">
        <f t="shared" si="87"/>
        <v>6359040</v>
      </c>
      <c r="H1826" s="46">
        <v>6359040</v>
      </c>
      <c r="I1826" s="47">
        <f t="shared" si="88"/>
        <v>0</v>
      </c>
      <c r="J1826" s="48">
        <v>46141</v>
      </c>
      <c r="K1826" s="49">
        <v>46249</v>
      </c>
      <c r="L1826" s="50">
        <v>4901293465</v>
      </c>
    </row>
    <row r="1827" spans="1:12" ht="15" customHeight="1" x14ac:dyDescent="0.35">
      <c r="A1827" s="85" t="s">
        <v>33</v>
      </c>
      <c r="B1827" s="86">
        <v>3301</v>
      </c>
      <c r="C1827" s="87"/>
      <c r="D1827" s="88">
        <v>46139</v>
      </c>
      <c r="E1827" s="43">
        <v>5760000</v>
      </c>
      <c r="F1827" s="44">
        <f t="shared" si="86"/>
        <v>460800</v>
      </c>
      <c r="G1827" s="45">
        <f t="shared" si="87"/>
        <v>6220800</v>
      </c>
      <c r="H1827" s="46">
        <v>6220800</v>
      </c>
      <c r="I1827" s="47">
        <f t="shared" si="88"/>
        <v>0</v>
      </c>
      <c r="J1827" s="48">
        <v>46141</v>
      </c>
      <c r="K1827" s="49">
        <v>46249</v>
      </c>
      <c r="L1827" s="50">
        <v>4901293542</v>
      </c>
    </row>
    <row r="1828" spans="1:12" ht="15" customHeight="1" x14ac:dyDescent="0.35">
      <c r="A1828" s="85" t="s">
        <v>56</v>
      </c>
      <c r="B1828" s="86">
        <v>3302</v>
      </c>
      <c r="C1828" s="87"/>
      <c r="D1828" s="88">
        <v>46139</v>
      </c>
      <c r="E1828" s="43">
        <v>1248000</v>
      </c>
      <c r="F1828" s="44">
        <f t="shared" si="86"/>
        <v>99840</v>
      </c>
      <c r="G1828" s="45">
        <f t="shared" si="87"/>
        <v>1347840</v>
      </c>
      <c r="H1828" s="46">
        <v>1347840</v>
      </c>
      <c r="I1828" s="47">
        <f t="shared" si="88"/>
        <v>0</v>
      </c>
      <c r="J1828" s="48">
        <v>46141</v>
      </c>
      <c r="K1828" s="49">
        <v>46249</v>
      </c>
      <c r="L1828" s="50">
        <v>4187949830</v>
      </c>
    </row>
    <row r="1829" spans="1:12" ht="15" customHeight="1" x14ac:dyDescent="0.35">
      <c r="A1829" s="85" t="s">
        <v>63</v>
      </c>
      <c r="B1829" s="86">
        <v>3303</v>
      </c>
      <c r="C1829" s="87"/>
      <c r="D1829" s="88">
        <v>46139</v>
      </c>
      <c r="E1829" s="43">
        <v>512000</v>
      </c>
      <c r="F1829" s="44">
        <f t="shared" si="86"/>
        <v>40960</v>
      </c>
      <c r="G1829" s="45">
        <f t="shared" si="87"/>
        <v>552960</v>
      </c>
      <c r="H1829" s="46">
        <v>552960</v>
      </c>
      <c r="I1829" s="47">
        <f t="shared" si="88"/>
        <v>0</v>
      </c>
      <c r="J1829" s="48">
        <v>46141</v>
      </c>
      <c r="K1829" s="49">
        <v>46249</v>
      </c>
      <c r="L1829" s="50">
        <v>4187949833</v>
      </c>
    </row>
    <row r="1830" spans="1:12" ht="15" customHeight="1" x14ac:dyDescent="0.35">
      <c r="A1830" s="85" t="s">
        <v>85</v>
      </c>
      <c r="B1830" s="86">
        <v>3304</v>
      </c>
      <c r="C1830" s="87"/>
      <c r="D1830" s="88">
        <v>46139</v>
      </c>
      <c r="E1830" s="43">
        <v>2560000</v>
      </c>
      <c r="F1830" s="44">
        <f t="shared" si="86"/>
        <v>204800</v>
      </c>
      <c r="G1830" s="45">
        <f t="shared" si="87"/>
        <v>2764800</v>
      </c>
      <c r="H1830" s="46">
        <v>2764800</v>
      </c>
      <c r="I1830" s="47">
        <f t="shared" si="88"/>
        <v>0</v>
      </c>
      <c r="J1830" s="48">
        <v>46141</v>
      </c>
      <c r="K1830" s="49">
        <v>46249</v>
      </c>
      <c r="L1830" s="50">
        <v>4187949851</v>
      </c>
    </row>
    <row r="1831" spans="1:12" ht="15" customHeight="1" x14ac:dyDescent="0.35">
      <c r="A1831" s="85" t="s">
        <v>37</v>
      </c>
      <c r="B1831" s="86">
        <v>3305</v>
      </c>
      <c r="C1831" s="87"/>
      <c r="D1831" s="88">
        <v>46139</v>
      </c>
      <c r="E1831" s="43">
        <v>1280000</v>
      </c>
      <c r="F1831" s="44">
        <f t="shared" si="86"/>
        <v>102400</v>
      </c>
      <c r="G1831" s="45">
        <f t="shared" si="87"/>
        <v>1382400</v>
      </c>
      <c r="H1831" s="45">
        <v>1382400</v>
      </c>
      <c r="I1831" s="47">
        <f t="shared" si="88"/>
        <v>0</v>
      </c>
      <c r="J1831" s="48">
        <v>46141</v>
      </c>
      <c r="K1831" s="49">
        <v>46249</v>
      </c>
      <c r="L1831" s="50">
        <v>4187949961</v>
      </c>
    </row>
    <row r="1832" spans="1:12" ht="15" customHeight="1" x14ac:dyDescent="0.35">
      <c r="A1832" s="85" t="s">
        <v>29</v>
      </c>
      <c r="B1832" s="86">
        <v>3306</v>
      </c>
      <c r="C1832" s="87"/>
      <c r="D1832" s="88">
        <v>46139</v>
      </c>
      <c r="E1832" s="43">
        <v>11766000</v>
      </c>
      <c r="F1832" s="44">
        <f t="shared" si="86"/>
        <v>941280</v>
      </c>
      <c r="G1832" s="45">
        <f t="shared" si="87"/>
        <v>12707280</v>
      </c>
      <c r="H1832" s="46">
        <v>12707280</v>
      </c>
      <c r="I1832" s="47">
        <f t="shared" si="88"/>
        <v>0</v>
      </c>
      <c r="J1832" s="48">
        <v>46141</v>
      </c>
      <c r="K1832" s="49">
        <v>46249</v>
      </c>
      <c r="L1832" s="50">
        <v>4187968041</v>
      </c>
    </row>
    <row r="1833" spans="1:12" ht="15" customHeight="1" x14ac:dyDescent="0.35">
      <c r="A1833" s="85" t="s">
        <v>63</v>
      </c>
      <c r="B1833" s="86">
        <v>3307</v>
      </c>
      <c r="C1833" s="87"/>
      <c r="D1833" s="88">
        <v>46139</v>
      </c>
      <c r="E1833" s="43">
        <v>1584000</v>
      </c>
      <c r="F1833" s="44">
        <f t="shared" si="86"/>
        <v>126720</v>
      </c>
      <c r="G1833" s="45">
        <f t="shared" si="87"/>
        <v>1710720</v>
      </c>
      <c r="H1833" s="46">
        <v>1710720</v>
      </c>
      <c r="I1833" s="47">
        <f t="shared" si="88"/>
        <v>0</v>
      </c>
      <c r="J1833" s="48">
        <v>46141</v>
      </c>
      <c r="K1833" s="49">
        <v>46249</v>
      </c>
      <c r="L1833" s="50">
        <v>4188027414</v>
      </c>
    </row>
    <row r="1834" spans="1:12" ht="15" customHeight="1" x14ac:dyDescent="0.35">
      <c r="A1834" s="85" t="s">
        <v>123</v>
      </c>
      <c r="B1834" s="86">
        <v>3308</v>
      </c>
      <c r="C1834" s="87"/>
      <c r="D1834" s="88">
        <v>46139</v>
      </c>
      <c r="E1834" s="43">
        <v>288000</v>
      </c>
      <c r="F1834" s="44">
        <f t="shared" si="86"/>
        <v>23040</v>
      </c>
      <c r="G1834" s="45">
        <f t="shared" si="87"/>
        <v>311040</v>
      </c>
      <c r="H1834" s="46">
        <v>311040</v>
      </c>
      <c r="I1834" s="47">
        <f t="shared" si="88"/>
        <v>0</v>
      </c>
      <c r="J1834" s="48">
        <v>46141</v>
      </c>
      <c r="K1834" s="49">
        <v>46249</v>
      </c>
      <c r="L1834" s="50">
        <v>4188027236</v>
      </c>
    </row>
    <row r="1835" spans="1:12" ht="15" customHeight="1" x14ac:dyDescent="0.35">
      <c r="A1835" s="85" t="s">
        <v>123</v>
      </c>
      <c r="B1835" s="86">
        <v>3309</v>
      </c>
      <c r="C1835" s="87"/>
      <c r="D1835" s="88">
        <v>46139</v>
      </c>
      <c r="E1835" s="43">
        <v>1920000</v>
      </c>
      <c r="F1835" s="44">
        <f t="shared" si="86"/>
        <v>153600</v>
      </c>
      <c r="G1835" s="45">
        <f t="shared" si="87"/>
        <v>2073600</v>
      </c>
      <c r="H1835" s="46">
        <v>2073600</v>
      </c>
      <c r="I1835" s="47">
        <f t="shared" si="88"/>
        <v>0</v>
      </c>
      <c r="J1835" s="48">
        <v>46139</v>
      </c>
      <c r="K1835" s="49">
        <v>46249</v>
      </c>
      <c r="L1835" s="50">
        <v>4188271772</v>
      </c>
    </row>
    <row r="1836" spans="1:12" ht="15" customHeight="1" x14ac:dyDescent="0.35">
      <c r="A1836" s="85" t="s">
        <v>123</v>
      </c>
      <c r="B1836" s="86">
        <v>3310</v>
      </c>
      <c r="C1836" s="87"/>
      <c r="D1836" s="88">
        <v>46139</v>
      </c>
      <c r="E1836" s="43">
        <v>7856000</v>
      </c>
      <c r="F1836" s="44">
        <f t="shared" si="86"/>
        <v>628480</v>
      </c>
      <c r="G1836" s="45">
        <f t="shared" si="87"/>
        <v>8484480</v>
      </c>
      <c r="H1836" s="46">
        <v>8484480</v>
      </c>
      <c r="I1836" s="47">
        <f t="shared" si="88"/>
        <v>0</v>
      </c>
      <c r="J1836" s="48">
        <v>46139</v>
      </c>
      <c r="K1836" s="49">
        <v>46249</v>
      </c>
      <c r="L1836" s="50">
        <v>4188250997</v>
      </c>
    </row>
    <row r="1837" spans="1:12" ht="15" customHeight="1" x14ac:dyDescent="0.35">
      <c r="A1837" s="85" t="s">
        <v>56</v>
      </c>
      <c r="B1837" s="86">
        <v>3799</v>
      </c>
      <c r="C1837" s="87"/>
      <c r="D1837" s="88">
        <v>46156</v>
      </c>
      <c r="E1837" s="43">
        <v>4560000</v>
      </c>
      <c r="F1837" s="44">
        <f t="shared" si="86"/>
        <v>364800</v>
      </c>
      <c r="G1837" s="45">
        <f t="shared" si="87"/>
        <v>4924800</v>
      </c>
      <c r="H1837" s="46">
        <v>4924800</v>
      </c>
      <c r="I1837" s="47">
        <f t="shared" si="88"/>
        <v>0</v>
      </c>
      <c r="J1837" s="48">
        <v>46156</v>
      </c>
      <c r="K1837" s="49">
        <v>46249</v>
      </c>
      <c r="L1837" s="50">
        <v>4188258765</v>
      </c>
    </row>
    <row r="1838" spans="1:12" ht="15" customHeight="1" x14ac:dyDescent="0.35">
      <c r="A1838" s="85" t="s">
        <v>85</v>
      </c>
      <c r="B1838" s="86">
        <v>3800</v>
      </c>
      <c r="C1838" s="87"/>
      <c r="D1838" s="88">
        <v>46156</v>
      </c>
      <c r="E1838" s="43">
        <v>2448000</v>
      </c>
      <c r="F1838" s="44">
        <f t="shared" si="86"/>
        <v>195840</v>
      </c>
      <c r="G1838" s="45">
        <f t="shared" si="87"/>
        <v>2643840</v>
      </c>
      <c r="H1838" s="46">
        <v>2643840</v>
      </c>
      <c r="I1838" s="47">
        <f t="shared" si="88"/>
        <v>0</v>
      </c>
      <c r="J1838" s="48">
        <v>46156</v>
      </c>
      <c r="K1838" s="49">
        <v>46249</v>
      </c>
      <c r="L1838" s="50">
        <v>4188251154</v>
      </c>
    </row>
    <row r="1839" spans="1:12" ht="15" customHeight="1" x14ac:dyDescent="0.35">
      <c r="A1839" s="85" t="s">
        <v>123</v>
      </c>
      <c r="B1839" s="86">
        <v>3801</v>
      </c>
      <c r="C1839" s="87"/>
      <c r="D1839" s="88">
        <v>46156</v>
      </c>
      <c r="E1839" s="43">
        <v>9840000</v>
      </c>
      <c r="F1839" s="44">
        <f t="shared" si="86"/>
        <v>787200</v>
      </c>
      <c r="G1839" s="45">
        <f t="shared" si="87"/>
        <v>10627200</v>
      </c>
      <c r="H1839" s="46">
        <v>10627200</v>
      </c>
      <c r="I1839" s="47">
        <f t="shared" si="88"/>
        <v>0</v>
      </c>
      <c r="J1839" s="48">
        <v>46156</v>
      </c>
      <c r="K1839" s="49">
        <v>46249</v>
      </c>
      <c r="L1839" s="50">
        <v>4188250509</v>
      </c>
    </row>
    <row r="1840" spans="1:12" ht="15" customHeight="1" x14ac:dyDescent="0.35">
      <c r="A1840" s="85" t="s">
        <v>63</v>
      </c>
      <c r="B1840" s="86">
        <v>3802</v>
      </c>
      <c r="C1840" s="87"/>
      <c r="D1840" s="88">
        <v>46156</v>
      </c>
      <c r="E1840" s="43">
        <v>1040000</v>
      </c>
      <c r="F1840" s="44">
        <f t="shared" si="86"/>
        <v>83200</v>
      </c>
      <c r="G1840" s="45">
        <f t="shared" si="87"/>
        <v>1123200</v>
      </c>
      <c r="H1840" s="46">
        <v>1123200</v>
      </c>
      <c r="I1840" s="47">
        <f t="shared" si="88"/>
        <v>0</v>
      </c>
      <c r="J1840" s="48">
        <v>46156</v>
      </c>
      <c r="K1840" s="49">
        <v>46249</v>
      </c>
      <c r="L1840" s="50">
        <v>4188250847</v>
      </c>
    </row>
    <row r="1841" spans="1:12" ht="15" customHeight="1" x14ac:dyDescent="0.35">
      <c r="A1841" s="85" t="s">
        <v>37</v>
      </c>
      <c r="B1841" s="86">
        <v>3803</v>
      </c>
      <c r="C1841" s="87"/>
      <c r="D1841" s="88">
        <v>46156</v>
      </c>
      <c r="E1841" s="43">
        <v>13261000</v>
      </c>
      <c r="F1841" s="44">
        <f t="shared" si="86"/>
        <v>1060880</v>
      </c>
      <c r="G1841" s="45">
        <f t="shared" si="87"/>
        <v>14321880</v>
      </c>
      <c r="H1841" s="46">
        <v>14321880</v>
      </c>
      <c r="I1841" s="47">
        <f t="shared" si="88"/>
        <v>0</v>
      </c>
      <c r="J1841" s="48">
        <v>46156</v>
      </c>
      <c r="K1841" s="49">
        <v>46249</v>
      </c>
      <c r="L1841" s="50">
        <v>4188250788</v>
      </c>
    </row>
    <row r="1842" spans="1:12" ht="15" customHeight="1" x14ac:dyDescent="0.35">
      <c r="A1842" s="85" t="s">
        <v>29</v>
      </c>
      <c r="B1842" s="86">
        <v>3804</v>
      </c>
      <c r="C1842" s="87"/>
      <c r="D1842" s="88">
        <v>46156</v>
      </c>
      <c r="E1842" s="43">
        <v>59581000</v>
      </c>
      <c r="F1842" s="44">
        <f t="shared" si="86"/>
        <v>4766480</v>
      </c>
      <c r="G1842" s="45">
        <f t="shared" si="87"/>
        <v>64347480</v>
      </c>
      <c r="H1842" s="46">
        <v>64347480</v>
      </c>
      <c r="I1842" s="47">
        <f t="shared" si="88"/>
        <v>0</v>
      </c>
      <c r="J1842" s="48">
        <v>46156</v>
      </c>
      <c r="K1842" s="49">
        <v>46249</v>
      </c>
      <c r="L1842" s="50">
        <v>4188258532</v>
      </c>
    </row>
    <row r="1843" spans="1:12" ht="15" customHeight="1" x14ac:dyDescent="0.35">
      <c r="A1843" s="85" t="s">
        <v>37</v>
      </c>
      <c r="B1843" s="86">
        <v>3805</v>
      </c>
      <c r="C1843" s="87"/>
      <c r="D1843" s="88">
        <v>46156</v>
      </c>
      <c r="E1843" s="43">
        <v>1280000</v>
      </c>
      <c r="F1843" s="44">
        <f t="shared" si="86"/>
        <v>102400</v>
      </c>
      <c r="G1843" s="45">
        <f t="shared" si="87"/>
        <v>1382400</v>
      </c>
      <c r="H1843" s="46">
        <v>1382400</v>
      </c>
      <c r="I1843" s="47">
        <f t="shared" si="88"/>
        <v>0</v>
      </c>
      <c r="J1843" s="48">
        <v>46156</v>
      </c>
      <c r="K1843" s="49">
        <v>46249</v>
      </c>
      <c r="L1843" s="50">
        <v>4188205751</v>
      </c>
    </row>
    <row r="1844" spans="1:12" ht="15" customHeight="1" x14ac:dyDescent="0.35">
      <c r="A1844" s="85" t="s">
        <v>33</v>
      </c>
      <c r="B1844" s="86">
        <v>3407</v>
      </c>
      <c r="C1844" s="87"/>
      <c r="D1844" s="88">
        <v>46141</v>
      </c>
      <c r="E1844" s="43">
        <v>3200000</v>
      </c>
      <c r="F1844" s="44">
        <f t="shared" si="86"/>
        <v>256000</v>
      </c>
      <c r="G1844" s="45">
        <f t="shared" si="87"/>
        <v>3456000</v>
      </c>
      <c r="H1844" s="46">
        <v>3456000</v>
      </c>
      <c r="I1844" s="47">
        <f t="shared" si="88"/>
        <v>0</v>
      </c>
      <c r="J1844" s="48">
        <v>46141</v>
      </c>
      <c r="K1844" s="49">
        <v>46249</v>
      </c>
      <c r="L1844" s="50">
        <v>4901294376</v>
      </c>
    </row>
    <row r="1845" spans="1:12" ht="15" customHeight="1" x14ac:dyDescent="0.35">
      <c r="A1845" s="85" t="s">
        <v>33</v>
      </c>
      <c r="B1845" s="86">
        <v>3408</v>
      </c>
      <c r="C1845" s="87"/>
      <c r="D1845" s="88">
        <v>46141</v>
      </c>
      <c r="E1845" s="43">
        <v>16576000</v>
      </c>
      <c r="F1845" s="44">
        <f t="shared" si="86"/>
        <v>1326080</v>
      </c>
      <c r="G1845" s="45">
        <f t="shared" si="87"/>
        <v>17902080</v>
      </c>
      <c r="H1845" s="46">
        <v>17902080</v>
      </c>
      <c r="I1845" s="47">
        <f t="shared" si="88"/>
        <v>0</v>
      </c>
      <c r="J1845" s="48">
        <v>46141</v>
      </c>
      <c r="K1845" s="49">
        <v>46249</v>
      </c>
      <c r="L1845" s="50">
        <v>4901294357</v>
      </c>
    </row>
    <row r="1846" spans="1:12" ht="15" customHeight="1" x14ac:dyDescent="0.35">
      <c r="A1846" s="85" t="s">
        <v>29</v>
      </c>
      <c r="B1846" s="86">
        <v>3806</v>
      </c>
      <c r="C1846" s="87"/>
      <c r="D1846" s="88">
        <v>46156</v>
      </c>
      <c r="E1846" s="43">
        <v>1296000</v>
      </c>
      <c r="F1846" s="44">
        <f t="shared" si="86"/>
        <v>103680</v>
      </c>
      <c r="G1846" s="45">
        <f t="shared" si="87"/>
        <v>1399680</v>
      </c>
      <c r="H1846" s="46">
        <v>1399680</v>
      </c>
      <c r="I1846" s="47">
        <f t="shared" si="88"/>
        <v>0</v>
      </c>
      <c r="J1846" s="48">
        <v>46156</v>
      </c>
      <c r="K1846" s="49">
        <v>46249</v>
      </c>
      <c r="L1846" s="50">
        <v>4188345651</v>
      </c>
    </row>
    <row r="1847" spans="1:12" ht="15" customHeight="1" x14ac:dyDescent="0.35">
      <c r="A1847" s="85" t="s">
        <v>37</v>
      </c>
      <c r="B1847" s="86">
        <v>3807</v>
      </c>
      <c r="C1847" s="87"/>
      <c r="D1847" s="88">
        <v>46156</v>
      </c>
      <c r="E1847" s="43">
        <v>889200</v>
      </c>
      <c r="F1847" s="44">
        <f t="shared" si="86"/>
        <v>71136</v>
      </c>
      <c r="G1847" s="45">
        <f t="shared" si="87"/>
        <v>960336</v>
      </c>
      <c r="H1847" s="46">
        <v>960336</v>
      </c>
      <c r="I1847" s="47">
        <f t="shared" si="88"/>
        <v>0</v>
      </c>
      <c r="J1847" s="48">
        <v>46156</v>
      </c>
      <c r="K1847" s="49">
        <v>46249</v>
      </c>
      <c r="L1847" s="50">
        <v>4188353862</v>
      </c>
    </row>
    <row r="1848" spans="1:12" ht="15" customHeight="1" x14ac:dyDescent="0.35">
      <c r="A1848" s="85" t="s">
        <v>29</v>
      </c>
      <c r="B1848" s="86">
        <v>3808</v>
      </c>
      <c r="C1848" s="87"/>
      <c r="D1848" s="88">
        <v>46156</v>
      </c>
      <c r="E1848" s="43">
        <v>5120000</v>
      </c>
      <c r="F1848" s="44">
        <f t="shared" si="86"/>
        <v>409600</v>
      </c>
      <c r="G1848" s="45">
        <f t="shared" si="87"/>
        <v>5529600</v>
      </c>
      <c r="H1848" s="46">
        <v>5529600</v>
      </c>
      <c r="I1848" s="47">
        <f t="shared" si="88"/>
        <v>0</v>
      </c>
      <c r="J1848" s="48">
        <v>46156</v>
      </c>
      <c r="K1848" s="49">
        <v>46249</v>
      </c>
      <c r="L1848" s="50">
        <v>4188365956</v>
      </c>
    </row>
    <row r="1849" spans="1:12" ht="15" customHeight="1" x14ac:dyDescent="0.35">
      <c r="A1849" s="85" t="s">
        <v>63</v>
      </c>
      <c r="B1849" s="86">
        <v>3809</v>
      </c>
      <c r="C1849" s="87"/>
      <c r="D1849" s="88">
        <v>46156</v>
      </c>
      <c r="E1849" s="43">
        <v>520000</v>
      </c>
      <c r="F1849" s="44">
        <f t="shared" si="86"/>
        <v>41600</v>
      </c>
      <c r="G1849" s="45">
        <f t="shared" si="87"/>
        <v>561600</v>
      </c>
      <c r="H1849" s="46">
        <v>561600</v>
      </c>
      <c r="I1849" s="47">
        <f t="shared" si="88"/>
        <v>0</v>
      </c>
      <c r="J1849" s="48">
        <v>46156</v>
      </c>
      <c r="K1849" s="49">
        <v>46249</v>
      </c>
      <c r="L1849" s="50">
        <v>4188422954</v>
      </c>
    </row>
    <row r="1850" spans="1:12" ht="15" customHeight="1" x14ac:dyDescent="0.35">
      <c r="A1850" s="85" t="s">
        <v>85</v>
      </c>
      <c r="B1850" s="86">
        <v>3810</v>
      </c>
      <c r="C1850" s="87"/>
      <c r="D1850" s="88">
        <v>46156</v>
      </c>
      <c r="E1850" s="43">
        <v>640000</v>
      </c>
      <c r="F1850" s="44">
        <f t="shared" si="86"/>
        <v>51200</v>
      </c>
      <c r="G1850" s="45">
        <f t="shared" si="87"/>
        <v>691200</v>
      </c>
      <c r="H1850" s="46">
        <v>691200</v>
      </c>
      <c r="I1850" s="47">
        <f t="shared" si="88"/>
        <v>0</v>
      </c>
      <c r="J1850" s="48">
        <v>46156</v>
      </c>
      <c r="K1850" s="49">
        <v>46249</v>
      </c>
      <c r="L1850" s="50">
        <v>4188422959</v>
      </c>
    </row>
    <row r="1851" spans="1:12" ht="15" customHeight="1" x14ac:dyDescent="0.35">
      <c r="A1851" s="85" t="s">
        <v>56</v>
      </c>
      <c r="B1851" s="86">
        <v>3811</v>
      </c>
      <c r="C1851" s="87"/>
      <c r="D1851" s="88">
        <v>46156</v>
      </c>
      <c r="E1851" s="43">
        <v>494000</v>
      </c>
      <c r="F1851" s="44">
        <f t="shared" si="86"/>
        <v>39520</v>
      </c>
      <c r="G1851" s="45">
        <f t="shared" si="87"/>
        <v>533520</v>
      </c>
      <c r="H1851" s="46">
        <v>533520</v>
      </c>
      <c r="I1851" s="47">
        <f t="shared" si="88"/>
        <v>0</v>
      </c>
      <c r="J1851" s="48">
        <v>46156</v>
      </c>
      <c r="K1851" s="49">
        <v>46249</v>
      </c>
      <c r="L1851" s="50">
        <v>4188423015</v>
      </c>
    </row>
    <row r="1852" spans="1:12" ht="15" customHeight="1" x14ac:dyDescent="0.35">
      <c r="A1852" s="85" t="s">
        <v>37</v>
      </c>
      <c r="B1852" s="86">
        <v>3812</v>
      </c>
      <c r="C1852" s="87"/>
      <c r="D1852" s="88">
        <v>46156</v>
      </c>
      <c r="E1852" s="43">
        <v>4320000</v>
      </c>
      <c r="F1852" s="44">
        <f t="shared" si="86"/>
        <v>345600</v>
      </c>
      <c r="G1852" s="45">
        <f t="shared" si="87"/>
        <v>4665600</v>
      </c>
      <c r="H1852" s="46">
        <v>4665600</v>
      </c>
      <c r="I1852" s="47">
        <f t="shared" si="88"/>
        <v>0</v>
      </c>
      <c r="J1852" s="48">
        <v>46156</v>
      </c>
      <c r="K1852" s="49">
        <v>46249</v>
      </c>
      <c r="L1852" s="50">
        <v>4188441256</v>
      </c>
    </row>
    <row r="1853" spans="1:12" ht="15" customHeight="1" x14ac:dyDescent="0.35">
      <c r="A1853" s="85" t="s">
        <v>123</v>
      </c>
      <c r="B1853" s="86">
        <v>3813</v>
      </c>
      <c r="C1853" s="87"/>
      <c r="D1853" s="88">
        <v>46156</v>
      </c>
      <c r="E1853" s="43">
        <v>864000</v>
      </c>
      <c r="F1853" s="44">
        <f t="shared" si="86"/>
        <v>69120</v>
      </c>
      <c r="G1853" s="45">
        <f t="shared" si="87"/>
        <v>933120</v>
      </c>
      <c r="H1853" s="46">
        <v>933120</v>
      </c>
      <c r="I1853" s="47">
        <f t="shared" si="88"/>
        <v>0</v>
      </c>
      <c r="J1853" s="48">
        <v>46156</v>
      </c>
      <c r="K1853" s="49">
        <v>46249</v>
      </c>
      <c r="L1853" s="50">
        <v>4188425259</v>
      </c>
    </row>
    <row r="1854" spans="1:12" ht="15" customHeight="1" x14ac:dyDescent="0.35">
      <c r="A1854" s="85" t="s">
        <v>123</v>
      </c>
      <c r="B1854" s="86">
        <v>3814</v>
      </c>
      <c r="C1854" s="87"/>
      <c r="D1854" s="88">
        <v>46156</v>
      </c>
      <c r="E1854" s="43">
        <v>640000</v>
      </c>
      <c r="F1854" s="44">
        <f t="shared" si="86"/>
        <v>51200</v>
      </c>
      <c r="G1854" s="45">
        <f t="shared" si="87"/>
        <v>691200</v>
      </c>
      <c r="H1854" s="46">
        <v>691200</v>
      </c>
      <c r="I1854" s="47">
        <f t="shared" si="88"/>
        <v>0</v>
      </c>
      <c r="J1854" s="48">
        <v>46156</v>
      </c>
      <c r="K1854" s="49">
        <v>46249</v>
      </c>
      <c r="L1854" s="50">
        <v>4188622299</v>
      </c>
    </row>
    <row r="1855" spans="1:12" ht="15" customHeight="1" x14ac:dyDescent="0.35">
      <c r="A1855" s="85" t="s">
        <v>3227</v>
      </c>
      <c r="B1855" s="86">
        <v>3815</v>
      </c>
      <c r="C1855" s="87"/>
      <c r="D1855" s="88">
        <v>46156</v>
      </c>
      <c r="E1855" s="43">
        <v>468000</v>
      </c>
      <c r="F1855" s="44">
        <f t="shared" si="86"/>
        <v>37440</v>
      </c>
      <c r="G1855" s="45">
        <f t="shared" si="87"/>
        <v>505440</v>
      </c>
      <c r="H1855" s="46">
        <v>505440</v>
      </c>
      <c r="I1855" s="47">
        <f t="shared" si="88"/>
        <v>0</v>
      </c>
      <c r="J1855" s="48">
        <v>46156</v>
      </c>
      <c r="K1855" s="49">
        <v>46249</v>
      </c>
      <c r="L1855" s="50">
        <v>4188586654</v>
      </c>
    </row>
    <row r="1856" spans="1:12" ht="15" customHeight="1" x14ac:dyDescent="0.35">
      <c r="A1856" s="85" t="s">
        <v>29</v>
      </c>
      <c r="B1856" s="86">
        <v>3816</v>
      </c>
      <c r="C1856" s="87"/>
      <c r="D1856" s="88">
        <v>46156</v>
      </c>
      <c r="E1856" s="43">
        <v>4845000</v>
      </c>
      <c r="F1856" s="44">
        <f t="shared" si="86"/>
        <v>387600</v>
      </c>
      <c r="G1856" s="45">
        <f t="shared" si="87"/>
        <v>5232600</v>
      </c>
      <c r="H1856" s="46">
        <v>5232600</v>
      </c>
      <c r="I1856" s="47">
        <f t="shared" si="88"/>
        <v>0</v>
      </c>
      <c r="J1856" s="48">
        <v>46156</v>
      </c>
      <c r="K1856" s="49">
        <v>46249</v>
      </c>
      <c r="L1856" s="50">
        <v>4188625613</v>
      </c>
    </row>
    <row r="1857" spans="1:19" ht="15" customHeight="1" x14ac:dyDescent="0.35">
      <c r="A1857" s="85" t="s">
        <v>123</v>
      </c>
      <c r="B1857" s="86">
        <v>3817</v>
      </c>
      <c r="C1857" s="87"/>
      <c r="D1857" s="88">
        <v>46156</v>
      </c>
      <c r="E1857" s="43">
        <v>3520000</v>
      </c>
      <c r="F1857" s="44">
        <f t="shared" si="86"/>
        <v>281600</v>
      </c>
      <c r="G1857" s="45">
        <f t="shared" si="87"/>
        <v>3801600</v>
      </c>
      <c r="H1857" s="46">
        <v>3801600</v>
      </c>
      <c r="I1857" s="47">
        <f t="shared" si="88"/>
        <v>0</v>
      </c>
      <c r="J1857" s="48">
        <v>46156</v>
      </c>
      <c r="K1857" s="49">
        <v>46249</v>
      </c>
      <c r="L1857" s="50">
        <v>4188650914</v>
      </c>
    </row>
    <row r="1858" spans="1:19" ht="15" customHeight="1" x14ac:dyDescent="0.35">
      <c r="A1858" s="85" t="s">
        <v>85</v>
      </c>
      <c r="B1858" s="86">
        <v>3818</v>
      </c>
      <c r="C1858" s="87"/>
      <c r="D1858" s="88">
        <v>46156</v>
      </c>
      <c r="E1858" s="43">
        <v>1520000</v>
      </c>
      <c r="F1858" s="44">
        <f t="shared" si="86"/>
        <v>121600</v>
      </c>
      <c r="G1858" s="45">
        <f t="shared" si="87"/>
        <v>1641600</v>
      </c>
      <c r="H1858" s="46">
        <v>1641600</v>
      </c>
      <c r="I1858" s="47">
        <f t="shared" si="88"/>
        <v>0</v>
      </c>
      <c r="J1858" s="48">
        <v>46156</v>
      </c>
      <c r="K1858" s="49">
        <v>46249</v>
      </c>
      <c r="L1858" s="50">
        <v>4188650109</v>
      </c>
    </row>
    <row r="1859" spans="1:19" ht="15" customHeight="1" x14ac:dyDescent="0.35">
      <c r="A1859" s="85" t="s">
        <v>37</v>
      </c>
      <c r="B1859" s="86">
        <v>3819</v>
      </c>
      <c r="C1859" s="87"/>
      <c r="D1859" s="88">
        <v>46156</v>
      </c>
      <c r="E1859" s="43">
        <v>2960000</v>
      </c>
      <c r="F1859" s="44">
        <f t="shared" si="86"/>
        <v>236800</v>
      </c>
      <c r="G1859" s="45">
        <f t="shared" si="87"/>
        <v>3196800</v>
      </c>
      <c r="H1859" s="46">
        <v>3196800</v>
      </c>
      <c r="I1859" s="47">
        <f t="shared" si="88"/>
        <v>0</v>
      </c>
      <c r="J1859" s="48">
        <v>46156</v>
      </c>
      <c r="K1859" s="49">
        <v>46249</v>
      </c>
      <c r="L1859" s="50">
        <v>4188650934</v>
      </c>
    </row>
    <row r="1860" spans="1:19" ht="15" customHeight="1" x14ac:dyDescent="0.35">
      <c r="A1860" s="85" t="s">
        <v>63</v>
      </c>
      <c r="B1860" s="86">
        <v>3821</v>
      </c>
      <c r="C1860" s="87"/>
      <c r="D1860" s="88">
        <v>46156</v>
      </c>
      <c r="E1860" s="43">
        <v>1920000</v>
      </c>
      <c r="F1860" s="44">
        <f t="shared" si="86"/>
        <v>153600</v>
      </c>
      <c r="G1860" s="45">
        <f t="shared" si="87"/>
        <v>2073600</v>
      </c>
      <c r="H1860" s="46">
        <v>2073600</v>
      </c>
      <c r="I1860" s="47">
        <f t="shared" si="88"/>
        <v>0</v>
      </c>
      <c r="J1860" s="48">
        <v>46156</v>
      </c>
      <c r="K1860" s="49">
        <v>46249</v>
      </c>
      <c r="L1860" s="50">
        <v>4188650897</v>
      </c>
    </row>
    <row r="1861" spans="1:19" ht="15" customHeight="1" x14ac:dyDescent="0.35">
      <c r="A1861" s="85" t="s">
        <v>63</v>
      </c>
      <c r="B1861" s="86">
        <v>3822</v>
      </c>
      <c r="C1861" s="87"/>
      <c r="D1861" s="88">
        <v>46156</v>
      </c>
      <c r="E1861" s="43">
        <v>640000</v>
      </c>
      <c r="F1861" s="44">
        <f t="shared" si="86"/>
        <v>51200</v>
      </c>
      <c r="G1861" s="45">
        <f t="shared" si="87"/>
        <v>691200</v>
      </c>
      <c r="H1861" s="46">
        <v>691200</v>
      </c>
      <c r="I1861" s="47">
        <f t="shared" si="88"/>
        <v>0</v>
      </c>
      <c r="J1861" s="48">
        <v>46156</v>
      </c>
      <c r="K1861" s="49">
        <v>46249</v>
      </c>
      <c r="L1861" s="50">
        <v>4188649738</v>
      </c>
    </row>
    <row r="1862" spans="1:19" ht="15" customHeight="1" x14ac:dyDescent="0.35">
      <c r="A1862" s="85" t="s">
        <v>63</v>
      </c>
      <c r="B1862" s="86">
        <v>3823</v>
      </c>
      <c r="C1862" s="87"/>
      <c r="D1862" s="88">
        <v>46156</v>
      </c>
      <c r="E1862" s="43">
        <v>502500</v>
      </c>
      <c r="F1862" s="44">
        <f t="shared" si="86"/>
        <v>40200</v>
      </c>
      <c r="G1862" s="45">
        <f t="shared" si="87"/>
        <v>542700</v>
      </c>
      <c r="H1862" s="46">
        <v>542700</v>
      </c>
      <c r="I1862" s="47">
        <f t="shared" si="88"/>
        <v>0</v>
      </c>
      <c r="J1862" s="48">
        <v>46156</v>
      </c>
      <c r="K1862" s="49">
        <v>46249</v>
      </c>
      <c r="L1862" s="50">
        <v>4188595835</v>
      </c>
    </row>
    <row r="1863" spans="1:19" s="2" customFormat="1" ht="15" customHeight="1" x14ac:dyDescent="0.35">
      <c r="A1863" s="85" t="s">
        <v>56</v>
      </c>
      <c r="B1863" s="86">
        <v>3824</v>
      </c>
      <c r="C1863" s="87"/>
      <c r="D1863" s="88">
        <v>46156</v>
      </c>
      <c r="E1863" s="43">
        <v>800000</v>
      </c>
      <c r="F1863" s="44">
        <f t="shared" si="86"/>
        <v>64000</v>
      </c>
      <c r="G1863" s="182">
        <f t="shared" si="87"/>
        <v>864000</v>
      </c>
      <c r="H1863" s="46">
        <v>864000</v>
      </c>
      <c r="I1863" s="183">
        <f t="shared" si="88"/>
        <v>0</v>
      </c>
      <c r="J1863" s="48">
        <v>46156</v>
      </c>
      <c r="K1863" s="49">
        <v>46249</v>
      </c>
      <c r="L1863" s="50">
        <v>4188650519</v>
      </c>
      <c r="S1863" s="53"/>
    </row>
    <row r="1864" spans="1:19" ht="15" customHeight="1" x14ac:dyDescent="0.35">
      <c r="A1864" s="85" t="s">
        <v>33</v>
      </c>
      <c r="B1864" s="86">
        <v>3825</v>
      </c>
      <c r="C1864" s="87"/>
      <c r="D1864" s="88">
        <v>46156</v>
      </c>
      <c r="E1864" s="43">
        <v>3840000</v>
      </c>
      <c r="F1864" s="44">
        <f t="shared" si="86"/>
        <v>307200</v>
      </c>
      <c r="G1864" s="45">
        <f t="shared" si="87"/>
        <v>4147200</v>
      </c>
      <c r="H1864" s="46">
        <v>4147200</v>
      </c>
      <c r="I1864" s="47">
        <f t="shared" si="88"/>
        <v>0</v>
      </c>
      <c r="J1864" s="48">
        <v>46161</v>
      </c>
      <c r="K1864" s="49">
        <v>46249</v>
      </c>
      <c r="L1864" s="50">
        <v>4901295416</v>
      </c>
    </row>
    <row r="1865" spans="1:19" ht="15" customHeight="1" x14ac:dyDescent="0.35">
      <c r="A1865" s="85" t="s">
        <v>29</v>
      </c>
      <c r="B1865" s="86">
        <v>3826</v>
      </c>
      <c r="C1865" s="87"/>
      <c r="D1865" s="88">
        <v>46156</v>
      </c>
      <c r="E1865" s="43">
        <v>640000</v>
      </c>
      <c r="F1865" s="44">
        <f t="shared" si="86"/>
        <v>51200</v>
      </c>
      <c r="G1865" s="45">
        <f t="shared" si="87"/>
        <v>691200</v>
      </c>
      <c r="H1865" s="46">
        <v>691200</v>
      </c>
      <c r="I1865" s="47">
        <f t="shared" si="88"/>
        <v>0</v>
      </c>
      <c r="J1865" s="48">
        <v>46156</v>
      </c>
      <c r="K1865" s="49">
        <v>46249</v>
      </c>
      <c r="L1865" s="50">
        <v>4188799980</v>
      </c>
    </row>
    <row r="1866" spans="1:19" ht="15" customHeight="1" x14ac:dyDescent="0.35">
      <c r="A1866" s="85" t="s">
        <v>123</v>
      </c>
      <c r="B1866" s="86">
        <v>3828</v>
      </c>
      <c r="C1866" s="87"/>
      <c r="D1866" s="88">
        <v>46156</v>
      </c>
      <c r="E1866" s="43">
        <v>640000</v>
      </c>
      <c r="F1866" s="44">
        <f t="shared" si="86"/>
        <v>51200</v>
      </c>
      <c r="G1866" s="45">
        <f t="shared" si="87"/>
        <v>691200</v>
      </c>
      <c r="H1866" s="46">
        <v>691200</v>
      </c>
      <c r="I1866" s="47">
        <f t="shared" si="88"/>
        <v>0</v>
      </c>
      <c r="J1866" s="48">
        <v>46156</v>
      </c>
      <c r="K1866" s="49">
        <v>46249</v>
      </c>
      <c r="L1866" s="50">
        <v>4188727477</v>
      </c>
    </row>
    <row r="1867" spans="1:19" ht="15" customHeight="1" x14ac:dyDescent="0.35">
      <c r="A1867" s="114" t="s">
        <v>85</v>
      </c>
      <c r="B1867" s="115">
        <v>3829</v>
      </c>
      <c r="C1867" s="116"/>
      <c r="D1867" s="117">
        <v>46156</v>
      </c>
      <c r="E1867" s="59">
        <v>6748000</v>
      </c>
      <c r="F1867" s="60">
        <f t="shared" si="86"/>
        <v>539840</v>
      </c>
      <c r="G1867" s="61">
        <f t="shared" si="87"/>
        <v>7287840</v>
      </c>
      <c r="H1867" s="59">
        <v>7287840</v>
      </c>
      <c r="I1867" s="62">
        <f t="shared" si="88"/>
        <v>0</v>
      </c>
      <c r="J1867" s="63">
        <v>46156</v>
      </c>
      <c r="K1867" s="64">
        <v>46249</v>
      </c>
      <c r="L1867" s="65">
        <v>4188800487</v>
      </c>
    </row>
    <row r="1868" spans="1:19" ht="15" customHeight="1" x14ac:dyDescent="0.35">
      <c r="A1868" s="85" t="s">
        <v>56</v>
      </c>
      <c r="B1868" s="86">
        <v>3830</v>
      </c>
      <c r="C1868" s="87"/>
      <c r="D1868" s="88">
        <v>46156</v>
      </c>
      <c r="E1868" s="43">
        <v>1280000</v>
      </c>
      <c r="F1868" s="44">
        <f t="shared" si="86"/>
        <v>102400</v>
      </c>
      <c r="G1868" s="45">
        <f t="shared" si="87"/>
        <v>1382400</v>
      </c>
      <c r="H1868" s="46">
        <v>1382400</v>
      </c>
      <c r="I1868" s="47">
        <f t="shared" si="88"/>
        <v>0</v>
      </c>
      <c r="J1868" s="48">
        <v>46156</v>
      </c>
      <c r="K1868" s="49">
        <v>46249</v>
      </c>
      <c r="L1868" s="50">
        <v>4188769862</v>
      </c>
    </row>
    <row r="1869" spans="1:19" ht="15" customHeight="1" x14ac:dyDescent="0.35">
      <c r="A1869" s="85" t="s">
        <v>3227</v>
      </c>
      <c r="B1869" s="86">
        <v>3831</v>
      </c>
      <c r="C1869" s="87"/>
      <c r="D1869" s="88">
        <v>46156</v>
      </c>
      <c r="E1869" s="43">
        <v>2320000</v>
      </c>
      <c r="F1869" s="44">
        <f t="shared" si="86"/>
        <v>185600</v>
      </c>
      <c r="G1869" s="45">
        <f t="shared" si="87"/>
        <v>2505600</v>
      </c>
      <c r="H1869" s="46">
        <v>2505600</v>
      </c>
      <c r="I1869" s="47">
        <f t="shared" si="88"/>
        <v>0</v>
      </c>
      <c r="J1869" s="48">
        <v>46156</v>
      </c>
      <c r="K1869" s="49">
        <v>46249</v>
      </c>
      <c r="L1869" s="50">
        <v>4188874607</v>
      </c>
    </row>
    <row r="1870" spans="1:19" ht="15" customHeight="1" x14ac:dyDescent="0.35">
      <c r="A1870" s="114" t="s">
        <v>29</v>
      </c>
      <c r="B1870" s="115">
        <v>3832</v>
      </c>
      <c r="C1870" s="116"/>
      <c r="D1870" s="117">
        <v>46156</v>
      </c>
      <c r="E1870" s="59">
        <v>15108000</v>
      </c>
      <c r="F1870" s="60">
        <f t="shared" si="86"/>
        <v>1208640</v>
      </c>
      <c r="G1870" s="61">
        <f t="shared" si="87"/>
        <v>16316640</v>
      </c>
      <c r="H1870" s="59">
        <v>16316640</v>
      </c>
      <c r="I1870" s="62">
        <f t="shared" si="88"/>
        <v>0</v>
      </c>
      <c r="J1870" s="63">
        <v>46156</v>
      </c>
      <c r="K1870" s="64">
        <v>46249</v>
      </c>
      <c r="L1870" s="65">
        <v>4188874697</v>
      </c>
    </row>
    <row r="1871" spans="1:19" ht="15" customHeight="1" x14ac:dyDescent="0.35">
      <c r="A1871" s="85" t="s">
        <v>56</v>
      </c>
      <c r="B1871" s="86">
        <v>3833</v>
      </c>
      <c r="C1871" s="87"/>
      <c r="D1871" s="88">
        <v>46156</v>
      </c>
      <c r="E1871" s="43">
        <v>3360000</v>
      </c>
      <c r="F1871" s="44">
        <f t="shared" si="86"/>
        <v>268800</v>
      </c>
      <c r="G1871" s="45">
        <f t="shared" si="87"/>
        <v>3628800</v>
      </c>
      <c r="H1871" s="46">
        <v>3628800</v>
      </c>
      <c r="I1871" s="47">
        <f t="shared" si="88"/>
        <v>0</v>
      </c>
      <c r="J1871" s="48">
        <v>46156</v>
      </c>
      <c r="K1871" s="49">
        <v>46249</v>
      </c>
      <c r="L1871" s="50">
        <v>4188800390</v>
      </c>
    </row>
    <row r="1872" spans="1:19" ht="15" customHeight="1" x14ac:dyDescent="0.35">
      <c r="A1872" s="114" t="s">
        <v>33</v>
      </c>
      <c r="B1872" s="115">
        <v>3834</v>
      </c>
      <c r="C1872" s="116"/>
      <c r="D1872" s="117">
        <v>46156</v>
      </c>
      <c r="E1872" s="59">
        <v>6000000</v>
      </c>
      <c r="F1872" s="59">
        <f t="shared" si="86"/>
        <v>480000</v>
      </c>
      <c r="G1872" s="179">
        <f t="shared" si="87"/>
        <v>6480000</v>
      </c>
      <c r="H1872" s="59">
        <v>6480000</v>
      </c>
      <c r="I1872" s="180">
        <f t="shared" si="88"/>
        <v>0</v>
      </c>
      <c r="J1872" s="181">
        <v>46161</v>
      </c>
      <c r="K1872" s="64">
        <v>46249</v>
      </c>
      <c r="L1872" s="65">
        <v>4901295744</v>
      </c>
    </row>
    <row r="1873" spans="1:12" ht="15" customHeight="1" x14ac:dyDescent="0.35">
      <c r="A1873" s="85" t="s">
        <v>123</v>
      </c>
      <c r="B1873" s="86">
        <v>3835</v>
      </c>
      <c r="C1873" s="87"/>
      <c r="D1873" s="88">
        <v>46156</v>
      </c>
      <c r="E1873" s="43">
        <v>5290000</v>
      </c>
      <c r="F1873" s="44">
        <f t="shared" si="86"/>
        <v>423200</v>
      </c>
      <c r="G1873" s="45">
        <f t="shared" si="87"/>
        <v>5713200</v>
      </c>
      <c r="H1873" s="46">
        <v>5713200</v>
      </c>
      <c r="I1873" s="47">
        <f t="shared" si="88"/>
        <v>0</v>
      </c>
      <c r="J1873" s="48">
        <v>46156</v>
      </c>
      <c r="K1873" s="49">
        <v>46249</v>
      </c>
      <c r="L1873" s="50">
        <v>4188800588</v>
      </c>
    </row>
    <row r="1874" spans="1:12" ht="15" customHeight="1" x14ac:dyDescent="0.35">
      <c r="A1874" s="85" t="s">
        <v>37</v>
      </c>
      <c r="B1874" s="86">
        <v>3836</v>
      </c>
      <c r="C1874" s="87"/>
      <c r="D1874" s="88">
        <v>46156</v>
      </c>
      <c r="E1874" s="43">
        <v>9520000</v>
      </c>
      <c r="F1874" s="44">
        <f t="shared" si="86"/>
        <v>761600</v>
      </c>
      <c r="G1874" s="45">
        <f t="shared" si="87"/>
        <v>10281600</v>
      </c>
      <c r="H1874" s="46">
        <v>10281600</v>
      </c>
      <c r="I1874" s="47">
        <f t="shared" si="88"/>
        <v>0</v>
      </c>
      <c r="J1874" s="48">
        <v>46156</v>
      </c>
      <c r="K1874" s="49">
        <v>46249</v>
      </c>
      <c r="L1874" s="50">
        <v>4188800436</v>
      </c>
    </row>
    <row r="1875" spans="1:12" ht="15" customHeight="1" x14ac:dyDescent="0.35">
      <c r="A1875" s="85" t="s">
        <v>37</v>
      </c>
      <c r="B1875" s="86">
        <v>3837</v>
      </c>
      <c r="C1875" s="87"/>
      <c r="D1875" s="88">
        <v>46156</v>
      </c>
      <c r="E1875" s="43">
        <v>704000</v>
      </c>
      <c r="F1875" s="44">
        <f t="shared" si="86"/>
        <v>56320</v>
      </c>
      <c r="G1875" s="45">
        <f t="shared" si="87"/>
        <v>760320</v>
      </c>
      <c r="H1875" s="46">
        <v>760320</v>
      </c>
      <c r="I1875" s="47">
        <f t="shared" si="88"/>
        <v>0</v>
      </c>
      <c r="J1875" s="48">
        <v>46156</v>
      </c>
      <c r="K1875" s="49">
        <v>46249</v>
      </c>
      <c r="L1875" s="50">
        <v>4188835268</v>
      </c>
    </row>
    <row r="1876" spans="1:12" ht="15" customHeight="1" x14ac:dyDescent="0.35">
      <c r="A1876" s="85" t="s">
        <v>123</v>
      </c>
      <c r="B1876" s="86">
        <v>3838</v>
      </c>
      <c r="C1876" s="87"/>
      <c r="D1876" s="88">
        <v>46156</v>
      </c>
      <c r="E1876" s="43">
        <v>3565000</v>
      </c>
      <c r="F1876" s="44">
        <f t="shared" si="86"/>
        <v>285200</v>
      </c>
      <c r="G1876" s="45">
        <f t="shared" si="87"/>
        <v>3850200</v>
      </c>
      <c r="H1876" s="46">
        <v>3850200</v>
      </c>
      <c r="I1876" s="47">
        <f t="shared" si="88"/>
        <v>0</v>
      </c>
      <c r="J1876" s="48">
        <v>46156</v>
      </c>
      <c r="K1876" s="49">
        <v>46249</v>
      </c>
      <c r="L1876" s="50">
        <v>4188800682</v>
      </c>
    </row>
    <row r="1877" spans="1:12" ht="15" customHeight="1" x14ac:dyDescent="0.35">
      <c r="A1877" s="85" t="s">
        <v>123</v>
      </c>
      <c r="B1877" s="86">
        <v>3839</v>
      </c>
      <c r="C1877" s="87"/>
      <c r="D1877" s="88">
        <v>46156</v>
      </c>
      <c r="E1877" s="43">
        <v>2504000</v>
      </c>
      <c r="F1877" s="44">
        <f t="shared" si="86"/>
        <v>200320</v>
      </c>
      <c r="G1877" s="45">
        <f t="shared" si="87"/>
        <v>2704320</v>
      </c>
      <c r="H1877" s="46">
        <v>2704320</v>
      </c>
      <c r="I1877" s="47">
        <f t="shared" si="88"/>
        <v>0</v>
      </c>
      <c r="J1877" s="48">
        <v>46156</v>
      </c>
      <c r="K1877" s="49">
        <v>46249</v>
      </c>
      <c r="L1877" s="50">
        <v>4188422971</v>
      </c>
    </row>
    <row r="1878" spans="1:12" ht="15" customHeight="1" x14ac:dyDescent="0.35">
      <c r="A1878" s="85" t="s">
        <v>123</v>
      </c>
      <c r="B1878" s="86">
        <v>3840</v>
      </c>
      <c r="C1878" s="87"/>
      <c r="D1878" s="88">
        <v>46156</v>
      </c>
      <c r="E1878" s="43">
        <v>4320000</v>
      </c>
      <c r="F1878" s="44">
        <f t="shared" si="86"/>
        <v>345600</v>
      </c>
      <c r="G1878" s="45">
        <f t="shared" si="87"/>
        <v>4665600</v>
      </c>
      <c r="H1878" s="46">
        <v>4665600</v>
      </c>
      <c r="I1878" s="47">
        <f t="shared" si="88"/>
        <v>0</v>
      </c>
      <c r="J1878" s="48">
        <v>46156</v>
      </c>
      <c r="K1878" s="49">
        <v>46249</v>
      </c>
      <c r="L1878" s="50">
        <v>4188650918</v>
      </c>
    </row>
    <row r="1879" spans="1:12" ht="15" customHeight="1" x14ac:dyDescent="0.35">
      <c r="A1879" s="114" t="s">
        <v>85</v>
      </c>
      <c r="B1879" s="115">
        <v>4276</v>
      </c>
      <c r="C1879" s="116"/>
      <c r="D1879" s="117">
        <v>46171</v>
      </c>
      <c r="E1879" s="59">
        <v>2518500</v>
      </c>
      <c r="F1879" s="60">
        <f t="shared" si="86"/>
        <v>201480</v>
      </c>
      <c r="G1879" s="61">
        <f t="shared" si="87"/>
        <v>2719980</v>
      </c>
      <c r="H1879" s="59">
        <v>2719980</v>
      </c>
      <c r="I1879" s="62">
        <f t="shared" si="88"/>
        <v>0</v>
      </c>
      <c r="J1879" s="63">
        <v>46172</v>
      </c>
      <c r="K1879" s="64">
        <v>46249</v>
      </c>
      <c r="L1879" s="65">
        <v>4188989882</v>
      </c>
    </row>
    <row r="1880" spans="1:12" ht="15" customHeight="1" x14ac:dyDescent="0.35">
      <c r="A1880" s="85" t="s">
        <v>37</v>
      </c>
      <c r="B1880" s="86">
        <v>4277</v>
      </c>
      <c r="C1880" s="87"/>
      <c r="D1880" s="88">
        <v>46171</v>
      </c>
      <c r="E1880" s="43">
        <v>1680000</v>
      </c>
      <c r="F1880" s="44">
        <f t="shared" si="86"/>
        <v>134400</v>
      </c>
      <c r="G1880" s="45">
        <f t="shared" si="87"/>
        <v>1814400</v>
      </c>
      <c r="H1880" s="46">
        <v>1814400</v>
      </c>
      <c r="I1880" s="47">
        <f t="shared" si="88"/>
        <v>0</v>
      </c>
      <c r="J1880" s="48">
        <v>46172</v>
      </c>
      <c r="K1880" s="49">
        <v>46249</v>
      </c>
      <c r="L1880" s="50">
        <v>4188990036</v>
      </c>
    </row>
    <row r="1881" spans="1:12" ht="15" customHeight="1" x14ac:dyDescent="0.35">
      <c r="A1881" s="114" t="s">
        <v>123</v>
      </c>
      <c r="B1881" s="115">
        <v>3841</v>
      </c>
      <c r="C1881" s="116"/>
      <c r="D1881" s="117">
        <v>46156</v>
      </c>
      <c r="E1881" s="59">
        <v>8102500</v>
      </c>
      <c r="F1881" s="60">
        <f t="shared" si="86"/>
        <v>648200</v>
      </c>
      <c r="G1881" s="61">
        <f t="shared" si="87"/>
        <v>8750700</v>
      </c>
      <c r="H1881" s="59">
        <v>8750700</v>
      </c>
      <c r="I1881" s="62">
        <f t="shared" si="88"/>
        <v>0</v>
      </c>
      <c r="J1881" s="63">
        <v>46156</v>
      </c>
      <c r="K1881" s="64">
        <v>46249</v>
      </c>
      <c r="L1881" s="65">
        <v>4188989986</v>
      </c>
    </row>
    <row r="1882" spans="1:12" ht="15" customHeight="1" x14ac:dyDescent="0.35">
      <c r="A1882" s="114" t="s">
        <v>29</v>
      </c>
      <c r="B1882" s="115">
        <v>4278</v>
      </c>
      <c r="C1882" s="116"/>
      <c r="D1882" s="117">
        <v>46171</v>
      </c>
      <c r="E1882" s="59">
        <v>5200000</v>
      </c>
      <c r="F1882" s="60">
        <f t="shared" si="86"/>
        <v>416000</v>
      </c>
      <c r="G1882" s="61">
        <f t="shared" si="87"/>
        <v>5616000</v>
      </c>
      <c r="H1882" s="59">
        <v>5616000</v>
      </c>
      <c r="I1882" s="62">
        <f t="shared" si="88"/>
        <v>0</v>
      </c>
      <c r="J1882" s="63">
        <v>46172</v>
      </c>
      <c r="K1882" s="64">
        <v>46249</v>
      </c>
      <c r="L1882" s="65">
        <v>4189015719</v>
      </c>
    </row>
    <row r="1883" spans="1:12" ht="15" customHeight="1" x14ac:dyDescent="0.35">
      <c r="A1883" s="114" t="s">
        <v>33</v>
      </c>
      <c r="B1883" s="115">
        <v>3842</v>
      </c>
      <c r="C1883" s="116"/>
      <c r="D1883" s="117">
        <v>46156</v>
      </c>
      <c r="E1883" s="59">
        <v>1952000</v>
      </c>
      <c r="F1883" s="60">
        <f t="shared" si="86"/>
        <v>156160</v>
      </c>
      <c r="G1883" s="61">
        <f t="shared" si="87"/>
        <v>2108160</v>
      </c>
      <c r="H1883" s="59">
        <v>2108160</v>
      </c>
      <c r="I1883" s="62">
        <f t="shared" si="88"/>
        <v>0</v>
      </c>
      <c r="J1883" s="63">
        <v>46161</v>
      </c>
      <c r="K1883" s="64">
        <v>46249</v>
      </c>
      <c r="L1883" s="65">
        <v>4901296255</v>
      </c>
    </row>
    <row r="1884" spans="1:12" ht="15" customHeight="1" x14ac:dyDescent="0.35">
      <c r="A1884" s="85" t="s">
        <v>29</v>
      </c>
      <c r="B1884" s="86">
        <v>4279</v>
      </c>
      <c r="C1884" s="87"/>
      <c r="D1884" s="88">
        <v>46171</v>
      </c>
      <c r="E1884" s="43">
        <v>1280000</v>
      </c>
      <c r="F1884" s="44">
        <f t="shared" si="86"/>
        <v>102400</v>
      </c>
      <c r="G1884" s="45">
        <f t="shared" si="87"/>
        <v>1382400</v>
      </c>
      <c r="H1884" s="46">
        <v>1382400</v>
      </c>
      <c r="I1884" s="47">
        <f t="shared" si="88"/>
        <v>0</v>
      </c>
      <c r="J1884" s="48">
        <v>46172</v>
      </c>
      <c r="K1884" s="49">
        <v>46249</v>
      </c>
      <c r="L1884" s="50">
        <v>4189113130</v>
      </c>
    </row>
    <row r="1885" spans="1:12" ht="15" customHeight="1" x14ac:dyDescent="0.35">
      <c r="A1885" s="85" t="s">
        <v>37</v>
      </c>
      <c r="B1885" s="86">
        <v>4280</v>
      </c>
      <c r="C1885" s="87"/>
      <c r="D1885" s="88">
        <v>46171</v>
      </c>
      <c r="E1885" s="43">
        <v>3840000</v>
      </c>
      <c r="F1885" s="44">
        <f t="shared" si="86"/>
        <v>307200</v>
      </c>
      <c r="G1885" s="45">
        <f t="shared" si="87"/>
        <v>4147200</v>
      </c>
      <c r="H1885" s="46">
        <v>4147200</v>
      </c>
      <c r="I1885" s="47">
        <f t="shared" si="88"/>
        <v>0</v>
      </c>
      <c r="J1885" s="48">
        <v>46172</v>
      </c>
      <c r="K1885" s="49">
        <v>46249</v>
      </c>
      <c r="L1885" s="50">
        <v>4189229269</v>
      </c>
    </row>
    <row r="1886" spans="1:12" ht="15" customHeight="1" x14ac:dyDescent="0.35">
      <c r="A1886" s="85" t="s">
        <v>123</v>
      </c>
      <c r="B1886" s="86">
        <v>4281</v>
      </c>
      <c r="C1886" s="87"/>
      <c r="D1886" s="88">
        <v>46171</v>
      </c>
      <c r="E1886" s="43">
        <v>502500</v>
      </c>
      <c r="F1886" s="44">
        <f t="shared" si="86"/>
        <v>40200</v>
      </c>
      <c r="G1886" s="45">
        <f t="shared" si="87"/>
        <v>542700</v>
      </c>
      <c r="H1886" s="46">
        <v>542700</v>
      </c>
      <c r="I1886" s="47">
        <f t="shared" si="88"/>
        <v>0</v>
      </c>
      <c r="J1886" s="48">
        <v>46172</v>
      </c>
      <c r="K1886" s="49">
        <v>46249</v>
      </c>
      <c r="L1886" s="50">
        <v>4189258146</v>
      </c>
    </row>
    <row r="1887" spans="1:12" ht="15" customHeight="1" x14ac:dyDescent="0.35">
      <c r="A1887" s="85" t="s">
        <v>123</v>
      </c>
      <c r="B1887" s="86">
        <v>4282</v>
      </c>
      <c r="C1887" s="87"/>
      <c r="D1887" s="88">
        <v>46171</v>
      </c>
      <c r="E1887" s="43">
        <v>640000</v>
      </c>
      <c r="F1887" s="44">
        <f t="shared" si="86"/>
        <v>51200</v>
      </c>
      <c r="G1887" s="45">
        <f t="shared" si="87"/>
        <v>691200</v>
      </c>
      <c r="H1887" s="46">
        <v>691200</v>
      </c>
      <c r="I1887" s="47">
        <f t="shared" si="88"/>
        <v>0</v>
      </c>
      <c r="J1887" s="48">
        <v>46172</v>
      </c>
      <c r="K1887" s="49">
        <v>46249</v>
      </c>
      <c r="L1887" s="50">
        <v>4189154948</v>
      </c>
    </row>
    <row r="1888" spans="1:12" ht="15" customHeight="1" x14ac:dyDescent="0.35">
      <c r="A1888" s="85" t="s">
        <v>123</v>
      </c>
      <c r="B1888" s="86">
        <v>4283</v>
      </c>
      <c r="C1888" s="87"/>
      <c r="D1888" s="88">
        <v>46171</v>
      </c>
      <c r="E1888" s="43">
        <v>2744000</v>
      </c>
      <c r="F1888" s="44">
        <f t="shared" si="86"/>
        <v>219520</v>
      </c>
      <c r="G1888" s="45">
        <f t="shared" si="87"/>
        <v>2963520</v>
      </c>
      <c r="H1888" s="46">
        <v>2963520</v>
      </c>
      <c r="I1888" s="47">
        <f t="shared" si="88"/>
        <v>0</v>
      </c>
      <c r="J1888" s="48">
        <v>46172</v>
      </c>
      <c r="K1888" s="49">
        <v>46249</v>
      </c>
      <c r="L1888" s="50">
        <v>4188990108</v>
      </c>
    </row>
    <row r="1889" spans="1:12" ht="15" customHeight="1" x14ac:dyDescent="0.35">
      <c r="A1889" s="85" t="s">
        <v>3227</v>
      </c>
      <c r="B1889" s="86">
        <v>4285</v>
      </c>
      <c r="C1889" s="87"/>
      <c r="D1889" s="88">
        <v>46171</v>
      </c>
      <c r="E1889" s="43">
        <v>335000</v>
      </c>
      <c r="F1889" s="44">
        <f t="shared" si="86"/>
        <v>26800</v>
      </c>
      <c r="G1889" s="45">
        <f t="shared" si="87"/>
        <v>361800</v>
      </c>
      <c r="H1889" s="46">
        <v>361800</v>
      </c>
      <c r="I1889" s="47">
        <f t="shared" si="88"/>
        <v>0</v>
      </c>
      <c r="J1889" s="48">
        <v>46172</v>
      </c>
      <c r="K1889" s="49">
        <v>46249</v>
      </c>
      <c r="L1889" s="50">
        <v>4189277247</v>
      </c>
    </row>
    <row r="1890" spans="1:12" ht="15" customHeight="1" x14ac:dyDescent="0.35">
      <c r="A1890" s="85" t="s">
        <v>29</v>
      </c>
      <c r="B1890" s="86">
        <v>4286</v>
      </c>
      <c r="C1890" s="87"/>
      <c r="D1890" s="88">
        <v>46171</v>
      </c>
      <c r="E1890" s="43">
        <v>960000</v>
      </c>
      <c r="F1890" s="44">
        <f t="shared" si="86"/>
        <v>76800</v>
      </c>
      <c r="G1890" s="45">
        <f t="shared" si="87"/>
        <v>1036800</v>
      </c>
      <c r="H1890" s="46">
        <v>1036800</v>
      </c>
      <c r="I1890" s="47">
        <f t="shared" si="88"/>
        <v>0</v>
      </c>
      <c r="J1890" s="48">
        <v>46172</v>
      </c>
      <c r="K1890" s="49">
        <v>46249</v>
      </c>
      <c r="L1890" s="50">
        <v>4189277288</v>
      </c>
    </row>
    <row r="1891" spans="1:12" ht="15" customHeight="1" x14ac:dyDescent="0.35">
      <c r="A1891" s="114" t="s">
        <v>37</v>
      </c>
      <c r="B1891" s="115">
        <v>4287</v>
      </c>
      <c r="C1891" s="116"/>
      <c r="D1891" s="117">
        <v>46171</v>
      </c>
      <c r="E1891" s="59">
        <v>2355500</v>
      </c>
      <c r="F1891" s="60">
        <f t="shared" si="86"/>
        <v>188440</v>
      </c>
      <c r="G1891" s="61">
        <f t="shared" si="87"/>
        <v>2543940</v>
      </c>
      <c r="H1891" s="59">
        <v>2543940</v>
      </c>
      <c r="I1891" s="62">
        <f t="shared" si="88"/>
        <v>0</v>
      </c>
      <c r="J1891" s="63">
        <v>46172</v>
      </c>
      <c r="K1891" s="64">
        <v>46249</v>
      </c>
      <c r="L1891" s="65">
        <v>4189258032</v>
      </c>
    </row>
    <row r="1892" spans="1:12" ht="15" customHeight="1" x14ac:dyDescent="0.35">
      <c r="A1892" s="114" t="s">
        <v>85</v>
      </c>
      <c r="B1892" s="115">
        <v>4288</v>
      </c>
      <c r="C1892" s="116"/>
      <c r="D1892" s="117">
        <v>46171</v>
      </c>
      <c r="E1892" s="59">
        <v>5993000</v>
      </c>
      <c r="F1892" s="60">
        <f t="shared" si="86"/>
        <v>479440</v>
      </c>
      <c r="G1892" s="61">
        <f t="shared" si="87"/>
        <v>6472440</v>
      </c>
      <c r="H1892" s="59">
        <v>6472440</v>
      </c>
      <c r="I1892" s="62">
        <f t="shared" si="88"/>
        <v>0</v>
      </c>
      <c r="J1892" s="63">
        <v>46172</v>
      </c>
      <c r="K1892" s="64">
        <v>46249</v>
      </c>
      <c r="L1892" s="65">
        <v>4189335803</v>
      </c>
    </row>
    <row r="1893" spans="1:12" ht="15" customHeight="1" x14ac:dyDescent="0.35">
      <c r="A1893" s="85" t="s">
        <v>29</v>
      </c>
      <c r="B1893" s="86">
        <v>4289</v>
      </c>
      <c r="C1893" s="87"/>
      <c r="D1893" s="88">
        <v>46171</v>
      </c>
      <c r="E1893" s="43">
        <v>2376000</v>
      </c>
      <c r="F1893" s="44">
        <f t="shared" si="86"/>
        <v>190080</v>
      </c>
      <c r="G1893" s="45">
        <f t="shared" si="87"/>
        <v>2566080</v>
      </c>
      <c r="H1893" s="46">
        <v>2566080</v>
      </c>
      <c r="I1893" s="47">
        <f t="shared" si="88"/>
        <v>0</v>
      </c>
      <c r="J1893" s="48">
        <v>46172</v>
      </c>
      <c r="K1893" s="49">
        <v>46249</v>
      </c>
      <c r="L1893" s="50">
        <v>4189288985</v>
      </c>
    </row>
    <row r="1894" spans="1:12" ht="15" customHeight="1" x14ac:dyDescent="0.35">
      <c r="A1894" s="85" t="s">
        <v>29</v>
      </c>
      <c r="B1894" s="86">
        <v>4290</v>
      </c>
      <c r="C1894" s="87"/>
      <c r="D1894" s="88">
        <v>46171</v>
      </c>
      <c r="E1894" s="43">
        <v>11120000</v>
      </c>
      <c r="F1894" s="44">
        <f t="shared" si="86"/>
        <v>889600</v>
      </c>
      <c r="G1894" s="45">
        <f t="shared" si="87"/>
        <v>12009600</v>
      </c>
      <c r="H1894" s="46">
        <v>12009600</v>
      </c>
      <c r="I1894" s="47">
        <f t="shared" si="88"/>
        <v>0</v>
      </c>
      <c r="J1894" s="48">
        <v>46172</v>
      </c>
      <c r="K1894" s="49">
        <v>46249</v>
      </c>
      <c r="L1894" s="50">
        <v>4189325474</v>
      </c>
    </row>
    <row r="1895" spans="1:12" ht="15" customHeight="1" x14ac:dyDescent="0.35">
      <c r="A1895" s="85" t="s">
        <v>63</v>
      </c>
      <c r="B1895" s="86">
        <v>4291</v>
      </c>
      <c r="C1895" s="87"/>
      <c r="D1895" s="88">
        <v>46171</v>
      </c>
      <c r="E1895" s="43">
        <v>960000</v>
      </c>
      <c r="F1895" s="44">
        <f t="shared" si="86"/>
        <v>76800</v>
      </c>
      <c r="G1895" s="45">
        <f t="shared" si="87"/>
        <v>1036800</v>
      </c>
      <c r="H1895" s="46">
        <v>1036800</v>
      </c>
      <c r="I1895" s="47">
        <f t="shared" si="88"/>
        <v>0</v>
      </c>
      <c r="J1895" s="48">
        <v>46172</v>
      </c>
      <c r="K1895" s="49">
        <v>46249</v>
      </c>
      <c r="L1895" s="50">
        <v>4189335815</v>
      </c>
    </row>
    <row r="1896" spans="1:12" ht="15" customHeight="1" x14ac:dyDescent="0.35">
      <c r="A1896" s="85" t="s">
        <v>56</v>
      </c>
      <c r="B1896" s="86">
        <v>4292</v>
      </c>
      <c r="C1896" s="87"/>
      <c r="D1896" s="88">
        <v>46171</v>
      </c>
      <c r="E1896" s="43">
        <v>2960000</v>
      </c>
      <c r="F1896" s="44">
        <f t="shared" si="86"/>
        <v>236800</v>
      </c>
      <c r="G1896" s="45">
        <f t="shared" si="87"/>
        <v>3196800</v>
      </c>
      <c r="H1896" s="46">
        <v>3196800</v>
      </c>
      <c r="I1896" s="47">
        <f t="shared" si="88"/>
        <v>0</v>
      </c>
      <c r="J1896" s="48">
        <v>46172</v>
      </c>
      <c r="K1896" s="49">
        <v>46249</v>
      </c>
      <c r="L1896" s="50">
        <v>4189335778</v>
      </c>
    </row>
    <row r="1897" spans="1:12" ht="15" customHeight="1" x14ac:dyDescent="0.35">
      <c r="A1897" s="85" t="s">
        <v>37</v>
      </c>
      <c r="B1897" s="86">
        <v>4293</v>
      </c>
      <c r="C1897" s="87"/>
      <c r="D1897" s="88">
        <v>46171</v>
      </c>
      <c r="E1897" s="43">
        <v>2560000</v>
      </c>
      <c r="F1897" s="44">
        <f t="shared" si="86"/>
        <v>204800</v>
      </c>
      <c r="G1897" s="45">
        <f t="shared" si="87"/>
        <v>2764800</v>
      </c>
      <c r="H1897" s="46">
        <v>2764800</v>
      </c>
      <c r="I1897" s="47">
        <f t="shared" si="88"/>
        <v>0</v>
      </c>
      <c r="J1897" s="48">
        <v>46172</v>
      </c>
      <c r="K1897" s="49">
        <v>46249</v>
      </c>
      <c r="L1897" s="50">
        <v>4189335804</v>
      </c>
    </row>
    <row r="1898" spans="1:12" ht="15" customHeight="1" x14ac:dyDescent="0.35">
      <c r="A1898" s="85" t="s">
        <v>123</v>
      </c>
      <c r="B1898" s="86">
        <v>4294</v>
      </c>
      <c r="C1898" s="87"/>
      <c r="D1898" s="88">
        <v>46171</v>
      </c>
      <c r="E1898" s="43">
        <v>1920000</v>
      </c>
      <c r="F1898" s="44">
        <f t="shared" si="86"/>
        <v>153600</v>
      </c>
      <c r="G1898" s="45">
        <f t="shared" si="87"/>
        <v>2073600</v>
      </c>
      <c r="H1898" s="46">
        <v>2073600</v>
      </c>
      <c r="I1898" s="47">
        <f t="shared" si="88"/>
        <v>0</v>
      </c>
      <c r="J1898" s="48">
        <v>46172</v>
      </c>
      <c r="K1898" s="49">
        <v>46249</v>
      </c>
      <c r="L1898" s="50">
        <v>4189335582</v>
      </c>
    </row>
    <row r="1899" spans="1:12" ht="15" customHeight="1" x14ac:dyDescent="0.35">
      <c r="A1899" s="85" t="s">
        <v>123</v>
      </c>
      <c r="B1899" s="86">
        <v>4295</v>
      </c>
      <c r="C1899" s="87"/>
      <c r="D1899" s="88">
        <v>46171</v>
      </c>
      <c r="E1899" s="43">
        <v>502500</v>
      </c>
      <c r="F1899" s="44">
        <f t="shared" si="86"/>
        <v>40200</v>
      </c>
      <c r="G1899" s="45">
        <f t="shared" si="87"/>
        <v>542700</v>
      </c>
      <c r="H1899" s="46">
        <v>542700</v>
      </c>
      <c r="I1899" s="47">
        <f t="shared" si="88"/>
        <v>0</v>
      </c>
      <c r="J1899" s="48">
        <v>46172</v>
      </c>
      <c r="K1899" s="49">
        <v>46249</v>
      </c>
      <c r="L1899" s="50">
        <v>4189300142</v>
      </c>
    </row>
    <row r="1900" spans="1:12" ht="15" customHeight="1" x14ac:dyDescent="0.35">
      <c r="A1900" s="85" t="s">
        <v>37</v>
      </c>
      <c r="B1900" s="86">
        <v>4296</v>
      </c>
      <c r="C1900" s="87"/>
      <c r="D1900" s="88">
        <v>46171</v>
      </c>
      <c r="E1900" s="43">
        <v>1502500</v>
      </c>
      <c r="F1900" s="44">
        <f t="shared" si="86"/>
        <v>120200</v>
      </c>
      <c r="G1900" s="45">
        <f t="shared" si="87"/>
        <v>1622700</v>
      </c>
      <c r="H1900" s="46">
        <v>1622700</v>
      </c>
      <c r="I1900" s="47">
        <f t="shared" si="88"/>
        <v>0</v>
      </c>
      <c r="J1900" s="48">
        <v>46172</v>
      </c>
      <c r="K1900" s="49">
        <v>46249</v>
      </c>
      <c r="L1900" s="50">
        <v>4189299982</v>
      </c>
    </row>
    <row r="1901" spans="1:12" ht="15" customHeight="1" x14ac:dyDescent="0.35">
      <c r="A1901" s="114" t="s">
        <v>33</v>
      </c>
      <c r="B1901" s="115">
        <v>4297</v>
      </c>
      <c r="C1901" s="116"/>
      <c r="D1901" s="117">
        <v>46171</v>
      </c>
      <c r="E1901" s="59">
        <v>21120000</v>
      </c>
      <c r="F1901" s="60">
        <f t="shared" si="86"/>
        <v>1689600</v>
      </c>
      <c r="G1901" s="61">
        <f t="shared" si="87"/>
        <v>22809600</v>
      </c>
      <c r="H1901" s="59"/>
      <c r="I1901" s="62">
        <f t="shared" si="88"/>
        <v>22809600</v>
      </c>
      <c r="J1901" s="63">
        <v>46181</v>
      </c>
      <c r="K1901" s="64" t="s">
        <v>3781</v>
      </c>
      <c r="L1901" s="65">
        <v>4901297244</v>
      </c>
    </row>
    <row r="1902" spans="1:12" ht="15" customHeight="1" x14ac:dyDescent="0.35">
      <c r="A1902" s="85" t="s">
        <v>29</v>
      </c>
      <c r="B1902" s="86">
        <v>4298</v>
      </c>
      <c r="C1902" s="87"/>
      <c r="D1902" s="88">
        <v>46171</v>
      </c>
      <c r="E1902" s="43">
        <v>6205000</v>
      </c>
      <c r="F1902" s="44">
        <f t="shared" si="86"/>
        <v>496400</v>
      </c>
      <c r="G1902" s="45">
        <f t="shared" si="87"/>
        <v>6701400</v>
      </c>
      <c r="H1902" s="46">
        <v>6701400</v>
      </c>
      <c r="I1902" s="47">
        <f t="shared" si="88"/>
        <v>0</v>
      </c>
      <c r="J1902" s="48">
        <v>46172</v>
      </c>
      <c r="K1902" s="49">
        <v>46249</v>
      </c>
      <c r="L1902" s="50">
        <v>4189465051</v>
      </c>
    </row>
    <row r="1903" spans="1:12" ht="15" customHeight="1" x14ac:dyDescent="0.35">
      <c r="A1903" s="85" t="s">
        <v>123</v>
      </c>
      <c r="B1903" s="86">
        <v>4299</v>
      </c>
      <c r="C1903" s="87"/>
      <c r="D1903" s="88">
        <v>46171</v>
      </c>
      <c r="E1903" s="43">
        <v>1920000</v>
      </c>
      <c r="F1903" s="44">
        <f t="shared" si="86"/>
        <v>153600</v>
      </c>
      <c r="G1903" s="45">
        <f t="shared" si="87"/>
        <v>2073600</v>
      </c>
      <c r="H1903" s="46">
        <v>2073600</v>
      </c>
      <c r="I1903" s="47">
        <f t="shared" si="88"/>
        <v>0</v>
      </c>
      <c r="J1903" s="48">
        <v>46172</v>
      </c>
      <c r="K1903" s="49">
        <v>46249</v>
      </c>
      <c r="L1903" s="50">
        <v>4189808348</v>
      </c>
    </row>
    <row r="1904" spans="1:12" ht="15" customHeight="1" x14ac:dyDescent="0.35">
      <c r="A1904" s="85" t="s">
        <v>63</v>
      </c>
      <c r="B1904" s="86">
        <v>4300</v>
      </c>
      <c r="C1904" s="87"/>
      <c r="D1904" s="88">
        <v>46171</v>
      </c>
      <c r="E1904" s="43">
        <v>3848000</v>
      </c>
      <c r="F1904" s="44">
        <f t="shared" si="86"/>
        <v>307840</v>
      </c>
      <c r="G1904" s="45">
        <f t="shared" si="87"/>
        <v>4155840</v>
      </c>
      <c r="H1904" s="46"/>
      <c r="I1904" s="47">
        <f t="shared" si="88"/>
        <v>4155840</v>
      </c>
      <c r="J1904" s="48">
        <v>46181</v>
      </c>
      <c r="K1904" s="49" t="s">
        <v>3781</v>
      </c>
      <c r="L1904" s="50">
        <v>4189693375</v>
      </c>
    </row>
    <row r="1905" spans="1:12" ht="15" customHeight="1" x14ac:dyDescent="0.35">
      <c r="A1905" s="114" t="s">
        <v>85</v>
      </c>
      <c r="B1905" s="115">
        <v>4301</v>
      </c>
      <c r="C1905" s="116"/>
      <c r="D1905" s="117">
        <v>46171</v>
      </c>
      <c r="E1905" s="59">
        <v>922000</v>
      </c>
      <c r="F1905" s="44">
        <f t="shared" si="86"/>
        <v>73760</v>
      </c>
      <c r="G1905" s="61">
        <f t="shared" si="87"/>
        <v>995760</v>
      </c>
      <c r="H1905" s="59">
        <v>995760</v>
      </c>
      <c r="I1905" s="62">
        <f t="shared" si="88"/>
        <v>0</v>
      </c>
      <c r="J1905" s="48">
        <v>46172</v>
      </c>
      <c r="K1905" s="64">
        <v>46249</v>
      </c>
      <c r="L1905" s="65">
        <v>4189696567</v>
      </c>
    </row>
    <row r="1906" spans="1:12" ht="15" customHeight="1" x14ac:dyDescent="0.35">
      <c r="A1906" s="114" t="s">
        <v>56</v>
      </c>
      <c r="B1906" s="115">
        <v>4303</v>
      </c>
      <c r="C1906" s="116"/>
      <c r="D1906" s="117">
        <v>46171</v>
      </c>
      <c r="E1906" s="59">
        <v>2910000</v>
      </c>
      <c r="F1906" s="44">
        <f t="shared" si="86"/>
        <v>232800</v>
      </c>
      <c r="G1906" s="61">
        <f t="shared" si="87"/>
        <v>3142800</v>
      </c>
      <c r="H1906" s="59">
        <v>3142800</v>
      </c>
      <c r="I1906" s="62">
        <f t="shared" si="88"/>
        <v>0</v>
      </c>
      <c r="J1906" s="48">
        <v>46172</v>
      </c>
      <c r="K1906" s="64">
        <v>46249</v>
      </c>
      <c r="L1906" s="65">
        <v>4189696521</v>
      </c>
    </row>
    <row r="1907" spans="1:12" ht="15" customHeight="1" x14ac:dyDescent="0.35">
      <c r="A1907" s="85" t="s">
        <v>37</v>
      </c>
      <c r="B1907" s="86">
        <v>4304</v>
      </c>
      <c r="C1907" s="87"/>
      <c r="D1907" s="88">
        <v>46171</v>
      </c>
      <c r="E1907" s="43">
        <v>1920000</v>
      </c>
      <c r="F1907" s="44">
        <f t="shared" si="86"/>
        <v>153600</v>
      </c>
      <c r="G1907" s="45">
        <f t="shared" si="87"/>
        <v>2073600</v>
      </c>
      <c r="H1907" s="46">
        <v>2073600</v>
      </c>
      <c r="I1907" s="47">
        <f t="shared" si="88"/>
        <v>0</v>
      </c>
      <c r="J1907" s="48">
        <v>46172</v>
      </c>
      <c r="K1907" s="49">
        <v>46249</v>
      </c>
      <c r="L1907" s="50">
        <v>4189817506</v>
      </c>
    </row>
    <row r="1908" spans="1:12" ht="15" customHeight="1" x14ac:dyDescent="0.35">
      <c r="A1908" s="85" t="s">
        <v>29</v>
      </c>
      <c r="B1908" s="86">
        <v>4305</v>
      </c>
      <c r="C1908" s="87"/>
      <c r="D1908" s="88">
        <v>46171</v>
      </c>
      <c r="E1908" s="43">
        <v>19280000</v>
      </c>
      <c r="F1908" s="44">
        <f t="shared" si="86"/>
        <v>1542400</v>
      </c>
      <c r="G1908" s="45">
        <f t="shared" si="87"/>
        <v>20822400</v>
      </c>
      <c r="H1908" s="46">
        <v>20822400</v>
      </c>
      <c r="I1908" s="47">
        <f t="shared" si="88"/>
        <v>0</v>
      </c>
      <c r="J1908" s="48">
        <v>46172</v>
      </c>
      <c r="K1908" s="49">
        <v>46249</v>
      </c>
      <c r="L1908" s="50">
        <v>4189774050</v>
      </c>
    </row>
    <row r="1909" spans="1:12" ht="15" customHeight="1" x14ac:dyDescent="0.35">
      <c r="A1909" s="85" t="s">
        <v>3227</v>
      </c>
      <c r="B1909" s="86">
        <v>4306</v>
      </c>
      <c r="C1909" s="87"/>
      <c r="D1909" s="88">
        <v>46171</v>
      </c>
      <c r="E1909" s="43">
        <v>640000</v>
      </c>
      <c r="F1909" s="44">
        <f t="shared" si="86"/>
        <v>51200</v>
      </c>
      <c r="G1909" s="45">
        <f t="shared" si="87"/>
        <v>691200</v>
      </c>
      <c r="H1909" s="46">
        <v>691200</v>
      </c>
      <c r="I1909" s="47">
        <f t="shared" si="88"/>
        <v>0</v>
      </c>
      <c r="J1909" s="48">
        <v>46172</v>
      </c>
      <c r="K1909" s="49">
        <v>46249</v>
      </c>
      <c r="L1909" s="50">
        <v>4189693953</v>
      </c>
    </row>
    <row r="1910" spans="1:12" ht="15" customHeight="1" x14ac:dyDescent="0.35">
      <c r="A1910" s="85" t="s">
        <v>37</v>
      </c>
      <c r="B1910" s="86">
        <v>4068</v>
      </c>
      <c r="C1910" s="87"/>
      <c r="D1910" s="88">
        <v>46163</v>
      </c>
      <c r="E1910" s="43">
        <v>9960000</v>
      </c>
      <c r="F1910" s="44">
        <f t="shared" si="86"/>
        <v>796800</v>
      </c>
      <c r="G1910" s="45">
        <f t="shared" si="87"/>
        <v>10756800</v>
      </c>
      <c r="H1910" s="46">
        <v>10756800</v>
      </c>
      <c r="I1910" s="47">
        <f t="shared" si="88"/>
        <v>0</v>
      </c>
      <c r="J1910" s="48">
        <v>46172</v>
      </c>
      <c r="K1910" s="49">
        <v>46249</v>
      </c>
      <c r="L1910" s="50">
        <v>4189693403</v>
      </c>
    </row>
    <row r="1911" spans="1:12" ht="15" customHeight="1" x14ac:dyDescent="0.35">
      <c r="A1911" s="85" t="s">
        <v>3227</v>
      </c>
      <c r="B1911" s="86">
        <v>4307</v>
      </c>
      <c r="C1911" s="87"/>
      <c r="D1911" s="88">
        <v>46171</v>
      </c>
      <c r="E1911" s="43">
        <v>2195000</v>
      </c>
      <c r="F1911" s="44">
        <f t="shared" si="86"/>
        <v>175600</v>
      </c>
      <c r="G1911" s="45">
        <f t="shared" si="87"/>
        <v>2370600</v>
      </c>
      <c r="H1911" s="46">
        <v>2370600</v>
      </c>
      <c r="I1911" s="47">
        <f t="shared" si="88"/>
        <v>0</v>
      </c>
      <c r="J1911" s="48">
        <v>46172</v>
      </c>
      <c r="K1911" s="49">
        <v>46249</v>
      </c>
      <c r="L1911" s="50">
        <v>4189773766</v>
      </c>
    </row>
    <row r="1912" spans="1:12" ht="15" customHeight="1" x14ac:dyDescent="0.35">
      <c r="A1912" s="85" t="s">
        <v>123</v>
      </c>
      <c r="B1912" s="86">
        <v>4308</v>
      </c>
      <c r="C1912" s="87"/>
      <c r="D1912" s="88">
        <v>46171</v>
      </c>
      <c r="E1912" s="43">
        <v>2227500</v>
      </c>
      <c r="F1912" s="44">
        <f t="shared" si="86"/>
        <v>178200</v>
      </c>
      <c r="G1912" s="45">
        <f t="shared" si="87"/>
        <v>2405700</v>
      </c>
      <c r="H1912" s="46">
        <v>2405700</v>
      </c>
      <c r="I1912" s="47">
        <f t="shared" si="88"/>
        <v>0</v>
      </c>
      <c r="J1912" s="48">
        <v>46172</v>
      </c>
      <c r="K1912" s="49">
        <v>46249</v>
      </c>
      <c r="L1912" s="50">
        <v>4189696554</v>
      </c>
    </row>
    <row r="1913" spans="1:12" ht="15" customHeight="1" x14ac:dyDescent="0.35">
      <c r="A1913" s="85" t="s">
        <v>29</v>
      </c>
      <c r="B1913" s="86">
        <v>4309</v>
      </c>
      <c r="C1913" s="87"/>
      <c r="D1913" s="88">
        <v>46171</v>
      </c>
      <c r="E1913" s="43">
        <v>12160000</v>
      </c>
      <c r="F1913" s="44">
        <f t="shared" si="86"/>
        <v>972800</v>
      </c>
      <c r="G1913" s="45">
        <f t="shared" si="87"/>
        <v>13132800</v>
      </c>
      <c r="H1913" s="46">
        <v>13132800</v>
      </c>
      <c r="I1913" s="47">
        <f t="shared" si="88"/>
        <v>0</v>
      </c>
      <c r="J1913" s="48">
        <v>46172</v>
      </c>
      <c r="K1913" s="49">
        <v>46249</v>
      </c>
      <c r="L1913" s="50">
        <v>4189695298</v>
      </c>
    </row>
    <row r="1914" spans="1:12" ht="15" customHeight="1" x14ac:dyDescent="0.35">
      <c r="A1914" s="85" t="s">
        <v>37</v>
      </c>
      <c r="B1914" s="86">
        <v>4310</v>
      </c>
      <c r="C1914" s="87"/>
      <c r="D1914" s="88">
        <v>46171</v>
      </c>
      <c r="E1914" s="43">
        <v>1280000</v>
      </c>
      <c r="F1914" s="44">
        <f t="shared" si="86"/>
        <v>102400</v>
      </c>
      <c r="G1914" s="45">
        <f t="shared" si="87"/>
        <v>1382400</v>
      </c>
      <c r="H1914" s="46">
        <v>1382400</v>
      </c>
      <c r="I1914" s="47">
        <f t="shared" si="88"/>
        <v>0</v>
      </c>
      <c r="J1914" s="48">
        <v>46172</v>
      </c>
      <c r="K1914" s="49">
        <v>46249</v>
      </c>
      <c r="L1914" s="50">
        <v>4189697789</v>
      </c>
    </row>
    <row r="1915" spans="1:12" ht="15" customHeight="1" x14ac:dyDescent="0.35">
      <c r="A1915" s="85" t="s">
        <v>33</v>
      </c>
      <c r="B1915" s="86">
        <v>4311</v>
      </c>
      <c r="C1915" s="87"/>
      <c r="D1915" s="88">
        <v>46171</v>
      </c>
      <c r="E1915" s="43">
        <v>2560000</v>
      </c>
      <c r="F1915" s="44">
        <f t="shared" si="86"/>
        <v>204800</v>
      </c>
      <c r="G1915" s="45">
        <f t="shared" si="87"/>
        <v>2764800</v>
      </c>
      <c r="H1915" s="46"/>
      <c r="I1915" s="47">
        <f t="shared" si="88"/>
        <v>2764800</v>
      </c>
      <c r="J1915" s="48">
        <v>46181</v>
      </c>
      <c r="K1915" s="49" t="s">
        <v>3781</v>
      </c>
      <c r="L1915" s="50">
        <v>4901297709</v>
      </c>
    </row>
    <row r="1916" spans="1:12" ht="15" customHeight="1" x14ac:dyDescent="0.35">
      <c r="A1916" s="114" t="s">
        <v>33</v>
      </c>
      <c r="B1916" s="115">
        <v>4312</v>
      </c>
      <c r="C1916" s="116"/>
      <c r="D1916" s="117">
        <v>46171</v>
      </c>
      <c r="E1916" s="59">
        <v>19164000</v>
      </c>
      <c r="F1916" s="44">
        <f t="shared" si="86"/>
        <v>1533120</v>
      </c>
      <c r="G1916" s="61">
        <f t="shared" si="87"/>
        <v>20697120</v>
      </c>
      <c r="H1916" s="59"/>
      <c r="I1916" s="62">
        <f t="shared" si="88"/>
        <v>20697120</v>
      </c>
      <c r="J1916" s="48">
        <v>46181</v>
      </c>
      <c r="K1916" s="64" t="s">
        <v>3781</v>
      </c>
      <c r="L1916" s="65">
        <v>4901297788</v>
      </c>
    </row>
    <row r="1917" spans="1:12" ht="15" customHeight="1" x14ac:dyDescent="0.35">
      <c r="A1917" s="85" t="s">
        <v>33</v>
      </c>
      <c r="B1917" s="86">
        <v>4313</v>
      </c>
      <c r="C1917" s="87"/>
      <c r="D1917" s="88">
        <v>46171</v>
      </c>
      <c r="E1917" s="43">
        <v>5760000</v>
      </c>
      <c r="F1917" s="44">
        <f t="shared" si="86"/>
        <v>460800</v>
      </c>
      <c r="G1917" s="45">
        <f t="shared" si="87"/>
        <v>6220800</v>
      </c>
      <c r="H1917" s="46"/>
      <c r="I1917" s="47">
        <f t="shared" si="88"/>
        <v>6220800</v>
      </c>
      <c r="J1917" s="48">
        <v>46181</v>
      </c>
      <c r="K1917" s="49" t="s">
        <v>3781</v>
      </c>
      <c r="L1917" s="50">
        <v>4901297929</v>
      </c>
    </row>
    <row r="1918" spans="1:12" ht="15" customHeight="1" x14ac:dyDescent="0.35">
      <c r="A1918" s="85" t="s">
        <v>123</v>
      </c>
      <c r="B1918" s="86">
        <v>4314</v>
      </c>
      <c r="C1918" s="87"/>
      <c r="D1918" s="88">
        <v>46171</v>
      </c>
      <c r="E1918" s="43">
        <v>3928000</v>
      </c>
      <c r="F1918" s="44">
        <f t="shared" si="86"/>
        <v>314240</v>
      </c>
      <c r="G1918" s="45">
        <f t="shared" si="87"/>
        <v>4242240</v>
      </c>
      <c r="H1918" s="46">
        <v>4242240</v>
      </c>
      <c r="I1918" s="47">
        <f t="shared" si="88"/>
        <v>0</v>
      </c>
      <c r="J1918" s="48">
        <v>46172</v>
      </c>
      <c r="K1918" s="49">
        <v>46249</v>
      </c>
      <c r="L1918" s="50">
        <v>4189696517</v>
      </c>
    </row>
    <row r="1919" spans="1:12" ht="15" customHeight="1" x14ac:dyDescent="0.35">
      <c r="A1919" s="85" t="s">
        <v>29</v>
      </c>
      <c r="B1919" s="86">
        <v>4315</v>
      </c>
      <c r="C1919" s="87"/>
      <c r="D1919" s="88">
        <v>46171</v>
      </c>
      <c r="E1919" s="43">
        <v>5200000</v>
      </c>
      <c r="F1919" s="44">
        <f t="shared" si="86"/>
        <v>416000</v>
      </c>
      <c r="G1919" s="45">
        <f t="shared" si="87"/>
        <v>5616000</v>
      </c>
      <c r="H1919" s="46">
        <v>5616000</v>
      </c>
      <c r="I1919" s="47">
        <f t="shared" si="88"/>
        <v>0</v>
      </c>
      <c r="J1919" s="48">
        <v>46172</v>
      </c>
      <c r="K1919" s="49">
        <v>46249</v>
      </c>
      <c r="L1919" s="50">
        <v>4189876277</v>
      </c>
    </row>
    <row r="1920" spans="1:12" ht="15" customHeight="1" x14ac:dyDescent="0.35">
      <c r="A1920" s="114" t="s">
        <v>85</v>
      </c>
      <c r="B1920" s="115">
        <v>4316</v>
      </c>
      <c r="C1920" s="116">
        <v>4461</v>
      </c>
      <c r="D1920" s="117">
        <v>46178</v>
      </c>
      <c r="E1920" s="59">
        <v>4952000</v>
      </c>
      <c r="F1920" s="44">
        <f t="shared" si="86"/>
        <v>396160</v>
      </c>
      <c r="G1920" s="61">
        <f t="shared" si="87"/>
        <v>5348160</v>
      </c>
      <c r="H1920" s="59"/>
      <c r="I1920" s="62">
        <f t="shared" si="88"/>
        <v>5348160</v>
      </c>
      <c r="J1920" s="48">
        <v>46172</v>
      </c>
      <c r="K1920" s="64" t="s">
        <v>3781</v>
      </c>
      <c r="L1920" s="65">
        <v>4189934749</v>
      </c>
    </row>
    <row r="1921" spans="1:19" ht="15" customHeight="1" x14ac:dyDescent="0.35">
      <c r="A1921" s="114" t="s">
        <v>29</v>
      </c>
      <c r="B1921" s="115">
        <v>4790</v>
      </c>
      <c r="C1921" s="116"/>
      <c r="D1921" s="117">
        <v>46186</v>
      </c>
      <c r="E1921" s="59">
        <v>13308000</v>
      </c>
      <c r="F1921" s="44">
        <f t="shared" si="86"/>
        <v>1064640</v>
      </c>
      <c r="G1921" s="61">
        <f t="shared" si="87"/>
        <v>14372640</v>
      </c>
      <c r="H1921" s="59"/>
      <c r="I1921" s="62">
        <f t="shared" si="88"/>
        <v>14372640</v>
      </c>
      <c r="J1921" s="48">
        <v>46188</v>
      </c>
      <c r="K1921" s="64" t="s">
        <v>3781</v>
      </c>
      <c r="L1921" s="65">
        <v>4189958461</v>
      </c>
    </row>
    <row r="1922" spans="1:19" ht="15" customHeight="1" x14ac:dyDescent="0.35">
      <c r="A1922" s="114" t="s">
        <v>123</v>
      </c>
      <c r="B1922" s="115">
        <v>4317</v>
      </c>
      <c r="C1922" s="116"/>
      <c r="D1922" s="117">
        <v>46171</v>
      </c>
      <c r="E1922" s="59">
        <v>7240000</v>
      </c>
      <c r="F1922" s="44">
        <f t="shared" si="86"/>
        <v>579200</v>
      </c>
      <c r="G1922" s="61">
        <f t="shared" si="87"/>
        <v>7819200</v>
      </c>
      <c r="H1922" s="59">
        <v>7819200</v>
      </c>
      <c r="I1922" s="62">
        <f t="shared" si="88"/>
        <v>0</v>
      </c>
      <c r="J1922" s="48">
        <v>46172</v>
      </c>
      <c r="K1922" s="64">
        <v>46249</v>
      </c>
      <c r="L1922" s="65">
        <v>4189939106</v>
      </c>
    </row>
    <row r="1923" spans="1:19" ht="15" customHeight="1" x14ac:dyDescent="0.35">
      <c r="A1923" s="85" t="s">
        <v>3227</v>
      </c>
      <c r="B1923" s="86">
        <v>4318</v>
      </c>
      <c r="C1923" s="87"/>
      <c r="D1923" s="88">
        <v>46171</v>
      </c>
      <c r="E1923" s="43">
        <v>960000</v>
      </c>
      <c r="F1923" s="44">
        <f t="shared" si="86"/>
        <v>76800</v>
      </c>
      <c r="G1923" s="45">
        <f t="shared" si="87"/>
        <v>1036800</v>
      </c>
      <c r="H1923" s="46">
        <v>1036800</v>
      </c>
      <c r="I1923" s="47">
        <f t="shared" si="88"/>
        <v>0</v>
      </c>
      <c r="J1923" s="48">
        <v>46172</v>
      </c>
      <c r="K1923" s="49">
        <v>46249</v>
      </c>
      <c r="L1923" s="50">
        <v>4189958398</v>
      </c>
    </row>
    <row r="1924" spans="1:19" ht="15" customHeight="1" x14ac:dyDescent="0.35">
      <c r="A1924" s="85" t="s">
        <v>37</v>
      </c>
      <c r="B1924" s="86">
        <v>4791</v>
      </c>
      <c r="C1924" s="87"/>
      <c r="D1924" s="88">
        <v>46186</v>
      </c>
      <c r="E1924" s="43">
        <v>6480000</v>
      </c>
      <c r="F1924" s="44">
        <f t="shared" si="86"/>
        <v>518400</v>
      </c>
      <c r="G1924" s="45">
        <f t="shared" si="87"/>
        <v>6998400</v>
      </c>
      <c r="H1924" s="46"/>
      <c r="I1924" s="47">
        <f t="shared" si="88"/>
        <v>6998400</v>
      </c>
      <c r="J1924" s="48">
        <v>46188</v>
      </c>
      <c r="K1924" s="49" t="s">
        <v>3781</v>
      </c>
      <c r="L1924" s="50">
        <v>4189939145</v>
      </c>
    </row>
    <row r="1925" spans="1:19" ht="15" customHeight="1" x14ac:dyDescent="0.35">
      <c r="A1925" s="114" t="s">
        <v>33</v>
      </c>
      <c r="B1925" s="115">
        <v>4319</v>
      </c>
      <c r="C1925" s="116"/>
      <c r="D1925" s="117">
        <v>46171</v>
      </c>
      <c r="E1925" s="59">
        <v>4108000</v>
      </c>
      <c r="F1925" s="44">
        <f t="shared" si="86"/>
        <v>328640</v>
      </c>
      <c r="G1925" s="61">
        <f t="shared" si="87"/>
        <v>4436640</v>
      </c>
      <c r="H1925" s="59"/>
      <c r="I1925" s="62">
        <f t="shared" si="88"/>
        <v>4436640</v>
      </c>
      <c r="J1925" s="48">
        <v>46181</v>
      </c>
      <c r="K1925" s="64" t="s">
        <v>3781</v>
      </c>
      <c r="L1925" s="65">
        <v>4901298251</v>
      </c>
    </row>
    <row r="1926" spans="1:19" ht="15" customHeight="1" x14ac:dyDescent="0.35">
      <c r="A1926" s="85" t="s">
        <v>29</v>
      </c>
      <c r="B1926" s="86">
        <v>4320</v>
      </c>
      <c r="C1926" s="87"/>
      <c r="D1926" s="88">
        <v>46171</v>
      </c>
      <c r="E1926" s="43">
        <v>4160000</v>
      </c>
      <c r="F1926" s="44">
        <f t="shared" si="86"/>
        <v>332800</v>
      </c>
      <c r="G1926" s="45">
        <f t="shared" si="87"/>
        <v>4492800</v>
      </c>
      <c r="H1926" s="46">
        <v>4492800</v>
      </c>
      <c r="I1926" s="47">
        <f t="shared" si="88"/>
        <v>0</v>
      </c>
      <c r="J1926" s="48">
        <v>46172</v>
      </c>
      <c r="K1926" s="49">
        <v>46249</v>
      </c>
      <c r="L1926" s="50">
        <v>4189964623</v>
      </c>
    </row>
    <row r="1927" spans="1:19" ht="15" customHeight="1" x14ac:dyDescent="0.35">
      <c r="A1927" s="85" t="s">
        <v>56</v>
      </c>
      <c r="B1927" s="86">
        <v>4321</v>
      </c>
      <c r="C1927" s="87"/>
      <c r="D1927" s="88">
        <v>46171</v>
      </c>
      <c r="E1927" s="43">
        <v>416000</v>
      </c>
      <c r="F1927" s="44">
        <f t="shared" si="86"/>
        <v>33280</v>
      </c>
      <c r="G1927" s="45">
        <f t="shared" si="87"/>
        <v>449280</v>
      </c>
      <c r="H1927" s="46">
        <v>449280</v>
      </c>
      <c r="I1927" s="47">
        <f t="shared" si="88"/>
        <v>0</v>
      </c>
      <c r="J1927" s="48">
        <v>46172</v>
      </c>
      <c r="K1927" s="49">
        <v>46249</v>
      </c>
      <c r="L1927" s="50">
        <v>4189988117</v>
      </c>
    </row>
    <row r="1928" spans="1:19" ht="15" customHeight="1" x14ac:dyDescent="0.35">
      <c r="A1928" s="85" t="s">
        <v>37</v>
      </c>
      <c r="B1928" s="86">
        <v>4322</v>
      </c>
      <c r="C1928" s="87"/>
      <c r="D1928" s="88">
        <v>46171</v>
      </c>
      <c r="E1928" s="43">
        <v>3380000</v>
      </c>
      <c r="F1928" s="44">
        <f t="shared" si="86"/>
        <v>270400</v>
      </c>
      <c r="G1928" s="45">
        <f t="shared" si="87"/>
        <v>3650400</v>
      </c>
      <c r="H1928" s="46">
        <v>3650400</v>
      </c>
      <c r="I1928" s="47">
        <f t="shared" si="88"/>
        <v>0</v>
      </c>
      <c r="J1928" s="48">
        <v>46172</v>
      </c>
      <c r="K1928" s="49">
        <v>46249</v>
      </c>
      <c r="L1928" s="50">
        <v>4189987970</v>
      </c>
    </row>
    <row r="1929" spans="1:19" ht="15" customHeight="1" x14ac:dyDescent="0.35">
      <c r="A1929" s="85" t="s">
        <v>77</v>
      </c>
      <c r="B1929" s="86">
        <v>4792</v>
      </c>
      <c r="C1929" s="87"/>
      <c r="D1929" s="88">
        <v>46186</v>
      </c>
      <c r="E1929" s="43">
        <v>11120000</v>
      </c>
      <c r="F1929" s="44">
        <f t="shared" si="86"/>
        <v>889600</v>
      </c>
      <c r="G1929" s="45">
        <f t="shared" si="87"/>
        <v>12009600</v>
      </c>
      <c r="H1929" s="46"/>
      <c r="I1929" s="47">
        <f t="shared" si="88"/>
        <v>12009600</v>
      </c>
      <c r="J1929" s="48">
        <v>46188</v>
      </c>
      <c r="K1929" s="49" t="s">
        <v>3781</v>
      </c>
      <c r="L1929" s="50">
        <v>4190084140</v>
      </c>
    </row>
    <row r="1930" spans="1:19" ht="15" customHeight="1" x14ac:dyDescent="0.35">
      <c r="A1930" s="85" t="s">
        <v>123</v>
      </c>
      <c r="B1930" s="86">
        <v>4323</v>
      </c>
      <c r="C1930" s="87"/>
      <c r="D1930" s="88">
        <v>46171</v>
      </c>
      <c r="E1930" s="43">
        <v>520000</v>
      </c>
      <c r="F1930" s="44">
        <f t="shared" si="86"/>
        <v>41600</v>
      </c>
      <c r="G1930" s="45">
        <f t="shared" si="87"/>
        <v>561600</v>
      </c>
      <c r="H1930" s="46">
        <v>561600</v>
      </c>
      <c r="I1930" s="47">
        <f t="shared" si="88"/>
        <v>0</v>
      </c>
      <c r="J1930" s="48">
        <v>46172</v>
      </c>
      <c r="K1930" s="49">
        <v>46249</v>
      </c>
      <c r="L1930" s="50">
        <v>4189988063</v>
      </c>
    </row>
    <row r="1931" spans="1:19" ht="15" customHeight="1" x14ac:dyDescent="0.35">
      <c r="A1931" s="85" t="s">
        <v>63</v>
      </c>
      <c r="B1931" s="86">
        <v>4793</v>
      </c>
      <c r="C1931" s="87"/>
      <c r="D1931" s="88">
        <v>46186</v>
      </c>
      <c r="E1931" s="43">
        <v>2444000</v>
      </c>
      <c r="F1931" s="44">
        <f t="shared" si="86"/>
        <v>195520</v>
      </c>
      <c r="G1931" s="45">
        <f t="shared" si="87"/>
        <v>2639520</v>
      </c>
      <c r="H1931" s="46"/>
      <c r="I1931" s="47">
        <f t="shared" si="88"/>
        <v>2639520</v>
      </c>
      <c r="J1931" s="48">
        <v>46188</v>
      </c>
      <c r="K1931" s="49" t="s">
        <v>3781</v>
      </c>
      <c r="L1931" s="50">
        <v>4189988123</v>
      </c>
    </row>
    <row r="1932" spans="1:19" ht="15" customHeight="1" x14ac:dyDescent="0.35">
      <c r="A1932" s="85" t="s">
        <v>123</v>
      </c>
      <c r="B1932" s="86">
        <v>4386</v>
      </c>
      <c r="C1932" s="87"/>
      <c r="D1932" s="88">
        <v>46172</v>
      </c>
      <c r="E1932" s="43">
        <v>640000</v>
      </c>
      <c r="F1932" s="44">
        <f t="shared" si="86"/>
        <v>51200</v>
      </c>
      <c r="G1932" s="45">
        <f t="shared" si="87"/>
        <v>691200</v>
      </c>
      <c r="H1932" s="46">
        <v>691200</v>
      </c>
      <c r="I1932" s="47">
        <f t="shared" si="88"/>
        <v>0</v>
      </c>
      <c r="J1932" s="48">
        <v>46172</v>
      </c>
      <c r="K1932" s="49">
        <v>46249</v>
      </c>
      <c r="L1932" s="50">
        <v>4190168192</v>
      </c>
    </row>
    <row r="1933" spans="1:19" ht="15" customHeight="1" x14ac:dyDescent="0.35">
      <c r="A1933" s="85" t="s">
        <v>123</v>
      </c>
      <c r="B1933" s="86">
        <v>4384</v>
      </c>
      <c r="C1933" s="87"/>
      <c r="D1933" s="88">
        <v>46172</v>
      </c>
      <c r="E1933" s="43">
        <v>9405000</v>
      </c>
      <c r="F1933" s="44">
        <f t="shared" si="86"/>
        <v>752400</v>
      </c>
      <c r="G1933" s="45">
        <f t="shared" si="87"/>
        <v>10157400</v>
      </c>
      <c r="H1933" s="46">
        <v>10157400</v>
      </c>
      <c r="I1933" s="47">
        <f t="shared" si="88"/>
        <v>0</v>
      </c>
      <c r="J1933" s="48">
        <v>46172</v>
      </c>
      <c r="K1933" s="49">
        <v>46249</v>
      </c>
      <c r="L1933" s="50">
        <v>4189939110</v>
      </c>
    </row>
    <row r="1934" spans="1:19" ht="15" customHeight="1" x14ac:dyDescent="0.35">
      <c r="A1934" s="85" t="s">
        <v>123</v>
      </c>
      <c r="B1934" s="86">
        <v>4385</v>
      </c>
      <c r="C1934" s="87"/>
      <c r="D1934" s="88">
        <v>46172</v>
      </c>
      <c r="E1934" s="43">
        <v>1976000</v>
      </c>
      <c r="F1934" s="44">
        <f t="shared" si="86"/>
        <v>158080</v>
      </c>
      <c r="G1934" s="45">
        <f t="shared" si="87"/>
        <v>2134080</v>
      </c>
      <c r="H1934" s="46">
        <v>2134080</v>
      </c>
      <c r="I1934" s="47">
        <f t="shared" si="88"/>
        <v>0</v>
      </c>
      <c r="J1934" s="48">
        <v>46172</v>
      </c>
      <c r="K1934" s="49">
        <v>46249</v>
      </c>
      <c r="L1934" s="50">
        <v>4189988119</v>
      </c>
    </row>
    <row r="1935" spans="1:19" ht="15" customHeight="1" x14ac:dyDescent="0.35">
      <c r="A1935" s="85" t="s">
        <v>29</v>
      </c>
      <c r="B1935" s="86">
        <v>4794</v>
      </c>
      <c r="C1935" s="87"/>
      <c r="D1935" s="88">
        <v>46186</v>
      </c>
      <c r="E1935" s="43">
        <v>9280000</v>
      </c>
      <c r="F1935" s="44">
        <f t="shared" si="86"/>
        <v>742400</v>
      </c>
      <c r="G1935" s="45">
        <f t="shared" si="87"/>
        <v>10022400</v>
      </c>
      <c r="H1935" s="46"/>
      <c r="I1935" s="47">
        <f t="shared" si="88"/>
        <v>10022400</v>
      </c>
      <c r="J1935" s="48">
        <v>46188</v>
      </c>
      <c r="K1935" s="49" t="s">
        <v>3781</v>
      </c>
      <c r="L1935" s="50">
        <v>4190214702</v>
      </c>
    </row>
    <row r="1936" spans="1:19" s="2" customFormat="1" ht="15" customHeight="1" x14ac:dyDescent="0.35">
      <c r="A1936" s="85" t="s">
        <v>56</v>
      </c>
      <c r="B1936" s="86">
        <v>4796</v>
      </c>
      <c r="C1936" s="87"/>
      <c r="D1936" s="88">
        <v>46186</v>
      </c>
      <c r="E1936" s="43">
        <v>1280000</v>
      </c>
      <c r="F1936" s="43">
        <f t="shared" si="86"/>
        <v>102400</v>
      </c>
      <c r="G1936" s="182">
        <f t="shared" si="87"/>
        <v>1382400</v>
      </c>
      <c r="H1936" s="46"/>
      <c r="I1936" s="183">
        <f t="shared" si="88"/>
        <v>1382400</v>
      </c>
      <c r="J1936" s="184">
        <v>46188</v>
      </c>
      <c r="K1936" s="49" t="s">
        <v>3781</v>
      </c>
      <c r="L1936" s="50">
        <v>4190167720</v>
      </c>
      <c r="S1936" s="53"/>
    </row>
    <row r="1937" spans="1:12" ht="15" customHeight="1" x14ac:dyDescent="0.35">
      <c r="A1937" s="85" t="s">
        <v>63</v>
      </c>
      <c r="B1937" s="86">
        <v>4797</v>
      </c>
      <c r="C1937" s="87"/>
      <c r="D1937" s="88">
        <v>46186</v>
      </c>
      <c r="E1937" s="43">
        <v>640000</v>
      </c>
      <c r="F1937" s="44">
        <f t="shared" si="86"/>
        <v>51200</v>
      </c>
      <c r="G1937" s="45">
        <f t="shared" si="87"/>
        <v>691200</v>
      </c>
      <c r="H1937" s="46"/>
      <c r="I1937" s="47">
        <f t="shared" si="88"/>
        <v>691200</v>
      </c>
      <c r="J1937" s="48">
        <v>46188</v>
      </c>
      <c r="K1937" s="49" t="s">
        <v>3781</v>
      </c>
      <c r="L1937" s="50">
        <v>4190168168</v>
      </c>
    </row>
    <row r="1938" spans="1:12" ht="15" customHeight="1" x14ac:dyDescent="0.35">
      <c r="A1938" s="85" t="s">
        <v>29</v>
      </c>
      <c r="B1938" s="86">
        <v>4798</v>
      </c>
      <c r="C1938" s="87"/>
      <c r="D1938" s="88">
        <v>46186</v>
      </c>
      <c r="E1938" s="43">
        <v>1040000</v>
      </c>
      <c r="F1938" s="44">
        <f t="shared" si="86"/>
        <v>83200</v>
      </c>
      <c r="G1938" s="45">
        <f t="shared" si="87"/>
        <v>1123200</v>
      </c>
      <c r="H1938" s="46"/>
      <c r="I1938" s="47">
        <f t="shared" si="88"/>
        <v>1123200</v>
      </c>
      <c r="J1938" s="48">
        <v>46188</v>
      </c>
      <c r="K1938" s="49" t="s">
        <v>3781</v>
      </c>
      <c r="L1938" s="50">
        <v>4190153277</v>
      </c>
    </row>
    <row r="1939" spans="1:12" ht="15" customHeight="1" x14ac:dyDescent="0.35">
      <c r="A1939" s="85" t="s">
        <v>29</v>
      </c>
      <c r="B1939" s="86">
        <v>4799</v>
      </c>
      <c r="C1939" s="87"/>
      <c r="D1939" s="88">
        <v>46186</v>
      </c>
      <c r="E1939" s="43">
        <v>7920000</v>
      </c>
      <c r="F1939" s="44">
        <f t="shared" si="86"/>
        <v>633600</v>
      </c>
      <c r="G1939" s="45">
        <f t="shared" si="87"/>
        <v>8553600</v>
      </c>
      <c r="H1939" s="46"/>
      <c r="I1939" s="47">
        <f t="shared" si="88"/>
        <v>8553600</v>
      </c>
      <c r="J1939" s="48">
        <v>46188</v>
      </c>
      <c r="K1939" s="49" t="s">
        <v>3781</v>
      </c>
      <c r="L1939" s="50">
        <v>4190169565</v>
      </c>
    </row>
    <row r="1940" spans="1:12" ht="15" customHeight="1" x14ac:dyDescent="0.35">
      <c r="A1940" s="85" t="s">
        <v>37</v>
      </c>
      <c r="B1940" s="86">
        <v>4800</v>
      </c>
      <c r="C1940" s="87"/>
      <c r="D1940" s="88">
        <v>46186</v>
      </c>
      <c r="E1940" s="43">
        <v>1280000</v>
      </c>
      <c r="F1940" s="44">
        <f t="shared" si="86"/>
        <v>102400</v>
      </c>
      <c r="G1940" s="45">
        <f t="shared" si="87"/>
        <v>1382400</v>
      </c>
      <c r="H1940" s="46"/>
      <c r="I1940" s="47">
        <f t="shared" si="88"/>
        <v>1382400</v>
      </c>
      <c r="J1940" s="48">
        <v>46188</v>
      </c>
      <c r="K1940" s="49" t="s">
        <v>3781</v>
      </c>
      <c r="L1940" s="50">
        <v>4190153224</v>
      </c>
    </row>
    <row r="1941" spans="1:12" ht="15" customHeight="1" x14ac:dyDescent="0.35">
      <c r="A1941" s="85" t="s">
        <v>33</v>
      </c>
      <c r="B1941" s="86">
        <v>4801</v>
      </c>
      <c r="C1941" s="87"/>
      <c r="D1941" s="88">
        <v>46186</v>
      </c>
      <c r="E1941" s="43">
        <v>2880000</v>
      </c>
      <c r="F1941" s="44">
        <f t="shared" si="86"/>
        <v>230400</v>
      </c>
      <c r="G1941" s="45">
        <f t="shared" si="87"/>
        <v>3110400</v>
      </c>
      <c r="H1941" s="46"/>
      <c r="I1941" s="47">
        <f t="shared" si="88"/>
        <v>3110400</v>
      </c>
      <c r="J1941" s="48">
        <v>46203</v>
      </c>
      <c r="K1941" s="49" t="s">
        <v>3781</v>
      </c>
      <c r="L1941" s="50">
        <v>4901299148</v>
      </c>
    </row>
    <row r="1942" spans="1:12" ht="15" customHeight="1" x14ac:dyDescent="0.35">
      <c r="A1942" s="114" t="s">
        <v>33</v>
      </c>
      <c r="B1942" s="115">
        <v>4802</v>
      </c>
      <c r="C1942" s="116">
        <v>5015</v>
      </c>
      <c r="D1942" s="117">
        <v>46192</v>
      </c>
      <c r="E1942" s="59">
        <v>32096000</v>
      </c>
      <c r="F1942" s="44">
        <f t="shared" si="86"/>
        <v>2567680</v>
      </c>
      <c r="G1942" s="61">
        <f t="shared" si="87"/>
        <v>34663680</v>
      </c>
      <c r="H1942" s="59"/>
      <c r="I1942" s="62">
        <f t="shared" si="88"/>
        <v>34663680</v>
      </c>
      <c r="J1942" s="48">
        <v>46203</v>
      </c>
      <c r="K1942" s="64" t="s">
        <v>3781</v>
      </c>
      <c r="L1942" s="65">
        <v>4901298867</v>
      </c>
    </row>
    <row r="1943" spans="1:12" ht="15" customHeight="1" x14ac:dyDescent="0.35">
      <c r="A1943" s="85" t="s">
        <v>29</v>
      </c>
      <c r="B1943" s="86">
        <v>4803</v>
      </c>
      <c r="C1943" s="87"/>
      <c r="D1943" s="88">
        <v>46186</v>
      </c>
      <c r="E1943" s="43">
        <v>13850000</v>
      </c>
      <c r="F1943" s="44">
        <f t="shared" si="86"/>
        <v>1108000</v>
      </c>
      <c r="G1943" s="45">
        <f t="shared" si="87"/>
        <v>14958000</v>
      </c>
      <c r="H1943" s="46"/>
      <c r="I1943" s="47">
        <f t="shared" si="88"/>
        <v>14958000</v>
      </c>
      <c r="J1943" s="48">
        <v>46188</v>
      </c>
      <c r="K1943" s="49" t="s">
        <v>3781</v>
      </c>
      <c r="L1943" s="50">
        <v>4190295168</v>
      </c>
    </row>
    <row r="1944" spans="1:12" ht="15" customHeight="1" x14ac:dyDescent="0.35">
      <c r="A1944" s="85" t="s">
        <v>63</v>
      </c>
      <c r="B1944" s="86">
        <v>4804</v>
      </c>
      <c r="C1944" s="87"/>
      <c r="D1944" s="88">
        <v>46186</v>
      </c>
      <c r="E1944" s="43">
        <v>960000</v>
      </c>
      <c r="F1944" s="44">
        <f t="shared" si="86"/>
        <v>76800</v>
      </c>
      <c r="G1944" s="45">
        <f t="shared" si="87"/>
        <v>1036800</v>
      </c>
      <c r="H1944" s="46"/>
      <c r="I1944" s="47">
        <f t="shared" si="88"/>
        <v>1036800</v>
      </c>
      <c r="J1944" s="48">
        <v>46203</v>
      </c>
      <c r="K1944" s="49" t="s">
        <v>3781</v>
      </c>
      <c r="L1944" s="50">
        <v>4190299907</v>
      </c>
    </row>
    <row r="1945" spans="1:12" ht="15" customHeight="1" x14ac:dyDescent="0.35">
      <c r="A1945" s="85" t="s">
        <v>56</v>
      </c>
      <c r="B1945" s="86">
        <v>4805</v>
      </c>
      <c r="C1945" s="87"/>
      <c r="D1945" s="88">
        <v>46186</v>
      </c>
      <c r="E1945" s="43">
        <v>1600000</v>
      </c>
      <c r="F1945" s="44">
        <f t="shared" si="86"/>
        <v>128000</v>
      </c>
      <c r="G1945" s="45">
        <f t="shared" si="87"/>
        <v>1728000</v>
      </c>
      <c r="H1945" s="46"/>
      <c r="I1945" s="47">
        <f t="shared" si="88"/>
        <v>1728000</v>
      </c>
      <c r="J1945" s="48">
        <v>46188</v>
      </c>
      <c r="K1945" s="49" t="s">
        <v>3781</v>
      </c>
      <c r="L1945" s="50">
        <v>4190299763</v>
      </c>
    </row>
    <row r="1946" spans="1:12" ht="15" customHeight="1" x14ac:dyDescent="0.35">
      <c r="A1946" s="85" t="s">
        <v>85</v>
      </c>
      <c r="B1946" s="86">
        <v>4806</v>
      </c>
      <c r="C1946" s="87"/>
      <c r="D1946" s="88">
        <v>46186</v>
      </c>
      <c r="E1946" s="43">
        <v>5600000</v>
      </c>
      <c r="F1946" s="44">
        <f t="shared" si="86"/>
        <v>448000</v>
      </c>
      <c r="G1946" s="45">
        <f t="shared" si="87"/>
        <v>6048000</v>
      </c>
      <c r="H1946" s="46"/>
      <c r="I1946" s="47">
        <f t="shared" si="88"/>
        <v>6048000</v>
      </c>
      <c r="J1946" s="48">
        <v>46188</v>
      </c>
      <c r="K1946" s="49" t="s">
        <v>3781</v>
      </c>
      <c r="L1946" s="50">
        <v>4190299747</v>
      </c>
    </row>
    <row r="1947" spans="1:12" ht="15" customHeight="1" x14ac:dyDescent="0.35">
      <c r="A1947" s="85" t="s">
        <v>63</v>
      </c>
      <c r="B1947" s="86">
        <v>4808</v>
      </c>
      <c r="C1947" s="87"/>
      <c r="D1947" s="88">
        <v>46186</v>
      </c>
      <c r="E1947" s="43">
        <v>3360000</v>
      </c>
      <c r="F1947" s="44">
        <f t="shared" si="86"/>
        <v>268800</v>
      </c>
      <c r="G1947" s="45">
        <f t="shared" si="87"/>
        <v>3628800</v>
      </c>
      <c r="H1947" s="46"/>
      <c r="I1947" s="47">
        <f t="shared" si="88"/>
        <v>3628800</v>
      </c>
      <c r="J1947" s="48">
        <v>46203</v>
      </c>
      <c r="K1947" s="49" t="s">
        <v>3781</v>
      </c>
      <c r="L1947" s="50">
        <v>4190245872</v>
      </c>
    </row>
    <row r="1948" spans="1:12" ht="15" customHeight="1" x14ac:dyDescent="0.35">
      <c r="A1948" s="85" t="s">
        <v>37</v>
      </c>
      <c r="B1948" s="86">
        <v>4809</v>
      </c>
      <c r="C1948" s="87"/>
      <c r="D1948" s="88">
        <v>46186</v>
      </c>
      <c r="E1948" s="43">
        <v>4240000</v>
      </c>
      <c r="F1948" s="44">
        <f t="shared" si="86"/>
        <v>339200</v>
      </c>
      <c r="G1948" s="45">
        <f t="shared" si="87"/>
        <v>4579200</v>
      </c>
      <c r="H1948" s="46"/>
      <c r="I1948" s="47">
        <f t="shared" si="88"/>
        <v>4579200</v>
      </c>
      <c r="J1948" s="48">
        <v>46188</v>
      </c>
      <c r="K1948" s="49" t="s">
        <v>3781</v>
      </c>
      <c r="L1948" s="50">
        <v>4190299727</v>
      </c>
    </row>
    <row r="1949" spans="1:12" ht="15" customHeight="1" x14ac:dyDescent="0.35">
      <c r="A1949" s="85" t="s">
        <v>85</v>
      </c>
      <c r="B1949" s="86">
        <v>4810</v>
      </c>
      <c r="C1949" s="87"/>
      <c r="D1949" s="88">
        <v>46186</v>
      </c>
      <c r="E1949" s="43">
        <v>1200000</v>
      </c>
      <c r="F1949" s="44">
        <f t="shared" si="86"/>
        <v>96000</v>
      </c>
      <c r="G1949" s="45">
        <f t="shared" si="87"/>
        <v>1296000</v>
      </c>
      <c r="H1949" s="46"/>
      <c r="I1949" s="47">
        <f t="shared" si="88"/>
        <v>1296000</v>
      </c>
      <c r="J1949" s="48">
        <v>46188</v>
      </c>
      <c r="K1949" s="49" t="s">
        <v>3781</v>
      </c>
      <c r="L1949" s="50">
        <v>4190245842</v>
      </c>
    </row>
    <row r="1950" spans="1:12" ht="15" customHeight="1" x14ac:dyDescent="0.35">
      <c r="A1950" s="85" t="s">
        <v>123</v>
      </c>
      <c r="B1950" s="86">
        <v>4811</v>
      </c>
      <c r="C1950" s="87"/>
      <c r="D1950" s="88">
        <v>46186</v>
      </c>
      <c r="E1950" s="43">
        <v>5600000</v>
      </c>
      <c r="F1950" s="44">
        <f t="shared" si="86"/>
        <v>448000</v>
      </c>
      <c r="G1950" s="45">
        <f t="shared" si="87"/>
        <v>6048000</v>
      </c>
      <c r="H1950" s="46"/>
      <c r="I1950" s="47">
        <f t="shared" si="88"/>
        <v>6048000</v>
      </c>
      <c r="J1950" s="48">
        <v>46188</v>
      </c>
      <c r="K1950" s="49" t="s">
        <v>3781</v>
      </c>
      <c r="L1950" s="50">
        <v>4190245482</v>
      </c>
    </row>
    <row r="1951" spans="1:12" ht="15" customHeight="1" x14ac:dyDescent="0.35">
      <c r="A1951" s="85" t="s">
        <v>37</v>
      </c>
      <c r="B1951" s="86">
        <v>4812</v>
      </c>
      <c r="C1951" s="87"/>
      <c r="D1951" s="88">
        <v>46186</v>
      </c>
      <c r="E1951" s="43">
        <v>4736000</v>
      </c>
      <c r="F1951" s="44">
        <f t="shared" si="86"/>
        <v>378880</v>
      </c>
      <c r="G1951" s="45">
        <f t="shared" si="87"/>
        <v>5114880</v>
      </c>
      <c r="H1951" s="46"/>
      <c r="I1951" s="47">
        <f t="shared" si="88"/>
        <v>5114880</v>
      </c>
      <c r="J1951" s="48">
        <v>46188</v>
      </c>
      <c r="K1951" s="49" t="s">
        <v>3781</v>
      </c>
      <c r="L1951" s="50">
        <v>4190245815</v>
      </c>
    </row>
    <row r="1952" spans="1:12" ht="15" customHeight="1" x14ac:dyDescent="0.35">
      <c r="A1952" s="85" t="s">
        <v>29</v>
      </c>
      <c r="B1952" s="86">
        <v>4813</v>
      </c>
      <c r="C1952" s="87"/>
      <c r="D1952" s="88">
        <v>46186</v>
      </c>
      <c r="E1952" s="43">
        <v>5760000</v>
      </c>
      <c r="F1952" s="44">
        <f t="shared" si="86"/>
        <v>460800</v>
      </c>
      <c r="G1952" s="45">
        <f t="shared" si="87"/>
        <v>6220800</v>
      </c>
      <c r="H1952" s="46"/>
      <c r="I1952" s="47">
        <f t="shared" si="88"/>
        <v>6220800</v>
      </c>
      <c r="J1952" s="48">
        <v>46188</v>
      </c>
      <c r="K1952" s="49" t="s">
        <v>3781</v>
      </c>
      <c r="L1952" s="50">
        <v>4190336602</v>
      </c>
    </row>
    <row r="1953" spans="1:19" ht="15" customHeight="1" x14ac:dyDescent="0.35">
      <c r="A1953" s="85" t="s">
        <v>29</v>
      </c>
      <c r="B1953" s="86">
        <v>4814</v>
      </c>
      <c r="C1953" s="87"/>
      <c r="D1953" s="88">
        <v>46186</v>
      </c>
      <c r="E1953" s="43">
        <v>1600000</v>
      </c>
      <c r="F1953" s="44">
        <f t="shared" si="86"/>
        <v>128000</v>
      </c>
      <c r="G1953" s="45">
        <f t="shared" si="87"/>
        <v>1728000</v>
      </c>
      <c r="H1953" s="46"/>
      <c r="I1953" s="47">
        <f t="shared" si="88"/>
        <v>1728000</v>
      </c>
      <c r="J1953" s="48">
        <v>46188</v>
      </c>
      <c r="K1953" s="49" t="s">
        <v>3781</v>
      </c>
      <c r="L1953" s="50">
        <v>4190369960</v>
      </c>
    </row>
    <row r="1954" spans="1:19" ht="15" customHeight="1" x14ac:dyDescent="0.35">
      <c r="A1954" s="114" t="s">
        <v>123</v>
      </c>
      <c r="B1954" s="115">
        <v>4815</v>
      </c>
      <c r="C1954" s="116">
        <v>5016</v>
      </c>
      <c r="D1954" s="117">
        <v>46192</v>
      </c>
      <c r="E1954" s="59">
        <v>6048000</v>
      </c>
      <c r="F1954" s="44">
        <f t="shared" si="86"/>
        <v>483840</v>
      </c>
      <c r="G1954" s="61">
        <f t="shared" si="87"/>
        <v>6531840</v>
      </c>
      <c r="H1954" s="59"/>
      <c r="I1954" s="62">
        <f t="shared" si="88"/>
        <v>6531840</v>
      </c>
      <c r="J1954" s="48">
        <v>46203</v>
      </c>
      <c r="K1954" s="64" t="s">
        <v>3781</v>
      </c>
      <c r="L1954" s="65">
        <v>4190296940</v>
      </c>
    </row>
    <row r="1955" spans="1:19" ht="15" customHeight="1" x14ac:dyDescent="0.35">
      <c r="A1955" s="85" t="s">
        <v>37</v>
      </c>
      <c r="B1955" s="86">
        <v>4816</v>
      </c>
      <c r="C1955" s="87"/>
      <c r="D1955" s="88">
        <v>46186</v>
      </c>
      <c r="E1955" s="43">
        <v>1680000</v>
      </c>
      <c r="F1955" s="44">
        <f t="shared" si="86"/>
        <v>134400</v>
      </c>
      <c r="G1955" s="45">
        <f t="shared" si="87"/>
        <v>1814400</v>
      </c>
      <c r="H1955" s="46"/>
      <c r="I1955" s="47">
        <f t="shared" si="88"/>
        <v>1814400</v>
      </c>
      <c r="J1955" s="48">
        <v>46188</v>
      </c>
      <c r="K1955" s="49" t="s">
        <v>3781</v>
      </c>
      <c r="L1955" s="50">
        <v>4190383347</v>
      </c>
    </row>
    <row r="1956" spans="1:19" ht="15" customHeight="1" x14ac:dyDescent="0.35">
      <c r="A1956" s="85" t="s">
        <v>123</v>
      </c>
      <c r="B1956" s="86">
        <v>4817</v>
      </c>
      <c r="C1956" s="87"/>
      <c r="D1956" s="88">
        <v>46186</v>
      </c>
      <c r="E1956" s="43">
        <v>1680000</v>
      </c>
      <c r="F1956" s="44">
        <f t="shared" si="86"/>
        <v>134400</v>
      </c>
      <c r="G1956" s="45">
        <f t="shared" si="87"/>
        <v>1814400</v>
      </c>
      <c r="H1956" s="46"/>
      <c r="I1956" s="47">
        <f t="shared" si="88"/>
        <v>1814400</v>
      </c>
      <c r="J1956" s="48">
        <v>46188</v>
      </c>
      <c r="K1956" s="49" t="s">
        <v>3781</v>
      </c>
      <c r="L1956" s="50">
        <v>4190383445</v>
      </c>
    </row>
    <row r="1957" spans="1:19" ht="15" customHeight="1" x14ac:dyDescent="0.35">
      <c r="A1957" s="85" t="s">
        <v>123</v>
      </c>
      <c r="B1957" s="86">
        <v>4818</v>
      </c>
      <c r="C1957" s="87"/>
      <c r="D1957" s="88">
        <v>46186</v>
      </c>
      <c r="E1957" s="43">
        <v>1920000</v>
      </c>
      <c r="F1957" s="44">
        <f t="shared" si="86"/>
        <v>153600</v>
      </c>
      <c r="G1957" s="45">
        <f t="shared" si="87"/>
        <v>2073600</v>
      </c>
      <c r="H1957" s="46"/>
      <c r="I1957" s="47">
        <f t="shared" si="88"/>
        <v>2073600</v>
      </c>
      <c r="J1957" s="48">
        <v>46188</v>
      </c>
      <c r="K1957" s="49" t="s">
        <v>3781</v>
      </c>
      <c r="L1957" s="50">
        <v>4190536616</v>
      </c>
    </row>
    <row r="1958" spans="1:19" ht="15" customHeight="1" x14ac:dyDescent="0.35">
      <c r="A1958" s="85" t="s">
        <v>123</v>
      </c>
      <c r="B1958" s="86">
        <v>4819</v>
      </c>
      <c r="C1958" s="87"/>
      <c r="D1958" s="88">
        <v>46186</v>
      </c>
      <c r="E1958" s="43">
        <v>768000</v>
      </c>
      <c r="F1958" s="44">
        <f t="shared" si="86"/>
        <v>61440</v>
      </c>
      <c r="G1958" s="45">
        <f t="shared" si="87"/>
        <v>829440</v>
      </c>
      <c r="H1958" s="46"/>
      <c r="I1958" s="47">
        <f t="shared" si="88"/>
        <v>829440</v>
      </c>
      <c r="J1958" s="48">
        <v>46188</v>
      </c>
      <c r="K1958" s="49" t="s">
        <v>3781</v>
      </c>
      <c r="L1958" s="50">
        <v>4190383459</v>
      </c>
    </row>
    <row r="1959" spans="1:19" ht="15" customHeight="1" x14ac:dyDescent="0.35">
      <c r="A1959" s="85" t="s">
        <v>123</v>
      </c>
      <c r="B1959" s="86">
        <v>4820</v>
      </c>
      <c r="C1959" s="87"/>
      <c r="D1959" s="88">
        <v>46186</v>
      </c>
      <c r="E1959" s="43">
        <v>2880000</v>
      </c>
      <c r="F1959" s="44">
        <f t="shared" si="86"/>
        <v>230400</v>
      </c>
      <c r="G1959" s="45">
        <f t="shared" si="87"/>
        <v>3110400</v>
      </c>
      <c r="H1959" s="46"/>
      <c r="I1959" s="47">
        <f t="shared" si="88"/>
        <v>3110400</v>
      </c>
      <c r="J1959" s="48">
        <v>46188</v>
      </c>
      <c r="K1959" s="49" t="s">
        <v>3781</v>
      </c>
      <c r="L1959" s="50">
        <v>4190299792</v>
      </c>
    </row>
    <row r="1960" spans="1:19" ht="15" customHeight="1" x14ac:dyDescent="0.35">
      <c r="A1960" s="85" t="s">
        <v>123</v>
      </c>
      <c r="B1960" s="86">
        <v>4821</v>
      </c>
      <c r="C1960" s="87"/>
      <c r="D1960" s="88">
        <v>46186</v>
      </c>
      <c r="E1960" s="43">
        <v>6810000</v>
      </c>
      <c r="F1960" s="44">
        <f t="shared" si="86"/>
        <v>544800</v>
      </c>
      <c r="G1960" s="45">
        <f t="shared" si="87"/>
        <v>7354800</v>
      </c>
      <c r="H1960" s="46"/>
      <c r="I1960" s="47">
        <f t="shared" si="88"/>
        <v>7354800</v>
      </c>
      <c r="J1960" s="48">
        <v>46188</v>
      </c>
      <c r="K1960" s="49" t="s">
        <v>3781</v>
      </c>
      <c r="L1960" s="50">
        <v>4190245841</v>
      </c>
    </row>
    <row r="1961" spans="1:19" ht="15" customHeight="1" x14ac:dyDescent="0.35">
      <c r="A1961" s="114" t="s">
        <v>85</v>
      </c>
      <c r="B1961" s="115">
        <v>4822</v>
      </c>
      <c r="C1961" s="116"/>
      <c r="D1961" s="117">
        <v>46186</v>
      </c>
      <c r="E1961" s="59">
        <v>800000</v>
      </c>
      <c r="F1961" s="44">
        <f t="shared" si="86"/>
        <v>64000</v>
      </c>
      <c r="G1961" s="61">
        <f t="shared" si="87"/>
        <v>864000</v>
      </c>
      <c r="H1961" s="59"/>
      <c r="I1961" s="62">
        <f t="shared" si="88"/>
        <v>864000</v>
      </c>
      <c r="J1961" s="48">
        <v>46188</v>
      </c>
      <c r="K1961" s="64" t="s">
        <v>3781</v>
      </c>
      <c r="L1961" s="65">
        <v>4190383512</v>
      </c>
    </row>
    <row r="1962" spans="1:19" ht="15" customHeight="1" x14ac:dyDescent="0.35">
      <c r="A1962" s="85" t="s">
        <v>37</v>
      </c>
      <c r="B1962" s="86">
        <v>4823</v>
      </c>
      <c r="C1962" s="87"/>
      <c r="D1962" s="88">
        <v>46186</v>
      </c>
      <c r="E1962" s="43">
        <v>1920000</v>
      </c>
      <c r="F1962" s="44">
        <f t="shared" si="86"/>
        <v>153600</v>
      </c>
      <c r="G1962" s="45">
        <f t="shared" si="87"/>
        <v>2073600</v>
      </c>
      <c r="H1962" s="46"/>
      <c r="I1962" s="47">
        <f t="shared" si="88"/>
        <v>2073600</v>
      </c>
      <c r="J1962" s="48">
        <v>46188</v>
      </c>
      <c r="K1962" s="49" t="s">
        <v>3781</v>
      </c>
      <c r="L1962" s="50">
        <v>4190575914</v>
      </c>
    </row>
    <row r="1963" spans="1:19" ht="15" customHeight="1" x14ac:dyDescent="0.35">
      <c r="A1963" s="85" t="s">
        <v>123</v>
      </c>
      <c r="B1963" s="86">
        <v>4824</v>
      </c>
      <c r="C1963" s="87"/>
      <c r="D1963" s="88">
        <v>46186</v>
      </c>
      <c r="E1963" s="43">
        <v>640000</v>
      </c>
      <c r="F1963" s="44">
        <f t="shared" si="86"/>
        <v>51200</v>
      </c>
      <c r="G1963" s="45">
        <f t="shared" si="87"/>
        <v>691200</v>
      </c>
      <c r="H1963" s="46"/>
      <c r="I1963" s="47">
        <f t="shared" si="88"/>
        <v>691200</v>
      </c>
      <c r="J1963" s="48">
        <v>46188</v>
      </c>
      <c r="K1963" s="49" t="s">
        <v>3781</v>
      </c>
      <c r="L1963" s="50">
        <v>4190474100</v>
      </c>
    </row>
    <row r="1964" spans="1:19" ht="15" customHeight="1" x14ac:dyDescent="0.35">
      <c r="A1964" s="114" t="s">
        <v>33</v>
      </c>
      <c r="B1964" s="115">
        <v>4825</v>
      </c>
      <c r="C1964" s="116"/>
      <c r="D1964" s="117">
        <v>46186</v>
      </c>
      <c r="E1964" s="59">
        <v>2368000</v>
      </c>
      <c r="F1964" s="44">
        <f t="shared" si="86"/>
        <v>189440</v>
      </c>
      <c r="G1964" s="61">
        <f t="shared" si="87"/>
        <v>2557440</v>
      </c>
      <c r="H1964" s="59"/>
      <c r="I1964" s="62">
        <f t="shared" si="88"/>
        <v>2557440</v>
      </c>
      <c r="J1964" s="48">
        <v>46203</v>
      </c>
      <c r="K1964" s="64" t="s">
        <v>3781</v>
      </c>
      <c r="L1964" s="65">
        <v>4901299476</v>
      </c>
    </row>
    <row r="1965" spans="1:19" ht="15" customHeight="1" x14ac:dyDescent="0.35">
      <c r="A1965" s="85" t="s">
        <v>3227</v>
      </c>
      <c r="B1965" s="86">
        <v>4826</v>
      </c>
      <c r="C1965" s="87"/>
      <c r="D1965" s="88">
        <v>46186</v>
      </c>
      <c r="E1965" s="43">
        <v>2240000</v>
      </c>
      <c r="F1965" s="44">
        <f t="shared" si="86"/>
        <v>179200</v>
      </c>
      <c r="G1965" s="45">
        <f t="shared" si="87"/>
        <v>2419200</v>
      </c>
      <c r="H1965" s="46"/>
      <c r="I1965" s="47">
        <f t="shared" si="88"/>
        <v>2419200</v>
      </c>
      <c r="J1965" s="48">
        <v>46203</v>
      </c>
      <c r="K1965" s="49" t="s">
        <v>3781</v>
      </c>
      <c r="L1965" s="50">
        <v>4190665959</v>
      </c>
    </row>
    <row r="1966" spans="1:19" ht="15" customHeight="1" x14ac:dyDescent="0.35">
      <c r="A1966" s="85" t="s">
        <v>29</v>
      </c>
      <c r="B1966" s="86">
        <v>4827</v>
      </c>
      <c r="C1966" s="87"/>
      <c r="D1966" s="88">
        <v>46186</v>
      </c>
      <c r="E1966" s="43">
        <v>4880000</v>
      </c>
      <c r="F1966" s="44">
        <f t="shared" si="86"/>
        <v>390400</v>
      </c>
      <c r="G1966" s="45">
        <f t="shared" si="87"/>
        <v>5270400</v>
      </c>
      <c r="H1966" s="46"/>
      <c r="I1966" s="47">
        <f t="shared" si="88"/>
        <v>5270400</v>
      </c>
      <c r="J1966" s="48">
        <v>46188</v>
      </c>
      <c r="K1966" s="49" t="s">
        <v>3781</v>
      </c>
      <c r="L1966" s="50">
        <v>4190666126</v>
      </c>
    </row>
    <row r="1967" spans="1:19" ht="15" customHeight="1" x14ac:dyDescent="0.35">
      <c r="A1967" s="85" t="s">
        <v>37</v>
      </c>
      <c r="B1967" s="86">
        <v>4828</v>
      </c>
      <c r="C1967" s="87"/>
      <c r="D1967" s="88">
        <v>46186</v>
      </c>
      <c r="E1967" s="43">
        <v>3520000</v>
      </c>
      <c r="F1967" s="44">
        <f t="shared" si="86"/>
        <v>281600</v>
      </c>
      <c r="G1967" s="45">
        <f t="shared" si="87"/>
        <v>3801600</v>
      </c>
      <c r="H1967" s="46"/>
      <c r="I1967" s="47">
        <f t="shared" si="88"/>
        <v>3801600</v>
      </c>
      <c r="J1967" s="48">
        <v>46188</v>
      </c>
      <c r="K1967" s="49" t="s">
        <v>3781</v>
      </c>
      <c r="L1967" s="50">
        <v>4190684051</v>
      </c>
    </row>
    <row r="1968" spans="1:19" s="82" customFormat="1" ht="15" customHeight="1" x14ac:dyDescent="0.35">
      <c r="A1968" s="91" t="s">
        <v>29</v>
      </c>
      <c r="B1968" s="92">
        <v>4829</v>
      </c>
      <c r="C1968" s="93"/>
      <c r="D1968" s="94">
        <v>46186</v>
      </c>
      <c r="E1968" s="74">
        <v>5080500</v>
      </c>
      <c r="F1968" s="44">
        <f t="shared" si="86"/>
        <v>406440</v>
      </c>
      <c r="G1968" s="54">
        <f t="shared" si="87"/>
        <v>5486940</v>
      </c>
      <c r="H1968" s="75"/>
      <c r="I1968" s="76">
        <f t="shared" si="88"/>
        <v>5486940</v>
      </c>
      <c r="J1968" s="77">
        <v>46188</v>
      </c>
      <c r="K1968" s="78"/>
      <c r="L1968" s="79">
        <v>4190754676</v>
      </c>
      <c r="S1968" s="83"/>
    </row>
    <row r="1969" spans="1:12" ht="15" customHeight="1" x14ac:dyDescent="0.35">
      <c r="A1969" s="85" t="s">
        <v>56</v>
      </c>
      <c r="B1969" s="86">
        <v>4830</v>
      </c>
      <c r="C1969" s="87"/>
      <c r="D1969" s="88">
        <v>46186</v>
      </c>
      <c r="E1969" s="43">
        <v>960000</v>
      </c>
      <c r="F1969" s="44">
        <f t="shared" si="86"/>
        <v>76800</v>
      </c>
      <c r="G1969" s="45">
        <f t="shared" si="87"/>
        <v>1036800</v>
      </c>
      <c r="H1969" s="46"/>
      <c r="I1969" s="47">
        <f t="shared" ref="I1969:I2202" si="89">G1969-H1969</f>
        <v>1036800</v>
      </c>
      <c r="J1969" s="48">
        <v>46188</v>
      </c>
      <c r="K1969" s="49" t="s">
        <v>3781</v>
      </c>
      <c r="L1969" s="50">
        <v>4190683996</v>
      </c>
    </row>
    <row r="1970" spans="1:12" ht="15" customHeight="1" x14ac:dyDescent="0.35">
      <c r="A1970" s="114" t="s">
        <v>85</v>
      </c>
      <c r="B1970" s="115">
        <v>4832</v>
      </c>
      <c r="C1970" s="116"/>
      <c r="D1970" s="117">
        <v>46186</v>
      </c>
      <c r="E1970" s="59">
        <v>576000</v>
      </c>
      <c r="F1970" s="44">
        <f t="shared" si="86"/>
        <v>46080</v>
      </c>
      <c r="G1970" s="61">
        <f t="shared" si="87"/>
        <v>622080</v>
      </c>
      <c r="H1970" s="59"/>
      <c r="I1970" s="62">
        <f t="shared" si="89"/>
        <v>622080</v>
      </c>
      <c r="J1970" s="48">
        <v>46188</v>
      </c>
      <c r="K1970" s="64" t="s">
        <v>3781</v>
      </c>
      <c r="L1970" s="65">
        <v>4190683952</v>
      </c>
    </row>
    <row r="1971" spans="1:12" ht="15" customHeight="1" x14ac:dyDescent="0.35">
      <c r="A1971" s="85" t="s">
        <v>29</v>
      </c>
      <c r="B1971" s="86">
        <v>4834</v>
      </c>
      <c r="C1971" s="87"/>
      <c r="D1971" s="88">
        <v>46186</v>
      </c>
      <c r="E1971" s="43">
        <v>3885000</v>
      </c>
      <c r="F1971" s="44">
        <f t="shared" si="86"/>
        <v>310800</v>
      </c>
      <c r="G1971" s="45">
        <f t="shared" si="87"/>
        <v>4195800</v>
      </c>
      <c r="H1971" s="46"/>
      <c r="I1971" s="47">
        <f t="shared" si="89"/>
        <v>4195800</v>
      </c>
      <c r="J1971" s="48">
        <v>46188</v>
      </c>
      <c r="K1971" s="49" t="s">
        <v>3781</v>
      </c>
      <c r="L1971" s="50">
        <v>4190754091</v>
      </c>
    </row>
    <row r="1972" spans="1:12" ht="15" customHeight="1" x14ac:dyDescent="0.35">
      <c r="A1972" s="85" t="s">
        <v>123</v>
      </c>
      <c r="B1972" s="86">
        <v>4835</v>
      </c>
      <c r="C1972" s="87"/>
      <c r="D1972" s="88">
        <v>46186</v>
      </c>
      <c r="E1972" s="43">
        <v>11760000</v>
      </c>
      <c r="F1972" s="44">
        <f t="shared" ref="F1972:F2202" si="90">+E1972*0.08</f>
        <v>940800</v>
      </c>
      <c r="G1972" s="45">
        <f t="shared" ref="G1972:G2202" si="91">E1972+F1972</f>
        <v>12700800</v>
      </c>
      <c r="H1972" s="46"/>
      <c r="I1972" s="47">
        <f t="shared" si="89"/>
        <v>12700800</v>
      </c>
      <c r="J1972" s="48">
        <v>46188</v>
      </c>
      <c r="K1972" s="49" t="s">
        <v>3781</v>
      </c>
      <c r="L1972" s="50">
        <v>4190683905</v>
      </c>
    </row>
    <row r="1973" spans="1:12" ht="15" customHeight="1" x14ac:dyDescent="0.35">
      <c r="A1973" s="114" t="s">
        <v>33</v>
      </c>
      <c r="B1973" s="115">
        <v>4836</v>
      </c>
      <c r="C1973" s="116"/>
      <c r="D1973" s="117">
        <v>46186</v>
      </c>
      <c r="E1973" s="59">
        <v>28780000</v>
      </c>
      <c r="F1973" s="44">
        <f t="shared" si="90"/>
        <v>2302400</v>
      </c>
      <c r="G1973" s="61">
        <f t="shared" si="91"/>
        <v>31082400</v>
      </c>
      <c r="H1973" s="59"/>
      <c r="I1973" s="62">
        <f t="shared" si="89"/>
        <v>31082400</v>
      </c>
      <c r="J1973" s="48">
        <v>46188</v>
      </c>
      <c r="K1973" s="64" t="s">
        <v>3781</v>
      </c>
      <c r="L1973" s="65">
        <v>4901299765</v>
      </c>
    </row>
    <row r="1974" spans="1:12" ht="15" customHeight="1" x14ac:dyDescent="0.35">
      <c r="A1974" s="85" t="s">
        <v>33</v>
      </c>
      <c r="B1974" s="86">
        <v>4837</v>
      </c>
      <c r="C1974" s="87"/>
      <c r="D1974" s="88">
        <v>46186</v>
      </c>
      <c r="E1974" s="43">
        <v>7184000</v>
      </c>
      <c r="F1974" s="44">
        <f t="shared" si="90"/>
        <v>574720</v>
      </c>
      <c r="G1974" s="45">
        <f t="shared" si="91"/>
        <v>7758720</v>
      </c>
      <c r="H1974" s="46"/>
      <c r="I1974" s="47">
        <f t="shared" si="89"/>
        <v>7758720</v>
      </c>
      <c r="J1974" s="48">
        <v>46188</v>
      </c>
      <c r="K1974" s="49" t="s">
        <v>3781</v>
      </c>
      <c r="L1974" s="50">
        <v>4901300056</v>
      </c>
    </row>
    <row r="1975" spans="1:12" ht="15" customHeight="1" x14ac:dyDescent="0.35">
      <c r="A1975" s="85" t="s">
        <v>56</v>
      </c>
      <c r="B1975" s="86">
        <v>4839</v>
      </c>
      <c r="C1975" s="87"/>
      <c r="D1975" s="88">
        <v>46186</v>
      </c>
      <c r="E1975" s="43">
        <v>1280000</v>
      </c>
      <c r="F1975" s="44">
        <f t="shared" si="90"/>
        <v>102400</v>
      </c>
      <c r="G1975" s="45">
        <f t="shared" si="91"/>
        <v>1382400</v>
      </c>
      <c r="H1975" s="46"/>
      <c r="I1975" s="47">
        <f t="shared" si="89"/>
        <v>1382400</v>
      </c>
      <c r="J1975" s="48">
        <v>46188</v>
      </c>
      <c r="K1975" s="49" t="s">
        <v>3781</v>
      </c>
      <c r="L1975" s="50">
        <v>4190951727</v>
      </c>
    </row>
    <row r="1976" spans="1:12" ht="15" customHeight="1" x14ac:dyDescent="0.35">
      <c r="A1976" s="85" t="s">
        <v>29</v>
      </c>
      <c r="B1976" s="86">
        <v>5310</v>
      </c>
      <c r="C1976" s="87"/>
      <c r="D1976" s="88">
        <v>46202</v>
      </c>
      <c r="E1976" s="43">
        <v>1280000</v>
      </c>
      <c r="F1976" s="44">
        <f t="shared" si="90"/>
        <v>102400</v>
      </c>
      <c r="G1976" s="45">
        <f t="shared" si="91"/>
        <v>1382400</v>
      </c>
      <c r="H1976" s="46"/>
      <c r="I1976" s="47">
        <f t="shared" si="89"/>
        <v>1382400</v>
      </c>
      <c r="J1976" s="48">
        <v>46203</v>
      </c>
      <c r="K1976" s="49" t="s">
        <v>3781</v>
      </c>
      <c r="L1976" s="50">
        <v>4190948937</v>
      </c>
    </row>
    <row r="1977" spans="1:12" ht="15" customHeight="1" x14ac:dyDescent="0.35">
      <c r="A1977" s="85" t="s">
        <v>33</v>
      </c>
      <c r="B1977" s="86">
        <v>4840</v>
      </c>
      <c r="C1977" s="87"/>
      <c r="D1977" s="88">
        <v>46186</v>
      </c>
      <c r="E1977" s="43">
        <v>4480000</v>
      </c>
      <c r="F1977" s="44">
        <f t="shared" si="90"/>
        <v>358400</v>
      </c>
      <c r="G1977" s="45">
        <f t="shared" si="91"/>
        <v>4838400</v>
      </c>
      <c r="H1977" s="46"/>
      <c r="I1977" s="47">
        <f t="shared" si="89"/>
        <v>4838400</v>
      </c>
      <c r="J1977" s="48">
        <v>46188</v>
      </c>
      <c r="K1977" s="49" t="s">
        <v>3781</v>
      </c>
      <c r="L1977" s="50">
        <v>4901300516</v>
      </c>
    </row>
    <row r="1978" spans="1:12" ht="15" customHeight="1" x14ac:dyDescent="0.35">
      <c r="A1978" s="85" t="s">
        <v>123</v>
      </c>
      <c r="B1978" s="86">
        <v>4841</v>
      </c>
      <c r="C1978" s="87"/>
      <c r="D1978" s="88">
        <v>46186</v>
      </c>
      <c r="E1978" s="43">
        <v>1280000</v>
      </c>
      <c r="F1978" s="44">
        <f t="shared" si="90"/>
        <v>102400</v>
      </c>
      <c r="G1978" s="45">
        <f t="shared" si="91"/>
        <v>1382400</v>
      </c>
      <c r="H1978" s="46"/>
      <c r="I1978" s="47">
        <f t="shared" si="89"/>
        <v>1382400</v>
      </c>
      <c r="J1978" s="48">
        <v>46188</v>
      </c>
      <c r="K1978" s="49" t="s">
        <v>3781</v>
      </c>
      <c r="L1978" s="50">
        <v>4190952958</v>
      </c>
    </row>
    <row r="1979" spans="1:12" ht="15" customHeight="1" x14ac:dyDescent="0.35">
      <c r="A1979" s="85" t="s">
        <v>123</v>
      </c>
      <c r="B1979" s="86">
        <v>4842</v>
      </c>
      <c r="C1979" s="87"/>
      <c r="D1979" s="88">
        <v>46186</v>
      </c>
      <c r="E1979" s="43">
        <v>480000</v>
      </c>
      <c r="F1979" s="44">
        <f t="shared" si="90"/>
        <v>38400</v>
      </c>
      <c r="G1979" s="45">
        <f t="shared" si="91"/>
        <v>518400</v>
      </c>
      <c r="H1979" s="46"/>
      <c r="I1979" s="47">
        <f t="shared" si="89"/>
        <v>518400</v>
      </c>
      <c r="J1979" s="48">
        <v>46188</v>
      </c>
      <c r="K1979" s="49" t="s">
        <v>3781</v>
      </c>
      <c r="L1979" s="50">
        <v>4190653740</v>
      </c>
    </row>
    <row r="1980" spans="1:12" ht="15" customHeight="1" x14ac:dyDescent="0.35">
      <c r="A1980" s="85" t="s">
        <v>123</v>
      </c>
      <c r="B1980" s="86">
        <v>4843</v>
      </c>
      <c r="C1980" s="87"/>
      <c r="D1980" s="88">
        <v>46186</v>
      </c>
      <c r="E1980" s="43">
        <v>4640000</v>
      </c>
      <c r="F1980" s="44">
        <f t="shared" si="90"/>
        <v>371200</v>
      </c>
      <c r="G1980" s="45">
        <f t="shared" si="91"/>
        <v>5011200</v>
      </c>
      <c r="H1980" s="46"/>
      <c r="I1980" s="47">
        <f t="shared" si="89"/>
        <v>5011200</v>
      </c>
      <c r="J1980" s="48">
        <v>46188</v>
      </c>
      <c r="K1980" s="49" t="s">
        <v>3781</v>
      </c>
      <c r="L1980" s="50">
        <v>4190684049</v>
      </c>
    </row>
    <row r="1981" spans="1:12" ht="15" customHeight="1" x14ac:dyDescent="0.35">
      <c r="A1981" s="85" t="s">
        <v>37</v>
      </c>
      <c r="B1981" s="86">
        <v>5311</v>
      </c>
      <c r="C1981" s="87"/>
      <c r="D1981" s="88">
        <v>46202</v>
      </c>
      <c r="E1981" s="43">
        <v>3776000</v>
      </c>
      <c r="F1981" s="44">
        <f t="shared" si="90"/>
        <v>302080</v>
      </c>
      <c r="G1981" s="45">
        <f t="shared" si="91"/>
        <v>4078080</v>
      </c>
      <c r="H1981" s="46"/>
      <c r="I1981" s="47">
        <f t="shared" si="89"/>
        <v>4078080</v>
      </c>
      <c r="J1981" s="48">
        <v>46203</v>
      </c>
      <c r="K1981" s="49" t="s">
        <v>3781</v>
      </c>
      <c r="L1981" s="50">
        <v>4190957766</v>
      </c>
    </row>
    <row r="1982" spans="1:12" ht="15" customHeight="1" x14ac:dyDescent="0.35">
      <c r="A1982" s="85" t="s">
        <v>85</v>
      </c>
      <c r="B1982" s="86">
        <v>5312</v>
      </c>
      <c r="C1982" s="87"/>
      <c r="D1982" s="88">
        <v>46202</v>
      </c>
      <c r="E1982" s="43">
        <v>640000</v>
      </c>
      <c r="F1982" s="44">
        <f t="shared" si="90"/>
        <v>51200</v>
      </c>
      <c r="G1982" s="45">
        <f t="shared" si="91"/>
        <v>691200</v>
      </c>
      <c r="H1982" s="46"/>
      <c r="I1982" s="47">
        <f t="shared" si="89"/>
        <v>691200</v>
      </c>
      <c r="J1982" s="48">
        <v>46203</v>
      </c>
      <c r="K1982" s="49" t="s">
        <v>3781</v>
      </c>
      <c r="L1982" s="50">
        <v>4190957831</v>
      </c>
    </row>
    <row r="1983" spans="1:12" ht="15" customHeight="1" x14ac:dyDescent="0.35">
      <c r="A1983" s="85" t="s">
        <v>3227</v>
      </c>
      <c r="B1983" s="86">
        <v>5313</v>
      </c>
      <c r="C1983" s="87"/>
      <c r="D1983" s="88">
        <v>46202</v>
      </c>
      <c r="E1983" s="43">
        <v>864000</v>
      </c>
      <c r="F1983" s="44">
        <f t="shared" si="90"/>
        <v>69120</v>
      </c>
      <c r="G1983" s="45">
        <f t="shared" si="91"/>
        <v>933120</v>
      </c>
      <c r="H1983" s="46"/>
      <c r="I1983" s="47">
        <f t="shared" si="89"/>
        <v>933120</v>
      </c>
      <c r="J1983" s="48">
        <v>46203</v>
      </c>
      <c r="K1983" s="49" t="s">
        <v>3781</v>
      </c>
      <c r="L1983" s="50">
        <v>4190996681</v>
      </c>
    </row>
    <row r="1984" spans="1:12" ht="15" customHeight="1" x14ac:dyDescent="0.35">
      <c r="A1984" s="85" t="s">
        <v>29</v>
      </c>
      <c r="B1984" s="86">
        <v>5314</v>
      </c>
      <c r="C1984" s="87"/>
      <c r="D1984" s="88">
        <v>46202</v>
      </c>
      <c r="E1984" s="43">
        <v>960000</v>
      </c>
      <c r="F1984" s="44">
        <f t="shared" si="90"/>
        <v>76800</v>
      </c>
      <c r="G1984" s="45">
        <f t="shared" si="91"/>
        <v>1036800</v>
      </c>
      <c r="H1984" s="46"/>
      <c r="I1984" s="47">
        <f t="shared" si="89"/>
        <v>1036800</v>
      </c>
      <c r="J1984" s="48">
        <v>46203</v>
      </c>
      <c r="K1984" s="49" t="s">
        <v>3781</v>
      </c>
      <c r="L1984" s="50">
        <v>4191014504</v>
      </c>
    </row>
    <row r="1985" spans="1:12" ht="15" customHeight="1" x14ac:dyDescent="0.35">
      <c r="A1985" s="85" t="s">
        <v>56</v>
      </c>
      <c r="B1985" s="86">
        <v>5315</v>
      </c>
      <c r="C1985" s="87"/>
      <c r="D1985" s="88">
        <v>46202</v>
      </c>
      <c r="E1985" s="43">
        <v>3101000</v>
      </c>
      <c r="F1985" s="44">
        <f t="shared" si="90"/>
        <v>248080</v>
      </c>
      <c r="G1985" s="45">
        <f t="shared" si="91"/>
        <v>3349080</v>
      </c>
      <c r="H1985" s="46"/>
      <c r="I1985" s="47">
        <f t="shared" si="89"/>
        <v>3349080</v>
      </c>
      <c r="J1985" s="48">
        <v>46203</v>
      </c>
      <c r="K1985" s="49" t="s">
        <v>3781</v>
      </c>
      <c r="L1985" s="50">
        <v>4190958072</v>
      </c>
    </row>
    <row r="1986" spans="1:12" ht="15" customHeight="1" x14ac:dyDescent="0.35">
      <c r="A1986" s="85" t="s">
        <v>63</v>
      </c>
      <c r="B1986" s="86">
        <v>5317</v>
      </c>
      <c r="C1986" s="87"/>
      <c r="D1986" s="88">
        <v>46202</v>
      </c>
      <c r="E1986" s="43">
        <v>520000</v>
      </c>
      <c r="F1986" s="44">
        <f t="shared" si="90"/>
        <v>41600</v>
      </c>
      <c r="G1986" s="45">
        <f t="shared" si="91"/>
        <v>561600</v>
      </c>
      <c r="H1986" s="46"/>
      <c r="I1986" s="47">
        <f t="shared" si="89"/>
        <v>561600</v>
      </c>
      <c r="J1986" s="48">
        <v>46203</v>
      </c>
      <c r="K1986" s="49" t="s">
        <v>3781</v>
      </c>
      <c r="L1986" s="50">
        <v>4190958060</v>
      </c>
    </row>
    <row r="1987" spans="1:12" ht="15" customHeight="1" x14ac:dyDescent="0.35">
      <c r="A1987" s="85" t="s">
        <v>29</v>
      </c>
      <c r="B1987" s="86">
        <v>5319</v>
      </c>
      <c r="C1987" s="87"/>
      <c r="D1987" s="88">
        <v>46202</v>
      </c>
      <c r="E1987" s="43">
        <v>2344500</v>
      </c>
      <c r="F1987" s="44">
        <f t="shared" si="90"/>
        <v>187560</v>
      </c>
      <c r="G1987" s="45">
        <f t="shared" si="91"/>
        <v>2532060</v>
      </c>
      <c r="H1987" s="46"/>
      <c r="I1987" s="47">
        <f t="shared" si="89"/>
        <v>2532060</v>
      </c>
      <c r="J1987" s="48">
        <v>46203</v>
      </c>
      <c r="K1987" s="49" t="s">
        <v>3781</v>
      </c>
      <c r="L1987" s="50">
        <v>4190997432</v>
      </c>
    </row>
    <row r="1988" spans="1:12" ht="15" customHeight="1" x14ac:dyDescent="0.35">
      <c r="A1988" s="85" t="s">
        <v>123</v>
      </c>
      <c r="B1988" s="86">
        <v>5320</v>
      </c>
      <c r="C1988" s="87"/>
      <c r="D1988" s="88">
        <v>46202</v>
      </c>
      <c r="E1988" s="43">
        <v>7232500</v>
      </c>
      <c r="F1988" s="44">
        <f t="shared" si="90"/>
        <v>578600</v>
      </c>
      <c r="G1988" s="45">
        <f t="shared" si="91"/>
        <v>7811100</v>
      </c>
      <c r="H1988" s="46"/>
      <c r="I1988" s="47">
        <f t="shared" si="89"/>
        <v>7811100</v>
      </c>
      <c r="J1988" s="48">
        <v>46203</v>
      </c>
      <c r="K1988" s="49" t="s">
        <v>3781</v>
      </c>
      <c r="L1988" s="50">
        <v>4190957970</v>
      </c>
    </row>
    <row r="1989" spans="1:12" ht="15" customHeight="1" x14ac:dyDescent="0.35">
      <c r="A1989" s="85" t="s">
        <v>63</v>
      </c>
      <c r="B1989" s="86">
        <v>5321</v>
      </c>
      <c r="C1989" s="87"/>
      <c r="D1989" s="88">
        <v>46202</v>
      </c>
      <c r="E1989" s="43">
        <v>421200</v>
      </c>
      <c r="F1989" s="44">
        <f t="shared" si="90"/>
        <v>33696</v>
      </c>
      <c r="G1989" s="45">
        <f t="shared" si="91"/>
        <v>454896</v>
      </c>
      <c r="H1989" s="46"/>
      <c r="I1989" s="47">
        <f t="shared" si="89"/>
        <v>454896</v>
      </c>
      <c r="J1989" s="48">
        <v>46203</v>
      </c>
      <c r="K1989" s="49" t="s">
        <v>3781</v>
      </c>
      <c r="L1989" s="50">
        <v>4190987271</v>
      </c>
    </row>
    <row r="1990" spans="1:12" ht="15" customHeight="1" x14ac:dyDescent="0.35">
      <c r="A1990" s="114" t="s">
        <v>123</v>
      </c>
      <c r="B1990" s="115">
        <v>5322</v>
      </c>
      <c r="C1990" s="116"/>
      <c r="D1990" s="117">
        <v>46202</v>
      </c>
      <c r="E1990" s="59">
        <v>3725000</v>
      </c>
      <c r="F1990" s="44">
        <f t="shared" si="90"/>
        <v>298000</v>
      </c>
      <c r="G1990" s="61">
        <f t="shared" si="91"/>
        <v>4023000</v>
      </c>
      <c r="H1990" s="59"/>
      <c r="I1990" s="62">
        <f t="shared" si="89"/>
        <v>4023000</v>
      </c>
      <c r="J1990" s="48">
        <v>46203</v>
      </c>
      <c r="K1990" s="64" t="s">
        <v>3781</v>
      </c>
      <c r="L1990" s="65">
        <v>4191121393</v>
      </c>
    </row>
    <row r="1991" spans="1:12" ht="15" customHeight="1" x14ac:dyDescent="0.35">
      <c r="A1991" s="85" t="s">
        <v>29</v>
      </c>
      <c r="B1991" s="86">
        <v>5323</v>
      </c>
      <c r="C1991" s="87"/>
      <c r="D1991" s="88">
        <v>46202</v>
      </c>
      <c r="E1991" s="43">
        <v>1645000</v>
      </c>
      <c r="F1991" s="44">
        <f t="shared" si="90"/>
        <v>131600</v>
      </c>
      <c r="G1991" s="45">
        <f t="shared" si="91"/>
        <v>1776600</v>
      </c>
      <c r="H1991" s="46"/>
      <c r="I1991" s="47">
        <f t="shared" si="89"/>
        <v>1776600</v>
      </c>
      <c r="J1991" s="48">
        <v>46203</v>
      </c>
      <c r="K1991" s="49" t="s">
        <v>3781</v>
      </c>
      <c r="L1991" s="50">
        <v>4191149372</v>
      </c>
    </row>
    <row r="1992" spans="1:12" ht="15" customHeight="1" x14ac:dyDescent="0.35">
      <c r="A1992" s="85" t="s">
        <v>37</v>
      </c>
      <c r="B1992" s="86">
        <v>5324</v>
      </c>
      <c r="C1992" s="87"/>
      <c r="D1992" s="88">
        <v>46202</v>
      </c>
      <c r="E1992" s="43">
        <v>1280000</v>
      </c>
      <c r="F1992" s="44">
        <f t="shared" si="90"/>
        <v>102400</v>
      </c>
      <c r="G1992" s="45">
        <f t="shared" si="91"/>
        <v>1382400</v>
      </c>
      <c r="H1992" s="46"/>
      <c r="I1992" s="47">
        <f t="shared" si="89"/>
        <v>1382400</v>
      </c>
      <c r="J1992" s="48">
        <v>46203</v>
      </c>
      <c r="K1992" s="49" t="s">
        <v>3781</v>
      </c>
      <c r="L1992" s="50">
        <v>4191151462</v>
      </c>
    </row>
    <row r="1993" spans="1:12" ht="15" customHeight="1" x14ac:dyDescent="0.35">
      <c r="A1993" s="114" t="s">
        <v>123</v>
      </c>
      <c r="B1993" s="115">
        <v>5325</v>
      </c>
      <c r="C1993" s="116"/>
      <c r="D1993" s="117">
        <v>46202</v>
      </c>
      <c r="E1993" s="59">
        <v>4630000</v>
      </c>
      <c r="F1993" s="44">
        <f t="shared" si="90"/>
        <v>370400</v>
      </c>
      <c r="G1993" s="61">
        <f t="shared" si="91"/>
        <v>5000400</v>
      </c>
      <c r="H1993" s="59"/>
      <c r="I1993" s="62">
        <f t="shared" si="89"/>
        <v>5000400</v>
      </c>
      <c r="J1993" s="48">
        <v>46203</v>
      </c>
      <c r="K1993" s="64" t="s">
        <v>3781</v>
      </c>
      <c r="L1993" s="65">
        <v>4191208066</v>
      </c>
    </row>
    <row r="1994" spans="1:12" ht="15" customHeight="1" x14ac:dyDescent="0.35">
      <c r="A1994" s="85" t="s">
        <v>123</v>
      </c>
      <c r="B1994" s="86">
        <v>5326</v>
      </c>
      <c r="C1994" s="87"/>
      <c r="D1994" s="88">
        <v>46202</v>
      </c>
      <c r="E1994" s="43">
        <v>640000</v>
      </c>
      <c r="F1994" s="44">
        <f t="shared" si="90"/>
        <v>51200</v>
      </c>
      <c r="G1994" s="45">
        <f t="shared" si="91"/>
        <v>691200</v>
      </c>
      <c r="H1994" s="46"/>
      <c r="I1994" s="47">
        <f t="shared" si="89"/>
        <v>691200</v>
      </c>
      <c r="J1994" s="48">
        <v>46203</v>
      </c>
      <c r="K1994" s="49" t="s">
        <v>3781</v>
      </c>
      <c r="L1994" s="50">
        <v>4191151220</v>
      </c>
    </row>
    <row r="1995" spans="1:12" ht="15" customHeight="1" x14ac:dyDescent="0.35">
      <c r="A1995" s="85" t="s">
        <v>37</v>
      </c>
      <c r="B1995" s="86">
        <v>5327</v>
      </c>
      <c r="C1995" s="87"/>
      <c r="D1995" s="88">
        <v>46202</v>
      </c>
      <c r="E1995" s="43">
        <v>320000</v>
      </c>
      <c r="F1995" s="44">
        <f t="shared" si="90"/>
        <v>25600</v>
      </c>
      <c r="G1995" s="45">
        <f t="shared" si="91"/>
        <v>345600</v>
      </c>
      <c r="H1995" s="46"/>
      <c r="I1995" s="47">
        <f t="shared" si="89"/>
        <v>345600</v>
      </c>
      <c r="J1995" s="48">
        <v>46203</v>
      </c>
      <c r="K1995" s="49" t="s">
        <v>3781</v>
      </c>
      <c r="L1995" s="50">
        <v>4191269559</v>
      </c>
    </row>
    <row r="1996" spans="1:12" ht="15" customHeight="1" x14ac:dyDescent="0.35">
      <c r="A1996" s="85" t="s">
        <v>63</v>
      </c>
      <c r="B1996" s="86">
        <v>5328</v>
      </c>
      <c r="C1996" s="87"/>
      <c r="D1996" s="88">
        <v>46202</v>
      </c>
      <c r="E1996" s="43">
        <v>4439700</v>
      </c>
      <c r="F1996" s="44">
        <f t="shared" si="90"/>
        <v>355176</v>
      </c>
      <c r="G1996" s="45">
        <f t="shared" si="91"/>
        <v>4794876</v>
      </c>
      <c r="H1996" s="46"/>
      <c r="I1996" s="47">
        <f t="shared" si="89"/>
        <v>4794876</v>
      </c>
      <c r="J1996" s="48">
        <v>46203</v>
      </c>
      <c r="K1996" s="49" t="s">
        <v>3781</v>
      </c>
      <c r="L1996" s="50">
        <v>4191435155</v>
      </c>
    </row>
    <row r="1997" spans="1:12" ht="15" customHeight="1" x14ac:dyDescent="0.35">
      <c r="A1997" s="85" t="s">
        <v>56</v>
      </c>
      <c r="B1997" s="86">
        <v>5329</v>
      </c>
      <c r="C1997" s="87"/>
      <c r="D1997" s="88">
        <v>46202</v>
      </c>
      <c r="E1997" s="43">
        <v>960000</v>
      </c>
      <c r="F1997" s="44">
        <f t="shared" si="90"/>
        <v>76800</v>
      </c>
      <c r="G1997" s="45">
        <f t="shared" si="91"/>
        <v>1036800</v>
      </c>
      <c r="H1997" s="46"/>
      <c r="I1997" s="47">
        <f t="shared" si="89"/>
        <v>1036800</v>
      </c>
      <c r="J1997" s="48">
        <v>46203</v>
      </c>
      <c r="K1997" s="49" t="s">
        <v>3781</v>
      </c>
      <c r="L1997" s="50">
        <v>4191269686</v>
      </c>
    </row>
    <row r="1998" spans="1:12" ht="15" customHeight="1" x14ac:dyDescent="0.35">
      <c r="A1998" s="85" t="s">
        <v>123</v>
      </c>
      <c r="B1998" s="86">
        <v>5330</v>
      </c>
      <c r="C1998" s="87"/>
      <c r="D1998" s="88">
        <v>46202</v>
      </c>
      <c r="E1998" s="43">
        <v>740250</v>
      </c>
      <c r="F1998" s="44">
        <f t="shared" si="90"/>
        <v>59220</v>
      </c>
      <c r="G1998" s="45">
        <f t="shared" si="91"/>
        <v>799470</v>
      </c>
      <c r="H1998" s="46"/>
      <c r="I1998" s="47">
        <f t="shared" si="89"/>
        <v>799470</v>
      </c>
      <c r="J1998" s="48">
        <v>46203</v>
      </c>
      <c r="K1998" s="49" t="s">
        <v>3781</v>
      </c>
      <c r="L1998" s="50">
        <v>4191435224</v>
      </c>
    </row>
    <row r="1999" spans="1:12" ht="15" customHeight="1" x14ac:dyDescent="0.35">
      <c r="A1999" s="114" t="s">
        <v>123</v>
      </c>
      <c r="B1999" s="115">
        <v>5331</v>
      </c>
      <c r="C1999" s="116"/>
      <c r="D1999" s="117">
        <v>46202</v>
      </c>
      <c r="E1999" s="59">
        <v>11598500</v>
      </c>
      <c r="F1999" s="44">
        <f t="shared" si="90"/>
        <v>927880</v>
      </c>
      <c r="G1999" s="61">
        <f t="shared" si="91"/>
        <v>12526380</v>
      </c>
      <c r="H1999" s="59"/>
      <c r="I1999" s="62">
        <f t="shared" si="89"/>
        <v>12526380</v>
      </c>
      <c r="J1999" s="48">
        <v>46203</v>
      </c>
      <c r="K1999" s="64" t="s">
        <v>3781</v>
      </c>
      <c r="L1999" s="65">
        <v>4191269587</v>
      </c>
    </row>
    <row r="2000" spans="1:12" ht="15" customHeight="1" x14ac:dyDescent="0.35">
      <c r="A2000" s="85" t="s">
        <v>85</v>
      </c>
      <c r="B2000" s="86">
        <v>5332</v>
      </c>
      <c r="C2000" s="87"/>
      <c r="D2000" s="88">
        <v>46202</v>
      </c>
      <c r="E2000" s="43">
        <v>5040000</v>
      </c>
      <c r="F2000" s="44">
        <f t="shared" si="90"/>
        <v>403200</v>
      </c>
      <c r="G2000" s="45">
        <f t="shared" si="91"/>
        <v>5443200</v>
      </c>
      <c r="H2000" s="46"/>
      <c r="I2000" s="47">
        <f t="shared" si="89"/>
        <v>5443200</v>
      </c>
      <c r="J2000" s="48">
        <v>46203</v>
      </c>
      <c r="K2000" s="49" t="s">
        <v>3781</v>
      </c>
      <c r="L2000" s="50">
        <v>4191208098</v>
      </c>
    </row>
    <row r="2001" spans="1:12" ht="15" customHeight="1" x14ac:dyDescent="0.35">
      <c r="A2001" s="85" t="s">
        <v>123</v>
      </c>
      <c r="B2001" s="86">
        <v>5333</v>
      </c>
      <c r="C2001" s="87"/>
      <c r="D2001" s="88">
        <v>46202</v>
      </c>
      <c r="E2001" s="43">
        <v>1000000</v>
      </c>
      <c r="F2001" s="44">
        <f t="shared" si="90"/>
        <v>80000</v>
      </c>
      <c r="G2001" s="45">
        <f t="shared" si="91"/>
        <v>1080000</v>
      </c>
      <c r="H2001" s="46"/>
      <c r="I2001" s="47">
        <f t="shared" si="89"/>
        <v>1080000</v>
      </c>
      <c r="J2001" s="48">
        <v>46203</v>
      </c>
      <c r="K2001" s="49" t="s">
        <v>3781</v>
      </c>
      <c r="L2001" s="50">
        <v>4191269770</v>
      </c>
    </row>
    <row r="2002" spans="1:12" ht="15" customHeight="1" x14ac:dyDescent="0.35">
      <c r="A2002" s="85" t="s">
        <v>85</v>
      </c>
      <c r="B2002" s="86">
        <v>5334</v>
      </c>
      <c r="C2002" s="87"/>
      <c r="D2002" s="88">
        <v>46202</v>
      </c>
      <c r="E2002" s="43">
        <v>720000</v>
      </c>
      <c r="F2002" s="44">
        <f t="shared" si="90"/>
        <v>57600</v>
      </c>
      <c r="G2002" s="45">
        <f t="shared" si="91"/>
        <v>777600</v>
      </c>
      <c r="H2002" s="46"/>
      <c r="I2002" s="47">
        <f t="shared" si="89"/>
        <v>777600</v>
      </c>
      <c r="J2002" s="48">
        <v>46203</v>
      </c>
      <c r="K2002" s="49" t="s">
        <v>3781</v>
      </c>
      <c r="L2002" s="50">
        <v>4191269600</v>
      </c>
    </row>
    <row r="2003" spans="1:12" ht="15" customHeight="1" x14ac:dyDescent="0.35">
      <c r="A2003" s="85" t="s">
        <v>123</v>
      </c>
      <c r="B2003" s="86">
        <v>5335</v>
      </c>
      <c r="C2003" s="87"/>
      <c r="D2003" s="88">
        <v>46202</v>
      </c>
      <c r="E2003" s="43">
        <v>4800000</v>
      </c>
      <c r="F2003" s="44">
        <f t="shared" si="90"/>
        <v>384000</v>
      </c>
      <c r="G2003" s="45">
        <f t="shared" si="91"/>
        <v>5184000</v>
      </c>
      <c r="H2003" s="46"/>
      <c r="I2003" s="47">
        <f t="shared" si="89"/>
        <v>5184000</v>
      </c>
      <c r="J2003" s="48">
        <v>46203</v>
      </c>
      <c r="K2003" s="49" t="s">
        <v>3781</v>
      </c>
      <c r="L2003" s="50">
        <v>4191208084</v>
      </c>
    </row>
    <row r="2004" spans="1:12" ht="15" customHeight="1" x14ac:dyDescent="0.35">
      <c r="A2004" s="85" t="s">
        <v>56</v>
      </c>
      <c r="B2004" s="86">
        <v>5336</v>
      </c>
      <c r="C2004" s="87"/>
      <c r="D2004" s="88">
        <v>46202</v>
      </c>
      <c r="E2004" s="43">
        <v>2000000</v>
      </c>
      <c r="F2004" s="44">
        <f t="shared" si="90"/>
        <v>160000</v>
      </c>
      <c r="G2004" s="45">
        <f t="shared" si="91"/>
        <v>2160000</v>
      </c>
      <c r="H2004" s="46"/>
      <c r="I2004" s="47">
        <f t="shared" si="89"/>
        <v>2160000</v>
      </c>
      <c r="J2004" s="48">
        <v>46203</v>
      </c>
      <c r="K2004" s="49" t="s">
        <v>3781</v>
      </c>
      <c r="L2004" s="50">
        <v>4191208093</v>
      </c>
    </row>
    <row r="2005" spans="1:12" ht="15" customHeight="1" x14ac:dyDescent="0.35">
      <c r="A2005" s="85" t="s">
        <v>37</v>
      </c>
      <c r="B2005" s="86">
        <v>5337</v>
      </c>
      <c r="C2005" s="87"/>
      <c r="D2005" s="88">
        <v>46202</v>
      </c>
      <c r="E2005" s="43">
        <v>2640000</v>
      </c>
      <c r="F2005" s="44">
        <f t="shared" si="90"/>
        <v>211200</v>
      </c>
      <c r="G2005" s="45">
        <f t="shared" si="91"/>
        <v>2851200</v>
      </c>
      <c r="H2005" s="46"/>
      <c r="I2005" s="47">
        <f t="shared" si="89"/>
        <v>2851200</v>
      </c>
      <c r="J2005" s="48">
        <v>46203</v>
      </c>
      <c r="K2005" s="49" t="s">
        <v>3781</v>
      </c>
      <c r="L2005" s="50">
        <v>4191208168</v>
      </c>
    </row>
    <row r="2006" spans="1:12" ht="15" customHeight="1" x14ac:dyDescent="0.35">
      <c r="A2006" s="85" t="s">
        <v>123</v>
      </c>
      <c r="B2006" s="86">
        <v>5339</v>
      </c>
      <c r="C2006" s="87"/>
      <c r="D2006" s="88">
        <v>46202</v>
      </c>
      <c r="E2006" s="43">
        <v>1280000</v>
      </c>
      <c r="F2006" s="44">
        <f t="shared" si="90"/>
        <v>102400</v>
      </c>
      <c r="G2006" s="45">
        <f t="shared" si="91"/>
        <v>1382400</v>
      </c>
      <c r="H2006" s="46"/>
      <c r="I2006" s="47">
        <f t="shared" si="89"/>
        <v>1382400</v>
      </c>
      <c r="J2006" s="48">
        <v>46203</v>
      </c>
      <c r="K2006" s="49" t="s">
        <v>3781</v>
      </c>
      <c r="L2006" s="50">
        <v>4191509845</v>
      </c>
    </row>
    <row r="2007" spans="1:12" ht="15" customHeight="1" x14ac:dyDescent="0.35">
      <c r="A2007" s="85" t="s">
        <v>29</v>
      </c>
      <c r="B2007" s="86">
        <v>5340</v>
      </c>
      <c r="C2007" s="87"/>
      <c r="D2007" s="88">
        <v>46202</v>
      </c>
      <c r="E2007" s="43">
        <v>19485000</v>
      </c>
      <c r="F2007" s="44">
        <f t="shared" si="90"/>
        <v>1558800</v>
      </c>
      <c r="G2007" s="45">
        <f t="shared" si="91"/>
        <v>21043800</v>
      </c>
      <c r="H2007" s="46"/>
      <c r="I2007" s="47">
        <f t="shared" si="89"/>
        <v>21043800</v>
      </c>
      <c r="J2007" s="48">
        <v>46203</v>
      </c>
      <c r="K2007" s="49" t="s">
        <v>3781</v>
      </c>
      <c r="L2007" s="50">
        <v>4191504513</v>
      </c>
    </row>
    <row r="2008" spans="1:12" ht="15" customHeight="1" x14ac:dyDescent="0.35">
      <c r="A2008" s="85" t="s">
        <v>29</v>
      </c>
      <c r="B2008" s="86">
        <v>5341</v>
      </c>
      <c r="C2008" s="87"/>
      <c r="D2008" s="88">
        <v>46202</v>
      </c>
      <c r="E2008" s="43">
        <v>960000</v>
      </c>
      <c r="F2008" s="44">
        <f t="shared" si="90"/>
        <v>76800</v>
      </c>
      <c r="G2008" s="45">
        <f t="shared" si="91"/>
        <v>1036800</v>
      </c>
      <c r="H2008" s="46"/>
      <c r="I2008" s="47">
        <f t="shared" si="89"/>
        <v>1036800</v>
      </c>
      <c r="J2008" s="48">
        <v>46203</v>
      </c>
      <c r="K2008" s="49" t="s">
        <v>3781</v>
      </c>
      <c r="L2008" s="50">
        <v>4191601986</v>
      </c>
    </row>
    <row r="2009" spans="1:12" ht="15" customHeight="1" x14ac:dyDescent="0.35">
      <c r="A2009" s="85" t="s">
        <v>56</v>
      </c>
      <c r="B2009" s="86">
        <v>5342</v>
      </c>
      <c r="C2009" s="87"/>
      <c r="D2009" s="88">
        <v>46202</v>
      </c>
      <c r="E2009" s="43">
        <v>640000</v>
      </c>
      <c r="F2009" s="44">
        <f t="shared" si="90"/>
        <v>51200</v>
      </c>
      <c r="G2009" s="45">
        <f t="shared" si="91"/>
        <v>691200</v>
      </c>
      <c r="H2009" s="46"/>
      <c r="I2009" s="47">
        <f t="shared" si="89"/>
        <v>691200</v>
      </c>
      <c r="J2009" s="48">
        <v>46218</v>
      </c>
      <c r="K2009" s="49" t="s">
        <v>3781</v>
      </c>
      <c r="L2009" s="50">
        <v>4191509562</v>
      </c>
    </row>
    <row r="2010" spans="1:12" ht="15" customHeight="1" x14ac:dyDescent="0.35">
      <c r="A2010" s="114" t="s">
        <v>123</v>
      </c>
      <c r="B2010" s="115">
        <v>5343</v>
      </c>
      <c r="C2010" s="116"/>
      <c r="D2010" s="117">
        <v>46202</v>
      </c>
      <c r="E2010" s="59">
        <v>2880000</v>
      </c>
      <c r="F2010" s="44">
        <f t="shared" si="90"/>
        <v>230400</v>
      </c>
      <c r="G2010" s="61">
        <f t="shared" si="91"/>
        <v>3110400</v>
      </c>
      <c r="H2010" s="59"/>
      <c r="I2010" s="62">
        <f t="shared" si="89"/>
        <v>3110400</v>
      </c>
      <c r="J2010" s="48">
        <v>46203</v>
      </c>
      <c r="K2010" s="64" t="s">
        <v>3781</v>
      </c>
      <c r="L2010" s="65">
        <v>4191505421</v>
      </c>
    </row>
    <row r="2011" spans="1:12" ht="15" customHeight="1" x14ac:dyDescent="0.35">
      <c r="A2011" s="114" t="s">
        <v>33</v>
      </c>
      <c r="B2011" s="115">
        <v>5344</v>
      </c>
      <c r="C2011" s="116"/>
      <c r="D2011" s="117">
        <v>46202</v>
      </c>
      <c r="E2011" s="59">
        <v>37968000</v>
      </c>
      <c r="F2011" s="44">
        <f t="shared" si="90"/>
        <v>3037440</v>
      </c>
      <c r="G2011" s="61">
        <f t="shared" si="91"/>
        <v>41005440</v>
      </c>
      <c r="H2011" s="59"/>
      <c r="I2011" s="62">
        <f t="shared" si="89"/>
        <v>41005440</v>
      </c>
      <c r="J2011" s="48">
        <v>46203</v>
      </c>
      <c r="K2011" s="64" t="s">
        <v>3781</v>
      </c>
      <c r="L2011" s="65">
        <v>4901301781</v>
      </c>
    </row>
    <row r="2012" spans="1:12" ht="15" customHeight="1" x14ac:dyDescent="0.35">
      <c r="A2012" s="85" t="s">
        <v>33</v>
      </c>
      <c r="B2012" s="86">
        <v>5345</v>
      </c>
      <c r="C2012" s="87"/>
      <c r="D2012" s="88">
        <v>46202</v>
      </c>
      <c r="E2012" s="43">
        <v>520000</v>
      </c>
      <c r="F2012" s="44">
        <f t="shared" si="90"/>
        <v>41600</v>
      </c>
      <c r="G2012" s="45">
        <f t="shared" si="91"/>
        <v>561600</v>
      </c>
      <c r="H2012" s="46"/>
      <c r="I2012" s="47">
        <f t="shared" si="89"/>
        <v>561600</v>
      </c>
      <c r="J2012" s="48">
        <v>46203</v>
      </c>
      <c r="K2012" s="49" t="s">
        <v>3781</v>
      </c>
      <c r="L2012" s="50">
        <v>4901302132</v>
      </c>
    </row>
    <row r="2013" spans="1:12" ht="15" customHeight="1" x14ac:dyDescent="0.35">
      <c r="A2013" s="85" t="s">
        <v>123</v>
      </c>
      <c r="B2013" s="86">
        <v>5346</v>
      </c>
      <c r="C2013" s="87"/>
      <c r="D2013" s="88">
        <v>46202</v>
      </c>
      <c r="E2013" s="43">
        <v>936000</v>
      </c>
      <c r="F2013" s="44">
        <f t="shared" si="90"/>
        <v>74880</v>
      </c>
      <c r="G2013" s="45">
        <f t="shared" si="91"/>
        <v>1010880</v>
      </c>
      <c r="H2013" s="46"/>
      <c r="I2013" s="47">
        <f t="shared" si="89"/>
        <v>1010880</v>
      </c>
      <c r="J2013" s="48">
        <v>46203</v>
      </c>
      <c r="K2013" s="49" t="s">
        <v>3781</v>
      </c>
      <c r="L2013" s="50">
        <v>4191539229</v>
      </c>
    </row>
    <row r="2014" spans="1:12" ht="15" customHeight="1" x14ac:dyDescent="0.35">
      <c r="A2014" s="85" t="s">
        <v>63</v>
      </c>
      <c r="B2014" s="86">
        <v>5891</v>
      </c>
      <c r="C2014" s="87"/>
      <c r="D2014" s="88">
        <v>46216</v>
      </c>
      <c r="E2014" s="43">
        <v>3712500</v>
      </c>
      <c r="F2014" s="44">
        <f t="shared" si="90"/>
        <v>297000</v>
      </c>
      <c r="G2014" s="45">
        <f t="shared" si="91"/>
        <v>4009500</v>
      </c>
      <c r="H2014" s="46"/>
      <c r="I2014" s="47">
        <f t="shared" si="89"/>
        <v>4009500</v>
      </c>
      <c r="J2014" s="48">
        <v>46218</v>
      </c>
      <c r="K2014" s="49"/>
      <c r="L2014" s="50">
        <v>4191539157</v>
      </c>
    </row>
    <row r="2015" spans="1:12" ht="15" customHeight="1" x14ac:dyDescent="0.35">
      <c r="A2015" s="85" t="s">
        <v>63</v>
      </c>
      <c r="B2015" s="86">
        <v>5893</v>
      </c>
      <c r="C2015" s="87"/>
      <c r="D2015" s="88">
        <v>46216</v>
      </c>
      <c r="E2015" s="43">
        <v>640000</v>
      </c>
      <c r="F2015" s="44">
        <f t="shared" si="90"/>
        <v>51200</v>
      </c>
      <c r="G2015" s="45">
        <f t="shared" si="91"/>
        <v>691200</v>
      </c>
      <c r="H2015" s="46"/>
      <c r="I2015" s="47">
        <f t="shared" si="89"/>
        <v>691200</v>
      </c>
      <c r="J2015" s="48">
        <v>46218</v>
      </c>
      <c r="K2015" s="49"/>
      <c r="L2015" s="50">
        <v>4191509720</v>
      </c>
    </row>
    <row r="2016" spans="1:12" ht="15" customHeight="1" x14ac:dyDescent="0.35">
      <c r="A2016" s="114" t="s">
        <v>85</v>
      </c>
      <c r="B2016" s="115">
        <v>5347</v>
      </c>
      <c r="C2016" s="116"/>
      <c r="D2016" s="117">
        <v>46202</v>
      </c>
      <c r="E2016" s="59">
        <v>1088000</v>
      </c>
      <c r="F2016" s="44">
        <f t="shared" si="90"/>
        <v>87040</v>
      </c>
      <c r="G2016" s="61">
        <f t="shared" si="91"/>
        <v>1175040</v>
      </c>
      <c r="H2016" s="59"/>
      <c r="I2016" s="62">
        <f t="shared" si="89"/>
        <v>1175040</v>
      </c>
      <c r="J2016" s="48">
        <v>46203</v>
      </c>
      <c r="K2016" s="64" t="s">
        <v>3781</v>
      </c>
      <c r="L2016" s="65">
        <v>4191509610</v>
      </c>
    </row>
    <row r="2017" spans="1:12" ht="15" customHeight="1" x14ac:dyDescent="0.35">
      <c r="A2017" s="85" t="s">
        <v>29</v>
      </c>
      <c r="B2017" s="86">
        <v>5348</v>
      </c>
      <c r="C2017" s="87"/>
      <c r="D2017" s="88">
        <v>46202</v>
      </c>
      <c r="E2017" s="43">
        <v>1920000</v>
      </c>
      <c r="F2017" s="44">
        <f t="shared" si="90"/>
        <v>153600</v>
      </c>
      <c r="G2017" s="45">
        <f t="shared" si="91"/>
        <v>2073600</v>
      </c>
      <c r="H2017" s="46"/>
      <c r="I2017" s="47">
        <f t="shared" si="89"/>
        <v>2073600</v>
      </c>
      <c r="J2017" s="48">
        <v>46203</v>
      </c>
      <c r="K2017" s="49" t="s">
        <v>3781</v>
      </c>
      <c r="L2017" s="50">
        <v>4191468795</v>
      </c>
    </row>
    <row r="2018" spans="1:12" ht="15" customHeight="1" x14ac:dyDescent="0.35">
      <c r="A2018" s="85" t="s">
        <v>37</v>
      </c>
      <c r="B2018" s="86">
        <v>5349</v>
      </c>
      <c r="C2018" s="87"/>
      <c r="D2018" s="88">
        <v>46202</v>
      </c>
      <c r="E2018" s="43">
        <v>2560000</v>
      </c>
      <c r="F2018" s="44">
        <f t="shared" si="90"/>
        <v>204800</v>
      </c>
      <c r="G2018" s="45">
        <f t="shared" si="91"/>
        <v>2764800</v>
      </c>
      <c r="H2018" s="46"/>
      <c r="I2018" s="47">
        <f t="shared" si="89"/>
        <v>2764800</v>
      </c>
      <c r="J2018" s="48">
        <v>46203</v>
      </c>
      <c r="K2018" s="49" t="s">
        <v>3781</v>
      </c>
      <c r="L2018" s="50">
        <v>4191468725</v>
      </c>
    </row>
    <row r="2019" spans="1:12" ht="15" customHeight="1" x14ac:dyDescent="0.35">
      <c r="A2019" s="85" t="s">
        <v>37</v>
      </c>
      <c r="B2019" s="86">
        <v>5350</v>
      </c>
      <c r="C2019" s="87"/>
      <c r="D2019" s="88">
        <v>46202</v>
      </c>
      <c r="E2019" s="43">
        <v>8160000</v>
      </c>
      <c r="F2019" s="44">
        <f t="shared" si="90"/>
        <v>652800</v>
      </c>
      <c r="G2019" s="45">
        <f t="shared" si="91"/>
        <v>8812800</v>
      </c>
      <c r="H2019" s="46"/>
      <c r="I2019" s="47">
        <f t="shared" si="89"/>
        <v>8812800</v>
      </c>
      <c r="J2019" s="48">
        <v>46218</v>
      </c>
      <c r="K2019" s="49" t="s">
        <v>3781</v>
      </c>
      <c r="L2019" s="50">
        <v>4191505305</v>
      </c>
    </row>
    <row r="2020" spans="1:12" ht="15" customHeight="1" x14ac:dyDescent="0.35">
      <c r="A2020" s="85" t="s">
        <v>63</v>
      </c>
      <c r="B2020" s="86">
        <v>5351</v>
      </c>
      <c r="C2020" s="87"/>
      <c r="D2020" s="88">
        <v>46202</v>
      </c>
      <c r="E2020" s="43">
        <v>1040000</v>
      </c>
      <c r="F2020" s="44">
        <f t="shared" si="90"/>
        <v>83200</v>
      </c>
      <c r="G2020" s="45">
        <f t="shared" si="91"/>
        <v>1123200</v>
      </c>
      <c r="H2020" s="46"/>
      <c r="I2020" s="47">
        <f t="shared" si="89"/>
        <v>1123200</v>
      </c>
      <c r="J2020" s="48">
        <v>46203</v>
      </c>
      <c r="K2020" s="49" t="s">
        <v>3781</v>
      </c>
      <c r="L2020" s="50">
        <v>4191505525</v>
      </c>
    </row>
    <row r="2021" spans="1:12" ht="15" customHeight="1" x14ac:dyDescent="0.35">
      <c r="A2021" s="114" t="s">
        <v>85</v>
      </c>
      <c r="B2021" s="115">
        <v>5352</v>
      </c>
      <c r="C2021" s="116"/>
      <c r="D2021" s="117">
        <v>46202</v>
      </c>
      <c r="E2021" s="59">
        <v>5507000</v>
      </c>
      <c r="F2021" s="44">
        <f t="shared" si="90"/>
        <v>440560</v>
      </c>
      <c r="G2021" s="61">
        <f t="shared" si="91"/>
        <v>5947560</v>
      </c>
      <c r="H2021" s="59"/>
      <c r="I2021" s="62">
        <f t="shared" si="89"/>
        <v>5947560</v>
      </c>
      <c r="J2021" s="48">
        <v>46218</v>
      </c>
      <c r="K2021" s="64" t="s">
        <v>3781</v>
      </c>
      <c r="L2021" s="65">
        <v>4191505498</v>
      </c>
    </row>
    <row r="2022" spans="1:12" ht="15" customHeight="1" x14ac:dyDescent="0.35">
      <c r="A2022" s="85" t="s">
        <v>56</v>
      </c>
      <c r="B2022" s="86">
        <v>5894</v>
      </c>
      <c r="C2022" s="87"/>
      <c r="D2022" s="88">
        <v>46216</v>
      </c>
      <c r="E2022" s="43">
        <v>1600000</v>
      </c>
      <c r="F2022" s="44">
        <f t="shared" si="90"/>
        <v>128000</v>
      </c>
      <c r="G2022" s="45">
        <f t="shared" si="91"/>
        <v>1728000</v>
      </c>
      <c r="H2022" s="46"/>
      <c r="I2022" s="47">
        <f t="shared" si="89"/>
        <v>1728000</v>
      </c>
      <c r="J2022" s="48">
        <v>46218</v>
      </c>
      <c r="K2022" s="49" t="s">
        <v>3805</v>
      </c>
      <c r="L2022" s="50">
        <v>4191505450</v>
      </c>
    </row>
    <row r="2023" spans="1:12" ht="15" customHeight="1" x14ac:dyDescent="0.35">
      <c r="A2023" s="85" t="s">
        <v>123</v>
      </c>
      <c r="B2023" s="86">
        <v>5353</v>
      </c>
      <c r="C2023" s="87"/>
      <c r="D2023" s="88">
        <v>46202</v>
      </c>
      <c r="E2023" s="43">
        <v>5120000</v>
      </c>
      <c r="F2023" s="44">
        <f t="shared" si="90"/>
        <v>409600</v>
      </c>
      <c r="G2023" s="45">
        <f t="shared" si="91"/>
        <v>5529600</v>
      </c>
      <c r="H2023" s="46"/>
      <c r="I2023" s="47">
        <f t="shared" si="89"/>
        <v>5529600</v>
      </c>
      <c r="J2023" s="48">
        <v>46203</v>
      </c>
      <c r="K2023" s="49" t="s">
        <v>3781</v>
      </c>
      <c r="L2023" s="50">
        <v>4191505416</v>
      </c>
    </row>
    <row r="2024" spans="1:12" ht="15" customHeight="1" x14ac:dyDescent="0.35">
      <c r="A2024" s="85" t="s">
        <v>37</v>
      </c>
      <c r="B2024" s="86">
        <v>5354</v>
      </c>
      <c r="C2024" s="87"/>
      <c r="D2024" s="88">
        <v>46202</v>
      </c>
      <c r="E2024" s="43">
        <v>822500</v>
      </c>
      <c r="F2024" s="44">
        <f t="shared" si="90"/>
        <v>65800</v>
      </c>
      <c r="G2024" s="45">
        <f t="shared" si="91"/>
        <v>888300</v>
      </c>
      <c r="H2024" s="46"/>
      <c r="I2024" s="47">
        <f t="shared" si="89"/>
        <v>888300</v>
      </c>
      <c r="J2024" s="48">
        <v>46203</v>
      </c>
      <c r="K2024" s="49" t="s">
        <v>3781</v>
      </c>
      <c r="L2024" s="50">
        <v>4191448204</v>
      </c>
    </row>
    <row r="2025" spans="1:12" ht="15" customHeight="1" x14ac:dyDescent="0.35">
      <c r="A2025" s="114" t="s">
        <v>33</v>
      </c>
      <c r="B2025" s="115">
        <v>5355</v>
      </c>
      <c r="C2025" s="116"/>
      <c r="D2025" s="117">
        <v>46202</v>
      </c>
      <c r="E2025" s="59">
        <v>3504000</v>
      </c>
      <c r="F2025" s="44">
        <f t="shared" si="90"/>
        <v>280320</v>
      </c>
      <c r="G2025" s="61">
        <f t="shared" si="91"/>
        <v>3784320</v>
      </c>
      <c r="H2025" s="59"/>
      <c r="I2025" s="62">
        <f t="shared" si="89"/>
        <v>3784320</v>
      </c>
      <c r="J2025" s="48">
        <v>46203</v>
      </c>
      <c r="K2025" s="64" t="s">
        <v>3781</v>
      </c>
      <c r="L2025" s="65">
        <v>4901301845</v>
      </c>
    </row>
    <row r="2026" spans="1:12" ht="15" customHeight="1" x14ac:dyDescent="0.35">
      <c r="A2026" s="114" t="s">
        <v>85</v>
      </c>
      <c r="B2026" s="115">
        <v>5357</v>
      </c>
      <c r="C2026" s="116"/>
      <c r="D2026" s="117">
        <v>46202</v>
      </c>
      <c r="E2026" s="59">
        <v>6079500</v>
      </c>
      <c r="F2026" s="44">
        <f t="shared" si="90"/>
        <v>486360</v>
      </c>
      <c r="G2026" s="61">
        <f t="shared" si="91"/>
        <v>6565860</v>
      </c>
      <c r="H2026" s="59"/>
      <c r="I2026" s="62">
        <f t="shared" si="89"/>
        <v>6565860</v>
      </c>
      <c r="J2026" s="48">
        <v>46203</v>
      </c>
      <c r="K2026" s="64" t="s">
        <v>3781</v>
      </c>
      <c r="L2026" s="65">
        <v>4191624068</v>
      </c>
    </row>
    <row r="2027" spans="1:12" ht="15" customHeight="1" x14ac:dyDescent="0.35">
      <c r="A2027" s="85" t="s">
        <v>123</v>
      </c>
      <c r="B2027" s="86">
        <v>5358</v>
      </c>
      <c r="C2027" s="87"/>
      <c r="D2027" s="88">
        <v>46202</v>
      </c>
      <c r="E2027" s="43">
        <v>640000</v>
      </c>
      <c r="F2027" s="44">
        <f t="shared" si="90"/>
        <v>51200</v>
      </c>
      <c r="G2027" s="45">
        <f t="shared" si="91"/>
        <v>691200</v>
      </c>
      <c r="H2027" s="46"/>
      <c r="I2027" s="47">
        <f t="shared" si="89"/>
        <v>691200</v>
      </c>
      <c r="J2027" s="48">
        <v>46203</v>
      </c>
      <c r="K2027" s="49" t="s">
        <v>3781</v>
      </c>
      <c r="L2027" s="50">
        <v>4191620285</v>
      </c>
    </row>
    <row r="2028" spans="1:12" ht="15" customHeight="1" x14ac:dyDescent="0.35">
      <c r="A2028" s="85" t="s">
        <v>63</v>
      </c>
      <c r="B2028" s="86">
        <v>5359</v>
      </c>
      <c r="C2028" s="87"/>
      <c r="D2028" s="88">
        <v>46202</v>
      </c>
      <c r="E2028" s="43">
        <v>936000</v>
      </c>
      <c r="F2028" s="44">
        <f t="shared" si="90"/>
        <v>74880</v>
      </c>
      <c r="G2028" s="45">
        <f t="shared" si="91"/>
        <v>1010880</v>
      </c>
      <c r="H2028" s="46"/>
      <c r="I2028" s="47">
        <f t="shared" si="89"/>
        <v>1010880</v>
      </c>
      <c r="J2028" s="48">
        <v>46203</v>
      </c>
      <c r="K2028" s="49" t="s">
        <v>3781</v>
      </c>
      <c r="L2028" s="50">
        <v>4191624233</v>
      </c>
    </row>
    <row r="2029" spans="1:12" ht="15" customHeight="1" x14ac:dyDescent="0.35">
      <c r="A2029" s="85" t="s">
        <v>37</v>
      </c>
      <c r="B2029" s="86">
        <v>5360</v>
      </c>
      <c r="C2029" s="87"/>
      <c r="D2029" s="88">
        <v>46202</v>
      </c>
      <c r="E2029" s="43">
        <v>6628500</v>
      </c>
      <c r="F2029" s="44">
        <f t="shared" si="90"/>
        <v>530280</v>
      </c>
      <c r="G2029" s="45">
        <f t="shared" si="91"/>
        <v>7158780</v>
      </c>
      <c r="H2029" s="46"/>
      <c r="I2029" s="47">
        <f t="shared" si="89"/>
        <v>7158780</v>
      </c>
      <c r="J2029" s="48">
        <v>46203</v>
      </c>
      <c r="K2029" s="49" t="s">
        <v>3781</v>
      </c>
      <c r="L2029" s="50">
        <v>4191624216</v>
      </c>
    </row>
    <row r="2030" spans="1:12" ht="15" customHeight="1" x14ac:dyDescent="0.35">
      <c r="A2030" s="85" t="s">
        <v>123</v>
      </c>
      <c r="B2030" s="86">
        <v>5361</v>
      </c>
      <c r="C2030" s="87"/>
      <c r="D2030" s="88">
        <v>46202</v>
      </c>
      <c r="E2030" s="43">
        <v>6048000</v>
      </c>
      <c r="F2030" s="44">
        <f t="shared" si="90"/>
        <v>483840</v>
      </c>
      <c r="G2030" s="45">
        <f t="shared" si="91"/>
        <v>6531840</v>
      </c>
      <c r="H2030" s="46"/>
      <c r="I2030" s="47">
        <f t="shared" si="89"/>
        <v>6531840</v>
      </c>
      <c r="J2030" s="48">
        <v>46203</v>
      </c>
      <c r="K2030" s="49" t="s">
        <v>3781</v>
      </c>
      <c r="L2030" s="50">
        <v>4191624169</v>
      </c>
    </row>
    <row r="2031" spans="1:12" ht="15" customHeight="1" x14ac:dyDescent="0.35">
      <c r="A2031" s="114" t="s">
        <v>56</v>
      </c>
      <c r="B2031" s="115">
        <v>5362</v>
      </c>
      <c r="C2031" s="116"/>
      <c r="D2031" s="117">
        <v>46202</v>
      </c>
      <c r="E2031" s="59">
        <v>1094400</v>
      </c>
      <c r="F2031" s="44">
        <f t="shared" si="90"/>
        <v>87552</v>
      </c>
      <c r="G2031" s="61">
        <f t="shared" si="91"/>
        <v>1181952</v>
      </c>
      <c r="H2031" s="59"/>
      <c r="I2031" s="62">
        <f t="shared" si="89"/>
        <v>1181952</v>
      </c>
      <c r="J2031" s="48">
        <v>46203</v>
      </c>
      <c r="K2031" s="64" t="s">
        <v>3781</v>
      </c>
      <c r="L2031" s="65">
        <v>4191624113</v>
      </c>
    </row>
    <row r="2032" spans="1:12" ht="15" customHeight="1" x14ac:dyDescent="0.35">
      <c r="A2032" s="85" t="s">
        <v>3227</v>
      </c>
      <c r="B2032" s="86">
        <v>5895</v>
      </c>
      <c r="C2032" s="87"/>
      <c r="D2032" s="88">
        <v>46216</v>
      </c>
      <c r="E2032" s="43">
        <v>4810500</v>
      </c>
      <c r="F2032" s="44">
        <f t="shared" si="90"/>
        <v>384840</v>
      </c>
      <c r="G2032" s="45">
        <f t="shared" si="91"/>
        <v>5195340</v>
      </c>
      <c r="H2032" s="46"/>
      <c r="I2032" s="47">
        <f t="shared" si="89"/>
        <v>5195340</v>
      </c>
      <c r="J2032" s="48">
        <v>46218</v>
      </c>
      <c r="K2032" s="49" t="s">
        <v>3805</v>
      </c>
      <c r="L2032" s="50">
        <v>4191706036</v>
      </c>
    </row>
    <row r="2033" spans="1:13" ht="15" customHeight="1" x14ac:dyDescent="0.35">
      <c r="A2033" s="85" t="s">
        <v>29</v>
      </c>
      <c r="B2033" s="86">
        <v>5896</v>
      </c>
      <c r="C2033" s="87"/>
      <c r="D2033" s="88">
        <v>46216</v>
      </c>
      <c r="E2033" s="43">
        <v>32188500</v>
      </c>
      <c r="F2033" s="44">
        <f t="shared" si="90"/>
        <v>2575080</v>
      </c>
      <c r="G2033" s="45">
        <f t="shared" si="91"/>
        <v>34763580</v>
      </c>
      <c r="H2033" s="46"/>
      <c r="I2033" s="47">
        <f t="shared" si="89"/>
        <v>34763580</v>
      </c>
      <c r="J2033" s="48">
        <v>46218</v>
      </c>
      <c r="K2033" s="49" t="s">
        <v>3805</v>
      </c>
      <c r="L2033" s="50">
        <v>4191706148</v>
      </c>
    </row>
    <row r="2034" spans="1:13" ht="15" customHeight="1" x14ac:dyDescent="0.35">
      <c r="A2034" s="114" t="s">
        <v>85</v>
      </c>
      <c r="B2034" s="115">
        <v>5363</v>
      </c>
      <c r="C2034" s="116"/>
      <c r="D2034" s="117">
        <v>46202</v>
      </c>
      <c r="E2034" s="59">
        <v>512000</v>
      </c>
      <c r="F2034" s="44">
        <f t="shared" si="90"/>
        <v>40960</v>
      </c>
      <c r="G2034" s="61">
        <f t="shared" si="91"/>
        <v>552960</v>
      </c>
      <c r="H2034" s="59"/>
      <c r="I2034" s="62">
        <f t="shared" si="89"/>
        <v>552960</v>
      </c>
      <c r="J2034" s="48">
        <v>46203</v>
      </c>
      <c r="K2034" s="64" t="s">
        <v>3781</v>
      </c>
      <c r="L2034" s="65">
        <v>4191740712</v>
      </c>
    </row>
    <row r="2035" spans="1:13" ht="15" customHeight="1" x14ac:dyDescent="0.35">
      <c r="A2035" s="85" t="s">
        <v>63</v>
      </c>
      <c r="B2035" s="86"/>
      <c r="C2035" s="87"/>
      <c r="D2035" s="88"/>
      <c r="E2035" s="43">
        <v>640000</v>
      </c>
      <c r="F2035" s="44">
        <f t="shared" si="90"/>
        <v>51200</v>
      </c>
      <c r="G2035" s="45"/>
      <c r="H2035" s="46"/>
      <c r="I2035" s="47"/>
      <c r="J2035" s="175" t="s">
        <v>44</v>
      </c>
      <c r="K2035" s="49" t="s">
        <v>3805</v>
      </c>
      <c r="L2035" s="50">
        <v>4191740346</v>
      </c>
      <c r="M2035" s="3" t="s">
        <v>44</v>
      </c>
    </row>
    <row r="2036" spans="1:13" ht="15" customHeight="1" x14ac:dyDescent="0.35">
      <c r="A2036" s="114" t="s">
        <v>123</v>
      </c>
      <c r="B2036" s="115">
        <v>5364</v>
      </c>
      <c r="C2036" s="116"/>
      <c r="D2036" s="117">
        <v>46202</v>
      </c>
      <c r="E2036" s="59">
        <v>19745100</v>
      </c>
      <c r="F2036" s="44">
        <f t="shared" si="90"/>
        <v>1579608</v>
      </c>
      <c r="G2036" s="61">
        <f t="shared" si="91"/>
        <v>21324708</v>
      </c>
      <c r="H2036" s="59"/>
      <c r="I2036" s="62">
        <f t="shared" si="89"/>
        <v>21324708</v>
      </c>
      <c r="J2036" s="48">
        <v>46203</v>
      </c>
      <c r="K2036" s="64" t="s">
        <v>3781</v>
      </c>
      <c r="L2036" s="65">
        <v>4191800352</v>
      </c>
    </row>
    <row r="2037" spans="1:13" ht="15" customHeight="1" x14ac:dyDescent="0.35">
      <c r="A2037" s="85" t="s">
        <v>85</v>
      </c>
      <c r="B2037" s="86">
        <v>5365</v>
      </c>
      <c r="C2037" s="87"/>
      <c r="D2037" s="88">
        <v>46202</v>
      </c>
      <c r="E2037" s="43">
        <v>11883150</v>
      </c>
      <c r="F2037" s="44">
        <f t="shared" si="90"/>
        <v>950652</v>
      </c>
      <c r="G2037" s="45">
        <f t="shared" si="91"/>
        <v>12833802</v>
      </c>
      <c r="H2037" s="46"/>
      <c r="I2037" s="47">
        <f t="shared" si="89"/>
        <v>12833802</v>
      </c>
      <c r="J2037" s="48">
        <v>46203</v>
      </c>
      <c r="K2037" s="49" t="s">
        <v>3781</v>
      </c>
      <c r="L2037" s="50">
        <v>4191800860</v>
      </c>
    </row>
    <row r="2038" spans="1:13" ht="15" customHeight="1" x14ac:dyDescent="0.35">
      <c r="A2038" s="85" t="s">
        <v>56</v>
      </c>
      <c r="B2038" s="86">
        <v>5366</v>
      </c>
      <c r="C2038" s="87"/>
      <c r="D2038" s="88">
        <v>46202</v>
      </c>
      <c r="E2038" s="43">
        <v>9760500</v>
      </c>
      <c r="F2038" s="44">
        <f t="shared" si="90"/>
        <v>780840</v>
      </c>
      <c r="G2038" s="45">
        <f t="shared" si="91"/>
        <v>10541340</v>
      </c>
      <c r="H2038" s="46"/>
      <c r="I2038" s="47">
        <f t="shared" si="89"/>
        <v>10541340</v>
      </c>
      <c r="J2038" s="48">
        <v>46203</v>
      </c>
      <c r="K2038" s="49" t="s">
        <v>3781</v>
      </c>
      <c r="L2038" s="50">
        <v>4191800944</v>
      </c>
    </row>
    <row r="2039" spans="1:13" ht="15" customHeight="1" x14ac:dyDescent="0.35">
      <c r="A2039" s="85" t="s">
        <v>63</v>
      </c>
      <c r="B2039" s="86">
        <v>5367</v>
      </c>
      <c r="C2039" s="87"/>
      <c r="D2039" s="88">
        <v>46202</v>
      </c>
      <c r="E2039" s="43">
        <v>7816500</v>
      </c>
      <c r="F2039" s="44">
        <f t="shared" si="90"/>
        <v>625320</v>
      </c>
      <c r="G2039" s="45">
        <f t="shared" si="91"/>
        <v>8441820</v>
      </c>
      <c r="H2039" s="46"/>
      <c r="I2039" s="47">
        <f t="shared" si="89"/>
        <v>8441820</v>
      </c>
      <c r="J2039" s="48">
        <v>46218</v>
      </c>
      <c r="K2039" s="49" t="s">
        <v>3781</v>
      </c>
      <c r="L2039" s="50">
        <v>4191800353</v>
      </c>
    </row>
    <row r="2040" spans="1:13" ht="15" customHeight="1" x14ac:dyDescent="0.35">
      <c r="A2040" s="114" t="s">
        <v>37</v>
      </c>
      <c r="B2040" s="115">
        <v>5368</v>
      </c>
      <c r="C2040" s="116"/>
      <c r="D2040" s="117">
        <v>46202</v>
      </c>
      <c r="E2040" s="59">
        <v>12962700</v>
      </c>
      <c r="F2040" s="44">
        <f t="shared" si="90"/>
        <v>1037016</v>
      </c>
      <c r="G2040" s="61">
        <f t="shared" si="91"/>
        <v>13999716</v>
      </c>
      <c r="H2040" s="59"/>
      <c r="I2040" s="62">
        <f t="shared" si="89"/>
        <v>13999716</v>
      </c>
      <c r="J2040" s="48">
        <v>46203</v>
      </c>
      <c r="K2040" s="64" t="s">
        <v>3781</v>
      </c>
      <c r="L2040" s="65">
        <v>4191800810</v>
      </c>
    </row>
    <row r="2041" spans="1:13" ht="15" customHeight="1" x14ac:dyDescent="0.35">
      <c r="A2041" s="85" t="s">
        <v>37</v>
      </c>
      <c r="B2041" s="86">
        <v>5369</v>
      </c>
      <c r="C2041" s="87"/>
      <c r="D2041" s="88">
        <v>46202</v>
      </c>
      <c r="E2041" s="43">
        <v>432000</v>
      </c>
      <c r="F2041" s="44">
        <f t="shared" si="90"/>
        <v>34560</v>
      </c>
      <c r="G2041" s="45">
        <f t="shared" si="91"/>
        <v>466560</v>
      </c>
      <c r="H2041" s="46"/>
      <c r="I2041" s="47">
        <f t="shared" si="89"/>
        <v>466560</v>
      </c>
      <c r="J2041" s="48">
        <v>46203</v>
      </c>
      <c r="K2041" s="49" t="s">
        <v>3781</v>
      </c>
      <c r="L2041" s="50">
        <v>4191813153</v>
      </c>
    </row>
    <row r="2042" spans="1:13" ht="15" customHeight="1" x14ac:dyDescent="0.35">
      <c r="A2042" s="85" t="s">
        <v>123</v>
      </c>
      <c r="B2042" s="86">
        <v>5370</v>
      </c>
      <c r="C2042" s="87"/>
      <c r="D2042" s="88">
        <v>46202</v>
      </c>
      <c r="E2042" s="43">
        <v>24579000</v>
      </c>
      <c r="F2042" s="44">
        <f t="shared" si="90"/>
        <v>1966320</v>
      </c>
      <c r="G2042" s="45">
        <f t="shared" si="91"/>
        <v>26545320</v>
      </c>
      <c r="H2042" s="46"/>
      <c r="I2042" s="47">
        <f t="shared" si="89"/>
        <v>26545320</v>
      </c>
      <c r="J2042" s="48">
        <v>46203</v>
      </c>
      <c r="K2042" s="49" t="s">
        <v>3781</v>
      </c>
      <c r="L2042" s="50">
        <v>4191800964</v>
      </c>
    </row>
    <row r="2043" spans="1:13" ht="15" customHeight="1" x14ac:dyDescent="0.35">
      <c r="A2043" s="85" t="s">
        <v>123</v>
      </c>
      <c r="B2043" s="86">
        <v>5371</v>
      </c>
      <c r="C2043" s="87"/>
      <c r="D2043" s="88">
        <v>46202</v>
      </c>
      <c r="E2043" s="43">
        <v>5184000</v>
      </c>
      <c r="F2043" s="44">
        <f t="shared" si="90"/>
        <v>414720</v>
      </c>
      <c r="G2043" s="45">
        <f t="shared" si="91"/>
        <v>5598720</v>
      </c>
      <c r="H2043" s="46"/>
      <c r="I2043" s="47">
        <f t="shared" si="89"/>
        <v>5598720</v>
      </c>
      <c r="J2043" s="48">
        <v>46203</v>
      </c>
      <c r="K2043" s="49" t="s">
        <v>3781</v>
      </c>
      <c r="L2043" s="50">
        <v>4191608337</v>
      </c>
    </row>
    <row r="2044" spans="1:13" ht="15" customHeight="1" x14ac:dyDescent="0.35">
      <c r="A2044" s="85" t="s">
        <v>37</v>
      </c>
      <c r="B2044" s="86">
        <v>5372</v>
      </c>
      <c r="C2044" s="87"/>
      <c r="D2044" s="88">
        <v>46202</v>
      </c>
      <c r="E2044" s="43">
        <v>1920000</v>
      </c>
      <c r="F2044" s="44">
        <f t="shared" si="90"/>
        <v>153600</v>
      </c>
      <c r="G2044" s="45">
        <f t="shared" si="91"/>
        <v>2073600</v>
      </c>
      <c r="H2044" s="46"/>
      <c r="I2044" s="47">
        <f t="shared" si="89"/>
        <v>2073600</v>
      </c>
      <c r="J2044" s="48">
        <v>46203</v>
      </c>
      <c r="K2044" s="49" t="s">
        <v>3781</v>
      </c>
      <c r="L2044" s="50">
        <v>4191834908</v>
      </c>
    </row>
    <row r="2045" spans="1:13" ht="15" customHeight="1" x14ac:dyDescent="0.35">
      <c r="A2045" s="85" t="s">
        <v>29</v>
      </c>
      <c r="B2045" s="86">
        <v>5897</v>
      </c>
      <c r="C2045" s="87"/>
      <c r="D2045" s="88">
        <v>46216</v>
      </c>
      <c r="E2045" s="43">
        <v>1920000</v>
      </c>
      <c r="F2045" s="44">
        <f t="shared" si="90"/>
        <v>153600</v>
      </c>
      <c r="G2045" s="45">
        <f t="shared" si="91"/>
        <v>2073600</v>
      </c>
      <c r="H2045" s="46"/>
      <c r="I2045" s="47">
        <f t="shared" si="89"/>
        <v>2073600</v>
      </c>
      <c r="J2045" s="48">
        <v>46218</v>
      </c>
      <c r="K2045" s="49" t="s">
        <v>3805</v>
      </c>
      <c r="L2045" s="50">
        <v>4191834590</v>
      </c>
    </row>
    <row r="2046" spans="1:13" ht="15" customHeight="1" x14ac:dyDescent="0.35">
      <c r="A2046" s="85" t="s">
        <v>3227</v>
      </c>
      <c r="B2046" s="86">
        <v>5898</v>
      </c>
      <c r="C2046" s="87"/>
      <c r="D2046" s="88">
        <v>46216</v>
      </c>
      <c r="E2046" s="43">
        <v>576000</v>
      </c>
      <c r="F2046" s="44">
        <f t="shared" si="90"/>
        <v>46080</v>
      </c>
      <c r="G2046" s="45">
        <f t="shared" si="91"/>
        <v>622080</v>
      </c>
      <c r="H2046" s="46"/>
      <c r="I2046" s="47">
        <f t="shared" si="89"/>
        <v>622080</v>
      </c>
      <c r="J2046" s="48">
        <v>46218</v>
      </c>
      <c r="K2046" s="49" t="s">
        <v>3805</v>
      </c>
      <c r="L2046" s="50">
        <v>4191835036</v>
      </c>
    </row>
    <row r="2047" spans="1:13" ht="15" customHeight="1" x14ac:dyDescent="0.35">
      <c r="A2047" s="85" t="s">
        <v>29</v>
      </c>
      <c r="B2047" s="86">
        <v>5899</v>
      </c>
      <c r="C2047" s="87"/>
      <c r="D2047" s="88">
        <v>46216</v>
      </c>
      <c r="E2047" s="43">
        <v>7992000</v>
      </c>
      <c r="F2047" s="44">
        <f t="shared" si="90"/>
        <v>639360</v>
      </c>
      <c r="G2047" s="45">
        <f t="shared" si="91"/>
        <v>8631360</v>
      </c>
      <c r="H2047" s="46"/>
      <c r="I2047" s="47">
        <f t="shared" si="89"/>
        <v>8631360</v>
      </c>
      <c r="J2047" s="48">
        <v>46218</v>
      </c>
      <c r="K2047" s="49" t="s">
        <v>3805</v>
      </c>
      <c r="L2047" s="50">
        <v>4191835005</v>
      </c>
    </row>
    <row r="2048" spans="1:13" ht="15" customHeight="1" x14ac:dyDescent="0.35">
      <c r="A2048" s="85" t="s">
        <v>33</v>
      </c>
      <c r="B2048" s="86">
        <v>5461</v>
      </c>
      <c r="C2048" s="87"/>
      <c r="D2048" s="88">
        <v>46203</v>
      </c>
      <c r="E2048" s="43">
        <v>26248500</v>
      </c>
      <c r="F2048" s="44">
        <f t="shared" si="90"/>
        <v>2099880</v>
      </c>
      <c r="G2048" s="45">
        <f t="shared" si="91"/>
        <v>28348380</v>
      </c>
      <c r="H2048" s="46"/>
      <c r="I2048" s="47">
        <f t="shared" si="89"/>
        <v>28348380</v>
      </c>
      <c r="J2048" s="48">
        <v>46203</v>
      </c>
      <c r="K2048" s="49" t="s">
        <v>3781</v>
      </c>
      <c r="L2048" s="50">
        <v>4901302702</v>
      </c>
    </row>
    <row r="2049" spans="1:12" ht="15" customHeight="1" x14ac:dyDescent="0.35">
      <c r="A2049" s="85" t="s">
        <v>33</v>
      </c>
      <c r="B2049" s="86">
        <v>5462</v>
      </c>
      <c r="C2049" s="87"/>
      <c r="D2049" s="88">
        <v>46203</v>
      </c>
      <c r="E2049" s="43">
        <v>3600000</v>
      </c>
      <c r="F2049" s="44">
        <f t="shared" si="90"/>
        <v>288000</v>
      </c>
      <c r="G2049" s="45">
        <f t="shared" si="91"/>
        <v>3888000</v>
      </c>
      <c r="H2049" s="46"/>
      <c r="I2049" s="47">
        <f t="shared" si="89"/>
        <v>3888000</v>
      </c>
      <c r="J2049" s="48">
        <v>46203</v>
      </c>
      <c r="K2049" s="49" t="s">
        <v>3781</v>
      </c>
      <c r="L2049" s="50">
        <v>4901302952</v>
      </c>
    </row>
    <row r="2050" spans="1:12" ht="15" customHeight="1" x14ac:dyDescent="0.35">
      <c r="A2050" s="85" t="s">
        <v>3227</v>
      </c>
      <c r="B2050" s="86">
        <v>5900</v>
      </c>
      <c r="C2050" s="87"/>
      <c r="D2050" s="88">
        <v>46216</v>
      </c>
      <c r="E2050" s="43">
        <v>904500</v>
      </c>
      <c r="F2050" s="44">
        <f t="shared" si="90"/>
        <v>72360</v>
      </c>
      <c r="G2050" s="45">
        <f t="shared" si="91"/>
        <v>976860</v>
      </c>
      <c r="H2050" s="46"/>
      <c r="I2050" s="47">
        <f t="shared" si="89"/>
        <v>976860</v>
      </c>
      <c r="J2050" s="48">
        <v>46218</v>
      </c>
      <c r="K2050" s="49"/>
      <c r="L2050" s="50">
        <v>4191875283</v>
      </c>
    </row>
    <row r="2051" spans="1:12" ht="15" customHeight="1" x14ac:dyDescent="0.35">
      <c r="A2051" s="114" t="s">
        <v>123</v>
      </c>
      <c r="B2051" s="115">
        <v>5901</v>
      </c>
      <c r="C2051" s="116"/>
      <c r="D2051" s="117">
        <v>46216</v>
      </c>
      <c r="E2051" s="59">
        <v>2196000</v>
      </c>
      <c r="F2051" s="44">
        <f t="shared" si="90"/>
        <v>175680</v>
      </c>
      <c r="G2051" s="61">
        <f t="shared" si="91"/>
        <v>2371680</v>
      </c>
      <c r="H2051" s="59"/>
      <c r="I2051" s="62">
        <f t="shared" si="89"/>
        <v>2371680</v>
      </c>
      <c r="J2051" s="48">
        <v>46218</v>
      </c>
      <c r="K2051" s="64"/>
      <c r="L2051" s="65">
        <v>4191888229</v>
      </c>
    </row>
    <row r="2052" spans="1:12" ht="15" customHeight="1" x14ac:dyDescent="0.35">
      <c r="A2052" s="85" t="s">
        <v>37</v>
      </c>
      <c r="B2052" s="86">
        <v>5902</v>
      </c>
      <c r="C2052" s="87"/>
      <c r="D2052" s="88">
        <v>46216</v>
      </c>
      <c r="E2052" s="43">
        <v>1728000</v>
      </c>
      <c r="F2052" s="44">
        <f t="shared" si="90"/>
        <v>138240</v>
      </c>
      <c r="G2052" s="45">
        <f t="shared" si="91"/>
        <v>1866240</v>
      </c>
      <c r="H2052" s="46"/>
      <c r="I2052" s="47">
        <f t="shared" si="89"/>
        <v>1866240</v>
      </c>
      <c r="J2052" s="48">
        <v>46218</v>
      </c>
      <c r="K2052" s="49"/>
      <c r="L2052" s="50">
        <v>4191888355</v>
      </c>
    </row>
    <row r="2053" spans="1:12" ht="15" customHeight="1" x14ac:dyDescent="0.35">
      <c r="A2053" s="85" t="s">
        <v>56</v>
      </c>
      <c r="B2053" s="86">
        <v>5903</v>
      </c>
      <c r="C2053" s="87"/>
      <c r="D2053" s="88">
        <v>46216</v>
      </c>
      <c r="E2053" s="43">
        <v>576000</v>
      </c>
      <c r="F2053" s="44">
        <f t="shared" si="90"/>
        <v>46080</v>
      </c>
      <c r="G2053" s="45">
        <f t="shared" si="91"/>
        <v>622080</v>
      </c>
      <c r="H2053" s="46"/>
      <c r="I2053" s="47">
        <f t="shared" si="89"/>
        <v>622080</v>
      </c>
      <c r="J2053" s="48">
        <v>46218</v>
      </c>
      <c r="K2053" s="49"/>
      <c r="L2053" s="50">
        <v>4191888338</v>
      </c>
    </row>
    <row r="2054" spans="1:12" ht="15" customHeight="1" x14ac:dyDescent="0.35">
      <c r="A2054" s="114" t="s">
        <v>85</v>
      </c>
      <c r="B2054" s="115">
        <v>5904</v>
      </c>
      <c r="C2054" s="116"/>
      <c r="D2054" s="117">
        <v>46216</v>
      </c>
      <c r="E2054" s="59">
        <v>3305700</v>
      </c>
      <c r="F2054" s="44">
        <f t="shared" si="90"/>
        <v>264456</v>
      </c>
      <c r="G2054" s="61">
        <f t="shared" si="91"/>
        <v>3570156</v>
      </c>
      <c r="H2054" s="59"/>
      <c r="I2054" s="62">
        <f t="shared" si="89"/>
        <v>3570156</v>
      </c>
      <c r="J2054" s="48">
        <v>46218</v>
      </c>
      <c r="K2054" s="64"/>
      <c r="L2054" s="65">
        <v>4191888298</v>
      </c>
    </row>
    <row r="2055" spans="1:12" ht="15" customHeight="1" x14ac:dyDescent="0.35">
      <c r="A2055" s="85" t="s">
        <v>123</v>
      </c>
      <c r="B2055" s="86">
        <v>5450</v>
      </c>
      <c r="C2055" s="87"/>
      <c r="D2055" s="88">
        <v>46203</v>
      </c>
      <c r="E2055" s="43">
        <v>2632500</v>
      </c>
      <c r="F2055" s="44">
        <f t="shared" si="90"/>
        <v>210600</v>
      </c>
      <c r="G2055" s="45">
        <f t="shared" si="91"/>
        <v>2843100</v>
      </c>
      <c r="H2055" s="46"/>
      <c r="I2055" s="47">
        <f t="shared" si="89"/>
        <v>2843100</v>
      </c>
      <c r="J2055" s="48">
        <v>46203</v>
      </c>
      <c r="K2055" s="49" t="s">
        <v>3781</v>
      </c>
      <c r="L2055" s="50">
        <v>4191888299</v>
      </c>
    </row>
    <row r="2056" spans="1:12" ht="15" customHeight="1" x14ac:dyDescent="0.35">
      <c r="A2056" s="85" t="s">
        <v>123</v>
      </c>
      <c r="B2056" s="86">
        <v>5451</v>
      </c>
      <c r="C2056" s="87"/>
      <c r="D2056" s="88">
        <v>46203</v>
      </c>
      <c r="E2056" s="43">
        <v>1040000</v>
      </c>
      <c r="F2056" s="44">
        <f t="shared" si="90"/>
        <v>83200</v>
      </c>
      <c r="G2056" s="45">
        <f t="shared" si="91"/>
        <v>1123200</v>
      </c>
      <c r="H2056" s="46"/>
      <c r="I2056" s="47">
        <f t="shared" si="89"/>
        <v>1123200</v>
      </c>
      <c r="J2056" s="48">
        <v>46203</v>
      </c>
      <c r="K2056" s="49" t="s">
        <v>3781</v>
      </c>
      <c r="L2056" s="50">
        <v>4191868327</v>
      </c>
    </row>
    <row r="2057" spans="1:12" ht="15" customHeight="1" x14ac:dyDescent="0.35">
      <c r="A2057" s="85" t="s">
        <v>29</v>
      </c>
      <c r="B2057" s="86">
        <v>5905</v>
      </c>
      <c r="C2057" s="87"/>
      <c r="D2057" s="88">
        <v>46216</v>
      </c>
      <c r="E2057" s="43">
        <v>5553000</v>
      </c>
      <c r="F2057" s="44">
        <f t="shared" si="90"/>
        <v>444240</v>
      </c>
      <c r="G2057" s="45">
        <f t="shared" si="91"/>
        <v>5997240</v>
      </c>
      <c r="H2057" s="46"/>
      <c r="I2057" s="47">
        <f t="shared" si="89"/>
        <v>5997240</v>
      </c>
      <c r="J2057" s="48">
        <v>46218</v>
      </c>
      <c r="K2057" s="49"/>
      <c r="L2057" s="50">
        <v>4191979539</v>
      </c>
    </row>
    <row r="2058" spans="1:12" ht="15" customHeight="1" x14ac:dyDescent="0.35">
      <c r="A2058" s="85" t="s">
        <v>29</v>
      </c>
      <c r="B2058" s="86">
        <v>5906</v>
      </c>
      <c r="C2058" s="87"/>
      <c r="D2058" s="88">
        <v>46216</v>
      </c>
      <c r="E2058" s="43">
        <v>576000</v>
      </c>
      <c r="F2058" s="44">
        <f t="shared" si="90"/>
        <v>46080</v>
      </c>
      <c r="G2058" s="45">
        <f t="shared" si="91"/>
        <v>622080</v>
      </c>
      <c r="H2058" s="46"/>
      <c r="I2058" s="47">
        <f t="shared" si="89"/>
        <v>622080</v>
      </c>
      <c r="J2058" s="48">
        <v>46218</v>
      </c>
      <c r="K2058" s="49"/>
      <c r="L2058" s="50">
        <v>4191976647</v>
      </c>
    </row>
    <row r="2059" spans="1:12" ht="15" customHeight="1" x14ac:dyDescent="0.35">
      <c r="A2059" s="85" t="s">
        <v>37</v>
      </c>
      <c r="B2059" s="86">
        <v>5908</v>
      </c>
      <c r="C2059" s="87"/>
      <c r="D2059" s="88">
        <v>46216</v>
      </c>
      <c r="E2059" s="43">
        <v>3928500</v>
      </c>
      <c r="F2059" s="44">
        <f t="shared" si="90"/>
        <v>314280</v>
      </c>
      <c r="G2059" s="45">
        <f t="shared" si="91"/>
        <v>4242780</v>
      </c>
      <c r="H2059" s="46"/>
      <c r="I2059" s="47">
        <f t="shared" si="89"/>
        <v>4242780</v>
      </c>
      <c r="J2059" s="48">
        <v>46218</v>
      </c>
      <c r="K2059" s="49"/>
      <c r="L2059" s="50">
        <v>4192017046</v>
      </c>
    </row>
    <row r="2060" spans="1:12" ht="15" customHeight="1" x14ac:dyDescent="0.35">
      <c r="A2060" s="114" t="s">
        <v>85</v>
      </c>
      <c r="B2060" s="115">
        <v>5909</v>
      </c>
      <c r="C2060" s="116"/>
      <c r="D2060" s="117">
        <v>46216</v>
      </c>
      <c r="E2060" s="59">
        <v>4058100</v>
      </c>
      <c r="F2060" s="44">
        <f t="shared" si="90"/>
        <v>324648</v>
      </c>
      <c r="G2060" s="61">
        <f t="shared" si="91"/>
        <v>4382748</v>
      </c>
      <c r="H2060" s="59"/>
      <c r="I2060" s="62">
        <f t="shared" si="89"/>
        <v>4382748</v>
      </c>
      <c r="J2060" s="48">
        <v>46218</v>
      </c>
      <c r="K2060" s="64"/>
      <c r="L2060" s="65">
        <v>4192017195</v>
      </c>
    </row>
    <row r="2061" spans="1:12" ht="15" customHeight="1" x14ac:dyDescent="0.35">
      <c r="A2061" s="85" t="s">
        <v>56</v>
      </c>
      <c r="B2061" s="86">
        <v>5910</v>
      </c>
      <c r="C2061" s="87"/>
      <c r="D2061" s="88">
        <v>46216</v>
      </c>
      <c r="E2061" s="43">
        <v>936000</v>
      </c>
      <c r="F2061" s="44">
        <f t="shared" si="90"/>
        <v>74880</v>
      </c>
      <c r="G2061" s="45">
        <f t="shared" si="91"/>
        <v>1010880</v>
      </c>
      <c r="H2061" s="46"/>
      <c r="I2061" s="47">
        <f t="shared" si="89"/>
        <v>1010880</v>
      </c>
      <c r="J2061" s="48">
        <v>46218</v>
      </c>
      <c r="K2061" s="49"/>
      <c r="L2061" s="50">
        <v>4192017143</v>
      </c>
    </row>
    <row r="2062" spans="1:12" ht="15" customHeight="1" x14ac:dyDescent="0.35">
      <c r="A2062" s="85" t="s">
        <v>29</v>
      </c>
      <c r="B2062" s="86">
        <v>5911</v>
      </c>
      <c r="C2062" s="87"/>
      <c r="D2062" s="88">
        <v>46216</v>
      </c>
      <c r="E2062" s="43">
        <v>301500</v>
      </c>
      <c r="F2062" s="44">
        <f t="shared" si="90"/>
        <v>24120</v>
      </c>
      <c r="G2062" s="45">
        <f t="shared" si="91"/>
        <v>325620</v>
      </c>
      <c r="H2062" s="46"/>
      <c r="I2062" s="47">
        <f t="shared" si="89"/>
        <v>325620</v>
      </c>
      <c r="J2062" s="48">
        <v>46218</v>
      </c>
      <c r="K2062" s="49"/>
      <c r="L2062" s="50">
        <v>4192196309</v>
      </c>
    </row>
    <row r="2063" spans="1:12" ht="15" customHeight="1" x14ac:dyDescent="0.35">
      <c r="A2063" s="114" t="s">
        <v>33</v>
      </c>
      <c r="B2063" s="115">
        <v>5912</v>
      </c>
      <c r="C2063" s="116"/>
      <c r="D2063" s="117">
        <v>46216</v>
      </c>
      <c r="E2063" s="59">
        <v>1088000</v>
      </c>
      <c r="F2063" s="44">
        <f t="shared" si="90"/>
        <v>87040</v>
      </c>
      <c r="G2063" s="61">
        <f t="shared" si="91"/>
        <v>1175040</v>
      </c>
      <c r="H2063" s="59"/>
      <c r="I2063" s="62">
        <f t="shared" si="89"/>
        <v>1175040</v>
      </c>
      <c r="J2063" s="48">
        <v>46218</v>
      </c>
      <c r="K2063" s="64"/>
      <c r="L2063" s="65">
        <v>4901303787</v>
      </c>
    </row>
    <row r="2064" spans="1:12" ht="15" customHeight="1" x14ac:dyDescent="0.35">
      <c r="A2064" s="114" t="s">
        <v>33</v>
      </c>
      <c r="B2064" s="115">
        <v>5913</v>
      </c>
      <c r="C2064" s="116"/>
      <c r="D2064" s="117">
        <v>46216</v>
      </c>
      <c r="E2064" s="59">
        <v>14281200</v>
      </c>
      <c r="F2064" s="44">
        <f t="shared" si="90"/>
        <v>1142496</v>
      </c>
      <c r="G2064" s="61">
        <f t="shared" si="91"/>
        <v>15423696</v>
      </c>
      <c r="H2064" s="59"/>
      <c r="I2064" s="62">
        <f t="shared" si="89"/>
        <v>15423696</v>
      </c>
      <c r="J2064" s="48">
        <v>46218</v>
      </c>
      <c r="K2064" s="64"/>
      <c r="L2064" s="65">
        <v>4901303750</v>
      </c>
    </row>
    <row r="2065" spans="1:12" ht="15" customHeight="1" x14ac:dyDescent="0.35">
      <c r="A2065" s="85" t="s">
        <v>56</v>
      </c>
      <c r="B2065" s="86">
        <v>5914</v>
      </c>
      <c r="C2065" s="87"/>
      <c r="D2065" s="88">
        <v>46216</v>
      </c>
      <c r="E2065" s="43">
        <v>640000</v>
      </c>
      <c r="F2065" s="44">
        <f t="shared" si="90"/>
        <v>51200</v>
      </c>
      <c r="G2065" s="45">
        <f t="shared" si="91"/>
        <v>691200</v>
      </c>
      <c r="H2065" s="46"/>
      <c r="I2065" s="47">
        <f t="shared" si="89"/>
        <v>691200</v>
      </c>
      <c r="J2065" s="48">
        <v>46218</v>
      </c>
      <c r="K2065" s="49"/>
      <c r="L2065" s="50">
        <v>4192298868</v>
      </c>
    </row>
    <row r="2066" spans="1:12" ht="15" customHeight="1" x14ac:dyDescent="0.35">
      <c r="A2066" s="85" t="s">
        <v>29</v>
      </c>
      <c r="B2066" s="86">
        <v>5915</v>
      </c>
      <c r="C2066" s="87"/>
      <c r="D2066" s="88">
        <v>46216</v>
      </c>
      <c r="E2066" s="43">
        <v>4240000</v>
      </c>
      <c r="F2066" s="44">
        <f t="shared" si="90"/>
        <v>339200</v>
      </c>
      <c r="G2066" s="45">
        <f t="shared" si="91"/>
        <v>4579200</v>
      </c>
      <c r="H2066" s="46"/>
      <c r="I2066" s="47">
        <f t="shared" si="89"/>
        <v>4579200</v>
      </c>
      <c r="J2066" s="48">
        <v>46218</v>
      </c>
      <c r="K2066" s="49"/>
      <c r="L2066" s="50">
        <v>4192295782</v>
      </c>
    </row>
    <row r="2067" spans="1:12" ht="15" customHeight="1" x14ac:dyDescent="0.35">
      <c r="A2067" s="85" t="s">
        <v>29</v>
      </c>
      <c r="B2067" s="86">
        <v>5916</v>
      </c>
      <c r="C2067" s="87"/>
      <c r="D2067" s="88">
        <v>46216</v>
      </c>
      <c r="E2067" s="43">
        <v>7200000</v>
      </c>
      <c r="F2067" s="44">
        <f t="shared" si="90"/>
        <v>576000</v>
      </c>
      <c r="G2067" s="45">
        <f t="shared" si="91"/>
        <v>7776000</v>
      </c>
      <c r="H2067" s="46"/>
      <c r="I2067" s="47">
        <f t="shared" si="89"/>
        <v>7776000</v>
      </c>
      <c r="J2067" s="48">
        <v>46218</v>
      </c>
      <c r="K2067" s="49"/>
      <c r="L2067" s="50">
        <v>4192298152</v>
      </c>
    </row>
    <row r="2068" spans="1:12" ht="15" customHeight="1" x14ac:dyDescent="0.35">
      <c r="A2068" s="85" t="s">
        <v>3227</v>
      </c>
      <c r="B2068" s="86">
        <v>5917</v>
      </c>
      <c r="C2068" s="87"/>
      <c r="D2068" s="88">
        <v>46216</v>
      </c>
      <c r="E2068" s="43">
        <v>576000</v>
      </c>
      <c r="F2068" s="44">
        <f t="shared" si="90"/>
        <v>46080</v>
      </c>
      <c r="G2068" s="45">
        <f t="shared" si="91"/>
        <v>622080</v>
      </c>
      <c r="H2068" s="46"/>
      <c r="I2068" s="47">
        <f t="shared" si="89"/>
        <v>622080</v>
      </c>
      <c r="J2068" s="48">
        <v>46218</v>
      </c>
      <c r="K2068" s="49"/>
      <c r="L2068" s="50">
        <v>4192298107</v>
      </c>
    </row>
    <row r="2069" spans="1:12" ht="15" customHeight="1" x14ac:dyDescent="0.35">
      <c r="A2069" s="114" t="s">
        <v>85</v>
      </c>
      <c r="B2069" s="115">
        <v>5918</v>
      </c>
      <c r="C2069" s="116"/>
      <c r="D2069" s="117">
        <v>46216</v>
      </c>
      <c r="E2069" s="59">
        <v>3060000</v>
      </c>
      <c r="F2069" s="44">
        <f t="shared" si="90"/>
        <v>244800</v>
      </c>
      <c r="G2069" s="61">
        <f t="shared" si="91"/>
        <v>3304800</v>
      </c>
      <c r="H2069" s="59"/>
      <c r="I2069" s="62">
        <f t="shared" si="89"/>
        <v>3304800</v>
      </c>
      <c r="J2069" s="48">
        <v>46218</v>
      </c>
      <c r="K2069" s="64"/>
      <c r="L2069" s="65">
        <v>4192298263</v>
      </c>
    </row>
    <row r="2070" spans="1:12" ht="15" customHeight="1" x14ac:dyDescent="0.35">
      <c r="A2070" s="85" t="s">
        <v>37</v>
      </c>
      <c r="B2070" s="86">
        <v>5919</v>
      </c>
      <c r="C2070" s="87"/>
      <c r="D2070" s="88">
        <v>46216</v>
      </c>
      <c r="E2070" s="43">
        <v>1280000</v>
      </c>
      <c r="F2070" s="44">
        <f t="shared" si="90"/>
        <v>102400</v>
      </c>
      <c r="G2070" s="45">
        <f t="shared" si="91"/>
        <v>1382400</v>
      </c>
      <c r="H2070" s="46"/>
      <c r="I2070" s="47">
        <f t="shared" si="89"/>
        <v>1382400</v>
      </c>
      <c r="J2070" s="48">
        <v>46218</v>
      </c>
      <c r="K2070" s="49"/>
      <c r="L2070" s="50">
        <v>4192295692</v>
      </c>
    </row>
    <row r="2071" spans="1:12" ht="15" customHeight="1" x14ac:dyDescent="0.35">
      <c r="A2071" s="85" t="s">
        <v>37</v>
      </c>
      <c r="B2071" s="86">
        <v>5920</v>
      </c>
      <c r="C2071" s="87"/>
      <c r="D2071" s="88">
        <v>46216</v>
      </c>
      <c r="E2071" s="43">
        <v>936000</v>
      </c>
      <c r="F2071" s="44">
        <f t="shared" si="90"/>
        <v>74880</v>
      </c>
      <c r="G2071" s="45">
        <f t="shared" si="91"/>
        <v>1010880</v>
      </c>
      <c r="H2071" s="46"/>
      <c r="I2071" s="47">
        <f t="shared" si="89"/>
        <v>1010880</v>
      </c>
      <c r="J2071" s="48">
        <v>46218</v>
      </c>
      <c r="K2071" s="49"/>
      <c r="L2071" s="50">
        <v>4192298318</v>
      </c>
    </row>
    <row r="2072" spans="1:12" ht="15" customHeight="1" x14ac:dyDescent="0.35">
      <c r="A2072" s="85" t="s">
        <v>123</v>
      </c>
      <c r="B2072" s="86">
        <v>5921</v>
      </c>
      <c r="C2072" s="87"/>
      <c r="D2072" s="88">
        <v>46216</v>
      </c>
      <c r="E2072" s="43">
        <v>1800000</v>
      </c>
      <c r="F2072" s="44">
        <f t="shared" si="90"/>
        <v>144000</v>
      </c>
      <c r="G2072" s="45">
        <f t="shared" si="91"/>
        <v>1944000</v>
      </c>
      <c r="H2072" s="46"/>
      <c r="I2072" s="47">
        <f t="shared" si="89"/>
        <v>1944000</v>
      </c>
      <c r="J2072" s="48">
        <v>46218</v>
      </c>
      <c r="K2072" s="49"/>
      <c r="L2072" s="50">
        <v>4192298195</v>
      </c>
    </row>
    <row r="2073" spans="1:12" ht="15" customHeight="1" x14ac:dyDescent="0.35">
      <c r="A2073" s="85" t="s">
        <v>123</v>
      </c>
      <c r="B2073" s="86">
        <v>5922</v>
      </c>
      <c r="C2073" s="87"/>
      <c r="D2073" s="88">
        <v>46216</v>
      </c>
      <c r="E2073" s="43">
        <v>640000</v>
      </c>
      <c r="F2073" s="44">
        <f t="shared" si="90"/>
        <v>51200</v>
      </c>
      <c r="G2073" s="45">
        <f t="shared" si="91"/>
        <v>691200</v>
      </c>
      <c r="H2073" s="46"/>
      <c r="I2073" s="47">
        <f t="shared" si="89"/>
        <v>691200</v>
      </c>
      <c r="J2073" s="48">
        <v>46218</v>
      </c>
      <c r="K2073" s="49"/>
      <c r="L2073" s="50">
        <v>4192299205</v>
      </c>
    </row>
    <row r="2074" spans="1:12" ht="15" customHeight="1" x14ac:dyDescent="0.35">
      <c r="A2074" s="85" t="s">
        <v>123</v>
      </c>
      <c r="B2074" s="86">
        <v>5923</v>
      </c>
      <c r="C2074" s="87"/>
      <c r="D2074" s="88">
        <v>46216</v>
      </c>
      <c r="E2074" s="43">
        <v>1512000</v>
      </c>
      <c r="F2074" s="44">
        <f t="shared" si="90"/>
        <v>120960</v>
      </c>
      <c r="G2074" s="45">
        <f t="shared" si="91"/>
        <v>1632960</v>
      </c>
      <c r="H2074" s="46"/>
      <c r="I2074" s="47">
        <f t="shared" si="89"/>
        <v>1632960</v>
      </c>
      <c r="J2074" s="48">
        <v>46218</v>
      </c>
      <c r="K2074" s="49"/>
      <c r="L2074" s="50">
        <v>4192298325</v>
      </c>
    </row>
    <row r="2075" spans="1:12" ht="15" customHeight="1" x14ac:dyDescent="0.35">
      <c r="A2075" s="85" t="s">
        <v>123</v>
      </c>
      <c r="B2075" s="86">
        <v>5924</v>
      </c>
      <c r="C2075" s="87"/>
      <c r="D2075" s="88">
        <v>46216</v>
      </c>
      <c r="E2075" s="43">
        <v>864000</v>
      </c>
      <c r="F2075" s="44">
        <f t="shared" si="90"/>
        <v>69120</v>
      </c>
      <c r="G2075" s="45">
        <f t="shared" si="91"/>
        <v>933120</v>
      </c>
      <c r="H2075" s="46"/>
      <c r="I2075" s="47">
        <f t="shared" si="89"/>
        <v>933120</v>
      </c>
      <c r="J2075" s="48">
        <v>46218</v>
      </c>
      <c r="K2075" s="49"/>
      <c r="L2075" s="50">
        <v>4192017266</v>
      </c>
    </row>
    <row r="2076" spans="1:12" ht="15" customHeight="1" x14ac:dyDescent="0.35">
      <c r="A2076" s="85" t="s">
        <v>3227</v>
      </c>
      <c r="B2076" s="86">
        <v>5925</v>
      </c>
      <c r="C2076" s="87"/>
      <c r="D2076" s="88">
        <v>46216</v>
      </c>
      <c r="E2076" s="43">
        <v>769500</v>
      </c>
      <c r="F2076" s="44">
        <f t="shared" si="90"/>
        <v>61560</v>
      </c>
      <c r="G2076" s="45">
        <f t="shared" si="91"/>
        <v>831060</v>
      </c>
      <c r="H2076" s="46"/>
      <c r="I2076" s="47">
        <f t="shared" si="89"/>
        <v>831060</v>
      </c>
      <c r="J2076" s="48">
        <v>46218</v>
      </c>
      <c r="K2076" s="49"/>
      <c r="L2076" s="50">
        <v>4192402344</v>
      </c>
    </row>
    <row r="2077" spans="1:12" ht="15" customHeight="1" x14ac:dyDescent="0.35">
      <c r="A2077" s="85" t="s">
        <v>29</v>
      </c>
      <c r="B2077" s="86">
        <v>5926</v>
      </c>
      <c r="C2077" s="87"/>
      <c r="D2077" s="88">
        <v>46216</v>
      </c>
      <c r="E2077" s="43">
        <v>904500</v>
      </c>
      <c r="F2077" s="44">
        <f t="shared" si="90"/>
        <v>72360</v>
      </c>
      <c r="G2077" s="45">
        <f t="shared" si="91"/>
        <v>976860</v>
      </c>
      <c r="H2077" s="46"/>
      <c r="I2077" s="47">
        <f t="shared" si="89"/>
        <v>976860</v>
      </c>
      <c r="J2077" s="48">
        <v>46218</v>
      </c>
      <c r="K2077" s="49"/>
      <c r="L2077" s="50">
        <v>4192402404</v>
      </c>
    </row>
    <row r="2078" spans="1:12" ht="15" customHeight="1" x14ac:dyDescent="0.35">
      <c r="A2078" s="85" t="s">
        <v>85</v>
      </c>
      <c r="B2078" s="86">
        <v>5927</v>
      </c>
      <c r="C2078" s="87"/>
      <c r="D2078" s="88">
        <v>46216</v>
      </c>
      <c r="E2078" s="43">
        <v>3496500</v>
      </c>
      <c r="F2078" s="44">
        <f t="shared" si="90"/>
        <v>279720</v>
      </c>
      <c r="G2078" s="45">
        <f t="shared" si="91"/>
        <v>3776220</v>
      </c>
      <c r="H2078" s="46"/>
      <c r="I2078" s="47">
        <f t="shared" si="89"/>
        <v>3776220</v>
      </c>
      <c r="J2078" s="48">
        <v>46218</v>
      </c>
      <c r="K2078" s="49"/>
      <c r="L2078" s="50">
        <v>4192409643</v>
      </c>
    </row>
    <row r="2079" spans="1:12" ht="15" customHeight="1" x14ac:dyDescent="0.35">
      <c r="A2079" s="85" t="s">
        <v>123</v>
      </c>
      <c r="B2079" s="86">
        <v>5928</v>
      </c>
      <c r="C2079" s="87"/>
      <c r="D2079" s="88">
        <v>46216</v>
      </c>
      <c r="E2079" s="43">
        <v>2385000</v>
      </c>
      <c r="F2079" s="44">
        <f t="shared" si="90"/>
        <v>190800</v>
      </c>
      <c r="G2079" s="45">
        <f t="shared" si="91"/>
        <v>2575800</v>
      </c>
      <c r="H2079" s="46"/>
      <c r="I2079" s="47">
        <f t="shared" si="89"/>
        <v>2575800</v>
      </c>
      <c r="J2079" s="48">
        <v>46218</v>
      </c>
      <c r="K2079" s="49"/>
      <c r="L2079" s="50">
        <v>4192409752</v>
      </c>
    </row>
    <row r="2080" spans="1:12" ht="15" customHeight="1" x14ac:dyDescent="0.35">
      <c r="A2080" s="114" t="s">
        <v>63</v>
      </c>
      <c r="B2080" s="115">
        <v>5929</v>
      </c>
      <c r="C2080" s="116"/>
      <c r="D2080" s="117">
        <v>46216</v>
      </c>
      <c r="E2080" s="59">
        <v>452250</v>
      </c>
      <c r="F2080" s="44">
        <f t="shared" si="90"/>
        <v>36180</v>
      </c>
      <c r="G2080" s="61">
        <f t="shared" si="91"/>
        <v>488430</v>
      </c>
      <c r="H2080" s="59"/>
      <c r="I2080" s="62">
        <f t="shared" si="89"/>
        <v>488430</v>
      </c>
      <c r="J2080" s="48">
        <v>46218</v>
      </c>
      <c r="K2080" s="64"/>
      <c r="L2080" s="65">
        <v>4192410978</v>
      </c>
    </row>
    <row r="2081" spans="1:12" ht="15" customHeight="1" x14ac:dyDescent="0.35">
      <c r="A2081" s="85" t="s">
        <v>77</v>
      </c>
      <c r="B2081" s="86">
        <v>5987</v>
      </c>
      <c r="C2081" s="87"/>
      <c r="D2081" s="88">
        <v>46217</v>
      </c>
      <c r="E2081" s="43">
        <v>12096000</v>
      </c>
      <c r="F2081" s="44">
        <f t="shared" si="90"/>
        <v>967680</v>
      </c>
      <c r="G2081" s="45">
        <f t="shared" si="91"/>
        <v>13063680</v>
      </c>
      <c r="H2081" s="46"/>
      <c r="I2081" s="47">
        <f t="shared" si="89"/>
        <v>13063680</v>
      </c>
      <c r="J2081" s="48">
        <v>46218</v>
      </c>
      <c r="K2081" s="49"/>
      <c r="L2081" s="50">
        <v>4192563891</v>
      </c>
    </row>
    <row r="2082" spans="1:12" ht="15" customHeight="1" x14ac:dyDescent="0.35">
      <c r="A2082" s="85" t="s">
        <v>29</v>
      </c>
      <c r="B2082" s="86">
        <v>6421</v>
      </c>
      <c r="C2082" s="87"/>
      <c r="D2082" s="88">
        <v>46232</v>
      </c>
      <c r="E2082" s="43">
        <v>864000</v>
      </c>
      <c r="F2082" s="44">
        <f t="shared" si="90"/>
        <v>69120</v>
      </c>
      <c r="G2082" s="45">
        <f t="shared" si="91"/>
        <v>933120</v>
      </c>
      <c r="H2082" s="46"/>
      <c r="I2082" s="47">
        <f t="shared" si="89"/>
        <v>933120</v>
      </c>
      <c r="J2082" s="48">
        <v>46234</v>
      </c>
      <c r="K2082" s="49"/>
      <c r="L2082" s="50">
        <v>4192574986</v>
      </c>
    </row>
    <row r="2083" spans="1:12" ht="15" customHeight="1" x14ac:dyDescent="0.35">
      <c r="A2083" s="85" t="s">
        <v>123</v>
      </c>
      <c r="B2083" s="86">
        <v>5988</v>
      </c>
      <c r="C2083" s="87"/>
      <c r="D2083" s="88">
        <v>46217</v>
      </c>
      <c r="E2083" s="43">
        <v>813600</v>
      </c>
      <c r="F2083" s="44">
        <f t="shared" si="90"/>
        <v>65088</v>
      </c>
      <c r="G2083" s="45">
        <f t="shared" si="91"/>
        <v>878688</v>
      </c>
      <c r="H2083" s="46"/>
      <c r="I2083" s="47">
        <f t="shared" si="89"/>
        <v>878688</v>
      </c>
      <c r="J2083" s="48">
        <v>46218</v>
      </c>
      <c r="K2083" s="49"/>
      <c r="L2083" s="50">
        <v>4192409556</v>
      </c>
    </row>
    <row r="2084" spans="1:12" ht="15" customHeight="1" x14ac:dyDescent="0.35">
      <c r="A2084" s="85" t="s">
        <v>37</v>
      </c>
      <c r="B2084" s="86">
        <v>5989</v>
      </c>
      <c r="C2084" s="87"/>
      <c r="D2084" s="88">
        <v>46217</v>
      </c>
      <c r="E2084" s="43">
        <v>3744000</v>
      </c>
      <c r="F2084" s="44">
        <f t="shared" si="90"/>
        <v>299520</v>
      </c>
      <c r="G2084" s="45">
        <f t="shared" si="91"/>
        <v>4043520</v>
      </c>
      <c r="H2084" s="46"/>
      <c r="I2084" s="47">
        <f t="shared" si="89"/>
        <v>4043520</v>
      </c>
      <c r="J2084" s="48">
        <v>46218</v>
      </c>
      <c r="K2084" s="49"/>
      <c r="L2084" s="50">
        <v>4192659316</v>
      </c>
    </row>
    <row r="2085" spans="1:12" ht="15" customHeight="1" x14ac:dyDescent="0.35">
      <c r="A2085" s="85" t="s">
        <v>56</v>
      </c>
      <c r="B2085" s="86">
        <v>6422</v>
      </c>
      <c r="C2085" s="87"/>
      <c r="D2085" s="88">
        <v>46232</v>
      </c>
      <c r="E2085" s="43">
        <v>936000</v>
      </c>
      <c r="F2085" s="44">
        <f t="shared" si="90"/>
        <v>74880</v>
      </c>
      <c r="G2085" s="45">
        <f t="shared" si="91"/>
        <v>1010880</v>
      </c>
      <c r="H2085" s="46"/>
      <c r="I2085" s="47">
        <f t="shared" si="89"/>
        <v>1010880</v>
      </c>
      <c r="J2085" s="48">
        <v>46234</v>
      </c>
      <c r="K2085" s="49"/>
      <c r="L2085" s="50">
        <v>4192659239</v>
      </c>
    </row>
    <row r="2086" spans="1:12" ht="15" customHeight="1" x14ac:dyDescent="0.35">
      <c r="A2086" s="85" t="s">
        <v>63</v>
      </c>
      <c r="B2086" s="86">
        <v>5990</v>
      </c>
      <c r="C2086" s="87"/>
      <c r="D2086" s="88">
        <v>46217</v>
      </c>
      <c r="E2086" s="43">
        <v>452250</v>
      </c>
      <c r="F2086" s="44">
        <f t="shared" si="90"/>
        <v>36180</v>
      </c>
      <c r="G2086" s="45">
        <f t="shared" si="91"/>
        <v>488430</v>
      </c>
      <c r="H2086" s="46"/>
      <c r="I2086" s="47">
        <f t="shared" si="89"/>
        <v>488430</v>
      </c>
      <c r="J2086" s="48">
        <v>46218</v>
      </c>
      <c r="K2086" s="49"/>
      <c r="L2086" s="50">
        <v>4192609397</v>
      </c>
    </row>
    <row r="2087" spans="1:12" ht="15" customHeight="1" x14ac:dyDescent="0.35">
      <c r="A2087" s="85" t="s">
        <v>123</v>
      </c>
      <c r="B2087" s="86">
        <v>5991</v>
      </c>
      <c r="C2087" s="87"/>
      <c r="D2087" s="88">
        <v>46217</v>
      </c>
      <c r="E2087" s="43">
        <v>3528000</v>
      </c>
      <c r="F2087" s="44">
        <f t="shared" si="90"/>
        <v>282240</v>
      </c>
      <c r="G2087" s="45">
        <f t="shared" si="91"/>
        <v>3810240</v>
      </c>
      <c r="H2087" s="46"/>
      <c r="I2087" s="47">
        <f t="shared" si="89"/>
        <v>3810240</v>
      </c>
      <c r="J2087" s="48">
        <v>46218</v>
      </c>
      <c r="K2087" s="49"/>
      <c r="L2087" s="50">
        <v>4192659198</v>
      </c>
    </row>
    <row r="2088" spans="1:12" ht="15" customHeight="1" x14ac:dyDescent="0.35">
      <c r="A2088" s="114" t="s">
        <v>85</v>
      </c>
      <c r="B2088" s="115">
        <v>5992</v>
      </c>
      <c r="C2088" s="116"/>
      <c r="D2088" s="117">
        <v>46217</v>
      </c>
      <c r="E2088" s="59">
        <v>3364200</v>
      </c>
      <c r="F2088" s="44">
        <f t="shared" si="90"/>
        <v>269136</v>
      </c>
      <c r="G2088" s="61">
        <f t="shared" si="91"/>
        <v>3633336</v>
      </c>
      <c r="H2088" s="59"/>
      <c r="I2088" s="62">
        <f t="shared" si="89"/>
        <v>3633336</v>
      </c>
      <c r="J2088" s="48">
        <v>46218</v>
      </c>
      <c r="K2088" s="64"/>
      <c r="L2088" s="65">
        <v>4192659129</v>
      </c>
    </row>
    <row r="2089" spans="1:12" ht="15" customHeight="1" x14ac:dyDescent="0.35">
      <c r="A2089" s="85" t="s">
        <v>29</v>
      </c>
      <c r="B2089" s="86">
        <v>6424</v>
      </c>
      <c r="C2089" s="87"/>
      <c r="D2089" s="88">
        <v>46232</v>
      </c>
      <c r="E2089" s="43">
        <v>9360000</v>
      </c>
      <c r="F2089" s="44">
        <f t="shared" si="90"/>
        <v>748800</v>
      </c>
      <c r="G2089" s="45">
        <f t="shared" si="91"/>
        <v>10108800</v>
      </c>
      <c r="H2089" s="46"/>
      <c r="I2089" s="47">
        <f t="shared" si="89"/>
        <v>10108800</v>
      </c>
      <c r="J2089" s="48">
        <v>46234</v>
      </c>
      <c r="K2089" s="49"/>
      <c r="L2089" s="50">
        <v>4192668670</v>
      </c>
    </row>
    <row r="2090" spans="1:12" ht="15" customHeight="1" x14ac:dyDescent="0.35">
      <c r="A2090" s="85" t="s">
        <v>29</v>
      </c>
      <c r="B2090" s="86">
        <v>6425</v>
      </c>
      <c r="C2090" s="87"/>
      <c r="D2090" s="88">
        <v>46232</v>
      </c>
      <c r="E2090" s="43">
        <v>640000</v>
      </c>
      <c r="F2090" s="44">
        <f t="shared" si="90"/>
        <v>51200</v>
      </c>
      <c r="G2090" s="45">
        <f t="shared" si="91"/>
        <v>691200</v>
      </c>
      <c r="H2090" s="46"/>
      <c r="I2090" s="47">
        <f t="shared" si="89"/>
        <v>691200</v>
      </c>
      <c r="J2090" s="48">
        <v>46234</v>
      </c>
      <c r="K2090" s="49"/>
      <c r="L2090" s="50">
        <v>4192652589</v>
      </c>
    </row>
    <row r="2091" spans="1:12" ht="15" customHeight="1" x14ac:dyDescent="0.35">
      <c r="A2091" s="85" t="s">
        <v>37</v>
      </c>
      <c r="B2091" s="86">
        <v>5993</v>
      </c>
      <c r="C2091" s="87"/>
      <c r="D2091" s="88">
        <v>46217</v>
      </c>
      <c r="E2091" s="43">
        <v>1280000</v>
      </c>
      <c r="F2091" s="44">
        <f t="shared" si="90"/>
        <v>102400</v>
      </c>
      <c r="G2091" s="45">
        <f t="shared" si="91"/>
        <v>1382400</v>
      </c>
      <c r="H2091" s="46"/>
      <c r="I2091" s="47">
        <f t="shared" si="89"/>
        <v>1382400</v>
      </c>
      <c r="J2091" s="48">
        <v>46218</v>
      </c>
      <c r="K2091" s="49"/>
      <c r="L2091" s="50">
        <v>4192652174</v>
      </c>
    </row>
    <row r="2092" spans="1:12" ht="15" customHeight="1" x14ac:dyDescent="0.35">
      <c r="A2092" s="85" t="s">
        <v>56</v>
      </c>
      <c r="B2092" s="86">
        <v>6426</v>
      </c>
      <c r="C2092" s="87"/>
      <c r="D2092" s="88">
        <v>46232</v>
      </c>
      <c r="E2092" s="43">
        <v>1280000</v>
      </c>
      <c r="F2092" s="44">
        <f t="shared" si="90"/>
        <v>102400</v>
      </c>
      <c r="G2092" s="45">
        <f t="shared" si="91"/>
        <v>1382400</v>
      </c>
      <c r="H2092" s="46"/>
      <c r="I2092" s="47">
        <f t="shared" si="89"/>
        <v>1382400</v>
      </c>
      <c r="J2092" s="48">
        <v>46234</v>
      </c>
      <c r="K2092" s="49"/>
      <c r="L2092" s="50">
        <v>4192667531</v>
      </c>
    </row>
    <row r="2093" spans="1:12" ht="15" customHeight="1" x14ac:dyDescent="0.35">
      <c r="A2093" s="114" t="s">
        <v>33</v>
      </c>
      <c r="B2093" s="115">
        <v>5994</v>
      </c>
      <c r="C2093" s="116"/>
      <c r="D2093" s="117">
        <v>46217</v>
      </c>
      <c r="E2093" s="59">
        <v>9914400</v>
      </c>
      <c r="F2093" s="44">
        <f t="shared" si="90"/>
        <v>793152</v>
      </c>
      <c r="G2093" s="61">
        <f t="shared" si="91"/>
        <v>10707552</v>
      </c>
      <c r="H2093" s="59"/>
      <c r="I2093" s="62">
        <f t="shared" si="89"/>
        <v>10707552</v>
      </c>
      <c r="J2093" s="48">
        <v>46218</v>
      </c>
      <c r="K2093" s="64"/>
      <c r="L2093" s="65">
        <v>4901304616</v>
      </c>
    </row>
    <row r="2094" spans="1:12" ht="15" customHeight="1" x14ac:dyDescent="0.35">
      <c r="A2094" s="85" t="s">
        <v>33</v>
      </c>
      <c r="B2094" s="86">
        <v>5996</v>
      </c>
      <c r="C2094" s="87"/>
      <c r="D2094" s="88">
        <v>46217</v>
      </c>
      <c r="E2094" s="43">
        <v>3840000</v>
      </c>
      <c r="F2094" s="44">
        <f t="shared" si="90"/>
        <v>307200</v>
      </c>
      <c r="G2094" s="45">
        <f t="shared" si="91"/>
        <v>4147200</v>
      </c>
      <c r="H2094" s="46"/>
      <c r="I2094" s="47">
        <f t="shared" si="89"/>
        <v>4147200</v>
      </c>
      <c r="J2094" s="48">
        <v>46218</v>
      </c>
      <c r="K2094" s="49"/>
      <c r="L2094" s="50">
        <v>4901304557</v>
      </c>
    </row>
    <row r="2095" spans="1:12" ht="15" customHeight="1" x14ac:dyDescent="0.35">
      <c r="A2095" s="85" t="s">
        <v>29</v>
      </c>
      <c r="B2095" s="86">
        <v>6427</v>
      </c>
      <c r="C2095" s="87"/>
      <c r="D2095" s="88">
        <v>46232</v>
      </c>
      <c r="E2095" s="43">
        <v>9000000</v>
      </c>
      <c r="F2095" s="44">
        <f t="shared" si="90"/>
        <v>720000</v>
      </c>
      <c r="G2095" s="45">
        <f t="shared" si="91"/>
        <v>9720000</v>
      </c>
      <c r="H2095" s="46"/>
      <c r="I2095" s="47">
        <f t="shared" si="89"/>
        <v>9720000</v>
      </c>
      <c r="J2095" s="48">
        <v>46234</v>
      </c>
      <c r="K2095" s="49"/>
      <c r="L2095" s="50">
        <v>4192785960</v>
      </c>
    </row>
    <row r="2096" spans="1:12" ht="15" customHeight="1" x14ac:dyDescent="0.35">
      <c r="A2096" s="85" t="s">
        <v>37</v>
      </c>
      <c r="B2096" s="86">
        <v>6428</v>
      </c>
      <c r="C2096" s="87"/>
      <c r="D2096" s="88">
        <v>46232</v>
      </c>
      <c r="E2096" s="43">
        <v>904500</v>
      </c>
      <c r="F2096" s="44">
        <f t="shared" si="90"/>
        <v>72360</v>
      </c>
      <c r="G2096" s="45">
        <f t="shared" si="91"/>
        <v>976860</v>
      </c>
      <c r="H2096" s="46"/>
      <c r="I2096" s="47">
        <f t="shared" si="89"/>
        <v>976860</v>
      </c>
      <c r="J2096" s="48">
        <v>46234</v>
      </c>
      <c r="K2096" s="49"/>
      <c r="L2096" s="50">
        <v>4192802546</v>
      </c>
    </row>
    <row r="2097" spans="1:12" ht="15" customHeight="1" x14ac:dyDescent="0.35">
      <c r="A2097" s="85" t="s">
        <v>85</v>
      </c>
      <c r="B2097" s="86">
        <v>6429</v>
      </c>
      <c r="C2097" s="87"/>
      <c r="D2097" s="88">
        <v>46232</v>
      </c>
      <c r="E2097" s="43">
        <v>3208500</v>
      </c>
      <c r="F2097" s="44">
        <f t="shared" si="90"/>
        <v>256680</v>
      </c>
      <c r="G2097" s="45">
        <f t="shared" si="91"/>
        <v>3465180</v>
      </c>
      <c r="H2097" s="46"/>
      <c r="I2097" s="47">
        <f t="shared" si="89"/>
        <v>3465180</v>
      </c>
      <c r="J2097" s="48">
        <v>46234</v>
      </c>
      <c r="K2097" s="49"/>
      <c r="L2097" s="50">
        <v>4192825374</v>
      </c>
    </row>
    <row r="2098" spans="1:12" ht="15" customHeight="1" x14ac:dyDescent="0.35">
      <c r="A2098" s="85" t="s">
        <v>123</v>
      </c>
      <c r="B2098" s="86">
        <v>6430</v>
      </c>
      <c r="C2098" s="87"/>
      <c r="D2098" s="88">
        <v>46232</v>
      </c>
      <c r="E2098" s="43">
        <v>2241000</v>
      </c>
      <c r="F2098" s="44">
        <f t="shared" si="90"/>
        <v>179280</v>
      </c>
      <c r="G2098" s="45">
        <f t="shared" si="91"/>
        <v>2420280</v>
      </c>
      <c r="H2098" s="46"/>
      <c r="I2098" s="47">
        <f t="shared" si="89"/>
        <v>2420280</v>
      </c>
      <c r="J2098" s="48">
        <v>46234</v>
      </c>
      <c r="K2098" s="49"/>
      <c r="L2098" s="50">
        <v>4192802592</v>
      </c>
    </row>
    <row r="2099" spans="1:12" ht="15" customHeight="1" x14ac:dyDescent="0.35">
      <c r="A2099" s="85" t="s">
        <v>123</v>
      </c>
      <c r="B2099" s="86">
        <v>6431</v>
      </c>
      <c r="C2099" s="87"/>
      <c r="D2099" s="88">
        <v>46232</v>
      </c>
      <c r="E2099" s="43">
        <v>2704500</v>
      </c>
      <c r="F2099" s="44">
        <f t="shared" si="90"/>
        <v>216360</v>
      </c>
      <c r="G2099" s="45">
        <f t="shared" si="91"/>
        <v>2920860</v>
      </c>
      <c r="H2099" s="46"/>
      <c r="I2099" s="47">
        <f t="shared" si="89"/>
        <v>2920860</v>
      </c>
      <c r="J2099" s="48">
        <v>46234</v>
      </c>
      <c r="K2099" s="49"/>
      <c r="L2099" s="50">
        <v>4192659189</v>
      </c>
    </row>
    <row r="2100" spans="1:12" ht="15" customHeight="1" x14ac:dyDescent="0.35">
      <c r="A2100" s="114" t="s">
        <v>123</v>
      </c>
      <c r="B2100" s="115">
        <v>6432</v>
      </c>
      <c r="C2100" s="116"/>
      <c r="D2100" s="117">
        <v>46232</v>
      </c>
      <c r="E2100" s="59">
        <v>9899100</v>
      </c>
      <c r="F2100" s="44">
        <f t="shared" si="90"/>
        <v>791928</v>
      </c>
      <c r="G2100" s="61">
        <f t="shared" si="91"/>
        <v>10691028</v>
      </c>
      <c r="H2100" s="59"/>
      <c r="I2100" s="62">
        <f t="shared" si="89"/>
        <v>10691028</v>
      </c>
      <c r="J2100" s="48">
        <v>46234</v>
      </c>
      <c r="K2100" s="64"/>
      <c r="L2100" s="65">
        <v>4193017885</v>
      </c>
    </row>
    <row r="2101" spans="1:12" ht="15" customHeight="1" x14ac:dyDescent="0.35">
      <c r="A2101" s="85" t="s">
        <v>206</v>
      </c>
      <c r="B2101" s="86">
        <v>6435</v>
      </c>
      <c r="C2101" s="87"/>
      <c r="D2101" s="88">
        <v>46232</v>
      </c>
      <c r="E2101" s="43">
        <v>640000</v>
      </c>
      <c r="F2101" s="44">
        <f t="shared" si="90"/>
        <v>51200</v>
      </c>
      <c r="G2101" s="45">
        <f t="shared" si="91"/>
        <v>691200</v>
      </c>
      <c r="H2101" s="46"/>
      <c r="I2101" s="47">
        <f t="shared" si="89"/>
        <v>691200</v>
      </c>
      <c r="J2101" s="48">
        <v>46234</v>
      </c>
      <c r="K2101" s="49"/>
      <c r="L2101" s="50">
        <v>4192898135</v>
      </c>
    </row>
    <row r="2102" spans="1:12" ht="15" customHeight="1" x14ac:dyDescent="0.35">
      <c r="A2102" s="114" t="s">
        <v>33</v>
      </c>
      <c r="B2102" s="115">
        <v>6438</v>
      </c>
      <c r="C2102" s="116"/>
      <c r="D2102" s="117">
        <v>46232</v>
      </c>
      <c r="E2102" s="59">
        <v>12432600</v>
      </c>
      <c r="F2102" s="44">
        <f t="shared" si="90"/>
        <v>994608</v>
      </c>
      <c r="G2102" s="61">
        <f t="shared" si="91"/>
        <v>13427208</v>
      </c>
      <c r="H2102" s="59"/>
      <c r="I2102" s="62">
        <f t="shared" si="89"/>
        <v>13427208</v>
      </c>
      <c r="J2102" s="48">
        <v>46234</v>
      </c>
      <c r="K2102" s="64"/>
      <c r="L2102" s="65">
        <v>4901305839</v>
      </c>
    </row>
    <row r="2103" spans="1:12" ht="15" customHeight="1" x14ac:dyDescent="0.35">
      <c r="A2103" s="114" t="s">
        <v>33</v>
      </c>
      <c r="B2103" s="115">
        <v>6439</v>
      </c>
      <c r="C2103" s="116"/>
      <c r="D2103" s="117">
        <v>46232</v>
      </c>
      <c r="E2103" s="59">
        <v>4336000</v>
      </c>
      <c r="F2103" s="44">
        <f t="shared" si="90"/>
        <v>346880</v>
      </c>
      <c r="G2103" s="61">
        <f t="shared" si="91"/>
        <v>4682880</v>
      </c>
      <c r="H2103" s="59"/>
      <c r="I2103" s="62">
        <f t="shared" si="89"/>
        <v>4682880</v>
      </c>
      <c r="J2103" s="48">
        <v>46234</v>
      </c>
      <c r="K2103" s="64"/>
      <c r="L2103" s="65">
        <v>4901305820</v>
      </c>
    </row>
    <row r="2104" spans="1:12" ht="15" customHeight="1" x14ac:dyDescent="0.35">
      <c r="A2104" s="85" t="s">
        <v>37</v>
      </c>
      <c r="B2104" s="86">
        <v>6440</v>
      </c>
      <c r="C2104" s="87"/>
      <c r="D2104" s="88">
        <v>46232</v>
      </c>
      <c r="E2104" s="43">
        <v>3200000</v>
      </c>
      <c r="F2104" s="44">
        <f t="shared" si="90"/>
        <v>256000</v>
      </c>
      <c r="G2104" s="45">
        <f t="shared" si="91"/>
        <v>3456000</v>
      </c>
      <c r="H2104" s="46"/>
      <c r="I2104" s="47">
        <f t="shared" si="89"/>
        <v>3456000</v>
      </c>
      <c r="J2104" s="48">
        <v>46234</v>
      </c>
      <c r="K2104" s="49"/>
      <c r="L2104" s="50">
        <v>4193069344</v>
      </c>
    </row>
    <row r="2105" spans="1:12" ht="15" customHeight="1" x14ac:dyDescent="0.35">
      <c r="A2105" s="85" t="s">
        <v>29</v>
      </c>
      <c r="B2105" s="86">
        <v>6441</v>
      </c>
      <c r="C2105" s="87"/>
      <c r="D2105" s="88">
        <v>46232</v>
      </c>
      <c r="E2105" s="43">
        <v>5832000</v>
      </c>
      <c r="F2105" s="44">
        <f t="shared" si="90"/>
        <v>466560</v>
      </c>
      <c r="G2105" s="45">
        <f t="shared" si="91"/>
        <v>6298560</v>
      </c>
      <c r="H2105" s="46"/>
      <c r="I2105" s="47">
        <f t="shared" si="89"/>
        <v>6298560</v>
      </c>
      <c r="J2105" s="48">
        <v>46234</v>
      </c>
      <c r="K2105" s="49"/>
      <c r="L2105" s="50">
        <v>4193095463</v>
      </c>
    </row>
    <row r="2106" spans="1:12" ht="15" customHeight="1" x14ac:dyDescent="0.35">
      <c r="A2106" s="85" t="s">
        <v>37</v>
      </c>
      <c r="B2106" s="86">
        <v>6442</v>
      </c>
      <c r="C2106" s="87"/>
      <c r="D2106" s="88">
        <v>46232</v>
      </c>
      <c r="E2106" s="43">
        <v>936000</v>
      </c>
      <c r="F2106" s="44">
        <f t="shared" si="90"/>
        <v>74880</v>
      </c>
      <c r="G2106" s="45">
        <f t="shared" si="91"/>
        <v>1010880</v>
      </c>
      <c r="H2106" s="46"/>
      <c r="I2106" s="47">
        <f t="shared" si="89"/>
        <v>1010880</v>
      </c>
      <c r="J2106" s="48">
        <v>46234</v>
      </c>
      <c r="K2106" s="49"/>
      <c r="L2106" s="50">
        <v>4193089222</v>
      </c>
    </row>
    <row r="2107" spans="1:12" ht="15" customHeight="1" x14ac:dyDescent="0.35">
      <c r="A2107" s="114" t="s">
        <v>85</v>
      </c>
      <c r="B2107" s="115">
        <v>6443</v>
      </c>
      <c r="C2107" s="116"/>
      <c r="D2107" s="117">
        <v>46232</v>
      </c>
      <c r="E2107" s="59">
        <v>1227600</v>
      </c>
      <c r="F2107" s="44">
        <f t="shared" si="90"/>
        <v>98208</v>
      </c>
      <c r="G2107" s="61">
        <f t="shared" si="91"/>
        <v>1325808</v>
      </c>
      <c r="H2107" s="59"/>
      <c r="I2107" s="62">
        <f t="shared" si="89"/>
        <v>1325808</v>
      </c>
      <c r="J2107" s="48">
        <v>46234</v>
      </c>
      <c r="K2107" s="64"/>
      <c r="L2107" s="65">
        <v>4193089122</v>
      </c>
    </row>
    <row r="2108" spans="1:12" ht="15" customHeight="1" x14ac:dyDescent="0.35">
      <c r="A2108" s="85" t="s">
        <v>56</v>
      </c>
      <c r="B2108" s="86">
        <v>6444</v>
      </c>
      <c r="C2108" s="87"/>
      <c r="D2108" s="88">
        <v>46232</v>
      </c>
      <c r="E2108" s="43">
        <v>640000</v>
      </c>
      <c r="F2108" s="44">
        <f t="shared" si="90"/>
        <v>51200</v>
      </c>
      <c r="G2108" s="45">
        <f t="shared" si="91"/>
        <v>691200</v>
      </c>
      <c r="H2108" s="46"/>
      <c r="I2108" s="47">
        <f t="shared" si="89"/>
        <v>691200</v>
      </c>
      <c r="J2108" s="48">
        <v>46234</v>
      </c>
      <c r="K2108" s="49"/>
      <c r="L2108" s="50">
        <v>4193094541</v>
      </c>
    </row>
    <row r="2109" spans="1:12" ht="15" customHeight="1" x14ac:dyDescent="0.35">
      <c r="A2109" s="85" t="s">
        <v>63</v>
      </c>
      <c r="B2109" s="86">
        <v>6445</v>
      </c>
      <c r="C2109" s="87"/>
      <c r="D2109" s="88">
        <v>46232</v>
      </c>
      <c r="E2109" s="43">
        <v>640000</v>
      </c>
      <c r="F2109" s="44">
        <f t="shared" si="90"/>
        <v>51200</v>
      </c>
      <c r="G2109" s="45">
        <f t="shared" si="91"/>
        <v>691200</v>
      </c>
      <c r="H2109" s="46"/>
      <c r="I2109" s="47">
        <f t="shared" si="89"/>
        <v>691200</v>
      </c>
      <c r="J2109" s="48">
        <v>46234</v>
      </c>
      <c r="K2109" s="49"/>
      <c r="L2109" s="50">
        <v>4193095313</v>
      </c>
    </row>
    <row r="2110" spans="1:12" ht="15" customHeight="1" x14ac:dyDescent="0.35">
      <c r="A2110" s="85" t="s">
        <v>29</v>
      </c>
      <c r="B2110" s="86">
        <v>6446</v>
      </c>
      <c r="C2110" s="87"/>
      <c r="D2110" s="88">
        <v>46232</v>
      </c>
      <c r="E2110" s="43">
        <v>2320000</v>
      </c>
      <c r="F2110" s="44">
        <f t="shared" si="90"/>
        <v>185600</v>
      </c>
      <c r="G2110" s="45">
        <f t="shared" si="91"/>
        <v>2505600</v>
      </c>
      <c r="H2110" s="46"/>
      <c r="I2110" s="47">
        <f t="shared" si="89"/>
        <v>2505600</v>
      </c>
      <c r="J2110" s="48">
        <v>46234</v>
      </c>
      <c r="K2110" s="49"/>
      <c r="L2110" s="50">
        <v>4193070748</v>
      </c>
    </row>
    <row r="2111" spans="1:12" ht="15" customHeight="1" x14ac:dyDescent="0.35">
      <c r="A2111" s="85" t="s">
        <v>206</v>
      </c>
      <c r="B2111" s="86"/>
      <c r="C2111" s="87"/>
      <c r="D2111" s="88"/>
      <c r="E2111" s="43">
        <v>2304000</v>
      </c>
      <c r="F2111" s="44">
        <f t="shared" si="90"/>
        <v>184320</v>
      </c>
      <c r="G2111" s="45"/>
      <c r="H2111" s="46"/>
      <c r="I2111" s="47">
        <f t="shared" si="89"/>
        <v>0</v>
      </c>
      <c r="J2111" s="48" t="s">
        <v>44</v>
      </c>
      <c r="K2111" s="49"/>
      <c r="L2111" s="50">
        <v>4193097145</v>
      </c>
    </row>
    <row r="2112" spans="1:12" ht="15" customHeight="1" x14ac:dyDescent="0.35">
      <c r="A2112" s="85" t="s">
        <v>123</v>
      </c>
      <c r="B2112" s="86">
        <v>6447</v>
      </c>
      <c r="C2112" s="87"/>
      <c r="D2112" s="88">
        <v>46232</v>
      </c>
      <c r="E2112" s="43">
        <v>4104000</v>
      </c>
      <c r="F2112" s="44">
        <f t="shared" si="90"/>
        <v>328320</v>
      </c>
      <c r="G2112" s="45">
        <f t="shared" si="91"/>
        <v>4432320</v>
      </c>
      <c r="H2112" s="46"/>
      <c r="I2112" s="47">
        <f t="shared" si="89"/>
        <v>4432320</v>
      </c>
      <c r="J2112" s="48">
        <v>46234</v>
      </c>
      <c r="K2112" s="49"/>
      <c r="L2112" s="50">
        <v>4193088599</v>
      </c>
    </row>
    <row r="2113" spans="1:12" ht="15" customHeight="1" x14ac:dyDescent="0.35">
      <c r="A2113" s="85" t="s">
        <v>123</v>
      </c>
      <c r="B2113" s="86">
        <v>6448</v>
      </c>
      <c r="C2113" s="87"/>
      <c r="D2113" s="88">
        <v>46232</v>
      </c>
      <c r="E2113" s="43">
        <v>1280000</v>
      </c>
      <c r="F2113" s="44">
        <f t="shared" si="90"/>
        <v>102400</v>
      </c>
      <c r="G2113" s="45">
        <f t="shared" si="91"/>
        <v>1382400</v>
      </c>
      <c r="H2113" s="46"/>
      <c r="I2113" s="47">
        <f t="shared" si="89"/>
        <v>1382400</v>
      </c>
      <c r="J2113" s="48">
        <v>46234</v>
      </c>
      <c r="K2113" s="49"/>
      <c r="L2113" s="50">
        <v>4193095426</v>
      </c>
    </row>
    <row r="2114" spans="1:12" ht="15" customHeight="1" x14ac:dyDescent="0.35">
      <c r="A2114" s="85" t="s">
        <v>123</v>
      </c>
      <c r="B2114" s="86">
        <v>6449</v>
      </c>
      <c r="C2114" s="87"/>
      <c r="D2114" s="88">
        <v>46232</v>
      </c>
      <c r="E2114" s="43">
        <v>864000</v>
      </c>
      <c r="F2114" s="44">
        <f t="shared" si="90"/>
        <v>69120</v>
      </c>
      <c r="G2114" s="45">
        <f t="shared" si="91"/>
        <v>933120</v>
      </c>
      <c r="H2114" s="46"/>
      <c r="I2114" s="47">
        <f t="shared" si="89"/>
        <v>933120</v>
      </c>
      <c r="J2114" s="48">
        <v>46234</v>
      </c>
      <c r="K2114" s="49"/>
      <c r="L2114" s="50">
        <v>4193088806</v>
      </c>
    </row>
    <row r="2115" spans="1:12" ht="15" customHeight="1" x14ac:dyDescent="0.35">
      <c r="A2115" s="85" t="s">
        <v>37</v>
      </c>
      <c r="B2115" s="86">
        <v>6450</v>
      </c>
      <c r="C2115" s="87"/>
      <c r="D2115" s="88">
        <v>46232</v>
      </c>
      <c r="E2115" s="43">
        <v>1332000</v>
      </c>
      <c r="F2115" s="44">
        <f t="shared" si="90"/>
        <v>106560</v>
      </c>
      <c r="G2115" s="45">
        <f t="shared" si="91"/>
        <v>1438560</v>
      </c>
      <c r="H2115" s="46"/>
      <c r="I2115" s="47">
        <f t="shared" si="89"/>
        <v>1438560</v>
      </c>
      <c r="J2115" s="48">
        <v>46234</v>
      </c>
      <c r="K2115" s="49"/>
      <c r="L2115" s="50">
        <v>4193195229</v>
      </c>
    </row>
    <row r="2116" spans="1:12" ht="15" customHeight="1" x14ac:dyDescent="0.35">
      <c r="A2116" s="85" t="s">
        <v>29</v>
      </c>
      <c r="B2116" s="86">
        <v>6451</v>
      </c>
      <c r="C2116" s="87"/>
      <c r="D2116" s="88">
        <v>46232</v>
      </c>
      <c r="E2116" s="43">
        <v>3267000</v>
      </c>
      <c r="F2116" s="44">
        <f t="shared" si="90"/>
        <v>261360</v>
      </c>
      <c r="G2116" s="45">
        <f t="shared" si="91"/>
        <v>3528360</v>
      </c>
      <c r="H2116" s="46"/>
      <c r="I2116" s="47">
        <f t="shared" si="89"/>
        <v>3528360</v>
      </c>
      <c r="J2116" s="48">
        <v>46234</v>
      </c>
      <c r="K2116" s="49"/>
      <c r="L2116" s="50">
        <v>4193188085</v>
      </c>
    </row>
    <row r="2117" spans="1:12" ht="15" customHeight="1" x14ac:dyDescent="0.35">
      <c r="A2117" s="85" t="s">
        <v>3227</v>
      </c>
      <c r="B2117" s="86">
        <v>6452</v>
      </c>
      <c r="C2117" s="87"/>
      <c r="D2117" s="88">
        <v>46232</v>
      </c>
      <c r="E2117" s="43">
        <v>864000</v>
      </c>
      <c r="F2117" s="44">
        <f t="shared" si="90"/>
        <v>69120</v>
      </c>
      <c r="G2117" s="45">
        <f t="shared" si="91"/>
        <v>933120</v>
      </c>
      <c r="H2117" s="46"/>
      <c r="I2117" s="47">
        <f t="shared" si="89"/>
        <v>933120</v>
      </c>
      <c r="J2117" s="48">
        <v>46234</v>
      </c>
      <c r="K2117" s="49"/>
      <c r="L2117" s="50">
        <v>4193188014</v>
      </c>
    </row>
    <row r="2118" spans="1:12" ht="15" customHeight="1" x14ac:dyDescent="0.35">
      <c r="A2118" s="85" t="s">
        <v>123</v>
      </c>
      <c r="B2118" s="86">
        <v>6453</v>
      </c>
      <c r="C2118" s="87"/>
      <c r="D2118" s="88">
        <v>46232</v>
      </c>
      <c r="E2118" s="43">
        <v>1480500</v>
      </c>
      <c r="F2118" s="44">
        <f t="shared" si="90"/>
        <v>118440</v>
      </c>
      <c r="G2118" s="45">
        <f t="shared" si="91"/>
        <v>1598940</v>
      </c>
      <c r="H2118" s="46"/>
      <c r="I2118" s="47">
        <f t="shared" si="89"/>
        <v>1598940</v>
      </c>
      <c r="J2118" s="48">
        <v>46234</v>
      </c>
      <c r="K2118" s="49"/>
      <c r="L2118" s="50">
        <v>4193195097</v>
      </c>
    </row>
    <row r="2119" spans="1:12" ht="15" customHeight="1" x14ac:dyDescent="0.35">
      <c r="A2119" s="85" t="s">
        <v>29</v>
      </c>
      <c r="B2119" s="86">
        <v>6454</v>
      </c>
      <c r="C2119" s="87"/>
      <c r="D2119" s="88">
        <v>46232</v>
      </c>
      <c r="E2119" s="43">
        <v>640000</v>
      </c>
      <c r="F2119" s="44">
        <f t="shared" si="90"/>
        <v>51200</v>
      </c>
      <c r="G2119" s="45">
        <f t="shared" si="91"/>
        <v>691200</v>
      </c>
      <c r="H2119" s="46"/>
      <c r="I2119" s="47">
        <f t="shared" si="89"/>
        <v>691200</v>
      </c>
      <c r="J2119" s="48">
        <v>46234</v>
      </c>
      <c r="K2119" s="49"/>
      <c r="L2119" s="50">
        <v>4193214056</v>
      </c>
    </row>
    <row r="2120" spans="1:12" ht="15" customHeight="1" x14ac:dyDescent="0.35">
      <c r="A2120" s="85" t="s">
        <v>37</v>
      </c>
      <c r="B2120" s="86">
        <v>6455</v>
      </c>
      <c r="C2120" s="87"/>
      <c r="D2120" s="88">
        <v>46232</v>
      </c>
      <c r="E2120" s="43">
        <v>1040000</v>
      </c>
      <c r="F2120" s="44">
        <f t="shared" si="90"/>
        <v>83200</v>
      </c>
      <c r="G2120" s="45">
        <f t="shared" si="91"/>
        <v>1123200</v>
      </c>
      <c r="H2120" s="46"/>
      <c r="I2120" s="47">
        <f t="shared" si="89"/>
        <v>1123200</v>
      </c>
      <c r="J2120" s="48">
        <v>46234</v>
      </c>
      <c r="K2120" s="49"/>
      <c r="L2120" s="50">
        <v>4193213418</v>
      </c>
    </row>
    <row r="2121" spans="1:12" ht="15" customHeight="1" x14ac:dyDescent="0.35">
      <c r="A2121" s="85" t="s">
        <v>123</v>
      </c>
      <c r="B2121" s="86">
        <v>6456</v>
      </c>
      <c r="C2121" s="87"/>
      <c r="D2121" s="88">
        <v>46232</v>
      </c>
      <c r="E2121" s="43">
        <v>576000</v>
      </c>
      <c r="F2121" s="44">
        <f t="shared" si="90"/>
        <v>46080</v>
      </c>
      <c r="G2121" s="45">
        <f t="shared" si="91"/>
        <v>622080</v>
      </c>
      <c r="H2121" s="46"/>
      <c r="I2121" s="47">
        <f t="shared" si="89"/>
        <v>622080</v>
      </c>
      <c r="J2121" s="48">
        <v>46234</v>
      </c>
      <c r="K2121" s="49"/>
      <c r="L2121" s="50">
        <v>4193214374</v>
      </c>
    </row>
    <row r="2122" spans="1:12" ht="15" customHeight="1" x14ac:dyDescent="0.35">
      <c r="A2122" s="114" t="s">
        <v>123</v>
      </c>
      <c r="B2122" s="115">
        <v>6458</v>
      </c>
      <c r="C2122" s="116"/>
      <c r="D2122" s="117">
        <v>46232</v>
      </c>
      <c r="E2122" s="59">
        <v>5329800</v>
      </c>
      <c r="F2122" s="44">
        <f t="shared" si="90"/>
        <v>426384</v>
      </c>
      <c r="G2122" s="61">
        <f t="shared" si="91"/>
        <v>5756184</v>
      </c>
      <c r="H2122" s="59"/>
      <c r="I2122" s="62">
        <f t="shared" si="89"/>
        <v>5756184</v>
      </c>
      <c r="J2122" s="48">
        <v>46234</v>
      </c>
      <c r="K2122" s="64"/>
      <c r="L2122" s="65">
        <v>4193195373</v>
      </c>
    </row>
    <row r="2123" spans="1:12" ht="15" customHeight="1" x14ac:dyDescent="0.35">
      <c r="A2123" s="85" t="s">
        <v>37</v>
      </c>
      <c r="B2123" s="86">
        <v>6461</v>
      </c>
      <c r="C2123" s="87"/>
      <c r="D2123" s="88">
        <v>46232</v>
      </c>
      <c r="E2123" s="43">
        <v>576000</v>
      </c>
      <c r="F2123" s="44">
        <f t="shared" si="90"/>
        <v>46080</v>
      </c>
      <c r="G2123" s="45">
        <f t="shared" si="91"/>
        <v>622080</v>
      </c>
      <c r="H2123" s="46"/>
      <c r="I2123" s="47">
        <f t="shared" si="89"/>
        <v>622080</v>
      </c>
      <c r="J2123" s="48">
        <v>46234</v>
      </c>
      <c r="K2123" s="49"/>
      <c r="L2123" s="50">
        <v>4193412413</v>
      </c>
    </row>
    <row r="2124" spans="1:12" ht="15" customHeight="1" x14ac:dyDescent="0.35">
      <c r="A2124" s="85" t="s">
        <v>56</v>
      </c>
      <c r="B2124" s="86">
        <v>6462</v>
      </c>
      <c r="C2124" s="87"/>
      <c r="D2124" s="88">
        <v>46232</v>
      </c>
      <c r="E2124" s="43">
        <v>640000</v>
      </c>
      <c r="F2124" s="44">
        <f t="shared" si="90"/>
        <v>51200</v>
      </c>
      <c r="G2124" s="45">
        <f t="shared" si="91"/>
        <v>691200</v>
      </c>
      <c r="H2124" s="46"/>
      <c r="I2124" s="47">
        <f t="shared" si="89"/>
        <v>691200</v>
      </c>
      <c r="J2124" s="48">
        <v>46234</v>
      </c>
      <c r="K2124" s="49"/>
      <c r="L2124" s="50">
        <v>4193466064</v>
      </c>
    </row>
    <row r="2125" spans="1:12" ht="15" customHeight="1" x14ac:dyDescent="0.35">
      <c r="A2125" s="85" t="s">
        <v>37</v>
      </c>
      <c r="B2125" s="86">
        <v>6463</v>
      </c>
      <c r="C2125" s="87"/>
      <c r="D2125" s="88">
        <v>46232</v>
      </c>
      <c r="E2125" s="43">
        <v>1920000</v>
      </c>
      <c r="F2125" s="44">
        <f t="shared" si="90"/>
        <v>153600</v>
      </c>
      <c r="G2125" s="45">
        <f t="shared" si="91"/>
        <v>2073600</v>
      </c>
      <c r="H2125" s="46"/>
      <c r="I2125" s="47">
        <f t="shared" si="89"/>
        <v>2073600</v>
      </c>
      <c r="J2125" s="48">
        <v>46234</v>
      </c>
      <c r="K2125" s="49"/>
      <c r="L2125" s="50">
        <v>4193445388</v>
      </c>
    </row>
    <row r="2126" spans="1:12" ht="15" customHeight="1" x14ac:dyDescent="0.35">
      <c r="A2126" s="85" t="s">
        <v>206</v>
      </c>
      <c r="B2126" s="86">
        <v>6986</v>
      </c>
      <c r="C2126" s="87"/>
      <c r="D2126" s="88">
        <v>46248</v>
      </c>
      <c r="E2126" s="43">
        <v>4080000</v>
      </c>
      <c r="F2126" s="44">
        <f t="shared" si="90"/>
        <v>326400</v>
      </c>
      <c r="G2126" s="45">
        <f t="shared" si="91"/>
        <v>4406400</v>
      </c>
      <c r="H2126" s="46"/>
      <c r="I2126" s="47">
        <f t="shared" si="89"/>
        <v>4406400</v>
      </c>
      <c r="J2126" s="48">
        <v>46249</v>
      </c>
      <c r="K2126" s="49"/>
      <c r="L2126" s="50">
        <v>4193474289</v>
      </c>
    </row>
    <row r="2127" spans="1:12" ht="15" customHeight="1" x14ac:dyDescent="0.35">
      <c r="A2127" s="85" t="s">
        <v>29</v>
      </c>
      <c r="B2127" s="86">
        <v>6987</v>
      </c>
      <c r="C2127" s="87"/>
      <c r="D2127" s="88">
        <v>46248</v>
      </c>
      <c r="E2127" s="43">
        <v>16320000</v>
      </c>
      <c r="F2127" s="44">
        <f t="shared" si="90"/>
        <v>1305600</v>
      </c>
      <c r="G2127" s="45">
        <f t="shared" si="91"/>
        <v>17625600</v>
      </c>
      <c r="H2127" s="46"/>
      <c r="I2127" s="47">
        <f t="shared" si="89"/>
        <v>17625600</v>
      </c>
      <c r="J2127" s="48">
        <v>46249</v>
      </c>
      <c r="K2127" s="49"/>
      <c r="L2127" s="50">
        <v>4193474476</v>
      </c>
    </row>
    <row r="2128" spans="1:12" ht="15" customHeight="1" x14ac:dyDescent="0.35">
      <c r="A2128" s="85" t="s">
        <v>37</v>
      </c>
      <c r="B2128" s="86">
        <v>6464</v>
      </c>
      <c r="C2128" s="87"/>
      <c r="D2128" s="88">
        <v>46232</v>
      </c>
      <c r="E2128" s="43">
        <v>1440000</v>
      </c>
      <c r="F2128" s="44">
        <f t="shared" si="90"/>
        <v>115200</v>
      </c>
      <c r="G2128" s="45">
        <f t="shared" si="91"/>
        <v>1555200</v>
      </c>
      <c r="H2128" s="46"/>
      <c r="I2128" s="47">
        <f t="shared" si="89"/>
        <v>1555200</v>
      </c>
      <c r="J2128" s="48">
        <v>46234</v>
      </c>
      <c r="K2128" s="49"/>
      <c r="L2128" s="50">
        <v>4193469556</v>
      </c>
    </row>
    <row r="2129" spans="1:12" ht="15" customHeight="1" x14ac:dyDescent="0.35">
      <c r="A2129" s="114" t="s">
        <v>123</v>
      </c>
      <c r="B2129" s="115">
        <v>6465</v>
      </c>
      <c r="C2129" s="116"/>
      <c r="D2129" s="117">
        <v>46232</v>
      </c>
      <c r="E2129" s="59">
        <v>13248000</v>
      </c>
      <c r="F2129" s="44">
        <f t="shared" si="90"/>
        <v>1059840</v>
      </c>
      <c r="G2129" s="61">
        <f t="shared" si="91"/>
        <v>14307840</v>
      </c>
      <c r="H2129" s="59"/>
      <c r="I2129" s="62">
        <f t="shared" si="89"/>
        <v>14307840</v>
      </c>
      <c r="J2129" s="48">
        <v>46249</v>
      </c>
      <c r="K2129" s="64"/>
      <c r="L2129" s="65">
        <v>4193466830</v>
      </c>
    </row>
    <row r="2130" spans="1:12" ht="15" customHeight="1" x14ac:dyDescent="0.35">
      <c r="A2130" s="85" t="s">
        <v>29</v>
      </c>
      <c r="B2130" s="86">
        <v>6516</v>
      </c>
      <c r="C2130" s="87"/>
      <c r="D2130" s="88">
        <v>46233</v>
      </c>
      <c r="E2130" s="43">
        <v>1280000</v>
      </c>
      <c r="F2130" s="44">
        <f t="shared" si="90"/>
        <v>102400</v>
      </c>
      <c r="G2130" s="45">
        <f t="shared" si="91"/>
        <v>1382400</v>
      </c>
      <c r="H2130" s="46"/>
      <c r="I2130" s="47">
        <f t="shared" si="89"/>
        <v>1382400</v>
      </c>
      <c r="J2130" s="48">
        <v>46234</v>
      </c>
      <c r="K2130" s="49"/>
      <c r="L2130" s="50">
        <v>4193445648</v>
      </c>
    </row>
    <row r="2131" spans="1:12" ht="15" customHeight="1" x14ac:dyDescent="0.35">
      <c r="A2131" s="85" t="s">
        <v>85</v>
      </c>
      <c r="B2131" s="86">
        <v>6466</v>
      </c>
      <c r="C2131" s="87"/>
      <c r="D2131" s="88">
        <v>46232</v>
      </c>
      <c r="E2131" s="43">
        <v>1512000</v>
      </c>
      <c r="F2131" s="44">
        <f t="shared" si="90"/>
        <v>120960</v>
      </c>
      <c r="G2131" s="45">
        <f t="shared" si="91"/>
        <v>1632960</v>
      </c>
      <c r="H2131" s="46"/>
      <c r="I2131" s="47">
        <f t="shared" si="89"/>
        <v>1632960</v>
      </c>
      <c r="J2131" s="48">
        <v>46249</v>
      </c>
      <c r="K2131" s="49"/>
      <c r="L2131" s="50">
        <v>4193469266</v>
      </c>
    </row>
    <row r="2132" spans="1:12" ht="15" customHeight="1" x14ac:dyDescent="0.35">
      <c r="A2132" s="85" t="s">
        <v>56</v>
      </c>
      <c r="B2132" s="86">
        <v>6467</v>
      </c>
      <c r="C2132" s="87"/>
      <c r="D2132" s="88">
        <v>46232</v>
      </c>
      <c r="E2132" s="43">
        <v>1020000</v>
      </c>
      <c r="F2132" s="44">
        <f t="shared" si="90"/>
        <v>81600</v>
      </c>
      <c r="G2132" s="45">
        <f t="shared" si="91"/>
        <v>1101600</v>
      </c>
      <c r="H2132" s="46"/>
      <c r="I2132" s="47">
        <f t="shared" si="89"/>
        <v>1101600</v>
      </c>
      <c r="J2132" s="48">
        <v>46249</v>
      </c>
      <c r="K2132" s="49"/>
      <c r="L2132" s="50">
        <v>4193474479</v>
      </c>
    </row>
    <row r="2133" spans="1:12" ht="15" customHeight="1" x14ac:dyDescent="0.35">
      <c r="A2133" s="85" t="s">
        <v>56</v>
      </c>
      <c r="B2133" s="86">
        <v>6468</v>
      </c>
      <c r="C2133" s="87"/>
      <c r="D2133" s="88">
        <v>46232</v>
      </c>
      <c r="E2133" s="43">
        <v>864000</v>
      </c>
      <c r="F2133" s="44">
        <f t="shared" si="90"/>
        <v>69120</v>
      </c>
      <c r="G2133" s="45">
        <f t="shared" si="91"/>
        <v>933120</v>
      </c>
      <c r="H2133" s="46"/>
      <c r="I2133" s="47">
        <f t="shared" si="89"/>
        <v>933120</v>
      </c>
      <c r="J2133" s="48">
        <v>46249</v>
      </c>
      <c r="K2133" s="49"/>
      <c r="L2133" s="50">
        <v>4193469431</v>
      </c>
    </row>
    <row r="2134" spans="1:12" ht="15" customHeight="1" x14ac:dyDescent="0.35">
      <c r="A2134" s="114" t="s">
        <v>29</v>
      </c>
      <c r="B2134" s="115">
        <v>6988</v>
      </c>
      <c r="C2134" s="116"/>
      <c r="D2134" s="117">
        <v>46248</v>
      </c>
      <c r="E2134" s="59">
        <v>11779200</v>
      </c>
      <c r="F2134" s="44">
        <f t="shared" si="90"/>
        <v>942336</v>
      </c>
      <c r="G2134" s="61">
        <f t="shared" si="91"/>
        <v>12721536</v>
      </c>
      <c r="H2134" s="59"/>
      <c r="I2134" s="62">
        <f t="shared" si="89"/>
        <v>12721536</v>
      </c>
      <c r="J2134" s="48">
        <v>46249</v>
      </c>
      <c r="K2134" s="64"/>
      <c r="L2134" s="65">
        <v>4193461662</v>
      </c>
    </row>
    <row r="2135" spans="1:12" ht="15" customHeight="1" x14ac:dyDescent="0.35">
      <c r="A2135" s="85" t="s">
        <v>206</v>
      </c>
      <c r="B2135" s="86">
        <v>6989</v>
      </c>
      <c r="C2135" s="87"/>
      <c r="D2135" s="88">
        <v>46248</v>
      </c>
      <c r="E2135" s="43">
        <v>2592000</v>
      </c>
      <c r="F2135" s="44">
        <f t="shared" si="90"/>
        <v>207360</v>
      </c>
      <c r="G2135" s="45">
        <f t="shared" si="91"/>
        <v>2799360</v>
      </c>
      <c r="H2135" s="46"/>
      <c r="I2135" s="47">
        <f t="shared" si="89"/>
        <v>2799360</v>
      </c>
      <c r="J2135" s="48">
        <v>46249</v>
      </c>
      <c r="K2135" s="49"/>
      <c r="L2135" s="50">
        <v>4193462757</v>
      </c>
    </row>
    <row r="2136" spans="1:12" ht="15" customHeight="1" x14ac:dyDescent="0.35">
      <c r="A2136" s="85" t="s">
        <v>123</v>
      </c>
      <c r="B2136" s="86">
        <v>6469</v>
      </c>
      <c r="C2136" s="87"/>
      <c r="D2136" s="88">
        <v>46232</v>
      </c>
      <c r="E2136" s="43">
        <v>864000</v>
      </c>
      <c r="F2136" s="44">
        <f t="shared" si="90"/>
        <v>69120</v>
      </c>
      <c r="G2136" s="45">
        <f t="shared" si="91"/>
        <v>933120</v>
      </c>
      <c r="H2136" s="46"/>
      <c r="I2136" s="47">
        <f t="shared" si="89"/>
        <v>933120</v>
      </c>
      <c r="J2136" s="48">
        <v>46249</v>
      </c>
      <c r="K2136" s="49"/>
      <c r="L2136" s="50">
        <v>4193469633</v>
      </c>
    </row>
    <row r="2137" spans="1:12" ht="15" customHeight="1" x14ac:dyDescent="0.35">
      <c r="A2137" s="85" t="s">
        <v>123</v>
      </c>
      <c r="B2137" s="86">
        <v>6470</v>
      </c>
      <c r="C2137" s="87"/>
      <c r="D2137" s="88">
        <v>46232</v>
      </c>
      <c r="E2137" s="43">
        <v>1680000</v>
      </c>
      <c r="F2137" s="44">
        <f t="shared" si="90"/>
        <v>134400</v>
      </c>
      <c r="G2137" s="45">
        <f t="shared" si="91"/>
        <v>1814400</v>
      </c>
      <c r="H2137" s="46"/>
      <c r="I2137" s="47">
        <f t="shared" si="89"/>
        <v>1814400</v>
      </c>
      <c r="J2137" s="48">
        <v>46249</v>
      </c>
      <c r="K2137" s="49"/>
      <c r="L2137" s="50">
        <v>4193466563</v>
      </c>
    </row>
    <row r="2138" spans="1:12" ht="15" customHeight="1" x14ac:dyDescent="0.35">
      <c r="A2138" s="114" t="s">
        <v>33</v>
      </c>
      <c r="B2138" s="115">
        <v>6471</v>
      </c>
      <c r="C2138" s="116"/>
      <c r="D2138" s="117">
        <v>46232</v>
      </c>
      <c r="E2138" s="59">
        <v>3944000</v>
      </c>
      <c r="F2138" s="44">
        <f t="shared" si="90"/>
        <v>315520</v>
      </c>
      <c r="G2138" s="61">
        <f t="shared" si="91"/>
        <v>4259520</v>
      </c>
      <c r="H2138" s="59"/>
      <c r="I2138" s="62">
        <f t="shared" si="89"/>
        <v>4259520</v>
      </c>
      <c r="J2138" s="48">
        <v>46234</v>
      </c>
      <c r="K2138" s="64"/>
      <c r="L2138" s="65">
        <v>4901306651</v>
      </c>
    </row>
    <row r="2139" spans="1:12" ht="15" customHeight="1" x14ac:dyDescent="0.35">
      <c r="A2139" s="85" t="s">
        <v>33</v>
      </c>
      <c r="B2139" s="86">
        <v>6472</v>
      </c>
      <c r="C2139" s="87"/>
      <c r="D2139" s="88">
        <v>46232</v>
      </c>
      <c r="E2139" s="43">
        <v>18720000</v>
      </c>
      <c r="F2139" s="44">
        <f t="shared" si="90"/>
        <v>1497600</v>
      </c>
      <c r="G2139" s="45">
        <f t="shared" si="91"/>
        <v>20217600</v>
      </c>
      <c r="H2139" s="46"/>
      <c r="I2139" s="47">
        <f t="shared" si="89"/>
        <v>20217600</v>
      </c>
      <c r="J2139" s="48">
        <v>46234</v>
      </c>
      <c r="K2139" s="49"/>
      <c r="L2139" s="50">
        <v>4901306604</v>
      </c>
    </row>
    <row r="2140" spans="1:12" ht="15" customHeight="1" x14ac:dyDescent="0.35">
      <c r="A2140" s="114" t="s">
        <v>33</v>
      </c>
      <c r="B2140" s="115">
        <v>6473</v>
      </c>
      <c r="C2140" s="116"/>
      <c r="D2140" s="117">
        <v>46232</v>
      </c>
      <c r="E2140" s="59">
        <v>3744000</v>
      </c>
      <c r="F2140" s="44">
        <f t="shared" si="90"/>
        <v>299520</v>
      </c>
      <c r="G2140" s="61">
        <f t="shared" si="91"/>
        <v>4043520</v>
      </c>
      <c r="H2140" s="59"/>
      <c r="I2140" s="62">
        <f t="shared" si="89"/>
        <v>4043520</v>
      </c>
      <c r="J2140" s="48">
        <v>46234</v>
      </c>
      <c r="K2140" s="64"/>
      <c r="L2140" s="65">
        <v>4901306639</v>
      </c>
    </row>
    <row r="2141" spans="1:12" ht="15" customHeight="1" x14ac:dyDescent="0.35">
      <c r="A2141" s="85" t="s">
        <v>37</v>
      </c>
      <c r="B2141" s="86">
        <v>6990</v>
      </c>
      <c r="C2141" s="87"/>
      <c r="D2141" s="88">
        <v>46248</v>
      </c>
      <c r="E2141" s="43">
        <v>1280000</v>
      </c>
      <c r="F2141" s="44">
        <f t="shared" si="90"/>
        <v>102400</v>
      </c>
      <c r="G2141" s="45">
        <f t="shared" si="91"/>
        <v>1382400</v>
      </c>
      <c r="H2141" s="46"/>
      <c r="I2141" s="47">
        <f t="shared" si="89"/>
        <v>1382400</v>
      </c>
      <c r="J2141" s="48">
        <v>46249</v>
      </c>
      <c r="K2141" s="49"/>
      <c r="L2141" s="50">
        <v>4193571506</v>
      </c>
    </row>
    <row r="2142" spans="1:12" ht="15" customHeight="1" x14ac:dyDescent="0.35">
      <c r="A2142" s="85" t="s">
        <v>56</v>
      </c>
      <c r="B2142" s="86">
        <v>6991</v>
      </c>
      <c r="C2142" s="87"/>
      <c r="D2142" s="88">
        <v>46248</v>
      </c>
      <c r="E2142" s="43">
        <v>1040000</v>
      </c>
      <c r="F2142" s="44">
        <f t="shared" si="90"/>
        <v>83200</v>
      </c>
      <c r="G2142" s="45">
        <f t="shared" si="91"/>
        <v>1123200</v>
      </c>
      <c r="H2142" s="46"/>
      <c r="I2142" s="47">
        <f t="shared" si="89"/>
        <v>1123200</v>
      </c>
      <c r="J2142" s="48">
        <v>46249</v>
      </c>
      <c r="K2142" s="49"/>
      <c r="L2142" s="50">
        <v>4193581865</v>
      </c>
    </row>
    <row r="2143" spans="1:12" ht="15" customHeight="1" x14ac:dyDescent="0.35">
      <c r="A2143" s="114" t="s">
        <v>123</v>
      </c>
      <c r="B2143" s="115">
        <v>6992</v>
      </c>
      <c r="C2143" s="116"/>
      <c r="D2143" s="117">
        <v>46248</v>
      </c>
      <c r="E2143" s="59">
        <v>1222000</v>
      </c>
      <c r="F2143" s="44">
        <f t="shared" si="90"/>
        <v>97760</v>
      </c>
      <c r="G2143" s="61">
        <f t="shared" si="91"/>
        <v>1319760</v>
      </c>
      <c r="H2143" s="59"/>
      <c r="I2143" s="62">
        <f t="shared" si="89"/>
        <v>1319760</v>
      </c>
      <c r="J2143" s="48">
        <v>46249</v>
      </c>
      <c r="K2143" s="64"/>
      <c r="L2143" s="65">
        <v>4193581785</v>
      </c>
    </row>
    <row r="2144" spans="1:12" ht="15" customHeight="1" x14ac:dyDescent="0.35">
      <c r="A2144" s="85" t="s">
        <v>85</v>
      </c>
      <c r="B2144" s="86">
        <v>6993</v>
      </c>
      <c r="C2144" s="87"/>
      <c r="D2144" s="88">
        <v>46248</v>
      </c>
      <c r="E2144" s="43">
        <v>640000</v>
      </c>
      <c r="F2144" s="44">
        <f t="shared" si="90"/>
        <v>51200</v>
      </c>
      <c r="G2144" s="45">
        <f t="shared" si="91"/>
        <v>691200</v>
      </c>
      <c r="H2144" s="46"/>
      <c r="I2144" s="47">
        <f t="shared" ref="I2144:I2202" si="92">G2144-H2144</f>
        <v>691200</v>
      </c>
      <c r="J2144" s="48">
        <v>46249</v>
      </c>
      <c r="K2144" s="49"/>
      <c r="L2144" s="50">
        <v>4193581559</v>
      </c>
    </row>
    <row r="2145" spans="1:12" ht="15" customHeight="1" x14ac:dyDescent="0.35">
      <c r="A2145" s="85" t="s">
        <v>3227</v>
      </c>
      <c r="B2145" s="86">
        <v>6994</v>
      </c>
      <c r="C2145" s="87"/>
      <c r="D2145" s="88">
        <v>46248</v>
      </c>
      <c r="E2145" s="43">
        <v>960000</v>
      </c>
      <c r="F2145" s="44">
        <f t="shared" si="90"/>
        <v>76800</v>
      </c>
      <c r="G2145" s="45">
        <f t="shared" si="91"/>
        <v>1036800</v>
      </c>
      <c r="H2145" s="46"/>
      <c r="I2145" s="47">
        <f t="shared" si="92"/>
        <v>1036800</v>
      </c>
      <c r="J2145" s="48">
        <v>46249</v>
      </c>
      <c r="K2145" s="49"/>
      <c r="L2145" s="50">
        <v>4193578200</v>
      </c>
    </row>
    <row r="2146" spans="1:12" ht="15" customHeight="1" x14ac:dyDescent="0.35">
      <c r="A2146" s="85" t="s">
        <v>63</v>
      </c>
      <c r="B2146" s="86">
        <v>6995</v>
      </c>
      <c r="C2146" s="87"/>
      <c r="D2146" s="88">
        <v>46248</v>
      </c>
      <c r="E2146" s="43">
        <v>520000</v>
      </c>
      <c r="F2146" s="44">
        <f t="shared" ref="F2146:F2202" si="93">+E2146*0.08</f>
        <v>41600</v>
      </c>
      <c r="G2146" s="45">
        <f t="shared" si="91"/>
        <v>561600</v>
      </c>
      <c r="H2146" s="46"/>
      <c r="I2146" s="47">
        <f t="shared" si="92"/>
        <v>561600</v>
      </c>
      <c r="J2146" s="48">
        <v>46249</v>
      </c>
      <c r="K2146" s="49"/>
      <c r="L2146" s="50">
        <v>4193579533</v>
      </c>
    </row>
    <row r="2147" spans="1:12" ht="15" customHeight="1" x14ac:dyDescent="0.35">
      <c r="A2147" s="85" t="s">
        <v>29</v>
      </c>
      <c r="B2147" s="86">
        <v>6996</v>
      </c>
      <c r="C2147" s="87"/>
      <c r="D2147" s="88">
        <v>46248</v>
      </c>
      <c r="E2147" s="43">
        <v>1040000</v>
      </c>
      <c r="F2147" s="44">
        <f t="shared" si="93"/>
        <v>83200</v>
      </c>
      <c r="G2147" s="45">
        <f t="shared" si="91"/>
        <v>1123200</v>
      </c>
      <c r="H2147" s="46"/>
      <c r="I2147" s="47">
        <f t="shared" si="92"/>
        <v>1123200</v>
      </c>
      <c r="J2147" s="48">
        <v>46249</v>
      </c>
      <c r="K2147" s="49"/>
      <c r="L2147" s="50">
        <v>4193578302</v>
      </c>
    </row>
    <row r="2148" spans="1:12" ht="15" customHeight="1" x14ac:dyDescent="0.35">
      <c r="A2148" s="85" t="s">
        <v>206</v>
      </c>
      <c r="B2148" s="86">
        <v>6997</v>
      </c>
      <c r="C2148" s="87"/>
      <c r="D2148" s="88">
        <v>46248</v>
      </c>
      <c r="E2148" s="43">
        <v>5200000</v>
      </c>
      <c r="F2148" s="44">
        <f t="shared" si="93"/>
        <v>416000</v>
      </c>
      <c r="G2148" s="45">
        <f t="shared" ref="G2148:G2202" si="94">E2148+F2148</f>
        <v>5616000</v>
      </c>
      <c r="H2148" s="46"/>
      <c r="I2148" s="47">
        <f t="shared" si="92"/>
        <v>5616000</v>
      </c>
      <c r="J2148" s="48">
        <v>46249</v>
      </c>
      <c r="K2148" s="49"/>
      <c r="L2148" s="50">
        <v>4193578356</v>
      </c>
    </row>
    <row r="2149" spans="1:12" ht="15" customHeight="1" x14ac:dyDescent="0.35">
      <c r="A2149" s="85" t="s">
        <v>123</v>
      </c>
      <c r="B2149" s="86">
        <v>6998</v>
      </c>
      <c r="C2149" s="87"/>
      <c r="D2149" s="88">
        <v>46248</v>
      </c>
      <c r="E2149" s="43">
        <v>1840500</v>
      </c>
      <c r="F2149" s="44">
        <f t="shared" si="93"/>
        <v>147240</v>
      </c>
      <c r="G2149" s="45">
        <f t="shared" si="94"/>
        <v>1987740</v>
      </c>
      <c r="H2149" s="46"/>
      <c r="I2149" s="47">
        <f t="shared" si="92"/>
        <v>1987740</v>
      </c>
      <c r="J2149" s="48">
        <v>46249</v>
      </c>
      <c r="K2149" s="49"/>
      <c r="L2149" s="50">
        <v>4193910684</v>
      </c>
    </row>
    <row r="2150" spans="1:12" ht="15" customHeight="1" x14ac:dyDescent="0.35">
      <c r="A2150" s="85" t="s">
        <v>29</v>
      </c>
      <c r="B2150" s="86">
        <v>6999</v>
      </c>
      <c r="C2150" s="87"/>
      <c r="D2150" s="88">
        <v>46248</v>
      </c>
      <c r="E2150" s="43">
        <v>640000</v>
      </c>
      <c r="F2150" s="44">
        <f t="shared" si="93"/>
        <v>51200</v>
      </c>
      <c r="G2150" s="45">
        <f t="shared" si="94"/>
        <v>691200</v>
      </c>
      <c r="H2150" s="46"/>
      <c r="I2150" s="47">
        <f t="shared" si="92"/>
        <v>691200</v>
      </c>
      <c r="J2150" s="48">
        <v>46251</v>
      </c>
      <c r="K2150" s="49"/>
      <c r="L2150" s="50">
        <v>4193862223</v>
      </c>
    </row>
    <row r="2151" spans="1:12" ht="15" customHeight="1" x14ac:dyDescent="0.35">
      <c r="A2151" s="85" t="s">
        <v>37</v>
      </c>
      <c r="B2151" s="86">
        <v>7000</v>
      </c>
      <c r="C2151" s="87"/>
      <c r="D2151" s="88">
        <v>46248</v>
      </c>
      <c r="E2151" s="43">
        <v>2960000</v>
      </c>
      <c r="F2151" s="44">
        <f t="shared" si="93"/>
        <v>236800</v>
      </c>
      <c r="G2151" s="45">
        <f t="shared" si="94"/>
        <v>3196800</v>
      </c>
      <c r="H2151" s="46"/>
      <c r="I2151" s="47">
        <f t="shared" si="92"/>
        <v>3196800</v>
      </c>
      <c r="J2151" s="48">
        <v>46249</v>
      </c>
      <c r="K2151" s="49"/>
      <c r="L2151" s="50">
        <v>4193862056</v>
      </c>
    </row>
    <row r="2152" spans="1:12" ht="15" customHeight="1" x14ac:dyDescent="0.35">
      <c r="A2152" s="85" t="s">
        <v>37</v>
      </c>
      <c r="B2152" s="86">
        <v>7001</v>
      </c>
      <c r="C2152" s="87"/>
      <c r="D2152" s="88">
        <v>46248</v>
      </c>
      <c r="E2152" s="43">
        <v>936000</v>
      </c>
      <c r="F2152" s="44">
        <f t="shared" si="93"/>
        <v>74880</v>
      </c>
      <c r="G2152" s="45">
        <f t="shared" si="94"/>
        <v>1010880</v>
      </c>
      <c r="H2152" s="46"/>
      <c r="I2152" s="47">
        <f t="shared" si="92"/>
        <v>1010880</v>
      </c>
      <c r="J2152" s="48">
        <v>46249</v>
      </c>
      <c r="K2152" s="49"/>
      <c r="L2152" s="50">
        <v>4193907949</v>
      </c>
    </row>
    <row r="2153" spans="1:12" ht="15" customHeight="1" x14ac:dyDescent="0.35">
      <c r="A2153" s="85" t="s">
        <v>123</v>
      </c>
      <c r="B2153" s="86">
        <v>7002</v>
      </c>
      <c r="C2153" s="87"/>
      <c r="D2153" s="88">
        <v>46248</v>
      </c>
      <c r="E2153" s="43">
        <v>1280000</v>
      </c>
      <c r="F2153" s="44">
        <f t="shared" si="93"/>
        <v>102400</v>
      </c>
      <c r="G2153" s="45">
        <f t="shared" si="94"/>
        <v>1382400</v>
      </c>
      <c r="H2153" s="46"/>
      <c r="I2153" s="47">
        <f t="shared" si="92"/>
        <v>1382400</v>
      </c>
      <c r="J2153" s="48">
        <v>46249</v>
      </c>
      <c r="K2153" s="49"/>
      <c r="L2153" s="50">
        <v>4193880060</v>
      </c>
    </row>
    <row r="2154" spans="1:12" ht="15" customHeight="1" x14ac:dyDescent="0.35">
      <c r="A2154" s="114" t="s">
        <v>123</v>
      </c>
      <c r="B2154" s="115">
        <v>7003</v>
      </c>
      <c r="C2154" s="116"/>
      <c r="D2154" s="117">
        <v>46248</v>
      </c>
      <c r="E2154" s="59">
        <v>3676000</v>
      </c>
      <c r="F2154" s="44">
        <f t="shared" si="93"/>
        <v>294080</v>
      </c>
      <c r="G2154" s="61">
        <f t="shared" si="94"/>
        <v>3970080</v>
      </c>
      <c r="H2154" s="59"/>
      <c r="I2154" s="62">
        <f t="shared" si="92"/>
        <v>3970080</v>
      </c>
      <c r="J2154" s="48">
        <v>46249</v>
      </c>
      <c r="K2154" s="64"/>
      <c r="L2154" s="65">
        <v>4193872320</v>
      </c>
    </row>
    <row r="2155" spans="1:12" ht="15" customHeight="1" x14ac:dyDescent="0.35">
      <c r="A2155" s="114" t="s">
        <v>123</v>
      </c>
      <c r="B2155" s="115">
        <v>7004</v>
      </c>
      <c r="C2155" s="116"/>
      <c r="D2155" s="117">
        <v>46248</v>
      </c>
      <c r="E2155" s="59">
        <v>608000</v>
      </c>
      <c r="F2155" s="44">
        <f t="shared" si="93"/>
        <v>48640</v>
      </c>
      <c r="G2155" s="61">
        <f t="shared" si="94"/>
        <v>656640</v>
      </c>
      <c r="H2155" s="59"/>
      <c r="I2155" s="62">
        <f t="shared" si="92"/>
        <v>656640</v>
      </c>
      <c r="J2155" s="48">
        <v>46249</v>
      </c>
      <c r="K2155" s="64"/>
      <c r="L2155" s="65">
        <v>4193796864</v>
      </c>
    </row>
    <row r="2156" spans="1:12" ht="15" customHeight="1" x14ac:dyDescent="0.35">
      <c r="A2156" s="85" t="s">
        <v>123</v>
      </c>
      <c r="B2156" s="86">
        <v>7005</v>
      </c>
      <c r="C2156" s="87"/>
      <c r="D2156" s="88">
        <v>46248</v>
      </c>
      <c r="E2156" s="43">
        <v>4525000</v>
      </c>
      <c r="F2156" s="44">
        <f t="shared" si="93"/>
        <v>362000</v>
      </c>
      <c r="G2156" s="45">
        <f t="shared" si="94"/>
        <v>4887000</v>
      </c>
      <c r="H2156" s="46"/>
      <c r="I2156" s="47">
        <f t="shared" si="92"/>
        <v>4887000</v>
      </c>
      <c r="J2156" s="48">
        <v>46249</v>
      </c>
      <c r="K2156" s="49"/>
      <c r="L2156" s="50">
        <v>4193872131</v>
      </c>
    </row>
    <row r="2157" spans="1:12" ht="15" customHeight="1" x14ac:dyDescent="0.35">
      <c r="A2157" s="114" t="s">
        <v>29</v>
      </c>
      <c r="B2157" s="115">
        <v>7006</v>
      </c>
      <c r="C2157" s="116"/>
      <c r="D2157" s="117">
        <v>46248</v>
      </c>
      <c r="E2157" s="59">
        <v>10383500</v>
      </c>
      <c r="F2157" s="44">
        <f t="shared" si="93"/>
        <v>830680</v>
      </c>
      <c r="G2157" s="61">
        <f t="shared" si="94"/>
        <v>11214180</v>
      </c>
      <c r="H2157" s="59"/>
      <c r="I2157" s="62">
        <f t="shared" si="92"/>
        <v>11214180</v>
      </c>
      <c r="J2157" s="48">
        <v>46251</v>
      </c>
      <c r="K2157" s="64"/>
      <c r="L2157" s="65">
        <v>4193876257</v>
      </c>
    </row>
    <row r="2158" spans="1:12" ht="15" customHeight="1" x14ac:dyDescent="0.35">
      <c r="A2158" s="85" t="s">
        <v>56</v>
      </c>
      <c r="B2158" s="86">
        <v>7007</v>
      </c>
      <c r="C2158" s="87"/>
      <c r="D2158" s="88">
        <v>46248</v>
      </c>
      <c r="E2158" s="43">
        <v>1600000</v>
      </c>
      <c r="F2158" s="44">
        <f t="shared" si="93"/>
        <v>128000</v>
      </c>
      <c r="G2158" s="45">
        <f t="shared" si="94"/>
        <v>1728000</v>
      </c>
      <c r="H2158" s="46"/>
      <c r="I2158" s="47">
        <f t="shared" si="92"/>
        <v>1728000</v>
      </c>
      <c r="J2158" s="48">
        <v>46249</v>
      </c>
      <c r="K2158" s="49"/>
      <c r="L2158" s="50">
        <v>4193872245</v>
      </c>
    </row>
    <row r="2159" spans="1:12" ht="15" customHeight="1" x14ac:dyDescent="0.35">
      <c r="A2159" s="85" t="s">
        <v>37</v>
      </c>
      <c r="B2159" s="86">
        <v>7008</v>
      </c>
      <c r="C2159" s="87"/>
      <c r="D2159" s="88">
        <v>46248</v>
      </c>
      <c r="E2159" s="43">
        <v>3600000</v>
      </c>
      <c r="F2159" s="44">
        <f t="shared" si="93"/>
        <v>288000</v>
      </c>
      <c r="G2159" s="45">
        <f t="shared" si="94"/>
        <v>3888000</v>
      </c>
      <c r="H2159" s="46"/>
      <c r="I2159" s="47">
        <f t="shared" si="92"/>
        <v>3888000</v>
      </c>
      <c r="J2159" s="48">
        <v>46249</v>
      </c>
      <c r="K2159" s="49"/>
      <c r="L2159" s="50">
        <v>4193872430</v>
      </c>
    </row>
    <row r="2160" spans="1:12" ht="15" customHeight="1" x14ac:dyDescent="0.35">
      <c r="A2160" s="114" t="s">
        <v>85</v>
      </c>
      <c r="B2160" s="115">
        <v>7009</v>
      </c>
      <c r="C2160" s="116"/>
      <c r="D2160" s="117">
        <v>46248</v>
      </c>
      <c r="E2160" s="59">
        <v>4854000</v>
      </c>
      <c r="F2160" s="44">
        <f t="shared" si="93"/>
        <v>388320</v>
      </c>
      <c r="G2160" s="61">
        <f t="shared" si="94"/>
        <v>5242320</v>
      </c>
      <c r="H2160" s="59"/>
      <c r="I2160" s="62">
        <f t="shared" si="92"/>
        <v>5242320</v>
      </c>
      <c r="J2160" s="48">
        <v>46249</v>
      </c>
      <c r="K2160" s="64"/>
      <c r="L2160" s="65">
        <v>4193872221</v>
      </c>
    </row>
    <row r="2161" spans="1:12" ht="15" customHeight="1" x14ac:dyDescent="0.35">
      <c r="A2161" s="85" t="s">
        <v>33</v>
      </c>
      <c r="B2161" s="86">
        <v>7010</v>
      </c>
      <c r="C2161" s="87"/>
      <c r="D2161" s="88">
        <v>46248</v>
      </c>
      <c r="E2161" s="43">
        <v>7440000</v>
      </c>
      <c r="F2161" s="44">
        <f t="shared" si="93"/>
        <v>595200</v>
      </c>
      <c r="G2161" s="45">
        <f t="shared" si="94"/>
        <v>8035200</v>
      </c>
      <c r="H2161" s="46"/>
      <c r="I2161" s="47">
        <f t="shared" si="92"/>
        <v>8035200</v>
      </c>
      <c r="J2161" s="48">
        <v>46249</v>
      </c>
      <c r="K2161" s="49"/>
      <c r="L2161" s="50">
        <v>4901307599</v>
      </c>
    </row>
    <row r="2162" spans="1:12" ht="15" customHeight="1" x14ac:dyDescent="0.35">
      <c r="A2162" s="114" t="s">
        <v>33</v>
      </c>
      <c r="B2162" s="115">
        <v>7011</v>
      </c>
      <c r="C2162" s="116"/>
      <c r="D2162" s="117">
        <v>46248</v>
      </c>
      <c r="E2162" s="59">
        <v>15800000</v>
      </c>
      <c r="F2162" s="44">
        <f t="shared" si="93"/>
        <v>1264000</v>
      </c>
      <c r="G2162" s="61">
        <f t="shared" si="94"/>
        <v>17064000</v>
      </c>
      <c r="H2162" s="59"/>
      <c r="I2162" s="62">
        <f t="shared" si="92"/>
        <v>17064000</v>
      </c>
      <c r="J2162" s="48">
        <v>46249</v>
      </c>
      <c r="K2162" s="64"/>
      <c r="L2162" s="65">
        <v>4193877404</v>
      </c>
    </row>
    <row r="2163" spans="1:12" ht="15" customHeight="1" x14ac:dyDescent="0.35">
      <c r="A2163" s="85" t="s">
        <v>206</v>
      </c>
      <c r="B2163" s="86">
        <v>7012</v>
      </c>
      <c r="C2163" s="87"/>
      <c r="D2163" s="88">
        <v>46248</v>
      </c>
      <c r="E2163" s="43">
        <v>4800000</v>
      </c>
      <c r="F2163" s="44">
        <f t="shared" si="93"/>
        <v>384000</v>
      </c>
      <c r="G2163" s="45">
        <f t="shared" si="94"/>
        <v>5184000</v>
      </c>
      <c r="H2163" s="46"/>
      <c r="I2163" s="47">
        <f t="shared" si="92"/>
        <v>5184000</v>
      </c>
      <c r="J2163" s="48">
        <v>46251</v>
      </c>
      <c r="K2163" s="49"/>
      <c r="L2163" s="50">
        <v>4193877353</v>
      </c>
    </row>
    <row r="2164" spans="1:12" ht="15" customHeight="1" x14ac:dyDescent="0.35">
      <c r="A2164" s="85" t="s">
        <v>37</v>
      </c>
      <c r="B2164" s="86">
        <v>7013</v>
      </c>
      <c r="C2164" s="87"/>
      <c r="D2164" s="88">
        <v>46248</v>
      </c>
      <c r="E2164" s="43">
        <v>640000</v>
      </c>
      <c r="F2164" s="44">
        <f t="shared" si="93"/>
        <v>51200</v>
      </c>
      <c r="G2164" s="45">
        <f t="shared" si="94"/>
        <v>691200</v>
      </c>
      <c r="H2164" s="46"/>
      <c r="I2164" s="47">
        <f t="shared" si="92"/>
        <v>691200</v>
      </c>
      <c r="J2164" s="48">
        <v>46249</v>
      </c>
      <c r="K2164" s="49"/>
      <c r="L2164" s="50">
        <v>4194003531</v>
      </c>
    </row>
    <row r="2165" spans="1:12" ht="15" customHeight="1" x14ac:dyDescent="0.35">
      <c r="A2165" s="85" t="s">
        <v>37</v>
      </c>
      <c r="B2165" s="86">
        <v>7014</v>
      </c>
      <c r="C2165" s="87"/>
      <c r="D2165" s="88">
        <v>46248</v>
      </c>
      <c r="E2165" s="43">
        <v>960000</v>
      </c>
      <c r="F2165" s="44">
        <f t="shared" si="93"/>
        <v>76800</v>
      </c>
      <c r="G2165" s="45">
        <f t="shared" si="94"/>
        <v>1036800</v>
      </c>
      <c r="H2165" s="46"/>
      <c r="I2165" s="47">
        <f t="shared" si="92"/>
        <v>1036800</v>
      </c>
      <c r="J2165" s="48">
        <v>46249</v>
      </c>
      <c r="K2165" s="49"/>
      <c r="L2165" s="50">
        <v>4193989832</v>
      </c>
    </row>
    <row r="2166" spans="1:12" ht="15" customHeight="1" x14ac:dyDescent="0.35">
      <c r="A2166" s="85" t="s">
        <v>29</v>
      </c>
      <c r="B2166" s="86">
        <v>7015</v>
      </c>
      <c r="C2166" s="87"/>
      <c r="D2166" s="88">
        <v>46248</v>
      </c>
      <c r="E2166" s="43">
        <v>640000</v>
      </c>
      <c r="F2166" s="44">
        <f t="shared" si="93"/>
        <v>51200</v>
      </c>
      <c r="G2166" s="45">
        <f t="shared" si="94"/>
        <v>691200</v>
      </c>
      <c r="H2166" s="46"/>
      <c r="I2166" s="47">
        <f t="shared" si="92"/>
        <v>691200</v>
      </c>
      <c r="J2166" s="48">
        <v>46249</v>
      </c>
      <c r="K2166" s="49"/>
      <c r="L2166" s="50">
        <v>4194003959</v>
      </c>
    </row>
    <row r="2167" spans="1:12" ht="15" customHeight="1" x14ac:dyDescent="0.35">
      <c r="A2167" s="85" t="s">
        <v>29</v>
      </c>
      <c r="B2167" s="86">
        <v>7016</v>
      </c>
      <c r="C2167" s="87"/>
      <c r="D2167" s="88">
        <v>46248</v>
      </c>
      <c r="E2167" s="43">
        <v>10080000</v>
      </c>
      <c r="F2167" s="44">
        <f t="shared" si="93"/>
        <v>806400</v>
      </c>
      <c r="G2167" s="45">
        <f t="shared" si="94"/>
        <v>10886400</v>
      </c>
      <c r="H2167" s="46"/>
      <c r="I2167" s="47">
        <f t="shared" si="92"/>
        <v>10886400</v>
      </c>
      <c r="J2167" s="48">
        <v>46249</v>
      </c>
      <c r="K2167" s="49"/>
      <c r="L2167" s="50">
        <v>4194001413</v>
      </c>
    </row>
    <row r="2168" spans="1:12" ht="15" customHeight="1" x14ac:dyDescent="0.35">
      <c r="A2168" s="85" t="s">
        <v>85</v>
      </c>
      <c r="B2168" s="86">
        <v>7017</v>
      </c>
      <c r="C2168" s="87"/>
      <c r="D2168" s="88">
        <v>46248</v>
      </c>
      <c r="E2168" s="43">
        <v>1014000</v>
      </c>
      <c r="F2168" s="44">
        <f t="shared" si="93"/>
        <v>81120</v>
      </c>
      <c r="G2168" s="45">
        <f t="shared" si="94"/>
        <v>1095120</v>
      </c>
      <c r="H2168" s="46"/>
      <c r="I2168" s="47">
        <f t="shared" si="92"/>
        <v>1095120</v>
      </c>
      <c r="J2168" s="48">
        <v>46249</v>
      </c>
      <c r="K2168" s="49"/>
      <c r="L2168" s="50">
        <v>4193990024</v>
      </c>
    </row>
    <row r="2169" spans="1:12" ht="15" customHeight="1" x14ac:dyDescent="0.35">
      <c r="A2169" s="85" t="s">
        <v>206</v>
      </c>
      <c r="B2169" s="86">
        <v>7018</v>
      </c>
      <c r="C2169" s="87"/>
      <c r="D2169" s="88">
        <v>46248</v>
      </c>
      <c r="E2169" s="43">
        <v>6720000</v>
      </c>
      <c r="F2169" s="44">
        <f t="shared" si="93"/>
        <v>537600</v>
      </c>
      <c r="G2169" s="45">
        <f t="shared" si="94"/>
        <v>7257600</v>
      </c>
      <c r="H2169" s="46"/>
      <c r="I2169" s="47">
        <f t="shared" si="92"/>
        <v>7257600</v>
      </c>
      <c r="J2169" s="48">
        <v>46251</v>
      </c>
      <c r="K2169" s="49"/>
      <c r="L2169" s="50">
        <v>4194001498</v>
      </c>
    </row>
    <row r="2170" spans="1:12" ht="15" customHeight="1" x14ac:dyDescent="0.35">
      <c r="A2170" s="85" t="s">
        <v>37</v>
      </c>
      <c r="B2170" s="86">
        <v>7019</v>
      </c>
      <c r="C2170" s="87"/>
      <c r="D2170" s="88">
        <v>46248</v>
      </c>
      <c r="E2170" s="43">
        <v>384000</v>
      </c>
      <c r="F2170" s="44">
        <f t="shared" si="93"/>
        <v>30720</v>
      </c>
      <c r="G2170" s="45">
        <f t="shared" si="94"/>
        <v>414720</v>
      </c>
      <c r="H2170" s="46"/>
      <c r="I2170" s="47">
        <f t="shared" si="92"/>
        <v>414720</v>
      </c>
      <c r="J2170" s="48">
        <v>46249</v>
      </c>
      <c r="K2170" s="49"/>
      <c r="L2170" s="50">
        <v>4193796719</v>
      </c>
    </row>
    <row r="2171" spans="1:12" ht="15" customHeight="1" x14ac:dyDescent="0.35">
      <c r="A2171" s="114" t="s">
        <v>3227</v>
      </c>
      <c r="B2171" s="115">
        <v>7020</v>
      </c>
      <c r="C2171" s="116"/>
      <c r="D2171" s="117">
        <v>46248</v>
      </c>
      <c r="E2171" s="59">
        <v>814050</v>
      </c>
      <c r="F2171" s="44">
        <f t="shared" si="93"/>
        <v>65124</v>
      </c>
      <c r="G2171" s="61">
        <f t="shared" si="94"/>
        <v>879174</v>
      </c>
      <c r="H2171" s="59"/>
      <c r="I2171" s="62">
        <f t="shared" si="92"/>
        <v>879174</v>
      </c>
      <c r="J2171" s="48">
        <v>46251</v>
      </c>
      <c r="K2171" s="64"/>
      <c r="L2171" s="65">
        <v>4194036886</v>
      </c>
    </row>
    <row r="2172" spans="1:12" ht="15" customHeight="1" x14ac:dyDescent="0.35">
      <c r="A2172" s="85" t="s">
        <v>206</v>
      </c>
      <c r="B2172" s="86">
        <v>7021</v>
      </c>
      <c r="C2172" s="87"/>
      <c r="D2172" s="88">
        <v>46248</v>
      </c>
      <c r="E2172" s="43">
        <v>1440000</v>
      </c>
      <c r="F2172" s="44">
        <f t="shared" si="93"/>
        <v>115200</v>
      </c>
      <c r="G2172" s="45">
        <f t="shared" si="94"/>
        <v>1555200</v>
      </c>
      <c r="H2172" s="46"/>
      <c r="I2172" s="47">
        <f t="shared" si="92"/>
        <v>1555200</v>
      </c>
      <c r="J2172" s="48">
        <v>46251</v>
      </c>
      <c r="K2172" s="49"/>
      <c r="L2172" s="50">
        <v>4194036801</v>
      </c>
    </row>
    <row r="2173" spans="1:12" ht="15" customHeight="1" x14ac:dyDescent="0.35">
      <c r="A2173" s="85" t="s">
        <v>123</v>
      </c>
      <c r="B2173" s="86">
        <v>7022</v>
      </c>
      <c r="C2173" s="87"/>
      <c r="D2173" s="88">
        <v>46248</v>
      </c>
      <c r="E2173" s="43">
        <v>6120000</v>
      </c>
      <c r="F2173" s="44">
        <f t="shared" si="93"/>
        <v>489600</v>
      </c>
      <c r="G2173" s="45">
        <f t="shared" si="94"/>
        <v>6609600</v>
      </c>
      <c r="H2173" s="46"/>
      <c r="I2173" s="47">
        <f t="shared" si="92"/>
        <v>6609600</v>
      </c>
      <c r="J2173" s="48">
        <v>46249</v>
      </c>
      <c r="K2173" s="49"/>
      <c r="L2173" s="50">
        <v>4194087176</v>
      </c>
    </row>
    <row r="2174" spans="1:12" ht="15" customHeight="1" x14ac:dyDescent="0.35">
      <c r="A2174" s="114" t="s">
        <v>56</v>
      </c>
      <c r="B2174" s="115">
        <v>7023</v>
      </c>
      <c r="C2174" s="116"/>
      <c r="D2174" s="117">
        <v>46248</v>
      </c>
      <c r="E2174" s="59">
        <v>3672000</v>
      </c>
      <c r="F2174" s="44">
        <f t="shared" si="93"/>
        <v>293760</v>
      </c>
      <c r="G2174" s="61">
        <f t="shared" si="94"/>
        <v>3965760</v>
      </c>
      <c r="H2174" s="59"/>
      <c r="I2174" s="62">
        <f t="shared" si="92"/>
        <v>3965760</v>
      </c>
      <c r="J2174" s="48">
        <v>46249</v>
      </c>
      <c r="K2174" s="64"/>
      <c r="L2174" s="65">
        <v>4194087052</v>
      </c>
    </row>
    <row r="2175" spans="1:12" ht="15" customHeight="1" x14ac:dyDescent="0.35">
      <c r="A2175" s="114" t="s">
        <v>123</v>
      </c>
      <c r="B2175" s="115">
        <v>7024</v>
      </c>
      <c r="C2175" s="116"/>
      <c r="D2175" s="117">
        <v>46248</v>
      </c>
      <c r="E2175" s="59">
        <v>9860000</v>
      </c>
      <c r="F2175" s="44">
        <f t="shared" si="93"/>
        <v>788800</v>
      </c>
      <c r="G2175" s="61">
        <f t="shared" si="94"/>
        <v>10648800</v>
      </c>
      <c r="H2175" s="59"/>
      <c r="I2175" s="62">
        <f t="shared" si="92"/>
        <v>10648800</v>
      </c>
      <c r="J2175" s="48">
        <v>46249</v>
      </c>
      <c r="K2175" s="64"/>
      <c r="L2175" s="65">
        <v>4194087050</v>
      </c>
    </row>
    <row r="2176" spans="1:12" ht="15" customHeight="1" x14ac:dyDescent="0.35">
      <c r="A2176" s="85" t="s">
        <v>33</v>
      </c>
      <c r="B2176" s="86">
        <v>7025</v>
      </c>
      <c r="C2176" s="87"/>
      <c r="D2176" s="88">
        <v>46248</v>
      </c>
      <c r="E2176" s="43">
        <v>3200000</v>
      </c>
      <c r="F2176" s="44">
        <f t="shared" si="93"/>
        <v>256000</v>
      </c>
      <c r="G2176" s="45">
        <f t="shared" si="94"/>
        <v>3456000</v>
      </c>
      <c r="H2176" s="46"/>
      <c r="I2176" s="47">
        <f t="shared" si="92"/>
        <v>3456000</v>
      </c>
      <c r="J2176" s="48">
        <v>46249</v>
      </c>
      <c r="K2176" s="49"/>
      <c r="L2176" s="50">
        <v>4901308265</v>
      </c>
    </row>
    <row r="2177" spans="1:12" ht="15" customHeight="1" x14ac:dyDescent="0.35">
      <c r="A2177" s="114" t="s">
        <v>33</v>
      </c>
      <c r="B2177" s="115">
        <v>7026</v>
      </c>
      <c r="C2177" s="116"/>
      <c r="D2177" s="117">
        <v>46248</v>
      </c>
      <c r="E2177" s="59">
        <v>10110000</v>
      </c>
      <c r="F2177" s="44">
        <f t="shared" si="93"/>
        <v>808800</v>
      </c>
      <c r="G2177" s="61">
        <f t="shared" si="94"/>
        <v>10918800</v>
      </c>
      <c r="H2177" s="59"/>
      <c r="I2177" s="62">
        <f t="shared" si="92"/>
        <v>10918800</v>
      </c>
      <c r="J2177" s="48">
        <v>46249</v>
      </c>
      <c r="K2177" s="64"/>
      <c r="L2177" s="65">
        <v>4194241306</v>
      </c>
    </row>
    <row r="2178" spans="1:12" ht="15" customHeight="1" x14ac:dyDescent="0.35">
      <c r="A2178" s="85" t="s">
        <v>206</v>
      </c>
      <c r="B2178" s="86">
        <v>7027</v>
      </c>
      <c r="C2178" s="87"/>
      <c r="D2178" s="88">
        <v>46248</v>
      </c>
      <c r="E2178" s="43">
        <v>3040000</v>
      </c>
      <c r="F2178" s="44">
        <f t="shared" si="93"/>
        <v>243200</v>
      </c>
      <c r="G2178" s="45">
        <f t="shared" si="94"/>
        <v>3283200</v>
      </c>
      <c r="H2178" s="46"/>
      <c r="I2178" s="47">
        <f t="shared" si="92"/>
        <v>3283200</v>
      </c>
      <c r="J2178" s="48"/>
      <c r="K2178" s="49"/>
      <c r="L2178" s="50">
        <v>4194241667</v>
      </c>
    </row>
    <row r="2179" spans="1:12" ht="15" customHeight="1" x14ac:dyDescent="0.35">
      <c r="A2179" s="85" t="s">
        <v>29</v>
      </c>
      <c r="B2179" s="86">
        <v>7028</v>
      </c>
      <c r="C2179" s="87"/>
      <c r="D2179" s="88">
        <v>46248</v>
      </c>
      <c r="E2179" s="43">
        <v>3680000</v>
      </c>
      <c r="F2179" s="44">
        <f t="shared" si="93"/>
        <v>294400</v>
      </c>
      <c r="G2179" s="45">
        <f t="shared" si="94"/>
        <v>3974400</v>
      </c>
      <c r="H2179" s="46"/>
      <c r="I2179" s="47">
        <f t="shared" si="92"/>
        <v>3974400</v>
      </c>
      <c r="J2179" s="48">
        <v>46251</v>
      </c>
      <c r="K2179" s="49"/>
      <c r="L2179" s="50">
        <v>4194241252</v>
      </c>
    </row>
    <row r="2180" spans="1:12" ht="15" customHeight="1" x14ac:dyDescent="0.35">
      <c r="A2180" s="114" t="s">
        <v>85</v>
      </c>
      <c r="B2180" s="115">
        <v>7029</v>
      </c>
      <c r="C2180" s="116"/>
      <c r="D2180" s="117">
        <v>46248</v>
      </c>
      <c r="E2180" s="59">
        <v>3628000</v>
      </c>
      <c r="F2180" s="44">
        <f t="shared" si="93"/>
        <v>290240</v>
      </c>
      <c r="G2180" s="61">
        <f t="shared" si="94"/>
        <v>3918240</v>
      </c>
      <c r="H2180" s="59"/>
      <c r="I2180" s="62">
        <f t="shared" si="92"/>
        <v>3918240</v>
      </c>
      <c r="J2180" s="48">
        <v>46251</v>
      </c>
      <c r="K2180" s="64"/>
      <c r="L2180" s="65">
        <v>4194282362</v>
      </c>
    </row>
    <row r="2181" spans="1:12" ht="15" customHeight="1" x14ac:dyDescent="0.35">
      <c r="A2181" s="114" t="s">
        <v>29</v>
      </c>
      <c r="B2181" s="115">
        <v>7030</v>
      </c>
      <c r="C2181" s="116"/>
      <c r="D2181" s="117">
        <v>46248</v>
      </c>
      <c r="E2181" s="59">
        <v>1654000</v>
      </c>
      <c r="F2181" s="44">
        <f t="shared" si="93"/>
        <v>132320</v>
      </c>
      <c r="G2181" s="61">
        <f t="shared" si="94"/>
        <v>1786320</v>
      </c>
      <c r="H2181" s="59"/>
      <c r="I2181" s="62">
        <f t="shared" si="92"/>
        <v>1786320</v>
      </c>
      <c r="J2181" s="48">
        <v>46251</v>
      </c>
      <c r="K2181" s="64"/>
      <c r="L2181" s="65">
        <v>4194263474</v>
      </c>
    </row>
    <row r="2182" spans="1:12" ht="15" customHeight="1" x14ac:dyDescent="0.35">
      <c r="A2182" s="85" t="s">
        <v>123</v>
      </c>
      <c r="B2182" s="86">
        <v>7031</v>
      </c>
      <c r="C2182" s="87"/>
      <c r="D2182" s="88">
        <v>46248</v>
      </c>
      <c r="E2182" s="43">
        <v>640000</v>
      </c>
      <c r="F2182" s="44">
        <f t="shared" si="93"/>
        <v>51200</v>
      </c>
      <c r="G2182" s="45">
        <f t="shared" si="94"/>
        <v>691200</v>
      </c>
      <c r="H2182" s="46"/>
      <c r="I2182" s="47">
        <f t="shared" si="92"/>
        <v>691200</v>
      </c>
      <c r="J2182" s="48">
        <v>46249</v>
      </c>
      <c r="K2182" s="49"/>
      <c r="L2182" s="50">
        <v>4194265172</v>
      </c>
    </row>
    <row r="2183" spans="1:12" ht="15" customHeight="1" x14ac:dyDescent="0.35">
      <c r="A2183" s="85" t="s">
        <v>56</v>
      </c>
      <c r="B2183" s="86">
        <v>7032</v>
      </c>
      <c r="C2183" s="87"/>
      <c r="D2183" s="88">
        <v>46248</v>
      </c>
      <c r="E2183" s="43">
        <v>2960000</v>
      </c>
      <c r="F2183" s="44">
        <f t="shared" si="93"/>
        <v>236800</v>
      </c>
      <c r="G2183" s="45">
        <f t="shared" si="94"/>
        <v>3196800</v>
      </c>
      <c r="H2183" s="46"/>
      <c r="I2183" s="47">
        <f t="shared" si="92"/>
        <v>3196800</v>
      </c>
      <c r="J2183" s="48">
        <v>46251</v>
      </c>
      <c r="K2183" s="49"/>
      <c r="L2183" s="50">
        <v>4194282298</v>
      </c>
    </row>
    <row r="2184" spans="1:12" ht="15" customHeight="1" x14ac:dyDescent="0.35">
      <c r="A2184" s="85" t="s">
        <v>37</v>
      </c>
      <c r="B2184" s="86">
        <v>7033</v>
      </c>
      <c r="C2184" s="87"/>
      <c r="D2184" s="88">
        <v>46248</v>
      </c>
      <c r="E2184" s="43">
        <v>7680000</v>
      </c>
      <c r="F2184" s="44">
        <f t="shared" si="93"/>
        <v>614400</v>
      </c>
      <c r="G2184" s="45">
        <f t="shared" si="94"/>
        <v>8294400</v>
      </c>
      <c r="H2184" s="46"/>
      <c r="I2184" s="47">
        <f t="shared" si="92"/>
        <v>8294400</v>
      </c>
      <c r="J2184" s="48">
        <v>46251</v>
      </c>
      <c r="K2184" s="49"/>
      <c r="L2184" s="50">
        <v>4194282292</v>
      </c>
    </row>
    <row r="2185" spans="1:12" ht="15" customHeight="1" x14ac:dyDescent="0.35">
      <c r="A2185" s="85" t="s">
        <v>56</v>
      </c>
      <c r="B2185" s="86">
        <v>7034</v>
      </c>
      <c r="C2185" s="87"/>
      <c r="D2185" s="88">
        <v>46248</v>
      </c>
      <c r="E2185" s="43">
        <v>1280000</v>
      </c>
      <c r="F2185" s="44">
        <f t="shared" si="93"/>
        <v>102400</v>
      </c>
      <c r="G2185" s="45">
        <f t="shared" si="94"/>
        <v>1382400</v>
      </c>
      <c r="H2185" s="46"/>
      <c r="I2185" s="47">
        <f t="shared" si="92"/>
        <v>1382400</v>
      </c>
      <c r="J2185" s="48">
        <v>46251</v>
      </c>
      <c r="K2185" s="49"/>
      <c r="L2185" s="50">
        <v>4194265241</v>
      </c>
    </row>
    <row r="2186" spans="1:12" ht="15" customHeight="1" x14ac:dyDescent="0.35">
      <c r="A2186" s="114" t="s">
        <v>123</v>
      </c>
      <c r="B2186" s="115">
        <v>7035</v>
      </c>
      <c r="C2186" s="116"/>
      <c r="D2186" s="117">
        <v>46248</v>
      </c>
      <c r="E2186" s="59">
        <v>4188000</v>
      </c>
      <c r="F2186" s="44">
        <f t="shared" si="93"/>
        <v>335040</v>
      </c>
      <c r="G2186" s="61">
        <f t="shared" si="94"/>
        <v>4523040</v>
      </c>
      <c r="H2186" s="59"/>
      <c r="I2186" s="62">
        <f t="shared" si="92"/>
        <v>4523040</v>
      </c>
      <c r="J2186" s="48">
        <v>46251</v>
      </c>
      <c r="K2186" s="64"/>
      <c r="L2186" s="65">
        <v>4194282174</v>
      </c>
    </row>
    <row r="2187" spans="1:12" ht="15" customHeight="1" x14ac:dyDescent="0.35">
      <c r="A2187" s="85" t="s">
        <v>63</v>
      </c>
      <c r="B2187" s="86">
        <v>7036</v>
      </c>
      <c r="C2187" s="87"/>
      <c r="D2187" s="88">
        <v>46248</v>
      </c>
      <c r="E2187" s="43">
        <v>1040000</v>
      </c>
      <c r="F2187" s="44">
        <f t="shared" si="93"/>
        <v>83200</v>
      </c>
      <c r="G2187" s="45">
        <f t="shared" si="94"/>
        <v>1123200</v>
      </c>
      <c r="H2187" s="46"/>
      <c r="I2187" s="47">
        <f t="shared" si="92"/>
        <v>1123200</v>
      </c>
      <c r="J2187" s="48">
        <v>46251</v>
      </c>
      <c r="K2187" s="49"/>
      <c r="L2187" s="50">
        <v>4194282089</v>
      </c>
    </row>
    <row r="2188" spans="1:12" ht="15" customHeight="1" x14ac:dyDescent="0.35">
      <c r="A2188" s="114" t="s">
        <v>123</v>
      </c>
      <c r="B2188" s="115">
        <v>7037</v>
      </c>
      <c r="C2188" s="116"/>
      <c r="D2188" s="117">
        <v>46248</v>
      </c>
      <c r="E2188" s="59">
        <v>1628000</v>
      </c>
      <c r="F2188" s="44">
        <f t="shared" si="93"/>
        <v>130240</v>
      </c>
      <c r="G2188" s="61">
        <f t="shared" si="94"/>
        <v>1758240</v>
      </c>
      <c r="H2188" s="59"/>
      <c r="I2188" s="62">
        <f t="shared" si="92"/>
        <v>1758240</v>
      </c>
      <c r="J2188" s="48">
        <v>46249</v>
      </c>
      <c r="K2188" s="64"/>
      <c r="L2188" s="65">
        <v>4194281837</v>
      </c>
    </row>
    <row r="2189" spans="1:12" ht="15" customHeight="1" x14ac:dyDescent="0.35">
      <c r="A2189" s="85" t="s">
        <v>123</v>
      </c>
      <c r="B2189" s="86">
        <v>7038</v>
      </c>
      <c r="C2189" s="87"/>
      <c r="D2189" s="88">
        <v>46248</v>
      </c>
      <c r="E2189" s="43">
        <v>640000</v>
      </c>
      <c r="F2189" s="44">
        <f t="shared" si="93"/>
        <v>51200</v>
      </c>
      <c r="G2189" s="45">
        <f t="shared" si="94"/>
        <v>691200</v>
      </c>
      <c r="H2189" s="46"/>
      <c r="I2189" s="47">
        <f t="shared" si="92"/>
        <v>691200</v>
      </c>
      <c r="J2189" s="48">
        <v>46251</v>
      </c>
      <c r="K2189" s="49"/>
      <c r="L2189" s="50">
        <v>4194265333</v>
      </c>
    </row>
    <row r="2190" spans="1:12" ht="15" customHeight="1" x14ac:dyDescent="0.35">
      <c r="A2190" s="85" t="s">
        <v>29</v>
      </c>
      <c r="B2190" s="86"/>
      <c r="C2190" s="87"/>
      <c r="D2190" s="88"/>
      <c r="E2190" s="43">
        <v>1440000</v>
      </c>
      <c r="F2190" s="44">
        <f t="shared" si="93"/>
        <v>115200</v>
      </c>
      <c r="G2190" s="45">
        <f t="shared" si="94"/>
        <v>1555200</v>
      </c>
      <c r="H2190" s="46"/>
      <c r="I2190" s="47">
        <f t="shared" si="92"/>
        <v>1555200</v>
      </c>
      <c r="J2190" s="48" t="s">
        <v>249</v>
      </c>
      <c r="K2190" s="49"/>
      <c r="L2190" s="50">
        <v>4194417760</v>
      </c>
    </row>
    <row r="2191" spans="1:12" ht="15" customHeight="1" x14ac:dyDescent="0.35">
      <c r="A2191" s="85" t="s">
        <v>3227</v>
      </c>
      <c r="B2191" s="86"/>
      <c r="C2191" s="87"/>
      <c r="D2191" s="88"/>
      <c r="E2191" s="43">
        <v>520000</v>
      </c>
      <c r="F2191" s="44">
        <f t="shared" si="93"/>
        <v>41600</v>
      </c>
      <c r="G2191" s="45">
        <f t="shared" si="94"/>
        <v>561600</v>
      </c>
      <c r="H2191" s="46"/>
      <c r="I2191" s="47">
        <f t="shared" si="92"/>
        <v>561600</v>
      </c>
      <c r="J2191" s="48" t="s">
        <v>249</v>
      </c>
      <c r="K2191" s="49"/>
      <c r="L2191" s="50">
        <v>4194418575</v>
      </c>
    </row>
    <row r="2192" spans="1:12" ht="15" customHeight="1" x14ac:dyDescent="0.35">
      <c r="A2192" s="85" t="s">
        <v>56</v>
      </c>
      <c r="B2192" s="86">
        <v>7039</v>
      </c>
      <c r="C2192" s="87"/>
      <c r="D2192" s="88">
        <v>46248</v>
      </c>
      <c r="E2192" s="43">
        <v>480000</v>
      </c>
      <c r="F2192" s="44">
        <f t="shared" si="93"/>
        <v>38400</v>
      </c>
      <c r="G2192" s="45">
        <f t="shared" si="94"/>
        <v>518400</v>
      </c>
      <c r="H2192" s="46"/>
      <c r="I2192" s="47">
        <f t="shared" si="92"/>
        <v>518400</v>
      </c>
      <c r="J2192" s="48">
        <v>46251</v>
      </c>
      <c r="K2192" s="49"/>
      <c r="L2192" s="50">
        <v>4194433527</v>
      </c>
    </row>
    <row r="2193" spans="1:12" ht="15" customHeight="1" x14ac:dyDescent="0.35">
      <c r="A2193" s="85" t="s">
        <v>37</v>
      </c>
      <c r="B2193" s="86">
        <v>7040</v>
      </c>
      <c r="C2193" s="87"/>
      <c r="D2193" s="88">
        <v>46248</v>
      </c>
      <c r="E2193" s="43">
        <v>1424000</v>
      </c>
      <c r="F2193" s="44">
        <f t="shared" si="93"/>
        <v>113920</v>
      </c>
      <c r="G2193" s="45">
        <f t="shared" si="94"/>
        <v>1537920</v>
      </c>
      <c r="H2193" s="46"/>
      <c r="I2193" s="47">
        <f t="shared" si="92"/>
        <v>1537920</v>
      </c>
      <c r="J2193" s="48">
        <v>46251</v>
      </c>
      <c r="K2193" s="49"/>
      <c r="L2193" s="50">
        <v>4194433283</v>
      </c>
    </row>
    <row r="2194" spans="1:12" ht="15" customHeight="1" x14ac:dyDescent="0.35">
      <c r="A2194" s="85" t="s">
        <v>85</v>
      </c>
      <c r="B2194" s="86"/>
      <c r="C2194" s="87"/>
      <c r="D2194" s="88"/>
      <c r="E2194" s="43">
        <v>1920000</v>
      </c>
      <c r="F2194" s="44">
        <f t="shared" si="93"/>
        <v>153600</v>
      </c>
      <c r="G2194" s="45">
        <f t="shared" si="94"/>
        <v>2073600</v>
      </c>
      <c r="H2194" s="46"/>
      <c r="I2194" s="47">
        <f t="shared" si="92"/>
        <v>2073600</v>
      </c>
      <c r="J2194" s="48" t="s">
        <v>249</v>
      </c>
      <c r="K2194" s="49"/>
      <c r="L2194" s="50">
        <v>4194433191</v>
      </c>
    </row>
    <row r="2195" spans="1:12" ht="15" customHeight="1" x14ac:dyDescent="0.35">
      <c r="A2195" s="85" t="s">
        <v>123</v>
      </c>
      <c r="B2195" s="86">
        <v>7118</v>
      </c>
      <c r="C2195" s="87"/>
      <c r="D2195" s="88">
        <v>46249</v>
      </c>
      <c r="E2195" s="43">
        <v>1040000</v>
      </c>
      <c r="F2195" s="44">
        <f t="shared" si="93"/>
        <v>83200</v>
      </c>
      <c r="G2195" s="45">
        <f t="shared" si="94"/>
        <v>1123200</v>
      </c>
      <c r="H2195" s="46"/>
      <c r="I2195" s="47">
        <f t="shared" si="92"/>
        <v>1123200</v>
      </c>
      <c r="J2195" s="48">
        <v>46251</v>
      </c>
      <c r="K2195" s="49"/>
      <c r="L2195" s="50">
        <v>4194433263</v>
      </c>
    </row>
    <row r="2196" spans="1:12" ht="15" customHeight="1" x14ac:dyDescent="0.35">
      <c r="A2196" s="85" t="s">
        <v>123</v>
      </c>
      <c r="B2196" s="86">
        <v>7041</v>
      </c>
      <c r="C2196" s="87"/>
      <c r="D2196" s="88">
        <v>46248</v>
      </c>
      <c r="E2196" s="43">
        <v>1728000</v>
      </c>
      <c r="F2196" s="44">
        <f t="shared" si="93"/>
        <v>138240</v>
      </c>
      <c r="G2196" s="45">
        <f t="shared" si="94"/>
        <v>1866240</v>
      </c>
      <c r="H2196" s="46"/>
      <c r="I2196" s="47">
        <f t="shared" si="92"/>
        <v>1866240</v>
      </c>
      <c r="J2196" s="48">
        <v>46251</v>
      </c>
      <c r="K2196" s="49"/>
      <c r="L2196" s="50">
        <v>4194422089</v>
      </c>
    </row>
    <row r="2197" spans="1:12" ht="15" customHeight="1" x14ac:dyDescent="0.35">
      <c r="A2197" s="85" t="s">
        <v>29</v>
      </c>
      <c r="B2197" s="86"/>
      <c r="C2197" s="87"/>
      <c r="D2197" s="88"/>
      <c r="E2197" s="43">
        <v>1280000</v>
      </c>
      <c r="F2197" s="44">
        <f t="shared" si="93"/>
        <v>102400</v>
      </c>
      <c r="G2197" s="45">
        <f t="shared" si="94"/>
        <v>1382400</v>
      </c>
      <c r="H2197" s="46"/>
      <c r="I2197" s="47">
        <f t="shared" si="92"/>
        <v>1382400</v>
      </c>
      <c r="J2197" s="48" t="s">
        <v>249</v>
      </c>
      <c r="K2197" s="49"/>
      <c r="L2197" s="50">
        <v>4194471284</v>
      </c>
    </row>
    <row r="2198" spans="1:12" ht="15" customHeight="1" x14ac:dyDescent="0.35">
      <c r="A2198" s="85" t="s">
        <v>37</v>
      </c>
      <c r="B2198" s="86"/>
      <c r="C2198" s="87"/>
      <c r="D2198" s="88"/>
      <c r="E2198" s="43">
        <v>2320000</v>
      </c>
      <c r="F2198" s="44">
        <f t="shared" si="93"/>
        <v>185600</v>
      </c>
      <c r="G2198" s="45">
        <f t="shared" si="94"/>
        <v>2505600</v>
      </c>
      <c r="H2198" s="46"/>
      <c r="I2198" s="47">
        <f t="shared" si="92"/>
        <v>2505600</v>
      </c>
      <c r="J2198" s="48" t="s">
        <v>249</v>
      </c>
      <c r="K2198" s="49"/>
      <c r="L2198" s="50">
        <v>4194449726</v>
      </c>
    </row>
    <row r="2199" spans="1:12" ht="15" customHeight="1" x14ac:dyDescent="0.35">
      <c r="A2199" s="85" t="s">
        <v>37</v>
      </c>
      <c r="B2199" s="86"/>
      <c r="C2199" s="87"/>
      <c r="D2199" s="88"/>
      <c r="E2199" s="43">
        <v>960000</v>
      </c>
      <c r="F2199" s="44">
        <f t="shared" si="93"/>
        <v>76800</v>
      </c>
      <c r="G2199" s="45">
        <f t="shared" si="94"/>
        <v>1036800</v>
      </c>
      <c r="H2199" s="46"/>
      <c r="I2199" s="47">
        <f t="shared" si="92"/>
        <v>1036800</v>
      </c>
      <c r="J2199" s="48" t="s">
        <v>249</v>
      </c>
      <c r="K2199" s="49"/>
      <c r="L2199" s="50">
        <v>4194613092</v>
      </c>
    </row>
    <row r="2200" spans="1:12" ht="15" customHeight="1" x14ac:dyDescent="0.35">
      <c r="A2200" s="85" t="s">
        <v>77</v>
      </c>
      <c r="B2200" s="86"/>
      <c r="C2200" s="87"/>
      <c r="D2200" s="88"/>
      <c r="E2200" s="43">
        <v>24000000</v>
      </c>
      <c r="F2200" s="44">
        <f t="shared" si="93"/>
        <v>1920000</v>
      </c>
      <c r="G2200" s="45">
        <f t="shared" si="94"/>
        <v>25920000</v>
      </c>
      <c r="H2200" s="46"/>
      <c r="I2200" s="47">
        <f t="shared" si="92"/>
        <v>25920000</v>
      </c>
      <c r="J2200" s="48" t="s">
        <v>249</v>
      </c>
      <c r="K2200" s="49"/>
      <c r="L2200" s="50">
        <v>4194684015</v>
      </c>
    </row>
    <row r="2201" spans="1:12" ht="15" customHeight="1" x14ac:dyDescent="0.35">
      <c r="A2201" s="85" t="s">
        <v>29</v>
      </c>
      <c r="B2201" s="86"/>
      <c r="C2201" s="87"/>
      <c r="D2201" s="88"/>
      <c r="E2201" s="43">
        <v>6120000</v>
      </c>
      <c r="F2201" s="44">
        <f t="shared" si="93"/>
        <v>489600</v>
      </c>
      <c r="G2201" s="45">
        <f t="shared" si="94"/>
        <v>6609600</v>
      </c>
      <c r="H2201" s="46"/>
      <c r="I2201" s="47">
        <f t="shared" si="92"/>
        <v>6609600</v>
      </c>
      <c r="J2201" s="48" t="s">
        <v>249</v>
      </c>
      <c r="K2201" s="49"/>
      <c r="L2201" s="50">
        <v>4194683940</v>
      </c>
    </row>
    <row r="2202" spans="1:12" ht="15" customHeight="1" x14ac:dyDescent="0.35">
      <c r="A2202" s="85" t="s">
        <v>85</v>
      </c>
      <c r="B2202" s="86"/>
      <c r="C2202" s="87"/>
      <c r="D2202" s="88"/>
      <c r="E2202" s="43">
        <v>4648500</v>
      </c>
      <c r="F2202" s="44">
        <f t="shared" si="93"/>
        <v>371880</v>
      </c>
      <c r="G2202" s="45">
        <f t="shared" si="94"/>
        <v>5020380</v>
      </c>
      <c r="H2202" s="46"/>
      <c r="I2202" s="47">
        <f t="shared" si="92"/>
        <v>5020380</v>
      </c>
      <c r="J2202" s="48" t="s">
        <v>249</v>
      </c>
      <c r="K2202" s="49"/>
      <c r="L2202" s="50">
        <v>4194670025</v>
      </c>
    </row>
    <row r="2203" spans="1:12" ht="15" customHeight="1" x14ac:dyDescent="0.35">
      <c r="A2203" s="85"/>
      <c r="B2203" s="86"/>
      <c r="C2203" s="87"/>
      <c r="D2203" s="88"/>
      <c r="E2203" s="43"/>
      <c r="F2203" s="44"/>
      <c r="G2203" s="45"/>
      <c r="H2203" s="46"/>
      <c r="I2203" s="47"/>
      <c r="J2203" s="48"/>
      <c r="K2203" s="49"/>
      <c r="L2203" s="50"/>
    </row>
    <row r="2204" spans="1:12" ht="15" customHeight="1" x14ac:dyDescent="0.35">
      <c r="A2204" s="85"/>
      <c r="B2204" s="86"/>
      <c r="C2204" s="87"/>
      <c r="D2204" s="88"/>
      <c r="E2204" s="43"/>
      <c r="F2204" s="44"/>
      <c r="G2204" s="45"/>
      <c r="H2204" s="46"/>
      <c r="I2204" s="47"/>
      <c r="J2204" s="48"/>
      <c r="K2204" s="49"/>
      <c r="L2204" s="50"/>
    </row>
    <row r="2205" spans="1:12" ht="15" customHeight="1" x14ac:dyDescent="0.35">
      <c r="A2205" s="85"/>
      <c r="B2205" s="86"/>
      <c r="C2205" s="87"/>
      <c r="D2205" s="88"/>
      <c r="E2205" s="43"/>
      <c r="F2205" s="44"/>
      <c r="G2205" s="45"/>
      <c r="H2205" s="46"/>
      <c r="I2205" s="47"/>
      <c r="J2205" s="48"/>
      <c r="K2205" s="49"/>
      <c r="L2205" s="50"/>
    </row>
    <row r="2206" spans="1:12" ht="15" customHeight="1" x14ac:dyDescent="0.35">
      <c r="A2206" s="85"/>
      <c r="B2206" s="86"/>
      <c r="C2206" s="87"/>
      <c r="D2206" s="88"/>
      <c r="E2206" s="43"/>
      <c r="F2206" s="44"/>
      <c r="G2206" s="45"/>
      <c r="H2206" s="46"/>
      <c r="I2206" s="47"/>
      <c r="J2206" s="48"/>
      <c r="K2206" s="49"/>
      <c r="L2206" s="50"/>
    </row>
    <row r="2207" spans="1:12" ht="15" customHeight="1" x14ac:dyDescent="0.35">
      <c r="A2207" s="85"/>
      <c r="B2207" s="86"/>
      <c r="C2207" s="87"/>
      <c r="D2207" s="88"/>
      <c r="E2207" s="43"/>
      <c r="F2207" s="44"/>
      <c r="G2207" s="45"/>
      <c r="H2207" s="46"/>
      <c r="I2207" s="47"/>
      <c r="J2207" s="48"/>
      <c r="K2207" s="49"/>
      <c r="L2207" s="50"/>
    </row>
    <row r="2208" spans="1:12" ht="15" customHeight="1" x14ac:dyDescent="0.35">
      <c r="A2208" s="85"/>
      <c r="B2208" s="86"/>
      <c r="C2208" s="87"/>
      <c r="D2208" s="88"/>
      <c r="E2208" s="43"/>
      <c r="F2208" s="44"/>
      <c r="G2208" s="45"/>
      <c r="H2208" s="46"/>
      <c r="I2208" s="47"/>
      <c r="J2208" s="48"/>
      <c r="K2208" s="49"/>
      <c r="L2208" s="50"/>
    </row>
    <row r="2209" spans="1:12" ht="15" customHeight="1" x14ac:dyDescent="0.35">
      <c r="A2209" s="85"/>
      <c r="B2209" s="86"/>
      <c r="C2209" s="87"/>
      <c r="D2209" s="88"/>
      <c r="E2209" s="43"/>
      <c r="F2209" s="44"/>
      <c r="G2209" s="45"/>
      <c r="H2209" s="46"/>
      <c r="I2209" s="47"/>
      <c r="J2209" s="48"/>
      <c r="K2209" s="49"/>
      <c r="L2209" s="50"/>
    </row>
    <row r="2210" spans="1:12" ht="15" customHeight="1" x14ac:dyDescent="0.35">
      <c r="A2210" s="85"/>
      <c r="B2210" s="86"/>
      <c r="C2210" s="87"/>
      <c r="D2210" s="88"/>
      <c r="E2210" s="43"/>
      <c r="F2210" s="44"/>
      <c r="G2210" s="45"/>
      <c r="H2210" s="46"/>
      <c r="I2210" s="47"/>
      <c r="J2210" s="48"/>
      <c r="K2210" s="49"/>
      <c r="L2210" s="50"/>
    </row>
    <row r="2211" spans="1:12" ht="15" customHeight="1" x14ac:dyDescent="0.35">
      <c r="A2211" s="85"/>
      <c r="B2211" s="86"/>
      <c r="C2211" s="87"/>
      <c r="D2211" s="88"/>
      <c r="E2211" s="43"/>
      <c r="F2211" s="44"/>
      <c r="G2211" s="45"/>
      <c r="H2211" s="46"/>
      <c r="I2211" s="47"/>
      <c r="J2211" s="48"/>
      <c r="K2211" s="49"/>
      <c r="L2211" s="50"/>
    </row>
    <row r="2212" spans="1:12" ht="15" customHeight="1" x14ac:dyDescent="0.35">
      <c r="A2212" s="85"/>
      <c r="B2212" s="86"/>
      <c r="C2212" s="87"/>
      <c r="D2212" s="88"/>
      <c r="E2212" s="43"/>
      <c r="F2212" s="44"/>
      <c r="G2212" s="45"/>
      <c r="H2212" s="46"/>
      <c r="I2212" s="47"/>
      <c r="J2212" s="48"/>
      <c r="K2212" s="49"/>
      <c r="L2212" s="50"/>
    </row>
    <row r="2213" spans="1:12" ht="15" customHeight="1" x14ac:dyDescent="0.35">
      <c r="A2213" s="85"/>
      <c r="B2213" s="86"/>
      <c r="C2213" s="87"/>
      <c r="D2213" s="88"/>
      <c r="E2213" s="43"/>
      <c r="F2213" s="44"/>
      <c r="G2213" s="45"/>
      <c r="H2213" s="46"/>
      <c r="I2213" s="47"/>
      <c r="J2213" s="48"/>
      <c r="K2213" s="49"/>
      <c r="L2213" s="50"/>
    </row>
    <row r="2214" spans="1:12" ht="15" customHeight="1" x14ac:dyDescent="0.35">
      <c r="A2214" s="85"/>
      <c r="B2214" s="86"/>
      <c r="C2214" s="87"/>
      <c r="D2214" s="88"/>
      <c r="E2214" s="43"/>
      <c r="F2214" s="44"/>
      <c r="G2214" s="45"/>
      <c r="H2214" s="46"/>
      <c r="I2214" s="47"/>
      <c r="J2214" s="48"/>
      <c r="K2214" s="49"/>
      <c r="L2214" s="50"/>
    </row>
    <row r="2215" spans="1:12" ht="15" customHeight="1" x14ac:dyDescent="0.35">
      <c r="A2215" s="85"/>
      <c r="B2215" s="86"/>
      <c r="C2215" s="87"/>
      <c r="D2215" s="88"/>
      <c r="E2215" s="43"/>
      <c r="F2215" s="44"/>
      <c r="G2215" s="45"/>
      <c r="H2215" s="46"/>
      <c r="I2215" s="47"/>
      <c r="J2215" s="48"/>
      <c r="K2215" s="49"/>
      <c r="L2215" s="50"/>
    </row>
    <row r="2216" spans="1:12" ht="15" customHeight="1" x14ac:dyDescent="0.35">
      <c r="A2216" s="85"/>
      <c r="B2216" s="86"/>
      <c r="C2216" s="87"/>
      <c r="D2216" s="88"/>
      <c r="E2216" s="43"/>
      <c r="F2216" s="44"/>
      <c r="G2216" s="45"/>
      <c r="H2216" s="46"/>
      <c r="I2216" s="47"/>
      <c r="J2216" s="48"/>
      <c r="K2216" s="49"/>
      <c r="L2216" s="50"/>
    </row>
    <row r="2217" spans="1:12" ht="15" customHeight="1" x14ac:dyDescent="0.35">
      <c r="A2217" s="85"/>
      <c r="B2217" s="86"/>
      <c r="C2217" s="87"/>
      <c r="D2217" s="88"/>
      <c r="E2217" s="43"/>
      <c r="F2217" s="44"/>
      <c r="G2217" s="45"/>
      <c r="H2217" s="46"/>
      <c r="I2217" s="47"/>
      <c r="J2217" s="48"/>
      <c r="K2217" s="49"/>
      <c r="L2217" s="50"/>
    </row>
    <row r="2218" spans="1:12" ht="15" customHeight="1" x14ac:dyDescent="0.35">
      <c r="A2218" s="85"/>
      <c r="B2218" s="86"/>
      <c r="C2218" s="87"/>
      <c r="D2218" s="88"/>
      <c r="E2218" s="43"/>
      <c r="F2218" s="44"/>
      <c r="G2218" s="45"/>
      <c r="H2218" s="46"/>
      <c r="I2218" s="47"/>
      <c r="J2218" s="48"/>
      <c r="K2218" s="49"/>
      <c r="L2218" s="50"/>
    </row>
    <row r="2219" spans="1:12" ht="15" customHeight="1" x14ac:dyDescent="0.35">
      <c r="A2219" s="85"/>
      <c r="B2219" s="86"/>
      <c r="C2219" s="87"/>
      <c r="D2219" s="88"/>
      <c r="E2219" s="43"/>
      <c r="F2219" s="44"/>
      <c r="G2219" s="45"/>
      <c r="H2219" s="46"/>
      <c r="I2219" s="47"/>
      <c r="J2219" s="48"/>
      <c r="K2219" s="49"/>
      <c r="L2219" s="50"/>
    </row>
    <row r="2220" spans="1:12" ht="15" customHeight="1" x14ac:dyDescent="0.35">
      <c r="A2220" s="85"/>
      <c r="B2220" s="86"/>
      <c r="C2220" s="87"/>
      <c r="D2220" s="88"/>
      <c r="E2220" s="43"/>
      <c r="F2220" s="44"/>
      <c r="G2220" s="45"/>
      <c r="H2220" s="46"/>
      <c r="I2220" s="47"/>
      <c r="J2220" s="48"/>
      <c r="K2220" s="49"/>
      <c r="L2220" s="50"/>
    </row>
    <row r="2221" spans="1:12" ht="15" customHeight="1" x14ac:dyDescent="0.35">
      <c r="A2221" s="85"/>
      <c r="B2221" s="86"/>
      <c r="C2221" s="87"/>
      <c r="D2221" s="88"/>
      <c r="E2221" s="43"/>
      <c r="F2221" s="44"/>
      <c r="G2221" s="45"/>
      <c r="H2221" s="46"/>
      <c r="I2221" s="47"/>
      <c r="J2221" s="48"/>
      <c r="K2221" s="49"/>
      <c r="L2221" s="50"/>
    </row>
    <row r="2222" spans="1:12" ht="15" customHeight="1" x14ac:dyDescent="0.35">
      <c r="A2222" s="85"/>
      <c r="B2222" s="86"/>
      <c r="C2222" s="87"/>
      <c r="D2222" s="88"/>
      <c r="E2222" s="43"/>
      <c r="F2222" s="44"/>
      <c r="G2222" s="45"/>
      <c r="H2222" s="46"/>
      <c r="I2222" s="47"/>
      <c r="J2222" s="48"/>
      <c r="K2222" s="49"/>
      <c r="L2222" s="50"/>
    </row>
    <row r="2223" spans="1:12" ht="15" customHeight="1" x14ac:dyDescent="0.35">
      <c r="A2223" s="85"/>
      <c r="B2223" s="86"/>
      <c r="C2223" s="87"/>
      <c r="D2223" s="88"/>
      <c r="E2223" s="43"/>
      <c r="F2223" s="44"/>
      <c r="G2223" s="45"/>
      <c r="H2223" s="46"/>
      <c r="I2223" s="47"/>
      <c r="J2223" s="48"/>
      <c r="K2223" s="49"/>
      <c r="L2223" s="50"/>
    </row>
    <row r="2224" spans="1:12" ht="15" customHeight="1" x14ac:dyDescent="0.35">
      <c r="A2224" s="85"/>
      <c r="B2224" s="86"/>
      <c r="C2224" s="87"/>
      <c r="D2224" s="88"/>
      <c r="E2224" s="43"/>
      <c r="F2224" s="44"/>
      <c r="G2224" s="45"/>
      <c r="H2224" s="46"/>
      <c r="I2224" s="47"/>
      <c r="J2224" s="48"/>
      <c r="K2224" s="49"/>
      <c r="L2224" s="50"/>
    </row>
    <row r="2225" spans="1:12" ht="15" customHeight="1" x14ac:dyDescent="0.35">
      <c r="A2225" s="85"/>
      <c r="B2225" s="86"/>
      <c r="C2225" s="87"/>
      <c r="D2225" s="88"/>
      <c r="E2225" s="43"/>
      <c r="F2225" s="44"/>
      <c r="G2225" s="45"/>
      <c r="H2225" s="46"/>
      <c r="I2225" s="47"/>
      <c r="J2225" s="48"/>
      <c r="K2225" s="49"/>
      <c r="L2225" s="50"/>
    </row>
    <row r="2226" spans="1:12" ht="15" customHeight="1" x14ac:dyDescent="0.35">
      <c r="A2226" s="85"/>
      <c r="B2226" s="86"/>
      <c r="C2226" s="87"/>
      <c r="D2226" s="88"/>
      <c r="E2226" s="43"/>
      <c r="F2226" s="44"/>
      <c r="G2226" s="45"/>
      <c r="H2226" s="46"/>
      <c r="I2226" s="47"/>
      <c r="J2226" s="48"/>
      <c r="K2226" s="49"/>
      <c r="L2226" s="50"/>
    </row>
    <row r="2227" spans="1:12" ht="15" customHeight="1" x14ac:dyDescent="0.35">
      <c r="A2227" s="85"/>
      <c r="B2227" s="86"/>
      <c r="C2227" s="87"/>
      <c r="D2227" s="88"/>
      <c r="E2227" s="43"/>
      <c r="F2227" s="44"/>
      <c r="G2227" s="45"/>
      <c r="H2227" s="46"/>
      <c r="I2227" s="47"/>
      <c r="J2227" s="48"/>
      <c r="K2227" s="49"/>
      <c r="L2227" s="50"/>
    </row>
    <row r="2228" spans="1:12" ht="15" customHeight="1" x14ac:dyDescent="0.35">
      <c r="A2228" s="85"/>
      <c r="B2228" s="86"/>
      <c r="C2228" s="87"/>
      <c r="D2228" s="88"/>
      <c r="E2228" s="43"/>
      <c r="F2228" s="44"/>
      <c r="G2228" s="45"/>
      <c r="H2228" s="46"/>
      <c r="I2228" s="47"/>
      <c r="J2228" s="48"/>
      <c r="K2228" s="49"/>
      <c r="L2228" s="50"/>
    </row>
    <row r="2229" spans="1:12" ht="15" customHeight="1" x14ac:dyDescent="0.35">
      <c r="A2229" s="85"/>
      <c r="B2229" s="86"/>
      <c r="C2229" s="87"/>
      <c r="D2229" s="88"/>
      <c r="E2229" s="43"/>
      <c r="F2229" s="44"/>
      <c r="G2229" s="45"/>
      <c r="H2229" s="46"/>
      <c r="I2229" s="47"/>
      <c r="J2229" s="48"/>
      <c r="K2229" s="49"/>
      <c r="L2229" s="50"/>
    </row>
    <row r="2230" spans="1:12" ht="15" customHeight="1" x14ac:dyDescent="0.35">
      <c r="A2230" s="85"/>
      <c r="B2230" s="86"/>
      <c r="C2230" s="87"/>
      <c r="D2230" s="88"/>
      <c r="E2230" s="43"/>
      <c r="F2230" s="44"/>
      <c r="G2230" s="45"/>
      <c r="H2230" s="46"/>
      <c r="I2230" s="47"/>
      <c r="J2230" s="48"/>
      <c r="K2230" s="49"/>
      <c r="L2230" s="50"/>
    </row>
    <row r="2231" spans="1:12" ht="15" customHeight="1" x14ac:dyDescent="0.35">
      <c r="A2231" s="85"/>
      <c r="B2231" s="86"/>
      <c r="C2231" s="87"/>
      <c r="D2231" s="88"/>
      <c r="E2231" s="43"/>
      <c r="F2231" s="44"/>
      <c r="G2231" s="45"/>
      <c r="H2231" s="46"/>
      <c r="I2231" s="47"/>
      <c r="J2231" s="48"/>
      <c r="K2231" s="49"/>
      <c r="L2231" s="50"/>
    </row>
    <row r="2232" spans="1:12" ht="15" customHeight="1" x14ac:dyDescent="0.35">
      <c r="A2232" s="85"/>
      <c r="B2232" s="86"/>
      <c r="C2232" s="87"/>
      <c r="D2232" s="88"/>
      <c r="E2232" s="43"/>
      <c r="F2232" s="44"/>
      <c r="G2232" s="45"/>
      <c r="H2232" s="46"/>
      <c r="I2232" s="47"/>
      <c r="J2232" s="48"/>
      <c r="K2232" s="49"/>
      <c r="L2232" s="50"/>
    </row>
    <row r="2233" spans="1:12" ht="15" customHeight="1" x14ac:dyDescent="0.35">
      <c r="A2233" s="85"/>
      <c r="B2233" s="86"/>
      <c r="C2233" s="87"/>
      <c r="D2233" s="88"/>
      <c r="E2233" s="43"/>
      <c r="F2233" s="44"/>
      <c r="G2233" s="45"/>
      <c r="H2233" s="46"/>
      <c r="I2233" s="47"/>
      <c r="J2233" s="48"/>
      <c r="K2233" s="49"/>
      <c r="L2233" s="50"/>
    </row>
    <row r="2234" spans="1:12" ht="15" customHeight="1" x14ac:dyDescent="0.35">
      <c r="A2234" s="85"/>
      <c r="B2234" s="86"/>
      <c r="C2234" s="87"/>
      <c r="D2234" s="88"/>
      <c r="E2234" s="43"/>
      <c r="F2234" s="44"/>
      <c r="G2234" s="45"/>
      <c r="H2234" s="46"/>
      <c r="I2234" s="47"/>
      <c r="J2234" s="48"/>
      <c r="K2234" s="49"/>
      <c r="L2234" s="50"/>
    </row>
    <row r="2235" spans="1:12" ht="15" customHeight="1" x14ac:dyDescent="0.35">
      <c r="A2235" s="85"/>
      <c r="B2235" s="86"/>
      <c r="C2235" s="87"/>
      <c r="D2235" s="88"/>
      <c r="E2235" s="43"/>
      <c r="F2235" s="44"/>
      <c r="G2235" s="45"/>
      <c r="H2235" s="46"/>
      <c r="I2235" s="47"/>
      <c r="J2235" s="48"/>
      <c r="K2235" s="49"/>
      <c r="L2235" s="50"/>
    </row>
    <row r="2236" spans="1:12" ht="15" customHeight="1" x14ac:dyDescent="0.35">
      <c r="A2236" s="85"/>
      <c r="B2236" s="86"/>
      <c r="C2236" s="87"/>
      <c r="D2236" s="88"/>
      <c r="E2236" s="43"/>
      <c r="F2236" s="44"/>
      <c r="G2236" s="45"/>
      <c r="H2236" s="46"/>
      <c r="I2236" s="47"/>
      <c r="J2236" s="48"/>
      <c r="K2236" s="49"/>
      <c r="L2236" s="50"/>
    </row>
    <row r="2237" spans="1:12" ht="15" customHeight="1" x14ac:dyDescent="0.35">
      <c r="A2237" s="85"/>
      <c r="B2237" s="86"/>
      <c r="C2237" s="87"/>
      <c r="D2237" s="88"/>
      <c r="E2237" s="43"/>
      <c r="F2237" s="44"/>
      <c r="G2237" s="45"/>
      <c r="H2237" s="46"/>
      <c r="I2237" s="47"/>
      <c r="J2237" s="48"/>
      <c r="K2237" s="49"/>
      <c r="L2237" s="50"/>
    </row>
    <row r="2238" spans="1:12" ht="15" customHeight="1" x14ac:dyDescent="0.35">
      <c r="A2238" s="85"/>
      <c r="B2238" s="86"/>
      <c r="C2238" s="87"/>
      <c r="D2238" s="88"/>
      <c r="E2238" s="43"/>
      <c r="F2238" s="44"/>
      <c r="G2238" s="45"/>
      <c r="H2238" s="46"/>
      <c r="I2238" s="47"/>
      <c r="J2238" s="48"/>
      <c r="K2238" s="49"/>
      <c r="L2238" s="50"/>
    </row>
    <row r="2239" spans="1:12" ht="15" customHeight="1" x14ac:dyDescent="0.35">
      <c r="A2239" s="85"/>
      <c r="B2239" s="86"/>
      <c r="C2239" s="87"/>
      <c r="D2239" s="88"/>
      <c r="E2239" s="43"/>
      <c r="F2239" s="44"/>
      <c r="G2239" s="45"/>
      <c r="H2239" s="46"/>
      <c r="I2239" s="47"/>
      <c r="J2239" s="48"/>
      <c r="K2239" s="49"/>
      <c r="L2239" s="50"/>
    </row>
    <row r="2240" spans="1:12" ht="15" customHeight="1" x14ac:dyDescent="0.35">
      <c r="A2240" s="85"/>
      <c r="B2240" s="86"/>
      <c r="C2240" s="87"/>
      <c r="D2240" s="88"/>
      <c r="E2240" s="43"/>
      <c r="F2240" s="44"/>
      <c r="G2240" s="45"/>
      <c r="H2240" s="46"/>
      <c r="I2240" s="47"/>
      <c r="J2240" s="48"/>
      <c r="K2240" s="49"/>
      <c r="L2240" s="50"/>
    </row>
    <row r="2241" spans="1:12" ht="15" customHeight="1" x14ac:dyDescent="0.35">
      <c r="A2241" s="85"/>
      <c r="B2241" s="86"/>
      <c r="C2241" s="87"/>
      <c r="D2241" s="88"/>
      <c r="E2241" s="43"/>
      <c r="F2241" s="44"/>
      <c r="G2241" s="45"/>
      <c r="H2241" s="46"/>
      <c r="I2241" s="47"/>
      <c r="J2241" s="48"/>
      <c r="K2241" s="49"/>
      <c r="L2241" s="50"/>
    </row>
    <row r="2242" spans="1:12" ht="15" customHeight="1" x14ac:dyDescent="0.35">
      <c r="A2242" s="85"/>
      <c r="B2242" s="86"/>
      <c r="C2242" s="87"/>
      <c r="D2242" s="88"/>
      <c r="E2242" s="43"/>
      <c r="F2242" s="44"/>
      <c r="G2242" s="45"/>
      <c r="H2242" s="46"/>
      <c r="I2242" s="47"/>
      <c r="J2242" s="48"/>
      <c r="K2242" s="49"/>
      <c r="L2242" s="50"/>
    </row>
    <row r="2243" spans="1:12" ht="15" customHeight="1" x14ac:dyDescent="0.35">
      <c r="A2243" s="85"/>
      <c r="B2243" s="86"/>
      <c r="C2243" s="87"/>
      <c r="D2243" s="88"/>
      <c r="E2243" s="43"/>
      <c r="F2243" s="44"/>
      <c r="G2243" s="45"/>
      <c r="H2243" s="46"/>
      <c r="I2243" s="47"/>
      <c r="J2243" s="48"/>
      <c r="K2243" s="49"/>
      <c r="L2243" s="50"/>
    </row>
    <row r="2244" spans="1:12" ht="15" customHeight="1" x14ac:dyDescent="0.35">
      <c r="A2244" s="85"/>
      <c r="B2244" s="86"/>
      <c r="C2244" s="87"/>
      <c r="D2244" s="88"/>
      <c r="E2244" s="43"/>
      <c r="F2244" s="44"/>
      <c r="G2244" s="45"/>
      <c r="H2244" s="46"/>
      <c r="I2244" s="47"/>
      <c r="J2244" s="48"/>
      <c r="K2244" s="49"/>
      <c r="L2244" s="50"/>
    </row>
    <row r="2245" spans="1:12" ht="15" customHeight="1" x14ac:dyDescent="0.35">
      <c r="A2245" s="85"/>
      <c r="B2245" s="86"/>
      <c r="C2245" s="87"/>
      <c r="D2245" s="88"/>
      <c r="E2245" s="43"/>
      <c r="F2245" s="44"/>
      <c r="G2245" s="45"/>
      <c r="H2245" s="46"/>
      <c r="I2245" s="47"/>
      <c r="J2245" s="48"/>
      <c r="K2245" s="49"/>
      <c r="L2245" s="50"/>
    </row>
    <row r="2246" spans="1:12" ht="15" customHeight="1" x14ac:dyDescent="0.35">
      <c r="A2246" s="85"/>
      <c r="B2246" s="86"/>
      <c r="C2246" s="87"/>
      <c r="D2246" s="88"/>
      <c r="E2246" s="43"/>
      <c r="F2246" s="44"/>
      <c r="G2246" s="45"/>
      <c r="H2246" s="46"/>
      <c r="I2246" s="47"/>
      <c r="J2246" s="48"/>
      <c r="K2246" s="49"/>
      <c r="L2246" s="50"/>
    </row>
    <row r="2247" spans="1:12" ht="15" customHeight="1" x14ac:dyDescent="0.35">
      <c r="A2247" s="85"/>
      <c r="B2247" s="86"/>
      <c r="C2247" s="87"/>
      <c r="D2247" s="88"/>
      <c r="E2247" s="43"/>
      <c r="F2247" s="44"/>
      <c r="G2247" s="45"/>
      <c r="H2247" s="46"/>
      <c r="I2247" s="47"/>
      <c r="J2247" s="48"/>
      <c r="K2247" s="49"/>
      <c r="L2247" s="50"/>
    </row>
    <row r="2248" spans="1:12" ht="15" customHeight="1" x14ac:dyDescent="0.35">
      <c r="A2248" s="85"/>
      <c r="B2248" s="86"/>
      <c r="C2248" s="87"/>
      <c r="D2248" s="88"/>
      <c r="E2248" s="43"/>
      <c r="F2248" s="44"/>
      <c r="G2248" s="45"/>
      <c r="H2248" s="46"/>
      <c r="I2248" s="47"/>
      <c r="J2248" s="48"/>
      <c r="K2248" s="49"/>
      <c r="L2248" s="50"/>
    </row>
    <row r="2249" spans="1:12" ht="15" customHeight="1" x14ac:dyDescent="0.35">
      <c r="A2249" s="85"/>
      <c r="B2249" s="86"/>
      <c r="C2249" s="87"/>
      <c r="D2249" s="88"/>
      <c r="E2249" s="43"/>
      <c r="F2249" s="44"/>
      <c r="G2249" s="45"/>
      <c r="H2249" s="46"/>
      <c r="I2249" s="47"/>
      <c r="J2249" s="48"/>
      <c r="K2249" s="49"/>
      <c r="L2249" s="50"/>
    </row>
    <row r="2250" spans="1:12" ht="15" customHeight="1" x14ac:dyDescent="0.35">
      <c r="A2250" s="85"/>
      <c r="B2250" s="86"/>
      <c r="C2250" s="87"/>
      <c r="D2250" s="88"/>
      <c r="E2250" s="43"/>
      <c r="F2250" s="44"/>
      <c r="G2250" s="45"/>
      <c r="H2250" s="46"/>
      <c r="I2250" s="47"/>
      <c r="J2250" s="48"/>
      <c r="K2250" s="49"/>
      <c r="L2250" s="50"/>
    </row>
    <row r="2251" spans="1:12" ht="15" customHeight="1" x14ac:dyDescent="0.35">
      <c r="A2251" s="85"/>
      <c r="B2251" s="86"/>
      <c r="C2251" s="87"/>
      <c r="D2251" s="88"/>
      <c r="E2251" s="43"/>
      <c r="F2251" s="44"/>
      <c r="G2251" s="45"/>
      <c r="H2251" s="46"/>
      <c r="I2251" s="47"/>
      <c r="J2251" s="48"/>
      <c r="K2251" s="49"/>
      <c r="L2251" s="50"/>
    </row>
    <row r="2252" spans="1:12" ht="15" customHeight="1" x14ac:dyDescent="0.35">
      <c r="A2252" s="85"/>
      <c r="B2252" s="86"/>
      <c r="C2252" s="87"/>
      <c r="D2252" s="88"/>
      <c r="E2252" s="43"/>
      <c r="F2252" s="44"/>
      <c r="G2252" s="45"/>
      <c r="H2252" s="46"/>
      <c r="I2252" s="47"/>
      <c r="J2252" s="48"/>
      <c r="K2252" s="49"/>
      <c r="L2252" s="50"/>
    </row>
    <row r="2253" spans="1:12" ht="15" customHeight="1" x14ac:dyDescent="0.35">
      <c r="A2253" s="85"/>
      <c r="B2253" s="86"/>
      <c r="C2253" s="87"/>
      <c r="D2253" s="88"/>
      <c r="E2253" s="43"/>
      <c r="F2253" s="44"/>
      <c r="G2253" s="45"/>
      <c r="H2253" s="46"/>
      <c r="I2253" s="47"/>
      <c r="J2253" s="48"/>
      <c r="K2253" s="49"/>
      <c r="L2253" s="50"/>
    </row>
    <row r="2254" spans="1:12" ht="15" customHeight="1" x14ac:dyDescent="0.35">
      <c r="A2254" s="85"/>
      <c r="B2254" s="86"/>
      <c r="C2254" s="87"/>
      <c r="D2254" s="88"/>
      <c r="E2254" s="43"/>
      <c r="F2254" s="44"/>
      <c r="G2254" s="45"/>
      <c r="H2254" s="46"/>
      <c r="I2254" s="47"/>
      <c r="J2254" s="48"/>
      <c r="K2254" s="49"/>
      <c r="L2254" s="50"/>
    </row>
    <row r="2255" spans="1:12" ht="15" customHeight="1" x14ac:dyDescent="0.35">
      <c r="A2255" s="85"/>
      <c r="B2255" s="86"/>
      <c r="C2255" s="87"/>
      <c r="D2255" s="88"/>
      <c r="E2255" s="43"/>
      <c r="F2255" s="44"/>
      <c r="G2255" s="45"/>
      <c r="H2255" s="46"/>
      <c r="I2255" s="47"/>
      <c r="J2255" s="48"/>
      <c r="K2255" s="49"/>
      <c r="L2255" s="50"/>
    </row>
    <row r="2256" spans="1:12" ht="15" customHeight="1" x14ac:dyDescent="0.35">
      <c r="A2256" s="85"/>
      <c r="B2256" s="86"/>
      <c r="C2256" s="87"/>
      <c r="D2256" s="88"/>
      <c r="E2256" s="43"/>
      <c r="F2256" s="44"/>
      <c r="G2256" s="45"/>
      <c r="H2256" s="46"/>
      <c r="I2256" s="47"/>
      <c r="J2256" s="48"/>
      <c r="K2256" s="49"/>
      <c r="L2256" s="50"/>
    </row>
    <row r="2257" spans="1:12" ht="15" customHeight="1" x14ac:dyDescent="0.35">
      <c r="A2257" s="85"/>
      <c r="B2257" s="86"/>
      <c r="C2257" s="87"/>
      <c r="D2257" s="88"/>
      <c r="E2257" s="43"/>
      <c r="F2257" s="44"/>
      <c r="G2257" s="45"/>
      <c r="H2257" s="46"/>
      <c r="I2257" s="47"/>
      <c r="J2257" s="48"/>
      <c r="K2257" s="49"/>
      <c r="L2257" s="50"/>
    </row>
    <row r="2258" spans="1:12" ht="15" customHeight="1" x14ac:dyDescent="0.35">
      <c r="A2258" s="85"/>
      <c r="B2258" s="86"/>
      <c r="C2258" s="87"/>
      <c r="D2258" s="88"/>
      <c r="E2258" s="43"/>
      <c r="F2258" s="44"/>
      <c r="G2258" s="45"/>
      <c r="H2258" s="46"/>
      <c r="I2258" s="47"/>
      <c r="J2258" s="48"/>
      <c r="K2258" s="49"/>
      <c r="L2258" s="50"/>
    </row>
    <row r="2259" spans="1:12" ht="15" customHeight="1" x14ac:dyDescent="0.35">
      <c r="A2259" s="85"/>
      <c r="B2259" s="86"/>
      <c r="C2259" s="87"/>
      <c r="D2259" s="88"/>
      <c r="E2259" s="43"/>
      <c r="F2259" s="44"/>
      <c r="G2259" s="45"/>
      <c r="H2259" s="46"/>
      <c r="I2259" s="47"/>
      <c r="J2259" s="48"/>
      <c r="K2259" s="49"/>
      <c r="L2259" s="50"/>
    </row>
    <row r="2260" spans="1:12" ht="15" customHeight="1" x14ac:dyDescent="0.35">
      <c r="A2260" s="85"/>
      <c r="B2260" s="86"/>
      <c r="C2260" s="87"/>
      <c r="D2260" s="88"/>
      <c r="E2260" s="43"/>
      <c r="F2260" s="44"/>
      <c r="G2260" s="45"/>
      <c r="H2260" s="46"/>
      <c r="I2260" s="47"/>
      <c r="J2260" s="48"/>
      <c r="K2260" s="49"/>
      <c r="L2260" s="50"/>
    </row>
    <row r="2261" spans="1:12" ht="15" customHeight="1" x14ac:dyDescent="0.35">
      <c r="A2261" s="85"/>
      <c r="B2261" s="86"/>
      <c r="C2261" s="87"/>
      <c r="D2261" s="88"/>
      <c r="E2261" s="43"/>
      <c r="F2261" s="44"/>
      <c r="G2261" s="45"/>
      <c r="H2261" s="46"/>
      <c r="I2261" s="47"/>
      <c r="J2261" s="48"/>
      <c r="K2261" s="49"/>
      <c r="L2261" s="50"/>
    </row>
    <row r="2262" spans="1:12" ht="15" customHeight="1" x14ac:dyDescent="0.35">
      <c r="A2262" s="85"/>
      <c r="B2262" s="86"/>
      <c r="C2262" s="87"/>
      <c r="D2262" s="88"/>
      <c r="E2262" s="43"/>
      <c r="F2262" s="44"/>
      <c r="G2262" s="45"/>
      <c r="H2262" s="46"/>
      <c r="I2262" s="47"/>
      <c r="J2262" s="48"/>
      <c r="K2262" s="49"/>
      <c r="L2262" s="50"/>
    </row>
    <row r="2263" spans="1:12" ht="15" customHeight="1" x14ac:dyDescent="0.35">
      <c r="A2263" s="85"/>
      <c r="B2263" s="86"/>
      <c r="C2263" s="87"/>
      <c r="D2263" s="88"/>
      <c r="E2263" s="43"/>
      <c r="F2263" s="44"/>
      <c r="G2263" s="45"/>
      <c r="H2263" s="46"/>
      <c r="I2263" s="47"/>
      <c r="J2263" s="48"/>
      <c r="K2263" s="49"/>
      <c r="L2263" s="50"/>
    </row>
    <row r="2264" spans="1:12" ht="15" customHeight="1" x14ac:dyDescent="0.35">
      <c r="A2264" s="85"/>
      <c r="B2264" s="86"/>
      <c r="C2264" s="87"/>
      <c r="D2264" s="88"/>
      <c r="E2264" s="43"/>
      <c r="F2264" s="44"/>
      <c r="G2264" s="45"/>
      <c r="H2264" s="46"/>
      <c r="I2264" s="47"/>
      <c r="J2264" s="48"/>
      <c r="K2264" s="49"/>
      <c r="L2264" s="50"/>
    </row>
    <row r="2265" spans="1:12" ht="15" customHeight="1" x14ac:dyDescent="0.35">
      <c r="A2265" s="85"/>
      <c r="B2265" s="86"/>
      <c r="C2265" s="87"/>
      <c r="D2265" s="88"/>
      <c r="E2265" s="43"/>
      <c r="F2265" s="44"/>
      <c r="G2265" s="45"/>
      <c r="H2265" s="46"/>
      <c r="I2265" s="47"/>
      <c r="J2265" s="48"/>
      <c r="K2265" s="49"/>
      <c r="L2265" s="50"/>
    </row>
    <row r="2266" spans="1:12" ht="15" customHeight="1" x14ac:dyDescent="0.35">
      <c r="A2266" s="85"/>
      <c r="B2266" s="86"/>
      <c r="C2266" s="87"/>
      <c r="D2266" s="88"/>
      <c r="E2266" s="43"/>
      <c r="F2266" s="44"/>
      <c r="G2266" s="45"/>
      <c r="H2266" s="46"/>
      <c r="I2266" s="47"/>
      <c r="J2266" s="48"/>
      <c r="K2266" s="49"/>
      <c r="L2266" s="50"/>
    </row>
    <row r="2267" spans="1:12" ht="15" customHeight="1" x14ac:dyDescent="0.35">
      <c r="A2267" s="85"/>
      <c r="B2267" s="86"/>
      <c r="C2267" s="87"/>
      <c r="D2267" s="88"/>
      <c r="E2267" s="43"/>
      <c r="F2267" s="44"/>
      <c r="G2267" s="45"/>
      <c r="H2267" s="46"/>
      <c r="I2267" s="47"/>
      <c r="J2267" s="48"/>
      <c r="K2267" s="49"/>
      <c r="L2267" s="50"/>
    </row>
    <row r="2268" spans="1:12" ht="15" customHeight="1" x14ac:dyDescent="0.35">
      <c r="A2268" s="85"/>
      <c r="B2268" s="86"/>
      <c r="C2268" s="87"/>
      <c r="D2268" s="88"/>
      <c r="E2268" s="43"/>
      <c r="F2268" s="44"/>
      <c r="G2268" s="45"/>
      <c r="H2268" s="46"/>
      <c r="I2268" s="47"/>
      <c r="J2268" s="48"/>
      <c r="K2268" s="49"/>
      <c r="L2268" s="50"/>
    </row>
    <row r="2269" spans="1:12" ht="15" customHeight="1" x14ac:dyDescent="0.35">
      <c r="A2269" s="85"/>
      <c r="B2269" s="86"/>
      <c r="C2269" s="87"/>
      <c r="D2269" s="88"/>
      <c r="E2269" s="43"/>
      <c r="F2269" s="44"/>
      <c r="G2269" s="45"/>
      <c r="H2269" s="46"/>
      <c r="I2269" s="47"/>
      <c r="J2269" s="48"/>
      <c r="K2269" s="49"/>
      <c r="L2269" s="50"/>
    </row>
    <row r="2270" spans="1:12" ht="15" customHeight="1" x14ac:dyDescent="0.35">
      <c r="A2270" s="85"/>
      <c r="B2270" s="86"/>
      <c r="C2270" s="87"/>
      <c r="D2270" s="88"/>
      <c r="E2270" s="43"/>
      <c r="F2270" s="44"/>
      <c r="G2270" s="45"/>
      <c r="H2270" s="46"/>
      <c r="I2270" s="47"/>
      <c r="J2270" s="48"/>
      <c r="K2270" s="49"/>
      <c r="L2270" s="50"/>
    </row>
    <row r="2271" spans="1:12" ht="15" customHeight="1" x14ac:dyDescent="0.35">
      <c r="A2271" s="85"/>
      <c r="B2271" s="86"/>
      <c r="C2271" s="87"/>
      <c r="D2271" s="88"/>
      <c r="E2271" s="43"/>
      <c r="F2271" s="44"/>
      <c r="G2271" s="45"/>
      <c r="H2271" s="46"/>
      <c r="I2271" s="47"/>
      <c r="J2271" s="48"/>
      <c r="K2271" s="49"/>
      <c r="L2271" s="50"/>
    </row>
    <row r="2272" spans="1:12" ht="15" customHeight="1" x14ac:dyDescent="0.35">
      <c r="A2272" s="85"/>
      <c r="B2272" s="86"/>
      <c r="C2272" s="87"/>
      <c r="D2272" s="88"/>
      <c r="E2272" s="43"/>
      <c r="F2272" s="44"/>
      <c r="G2272" s="45"/>
      <c r="H2272" s="46"/>
      <c r="I2272" s="47"/>
      <c r="J2272" s="48"/>
      <c r="K2272" s="49"/>
      <c r="L2272" s="50"/>
    </row>
    <row r="2273" spans="1:12" ht="15" customHeight="1" x14ac:dyDescent="0.35">
      <c r="A2273" s="85"/>
      <c r="B2273" s="86"/>
      <c r="C2273" s="87"/>
      <c r="D2273" s="88"/>
      <c r="E2273" s="43"/>
      <c r="F2273" s="44"/>
      <c r="G2273" s="45"/>
      <c r="H2273" s="46"/>
      <c r="I2273" s="47"/>
      <c r="J2273" s="48"/>
      <c r="K2273" s="49"/>
      <c r="L2273" s="50"/>
    </row>
    <row r="2274" spans="1:12" ht="15" customHeight="1" x14ac:dyDescent="0.35">
      <c r="A2274" s="85"/>
      <c r="B2274" s="86"/>
      <c r="C2274" s="87"/>
      <c r="D2274" s="88"/>
      <c r="E2274" s="43"/>
      <c r="F2274" s="44"/>
      <c r="G2274" s="45"/>
      <c r="H2274" s="46"/>
      <c r="I2274" s="47"/>
      <c r="J2274" s="48"/>
      <c r="K2274" s="49"/>
      <c r="L2274" s="50"/>
    </row>
    <row r="2275" spans="1:12" ht="15" customHeight="1" x14ac:dyDescent="0.35">
      <c r="A2275" s="85"/>
      <c r="B2275" s="86"/>
      <c r="C2275" s="87"/>
      <c r="D2275" s="88"/>
      <c r="E2275" s="43"/>
      <c r="F2275" s="44"/>
      <c r="G2275" s="45"/>
      <c r="H2275" s="46"/>
      <c r="I2275" s="47"/>
      <c r="J2275" s="48"/>
      <c r="K2275" s="49"/>
      <c r="L2275" s="50"/>
    </row>
    <row r="2276" spans="1:12" ht="15" customHeight="1" x14ac:dyDescent="0.35">
      <c r="A2276" s="85"/>
      <c r="B2276" s="86"/>
      <c r="C2276" s="87"/>
      <c r="D2276" s="88"/>
      <c r="E2276" s="43"/>
      <c r="F2276" s="44"/>
      <c r="G2276" s="45"/>
      <c r="H2276" s="46"/>
      <c r="I2276" s="47"/>
      <c r="J2276" s="48"/>
      <c r="K2276" s="49"/>
      <c r="L2276" s="50"/>
    </row>
    <row r="2277" spans="1:12" ht="15" customHeight="1" x14ac:dyDescent="0.35">
      <c r="A2277" s="85"/>
      <c r="B2277" s="86"/>
      <c r="C2277" s="87"/>
      <c r="D2277" s="88"/>
      <c r="E2277" s="43"/>
      <c r="F2277" s="44"/>
      <c r="G2277" s="45"/>
      <c r="H2277" s="46"/>
      <c r="I2277" s="47"/>
      <c r="J2277" s="48"/>
      <c r="K2277" s="49"/>
      <c r="L2277" s="50"/>
    </row>
    <row r="2278" spans="1:12" ht="15" customHeight="1" x14ac:dyDescent="0.35">
      <c r="A2278" s="85"/>
      <c r="B2278" s="86"/>
      <c r="C2278" s="87"/>
      <c r="D2278" s="88"/>
      <c r="E2278" s="43"/>
      <c r="F2278" s="44"/>
      <c r="G2278" s="45"/>
      <c r="H2278" s="46"/>
      <c r="I2278" s="47"/>
      <c r="J2278" s="48"/>
      <c r="K2278" s="49"/>
      <c r="L2278" s="50"/>
    </row>
    <row r="2279" spans="1:12" ht="15" customHeight="1" x14ac:dyDescent="0.35">
      <c r="A2279" s="85"/>
      <c r="B2279" s="86"/>
      <c r="C2279" s="87"/>
      <c r="D2279" s="88"/>
      <c r="E2279" s="43"/>
      <c r="F2279" s="44"/>
      <c r="G2279" s="45"/>
      <c r="H2279" s="46"/>
      <c r="I2279" s="47"/>
      <c r="J2279" s="48"/>
      <c r="K2279" s="49"/>
      <c r="L2279" s="50"/>
    </row>
    <row r="2280" spans="1:12" ht="15" customHeight="1" x14ac:dyDescent="0.35">
      <c r="A2280" s="85"/>
      <c r="B2280" s="86"/>
      <c r="C2280" s="87"/>
      <c r="D2280" s="88"/>
      <c r="E2280" s="43"/>
      <c r="F2280" s="44"/>
      <c r="G2280" s="45"/>
      <c r="H2280" s="46"/>
      <c r="I2280" s="47"/>
      <c r="J2280" s="48"/>
      <c r="K2280" s="49"/>
      <c r="L2280" s="50"/>
    </row>
    <row r="2281" spans="1:12" ht="15" customHeight="1" x14ac:dyDescent="0.35">
      <c r="A2281" s="85"/>
      <c r="B2281" s="86"/>
      <c r="C2281" s="87"/>
      <c r="D2281" s="88"/>
      <c r="E2281" s="43"/>
      <c r="F2281" s="44"/>
      <c r="G2281" s="45"/>
      <c r="H2281" s="46"/>
      <c r="I2281" s="47"/>
      <c r="J2281" s="48"/>
      <c r="K2281" s="49"/>
      <c r="L2281" s="50"/>
    </row>
    <row r="2282" spans="1:12" ht="15" customHeight="1" x14ac:dyDescent="0.35">
      <c r="A2282" s="85"/>
      <c r="B2282" s="86"/>
      <c r="C2282" s="87"/>
      <c r="D2282" s="88"/>
      <c r="E2282" s="43"/>
      <c r="F2282" s="44"/>
      <c r="G2282" s="45"/>
      <c r="H2282" s="46"/>
      <c r="I2282" s="47"/>
      <c r="J2282" s="48"/>
      <c r="K2282" s="49"/>
      <c r="L2282" s="50"/>
    </row>
    <row r="2283" spans="1:12" ht="15" customHeight="1" x14ac:dyDescent="0.35">
      <c r="A2283" s="85"/>
      <c r="B2283" s="86"/>
      <c r="C2283" s="87"/>
      <c r="D2283" s="88"/>
      <c r="E2283" s="43"/>
      <c r="F2283" s="44"/>
      <c r="G2283" s="45"/>
      <c r="H2283" s="46"/>
      <c r="I2283" s="47"/>
      <c r="J2283" s="48"/>
      <c r="K2283" s="49"/>
      <c r="L2283" s="50"/>
    </row>
    <row r="2284" spans="1:12" ht="15" customHeight="1" x14ac:dyDescent="0.35">
      <c r="A2284" s="85"/>
      <c r="B2284" s="86"/>
      <c r="C2284" s="87"/>
      <c r="D2284" s="88"/>
      <c r="E2284" s="43"/>
      <c r="F2284" s="44"/>
      <c r="G2284" s="45"/>
      <c r="H2284" s="46"/>
      <c r="I2284" s="47"/>
      <c r="J2284" s="48"/>
      <c r="K2284" s="49"/>
      <c r="L2284" s="50"/>
    </row>
    <row r="2285" spans="1:12" ht="15" customHeight="1" x14ac:dyDescent="0.35">
      <c r="A2285" s="85"/>
      <c r="B2285" s="86"/>
      <c r="C2285" s="87"/>
      <c r="D2285" s="88"/>
      <c r="E2285" s="43"/>
      <c r="F2285" s="44"/>
      <c r="G2285" s="45"/>
      <c r="H2285" s="46"/>
      <c r="I2285" s="47"/>
      <c r="J2285" s="48"/>
      <c r="K2285" s="49"/>
      <c r="L2285" s="50"/>
    </row>
    <row r="2286" spans="1:12" ht="15" customHeight="1" x14ac:dyDescent="0.35">
      <c r="A2286" s="85"/>
      <c r="B2286" s="86"/>
      <c r="C2286" s="87"/>
      <c r="D2286" s="88"/>
      <c r="E2286" s="43"/>
      <c r="F2286" s="44"/>
      <c r="G2286" s="45"/>
      <c r="H2286" s="46"/>
      <c r="I2286" s="47"/>
      <c r="J2286" s="48"/>
      <c r="K2286" s="49"/>
      <c r="L2286" s="50"/>
    </row>
    <row r="2287" spans="1:12" ht="15" customHeight="1" x14ac:dyDescent="0.35">
      <c r="A2287" s="85"/>
      <c r="B2287" s="86"/>
      <c r="C2287" s="87"/>
      <c r="D2287" s="88"/>
      <c r="E2287" s="43"/>
      <c r="F2287" s="44"/>
      <c r="G2287" s="45"/>
      <c r="H2287" s="46"/>
      <c r="I2287" s="47"/>
      <c r="J2287" s="48"/>
      <c r="K2287" s="49"/>
      <c r="L2287" s="50"/>
    </row>
    <row r="2288" spans="1:12" ht="15" customHeight="1" x14ac:dyDescent="0.35">
      <c r="A2288" s="85"/>
      <c r="B2288" s="86"/>
      <c r="C2288" s="87"/>
      <c r="D2288" s="88"/>
      <c r="E2288" s="43"/>
      <c r="F2288" s="44"/>
      <c r="G2288" s="45"/>
      <c r="H2288" s="46"/>
      <c r="I2288" s="47"/>
      <c r="J2288" s="48"/>
      <c r="K2288" s="49"/>
      <c r="L2288" s="50"/>
    </row>
    <row r="2289" spans="1:12" ht="15" customHeight="1" x14ac:dyDescent="0.35">
      <c r="A2289" s="85"/>
      <c r="B2289" s="86"/>
      <c r="C2289" s="87"/>
      <c r="D2289" s="88"/>
      <c r="E2289" s="43"/>
      <c r="F2289" s="44"/>
      <c r="G2289" s="45"/>
      <c r="H2289" s="46"/>
      <c r="I2289" s="47"/>
      <c r="J2289" s="48"/>
      <c r="K2289" s="49"/>
      <c r="L2289" s="50"/>
    </row>
    <row r="2290" spans="1:12" ht="15" customHeight="1" x14ac:dyDescent="0.35">
      <c r="A2290" s="85"/>
      <c r="B2290" s="86"/>
      <c r="C2290" s="87"/>
      <c r="D2290" s="88"/>
      <c r="E2290" s="43"/>
      <c r="F2290" s="44"/>
      <c r="G2290" s="45"/>
      <c r="H2290" s="46"/>
      <c r="I2290" s="47"/>
      <c r="J2290" s="48"/>
      <c r="K2290" s="49"/>
      <c r="L2290" s="50"/>
    </row>
    <row r="2291" spans="1:12" ht="15" customHeight="1" x14ac:dyDescent="0.35">
      <c r="A2291" s="85"/>
      <c r="B2291" s="86"/>
      <c r="C2291" s="87"/>
      <c r="D2291" s="88"/>
      <c r="E2291" s="43"/>
      <c r="F2291" s="44"/>
      <c r="G2291" s="45"/>
      <c r="H2291" s="46"/>
      <c r="I2291" s="47"/>
      <c r="J2291" s="48"/>
      <c r="K2291" s="49"/>
      <c r="L2291" s="50"/>
    </row>
    <row r="2292" spans="1:12" ht="15" customHeight="1" x14ac:dyDescent="0.35">
      <c r="A2292" s="85"/>
      <c r="B2292" s="86"/>
      <c r="C2292" s="87"/>
      <c r="D2292" s="88"/>
      <c r="E2292" s="43"/>
      <c r="F2292" s="44"/>
      <c r="G2292" s="45"/>
      <c r="H2292" s="46"/>
      <c r="I2292" s="47"/>
      <c r="J2292" s="48"/>
      <c r="K2292" s="49"/>
      <c r="L2292" s="50"/>
    </row>
    <row r="2293" spans="1:12" ht="15" customHeight="1" x14ac:dyDescent="0.35">
      <c r="A2293" s="85"/>
      <c r="B2293" s="86"/>
      <c r="C2293" s="87"/>
      <c r="D2293" s="88"/>
      <c r="E2293" s="43"/>
      <c r="F2293" s="44"/>
      <c r="G2293" s="45"/>
      <c r="H2293" s="46"/>
      <c r="I2293" s="47"/>
      <c r="J2293" s="48"/>
      <c r="K2293" s="49"/>
      <c r="L2293" s="50"/>
    </row>
    <row r="2294" spans="1:12" ht="15" customHeight="1" x14ac:dyDescent="0.35">
      <c r="A2294" s="85"/>
      <c r="B2294" s="86"/>
      <c r="C2294" s="87"/>
      <c r="D2294" s="88"/>
      <c r="E2294" s="43"/>
      <c r="F2294" s="44"/>
      <c r="G2294" s="45"/>
      <c r="H2294" s="46"/>
      <c r="I2294" s="47"/>
      <c r="J2294" s="48"/>
      <c r="K2294" s="49"/>
      <c r="L2294" s="50"/>
    </row>
    <row r="2295" spans="1:12" ht="15" customHeight="1" x14ac:dyDescent="0.35">
      <c r="A2295" s="85"/>
      <c r="B2295" s="86"/>
      <c r="C2295" s="87"/>
      <c r="D2295" s="88"/>
      <c r="E2295" s="43"/>
      <c r="F2295" s="44"/>
      <c r="G2295" s="45"/>
      <c r="H2295" s="46"/>
      <c r="I2295" s="47"/>
      <c r="J2295" s="48"/>
      <c r="K2295" s="49"/>
      <c r="L2295" s="50"/>
    </row>
    <row r="2296" spans="1:12" ht="15" customHeight="1" x14ac:dyDescent="0.35">
      <c r="A2296" s="85"/>
      <c r="B2296" s="86"/>
      <c r="C2296" s="87"/>
      <c r="D2296" s="88"/>
      <c r="E2296" s="43"/>
      <c r="F2296" s="44"/>
      <c r="G2296" s="45"/>
      <c r="H2296" s="46"/>
      <c r="I2296" s="47"/>
      <c r="J2296" s="48"/>
      <c r="K2296" s="49"/>
      <c r="L2296" s="50"/>
    </row>
    <row r="2297" spans="1:12" ht="15" customHeight="1" x14ac:dyDescent="0.35">
      <c r="A2297" s="85"/>
      <c r="B2297" s="86"/>
      <c r="C2297" s="87"/>
      <c r="D2297" s="88"/>
      <c r="E2297" s="43"/>
      <c r="F2297" s="44"/>
      <c r="G2297" s="45"/>
      <c r="H2297" s="46"/>
      <c r="I2297" s="47"/>
      <c r="J2297" s="48"/>
      <c r="K2297" s="49"/>
      <c r="L2297" s="50"/>
    </row>
    <row r="2298" spans="1:12" ht="15" customHeight="1" x14ac:dyDescent="0.35">
      <c r="A2298" s="85"/>
      <c r="B2298" s="86"/>
      <c r="C2298" s="87"/>
      <c r="D2298" s="88"/>
      <c r="E2298" s="43"/>
      <c r="F2298" s="44"/>
      <c r="G2298" s="45"/>
      <c r="H2298" s="46"/>
      <c r="I2298" s="47"/>
      <c r="J2298" s="48"/>
      <c r="K2298" s="49"/>
      <c r="L2298" s="50"/>
    </row>
    <row r="2299" spans="1:12" ht="15" customHeight="1" x14ac:dyDescent="0.35">
      <c r="A2299" s="85"/>
      <c r="B2299" s="86"/>
      <c r="C2299" s="87"/>
      <c r="D2299" s="88"/>
      <c r="E2299" s="43"/>
      <c r="F2299" s="44"/>
      <c r="G2299" s="45"/>
      <c r="H2299" s="46"/>
      <c r="I2299" s="47"/>
      <c r="J2299" s="48"/>
      <c r="K2299" s="49"/>
      <c r="L2299" s="50"/>
    </row>
    <row r="2300" spans="1:12" ht="15" customHeight="1" x14ac:dyDescent="0.35">
      <c r="A2300" s="85"/>
      <c r="B2300" s="86"/>
      <c r="C2300" s="87"/>
      <c r="D2300" s="88"/>
      <c r="E2300" s="43"/>
      <c r="F2300" s="44"/>
      <c r="G2300" s="45"/>
      <c r="H2300" s="46"/>
      <c r="I2300" s="47"/>
      <c r="J2300" s="48"/>
      <c r="K2300" s="49"/>
      <c r="L2300" s="50"/>
    </row>
    <row r="2301" spans="1:12" ht="15" customHeight="1" x14ac:dyDescent="0.35">
      <c r="A2301" s="85"/>
      <c r="B2301" s="86"/>
      <c r="C2301" s="87"/>
      <c r="D2301" s="88"/>
      <c r="E2301" s="43"/>
      <c r="F2301" s="44"/>
      <c r="G2301" s="45"/>
      <c r="H2301" s="46"/>
      <c r="I2301" s="47"/>
      <c r="J2301" s="48"/>
      <c r="K2301" s="49"/>
      <c r="L2301" s="50"/>
    </row>
    <row r="2302" spans="1:12" ht="15" customHeight="1" x14ac:dyDescent="0.35">
      <c r="A2302" s="85"/>
      <c r="B2302" s="86"/>
      <c r="C2302" s="87"/>
      <c r="D2302" s="88"/>
      <c r="E2302" s="43"/>
      <c r="F2302" s="44"/>
      <c r="G2302" s="45"/>
      <c r="H2302" s="46"/>
      <c r="I2302" s="47"/>
      <c r="J2302" s="48"/>
      <c r="K2302" s="49"/>
      <c r="L2302" s="50"/>
    </row>
    <row r="2303" spans="1:12" ht="15" customHeight="1" x14ac:dyDescent="0.35">
      <c r="A2303" s="85"/>
      <c r="B2303" s="86"/>
      <c r="C2303" s="87"/>
      <c r="D2303" s="88"/>
      <c r="E2303" s="43"/>
      <c r="F2303" s="44"/>
      <c r="G2303" s="45"/>
      <c r="H2303" s="46"/>
      <c r="I2303" s="47"/>
      <c r="J2303" s="48"/>
      <c r="K2303" s="49"/>
      <c r="L2303" s="50"/>
    </row>
    <row r="2304" spans="1:12" ht="15" customHeight="1" x14ac:dyDescent="0.35">
      <c r="A2304" s="85"/>
      <c r="B2304" s="86"/>
      <c r="C2304" s="87"/>
      <c r="D2304" s="88"/>
      <c r="E2304" s="43"/>
      <c r="F2304" s="44"/>
      <c r="G2304" s="45"/>
      <c r="H2304" s="46"/>
      <c r="I2304" s="47"/>
      <c r="J2304" s="48"/>
      <c r="K2304" s="49"/>
      <c r="L2304" s="50"/>
    </row>
    <row r="2305" spans="1:12" ht="15" customHeight="1" x14ac:dyDescent="0.35">
      <c r="A2305" s="85"/>
      <c r="B2305" s="86"/>
      <c r="C2305" s="87"/>
      <c r="D2305" s="88"/>
      <c r="E2305" s="43"/>
      <c r="F2305" s="44"/>
      <c r="G2305" s="45"/>
      <c r="H2305" s="46"/>
      <c r="I2305" s="47"/>
      <c r="J2305" s="48"/>
      <c r="K2305" s="49"/>
      <c r="L2305" s="50"/>
    </row>
    <row r="2306" spans="1:12" ht="15" customHeight="1" x14ac:dyDescent="0.35">
      <c r="A2306" s="85"/>
      <c r="B2306" s="86"/>
      <c r="C2306" s="87"/>
      <c r="D2306" s="88"/>
      <c r="E2306" s="43"/>
      <c r="F2306" s="44"/>
      <c r="G2306" s="45"/>
      <c r="H2306" s="46"/>
      <c r="I2306" s="47"/>
      <c r="J2306" s="48"/>
      <c r="K2306" s="49"/>
      <c r="L2306" s="50"/>
    </row>
    <row r="2307" spans="1:12" ht="15" customHeight="1" x14ac:dyDescent="0.35">
      <c r="A2307" s="85"/>
      <c r="B2307" s="86"/>
      <c r="C2307" s="87"/>
      <c r="D2307" s="88"/>
      <c r="E2307" s="43"/>
      <c r="F2307" s="44"/>
      <c r="G2307" s="45"/>
      <c r="H2307" s="46"/>
      <c r="I2307" s="47"/>
      <c r="J2307" s="48"/>
      <c r="K2307" s="49"/>
      <c r="L2307" s="50"/>
    </row>
    <row r="2308" spans="1:12" ht="15" customHeight="1" x14ac:dyDescent="0.35">
      <c r="A2308" s="85"/>
      <c r="B2308" s="86"/>
      <c r="C2308" s="87"/>
      <c r="D2308" s="88"/>
      <c r="E2308" s="43"/>
      <c r="F2308" s="44"/>
      <c r="G2308" s="45"/>
      <c r="H2308" s="46"/>
      <c r="I2308" s="47"/>
      <c r="J2308" s="48"/>
      <c r="K2308" s="49"/>
      <c r="L2308" s="50"/>
    </row>
    <row r="2309" spans="1:12" ht="15" customHeight="1" x14ac:dyDescent="0.35">
      <c r="A2309" s="85"/>
      <c r="B2309" s="86"/>
      <c r="C2309" s="87"/>
      <c r="D2309" s="88"/>
      <c r="E2309" s="43"/>
      <c r="F2309" s="44"/>
      <c r="G2309" s="45"/>
      <c r="H2309" s="46"/>
      <c r="I2309" s="47"/>
      <c r="J2309" s="48"/>
      <c r="K2309" s="49"/>
      <c r="L2309" s="50"/>
    </row>
    <row r="2310" spans="1:12" ht="15" customHeight="1" x14ac:dyDescent="0.35">
      <c r="A2310" s="85"/>
      <c r="B2310" s="86"/>
      <c r="C2310" s="87"/>
      <c r="D2310" s="88"/>
      <c r="E2310" s="43"/>
      <c r="F2310" s="44"/>
      <c r="G2310" s="45"/>
      <c r="H2310" s="46"/>
      <c r="I2310" s="47"/>
      <c r="J2310" s="48"/>
      <c r="K2310" s="49"/>
      <c r="L2310" s="50"/>
    </row>
    <row r="2311" spans="1:12" ht="15" customHeight="1" x14ac:dyDescent="0.35">
      <c r="A2311" s="85"/>
      <c r="B2311" s="86"/>
      <c r="C2311" s="87"/>
      <c r="D2311" s="88"/>
      <c r="E2311" s="43"/>
      <c r="F2311" s="44"/>
      <c r="G2311" s="45"/>
      <c r="H2311" s="46"/>
      <c r="I2311" s="47"/>
      <c r="J2311" s="48"/>
      <c r="K2311" s="49"/>
      <c r="L2311" s="50"/>
    </row>
    <row r="2312" spans="1:12" ht="15" customHeight="1" x14ac:dyDescent="0.35">
      <c r="A2312" s="85"/>
      <c r="B2312" s="86"/>
      <c r="C2312" s="87"/>
      <c r="D2312" s="88"/>
      <c r="E2312" s="43"/>
      <c r="F2312" s="44"/>
      <c r="G2312" s="45"/>
      <c r="H2312" s="46"/>
      <c r="I2312" s="47"/>
      <c r="J2312" s="48"/>
      <c r="K2312" s="49"/>
      <c r="L2312" s="50"/>
    </row>
    <row r="2313" spans="1:12" ht="15" customHeight="1" x14ac:dyDescent="0.35">
      <c r="A2313" s="85"/>
      <c r="B2313" s="86"/>
      <c r="C2313" s="87"/>
      <c r="D2313" s="88"/>
      <c r="E2313" s="43"/>
      <c r="F2313" s="44"/>
      <c r="G2313" s="45"/>
      <c r="H2313" s="46"/>
      <c r="I2313" s="47"/>
      <c r="J2313" s="48"/>
      <c r="K2313" s="49"/>
      <c r="L2313" s="50"/>
    </row>
    <row r="2314" spans="1:12" ht="15" customHeight="1" x14ac:dyDescent="0.35">
      <c r="A2314" s="85"/>
      <c r="B2314" s="86"/>
      <c r="C2314" s="87"/>
      <c r="D2314" s="88"/>
      <c r="E2314" s="43"/>
      <c r="F2314" s="44"/>
      <c r="G2314" s="45"/>
      <c r="H2314" s="46"/>
      <c r="I2314" s="47"/>
      <c r="J2314" s="48"/>
      <c r="K2314" s="49"/>
      <c r="L2314" s="50"/>
    </row>
    <row r="2315" spans="1:12" ht="15" customHeight="1" x14ac:dyDescent="0.35">
      <c r="A2315" s="85"/>
      <c r="B2315" s="86"/>
      <c r="C2315" s="87"/>
      <c r="D2315" s="88"/>
      <c r="E2315" s="43"/>
      <c r="F2315" s="44"/>
      <c r="G2315" s="45"/>
      <c r="H2315" s="46"/>
      <c r="I2315" s="47"/>
      <c r="J2315" s="48"/>
      <c r="K2315" s="49"/>
      <c r="L2315" s="50"/>
    </row>
    <row r="2316" spans="1:12" ht="15" customHeight="1" x14ac:dyDescent="0.35">
      <c r="A2316" s="85"/>
      <c r="B2316" s="86"/>
      <c r="C2316" s="87"/>
      <c r="D2316" s="88"/>
      <c r="E2316" s="43"/>
      <c r="F2316" s="44"/>
      <c r="G2316" s="45"/>
      <c r="H2316" s="46"/>
      <c r="I2316" s="47"/>
      <c r="J2316" s="48"/>
      <c r="K2316" s="49"/>
      <c r="L2316" s="50"/>
    </row>
    <row r="2317" spans="1:12" ht="15" customHeight="1" x14ac:dyDescent="0.35">
      <c r="A2317" s="85"/>
      <c r="B2317" s="86"/>
      <c r="C2317" s="87"/>
      <c r="D2317" s="88"/>
      <c r="E2317" s="43"/>
      <c r="F2317" s="44"/>
      <c r="G2317" s="45"/>
      <c r="H2317" s="46"/>
      <c r="I2317" s="47"/>
      <c r="J2317" s="48"/>
      <c r="K2317" s="49"/>
      <c r="L2317" s="50"/>
    </row>
    <row r="2318" spans="1:12" ht="15" customHeight="1" x14ac:dyDescent="0.35">
      <c r="A2318" s="85"/>
      <c r="B2318" s="86"/>
      <c r="C2318" s="87"/>
      <c r="D2318" s="88"/>
      <c r="E2318" s="43"/>
      <c r="F2318" s="44"/>
      <c r="G2318" s="45"/>
      <c r="H2318" s="46"/>
      <c r="I2318" s="47"/>
      <c r="J2318" s="48"/>
      <c r="K2318" s="49"/>
      <c r="L2318" s="50"/>
    </row>
    <row r="2319" spans="1:12" ht="15" customHeight="1" x14ac:dyDescent="0.35">
      <c r="A2319" s="85"/>
      <c r="B2319" s="86"/>
      <c r="C2319" s="87"/>
      <c r="D2319" s="88"/>
      <c r="E2319" s="43"/>
      <c r="F2319" s="44"/>
      <c r="G2319" s="45"/>
      <c r="H2319" s="46"/>
      <c r="I2319" s="47"/>
      <c r="J2319" s="48"/>
      <c r="K2319" s="49"/>
      <c r="L2319" s="50"/>
    </row>
    <row r="2320" spans="1:12" ht="15" customHeight="1" x14ac:dyDescent="0.35">
      <c r="A2320" s="85"/>
      <c r="B2320" s="86"/>
      <c r="C2320" s="87"/>
      <c r="D2320" s="88"/>
      <c r="E2320" s="43"/>
      <c r="F2320" s="44"/>
      <c r="G2320" s="45"/>
      <c r="H2320" s="46"/>
      <c r="I2320" s="47"/>
      <c r="J2320" s="48"/>
      <c r="K2320" s="49"/>
      <c r="L2320" s="50"/>
    </row>
    <row r="2321" spans="1:12" ht="15" customHeight="1" x14ac:dyDescent="0.35">
      <c r="A2321" s="85"/>
      <c r="B2321" s="86"/>
      <c r="C2321" s="87"/>
      <c r="D2321" s="88"/>
      <c r="E2321" s="43"/>
      <c r="F2321" s="44"/>
      <c r="G2321" s="45"/>
      <c r="H2321" s="46"/>
      <c r="I2321" s="47"/>
      <c r="J2321" s="48"/>
      <c r="K2321" s="49"/>
      <c r="L2321" s="50"/>
    </row>
    <row r="2322" spans="1:12" ht="15" customHeight="1" x14ac:dyDescent="0.35">
      <c r="A2322" s="85"/>
      <c r="B2322" s="86"/>
      <c r="C2322" s="87"/>
      <c r="D2322" s="88"/>
      <c r="E2322" s="43"/>
      <c r="F2322" s="44"/>
      <c r="G2322" s="45"/>
      <c r="H2322" s="46"/>
      <c r="I2322" s="47"/>
      <c r="J2322" s="48"/>
      <c r="K2322" s="49"/>
      <c r="L2322" s="50"/>
    </row>
    <row r="2323" spans="1:12" ht="15" customHeight="1" x14ac:dyDescent="0.35">
      <c r="A2323" s="85"/>
      <c r="B2323" s="86"/>
      <c r="C2323" s="87"/>
      <c r="D2323" s="88"/>
      <c r="E2323" s="43"/>
      <c r="F2323" s="44"/>
      <c r="G2323" s="45"/>
      <c r="H2323" s="46"/>
      <c r="I2323" s="47"/>
      <c r="J2323" s="48"/>
      <c r="K2323" s="49"/>
      <c r="L2323" s="50"/>
    </row>
    <row r="2324" spans="1:12" ht="15" customHeight="1" x14ac:dyDescent="0.35">
      <c r="A2324" s="85"/>
      <c r="B2324" s="86"/>
      <c r="C2324" s="87"/>
      <c r="D2324" s="88"/>
      <c r="E2324" s="43"/>
      <c r="F2324" s="44"/>
      <c r="G2324" s="45"/>
      <c r="H2324" s="46"/>
      <c r="I2324" s="47"/>
      <c r="J2324" s="48"/>
      <c r="K2324" s="49"/>
      <c r="L2324" s="50"/>
    </row>
    <row r="2325" spans="1:12" ht="15" customHeight="1" x14ac:dyDescent="0.35">
      <c r="A2325" s="85"/>
      <c r="B2325" s="86"/>
      <c r="C2325" s="87"/>
      <c r="D2325" s="88"/>
      <c r="E2325" s="43"/>
      <c r="F2325" s="44"/>
      <c r="G2325" s="45"/>
      <c r="H2325" s="46"/>
      <c r="I2325" s="47"/>
      <c r="J2325" s="48"/>
      <c r="K2325" s="49"/>
      <c r="L2325" s="50"/>
    </row>
    <row r="2326" spans="1:12" ht="15" customHeight="1" x14ac:dyDescent="0.35">
      <c r="A2326" s="85"/>
      <c r="B2326" s="86"/>
      <c r="C2326" s="87"/>
      <c r="D2326" s="88"/>
      <c r="E2326" s="43"/>
      <c r="F2326" s="44"/>
      <c r="G2326" s="45"/>
      <c r="H2326" s="46"/>
      <c r="I2326" s="47"/>
      <c r="J2326" s="48"/>
      <c r="K2326" s="49"/>
      <c r="L2326" s="50"/>
    </row>
    <row r="2327" spans="1:12" ht="15" customHeight="1" x14ac:dyDescent="0.35">
      <c r="A2327" s="85"/>
      <c r="B2327" s="86"/>
      <c r="C2327" s="87"/>
      <c r="D2327" s="88"/>
      <c r="E2327" s="43"/>
      <c r="F2327" s="44"/>
      <c r="G2327" s="45"/>
      <c r="H2327" s="46"/>
      <c r="I2327" s="47"/>
      <c r="J2327" s="48"/>
      <c r="K2327" s="49"/>
      <c r="L2327" s="50"/>
    </row>
    <row r="2328" spans="1:12" ht="15" customHeight="1" x14ac:dyDescent="0.35">
      <c r="A2328" s="85"/>
      <c r="B2328" s="86"/>
      <c r="C2328" s="87"/>
      <c r="D2328" s="88"/>
      <c r="E2328" s="43"/>
      <c r="F2328" s="44"/>
      <c r="G2328" s="45"/>
      <c r="H2328" s="46"/>
      <c r="I2328" s="47"/>
      <c r="J2328" s="48"/>
      <c r="K2328" s="49"/>
      <c r="L2328" s="50"/>
    </row>
    <row r="2329" spans="1:12" ht="15" customHeight="1" x14ac:dyDescent="0.35">
      <c r="A2329" s="85"/>
      <c r="B2329" s="86"/>
      <c r="C2329" s="87"/>
      <c r="D2329" s="88"/>
      <c r="E2329" s="43"/>
      <c r="F2329" s="44"/>
      <c r="G2329" s="45"/>
      <c r="H2329" s="46"/>
      <c r="I2329" s="47"/>
      <c r="J2329" s="48"/>
      <c r="K2329" s="49"/>
      <c r="L2329" s="50"/>
    </row>
    <row r="2330" spans="1:12" ht="15" customHeight="1" x14ac:dyDescent="0.35">
      <c r="A2330" s="85"/>
      <c r="B2330" s="86"/>
      <c r="C2330" s="87"/>
      <c r="D2330" s="88"/>
      <c r="E2330" s="43"/>
      <c r="F2330" s="44"/>
      <c r="G2330" s="45"/>
      <c r="H2330" s="46"/>
      <c r="I2330" s="47"/>
      <c r="J2330" s="48"/>
      <c r="K2330" s="49"/>
      <c r="L2330" s="50"/>
    </row>
    <row r="2331" spans="1:12" ht="15" customHeight="1" x14ac:dyDescent="0.35">
      <c r="A2331" s="85"/>
      <c r="B2331" s="86"/>
      <c r="C2331" s="87"/>
      <c r="D2331" s="88"/>
      <c r="E2331" s="43"/>
      <c r="F2331" s="44"/>
      <c r="G2331" s="45"/>
      <c r="H2331" s="46"/>
      <c r="I2331" s="47"/>
      <c r="J2331" s="48"/>
      <c r="K2331" s="49"/>
      <c r="L2331" s="50"/>
    </row>
    <row r="2332" spans="1:12" ht="15" customHeight="1" x14ac:dyDescent="0.35">
      <c r="A2332" s="85"/>
      <c r="B2332" s="86"/>
      <c r="C2332" s="87"/>
      <c r="D2332" s="88"/>
      <c r="E2332" s="43"/>
      <c r="F2332" s="44"/>
      <c r="G2332" s="45"/>
      <c r="H2332" s="46"/>
      <c r="I2332" s="47"/>
      <c r="J2332" s="48"/>
      <c r="K2332" s="49"/>
      <c r="L2332" s="50"/>
    </row>
    <row r="2333" spans="1:12" ht="15" customHeight="1" x14ac:dyDescent="0.35">
      <c r="A2333" s="85"/>
      <c r="B2333" s="86"/>
      <c r="C2333" s="87"/>
      <c r="D2333" s="88"/>
      <c r="E2333" s="43"/>
      <c r="F2333" s="44"/>
      <c r="G2333" s="45"/>
      <c r="H2333" s="46"/>
      <c r="I2333" s="47"/>
      <c r="J2333" s="48"/>
      <c r="K2333" s="49"/>
      <c r="L2333" s="50"/>
    </row>
    <row r="2334" spans="1:12" ht="15" customHeight="1" x14ac:dyDescent="0.35">
      <c r="A2334" s="85"/>
      <c r="B2334" s="86"/>
      <c r="C2334" s="87"/>
      <c r="D2334" s="88"/>
      <c r="E2334" s="43"/>
      <c r="F2334" s="44"/>
      <c r="G2334" s="45"/>
      <c r="H2334" s="46"/>
      <c r="I2334" s="47"/>
      <c r="J2334" s="48"/>
      <c r="K2334" s="49"/>
      <c r="L2334" s="50"/>
    </row>
    <row r="2335" spans="1:12" ht="15" customHeight="1" x14ac:dyDescent="0.35">
      <c r="A2335" s="85"/>
      <c r="B2335" s="86"/>
      <c r="C2335" s="87"/>
      <c r="D2335" s="88"/>
      <c r="E2335" s="43"/>
      <c r="F2335" s="44"/>
      <c r="G2335" s="45"/>
      <c r="H2335" s="46"/>
      <c r="I2335" s="47"/>
      <c r="J2335" s="48"/>
      <c r="K2335" s="49"/>
      <c r="L2335" s="50"/>
    </row>
    <row r="2336" spans="1:12" ht="15" customHeight="1" x14ac:dyDescent="0.35">
      <c r="A2336" s="85"/>
      <c r="B2336" s="86"/>
      <c r="C2336" s="87"/>
      <c r="D2336" s="88"/>
      <c r="E2336" s="43"/>
      <c r="F2336" s="44"/>
      <c r="G2336" s="45"/>
      <c r="H2336" s="46"/>
      <c r="I2336" s="47"/>
      <c r="J2336" s="48"/>
      <c r="K2336" s="49"/>
      <c r="L2336" s="50"/>
    </row>
    <row r="2337" spans="1:12" ht="15" customHeight="1" x14ac:dyDescent="0.35">
      <c r="A2337" s="85"/>
      <c r="B2337" s="86"/>
      <c r="C2337" s="87"/>
      <c r="D2337" s="88"/>
      <c r="E2337" s="43"/>
      <c r="F2337" s="44"/>
      <c r="G2337" s="45"/>
      <c r="H2337" s="46"/>
      <c r="I2337" s="47"/>
      <c r="J2337" s="48"/>
      <c r="K2337" s="49"/>
      <c r="L2337" s="50"/>
    </row>
    <row r="2338" spans="1:12" ht="15" customHeight="1" x14ac:dyDescent="0.35">
      <c r="A2338" s="85"/>
      <c r="B2338" s="86"/>
      <c r="C2338" s="87"/>
      <c r="D2338" s="88"/>
      <c r="E2338" s="43"/>
      <c r="F2338" s="44"/>
      <c r="G2338" s="45"/>
      <c r="H2338" s="46"/>
      <c r="I2338" s="47"/>
      <c r="J2338" s="48"/>
      <c r="K2338" s="49"/>
      <c r="L2338" s="50"/>
    </row>
    <row r="2339" spans="1:12" ht="15" customHeight="1" x14ac:dyDescent="0.35">
      <c r="A2339" s="85"/>
      <c r="B2339" s="86"/>
      <c r="C2339" s="87"/>
      <c r="D2339" s="88"/>
      <c r="E2339" s="43"/>
      <c r="F2339" s="44"/>
      <c r="G2339" s="45"/>
      <c r="H2339" s="46"/>
      <c r="I2339" s="47"/>
      <c r="J2339" s="48"/>
      <c r="K2339" s="49"/>
      <c r="L2339" s="50"/>
    </row>
    <row r="2340" spans="1:12" ht="15" customHeight="1" x14ac:dyDescent="0.35">
      <c r="A2340" s="85"/>
      <c r="B2340" s="86"/>
      <c r="C2340" s="87"/>
      <c r="D2340" s="88"/>
      <c r="E2340" s="43"/>
      <c r="F2340" s="44"/>
      <c r="G2340" s="45"/>
      <c r="H2340" s="46"/>
      <c r="I2340" s="47"/>
      <c r="J2340" s="48"/>
      <c r="K2340" s="49"/>
      <c r="L2340" s="50"/>
    </row>
    <row r="2341" spans="1:12" ht="15" customHeight="1" x14ac:dyDescent="0.35">
      <c r="A2341" s="85"/>
      <c r="B2341" s="86"/>
      <c r="C2341" s="87"/>
      <c r="D2341" s="88"/>
      <c r="E2341" s="43"/>
      <c r="F2341" s="44"/>
      <c r="G2341" s="45"/>
      <c r="H2341" s="46"/>
      <c r="I2341" s="47"/>
      <c r="J2341" s="48"/>
      <c r="K2341" s="49"/>
      <c r="L2341" s="50"/>
    </row>
    <row r="2342" spans="1:12" ht="15" customHeight="1" x14ac:dyDescent="0.35">
      <c r="A2342" s="85"/>
      <c r="B2342" s="86"/>
      <c r="C2342" s="87"/>
      <c r="D2342" s="88"/>
      <c r="E2342" s="43"/>
      <c r="F2342" s="44"/>
      <c r="G2342" s="45"/>
      <c r="H2342" s="46"/>
      <c r="I2342" s="47"/>
      <c r="J2342" s="48"/>
      <c r="K2342" s="49"/>
      <c r="L2342" s="50"/>
    </row>
    <row r="2343" spans="1:12" ht="15" customHeight="1" x14ac:dyDescent="0.35">
      <c r="A2343" s="85"/>
      <c r="B2343" s="86"/>
      <c r="C2343" s="87"/>
      <c r="D2343" s="88"/>
      <c r="E2343" s="43"/>
      <c r="F2343" s="44"/>
      <c r="G2343" s="45"/>
      <c r="H2343" s="46"/>
      <c r="I2343" s="47"/>
      <c r="J2343" s="48"/>
      <c r="K2343" s="49"/>
      <c r="L2343" s="50"/>
    </row>
    <row r="2344" spans="1:12" ht="15" customHeight="1" x14ac:dyDescent="0.35">
      <c r="A2344" s="85"/>
      <c r="B2344" s="86"/>
      <c r="C2344" s="87"/>
      <c r="D2344" s="88"/>
      <c r="E2344" s="43"/>
      <c r="F2344" s="44"/>
      <c r="G2344" s="45"/>
      <c r="H2344" s="46"/>
      <c r="I2344" s="47"/>
      <c r="J2344" s="48"/>
      <c r="K2344" s="49"/>
      <c r="L2344" s="50"/>
    </row>
    <row r="2345" spans="1:12" ht="15" customHeight="1" x14ac:dyDescent="0.35">
      <c r="A2345" s="85"/>
      <c r="B2345" s="86"/>
      <c r="C2345" s="87"/>
      <c r="D2345" s="88"/>
      <c r="E2345" s="43"/>
      <c r="F2345" s="44"/>
      <c r="G2345" s="45"/>
      <c r="H2345" s="46"/>
      <c r="I2345" s="47"/>
      <c r="J2345" s="48"/>
      <c r="K2345" s="49"/>
      <c r="L2345" s="50"/>
    </row>
    <row r="2346" spans="1:12" ht="15" customHeight="1" x14ac:dyDescent="0.35">
      <c r="A2346" s="85"/>
      <c r="B2346" s="86"/>
      <c r="C2346" s="87"/>
      <c r="D2346" s="88"/>
      <c r="E2346" s="43"/>
      <c r="F2346" s="44"/>
      <c r="G2346" s="45"/>
      <c r="H2346" s="46"/>
      <c r="I2346" s="47"/>
      <c r="J2346" s="48"/>
      <c r="K2346" s="49"/>
      <c r="L2346" s="50"/>
    </row>
    <row r="2347" spans="1:12" ht="15" customHeight="1" x14ac:dyDescent="0.35">
      <c r="A2347" s="85"/>
      <c r="B2347" s="86"/>
      <c r="C2347" s="87"/>
      <c r="D2347" s="88"/>
      <c r="E2347" s="43"/>
      <c r="F2347" s="44"/>
      <c r="G2347" s="45"/>
      <c r="H2347" s="46"/>
      <c r="I2347" s="47"/>
      <c r="J2347" s="48"/>
      <c r="K2347" s="49"/>
      <c r="L2347" s="50"/>
    </row>
    <row r="2348" spans="1:12" ht="15" customHeight="1" x14ac:dyDescent="0.35">
      <c r="A2348" s="85"/>
      <c r="B2348" s="86"/>
      <c r="C2348" s="87"/>
      <c r="D2348" s="88"/>
      <c r="E2348" s="43"/>
      <c r="F2348" s="44"/>
      <c r="G2348" s="45"/>
      <c r="H2348" s="46"/>
      <c r="I2348" s="47"/>
      <c r="J2348" s="48"/>
      <c r="K2348" s="49"/>
      <c r="L2348" s="50"/>
    </row>
    <row r="2349" spans="1:12" ht="15" customHeight="1" x14ac:dyDescent="0.35">
      <c r="A2349" s="85"/>
      <c r="B2349" s="86"/>
      <c r="C2349" s="87"/>
      <c r="D2349" s="88"/>
      <c r="E2349" s="43"/>
      <c r="F2349" s="44"/>
      <c r="G2349" s="45"/>
      <c r="H2349" s="46"/>
      <c r="I2349" s="47"/>
      <c r="J2349" s="48"/>
      <c r="K2349" s="49"/>
      <c r="L2349" s="50"/>
    </row>
    <row r="2350" spans="1:12" ht="15" customHeight="1" x14ac:dyDescent="0.35">
      <c r="A2350" s="85"/>
      <c r="B2350" s="86"/>
      <c r="C2350" s="87"/>
      <c r="D2350" s="88"/>
      <c r="E2350" s="43"/>
      <c r="F2350" s="44"/>
      <c r="G2350" s="45"/>
      <c r="H2350" s="46"/>
      <c r="I2350" s="47"/>
      <c r="J2350" s="48"/>
      <c r="K2350" s="49"/>
      <c r="L2350" s="50"/>
    </row>
    <row r="2351" spans="1:12" ht="15" customHeight="1" x14ac:dyDescent="0.35">
      <c r="A2351" s="85"/>
      <c r="B2351" s="86"/>
      <c r="C2351" s="87"/>
      <c r="D2351" s="88"/>
      <c r="E2351" s="43"/>
      <c r="F2351" s="44"/>
      <c r="G2351" s="45"/>
      <c r="H2351" s="46"/>
      <c r="I2351" s="47"/>
      <c r="J2351" s="48"/>
      <c r="K2351" s="49"/>
      <c r="L2351" s="50"/>
    </row>
    <row r="2352" spans="1:12" ht="15" customHeight="1" x14ac:dyDescent="0.35">
      <c r="A2352" s="85"/>
      <c r="B2352" s="86"/>
      <c r="C2352" s="87"/>
      <c r="D2352" s="88"/>
      <c r="E2352" s="43"/>
      <c r="F2352" s="44"/>
      <c r="G2352" s="45"/>
      <c r="H2352" s="46"/>
      <c r="I2352" s="47"/>
      <c r="J2352" s="48"/>
      <c r="K2352" s="49"/>
      <c r="L2352" s="50"/>
    </row>
    <row r="2353" spans="1:12" ht="15" customHeight="1" x14ac:dyDescent="0.35">
      <c r="A2353" s="85"/>
      <c r="B2353" s="86"/>
      <c r="C2353" s="87"/>
      <c r="D2353" s="88"/>
      <c r="E2353" s="43"/>
      <c r="F2353" s="44"/>
      <c r="G2353" s="45"/>
      <c r="H2353" s="46"/>
      <c r="I2353" s="47"/>
      <c r="J2353" s="48"/>
      <c r="K2353" s="49"/>
      <c r="L2353" s="50"/>
    </row>
    <row r="2354" spans="1:12" ht="15" customHeight="1" x14ac:dyDescent="0.35">
      <c r="A2354" s="85"/>
      <c r="B2354" s="86"/>
      <c r="C2354" s="87"/>
      <c r="D2354" s="88"/>
      <c r="E2354" s="43"/>
      <c r="F2354" s="44"/>
      <c r="G2354" s="45"/>
      <c r="H2354" s="46"/>
      <c r="I2354" s="47"/>
      <c r="J2354" s="48"/>
      <c r="K2354" s="49"/>
      <c r="L2354" s="50"/>
    </row>
    <row r="2355" spans="1:12" ht="15" customHeight="1" x14ac:dyDescent="0.35">
      <c r="A2355" s="85"/>
      <c r="B2355" s="86"/>
      <c r="C2355" s="87"/>
      <c r="D2355" s="88"/>
      <c r="E2355" s="43"/>
      <c r="F2355" s="44"/>
      <c r="G2355" s="45"/>
      <c r="H2355" s="46"/>
      <c r="I2355" s="47"/>
      <c r="J2355" s="48"/>
      <c r="K2355" s="49"/>
      <c r="L2355" s="50"/>
    </row>
    <row r="2356" spans="1:12" ht="15" customHeight="1" x14ac:dyDescent="0.35">
      <c r="A2356" s="85"/>
      <c r="B2356" s="86"/>
      <c r="C2356" s="87"/>
      <c r="D2356" s="88"/>
      <c r="E2356" s="43"/>
      <c r="F2356" s="44"/>
      <c r="G2356" s="45"/>
      <c r="H2356" s="46"/>
      <c r="I2356" s="47"/>
      <c r="J2356" s="48"/>
      <c r="K2356" s="49"/>
      <c r="L2356" s="50"/>
    </row>
    <row r="2357" spans="1:12" ht="15" customHeight="1" x14ac:dyDescent="0.35">
      <c r="A2357" s="85"/>
      <c r="B2357" s="86"/>
      <c r="C2357" s="87"/>
      <c r="D2357" s="88"/>
      <c r="E2357" s="43"/>
      <c r="F2357" s="44"/>
      <c r="G2357" s="45"/>
      <c r="H2357" s="46"/>
      <c r="I2357" s="47"/>
      <c r="J2357" s="48"/>
      <c r="K2357" s="49"/>
      <c r="L2357" s="50"/>
    </row>
    <row r="2358" spans="1:12" ht="15" customHeight="1" x14ac:dyDescent="0.35">
      <c r="A2358" s="85"/>
      <c r="B2358" s="86"/>
      <c r="C2358" s="87"/>
      <c r="D2358" s="88"/>
      <c r="E2358" s="43"/>
      <c r="F2358" s="44"/>
      <c r="G2358" s="45"/>
      <c r="H2358" s="46"/>
      <c r="I2358" s="47"/>
      <c r="J2358" s="48"/>
      <c r="K2358" s="49"/>
      <c r="L2358" s="50"/>
    </row>
    <row r="2359" spans="1:12" ht="15" customHeight="1" x14ac:dyDescent="0.35">
      <c r="A2359" s="85"/>
      <c r="B2359" s="86"/>
      <c r="C2359" s="87"/>
      <c r="D2359" s="88"/>
      <c r="E2359" s="43"/>
      <c r="F2359" s="44"/>
      <c r="G2359" s="45"/>
      <c r="H2359" s="46"/>
      <c r="I2359" s="47"/>
      <c r="J2359" s="48"/>
      <c r="K2359" s="49"/>
      <c r="L2359" s="50"/>
    </row>
    <row r="2360" spans="1:12" ht="15" customHeight="1" x14ac:dyDescent="0.35">
      <c r="A2360" s="85"/>
      <c r="B2360" s="86"/>
      <c r="C2360" s="87"/>
      <c r="D2360" s="88"/>
      <c r="E2360" s="43"/>
      <c r="F2360" s="44"/>
      <c r="G2360" s="45"/>
      <c r="H2360" s="46"/>
      <c r="I2360" s="47"/>
      <c r="J2360" s="48"/>
      <c r="K2360" s="49"/>
      <c r="L2360" s="50"/>
    </row>
    <row r="2361" spans="1:12" ht="15" customHeight="1" x14ac:dyDescent="0.35">
      <c r="A2361" s="85"/>
      <c r="B2361" s="86"/>
      <c r="C2361" s="87"/>
      <c r="D2361" s="88"/>
      <c r="E2361" s="43"/>
      <c r="F2361" s="44"/>
      <c r="G2361" s="45"/>
      <c r="H2361" s="46"/>
      <c r="I2361" s="47"/>
      <c r="J2361" s="48"/>
      <c r="K2361" s="49"/>
      <c r="L2361" s="50"/>
    </row>
    <row r="2362" spans="1:12" ht="15" customHeight="1" x14ac:dyDescent="0.35">
      <c r="A2362" s="85"/>
      <c r="B2362" s="86"/>
      <c r="C2362" s="87"/>
      <c r="D2362" s="88"/>
      <c r="E2362" s="43"/>
      <c r="F2362" s="44"/>
      <c r="G2362" s="45"/>
      <c r="H2362" s="46"/>
      <c r="I2362" s="47"/>
      <c r="J2362" s="48"/>
      <c r="K2362" s="49"/>
      <c r="L2362" s="50"/>
    </row>
    <row r="2363" spans="1:12" ht="15" customHeight="1" x14ac:dyDescent="0.35">
      <c r="A2363" s="85"/>
      <c r="B2363" s="86"/>
      <c r="C2363" s="87"/>
      <c r="D2363" s="88"/>
      <c r="E2363" s="43"/>
      <c r="F2363" s="44"/>
      <c r="G2363" s="45"/>
      <c r="H2363" s="46"/>
      <c r="I2363" s="47"/>
      <c r="J2363" s="48"/>
      <c r="K2363" s="49"/>
      <c r="L2363" s="50"/>
    </row>
    <row r="2364" spans="1:12" ht="15" customHeight="1" x14ac:dyDescent="0.35">
      <c r="A2364" s="85"/>
      <c r="B2364" s="86"/>
      <c r="C2364" s="87"/>
      <c r="D2364" s="88"/>
      <c r="E2364" s="43"/>
      <c r="F2364" s="44"/>
      <c r="G2364" s="45"/>
      <c r="H2364" s="46"/>
      <c r="I2364" s="47"/>
      <c r="J2364" s="48"/>
      <c r="K2364" s="49"/>
      <c r="L2364" s="50"/>
    </row>
    <row r="2365" spans="1:12" ht="15" customHeight="1" x14ac:dyDescent="0.35">
      <c r="A2365" s="85"/>
      <c r="B2365" s="86"/>
      <c r="C2365" s="87"/>
      <c r="D2365" s="88"/>
      <c r="E2365" s="43"/>
      <c r="F2365" s="44"/>
      <c r="G2365" s="45"/>
      <c r="H2365" s="46"/>
      <c r="I2365" s="47"/>
      <c r="J2365" s="48"/>
      <c r="K2365" s="49"/>
      <c r="L2365" s="50"/>
    </row>
    <row r="2366" spans="1:12" ht="15" customHeight="1" x14ac:dyDescent="0.35">
      <c r="A2366" s="85"/>
      <c r="B2366" s="86"/>
      <c r="C2366" s="87"/>
      <c r="D2366" s="88"/>
      <c r="E2366" s="43"/>
      <c r="F2366" s="44"/>
      <c r="G2366" s="45"/>
      <c r="H2366" s="46"/>
      <c r="I2366" s="47"/>
      <c r="J2366" s="48"/>
      <c r="K2366" s="49"/>
      <c r="L2366" s="50"/>
    </row>
    <row r="2367" spans="1:12" ht="15" customHeight="1" x14ac:dyDescent="0.35">
      <c r="A2367" s="85"/>
      <c r="B2367" s="86"/>
      <c r="C2367" s="87"/>
      <c r="D2367" s="88"/>
      <c r="E2367" s="43"/>
      <c r="F2367" s="44"/>
      <c r="G2367" s="45"/>
      <c r="H2367" s="46"/>
      <c r="I2367" s="47"/>
      <c r="J2367" s="48"/>
      <c r="K2367" s="49"/>
      <c r="L2367" s="50"/>
    </row>
    <row r="2368" spans="1:12" ht="15" customHeight="1" x14ac:dyDescent="0.35">
      <c r="A2368" s="85"/>
      <c r="B2368" s="86"/>
      <c r="C2368" s="87"/>
      <c r="D2368" s="88"/>
      <c r="E2368" s="43"/>
      <c r="F2368" s="44"/>
      <c r="G2368" s="45"/>
      <c r="H2368" s="46"/>
      <c r="I2368" s="47"/>
      <c r="J2368" s="48"/>
      <c r="K2368" s="49"/>
      <c r="L2368" s="50"/>
    </row>
    <row r="2369" spans="1:12" ht="15" customHeight="1" x14ac:dyDescent="0.35">
      <c r="A2369" s="85"/>
      <c r="B2369" s="86"/>
      <c r="C2369" s="87"/>
      <c r="D2369" s="88"/>
      <c r="E2369" s="43"/>
      <c r="F2369" s="44"/>
      <c r="G2369" s="45"/>
      <c r="H2369" s="46"/>
      <c r="I2369" s="47"/>
      <c r="J2369" s="48"/>
      <c r="K2369" s="49"/>
      <c r="L2369" s="50"/>
    </row>
    <row r="2370" spans="1:12" ht="15" customHeight="1" x14ac:dyDescent="0.35">
      <c r="A2370" s="85"/>
      <c r="B2370" s="86"/>
      <c r="C2370" s="87"/>
      <c r="D2370" s="88"/>
      <c r="E2370" s="43"/>
      <c r="F2370" s="44"/>
      <c r="G2370" s="45"/>
      <c r="H2370" s="46"/>
      <c r="I2370" s="47"/>
      <c r="J2370" s="48"/>
      <c r="K2370" s="49"/>
      <c r="L2370" s="50"/>
    </row>
    <row r="2371" spans="1:12" ht="15" customHeight="1" x14ac:dyDescent="0.35">
      <c r="A2371" s="85"/>
      <c r="B2371" s="86"/>
      <c r="C2371" s="87"/>
      <c r="D2371" s="88"/>
      <c r="E2371" s="43"/>
      <c r="F2371" s="44"/>
      <c r="G2371" s="45"/>
      <c r="H2371" s="46"/>
      <c r="I2371" s="47"/>
      <c r="J2371" s="48"/>
      <c r="K2371" s="49"/>
      <c r="L2371" s="50"/>
    </row>
    <row r="2372" spans="1:12" ht="15" customHeight="1" x14ac:dyDescent="0.35">
      <c r="A2372" s="85"/>
      <c r="B2372" s="86"/>
      <c r="C2372" s="87"/>
      <c r="D2372" s="88"/>
      <c r="E2372" s="43"/>
      <c r="F2372" s="44"/>
      <c r="G2372" s="45"/>
      <c r="H2372" s="46"/>
      <c r="I2372" s="47"/>
      <c r="J2372" s="48"/>
      <c r="K2372" s="49"/>
      <c r="L2372" s="50"/>
    </row>
    <row r="2373" spans="1:12" ht="15" customHeight="1" x14ac:dyDescent="0.35">
      <c r="A2373" s="85"/>
      <c r="B2373" s="86"/>
      <c r="C2373" s="87"/>
      <c r="D2373" s="88"/>
      <c r="E2373" s="43"/>
      <c r="F2373" s="44"/>
      <c r="G2373" s="45"/>
      <c r="H2373" s="46"/>
      <c r="I2373" s="47"/>
      <c r="J2373" s="48"/>
      <c r="K2373" s="49"/>
      <c r="L2373" s="50"/>
    </row>
    <row r="2374" spans="1:12" ht="15" customHeight="1" x14ac:dyDescent="0.35">
      <c r="A2374" s="85"/>
      <c r="B2374" s="86"/>
      <c r="C2374" s="87"/>
      <c r="D2374" s="88"/>
      <c r="E2374" s="43"/>
      <c r="F2374" s="44"/>
      <c r="G2374" s="45"/>
      <c r="H2374" s="46"/>
      <c r="I2374" s="47"/>
      <c r="J2374" s="48"/>
      <c r="K2374" s="49"/>
      <c r="L2374" s="50"/>
    </row>
    <row r="2375" spans="1:12" ht="15" customHeight="1" x14ac:dyDescent="0.35">
      <c r="A2375" s="85"/>
      <c r="B2375" s="86"/>
      <c r="C2375" s="87"/>
      <c r="D2375" s="88"/>
      <c r="E2375" s="43"/>
      <c r="F2375" s="44"/>
      <c r="G2375" s="45"/>
      <c r="H2375" s="46"/>
      <c r="I2375" s="47"/>
      <c r="J2375" s="48"/>
      <c r="K2375" s="49"/>
      <c r="L2375" s="50"/>
    </row>
    <row r="2376" spans="1:12" ht="15" customHeight="1" x14ac:dyDescent="0.35">
      <c r="A2376" s="85"/>
      <c r="B2376" s="86"/>
      <c r="C2376" s="87"/>
      <c r="D2376" s="88"/>
      <c r="E2376" s="43"/>
      <c r="F2376" s="44"/>
      <c r="G2376" s="45"/>
      <c r="H2376" s="46"/>
      <c r="I2376" s="47"/>
      <c r="J2376" s="48"/>
      <c r="K2376" s="49"/>
      <c r="L2376" s="50"/>
    </row>
    <row r="2377" spans="1:12" ht="15" customHeight="1" x14ac:dyDescent="0.35">
      <c r="A2377" s="85"/>
      <c r="B2377" s="86"/>
      <c r="C2377" s="87"/>
      <c r="D2377" s="88"/>
      <c r="E2377" s="43"/>
      <c r="F2377" s="44"/>
      <c r="G2377" s="45"/>
      <c r="H2377" s="46"/>
      <c r="I2377" s="47"/>
      <c r="J2377" s="48"/>
      <c r="K2377" s="49"/>
      <c r="L2377" s="50"/>
    </row>
    <row r="2378" spans="1:12" ht="15" customHeight="1" x14ac:dyDescent="0.35">
      <c r="A2378" s="85"/>
      <c r="B2378" s="86"/>
      <c r="C2378" s="87"/>
      <c r="D2378" s="88"/>
      <c r="E2378" s="43"/>
      <c r="F2378" s="44"/>
      <c r="G2378" s="45"/>
      <c r="H2378" s="46"/>
      <c r="I2378" s="47"/>
      <c r="J2378" s="48"/>
      <c r="K2378" s="49"/>
      <c r="L2378" s="50"/>
    </row>
    <row r="2379" spans="1:12" ht="15" customHeight="1" x14ac:dyDescent="0.35">
      <c r="A2379" s="85"/>
      <c r="B2379" s="86"/>
      <c r="C2379" s="87"/>
      <c r="D2379" s="88"/>
      <c r="E2379" s="43"/>
      <c r="F2379" s="44"/>
      <c r="G2379" s="45"/>
      <c r="H2379" s="46"/>
      <c r="I2379" s="47"/>
      <c r="J2379" s="48"/>
      <c r="K2379" s="49"/>
      <c r="L2379" s="50"/>
    </row>
    <row r="2380" spans="1:12" ht="15" customHeight="1" x14ac:dyDescent="0.35">
      <c r="A2380" s="85"/>
      <c r="B2380" s="86"/>
      <c r="C2380" s="87"/>
      <c r="D2380" s="88"/>
      <c r="E2380" s="43"/>
      <c r="F2380" s="44"/>
      <c r="G2380" s="45"/>
      <c r="H2380" s="46"/>
      <c r="I2380" s="47"/>
      <c r="J2380" s="48"/>
      <c r="K2380" s="49"/>
      <c r="L2380" s="50"/>
    </row>
    <row r="2381" spans="1:12" ht="15" customHeight="1" x14ac:dyDescent="0.35">
      <c r="A2381" s="85"/>
      <c r="B2381" s="86"/>
      <c r="C2381" s="87"/>
      <c r="D2381" s="88"/>
      <c r="E2381" s="43"/>
      <c r="F2381" s="44"/>
      <c r="G2381" s="45"/>
      <c r="H2381" s="46"/>
      <c r="I2381" s="47"/>
      <c r="J2381" s="48"/>
      <c r="K2381" s="49"/>
      <c r="L2381" s="50"/>
    </row>
    <row r="2382" spans="1:12" ht="15" customHeight="1" x14ac:dyDescent="0.35">
      <c r="A2382" s="85"/>
      <c r="B2382" s="86"/>
      <c r="C2382" s="87"/>
      <c r="D2382" s="88"/>
      <c r="E2382" s="43"/>
      <c r="F2382" s="44"/>
      <c r="G2382" s="45"/>
      <c r="H2382" s="46"/>
      <c r="I2382" s="47"/>
      <c r="J2382" s="48"/>
      <c r="K2382" s="49"/>
      <c r="L2382" s="50"/>
    </row>
    <row r="2383" spans="1:12" ht="15" customHeight="1" x14ac:dyDescent="0.35">
      <c r="A2383" s="85"/>
      <c r="B2383" s="86"/>
      <c r="C2383" s="87"/>
      <c r="D2383" s="88"/>
      <c r="E2383" s="43"/>
      <c r="F2383" s="44"/>
      <c r="G2383" s="45"/>
      <c r="H2383" s="46"/>
      <c r="I2383" s="47"/>
      <c r="J2383" s="48"/>
      <c r="K2383" s="49"/>
      <c r="L2383" s="50"/>
    </row>
    <row r="2384" spans="1:12" ht="15" customHeight="1" x14ac:dyDescent="0.35">
      <c r="A2384" s="85"/>
      <c r="B2384" s="86"/>
      <c r="C2384" s="87"/>
      <c r="D2384" s="88"/>
      <c r="E2384" s="43"/>
      <c r="F2384" s="44"/>
      <c r="G2384" s="45"/>
      <c r="H2384" s="46"/>
      <c r="I2384" s="47"/>
      <c r="J2384" s="48"/>
      <c r="K2384" s="49"/>
      <c r="L2384" s="50"/>
    </row>
    <row r="2385" spans="1:12" ht="15" customHeight="1" x14ac:dyDescent="0.35">
      <c r="A2385" s="85"/>
      <c r="B2385" s="86"/>
      <c r="C2385" s="87"/>
      <c r="D2385" s="88"/>
      <c r="E2385" s="43"/>
      <c r="F2385" s="44"/>
      <c r="G2385" s="45"/>
      <c r="H2385" s="46"/>
      <c r="I2385" s="47"/>
      <c r="J2385" s="48"/>
      <c r="K2385" s="49"/>
      <c r="L2385" s="50"/>
    </row>
    <row r="2386" spans="1:12" ht="15" customHeight="1" x14ac:dyDescent="0.35">
      <c r="A2386" s="85"/>
      <c r="B2386" s="86"/>
      <c r="C2386" s="87"/>
      <c r="D2386" s="88"/>
      <c r="E2386" s="43"/>
      <c r="F2386" s="44"/>
      <c r="G2386" s="45"/>
      <c r="H2386" s="46"/>
      <c r="I2386" s="47"/>
      <c r="J2386" s="48"/>
      <c r="K2386" s="49"/>
      <c r="L2386" s="50"/>
    </row>
    <row r="2387" spans="1:12" ht="15" customHeight="1" x14ac:dyDescent="0.35">
      <c r="A2387" s="85"/>
      <c r="B2387" s="86"/>
      <c r="C2387" s="87"/>
      <c r="D2387" s="88"/>
      <c r="E2387" s="43"/>
      <c r="F2387" s="44"/>
      <c r="G2387" s="45"/>
      <c r="H2387" s="46"/>
      <c r="I2387" s="47"/>
      <c r="J2387" s="48"/>
      <c r="K2387" s="49"/>
      <c r="L2387" s="50"/>
    </row>
    <row r="2388" spans="1:12" ht="15" customHeight="1" x14ac:dyDescent="0.35">
      <c r="A2388" s="85"/>
      <c r="B2388" s="86"/>
      <c r="C2388" s="87"/>
      <c r="D2388" s="88"/>
      <c r="E2388" s="43"/>
      <c r="F2388" s="44"/>
      <c r="G2388" s="45"/>
      <c r="H2388" s="46"/>
      <c r="I2388" s="47"/>
      <c r="J2388" s="48"/>
      <c r="K2388" s="49"/>
      <c r="L2388" s="50"/>
    </row>
    <row r="2389" spans="1:12" ht="15" customHeight="1" x14ac:dyDescent="0.35">
      <c r="A2389" s="85"/>
      <c r="B2389" s="86"/>
      <c r="C2389" s="87"/>
      <c r="D2389" s="88"/>
      <c r="E2389" s="43"/>
      <c r="F2389" s="44"/>
      <c r="G2389" s="45"/>
      <c r="H2389" s="46"/>
      <c r="I2389" s="47"/>
      <c r="J2389" s="48"/>
      <c r="K2389" s="49"/>
      <c r="L2389" s="50"/>
    </row>
    <row r="2390" spans="1:12" ht="15" customHeight="1" x14ac:dyDescent="0.35">
      <c r="A2390" s="85"/>
      <c r="B2390" s="86"/>
      <c r="C2390" s="87"/>
      <c r="D2390" s="88"/>
      <c r="E2390" s="43"/>
      <c r="F2390" s="44"/>
      <c r="G2390" s="45"/>
      <c r="H2390" s="46"/>
      <c r="I2390" s="47"/>
      <c r="J2390" s="48"/>
      <c r="K2390" s="49"/>
      <c r="L2390" s="50"/>
    </row>
    <row r="2391" spans="1:12" ht="15" customHeight="1" x14ac:dyDescent="0.35">
      <c r="A2391" s="85"/>
      <c r="B2391" s="86"/>
      <c r="C2391" s="87"/>
      <c r="D2391" s="88"/>
      <c r="E2391" s="43"/>
      <c r="F2391" s="44"/>
      <c r="G2391" s="45"/>
      <c r="H2391" s="46"/>
      <c r="I2391" s="47"/>
      <c r="J2391" s="48"/>
      <c r="K2391" s="49"/>
      <c r="L2391" s="50"/>
    </row>
    <row r="2392" spans="1:12" ht="15" customHeight="1" x14ac:dyDescent="0.35">
      <c r="A2392" s="85"/>
      <c r="B2392" s="86"/>
      <c r="C2392" s="87"/>
      <c r="D2392" s="88"/>
      <c r="E2392" s="43"/>
      <c r="F2392" s="44"/>
      <c r="G2392" s="45"/>
      <c r="H2392" s="46"/>
      <c r="I2392" s="47"/>
      <c r="J2392" s="48"/>
      <c r="K2392" s="49"/>
      <c r="L2392" s="50"/>
    </row>
    <row r="2393" spans="1:12" ht="15" customHeight="1" x14ac:dyDescent="0.35">
      <c r="A2393" s="85"/>
      <c r="B2393" s="86"/>
      <c r="C2393" s="87"/>
      <c r="D2393" s="88"/>
      <c r="E2393" s="43"/>
      <c r="F2393" s="44"/>
      <c r="G2393" s="45"/>
      <c r="H2393" s="46"/>
      <c r="I2393" s="47"/>
      <c r="J2393" s="48"/>
      <c r="K2393" s="49"/>
      <c r="L2393" s="50"/>
    </row>
    <row r="2394" spans="1:12" ht="15" customHeight="1" x14ac:dyDescent="0.35">
      <c r="A2394" s="85"/>
      <c r="B2394" s="86"/>
      <c r="C2394" s="87"/>
      <c r="D2394" s="88"/>
      <c r="E2394" s="43"/>
      <c r="F2394" s="44"/>
      <c r="G2394" s="45"/>
      <c r="H2394" s="46"/>
      <c r="I2394" s="47"/>
      <c r="J2394" s="48"/>
      <c r="K2394" s="49"/>
      <c r="L2394" s="50"/>
    </row>
    <row r="2395" spans="1:12" ht="15" customHeight="1" x14ac:dyDescent="0.35">
      <c r="A2395" s="85"/>
      <c r="B2395" s="86"/>
      <c r="C2395" s="87"/>
      <c r="D2395" s="88"/>
      <c r="E2395" s="43"/>
      <c r="F2395" s="44"/>
      <c r="G2395" s="45"/>
      <c r="H2395" s="46"/>
      <c r="I2395" s="47"/>
      <c r="J2395" s="48"/>
      <c r="K2395" s="49"/>
      <c r="L2395" s="50"/>
    </row>
    <row r="2396" spans="1:12" ht="15" customHeight="1" x14ac:dyDescent="0.35">
      <c r="A2396" s="85"/>
      <c r="B2396" s="86"/>
      <c r="C2396" s="87"/>
      <c r="D2396" s="88"/>
      <c r="E2396" s="43"/>
      <c r="F2396" s="44"/>
      <c r="G2396" s="45"/>
      <c r="H2396" s="46"/>
      <c r="I2396" s="47"/>
      <c r="J2396" s="48"/>
      <c r="K2396" s="49"/>
      <c r="L2396" s="50"/>
    </row>
    <row r="2397" spans="1:12" ht="15" customHeight="1" x14ac:dyDescent="0.35">
      <c r="A2397" s="85"/>
      <c r="B2397" s="86"/>
      <c r="C2397" s="87"/>
      <c r="D2397" s="88"/>
      <c r="E2397" s="43"/>
      <c r="F2397" s="44"/>
      <c r="G2397" s="45"/>
      <c r="H2397" s="46"/>
      <c r="I2397" s="47"/>
      <c r="J2397" s="48"/>
      <c r="K2397" s="49"/>
      <c r="L2397" s="50"/>
    </row>
    <row r="2398" spans="1:12" ht="15" customHeight="1" x14ac:dyDescent="0.35">
      <c r="A2398" s="85"/>
      <c r="B2398" s="86"/>
      <c r="C2398" s="87"/>
      <c r="D2398" s="88"/>
      <c r="E2398" s="43"/>
      <c r="F2398" s="44"/>
      <c r="G2398" s="45"/>
      <c r="H2398" s="46"/>
      <c r="I2398" s="47"/>
      <c r="J2398" s="48"/>
      <c r="K2398" s="49"/>
      <c r="L2398" s="50"/>
    </row>
    <row r="2399" spans="1:12" ht="15" customHeight="1" x14ac:dyDescent="0.35">
      <c r="A2399" s="85"/>
      <c r="B2399" s="86"/>
      <c r="C2399" s="87"/>
      <c r="D2399" s="88"/>
      <c r="E2399" s="43"/>
      <c r="F2399" s="44"/>
      <c r="G2399" s="45"/>
      <c r="H2399" s="46"/>
      <c r="I2399" s="47"/>
      <c r="J2399" s="48"/>
      <c r="K2399" s="49"/>
      <c r="L2399" s="50"/>
    </row>
    <row r="2400" spans="1:12" ht="15" customHeight="1" x14ac:dyDescent="0.35">
      <c r="A2400" s="85"/>
      <c r="B2400" s="86"/>
      <c r="C2400" s="87"/>
      <c r="D2400" s="88"/>
      <c r="E2400" s="43"/>
      <c r="F2400" s="44"/>
      <c r="G2400" s="45"/>
      <c r="H2400" s="46"/>
      <c r="I2400" s="47"/>
      <c r="J2400" s="48"/>
      <c r="K2400" s="49"/>
      <c r="L2400" s="50"/>
    </row>
    <row r="2401" spans="1:12" ht="15" customHeight="1" x14ac:dyDescent="0.35">
      <c r="A2401" s="85"/>
      <c r="B2401" s="86"/>
      <c r="C2401" s="87"/>
      <c r="D2401" s="88"/>
      <c r="E2401" s="43"/>
      <c r="F2401" s="44"/>
      <c r="G2401" s="45"/>
      <c r="H2401" s="46"/>
      <c r="I2401" s="47"/>
      <c r="J2401" s="48"/>
      <c r="K2401" s="49"/>
      <c r="L2401" s="50"/>
    </row>
    <row r="2402" spans="1:12" ht="15" customHeight="1" x14ac:dyDescent="0.35">
      <c r="A2402" s="85"/>
      <c r="B2402" s="86"/>
      <c r="C2402" s="87"/>
      <c r="D2402" s="88"/>
      <c r="E2402" s="43"/>
      <c r="F2402" s="44"/>
      <c r="G2402" s="45"/>
      <c r="H2402" s="46"/>
      <c r="I2402" s="47"/>
      <c r="J2402" s="48"/>
      <c r="K2402" s="49"/>
      <c r="L2402" s="50"/>
    </row>
    <row r="2403" spans="1:12" ht="15" customHeight="1" x14ac:dyDescent="0.35">
      <c r="A2403" s="85"/>
      <c r="B2403" s="86"/>
      <c r="C2403" s="87"/>
      <c r="D2403" s="88"/>
      <c r="E2403" s="43"/>
      <c r="F2403" s="44"/>
      <c r="G2403" s="45"/>
      <c r="H2403" s="46"/>
      <c r="I2403" s="47"/>
      <c r="J2403" s="48"/>
      <c r="K2403" s="49"/>
      <c r="L2403" s="50"/>
    </row>
    <row r="2404" spans="1:12" ht="15" customHeight="1" x14ac:dyDescent="0.35">
      <c r="A2404" s="85"/>
      <c r="B2404" s="86"/>
      <c r="C2404" s="87"/>
      <c r="D2404" s="88"/>
      <c r="E2404" s="43"/>
      <c r="F2404" s="44"/>
      <c r="G2404" s="45"/>
      <c r="H2404" s="46"/>
      <c r="I2404" s="47"/>
      <c r="J2404" s="48"/>
      <c r="K2404" s="49"/>
      <c r="L2404" s="50"/>
    </row>
    <row r="2405" spans="1:12" ht="15" customHeight="1" x14ac:dyDescent="0.35">
      <c r="A2405" s="85"/>
      <c r="B2405" s="86"/>
      <c r="C2405" s="87"/>
      <c r="D2405" s="88"/>
      <c r="E2405" s="43"/>
      <c r="F2405" s="44"/>
      <c r="G2405" s="45"/>
      <c r="H2405" s="46"/>
      <c r="I2405" s="47"/>
      <c r="J2405" s="48"/>
      <c r="K2405" s="49"/>
      <c r="L2405" s="50"/>
    </row>
    <row r="2406" spans="1:12" ht="15" customHeight="1" x14ac:dyDescent="0.35">
      <c r="A2406" s="85"/>
      <c r="B2406" s="86"/>
      <c r="C2406" s="87"/>
      <c r="D2406" s="88"/>
      <c r="E2406" s="43"/>
      <c r="F2406" s="44"/>
      <c r="G2406" s="45"/>
      <c r="H2406" s="46"/>
      <c r="I2406" s="47"/>
      <c r="J2406" s="48"/>
      <c r="K2406" s="49"/>
      <c r="L2406" s="50"/>
    </row>
    <row r="2407" spans="1:12" ht="15" customHeight="1" x14ac:dyDescent="0.35">
      <c r="A2407" s="85"/>
      <c r="B2407" s="86"/>
      <c r="C2407" s="87"/>
      <c r="D2407" s="88"/>
      <c r="E2407" s="43"/>
      <c r="F2407" s="44"/>
      <c r="G2407" s="45"/>
      <c r="H2407" s="46"/>
      <c r="I2407" s="47"/>
      <c r="J2407" s="48"/>
      <c r="K2407" s="49"/>
      <c r="L2407" s="50"/>
    </row>
    <row r="2408" spans="1:12" ht="15" customHeight="1" x14ac:dyDescent="0.35">
      <c r="A2408" s="85"/>
      <c r="B2408" s="86"/>
      <c r="C2408" s="87"/>
      <c r="D2408" s="88"/>
      <c r="E2408" s="43"/>
      <c r="F2408" s="44"/>
      <c r="G2408" s="45"/>
      <c r="H2408" s="46"/>
      <c r="I2408" s="47"/>
      <c r="J2408" s="48"/>
      <c r="K2408" s="49"/>
      <c r="L2408" s="50"/>
    </row>
    <row r="2409" spans="1:12" ht="15" customHeight="1" x14ac:dyDescent="0.35">
      <c r="A2409" s="85"/>
      <c r="B2409" s="86"/>
      <c r="C2409" s="87"/>
      <c r="D2409" s="88"/>
      <c r="E2409" s="43"/>
      <c r="F2409" s="44"/>
      <c r="G2409" s="45"/>
      <c r="H2409" s="46"/>
      <c r="I2409" s="47"/>
      <c r="J2409" s="48"/>
      <c r="K2409" s="49"/>
      <c r="L2409" s="50"/>
    </row>
    <row r="2410" spans="1:12" ht="15" customHeight="1" x14ac:dyDescent="0.35">
      <c r="A2410" s="85"/>
      <c r="B2410" s="86"/>
      <c r="C2410" s="87"/>
      <c r="D2410" s="88"/>
      <c r="E2410" s="43"/>
      <c r="F2410" s="44"/>
      <c r="G2410" s="45"/>
      <c r="H2410" s="46"/>
      <c r="I2410" s="47"/>
      <c r="J2410" s="48"/>
      <c r="K2410" s="49"/>
      <c r="L2410" s="50"/>
    </row>
    <row r="2411" spans="1:12" ht="15" customHeight="1" x14ac:dyDescent="0.35">
      <c r="A2411" s="85"/>
      <c r="B2411" s="86"/>
      <c r="C2411" s="87"/>
      <c r="D2411" s="88"/>
      <c r="E2411" s="43"/>
      <c r="F2411" s="44"/>
      <c r="G2411" s="45"/>
      <c r="H2411" s="46"/>
      <c r="I2411" s="47"/>
      <c r="J2411" s="48"/>
      <c r="K2411" s="49"/>
      <c r="L2411" s="50"/>
    </row>
    <row r="2412" spans="1:12" ht="15" customHeight="1" x14ac:dyDescent="0.35">
      <c r="A2412" s="85"/>
      <c r="B2412" s="86"/>
      <c r="C2412" s="87"/>
      <c r="D2412" s="88"/>
      <c r="E2412" s="43"/>
      <c r="F2412" s="44"/>
      <c r="G2412" s="45"/>
      <c r="H2412" s="46"/>
      <c r="I2412" s="47"/>
      <c r="J2412" s="48"/>
      <c r="K2412" s="49"/>
      <c r="L2412" s="50"/>
    </row>
    <row r="2413" spans="1:12" ht="15" customHeight="1" x14ac:dyDescent="0.35">
      <c r="A2413" s="85"/>
      <c r="B2413" s="86"/>
      <c r="C2413" s="87"/>
      <c r="D2413" s="88"/>
      <c r="E2413" s="43"/>
      <c r="F2413" s="44"/>
      <c r="G2413" s="45"/>
      <c r="H2413" s="46"/>
      <c r="I2413" s="47"/>
      <c r="J2413" s="48"/>
      <c r="K2413" s="49"/>
      <c r="L2413" s="50"/>
    </row>
    <row r="2414" spans="1:12" ht="15" customHeight="1" x14ac:dyDescent="0.35">
      <c r="A2414" s="85"/>
      <c r="B2414" s="86"/>
      <c r="C2414" s="87"/>
      <c r="D2414" s="88"/>
      <c r="E2414" s="43"/>
      <c r="F2414" s="44"/>
      <c r="G2414" s="45"/>
      <c r="H2414" s="46"/>
      <c r="I2414" s="47"/>
      <c r="J2414" s="48"/>
      <c r="K2414" s="49"/>
      <c r="L2414" s="50"/>
    </row>
    <row r="2415" spans="1:12" ht="15" customHeight="1" x14ac:dyDescent="0.35">
      <c r="A2415" s="85"/>
      <c r="B2415" s="86"/>
      <c r="C2415" s="87"/>
      <c r="D2415" s="88"/>
      <c r="E2415" s="43"/>
      <c r="F2415" s="44"/>
      <c r="G2415" s="45"/>
      <c r="H2415" s="46"/>
      <c r="I2415" s="47"/>
      <c r="J2415" s="48"/>
      <c r="K2415" s="49"/>
      <c r="L2415" s="50"/>
    </row>
    <row r="2416" spans="1:12" ht="15" customHeight="1" x14ac:dyDescent="0.35">
      <c r="A2416" s="85"/>
      <c r="B2416" s="86"/>
      <c r="C2416" s="87"/>
      <c r="D2416" s="88"/>
      <c r="E2416" s="43"/>
      <c r="F2416" s="44"/>
      <c r="G2416" s="45"/>
      <c r="H2416" s="46"/>
      <c r="I2416" s="47"/>
      <c r="J2416" s="48"/>
      <c r="K2416" s="49"/>
      <c r="L2416" s="50"/>
    </row>
    <row r="2417" spans="1:12" ht="15" customHeight="1" x14ac:dyDescent="0.35">
      <c r="A2417" s="85"/>
      <c r="B2417" s="86"/>
      <c r="C2417" s="87"/>
      <c r="D2417" s="88"/>
      <c r="E2417" s="43"/>
      <c r="F2417" s="44"/>
      <c r="G2417" s="45"/>
      <c r="H2417" s="46"/>
      <c r="I2417" s="47"/>
      <c r="J2417" s="48"/>
      <c r="K2417" s="49"/>
      <c r="L2417" s="50"/>
    </row>
    <row r="2418" spans="1:12" ht="15" customHeight="1" x14ac:dyDescent="0.35">
      <c r="A2418" s="85"/>
      <c r="B2418" s="86"/>
      <c r="C2418" s="87"/>
      <c r="D2418" s="88"/>
      <c r="E2418" s="43"/>
      <c r="F2418" s="44"/>
      <c r="G2418" s="45"/>
      <c r="H2418" s="46"/>
      <c r="I2418" s="47"/>
      <c r="J2418" s="48"/>
      <c r="K2418" s="49"/>
      <c r="L2418" s="50"/>
    </row>
    <row r="2419" spans="1:12" ht="15" customHeight="1" x14ac:dyDescent="0.35">
      <c r="A2419" s="85"/>
      <c r="B2419" s="86"/>
      <c r="C2419" s="87"/>
      <c r="D2419" s="88"/>
      <c r="E2419" s="43"/>
      <c r="F2419" s="44"/>
      <c r="G2419" s="45"/>
      <c r="H2419" s="46"/>
      <c r="I2419" s="47"/>
      <c r="J2419" s="48"/>
      <c r="K2419" s="49"/>
      <c r="L2419" s="50"/>
    </row>
    <row r="2420" spans="1:12" ht="15" customHeight="1" x14ac:dyDescent="0.35">
      <c r="A2420" s="85"/>
      <c r="B2420" s="86"/>
      <c r="C2420" s="87"/>
      <c r="D2420" s="88"/>
      <c r="E2420" s="43"/>
      <c r="F2420" s="44"/>
      <c r="G2420" s="45"/>
      <c r="H2420" s="46"/>
      <c r="I2420" s="47"/>
      <c r="J2420" s="48"/>
      <c r="K2420" s="49"/>
      <c r="L2420" s="50"/>
    </row>
    <row r="2421" spans="1:12" ht="15" customHeight="1" x14ac:dyDescent="0.35">
      <c r="A2421" s="85"/>
      <c r="B2421" s="86"/>
      <c r="C2421" s="87"/>
      <c r="D2421" s="88"/>
      <c r="E2421" s="43"/>
      <c r="F2421" s="44"/>
      <c r="G2421" s="45"/>
      <c r="H2421" s="46"/>
      <c r="I2421" s="47"/>
      <c r="J2421" s="48"/>
      <c r="K2421" s="49"/>
      <c r="L2421" s="50"/>
    </row>
    <row r="2422" spans="1:12" ht="15" customHeight="1" x14ac:dyDescent="0.35">
      <c r="A2422" s="85"/>
      <c r="B2422" s="86"/>
      <c r="C2422" s="87"/>
      <c r="D2422" s="88"/>
      <c r="E2422" s="43"/>
      <c r="F2422" s="44"/>
      <c r="G2422" s="45"/>
      <c r="H2422" s="46"/>
      <c r="I2422" s="47"/>
      <c r="J2422" s="48"/>
      <c r="K2422" s="49"/>
      <c r="L2422" s="50"/>
    </row>
    <row r="2423" spans="1:12" ht="15" customHeight="1" x14ac:dyDescent="0.35">
      <c r="A2423" s="85"/>
      <c r="B2423" s="86"/>
      <c r="C2423" s="87"/>
      <c r="D2423" s="88"/>
      <c r="E2423" s="43"/>
      <c r="F2423" s="44"/>
      <c r="G2423" s="45"/>
      <c r="H2423" s="46"/>
      <c r="I2423" s="47"/>
      <c r="J2423" s="48"/>
      <c r="K2423" s="49"/>
      <c r="L2423" s="50"/>
    </row>
    <row r="2424" spans="1:12" ht="15" customHeight="1" x14ac:dyDescent="0.35">
      <c r="A2424" s="85"/>
      <c r="B2424" s="86"/>
      <c r="C2424" s="87"/>
      <c r="D2424" s="88"/>
      <c r="E2424" s="43"/>
      <c r="F2424" s="44"/>
      <c r="G2424" s="45"/>
      <c r="H2424" s="46"/>
      <c r="I2424" s="47"/>
      <c r="J2424" s="48"/>
      <c r="K2424" s="49"/>
      <c r="L2424" s="50"/>
    </row>
    <row r="2425" spans="1:12" ht="15" customHeight="1" x14ac:dyDescent="0.35">
      <c r="A2425" s="85"/>
      <c r="B2425" s="86"/>
      <c r="C2425" s="87"/>
      <c r="D2425" s="88"/>
      <c r="E2425" s="43"/>
      <c r="F2425" s="44"/>
      <c r="G2425" s="45"/>
      <c r="H2425" s="46"/>
      <c r="I2425" s="47"/>
      <c r="J2425" s="48"/>
      <c r="K2425" s="49"/>
      <c r="L2425" s="50"/>
    </row>
    <row r="2426" spans="1:12" ht="15" customHeight="1" x14ac:dyDescent="0.35">
      <c r="A2426" s="85"/>
      <c r="B2426" s="86"/>
      <c r="C2426" s="87"/>
      <c r="D2426" s="88"/>
      <c r="E2426" s="43"/>
      <c r="F2426" s="44"/>
      <c r="G2426" s="45"/>
      <c r="H2426" s="46"/>
      <c r="I2426" s="47"/>
      <c r="J2426" s="48"/>
      <c r="K2426" s="49"/>
      <c r="L2426" s="50"/>
    </row>
    <row r="2427" spans="1:12" ht="15" customHeight="1" x14ac:dyDescent="0.35">
      <c r="A2427" s="85"/>
      <c r="B2427" s="86"/>
      <c r="C2427" s="87"/>
      <c r="D2427" s="88"/>
      <c r="E2427" s="43"/>
      <c r="F2427" s="44"/>
      <c r="G2427" s="45"/>
      <c r="H2427" s="46"/>
      <c r="I2427" s="47"/>
      <c r="J2427" s="48"/>
      <c r="K2427" s="49"/>
      <c r="L2427" s="50"/>
    </row>
    <row r="2428" spans="1:12" ht="15" customHeight="1" x14ac:dyDescent="0.35">
      <c r="A2428" s="85"/>
      <c r="B2428" s="86"/>
      <c r="C2428" s="87"/>
      <c r="D2428" s="88"/>
      <c r="E2428" s="43"/>
      <c r="F2428" s="44"/>
      <c r="G2428" s="45"/>
      <c r="H2428" s="46"/>
      <c r="I2428" s="47"/>
      <c r="J2428" s="48"/>
      <c r="K2428" s="49"/>
      <c r="L2428" s="50"/>
    </row>
    <row r="2429" spans="1:12" ht="15" customHeight="1" x14ac:dyDescent="0.35">
      <c r="A2429" s="85"/>
      <c r="B2429" s="86"/>
      <c r="C2429" s="87"/>
      <c r="D2429" s="88"/>
      <c r="E2429" s="43"/>
      <c r="F2429" s="44"/>
      <c r="G2429" s="45"/>
      <c r="H2429" s="46"/>
      <c r="I2429" s="47"/>
      <c r="J2429" s="48"/>
      <c r="K2429" s="49"/>
      <c r="L2429" s="50"/>
    </row>
    <row r="2430" spans="1:12" ht="15" customHeight="1" x14ac:dyDescent="0.35">
      <c r="A2430" s="85"/>
      <c r="B2430" s="86"/>
      <c r="C2430" s="87"/>
      <c r="D2430" s="88"/>
      <c r="E2430" s="43"/>
      <c r="F2430" s="44"/>
      <c r="G2430" s="45"/>
      <c r="H2430" s="46"/>
      <c r="I2430" s="47"/>
      <c r="J2430" s="48"/>
      <c r="K2430" s="49"/>
      <c r="L2430" s="50"/>
    </row>
    <row r="2431" spans="1:12" ht="15" customHeight="1" x14ac:dyDescent="0.35">
      <c r="A2431" s="85"/>
      <c r="B2431" s="86"/>
      <c r="C2431" s="87"/>
      <c r="D2431" s="88"/>
      <c r="E2431" s="43"/>
      <c r="F2431" s="44"/>
      <c r="G2431" s="45"/>
      <c r="H2431" s="46"/>
      <c r="I2431" s="47"/>
      <c r="J2431" s="48"/>
      <c r="K2431" s="49"/>
      <c r="L2431" s="50"/>
    </row>
    <row r="2432" spans="1:12" ht="15" customHeight="1" x14ac:dyDescent="0.35">
      <c r="A2432" s="85"/>
      <c r="B2432" s="86"/>
      <c r="C2432" s="87"/>
      <c r="D2432" s="88"/>
      <c r="E2432" s="43"/>
      <c r="F2432" s="44"/>
      <c r="G2432" s="45"/>
      <c r="H2432" s="46"/>
      <c r="I2432" s="47"/>
      <c r="J2432" s="48"/>
      <c r="K2432" s="49"/>
      <c r="L2432" s="50"/>
    </row>
    <row r="2433" spans="1:12" ht="15" customHeight="1" x14ac:dyDescent="0.35">
      <c r="A2433" s="85"/>
      <c r="B2433" s="86"/>
      <c r="C2433" s="87"/>
      <c r="D2433" s="88"/>
      <c r="E2433" s="43"/>
      <c r="F2433" s="44"/>
      <c r="G2433" s="45"/>
      <c r="H2433" s="46"/>
      <c r="I2433" s="47"/>
      <c r="J2433" s="48"/>
      <c r="K2433" s="49"/>
      <c r="L2433" s="50"/>
    </row>
    <row r="2434" spans="1:12" ht="15" customHeight="1" x14ac:dyDescent="0.35">
      <c r="A2434" s="85"/>
      <c r="B2434" s="86"/>
      <c r="C2434" s="87"/>
      <c r="D2434" s="88"/>
      <c r="E2434" s="43"/>
      <c r="F2434" s="44"/>
      <c r="G2434" s="45"/>
      <c r="H2434" s="46"/>
      <c r="I2434" s="47"/>
      <c r="J2434" s="48"/>
      <c r="K2434" s="49"/>
      <c r="L2434" s="50"/>
    </row>
    <row r="2435" spans="1:12" ht="15" customHeight="1" x14ac:dyDescent="0.35">
      <c r="A2435" s="85"/>
      <c r="B2435" s="86"/>
      <c r="C2435" s="87"/>
      <c r="D2435" s="88"/>
      <c r="E2435" s="43"/>
      <c r="F2435" s="44"/>
      <c r="G2435" s="45"/>
      <c r="H2435" s="46"/>
      <c r="I2435" s="47"/>
      <c r="J2435" s="48"/>
      <c r="K2435" s="49"/>
      <c r="L2435" s="50"/>
    </row>
    <row r="2436" spans="1:12" ht="15" customHeight="1" x14ac:dyDescent="0.35">
      <c r="A2436" s="85"/>
      <c r="B2436" s="86"/>
      <c r="C2436" s="87"/>
      <c r="D2436" s="88"/>
      <c r="E2436" s="43"/>
      <c r="F2436" s="44"/>
      <c r="G2436" s="45"/>
      <c r="H2436" s="46"/>
      <c r="I2436" s="47"/>
      <c r="J2436" s="48"/>
      <c r="K2436" s="49"/>
      <c r="L2436" s="50"/>
    </row>
    <row r="2437" spans="1:12" ht="15" customHeight="1" x14ac:dyDescent="0.35">
      <c r="A2437" s="85"/>
      <c r="B2437" s="86"/>
      <c r="C2437" s="87"/>
      <c r="D2437" s="88"/>
      <c r="E2437" s="43"/>
      <c r="F2437" s="44"/>
      <c r="G2437" s="45"/>
      <c r="H2437" s="46"/>
      <c r="I2437" s="47"/>
      <c r="J2437" s="48"/>
      <c r="K2437" s="49"/>
      <c r="L2437" s="50"/>
    </row>
    <row r="2438" spans="1:12" ht="15" customHeight="1" x14ac:dyDescent="0.35">
      <c r="A2438" s="85"/>
      <c r="B2438" s="86"/>
      <c r="C2438" s="87"/>
      <c r="D2438" s="88"/>
      <c r="E2438" s="43"/>
      <c r="F2438" s="44"/>
      <c r="G2438" s="45"/>
      <c r="H2438" s="46"/>
      <c r="I2438" s="47"/>
      <c r="J2438" s="48"/>
      <c r="K2438" s="49"/>
      <c r="L2438" s="50"/>
    </row>
    <row r="2439" spans="1:12" ht="15" customHeight="1" x14ac:dyDescent="0.35">
      <c r="A2439" s="85"/>
      <c r="B2439" s="86"/>
      <c r="C2439" s="87"/>
      <c r="D2439" s="88"/>
      <c r="E2439" s="43"/>
      <c r="F2439" s="44"/>
      <c r="G2439" s="45"/>
      <c r="H2439" s="46"/>
      <c r="I2439" s="47"/>
      <c r="J2439" s="48"/>
      <c r="K2439" s="49"/>
      <c r="L2439" s="50"/>
    </row>
    <row r="2440" spans="1:12" ht="15" customHeight="1" x14ac:dyDescent="0.35">
      <c r="A2440" s="85"/>
      <c r="B2440" s="86"/>
      <c r="C2440" s="87"/>
      <c r="D2440" s="88"/>
      <c r="E2440" s="43"/>
      <c r="F2440" s="44"/>
      <c r="G2440" s="45"/>
      <c r="H2440" s="46"/>
      <c r="I2440" s="47"/>
      <c r="J2440" s="48"/>
      <c r="K2440" s="49"/>
      <c r="L2440" s="50"/>
    </row>
    <row r="2441" spans="1:12" ht="15" customHeight="1" x14ac:dyDescent="0.35">
      <c r="A2441" s="85"/>
      <c r="B2441" s="86"/>
      <c r="C2441" s="87"/>
      <c r="D2441" s="88"/>
      <c r="E2441" s="43"/>
      <c r="F2441" s="44"/>
      <c r="G2441" s="45"/>
      <c r="H2441" s="46"/>
      <c r="I2441" s="47"/>
      <c r="J2441" s="48"/>
      <c r="K2441" s="49"/>
      <c r="L2441" s="50"/>
    </row>
    <row r="2442" spans="1:12" ht="15" customHeight="1" x14ac:dyDescent="0.35">
      <c r="A2442" s="85"/>
      <c r="B2442" s="86"/>
      <c r="C2442" s="87"/>
      <c r="D2442" s="88"/>
      <c r="E2442" s="43"/>
      <c r="F2442" s="44"/>
      <c r="G2442" s="45"/>
      <c r="H2442" s="46"/>
      <c r="I2442" s="47"/>
      <c r="J2442" s="48"/>
      <c r="K2442" s="49"/>
      <c r="L2442" s="50"/>
    </row>
    <row r="2443" spans="1:12" ht="15" customHeight="1" x14ac:dyDescent="0.35">
      <c r="A2443" s="85"/>
      <c r="B2443" s="86"/>
      <c r="C2443" s="87"/>
      <c r="D2443" s="88"/>
      <c r="E2443" s="43"/>
      <c r="F2443" s="44"/>
      <c r="G2443" s="45"/>
      <c r="H2443" s="46"/>
      <c r="I2443" s="47"/>
      <c r="J2443" s="48"/>
      <c r="K2443" s="49"/>
      <c r="L2443" s="50"/>
    </row>
    <row r="2444" spans="1:12" ht="15" customHeight="1" x14ac:dyDescent="0.35">
      <c r="A2444" s="85"/>
      <c r="B2444" s="86"/>
      <c r="C2444" s="87"/>
      <c r="D2444" s="88"/>
      <c r="E2444" s="43"/>
      <c r="F2444" s="44"/>
      <c r="G2444" s="45"/>
      <c r="H2444" s="46"/>
      <c r="I2444" s="47"/>
      <c r="J2444" s="48"/>
      <c r="K2444" s="49"/>
      <c r="L2444" s="50"/>
    </row>
    <row r="2445" spans="1:12" ht="15" customHeight="1" x14ac:dyDescent="0.35">
      <c r="A2445" s="85"/>
      <c r="B2445" s="86"/>
      <c r="C2445" s="87"/>
      <c r="D2445" s="88"/>
      <c r="E2445" s="43"/>
      <c r="F2445" s="44"/>
      <c r="G2445" s="45"/>
      <c r="H2445" s="46"/>
      <c r="I2445" s="47"/>
      <c r="J2445" s="48"/>
      <c r="K2445" s="49"/>
      <c r="L2445" s="50"/>
    </row>
    <row r="2446" spans="1:12" ht="15" customHeight="1" x14ac:dyDescent="0.35">
      <c r="A2446" s="85"/>
      <c r="B2446" s="86"/>
      <c r="C2446" s="87"/>
      <c r="D2446" s="88"/>
      <c r="E2446" s="43"/>
      <c r="F2446" s="44"/>
      <c r="G2446" s="45"/>
      <c r="H2446" s="46"/>
      <c r="I2446" s="47"/>
      <c r="J2446" s="48"/>
      <c r="K2446" s="49"/>
      <c r="L2446" s="50"/>
    </row>
    <row r="2447" spans="1:12" ht="15" customHeight="1" x14ac:dyDescent="0.35">
      <c r="A2447" s="85"/>
      <c r="B2447" s="86"/>
      <c r="C2447" s="87"/>
      <c r="D2447" s="88"/>
      <c r="E2447" s="43"/>
      <c r="F2447" s="44"/>
      <c r="G2447" s="45"/>
      <c r="H2447" s="46"/>
      <c r="I2447" s="47"/>
      <c r="J2447" s="48"/>
      <c r="K2447" s="49"/>
      <c r="L2447" s="50"/>
    </row>
    <row r="2448" spans="1:12" ht="15" customHeight="1" x14ac:dyDescent="0.35">
      <c r="A2448" s="85"/>
      <c r="B2448" s="86"/>
      <c r="C2448" s="87"/>
      <c r="D2448" s="88"/>
      <c r="E2448" s="43"/>
      <c r="F2448" s="44"/>
      <c r="G2448" s="45"/>
      <c r="H2448" s="46"/>
      <c r="I2448" s="47"/>
      <c r="J2448" s="48"/>
      <c r="K2448" s="49"/>
      <c r="L2448" s="50"/>
    </row>
    <row r="2449" spans="1:12" ht="15" customHeight="1" x14ac:dyDescent="0.35">
      <c r="A2449" s="85"/>
      <c r="B2449" s="86"/>
      <c r="C2449" s="87"/>
      <c r="D2449" s="88"/>
      <c r="E2449" s="43"/>
      <c r="F2449" s="44"/>
      <c r="G2449" s="45"/>
      <c r="H2449" s="46"/>
      <c r="I2449" s="47"/>
      <c r="J2449" s="48"/>
      <c r="K2449" s="49"/>
      <c r="L2449" s="50"/>
    </row>
    <row r="2450" spans="1:12" ht="15" customHeight="1" x14ac:dyDescent="0.35">
      <c r="A2450" s="85"/>
      <c r="B2450" s="86"/>
      <c r="C2450" s="87"/>
      <c r="D2450" s="88"/>
      <c r="E2450" s="43"/>
      <c r="F2450" s="44"/>
      <c r="G2450" s="45"/>
      <c r="H2450" s="46"/>
      <c r="I2450" s="47"/>
      <c r="J2450" s="48"/>
      <c r="K2450" s="49"/>
      <c r="L2450" s="50"/>
    </row>
    <row r="2451" spans="1:12" ht="15" customHeight="1" x14ac:dyDescent="0.35">
      <c r="A2451" s="85"/>
      <c r="B2451" s="86"/>
      <c r="C2451" s="87"/>
      <c r="D2451" s="88"/>
      <c r="E2451" s="43"/>
      <c r="F2451" s="44"/>
      <c r="G2451" s="45"/>
      <c r="H2451" s="46"/>
      <c r="I2451" s="47"/>
      <c r="J2451" s="48"/>
      <c r="K2451" s="49"/>
      <c r="L2451" s="50"/>
    </row>
    <row r="2452" spans="1:12" ht="15" customHeight="1" x14ac:dyDescent="0.35">
      <c r="A2452" s="85"/>
      <c r="B2452" s="86"/>
      <c r="C2452" s="87"/>
      <c r="D2452" s="88"/>
      <c r="E2452" s="43"/>
      <c r="F2452" s="44"/>
      <c r="G2452" s="45"/>
      <c r="H2452" s="46"/>
      <c r="I2452" s="47"/>
      <c r="J2452" s="48"/>
      <c r="K2452" s="49"/>
      <c r="L2452" s="50"/>
    </row>
    <row r="2453" spans="1:12" ht="15" customHeight="1" x14ac:dyDescent="0.35">
      <c r="A2453" s="85"/>
      <c r="B2453" s="86"/>
      <c r="C2453" s="87"/>
      <c r="D2453" s="88"/>
      <c r="E2453" s="43"/>
      <c r="F2453" s="44"/>
      <c r="G2453" s="45"/>
      <c r="H2453" s="46"/>
      <c r="I2453" s="47"/>
      <c r="J2453" s="48"/>
      <c r="K2453" s="49"/>
      <c r="L2453" s="50"/>
    </row>
    <row r="2454" spans="1:12" ht="15" customHeight="1" x14ac:dyDescent="0.35">
      <c r="A2454" s="85"/>
      <c r="B2454" s="86"/>
      <c r="C2454" s="87"/>
      <c r="D2454" s="88"/>
      <c r="E2454" s="43"/>
      <c r="F2454" s="44"/>
      <c r="G2454" s="45"/>
      <c r="H2454" s="46"/>
      <c r="I2454" s="47"/>
      <c r="J2454" s="48"/>
      <c r="K2454" s="49"/>
      <c r="L2454" s="50"/>
    </row>
    <row r="2455" spans="1:12" ht="15" customHeight="1" x14ac:dyDescent="0.35">
      <c r="A2455" s="85"/>
      <c r="B2455" s="86"/>
      <c r="C2455" s="87"/>
      <c r="D2455" s="88"/>
      <c r="E2455" s="43"/>
      <c r="F2455" s="44"/>
      <c r="G2455" s="45"/>
      <c r="H2455" s="46"/>
      <c r="I2455" s="47"/>
      <c r="J2455" s="48"/>
      <c r="K2455" s="49"/>
      <c r="L2455" s="50"/>
    </row>
    <row r="2456" spans="1:12" ht="15" customHeight="1" x14ac:dyDescent="0.35">
      <c r="A2456" s="85"/>
      <c r="B2456" s="86"/>
      <c r="C2456" s="87"/>
      <c r="D2456" s="88"/>
      <c r="E2456" s="43"/>
      <c r="F2456" s="44"/>
      <c r="G2456" s="45"/>
      <c r="H2456" s="46"/>
      <c r="I2456" s="47"/>
      <c r="J2456" s="48"/>
      <c r="K2456" s="49"/>
      <c r="L2456" s="50"/>
    </row>
    <row r="2457" spans="1:12" ht="15" customHeight="1" x14ac:dyDescent="0.35">
      <c r="A2457" s="85"/>
      <c r="B2457" s="86"/>
      <c r="C2457" s="87"/>
      <c r="D2457" s="88"/>
      <c r="E2457" s="43"/>
      <c r="F2457" s="44"/>
      <c r="G2457" s="45"/>
      <c r="H2457" s="46"/>
      <c r="I2457" s="47"/>
      <c r="J2457" s="48"/>
      <c r="K2457" s="49"/>
      <c r="L2457" s="50"/>
    </row>
    <row r="2458" spans="1:12" ht="15" customHeight="1" x14ac:dyDescent="0.35">
      <c r="A2458" s="85"/>
      <c r="B2458" s="86"/>
      <c r="C2458" s="87"/>
      <c r="D2458" s="88"/>
      <c r="E2458" s="43"/>
      <c r="F2458" s="44"/>
      <c r="G2458" s="45"/>
      <c r="H2458" s="46"/>
      <c r="I2458" s="47"/>
      <c r="J2458" s="48"/>
      <c r="K2458" s="49"/>
      <c r="L2458" s="50"/>
    </row>
    <row r="2459" spans="1:12" ht="15" customHeight="1" x14ac:dyDescent="0.35">
      <c r="A2459" s="85"/>
      <c r="B2459" s="86"/>
      <c r="C2459" s="87"/>
      <c r="D2459" s="88"/>
      <c r="E2459" s="43"/>
      <c r="F2459" s="44"/>
      <c r="G2459" s="45"/>
      <c r="H2459" s="46"/>
      <c r="I2459" s="47"/>
      <c r="J2459" s="48"/>
      <c r="K2459" s="49"/>
      <c r="L2459" s="50"/>
    </row>
    <row r="2460" spans="1:12" ht="15" customHeight="1" x14ac:dyDescent="0.35">
      <c r="A2460" s="85"/>
      <c r="B2460" s="86"/>
      <c r="C2460" s="87"/>
      <c r="D2460" s="88"/>
      <c r="E2460" s="43"/>
      <c r="F2460" s="44"/>
      <c r="G2460" s="45"/>
      <c r="H2460" s="46"/>
      <c r="I2460" s="47"/>
      <c r="J2460" s="48"/>
      <c r="K2460" s="49"/>
      <c r="L2460" s="50"/>
    </row>
    <row r="2461" spans="1:12" ht="15" customHeight="1" x14ac:dyDescent="0.35">
      <c r="A2461" s="85"/>
      <c r="B2461" s="86"/>
      <c r="C2461" s="87"/>
      <c r="D2461" s="88"/>
      <c r="E2461" s="43"/>
      <c r="F2461" s="44"/>
      <c r="G2461" s="45"/>
      <c r="H2461" s="46"/>
      <c r="I2461" s="47"/>
      <c r="J2461" s="48"/>
      <c r="K2461" s="49"/>
      <c r="L2461" s="50"/>
    </row>
    <row r="2462" spans="1:12" ht="15" customHeight="1" x14ac:dyDescent="0.35">
      <c r="A2462" s="85"/>
      <c r="B2462" s="86"/>
      <c r="C2462" s="87"/>
      <c r="D2462" s="88"/>
      <c r="E2462" s="43"/>
      <c r="F2462" s="44"/>
      <c r="G2462" s="45"/>
      <c r="H2462" s="46"/>
      <c r="I2462" s="47"/>
      <c r="J2462" s="48"/>
      <c r="K2462" s="49"/>
      <c r="L2462" s="50"/>
    </row>
    <row r="2463" spans="1:12" ht="15" customHeight="1" x14ac:dyDescent="0.35">
      <c r="A2463" s="85"/>
      <c r="B2463" s="86"/>
      <c r="C2463" s="87"/>
      <c r="D2463" s="88"/>
      <c r="E2463" s="43"/>
      <c r="F2463" s="44"/>
      <c r="G2463" s="45"/>
      <c r="H2463" s="46"/>
      <c r="I2463" s="47"/>
      <c r="J2463" s="48"/>
      <c r="K2463" s="49"/>
      <c r="L2463" s="50"/>
    </row>
    <row r="2464" spans="1:12" ht="15" customHeight="1" x14ac:dyDescent="0.35">
      <c r="A2464" s="85"/>
      <c r="B2464" s="86"/>
      <c r="C2464" s="87"/>
      <c r="D2464" s="88"/>
      <c r="E2464" s="43"/>
      <c r="F2464" s="44"/>
      <c r="G2464" s="45"/>
      <c r="H2464" s="46"/>
      <c r="I2464" s="47"/>
      <c r="J2464" s="48"/>
      <c r="K2464" s="49"/>
      <c r="L2464" s="50"/>
    </row>
    <row r="2465" spans="1:12" ht="15" customHeight="1" x14ac:dyDescent="0.35">
      <c r="A2465" s="85"/>
      <c r="B2465" s="86"/>
      <c r="C2465" s="87"/>
      <c r="D2465" s="88"/>
      <c r="E2465" s="43"/>
      <c r="F2465" s="44"/>
      <c r="G2465" s="45"/>
      <c r="H2465" s="46"/>
      <c r="I2465" s="47"/>
      <c r="J2465" s="48"/>
      <c r="K2465" s="49"/>
      <c r="L2465" s="50"/>
    </row>
    <row r="2466" spans="1:12" ht="15" customHeight="1" x14ac:dyDescent="0.35">
      <c r="A2466" s="85"/>
      <c r="B2466" s="86"/>
      <c r="C2466" s="87"/>
      <c r="D2466" s="88"/>
      <c r="E2466" s="43"/>
      <c r="F2466" s="44"/>
      <c r="G2466" s="45"/>
      <c r="H2466" s="46"/>
      <c r="I2466" s="47"/>
      <c r="J2466" s="48"/>
      <c r="K2466" s="49"/>
      <c r="L2466" s="50"/>
    </row>
    <row r="2467" spans="1:12" ht="15" customHeight="1" x14ac:dyDescent="0.35">
      <c r="A2467" s="85"/>
      <c r="B2467" s="86"/>
      <c r="C2467" s="87"/>
      <c r="D2467" s="88"/>
      <c r="E2467" s="43"/>
      <c r="F2467" s="44"/>
      <c r="G2467" s="45"/>
      <c r="H2467" s="46"/>
      <c r="I2467" s="47"/>
      <c r="J2467" s="48"/>
      <c r="K2467" s="49"/>
      <c r="L2467" s="50"/>
    </row>
    <row r="2468" spans="1:12" ht="15" customHeight="1" x14ac:dyDescent="0.35">
      <c r="A2468" s="85"/>
      <c r="B2468" s="86"/>
      <c r="C2468" s="87"/>
      <c r="D2468" s="88"/>
      <c r="E2468" s="43"/>
      <c r="F2468" s="44"/>
      <c r="G2468" s="45"/>
      <c r="H2468" s="46"/>
      <c r="I2468" s="47"/>
      <c r="J2468" s="48"/>
      <c r="K2468" s="49"/>
      <c r="L2468" s="50"/>
    </row>
    <row r="2469" spans="1:12" ht="15" customHeight="1" x14ac:dyDescent="0.35">
      <c r="A2469" s="85"/>
      <c r="B2469" s="86"/>
      <c r="C2469" s="87"/>
      <c r="D2469" s="88"/>
      <c r="E2469" s="43"/>
      <c r="F2469" s="44"/>
      <c r="G2469" s="45"/>
      <c r="H2469" s="46"/>
      <c r="I2469" s="47"/>
      <c r="J2469" s="48"/>
      <c r="K2469" s="49"/>
      <c r="L2469" s="50"/>
    </row>
    <row r="2470" spans="1:12" ht="15" customHeight="1" x14ac:dyDescent="0.35">
      <c r="A2470" s="85"/>
      <c r="B2470" s="86"/>
      <c r="C2470" s="87"/>
      <c r="D2470" s="88"/>
      <c r="E2470" s="43"/>
      <c r="F2470" s="44"/>
      <c r="G2470" s="45"/>
      <c r="H2470" s="46"/>
      <c r="I2470" s="47"/>
      <c r="J2470" s="48"/>
      <c r="K2470" s="49"/>
      <c r="L2470" s="50"/>
    </row>
    <row r="2471" spans="1:12" ht="15" customHeight="1" x14ac:dyDescent="0.35">
      <c r="A2471" s="85"/>
      <c r="B2471" s="86"/>
      <c r="C2471" s="87"/>
      <c r="D2471" s="88"/>
      <c r="E2471" s="43"/>
      <c r="F2471" s="44"/>
      <c r="G2471" s="45"/>
      <c r="H2471" s="46"/>
      <c r="I2471" s="47"/>
      <c r="J2471" s="48"/>
      <c r="K2471" s="49"/>
      <c r="L2471" s="50"/>
    </row>
    <row r="2472" spans="1:12" ht="15" customHeight="1" x14ac:dyDescent="0.35">
      <c r="A2472" s="85"/>
      <c r="B2472" s="86"/>
      <c r="C2472" s="87"/>
      <c r="D2472" s="88"/>
      <c r="E2472" s="43"/>
      <c r="F2472" s="44"/>
      <c r="G2472" s="45"/>
      <c r="H2472" s="46"/>
      <c r="I2472" s="47"/>
      <c r="J2472" s="48"/>
      <c r="K2472" s="49"/>
      <c r="L2472" s="50"/>
    </row>
    <row r="2473" spans="1:12" ht="15" customHeight="1" x14ac:dyDescent="0.35">
      <c r="A2473" s="85"/>
      <c r="B2473" s="86"/>
      <c r="C2473" s="87"/>
      <c r="D2473" s="88"/>
      <c r="E2473" s="43"/>
      <c r="F2473" s="44"/>
      <c r="G2473" s="45"/>
      <c r="H2473" s="46"/>
      <c r="I2473" s="47"/>
      <c r="J2473" s="48"/>
      <c r="K2473" s="49"/>
      <c r="L2473" s="50"/>
    </row>
    <row r="2474" spans="1:12" ht="15" customHeight="1" x14ac:dyDescent="0.35">
      <c r="A2474" s="85"/>
      <c r="B2474" s="86"/>
      <c r="C2474" s="87"/>
      <c r="D2474" s="88"/>
      <c r="E2474" s="43"/>
      <c r="F2474" s="44"/>
      <c r="G2474" s="45"/>
      <c r="H2474" s="46"/>
      <c r="I2474" s="47"/>
      <c r="J2474" s="48"/>
      <c r="K2474" s="49"/>
      <c r="L2474" s="50"/>
    </row>
    <row r="2475" spans="1:12" ht="15" customHeight="1" x14ac:dyDescent="0.35">
      <c r="A2475" s="85"/>
      <c r="B2475" s="86"/>
      <c r="C2475" s="87"/>
      <c r="D2475" s="88"/>
      <c r="E2475" s="43"/>
      <c r="F2475" s="44"/>
      <c r="G2475" s="45"/>
      <c r="H2475" s="46"/>
      <c r="I2475" s="47"/>
      <c r="J2475" s="48"/>
      <c r="K2475" s="49"/>
      <c r="L2475" s="50"/>
    </row>
    <row r="2476" spans="1:12" ht="15" customHeight="1" x14ac:dyDescent="0.35">
      <c r="A2476" s="85"/>
      <c r="B2476" s="86"/>
      <c r="C2476" s="87"/>
      <c r="D2476" s="88"/>
      <c r="E2476" s="43"/>
      <c r="F2476" s="44"/>
      <c r="G2476" s="45"/>
      <c r="H2476" s="46"/>
      <c r="I2476" s="47"/>
      <c r="J2476" s="48"/>
      <c r="K2476" s="49"/>
      <c r="L2476" s="50"/>
    </row>
    <row r="2477" spans="1:12" ht="15" customHeight="1" x14ac:dyDescent="0.35">
      <c r="A2477" s="85"/>
      <c r="B2477" s="86"/>
      <c r="C2477" s="87"/>
      <c r="D2477" s="88"/>
      <c r="E2477" s="43"/>
      <c r="F2477" s="44"/>
      <c r="G2477" s="45"/>
      <c r="H2477" s="46"/>
      <c r="I2477" s="47"/>
      <c r="J2477" s="48"/>
      <c r="K2477" s="49"/>
      <c r="L2477" s="50"/>
    </row>
    <row r="2478" spans="1:12" ht="15" customHeight="1" x14ac:dyDescent="0.35">
      <c r="A2478" s="85"/>
      <c r="B2478" s="86"/>
      <c r="C2478" s="87"/>
      <c r="D2478" s="88"/>
      <c r="E2478" s="43"/>
      <c r="F2478" s="44"/>
      <c r="G2478" s="45"/>
      <c r="H2478" s="46"/>
      <c r="I2478" s="47"/>
      <c r="J2478" s="48"/>
      <c r="K2478" s="49"/>
      <c r="L2478" s="50"/>
    </row>
    <row r="2479" spans="1:12" ht="15" customHeight="1" x14ac:dyDescent="0.35">
      <c r="A2479" s="85"/>
      <c r="B2479" s="86"/>
      <c r="C2479" s="87"/>
      <c r="D2479" s="88"/>
      <c r="E2479" s="43"/>
      <c r="F2479" s="44"/>
      <c r="G2479" s="45"/>
      <c r="H2479" s="46"/>
      <c r="I2479" s="47"/>
      <c r="J2479" s="48"/>
      <c r="K2479" s="49"/>
      <c r="L2479" s="50"/>
    </row>
    <row r="2480" spans="1:12" ht="15" customHeight="1" x14ac:dyDescent="0.35">
      <c r="A2480" s="85"/>
      <c r="B2480" s="86"/>
      <c r="C2480" s="87"/>
      <c r="D2480" s="88"/>
      <c r="E2480" s="43"/>
      <c r="F2480" s="44"/>
      <c r="G2480" s="45"/>
      <c r="H2480" s="46"/>
      <c r="I2480" s="47"/>
      <c r="J2480" s="48"/>
      <c r="K2480" s="49"/>
      <c r="L2480" s="50"/>
    </row>
    <row r="2481" spans="1:12" ht="15" customHeight="1" x14ac:dyDescent="0.35">
      <c r="A2481" s="85"/>
      <c r="B2481" s="86"/>
      <c r="C2481" s="87"/>
      <c r="D2481" s="88"/>
      <c r="E2481" s="43"/>
      <c r="F2481" s="44"/>
      <c r="G2481" s="45"/>
      <c r="H2481" s="46"/>
      <c r="I2481" s="47"/>
      <c r="J2481" s="48"/>
      <c r="K2481" s="49"/>
      <c r="L2481" s="50"/>
    </row>
    <row r="2482" spans="1:12" ht="15" customHeight="1" x14ac:dyDescent="0.35">
      <c r="A2482" s="85"/>
      <c r="B2482" s="86"/>
      <c r="C2482" s="87"/>
      <c r="D2482" s="88"/>
      <c r="E2482" s="43"/>
      <c r="F2482" s="44"/>
      <c r="G2482" s="45"/>
      <c r="H2482" s="46"/>
      <c r="I2482" s="47"/>
      <c r="J2482" s="48"/>
      <c r="K2482" s="49"/>
      <c r="L2482" s="50"/>
    </row>
    <row r="2483" spans="1:12" ht="15" customHeight="1" x14ac:dyDescent="0.35">
      <c r="A2483" s="85"/>
      <c r="B2483" s="86"/>
      <c r="C2483" s="87"/>
      <c r="D2483" s="88"/>
      <c r="E2483" s="43"/>
      <c r="F2483" s="44"/>
      <c r="G2483" s="45"/>
      <c r="H2483" s="46"/>
      <c r="I2483" s="47"/>
      <c r="J2483" s="48"/>
      <c r="K2483" s="49"/>
      <c r="L2483" s="50"/>
    </row>
    <row r="2484" spans="1:12" ht="15" customHeight="1" x14ac:dyDescent="0.35">
      <c r="A2484" s="85"/>
      <c r="B2484" s="86"/>
      <c r="C2484" s="87"/>
      <c r="D2484" s="88"/>
      <c r="E2484" s="43"/>
      <c r="F2484" s="44"/>
      <c r="G2484" s="45"/>
      <c r="H2484" s="46"/>
      <c r="I2484" s="47"/>
      <c r="J2484" s="48"/>
      <c r="K2484" s="49"/>
      <c r="L2484" s="50"/>
    </row>
    <row r="2485" spans="1:12" ht="15" customHeight="1" x14ac:dyDescent="0.35">
      <c r="A2485" s="85"/>
      <c r="B2485" s="86"/>
      <c r="C2485" s="87"/>
      <c r="D2485" s="88"/>
      <c r="E2485" s="43"/>
      <c r="F2485" s="44"/>
      <c r="G2485" s="45"/>
      <c r="H2485" s="46"/>
      <c r="I2485" s="47"/>
      <c r="J2485" s="48"/>
      <c r="K2485" s="49"/>
      <c r="L2485" s="50"/>
    </row>
    <row r="2486" spans="1:12" ht="15" customHeight="1" x14ac:dyDescent="0.35">
      <c r="A2486" s="85"/>
      <c r="B2486" s="86"/>
      <c r="C2486" s="87"/>
      <c r="D2486" s="88"/>
      <c r="E2486" s="43"/>
      <c r="F2486" s="44"/>
      <c r="G2486" s="45"/>
      <c r="H2486" s="46"/>
      <c r="I2486" s="47"/>
      <c r="J2486" s="48"/>
      <c r="K2486" s="49"/>
      <c r="L2486" s="50"/>
    </row>
    <row r="2487" spans="1:12" ht="15" customHeight="1" x14ac:dyDescent="0.35">
      <c r="A2487" s="85"/>
      <c r="B2487" s="86"/>
      <c r="C2487" s="87"/>
      <c r="D2487" s="88"/>
      <c r="E2487" s="43"/>
      <c r="F2487" s="44"/>
      <c r="G2487" s="45"/>
      <c r="H2487" s="46"/>
      <c r="I2487" s="47"/>
      <c r="J2487" s="48"/>
      <c r="K2487" s="49"/>
      <c r="L2487" s="50"/>
    </row>
    <row r="2488" spans="1:12" ht="15" customHeight="1" x14ac:dyDescent="0.35">
      <c r="A2488" s="85"/>
      <c r="B2488" s="86"/>
      <c r="C2488" s="87"/>
      <c r="D2488" s="88"/>
      <c r="E2488" s="43"/>
      <c r="F2488" s="44"/>
      <c r="G2488" s="45"/>
      <c r="H2488" s="46"/>
      <c r="I2488" s="47"/>
      <c r="J2488" s="48"/>
      <c r="K2488" s="49"/>
      <c r="L2488" s="50"/>
    </row>
    <row r="2489" spans="1:12" ht="15" customHeight="1" x14ac:dyDescent="0.35">
      <c r="A2489" s="85"/>
      <c r="B2489" s="86"/>
      <c r="C2489" s="87"/>
      <c r="D2489" s="88"/>
      <c r="E2489" s="43"/>
      <c r="F2489" s="44"/>
      <c r="G2489" s="45"/>
      <c r="H2489" s="46"/>
      <c r="I2489" s="47"/>
      <c r="J2489" s="48"/>
      <c r="K2489" s="49"/>
      <c r="L2489" s="50"/>
    </row>
    <row r="2490" spans="1:12" ht="15" customHeight="1" x14ac:dyDescent="0.35">
      <c r="A2490" s="85"/>
      <c r="B2490" s="86"/>
      <c r="C2490" s="87"/>
      <c r="D2490" s="88"/>
      <c r="E2490" s="43"/>
      <c r="F2490" s="44"/>
      <c r="G2490" s="45"/>
      <c r="H2490" s="46"/>
      <c r="I2490" s="47"/>
      <c r="J2490" s="48"/>
      <c r="K2490" s="49"/>
      <c r="L2490" s="50"/>
    </row>
    <row r="2491" spans="1:12" ht="15" customHeight="1" x14ac:dyDescent="0.35">
      <c r="A2491" s="85"/>
      <c r="B2491" s="86"/>
      <c r="C2491" s="87"/>
      <c r="D2491" s="88"/>
      <c r="E2491" s="43"/>
      <c r="F2491" s="44"/>
      <c r="G2491" s="45"/>
      <c r="H2491" s="46"/>
      <c r="I2491" s="47"/>
      <c r="J2491" s="48"/>
      <c r="K2491" s="49"/>
      <c r="L2491" s="50"/>
    </row>
    <row r="2492" spans="1:12" ht="15" customHeight="1" x14ac:dyDescent="0.35">
      <c r="A2492" s="85"/>
      <c r="B2492" s="86"/>
      <c r="C2492" s="87"/>
      <c r="D2492" s="88"/>
      <c r="E2492" s="43"/>
      <c r="F2492" s="44"/>
      <c r="G2492" s="45"/>
      <c r="H2492" s="46"/>
      <c r="I2492" s="47"/>
      <c r="J2492" s="48"/>
      <c r="K2492" s="49"/>
      <c r="L2492" s="50"/>
    </row>
    <row r="2493" spans="1:12" ht="15" customHeight="1" x14ac:dyDescent="0.35">
      <c r="A2493" s="85"/>
      <c r="B2493" s="86"/>
      <c r="C2493" s="87"/>
      <c r="D2493" s="88"/>
      <c r="E2493" s="43"/>
      <c r="F2493" s="44"/>
      <c r="G2493" s="45"/>
      <c r="H2493" s="46"/>
      <c r="I2493" s="47"/>
      <c r="J2493" s="48"/>
      <c r="K2493" s="49"/>
      <c r="L2493" s="50"/>
    </row>
    <row r="2494" spans="1:12" ht="15" customHeight="1" x14ac:dyDescent="0.35">
      <c r="A2494" s="85"/>
      <c r="B2494" s="86"/>
      <c r="C2494" s="87"/>
      <c r="D2494" s="88"/>
      <c r="E2494" s="43"/>
      <c r="F2494" s="44"/>
      <c r="G2494" s="45"/>
      <c r="H2494" s="46"/>
      <c r="I2494" s="47"/>
      <c r="J2494" s="48"/>
      <c r="K2494" s="49"/>
      <c r="L2494" s="50"/>
    </row>
    <row r="2495" spans="1:12" ht="15" customHeight="1" x14ac:dyDescent="0.35">
      <c r="A2495" s="85"/>
      <c r="B2495" s="86"/>
      <c r="C2495" s="87"/>
      <c r="D2495" s="88"/>
      <c r="E2495" s="43"/>
      <c r="F2495" s="44"/>
      <c r="G2495" s="45"/>
      <c r="H2495" s="46"/>
      <c r="I2495" s="47"/>
      <c r="J2495" s="48"/>
      <c r="K2495" s="49"/>
      <c r="L2495" s="50"/>
    </row>
    <row r="2496" spans="1:12" ht="15" customHeight="1" x14ac:dyDescent="0.35">
      <c r="A2496" s="85"/>
      <c r="B2496" s="86"/>
      <c r="C2496" s="87"/>
      <c r="D2496" s="88"/>
      <c r="E2496" s="43"/>
      <c r="F2496" s="44"/>
      <c r="G2496" s="45"/>
      <c r="H2496" s="46"/>
      <c r="I2496" s="47"/>
      <c r="J2496" s="48"/>
      <c r="K2496" s="49"/>
      <c r="L2496" s="50"/>
    </row>
    <row r="2497" spans="1:12" ht="15" customHeight="1" x14ac:dyDescent="0.35">
      <c r="A2497" s="85"/>
      <c r="B2497" s="86"/>
      <c r="C2497" s="87"/>
      <c r="D2497" s="88"/>
      <c r="E2497" s="43"/>
      <c r="F2497" s="44"/>
      <c r="G2497" s="45"/>
      <c r="H2497" s="46"/>
      <c r="I2497" s="47"/>
      <c r="J2497" s="48"/>
      <c r="K2497" s="49"/>
      <c r="L2497" s="50"/>
    </row>
    <row r="2498" spans="1:12" ht="15" customHeight="1" x14ac:dyDescent="0.35">
      <c r="A2498" s="85"/>
      <c r="B2498" s="86"/>
      <c r="C2498" s="87"/>
      <c r="D2498" s="88"/>
      <c r="E2498" s="43"/>
      <c r="F2498" s="44"/>
      <c r="G2498" s="45"/>
      <c r="H2498" s="46"/>
      <c r="I2498" s="47"/>
      <c r="J2498" s="48"/>
      <c r="K2498" s="49"/>
      <c r="L2498" s="50"/>
    </row>
    <row r="2499" spans="1:12" ht="15" customHeight="1" x14ac:dyDescent="0.35">
      <c r="A2499" s="85"/>
      <c r="B2499" s="86"/>
      <c r="C2499" s="87"/>
      <c r="D2499" s="88"/>
      <c r="E2499" s="43"/>
      <c r="F2499" s="44"/>
      <c r="G2499" s="45"/>
      <c r="H2499" s="46"/>
      <c r="I2499" s="47"/>
      <c r="J2499" s="48"/>
      <c r="K2499" s="49"/>
      <c r="L2499" s="50"/>
    </row>
    <row r="2500" spans="1:12" ht="15" customHeight="1" x14ac:dyDescent="0.35">
      <c r="A2500" s="85"/>
      <c r="B2500" s="86"/>
      <c r="C2500" s="87"/>
      <c r="D2500" s="88"/>
      <c r="E2500" s="43"/>
      <c r="F2500" s="44"/>
      <c r="G2500" s="45"/>
      <c r="H2500" s="46"/>
      <c r="I2500" s="47"/>
      <c r="J2500" s="48"/>
      <c r="K2500" s="49"/>
      <c r="L2500" s="50"/>
    </row>
    <row r="2501" spans="1:12" ht="15" customHeight="1" x14ac:dyDescent="0.35">
      <c r="A2501" s="85"/>
      <c r="B2501" s="86"/>
      <c r="C2501" s="87"/>
      <c r="D2501" s="88"/>
      <c r="E2501" s="43"/>
      <c r="F2501" s="44"/>
      <c r="G2501" s="45"/>
      <c r="H2501" s="46"/>
      <c r="I2501" s="47"/>
      <c r="J2501" s="48"/>
      <c r="K2501" s="49"/>
      <c r="L2501" s="50"/>
    </row>
    <row r="2502" spans="1:12" ht="15" customHeight="1" x14ac:dyDescent="0.35">
      <c r="A2502" s="85"/>
      <c r="B2502" s="86"/>
      <c r="C2502" s="87"/>
      <c r="D2502" s="88"/>
      <c r="E2502" s="43"/>
      <c r="F2502" s="44"/>
      <c r="G2502" s="45"/>
      <c r="H2502" s="46"/>
      <c r="I2502" s="47"/>
      <c r="J2502" s="48"/>
      <c r="K2502" s="49"/>
      <c r="L2502" s="50"/>
    </row>
    <row r="2503" spans="1:12" ht="15" customHeight="1" x14ac:dyDescent="0.35">
      <c r="A2503" s="85"/>
      <c r="B2503" s="86"/>
      <c r="C2503" s="87"/>
      <c r="D2503" s="88"/>
      <c r="E2503" s="43"/>
      <c r="F2503" s="44"/>
      <c r="G2503" s="45"/>
      <c r="H2503" s="46"/>
      <c r="I2503" s="47"/>
      <c r="J2503" s="48"/>
      <c r="K2503" s="49"/>
      <c r="L2503" s="50"/>
    </row>
    <row r="2504" spans="1:12" ht="15" customHeight="1" x14ac:dyDescent="0.35">
      <c r="A2504" s="85"/>
      <c r="B2504" s="86"/>
      <c r="C2504" s="87"/>
      <c r="D2504" s="88"/>
      <c r="E2504" s="43"/>
      <c r="F2504" s="44"/>
      <c r="G2504" s="45"/>
      <c r="H2504" s="46"/>
      <c r="I2504" s="47"/>
      <c r="J2504" s="48"/>
      <c r="K2504" s="49"/>
      <c r="L2504" s="50"/>
    </row>
    <row r="2505" spans="1:12" ht="15" customHeight="1" x14ac:dyDescent="0.35">
      <c r="A2505" s="85"/>
      <c r="B2505" s="86"/>
      <c r="C2505" s="87"/>
      <c r="D2505" s="88"/>
      <c r="E2505" s="43"/>
      <c r="F2505" s="44"/>
      <c r="G2505" s="45"/>
      <c r="H2505" s="46"/>
      <c r="I2505" s="47"/>
      <c r="J2505" s="48"/>
      <c r="K2505" s="49"/>
      <c r="L2505" s="50"/>
    </row>
    <row r="2506" spans="1:12" ht="15" customHeight="1" x14ac:dyDescent="0.35">
      <c r="A2506" s="85"/>
      <c r="B2506" s="86"/>
      <c r="C2506" s="87"/>
      <c r="D2506" s="88"/>
      <c r="E2506" s="43"/>
      <c r="F2506" s="44"/>
      <c r="G2506" s="45"/>
      <c r="H2506" s="46"/>
      <c r="I2506" s="47"/>
      <c r="J2506" s="48"/>
      <c r="K2506" s="49"/>
      <c r="L2506" s="50"/>
    </row>
    <row r="2507" spans="1:12" ht="15" customHeight="1" x14ac:dyDescent="0.35">
      <c r="A2507" s="85"/>
      <c r="B2507" s="86"/>
      <c r="C2507" s="87"/>
      <c r="D2507" s="88"/>
      <c r="E2507" s="43"/>
      <c r="F2507" s="44"/>
      <c r="G2507" s="45"/>
      <c r="H2507" s="46"/>
      <c r="I2507" s="47"/>
      <c r="J2507" s="48"/>
      <c r="K2507" s="49"/>
      <c r="L2507" s="50"/>
    </row>
    <row r="2508" spans="1:12" ht="15" customHeight="1" x14ac:dyDescent="0.35">
      <c r="A2508" s="85"/>
      <c r="B2508" s="86"/>
      <c r="C2508" s="87"/>
      <c r="D2508" s="88"/>
      <c r="E2508" s="43"/>
      <c r="F2508" s="44"/>
      <c r="G2508" s="45"/>
      <c r="H2508" s="46"/>
      <c r="I2508" s="47"/>
      <c r="J2508" s="48"/>
      <c r="K2508" s="49"/>
      <c r="L2508" s="50"/>
    </row>
    <row r="2509" spans="1:12" ht="15" customHeight="1" x14ac:dyDescent="0.35">
      <c r="A2509" s="85"/>
      <c r="B2509" s="86"/>
      <c r="C2509" s="87"/>
      <c r="D2509" s="88"/>
      <c r="E2509" s="43"/>
      <c r="F2509" s="44"/>
      <c r="G2509" s="45"/>
      <c r="H2509" s="46"/>
      <c r="I2509" s="47"/>
      <c r="J2509" s="48"/>
      <c r="K2509" s="49"/>
      <c r="L2509" s="50"/>
    </row>
    <row r="2510" spans="1:12" ht="15" customHeight="1" x14ac:dyDescent="0.35">
      <c r="A2510" s="85"/>
      <c r="B2510" s="86"/>
      <c r="C2510" s="87"/>
      <c r="D2510" s="88"/>
      <c r="E2510" s="43"/>
      <c r="F2510" s="44"/>
      <c r="G2510" s="45"/>
      <c r="H2510" s="46"/>
      <c r="I2510" s="47"/>
      <c r="J2510" s="48"/>
      <c r="K2510" s="49"/>
      <c r="L2510" s="50"/>
    </row>
    <row r="2511" spans="1:12" ht="15" customHeight="1" x14ac:dyDescent="0.35">
      <c r="A2511" s="85"/>
      <c r="B2511" s="86"/>
      <c r="C2511" s="87"/>
      <c r="D2511" s="88"/>
      <c r="E2511" s="43"/>
      <c r="F2511" s="44"/>
      <c r="G2511" s="45"/>
      <c r="H2511" s="46"/>
      <c r="I2511" s="47"/>
      <c r="J2511" s="48"/>
      <c r="K2511" s="49"/>
      <c r="L2511" s="50"/>
    </row>
    <row r="2512" spans="1:12" ht="15" customHeight="1" x14ac:dyDescent="0.35">
      <c r="A2512" s="85"/>
      <c r="B2512" s="86"/>
      <c r="C2512" s="87"/>
      <c r="D2512" s="88"/>
      <c r="E2512" s="43"/>
      <c r="F2512" s="44"/>
      <c r="G2512" s="45"/>
      <c r="H2512" s="46"/>
      <c r="I2512" s="47"/>
      <c r="J2512" s="48"/>
      <c r="K2512" s="49"/>
      <c r="L2512" s="50"/>
    </row>
    <row r="2513" spans="1:12" ht="15" customHeight="1" x14ac:dyDescent="0.35">
      <c r="A2513" s="85"/>
      <c r="B2513" s="86"/>
      <c r="C2513" s="87"/>
      <c r="D2513" s="88"/>
      <c r="E2513" s="43"/>
      <c r="F2513" s="44"/>
      <c r="G2513" s="45"/>
      <c r="H2513" s="46"/>
      <c r="I2513" s="47"/>
      <c r="J2513" s="48"/>
      <c r="K2513" s="49"/>
      <c r="L2513" s="50"/>
    </row>
    <row r="2514" spans="1:12" ht="15" customHeight="1" x14ac:dyDescent="0.35">
      <c r="A2514" s="85"/>
      <c r="B2514" s="86"/>
      <c r="C2514" s="87"/>
      <c r="D2514" s="88"/>
      <c r="E2514" s="43"/>
      <c r="F2514" s="44"/>
      <c r="G2514" s="45"/>
      <c r="H2514" s="46"/>
      <c r="I2514" s="47"/>
      <c r="J2514" s="48"/>
      <c r="K2514" s="49"/>
      <c r="L2514" s="50"/>
    </row>
    <row r="2515" spans="1:12" ht="15" customHeight="1" x14ac:dyDescent="0.35">
      <c r="A2515" s="85"/>
      <c r="B2515" s="86"/>
      <c r="C2515" s="87"/>
      <c r="D2515" s="88"/>
      <c r="E2515" s="43"/>
      <c r="F2515" s="44"/>
      <c r="G2515" s="45"/>
      <c r="H2515" s="46"/>
      <c r="I2515" s="47"/>
      <c r="J2515" s="48"/>
      <c r="K2515" s="49"/>
      <c r="L2515" s="50"/>
    </row>
    <row r="2516" spans="1:12" ht="15" customHeight="1" x14ac:dyDescent="0.35">
      <c r="A2516" s="85"/>
      <c r="B2516" s="86"/>
      <c r="C2516" s="87"/>
      <c r="D2516" s="88"/>
      <c r="E2516" s="43"/>
      <c r="F2516" s="44"/>
      <c r="G2516" s="45"/>
      <c r="H2516" s="46"/>
      <c r="I2516" s="47"/>
      <c r="J2516" s="48"/>
      <c r="K2516" s="49"/>
      <c r="L2516" s="50"/>
    </row>
    <row r="2517" spans="1:12" ht="15" customHeight="1" x14ac:dyDescent="0.35">
      <c r="A2517" s="85"/>
      <c r="B2517" s="86"/>
      <c r="C2517" s="87"/>
      <c r="D2517" s="88"/>
      <c r="E2517" s="43"/>
      <c r="F2517" s="44"/>
      <c r="G2517" s="45"/>
      <c r="H2517" s="46"/>
      <c r="I2517" s="47"/>
      <c r="J2517" s="48"/>
      <c r="K2517" s="49"/>
      <c r="L2517" s="50"/>
    </row>
    <row r="2518" spans="1:12" ht="15" customHeight="1" x14ac:dyDescent="0.35">
      <c r="A2518" s="85"/>
      <c r="B2518" s="86"/>
      <c r="C2518" s="87"/>
      <c r="D2518" s="88"/>
      <c r="E2518" s="43"/>
      <c r="F2518" s="44"/>
      <c r="G2518" s="45"/>
      <c r="H2518" s="46"/>
      <c r="I2518" s="47"/>
      <c r="J2518" s="48"/>
      <c r="K2518" s="49"/>
      <c r="L2518" s="50"/>
    </row>
    <row r="2519" spans="1:12" ht="15" customHeight="1" x14ac:dyDescent="0.35">
      <c r="A2519" s="85"/>
      <c r="B2519" s="86"/>
      <c r="C2519" s="87"/>
      <c r="D2519" s="88"/>
      <c r="E2519" s="43"/>
      <c r="F2519" s="44"/>
      <c r="G2519" s="45"/>
      <c r="H2519" s="46"/>
      <c r="I2519" s="47"/>
      <c r="J2519" s="48"/>
      <c r="K2519" s="49"/>
      <c r="L2519" s="50"/>
    </row>
    <row r="2520" spans="1:12" ht="15" customHeight="1" x14ac:dyDescent="0.35">
      <c r="A2520" s="85"/>
      <c r="B2520" s="86"/>
      <c r="C2520" s="87"/>
      <c r="D2520" s="88"/>
      <c r="E2520" s="43"/>
      <c r="F2520" s="44"/>
      <c r="G2520" s="45"/>
      <c r="H2520" s="46"/>
      <c r="I2520" s="47"/>
      <c r="J2520" s="48"/>
      <c r="K2520" s="49"/>
      <c r="L2520" s="50"/>
    </row>
    <row r="2521" spans="1:12" ht="15" customHeight="1" x14ac:dyDescent="0.35">
      <c r="A2521" s="85"/>
      <c r="B2521" s="86"/>
      <c r="C2521" s="87"/>
      <c r="D2521" s="88"/>
      <c r="E2521" s="43"/>
      <c r="F2521" s="44"/>
      <c r="G2521" s="45"/>
      <c r="H2521" s="46"/>
      <c r="I2521" s="47"/>
      <c r="J2521" s="48"/>
      <c r="K2521" s="49"/>
      <c r="L2521" s="50"/>
    </row>
    <row r="2522" spans="1:12" ht="15" customHeight="1" x14ac:dyDescent="0.35">
      <c r="A2522" s="85"/>
      <c r="B2522" s="86"/>
      <c r="C2522" s="87"/>
      <c r="D2522" s="88"/>
      <c r="E2522" s="43"/>
      <c r="F2522" s="44"/>
      <c r="G2522" s="45"/>
      <c r="H2522" s="46"/>
      <c r="I2522" s="47"/>
      <c r="J2522" s="48"/>
      <c r="K2522" s="49"/>
      <c r="L2522" s="50"/>
    </row>
    <row r="2523" spans="1:12" ht="15" customHeight="1" x14ac:dyDescent="0.35">
      <c r="A2523" s="85"/>
      <c r="B2523" s="86"/>
      <c r="C2523" s="87"/>
      <c r="D2523" s="88"/>
      <c r="E2523" s="43"/>
      <c r="F2523" s="44"/>
      <c r="G2523" s="45"/>
      <c r="H2523" s="46"/>
      <c r="I2523" s="47"/>
      <c r="J2523" s="48"/>
      <c r="K2523" s="49"/>
      <c r="L2523" s="50"/>
    </row>
    <row r="2524" spans="1:12" ht="15" customHeight="1" x14ac:dyDescent="0.35">
      <c r="A2524" s="85"/>
      <c r="B2524" s="86"/>
      <c r="C2524" s="87"/>
      <c r="D2524" s="88"/>
      <c r="E2524" s="43"/>
      <c r="F2524" s="44"/>
      <c r="G2524" s="45"/>
      <c r="H2524" s="46"/>
      <c r="I2524" s="47"/>
      <c r="J2524" s="48"/>
      <c r="K2524" s="49"/>
      <c r="L2524" s="50"/>
    </row>
    <row r="2525" spans="1:12" ht="15" customHeight="1" x14ac:dyDescent="0.35">
      <c r="A2525" s="85"/>
      <c r="B2525" s="86"/>
      <c r="C2525" s="87"/>
      <c r="D2525" s="88"/>
      <c r="E2525" s="43"/>
      <c r="F2525" s="44"/>
      <c r="G2525" s="45"/>
      <c r="H2525" s="46"/>
      <c r="I2525" s="47"/>
      <c r="J2525" s="48"/>
      <c r="K2525" s="49"/>
      <c r="L2525" s="50"/>
    </row>
    <row r="2526" spans="1:12" ht="15" customHeight="1" x14ac:dyDescent="0.35">
      <c r="A2526" s="85"/>
      <c r="B2526" s="86"/>
      <c r="C2526" s="87"/>
      <c r="D2526" s="88"/>
      <c r="E2526" s="43"/>
      <c r="F2526" s="44"/>
      <c r="G2526" s="45"/>
      <c r="H2526" s="46"/>
      <c r="I2526" s="47"/>
      <c r="J2526" s="48"/>
      <c r="K2526" s="49"/>
      <c r="L2526" s="50"/>
    </row>
    <row r="2527" spans="1:12" ht="15" customHeight="1" x14ac:dyDescent="0.35">
      <c r="A2527" s="85"/>
      <c r="B2527" s="86"/>
      <c r="C2527" s="87"/>
      <c r="D2527" s="88"/>
      <c r="E2527" s="43"/>
      <c r="F2527" s="44"/>
      <c r="G2527" s="45"/>
      <c r="H2527" s="46"/>
      <c r="I2527" s="47"/>
      <c r="J2527" s="48"/>
      <c r="K2527" s="49"/>
      <c r="L2527" s="50"/>
    </row>
    <row r="2528" spans="1:12" ht="15" customHeight="1" x14ac:dyDescent="0.35">
      <c r="A2528" s="85"/>
      <c r="B2528" s="86"/>
      <c r="C2528" s="87"/>
      <c r="D2528" s="88"/>
      <c r="E2528" s="43"/>
      <c r="F2528" s="44"/>
      <c r="G2528" s="45"/>
      <c r="H2528" s="46"/>
      <c r="I2528" s="47"/>
      <c r="J2528" s="48"/>
      <c r="K2528" s="49"/>
      <c r="L2528" s="50"/>
    </row>
    <row r="2529" spans="1:12" ht="15" customHeight="1" x14ac:dyDescent="0.35">
      <c r="A2529" s="85"/>
      <c r="B2529" s="86"/>
      <c r="C2529" s="87"/>
      <c r="D2529" s="88"/>
      <c r="E2529" s="43"/>
      <c r="F2529" s="44"/>
      <c r="G2529" s="45"/>
      <c r="H2529" s="46"/>
      <c r="I2529" s="47"/>
      <c r="J2529" s="48"/>
      <c r="K2529" s="49"/>
      <c r="L2529" s="50"/>
    </row>
    <row r="2530" spans="1:12" ht="15" customHeight="1" x14ac:dyDescent="0.35">
      <c r="A2530" s="85"/>
      <c r="B2530" s="86"/>
      <c r="C2530" s="87"/>
      <c r="D2530" s="88"/>
      <c r="E2530" s="43"/>
      <c r="F2530" s="44"/>
      <c r="G2530" s="45"/>
      <c r="H2530" s="46"/>
      <c r="I2530" s="47"/>
      <c r="J2530" s="48"/>
      <c r="K2530" s="49"/>
      <c r="L2530" s="50"/>
    </row>
    <row r="2531" spans="1:12" ht="15" customHeight="1" x14ac:dyDescent="0.35">
      <c r="A2531" s="85"/>
      <c r="B2531" s="86"/>
      <c r="C2531" s="87"/>
      <c r="D2531" s="88"/>
      <c r="E2531" s="43"/>
      <c r="F2531" s="44"/>
      <c r="G2531" s="45"/>
      <c r="H2531" s="46"/>
      <c r="I2531" s="47"/>
      <c r="J2531" s="48"/>
      <c r="K2531" s="49"/>
      <c r="L2531" s="50"/>
    </row>
    <row r="2532" spans="1:12" ht="15" customHeight="1" x14ac:dyDescent="0.35">
      <c r="A2532" s="85"/>
      <c r="B2532" s="86"/>
      <c r="C2532" s="87"/>
      <c r="D2532" s="88"/>
      <c r="E2532" s="43"/>
      <c r="F2532" s="44"/>
      <c r="G2532" s="45"/>
      <c r="H2532" s="46"/>
      <c r="I2532" s="47"/>
      <c r="J2532" s="48"/>
      <c r="K2532" s="49"/>
      <c r="L2532" s="50"/>
    </row>
    <row r="2533" spans="1:12" ht="15" customHeight="1" x14ac:dyDescent="0.35">
      <c r="A2533" s="85"/>
      <c r="B2533" s="86"/>
      <c r="C2533" s="87"/>
      <c r="D2533" s="88"/>
      <c r="E2533" s="43"/>
      <c r="F2533" s="44"/>
      <c r="G2533" s="45"/>
      <c r="H2533" s="46"/>
      <c r="I2533" s="47"/>
      <c r="J2533" s="48"/>
      <c r="K2533" s="49"/>
      <c r="L2533" s="50"/>
    </row>
    <row r="2534" spans="1:12" ht="15" customHeight="1" x14ac:dyDescent="0.35">
      <c r="A2534" s="85"/>
      <c r="B2534" s="86"/>
      <c r="C2534" s="87"/>
      <c r="D2534" s="88"/>
      <c r="E2534" s="43"/>
      <c r="F2534" s="44"/>
      <c r="G2534" s="45"/>
      <c r="H2534" s="46"/>
      <c r="I2534" s="47"/>
      <c r="J2534" s="48"/>
      <c r="K2534" s="49"/>
      <c r="L2534" s="50"/>
    </row>
    <row r="2535" spans="1:12" ht="15" customHeight="1" x14ac:dyDescent="0.35">
      <c r="A2535" s="85"/>
      <c r="B2535" s="86"/>
      <c r="C2535" s="87"/>
      <c r="D2535" s="88"/>
      <c r="E2535" s="43"/>
      <c r="F2535" s="44"/>
      <c r="G2535" s="45"/>
      <c r="H2535" s="46"/>
      <c r="I2535" s="47"/>
      <c r="J2535" s="48"/>
      <c r="K2535" s="49"/>
      <c r="L2535" s="50"/>
    </row>
    <row r="2536" spans="1:12" ht="15" customHeight="1" x14ac:dyDescent="0.35">
      <c r="A2536" s="85"/>
      <c r="B2536" s="86"/>
      <c r="C2536" s="87"/>
      <c r="D2536" s="88"/>
      <c r="E2536" s="43"/>
      <c r="F2536" s="44"/>
      <c r="G2536" s="45"/>
      <c r="H2536" s="46"/>
      <c r="I2536" s="47"/>
      <c r="J2536" s="48"/>
      <c r="K2536" s="49"/>
      <c r="L2536" s="50"/>
    </row>
    <row r="2537" spans="1:12" ht="15" customHeight="1" x14ac:dyDescent="0.35">
      <c r="A2537" s="85"/>
      <c r="B2537" s="86"/>
      <c r="C2537" s="87"/>
      <c r="D2537" s="88"/>
      <c r="E2537" s="43"/>
      <c r="F2537" s="44"/>
      <c r="G2537" s="45"/>
      <c r="H2537" s="46"/>
      <c r="I2537" s="47"/>
      <c r="J2537" s="48"/>
      <c r="K2537" s="49"/>
      <c r="L2537" s="50"/>
    </row>
    <row r="2538" spans="1:12" ht="15" customHeight="1" x14ac:dyDescent="0.35">
      <c r="A2538" s="85"/>
      <c r="B2538" s="86"/>
      <c r="C2538" s="87"/>
      <c r="D2538" s="88"/>
      <c r="E2538" s="43"/>
      <c r="F2538" s="44"/>
      <c r="G2538" s="45"/>
      <c r="H2538" s="46"/>
      <c r="I2538" s="47"/>
      <c r="J2538" s="48"/>
      <c r="K2538" s="49"/>
      <c r="L2538" s="50"/>
    </row>
    <row r="2539" spans="1:12" ht="15" customHeight="1" x14ac:dyDescent="0.35">
      <c r="A2539" s="85"/>
      <c r="B2539" s="86"/>
      <c r="C2539" s="87"/>
      <c r="D2539" s="88"/>
      <c r="E2539" s="43"/>
      <c r="F2539" s="44"/>
      <c r="G2539" s="45"/>
      <c r="H2539" s="46"/>
      <c r="I2539" s="47"/>
      <c r="J2539" s="48"/>
      <c r="K2539" s="49"/>
      <c r="L2539" s="50"/>
    </row>
    <row r="2540" spans="1:12" ht="15" customHeight="1" x14ac:dyDescent="0.35">
      <c r="A2540" s="85"/>
      <c r="B2540" s="86"/>
      <c r="C2540" s="87"/>
      <c r="D2540" s="88"/>
      <c r="E2540" s="43"/>
      <c r="F2540" s="44"/>
      <c r="G2540" s="45"/>
      <c r="H2540" s="46"/>
      <c r="I2540" s="47"/>
      <c r="J2540" s="48"/>
      <c r="K2540" s="49"/>
      <c r="L2540" s="50"/>
    </row>
    <row r="2541" spans="1:12" ht="15" customHeight="1" x14ac:dyDescent="0.35">
      <c r="A2541" s="85"/>
      <c r="B2541" s="86"/>
      <c r="C2541" s="87"/>
      <c r="D2541" s="88"/>
      <c r="E2541" s="43"/>
      <c r="F2541" s="44"/>
      <c r="G2541" s="45"/>
      <c r="H2541" s="46"/>
      <c r="I2541" s="47"/>
      <c r="J2541" s="48"/>
      <c r="K2541" s="49"/>
      <c r="L2541" s="50"/>
    </row>
    <row r="2542" spans="1:12" ht="15" customHeight="1" x14ac:dyDescent="0.35">
      <c r="A2542" s="85"/>
      <c r="B2542" s="86"/>
      <c r="C2542" s="87"/>
      <c r="D2542" s="88"/>
      <c r="E2542" s="43"/>
      <c r="F2542" s="44"/>
      <c r="G2542" s="45"/>
      <c r="H2542" s="46"/>
      <c r="I2542" s="47"/>
      <c r="J2542" s="48"/>
      <c r="K2542" s="49"/>
      <c r="L2542" s="50"/>
    </row>
    <row r="2543" spans="1:12" ht="15" customHeight="1" x14ac:dyDescent="0.35">
      <c r="A2543" s="85"/>
      <c r="B2543" s="86"/>
      <c r="C2543" s="87"/>
      <c r="D2543" s="88"/>
      <c r="E2543" s="43"/>
      <c r="F2543" s="44"/>
      <c r="G2543" s="45"/>
      <c r="H2543" s="46"/>
      <c r="I2543" s="47"/>
      <c r="J2543" s="48"/>
      <c r="K2543" s="49"/>
      <c r="L2543" s="50"/>
    </row>
    <row r="2544" spans="1:12" ht="15" customHeight="1" x14ac:dyDescent="0.35">
      <c r="A2544" s="85"/>
      <c r="B2544" s="86"/>
      <c r="C2544" s="87"/>
      <c r="D2544" s="88"/>
      <c r="E2544" s="43"/>
      <c r="F2544" s="44"/>
      <c r="G2544" s="45"/>
      <c r="H2544" s="46"/>
      <c r="I2544" s="47"/>
      <c r="J2544" s="48"/>
      <c r="K2544" s="49"/>
      <c r="L2544" s="50"/>
    </row>
    <row r="2545" spans="1:12" ht="15" customHeight="1" x14ac:dyDescent="0.35">
      <c r="A2545" s="85"/>
      <c r="B2545" s="86"/>
      <c r="C2545" s="87"/>
      <c r="D2545" s="88"/>
      <c r="E2545" s="43"/>
      <c r="F2545" s="44"/>
      <c r="G2545" s="45"/>
      <c r="H2545" s="46"/>
      <c r="I2545" s="47"/>
      <c r="J2545" s="48"/>
      <c r="K2545" s="49"/>
      <c r="L2545" s="50"/>
    </row>
    <row r="2546" spans="1:12" ht="15" customHeight="1" x14ac:dyDescent="0.35">
      <c r="A2546" s="85"/>
      <c r="B2546" s="86"/>
      <c r="C2546" s="87"/>
      <c r="D2546" s="88"/>
      <c r="E2546" s="43"/>
      <c r="F2546" s="44"/>
      <c r="G2546" s="45"/>
      <c r="H2546" s="46"/>
      <c r="I2546" s="47"/>
      <c r="J2546" s="48"/>
      <c r="K2546" s="49"/>
      <c r="L2546" s="50"/>
    </row>
    <row r="2547" spans="1:12" ht="15" customHeight="1" x14ac:dyDescent="0.35">
      <c r="A2547" s="85"/>
      <c r="B2547" s="86"/>
      <c r="C2547" s="87"/>
      <c r="D2547" s="88"/>
      <c r="E2547" s="43"/>
      <c r="F2547" s="44"/>
      <c r="G2547" s="45"/>
      <c r="H2547" s="46"/>
      <c r="I2547" s="47"/>
      <c r="J2547" s="48"/>
      <c r="K2547" s="49"/>
      <c r="L2547" s="50"/>
    </row>
    <row r="2548" spans="1:12" ht="15" customHeight="1" x14ac:dyDescent="0.35">
      <c r="A2548" s="85"/>
      <c r="B2548" s="86"/>
      <c r="C2548" s="87"/>
      <c r="D2548" s="88"/>
      <c r="E2548" s="43"/>
      <c r="F2548" s="44"/>
      <c r="G2548" s="45"/>
      <c r="H2548" s="46"/>
      <c r="I2548" s="47"/>
      <c r="J2548" s="48"/>
      <c r="K2548" s="49"/>
      <c r="L2548" s="50"/>
    </row>
    <row r="2549" spans="1:12" ht="15" customHeight="1" x14ac:dyDescent="0.35">
      <c r="A2549" s="85"/>
      <c r="B2549" s="86"/>
      <c r="C2549" s="87"/>
      <c r="D2549" s="88"/>
      <c r="E2549" s="43"/>
      <c r="F2549" s="44"/>
      <c r="G2549" s="45"/>
      <c r="H2549" s="46"/>
      <c r="I2549" s="47"/>
      <c r="J2549" s="48"/>
      <c r="K2549" s="49"/>
      <c r="L2549" s="50"/>
    </row>
    <row r="2550" spans="1:12" ht="15" customHeight="1" x14ac:dyDescent="0.35">
      <c r="A2550" s="85"/>
      <c r="B2550" s="86"/>
      <c r="C2550" s="87"/>
      <c r="D2550" s="88"/>
      <c r="E2550" s="43"/>
      <c r="F2550" s="44"/>
      <c r="G2550" s="45"/>
      <c r="H2550" s="46"/>
      <c r="I2550" s="47"/>
      <c r="J2550" s="48"/>
      <c r="K2550" s="49"/>
      <c r="L2550" s="50"/>
    </row>
    <row r="2551" spans="1:12" ht="15" customHeight="1" x14ac:dyDescent="0.35">
      <c r="A2551" s="85"/>
      <c r="B2551" s="86"/>
      <c r="C2551" s="87"/>
      <c r="D2551" s="88"/>
      <c r="E2551" s="43"/>
      <c r="F2551" s="44"/>
      <c r="G2551" s="45"/>
      <c r="H2551" s="46"/>
      <c r="I2551" s="47"/>
      <c r="J2551" s="48"/>
      <c r="K2551" s="49"/>
      <c r="L2551" s="50"/>
    </row>
    <row r="2552" spans="1:12" ht="15" customHeight="1" x14ac:dyDescent="0.35">
      <c r="A2552" s="85"/>
      <c r="B2552" s="86"/>
      <c r="C2552" s="87"/>
      <c r="D2552" s="88"/>
      <c r="E2552" s="43"/>
      <c r="F2552" s="44"/>
      <c r="G2552" s="45"/>
      <c r="H2552" s="46"/>
      <c r="I2552" s="47"/>
      <c r="J2552" s="48"/>
      <c r="K2552" s="49"/>
      <c r="L2552" s="50"/>
    </row>
    <row r="2553" spans="1:12" ht="15" customHeight="1" x14ac:dyDescent="0.35">
      <c r="A2553" s="85"/>
      <c r="B2553" s="86"/>
      <c r="C2553" s="87"/>
      <c r="D2553" s="88"/>
      <c r="E2553" s="43"/>
      <c r="F2553" s="44"/>
      <c r="G2553" s="45"/>
      <c r="H2553" s="46"/>
      <c r="I2553" s="47"/>
      <c r="J2553" s="48"/>
      <c r="K2553" s="49"/>
      <c r="L2553" s="50"/>
    </row>
    <row r="2554" spans="1:12" ht="15" customHeight="1" x14ac:dyDescent="0.35">
      <c r="A2554" s="85"/>
      <c r="B2554" s="86"/>
      <c r="C2554" s="87"/>
      <c r="D2554" s="88"/>
      <c r="E2554" s="43"/>
      <c r="F2554" s="44"/>
      <c r="G2554" s="45"/>
      <c r="H2554" s="46"/>
      <c r="I2554" s="47"/>
      <c r="J2554" s="48"/>
      <c r="K2554" s="49"/>
      <c r="L2554" s="50"/>
    </row>
    <row r="2555" spans="1:12" ht="15" customHeight="1" x14ac:dyDescent="0.35">
      <c r="A2555" s="85"/>
      <c r="B2555" s="86"/>
      <c r="C2555" s="87"/>
      <c r="D2555" s="88"/>
      <c r="E2555" s="43"/>
      <c r="F2555" s="44"/>
      <c r="G2555" s="45"/>
      <c r="H2555" s="46"/>
      <c r="I2555" s="47"/>
      <c r="J2555" s="48"/>
      <c r="K2555" s="49"/>
      <c r="L2555" s="50"/>
    </row>
    <row r="2556" spans="1:12" ht="15" customHeight="1" x14ac:dyDescent="0.35">
      <c r="A2556" s="85"/>
      <c r="B2556" s="86"/>
      <c r="C2556" s="87"/>
      <c r="D2556" s="88"/>
      <c r="E2556" s="43"/>
      <c r="F2556" s="44"/>
      <c r="G2556" s="45"/>
      <c r="H2556" s="46"/>
      <c r="I2556" s="47"/>
      <c r="J2556" s="48"/>
      <c r="K2556" s="49"/>
      <c r="L2556" s="50"/>
    </row>
    <row r="2557" spans="1:12" ht="15" customHeight="1" x14ac:dyDescent="0.35">
      <c r="A2557" s="85"/>
      <c r="B2557" s="86"/>
      <c r="C2557" s="87"/>
      <c r="D2557" s="88"/>
      <c r="E2557" s="43"/>
      <c r="F2557" s="44"/>
      <c r="G2557" s="45"/>
      <c r="H2557" s="46"/>
      <c r="I2557" s="47"/>
      <c r="J2557" s="48"/>
      <c r="K2557" s="49"/>
      <c r="L2557" s="50"/>
    </row>
    <row r="2558" spans="1:12" ht="15" customHeight="1" x14ac:dyDescent="0.35">
      <c r="A2558" s="85"/>
      <c r="B2558" s="86"/>
      <c r="C2558" s="87"/>
      <c r="D2558" s="88"/>
      <c r="E2558" s="43"/>
      <c r="F2558" s="44"/>
      <c r="G2558" s="45"/>
      <c r="H2558" s="46"/>
      <c r="I2558" s="47"/>
      <c r="J2558" s="48"/>
      <c r="K2558" s="49"/>
      <c r="L2558" s="50"/>
    </row>
    <row r="2559" spans="1:12" ht="15" customHeight="1" x14ac:dyDescent="0.35">
      <c r="A2559" s="85"/>
      <c r="B2559" s="86"/>
      <c r="C2559" s="87"/>
      <c r="D2559" s="88"/>
      <c r="E2559" s="43"/>
      <c r="F2559" s="44"/>
      <c r="G2559" s="45"/>
      <c r="H2559" s="46"/>
      <c r="I2559" s="47"/>
      <c r="J2559" s="48"/>
      <c r="K2559" s="49"/>
      <c r="L2559" s="50"/>
    </row>
    <row r="2560" spans="1:12" ht="15" customHeight="1" x14ac:dyDescent="0.35">
      <c r="A2560" s="85"/>
      <c r="B2560" s="86"/>
      <c r="C2560" s="87"/>
      <c r="D2560" s="88"/>
      <c r="E2560" s="43"/>
      <c r="F2560" s="44"/>
      <c r="G2560" s="45"/>
      <c r="H2560" s="46"/>
      <c r="I2560" s="47"/>
      <c r="J2560" s="48"/>
      <c r="K2560" s="49"/>
      <c r="L2560" s="50"/>
    </row>
    <row r="2561" spans="1:12" ht="15" customHeight="1" x14ac:dyDescent="0.35">
      <c r="A2561" s="85"/>
      <c r="B2561" s="86"/>
      <c r="C2561" s="87"/>
      <c r="D2561" s="88"/>
      <c r="E2561" s="43"/>
      <c r="F2561" s="44"/>
      <c r="G2561" s="45"/>
      <c r="H2561" s="46"/>
      <c r="I2561" s="47"/>
      <c r="J2561" s="48"/>
      <c r="K2561" s="49"/>
      <c r="L2561" s="50"/>
    </row>
    <row r="2562" spans="1:12" ht="15" customHeight="1" x14ac:dyDescent="0.35">
      <c r="A2562" s="85"/>
      <c r="B2562" s="86"/>
      <c r="C2562" s="87"/>
      <c r="D2562" s="88"/>
      <c r="E2562" s="43"/>
      <c r="F2562" s="44"/>
      <c r="G2562" s="45"/>
      <c r="H2562" s="46"/>
      <c r="I2562" s="47"/>
      <c r="J2562" s="48"/>
      <c r="K2562" s="49"/>
      <c r="L2562" s="50"/>
    </row>
    <row r="2563" spans="1:12" ht="15" customHeight="1" x14ac:dyDescent="0.35">
      <c r="A2563" s="85"/>
      <c r="B2563" s="86"/>
      <c r="C2563" s="87"/>
      <c r="D2563" s="88"/>
      <c r="E2563" s="43"/>
      <c r="F2563" s="44"/>
      <c r="G2563" s="45"/>
      <c r="H2563" s="46"/>
      <c r="I2563" s="47"/>
      <c r="J2563" s="48"/>
      <c r="K2563" s="49"/>
      <c r="L2563" s="50"/>
    </row>
    <row r="2564" spans="1:12" ht="15" customHeight="1" x14ac:dyDescent="0.35">
      <c r="A2564" s="85"/>
      <c r="B2564" s="86"/>
      <c r="C2564" s="87"/>
      <c r="D2564" s="88"/>
      <c r="E2564" s="43"/>
      <c r="F2564" s="44"/>
      <c r="G2564" s="45"/>
      <c r="H2564" s="46"/>
      <c r="I2564" s="47"/>
      <c r="J2564" s="48"/>
      <c r="K2564" s="49"/>
      <c r="L2564" s="50"/>
    </row>
    <row r="2565" spans="1:12" ht="15" customHeight="1" x14ac:dyDescent="0.35">
      <c r="A2565" s="85"/>
      <c r="B2565" s="86"/>
      <c r="C2565" s="87"/>
      <c r="D2565" s="88"/>
      <c r="E2565" s="43"/>
      <c r="F2565" s="44"/>
      <c r="G2565" s="45"/>
      <c r="H2565" s="46"/>
      <c r="I2565" s="47"/>
      <c r="J2565" s="48"/>
      <c r="K2565" s="49"/>
      <c r="L2565" s="50"/>
    </row>
    <row r="2566" spans="1:12" ht="15" customHeight="1" x14ac:dyDescent="0.35">
      <c r="A2566" s="85"/>
      <c r="B2566" s="86"/>
      <c r="C2566" s="87"/>
      <c r="D2566" s="88"/>
      <c r="E2566" s="43"/>
      <c r="F2566" s="44"/>
      <c r="G2566" s="45"/>
      <c r="H2566" s="46"/>
      <c r="I2566" s="47"/>
      <c r="J2566" s="48"/>
      <c r="K2566" s="49"/>
      <c r="L2566" s="50"/>
    </row>
    <row r="2567" spans="1:12" ht="15" customHeight="1" x14ac:dyDescent="0.35">
      <c r="A2567" s="85"/>
      <c r="B2567" s="86"/>
      <c r="C2567" s="87"/>
      <c r="D2567" s="88"/>
      <c r="E2567" s="43"/>
      <c r="F2567" s="44"/>
      <c r="G2567" s="45"/>
      <c r="H2567" s="46"/>
      <c r="I2567" s="47"/>
      <c r="J2567" s="48"/>
      <c r="K2567" s="49"/>
      <c r="L2567" s="50"/>
    </row>
    <row r="2568" spans="1:12" ht="15" customHeight="1" x14ac:dyDescent="0.35">
      <c r="A2568" s="85"/>
      <c r="B2568" s="86"/>
      <c r="C2568" s="87"/>
      <c r="D2568" s="88"/>
      <c r="E2568" s="43"/>
      <c r="F2568" s="44"/>
      <c r="G2568" s="45"/>
      <c r="H2568" s="46"/>
      <c r="I2568" s="47"/>
      <c r="J2568" s="48"/>
      <c r="K2568" s="49"/>
      <c r="L2568" s="50"/>
    </row>
    <row r="2569" spans="1:12" ht="15" customHeight="1" x14ac:dyDescent="0.35">
      <c r="A2569" s="85"/>
      <c r="B2569" s="86"/>
      <c r="C2569" s="87"/>
      <c r="D2569" s="88"/>
      <c r="E2569" s="43"/>
      <c r="F2569" s="44"/>
      <c r="G2569" s="45"/>
      <c r="H2569" s="46"/>
      <c r="I2569" s="47"/>
      <c r="J2569" s="48"/>
      <c r="K2569" s="49"/>
      <c r="L2569" s="50"/>
    </row>
    <row r="2570" spans="1:12" ht="15" customHeight="1" x14ac:dyDescent="0.35">
      <c r="A2570" s="85"/>
      <c r="B2570" s="86"/>
      <c r="C2570" s="87"/>
      <c r="D2570" s="88"/>
      <c r="E2570" s="43"/>
      <c r="F2570" s="44"/>
      <c r="G2570" s="45"/>
      <c r="H2570" s="46"/>
      <c r="I2570" s="47"/>
      <c r="J2570" s="48"/>
      <c r="K2570" s="49"/>
      <c r="L2570" s="50"/>
    </row>
    <row r="2571" spans="1:12" ht="15" customHeight="1" x14ac:dyDescent="0.35">
      <c r="A2571" s="85"/>
      <c r="B2571" s="86"/>
      <c r="C2571" s="87"/>
      <c r="D2571" s="88"/>
      <c r="E2571" s="43"/>
      <c r="F2571" s="44"/>
      <c r="G2571" s="45"/>
      <c r="H2571" s="46"/>
      <c r="I2571" s="47"/>
      <c r="J2571" s="48"/>
      <c r="K2571" s="49"/>
      <c r="L2571" s="50"/>
    </row>
    <row r="2572" spans="1:12" ht="15" customHeight="1" x14ac:dyDescent="0.35">
      <c r="A2572" s="85"/>
      <c r="B2572" s="86"/>
      <c r="C2572" s="87"/>
      <c r="D2572" s="88"/>
      <c r="E2572" s="43"/>
      <c r="F2572" s="44"/>
      <c r="G2572" s="45"/>
      <c r="H2572" s="46"/>
      <c r="I2572" s="47"/>
      <c r="J2572" s="48"/>
      <c r="K2572" s="49"/>
      <c r="L2572" s="50"/>
    </row>
    <row r="2573" spans="1:12" ht="15" customHeight="1" x14ac:dyDescent="0.35">
      <c r="A2573" s="85"/>
      <c r="B2573" s="86"/>
      <c r="C2573" s="87"/>
      <c r="D2573" s="88"/>
      <c r="E2573" s="43"/>
      <c r="F2573" s="44"/>
      <c r="G2573" s="45"/>
      <c r="H2573" s="46"/>
      <c r="I2573" s="47"/>
      <c r="J2573" s="48"/>
      <c r="K2573" s="49"/>
      <c r="L2573" s="50"/>
    </row>
    <row r="2574" spans="1:12" ht="15" customHeight="1" x14ac:dyDescent="0.35">
      <c r="A2574" s="85"/>
      <c r="B2574" s="86"/>
      <c r="C2574" s="87"/>
      <c r="D2574" s="88"/>
      <c r="E2574" s="43"/>
      <c r="F2574" s="44"/>
      <c r="G2574" s="45"/>
      <c r="H2574" s="46"/>
      <c r="I2574" s="47"/>
      <c r="J2574" s="48"/>
      <c r="K2574" s="49"/>
      <c r="L2574" s="50"/>
    </row>
    <row r="2575" spans="1:12" ht="15" customHeight="1" x14ac:dyDescent="0.35">
      <c r="A2575" s="85"/>
      <c r="B2575" s="86"/>
      <c r="C2575" s="87"/>
      <c r="D2575" s="88"/>
      <c r="E2575" s="43"/>
      <c r="F2575" s="44"/>
      <c r="G2575" s="45"/>
      <c r="H2575" s="46"/>
      <c r="I2575" s="47"/>
      <c r="J2575" s="48"/>
      <c r="K2575" s="49"/>
      <c r="L2575" s="50"/>
    </row>
    <row r="2576" spans="1:12" ht="15" customHeight="1" x14ac:dyDescent="0.35">
      <c r="A2576" s="85"/>
      <c r="B2576" s="86"/>
      <c r="C2576" s="87"/>
      <c r="D2576" s="88"/>
      <c r="E2576" s="43"/>
      <c r="F2576" s="44"/>
      <c r="G2576" s="45"/>
      <c r="H2576" s="46"/>
      <c r="I2576" s="47"/>
      <c r="J2576" s="48"/>
      <c r="K2576" s="49"/>
      <c r="L2576" s="50"/>
    </row>
    <row r="2577" spans="1:12" ht="15" customHeight="1" x14ac:dyDescent="0.35">
      <c r="A2577" s="85"/>
      <c r="B2577" s="86"/>
      <c r="C2577" s="87"/>
      <c r="D2577" s="88"/>
      <c r="E2577" s="43"/>
      <c r="F2577" s="44"/>
      <c r="G2577" s="45"/>
      <c r="H2577" s="46"/>
      <c r="I2577" s="47"/>
      <c r="J2577" s="48"/>
      <c r="K2577" s="49"/>
      <c r="L2577" s="50"/>
    </row>
    <row r="2578" spans="1:12" ht="15" customHeight="1" x14ac:dyDescent="0.35">
      <c r="A2578" s="85"/>
      <c r="B2578" s="86"/>
      <c r="C2578" s="87"/>
      <c r="D2578" s="88"/>
      <c r="E2578" s="43"/>
      <c r="F2578" s="44"/>
      <c r="G2578" s="45"/>
      <c r="H2578" s="46"/>
      <c r="I2578" s="47"/>
      <c r="J2578" s="48"/>
      <c r="K2578" s="49"/>
      <c r="L2578" s="50"/>
    </row>
    <row r="2579" spans="1:12" ht="15" customHeight="1" x14ac:dyDescent="0.35">
      <c r="A2579" s="85"/>
      <c r="B2579" s="86"/>
      <c r="C2579" s="87"/>
      <c r="D2579" s="88"/>
      <c r="E2579" s="43"/>
      <c r="F2579" s="44"/>
      <c r="G2579" s="45"/>
      <c r="H2579" s="46"/>
      <c r="I2579" s="47"/>
      <c r="J2579" s="48"/>
      <c r="K2579" s="49"/>
      <c r="L2579" s="50"/>
    </row>
    <row r="2580" spans="1:12" ht="15" customHeight="1" x14ac:dyDescent="0.35">
      <c r="A2580" s="85"/>
      <c r="B2580" s="86"/>
      <c r="C2580" s="87"/>
      <c r="D2580" s="88"/>
      <c r="E2580" s="43"/>
      <c r="F2580" s="44"/>
      <c r="G2580" s="45"/>
      <c r="H2580" s="46"/>
      <c r="I2580" s="47"/>
      <c r="J2580" s="48"/>
      <c r="K2580" s="49"/>
      <c r="L2580" s="50"/>
    </row>
    <row r="2581" spans="1:12" ht="15" customHeight="1" x14ac:dyDescent="0.35">
      <c r="A2581" s="85"/>
      <c r="B2581" s="86"/>
      <c r="C2581" s="87"/>
      <c r="D2581" s="88"/>
      <c r="E2581" s="43"/>
      <c r="F2581" s="44"/>
      <c r="G2581" s="45"/>
      <c r="H2581" s="46"/>
      <c r="I2581" s="47"/>
      <c r="J2581" s="48"/>
      <c r="K2581" s="49"/>
      <c r="L2581" s="50"/>
    </row>
    <row r="2582" spans="1:12" ht="15" customHeight="1" x14ac:dyDescent="0.35">
      <c r="A2582" s="85"/>
      <c r="B2582" s="86"/>
      <c r="C2582" s="87"/>
      <c r="D2582" s="88"/>
      <c r="E2582" s="43"/>
      <c r="F2582" s="44"/>
      <c r="G2582" s="45"/>
      <c r="H2582" s="46"/>
      <c r="I2582" s="47"/>
      <c r="J2582" s="48"/>
      <c r="K2582" s="49"/>
      <c r="L2582" s="50"/>
    </row>
    <row r="2583" spans="1:12" ht="15" customHeight="1" x14ac:dyDescent="0.35">
      <c r="A2583" s="85"/>
      <c r="B2583" s="86"/>
      <c r="C2583" s="87"/>
      <c r="D2583" s="88"/>
      <c r="E2583" s="43"/>
      <c r="F2583" s="44"/>
      <c r="G2583" s="45"/>
      <c r="H2583" s="46"/>
      <c r="I2583" s="47"/>
      <c r="J2583" s="48"/>
      <c r="K2583" s="49"/>
      <c r="L2583" s="50"/>
    </row>
    <row r="2584" spans="1:12" ht="15" customHeight="1" x14ac:dyDescent="0.35">
      <c r="A2584" s="85"/>
      <c r="B2584" s="86"/>
      <c r="C2584" s="87"/>
      <c r="D2584" s="88"/>
      <c r="E2584" s="43"/>
      <c r="F2584" s="44"/>
      <c r="G2584" s="45"/>
      <c r="H2584" s="46"/>
      <c r="I2584" s="47"/>
      <c r="J2584" s="48"/>
      <c r="K2584" s="49"/>
      <c r="L2584" s="50"/>
    </row>
    <row r="2585" spans="1:12" ht="15" customHeight="1" x14ac:dyDescent="0.35">
      <c r="A2585" s="85"/>
      <c r="B2585" s="86"/>
      <c r="C2585" s="87"/>
      <c r="D2585" s="88"/>
      <c r="E2585" s="43"/>
      <c r="F2585" s="44"/>
      <c r="G2585" s="45"/>
      <c r="H2585" s="46"/>
      <c r="I2585" s="47"/>
      <c r="J2585" s="48"/>
      <c r="K2585" s="49"/>
      <c r="L2585" s="50"/>
    </row>
    <row r="2586" spans="1:12" ht="15" customHeight="1" x14ac:dyDescent="0.35">
      <c r="A2586" s="85"/>
      <c r="B2586" s="86"/>
      <c r="C2586" s="87"/>
      <c r="D2586" s="88"/>
      <c r="E2586" s="43"/>
      <c r="F2586" s="44"/>
      <c r="G2586" s="45"/>
      <c r="H2586" s="46"/>
      <c r="I2586" s="47"/>
      <c r="J2586" s="48"/>
      <c r="K2586" s="49"/>
      <c r="L2586" s="50"/>
    </row>
    <row r="2587" spans="1:12" ht="15" customHeight="1" x14ac:dyDescent="0.35">
      <c r="A2587" s="85"/>
      <c r="B2587" s="86"/>
      <c r="C2587" s="87"/>
      <c r="D2587" s="88"/>
      <c r="E2587" s="43"/>
      <c r="F2587" s="44"/>
      <c r="G2587" s="45"/>
      <c r="H2587" s="46"/>
      <c r="I2587" s="47"/>
      <c r="J2587" s="48"/>
      <c r="K2587" s="49"/>
      <c r="L2587" s="50"/>
    </row>
    <row r="2588" spans="1:12" ht="15" customHeight="1" x14ac:dyDescent="0.35">
      <c r="A2588" s="85"/>
      <c r="B2588" s="86"/>
      <c r="C2588" s="87"/>
      <c r="D2588" s="88"/>
      <c r="E2588" s="43"/>
      <c r="F2588" s="44"/>
      <c r="G2588" s="45"/>
      <c r="H2588" s="46"/>
      <c r="I2588" s="47"/>
      <c r="J2588" s="48"/>
      <c r="K2588" s="49"/>
      <c r="L2588" s="50"/>
    </row>
    <row r="2589" spans="1:12" ht="15" customHeight="1" x14ac:dyDescent="0.35">
      <c r="A2589" s="85"/>
      <c r="B2589" s="86"/>
      <c r="C2589" s="87"/>
      <c r="D2589" s="88"/>
      <c r="E2589" s="43"/>
      <c r="F2589" s="44"/>
      <c r="G2589" s="45"/>
      <c r="H2589" s="46"/>
      <c r="I2589" s="47"/>
      <c r="J2589" s="48"/>
      <c r="K2589" s="49"/>
      <c r="L2589" s="50"/>
    </row>
    <row r="2590" spans="1:12" ht="15" customHeight="1" x14ac:dyDescent="0.35">
      <c r="A2590" s="85"/>
      <c r="B2590" s="86"/>
      <c r="C2590" s="87"/>
      <c r="D2590" s="88"/>
      <c r="E2590" s="43"/>
      <c r="F2590" s="44"/>
      <c r="G2590" s="45"/>
      <c r="H2590" s="46"/>
      <c r="I2590" s="47"/>
      <c r="J2590" s="48"/>
      <c r="K2590" s="49"/>
      <c r="L2590" s="50"/>
    </row>
    <row r="2591" spans="1:12" ht="15" customHeight="1" x14ac:dyDescent="0.35">
      <c r="A2591" s="85"/>
      <c r="B2591" s="86"/>
      <c r="C2591" s="87"/>
      <c r="D2591" s="88"/>
      <c r="E2591" s="43"/>
      <c r="F2591" s="44"/>
      <c r="G2591" s="45"/>
      <c r="H2591" s="46"/>
      <c r="I2591" s="47"/>
      <c r="J2591" s="48"/>
      <c r="K2591" s="49"/>
      <c r="L2591" s="50"/>
    </row>
    <row r="2592" spans="1:12" ht="15" customHeight="1" x14ac:dyDescent="0.35">
      <c r="A2592" s="85"/>
      <c r="B2592" s="86"/>
      <c r="C2592" s="87"/>
      <c r="D2592" s="88"/>
      <c r="E2592" s="43"/>
      <c r="F2592" s="44"/>
      <c r="G2592" s="45"/>
      <c r="H2592" s="46"/>
      <c r="I2592" s="47"/>
      <c r="J2592" s="48"/>
      <c r="K2592" s="49"/>
      <c r="L2592" s="50"/>
    </row>
    <row r="2593" spans="1:12" ht="15" customHeight="1" x14ac:dyDescent="0.35">
      <c r="A2593" s="85"/>
      <c r="B2593" s="86"/>
      <c r="C2593" s="87"/>
      <c r="D2593" s="88"/>
      <c r="E2593" s="43"/>
      <c r="F2593" s="44"/>
      <c r="G2593" s="45"/>
      <c r="H2593" s="46"/>
      <c r="I2593" s="47"/>
      <c r="J2593" s="48"/>
      <c r="K2593" s="49"/>
      <c r="L2593" s="50"/>
    </row>
    <row r="2594" spans="1:12" ht="15" customHeight="1" x14ac:dyDescent="0.35">
      <c r="A2594" s="85"/>
      <c r="B2594" s="86"/>
      <c r="C2594" s="87"/>
      <c r="D2594" s="88"/>
      <c r="E2594" s="43"/>
      <c r="F2594" s="44"/>
      <c r="G2594" s="45"/>
      <c r="H2594" s="46"/>
      <c r="I2594" s="47"/>
      <c r="J2594" s="48"/>
      <c r="K2594" s="49"/>
      <c r="L2594" s="50"/>
    </row>
    <row r="2595" spans="1:12" ht="15" customHeight="1" x14ac:dyDescent="0.35">
      <c r="A2595" s="85"/>
      <c r="B2595" s="86"/>
      <c r="C2595" s="87"/>
      <c r="D2595" s="88"/>
      <c r="E2595" s="43"/>
      <c r="F2595" s="44"/>
      <c r="G2595" s="45"/>
      <c r="H2595" s="46"/>
      <c r="I2595" s="47"/>
      <c r="J2595" s="48"/>
      <c r="K2595" s="49"/>
      <c r="L2595" s="50"/>
    </row>
    <row r="2596" spans="1:12" ht="15" customHeight="1" x14ac:dyDescent="0.35">
      <c r="A2596" s="85"/>
      <c r="B2596" s="86"/>
      <c r="C2596" s="87"/>
      <c r="D2596" s="88"/>
      <c r="E2596" s="43"/>
      <c r="F2596" s="44"/>
      <c r="G2596" s="45"/>
      <c r="H2596" s="46"/>
      <c r="I2596" s="47"/>
      <c r="J2596" s="48"/>
      <c r="K2596" s="49"/>
      <c r="L2596" s="50"/>
    </row>
    <row r="2597" spans="1:12" ht="15" customHeight="1" x14ac:dyDescent="0.35">
      <c r="A2597" s="85"/>
      <c r="B2597" s="86"/>
      <c r="C2597" s="87"/>
      <c r="D2597" s="88"/>
      <c r="E2597" s="43"/>
      <c r="F2597" s="44"/>
      <c r="G2597" s="45"/>
      <c r="H2597" s="46"/>
      <c r="I2597" s="47"/>
      <c r="J2597" s="48"/>
      <c r="K2597" s="49"/>
      <c r="L2597" s="50"/>
    </row>
    <row r="2598" spans="1:12" ht="15" customHeight="1" x14ac:dyDescent="0.35">
      <c r="A2598" s="85"/>
      <c r="B2598" s="86"/>
      <c r="C2598" s="87"/>
      <c r="D2598" s="88"/>
      <c r="E2598" s="43"/>
      <c r="F2598" s="44"/>
      <c r="G2598" s="45"/>
      <c r="H2598" s="46"/>
      <c r="I2598" s="47"/>
      <c r="J2598" s="48"/>
      <c r="K2598" s="49"/>
      <c r="L2598" s="50"/>
    </row>
    <row r="2599" spans="1:12" ht="15" customHeight="1" x14ac:dyDescent="0.35">
      <c r="A2599" s="85"/>
      <c r="B2599" s="86"/>
      <c r="C2599" s="87"/>
      <c r="D2599" s="88"/>
      <c r="E2599" s="43"/>
      <c r="F2599" s="44"/>
      <c r="G2599" s="45"/>
      <c r="H2599" s="46"/>
      <c r="I2599" s="47"/>
      <c r="J2599" s="48"/>
      <c r="K2599" s="49"/>
      <c r="L2599" s="50"/>
    </row>
    <row r="2600" spans="1:12" ht="15" customHeight="1" x14ac:dyDescent="0.35">
      <c r="A2600" s="85"/>
      <c r="B2600" s="86"/>
      <c r="C2600" s="87"/>
      <c r="D2600" s="88"/>
      <c r="E2600" s="43"/>
      <c r="F2600" s="44"/>
      <c r="G2600" s="45"/>
      <c r="H2600" s="46"/>
      <c r="I2600" s="47"/>
      <c r="J2600" s="48"/>
      <c r="K2600" s="49"/>
      <c r="L2600" s="50"/>
    </row>
    <row r="2601" spans="1:12" ht="15" customHeight="1" x14ac:dyDescent="0.35">
      <c r="A2601" s="85"/>
      <c r="B2601" s="86"/>
      <c r="C2601" s="87"/>
      <c r="D2601" s="88"/>
      <c r="E2601" s="43"/>
      <c r="F2601" s="44"/>
      <c r="G2601" s="45"/>
      <c r="H2601" s="46"/>
      <c r="I2601" s="47"/>
      <c r="J2601" s="48"/>
      <c r="K2601" s="49"/>
      <c r="L2601" s="50"/>
    </row>
    <row r="2602" spans="1:12" ht="15" customHeight="1" x14ac:dyDescent="0.35">
      <c r="A2602" s="85"/>
      <c r="B2602" s="86"/>
      <c r="C2602" s="87"/>
      <c r="D2602" s="88"/>
      <c r="E2602" s="43"/>
      <c r="F2602" s="44"/>
      <c r="G2602" s="45"/>
      <c r="H2602" s="46"/>
      <c r="I2602" s="47"/>
      <c r="J2602" s="48"/>
      <c r="K2602" s="49"/>
      <c r="L2602" s="50"/>
    </row>
    <row r="2603" spans="1:12" ht="15" customHeight="1" x14ac:dyDescent="0.35">
      <c r="A2603" s="85"/>
      <c r="B2603" s="86"/>
      <c r="C2603" s="87"/>
      <c r="D2603" s="88"/>
      <c r="E2603" s="43"/>
      <c r="F2603" s="44"/>
      <c r="G2603" s="45"/>
      <c r="H2603" s="46"/>
      <c r="I2603" s="47"/>
      <c r="J2603" s="48"/>
      <c r="K2603" s="49"/>
      <c r="L2603" s="50"/>
    </row>
    <row r="2604" spans="1:12" ht="15" customHeight="1" x14ac:dyDescent="0.35">
      <c r="A2604" s="85"/>
      <c r="B2604" s="86"/>
      <c r="C2604" s="87"/>
      <c r="D2604" s="88"/>
      <c r="E2604" s="43"/>
      <c r="F2604" s="44"/>
      <c r="G2604" s="45"/>
      <c r="H2604" s="46"/>
      <c r="I2604" s="47"/>
      <c r="J2604" s="48"/>
      <c r="K2604" s="49"/>
      <c r="L2604" s="50"/>
    </row>
    <row r="2605" spans="1:12" ht="15" customHeight="1" x14ac:dyDescent="0.35">
      <c r="A2605" s="85"/>
      <c r="B2605" s="86"/>
      <c r="C2605" s="87"/>
      <c r="D2605" s="88"/>
      <c r="E2605" s="43"/>
      <c r="F2605" s="44"/>
      <c r="G2605" s="45"/>
      <c r="H2605" s="46"/>
      <c r="I2605" s="47"/>
      <c r="J2605" s="48"/>
      <c r="K2605" s="49"/>
      <c r="L2605" s="50"/>
    </row>
    <row r="2606" spans="1:12" ht="15" customHeight="1" x14ac:dyDescent="0.35">
      <c r="A2606" s="85"/>
      <c r="B2606" s="86"/>
      <c r="C2606" s="87"/>
      <c r="D2606" s="88"/>
      <c r="E2606" s="43"/>
      <c r="F2606" s="44"/>
      <c r="G2606" s="45"/>
      <c r="H2606" s="46"/>
      <c r="I2606" s="47"/>
      <c r="J2606" s="48"/>
      <c r="K2606" s="49"/>
      <c r="L2606" s="50"/>
    </row>
    <row r="2607" spans="1:12" ht="15" customHeight="1" x14ac:dyDescent="0.35">
      <c r="A2607" s="85"/>
      <c r="B2607" s="86"/>
      <c r="C2607" s="87"/>
      <c r="D2607" s="88"/>
      <c r="E2607" s="43"/>
      <c r="F2607" s="44"/>
      <c r="G2607" s="45"/>
      <c r="H2607" s="46"/>
      <c r="I2607" s="47"/>
      <c r="J2607" s="48"/>
      <c r="K2607" s="49"/>
      <c r="L2607" s="50"/>
    </row>
    <row r="2608" spans="1:12" ht="15" customHeight="1" x14ac:dyDescent="0.35">
      <c r="A2608" s="85"/>
      <c r="B2608" s="86"/>
      <c r="C2608" s="87"/>
      <c r="D2608" s="88"/>
      <c r="E2608" s="43"/>
      <c r="F2608" s="44"/>
      <c r="G2608" s="45"/>
      <c r="H2608" s="46"/>
      <c r="I2608" s="47"/>
      <c r="J2608" s="48"/>
      <c r="K2608" s="49"/>
      <c r="L2608" s="50"/>
    </row>
    <row r="2609" spans="1:12" ht="15" customHeight="1" x14ac:dyDescent="0.35">
      <c r="A2609" s="85"/>
      <c r="B2609" s="86"/>
      <c r="C2609" s="87"/>
      <c r="D2609" s="88"/>
      <c r="E2609" s="43"/>
      <c r="F2609" s="44"/>
      <c r="G2609" s="45"/>
      <c r="H2609" s="46"/>
      <c r="I2609" s="47"/>
      <c r="J2609" s="48"/>
      <c r="K2609" s="49"/>
      <c r="L2609" s="50"/>
    </row>
    <row r="2610" spans="1:12" ht="15" customHeight="1" x14ac:dyDescent="0.35">
      <c r="A2610" s="85"/>
      <c r="B2610" s="86"/>
      <c r="C2610" s="87"/>
      <c r="D2610" s="88"/>
      <c r="E2610" s="43"/>
      <c r="F2610" s="44"/>
      <c r="G2610" s="45"/>
      <c r="H2610" s="46"/>
      <c r="I2610" s="47"/>
      <c r="J2610" s="48"/>
      <c r="K2610" s="49"/>
      <c r="L2610" s="50"/>
    </row>
    <row r="2611" spans="1:12" ht="15" customHeight="1" x14ac:dyDescent="0.35">
      <c r="A2611" s="85"/>
      <c r="B2611" s="86"/>
      <c r="C2611" s="87"/>
      <c r="D2611" s="88"/>
      <c r="E2611" s="43"/>
      <c r="F2611" s="44"/>
      <c r="G2611" s="45"/>
      <c r="H2611" s="46"/>
      <c r="I2611" s="47"/>
      <c r="J2611" s="48"/>
      <c r="K2611" s="49"/>
      <c r="L2611" s="50"/>
    </row>
    <row r="2612" spans="1:12" ht="15" customHeight="1" x14ac:dyDescent="0.35">
      <c r="A2612" s="85"/>
      <c r="B2612" s="86"/>
      <c r="C2612" s="87"/>
      <c r="D2612" s="88"/>
      <c r="E2612" s="43"/>
      <c r="F2612" s="44"/>
      <c r="G2612" s="45"/>
      <c r="H2612" s="46"/>
      <c r="I2612" s="47"/>
      <c r="J2612" s="48"/>
      <c r="K2612" s="49"/>
      <c r="L2612" s="50"/>
    </row>
    <row r="2613" spans="1:12" ht="15" customHeight="1" x14ac:dyDescent="0.35">
      <c r="A2613" s="85"/>
      <c r="B2613" s="86"/>
      <c r="C2613" s="87"/>
      <c r="D2613" s="88"/>
      <c r="E2613" s="43"/>
      <c r="F2613" s="44"/>
      <c r="G2613" s="45"/>
      <c r="H2613" s="46"/>
      <c r="I2613" s="47"/>
      <c r="J2613" s="48"/>
      <c r="K2613" s="49"/>
      <c r="L2613" s="50"/>
    </row>
    <row r="2614" spans="1:12" ht="15" customHeight="1" x14ac:dyDescent="0.35">
      <c r="A2614" s="85"/>
      <c r="B2614" s="86"/>
      <c r="C2614" s="87"/>
      <c r="D2614" s="88"/>
      <c r="E2614" s="43"/>
      <c r="F2614" s="44"/>
      <c r="G2614" s="45"/>
      <c r="H2614" s="46"/>
      <c r="I2614" s="47"/>
      <c r="J2614" s="48"/>
      <c r="K2614" s="49"/>
      <c r="L2614" s="50"/>
    </row>
    <row r="2615" spans="1:12" ht="15" customHeight="1" x14ac:dyDescent="0.35">
      <c r="A2615" s="85"/>
      <c r="B2615" s="86"/>
      <c r="C2615" s="87"/>
      <c r="D2615" s="88"/>
      <c r="E2615" s="43"/>
      <c r="F2615" s="44"/>
      <c r="G2615" s="45"/>
      <c r="H2615" s="46"/>
      <c r="I2615" s="47"/>
      <c r="J2615" s="48"/>
      <c r="K2615" s="49"/>
      <c r="L2615" s="50"/>
    </row>
    <row r="2616" spans="1:12" ht="15" customHeight="1" x14ac:dyDescent="0.35">
      <c r="A2616" s="85"/>
      <c r="B2616" s="86"/>
      <c r="C2616" s="87"/>
      <c r="D2616" s="88"/>
      <c r="E2616" s="43"/>
      <c r="F2616" s="44"/>
      <c r="G2616" s="45"/>
      <c r="H2616" s="46"/>
      <c r="I2616" s="47"/>
      <c r="J2616" s="48"/>
      <c r="K2616" s="49"/>
      <c r="L2616" s="50"/>
    </row>
    <row r="2617" spans="1:12" ht="15" customHeight="1" x14ac:dyDescent="0.35">
      <c r="A2617" s="85"/>
      <c r="B2617" s="86"/>
      <c r="C2617" s="87"/>
      <c r="D2617" s="88"/>
      <c r="E2617" s="43"/>
      <c r="F2617" s="44"/>
      <c r="G2617" s="45"/>
      <c r="H2617" s="46"/>
      <c r="I2617" s="47"/>
      <c r="J2617" s="48"/>
      <c r="K2617" s="49"/>
      <c r="L2617" s="50"/>
    </row>
    <row r="2618" spans="1:12" ht="15" customHeight="1" x14ac:dyDescent="0.35">
      <c r="A2618" s="85"/>
      <c r="B2618" s="86"/>
      <c r="C2618" s="87"/>
      <c r="D2618" s="88"/>
      <c r="E2618" s="43"/>
      <c r="F2618" s="44"/>
      <c r="G2618" s="45"/>
      <c r="H2618" s="46"/>
      <c r="I2618" s="47"/>
      <c r="J2618" s="48"/>
      <c r="K2618" s="49"/>
      <c r="L2618" s="50"/>
    </row>
    <row r="2619" spans="1:12" ht="15" customHeight="1" x14ac:dyDescent="0.35">
      <c r="A2619" s="85"/>
      <c r="B2619" s="86"/>
      <c r="C2619" s="87"/>
      <c r="D2619" s="88"/>
      <c r="E2619" s="43"/>
      <c r="F2619" s="44"/>
      <c r="G2619" s="45"/>
      <c r="H2619" s="46"/>
      <c r="I2619" s="47"/>
      <c r="J2619" s="48"/>
      <c r="K2619" s="49"/>
      <c r="L2619" s="50"/>
    </row>
    <row r="2620" spans="1:12" ht="15" customHeight="1" x14ac:dyDescent="0.35">
      <c r="A2620" s="85"/>
      <c r="B2620" s="86"/>
      <c r="C2620" s="87"/>
      <c r="D2620" s="88"/>
      <c r="E2620" s="43"/>
      <c r="F2620" s="44"/>
      <c r="G2620" s="45"/>
      <c r="H2620" s="46"/>
      <c r="I2620" s="47"/>
      <c r="J2620" s="48"/>
      <c r="K2620" s="49"/>
      <c r="L2620" s="50"/>
    </row>
    <row r="2621" spans="1:12" ht="15" customHeight="1" x14ac:dyDescent="0.35">
      <c r="A2621" s="85"/>
      <c r="B2621" s="86"/>
      <c r="C2621" s="87"/>
      <c r="D2621" s="88"/>
      <c r="E2621" s="43"/>
      <c r="F2621" s="44"/>
      <c r="G2621" s="45"/>
      <c r="H2621" s="46"/>
      <c r="I2621" s="47"/>
      <c r="J2621" s="48"/>
      <c r="K2621" s="49"/>
      <c r="L2621" s="50"/>
    </row>
    <row r="2622" spans="1:12" ht="15" customHeight="1" x14ac:dyDescent="0.35">
      <c r="A2622" s="85"/>
      <c r="B2622" s="86"/>
      <c r="C2622" s="87"/>
      <c r="D2622" s="88"/>
      <c r="E2622" s="43"/>
      <c r="F2622" s="44"/>
      <c r="G2622" s="45"/>
      <c r="H2622" s="46"/>
      <c r="I2622" s="47"/>
      <c r="J2622" s="48"/>
      <c r="K2622" s="49"/>
      <c r="L2622" s="50"/>
    </row>
    <row r="2623" spans="1:12" ht="15" customHeight="1" x14ac:dyDescent="0.35">
      <c r="A2623" s="85"/>
      <c r="B2623" s="86"/>
      <c r="C2623" s="87"/>
      <c r="D2623" s="88"/>
      <c r="E2623" s="43"/>
      <c r="F2623" s="44"/>
      <c r="G2623" s="45"/>
      <c r="H2623" s="46"/>
      <c r="I2623" s="47"/>
      <c r="J2623" s="48"/>
      <c r="K2623" s="49"/>
      <c r="L2623" s="50"/>
    </row>
    <row r="2624" spans="1:12" ht="15" customHeight="1" x14ac:dyDescent="0.35">
      <c r="A2624" s="85"/>
      <c r="B2624" s="86"/>
      <c r="C2624" s="87"/>
      <c r="D2624" s="88"/>
      <c r="E2624" s="43"/>
      <c r="F2624" s="44"/>
      <c r="G2624" s="45"/>
      <c r="H2624" s="46"/>
      <c r="I2624" s="47"/>
      <c r="J2624" s="48"/>
      <c r="K2624" s="49"/>
      <c r="L2624" s="50"/>
    </row>
    <row r="2625" spans="1:12" ht="15" customHeight="1" x14ac:dyDescent="0.35">
      <c r="A2625" s="85"/>
      <c r="B2625" s="86"/>
      <c r="C2625" s="87"/>
      <c r="D2625" s="88"/>
      <c r="E2625" s="43"/>
      <c r="F2625" s="44"/>
      <c r="G2625" s="45"/>
      <c r="H2625" s="46"/>
      <c r="I2625" s="47"/>
      <c r="J2625" s="48"/>
      <c r="K2625" s="49"/>
      <c r="L2625" s="50"/>
    </row>
    <row r="2626" spans="1:12" ht="15" customHeight="1" x14ac:dyDescent="0.35">
      <c r="A2626" s="85"/>
      <c r="B2626" s="86"/>
      <c r="C2626" s="87"/>
      <c r="D2626" s="88"/>
      <c r="E2626" s="43"/>
      <c r="F2626" s="44"/>
      <c r="G2626" s="45"/>
      <c r="H2626" s="46"/>
      <c r="I2626" s="47"/>
      <c r="J2626" s="48"/>
      <c r="K2626" s="49"/>
      <c r="L2626" s="50"/>
    </row>
    <row r="2627" spans="1:12" ht="15" customHeight="1" x14ac:dyDescent="0.35">
      <c r="A2627" s="85"/>
      <c r="B2627" s="86"/>
      <c r="C2627" s="87"/>
      <c r="D2627" s="88"/>
      <c r="E2627" s="43"/>
      <c r="F2627" s="44"/>
      <c r="G2627" s="45"/>
      <c r="H2627" s="46"/>
      <c r="I2627" s="47"/>
      <c r="J2627" s="48"/>
      <c r="K2627" s="49"/>
      <c r="L2627" s="50"/>
    </row>
    <row r="2628" spans="1:12" ht="15" customHeight="1" x14ac:dyDescent="0.35">
      <c r="A2628" s="85"/>
      <c r="B2628" s="86"/>
      <c r="C2628" s="87"/>
      <c r="D2628" s="88"/>
      <c r="E2628" s="43"/>
      <c r="F2628" s="44"/>
      <c r="G2628" s="45"/>
      <c r="H2628" s="46"/>
      <c r="I2628" s="47"/>
      <c r="J2628" s="48"/>
      <c r="K2628" s="49"/>
      <c r="L2628" s="50"/>
    </row>
    <row r="2629" spans="1:12" ht="15" customHeight="1" x14ac:dyDescent="0.35">
      <c r="A2629" s="85"/>
      <c r="B2629" s="86"/>
      <c r="C2629" s="87"/>
      <c r="D2629" s="88"/>
      <c r="E2629" s="43"/>
      <c r="F2629" s="44"/>
      <c r="G2629" s="45"/>
      <c r="H2629" s="46"/>
      <c r="I2629" s="47"/>
      <c r="J2629" s="48"/>
      <c r="K2629" s="49"/>
      <c r="L2629" s="50"/>
    </row>
    <row r="2630" spans="1:12" ht="15" customHeight="1" x14ac:dyDescent="0.35">
      <c r="A2630" s="85"/>
      <c r="B2630" s="86"/>
      <c r="C2630" s="87"/>
      <c r="D2630" s="88"/>
      <c r="E2630" s="43"/>
      <c r="F2630" s="44"/>
      <c r="G2630" s="45"/>
      <c r="H2630" s="46"/>
      <c r="I2630" s="47"/>
      <c r="J2630" s="48"/>
      <c r="K2630" s="49"/>
      <c r="L2630" s="50"/>
    </row>
    <row r="2631" spans="1:12" ht="15" customHeight="1" x14ac:dyDescent="0.35">
      <c r="A2631" s="85"/>
      <c r="B2631" s="86"/>
      <c r="C2631" s="87"/>
      <c r="D2631" s="88"/>
      <c r="E2631" s="43"/>
      <c r="F2631" s="44"/>
      <c r="G2631" s="45"/>
      <c r="H2631" s="46"/>
      <c r="I2631" s="47"/>
      <c r="J2631" s="48"/>
      <c r="K2631" s="49"/>
      <c r="L2631" s="50"/>
    </row>
    <row r="2632" spans="1:12" ht="15" customHeight="1" x14ac:dyDescent="0.35">
      <c r="A2632" s="85"/>
      <c r="B2632" s="86"/>
      <c r="C2632" s="87"/>
      <c r="D2632" s="88"/>
      <c r="E2632" s="43"/>
      <c r="F2632" s="44"/>
      <c r="G2632" s="45"/>
      <c r="H2632" s="46"/>
      <c r="I2632" s="47"/>
      <c r="J2632" s="48"/>
      <c r="K2632" s="49"/>
      <c r="L2632" s="50"/>
    </row>
    <row r="2633" spans="1:12" ht="15" customHeight="1" x14ac:dyDescent="0.35">
      <c r="A2633" s="85"/>
      <c r="B2633" s="86"/>
      <c r="C2633" s="87"/>
      <c r="D2633" s="88"/>
      <c r="E2633" s="43"/>
      <c r="F2633" s="44"/>
      <c r="G2633" s="45"/>
      <c r="H2633" s="46"/>
      <c r="I2633" s="47"/>
      <c r="J2633" s="48"/>
      <c r="K2633" s="49"/>
      <c r="L2633" s="50"/>
    </row>
    <row r="2634" spans="1:12" ht="15" customHeight="1" x14ac:dyDescent="0.35">
      <c r="A2634" s="85"/>
      <c r="B2634" s="86"/>
      <c r="C2634" s="87"/>
      <c r="D2634" s="88"/>
      <c r="E2634" s="43"/>
      <c r="F2634" s="44"/>
      <c r="G2634" s="45"/>
      <c r="H2634" s="46"/>
      <c r="I2634" s="47"/>
      <c r="J2634" s="48"/>
      <c r="K2634" s="49"/>
      <c r="L2634" s="50"/>
    </row>
    <row r="2635" spans="1:12" ht="15" customHeight="1" x14ac:dyDescent="0.35">
      <c r="A2635" s="85"/>
      <c r="B2635" s="86"/>
      <c r="C2635" s="87"/>
      <c r="D2635" s="88"/>
      <c r="E2635" s="43"/>
      <c r="F2635" s="44"/>
      <c r="G2635" s="45"/>
      <c r="H2635" s="46"/>
      <c r="I2635" s="47"/>
      <c r="J2635" s="48"/>
      <c r="K2635" s="49"/>
      <c r="L2635" s="50"/>
    </row>
    <row r="2636" spans="1:12" ht="15" customHeight="1" x14ac:dyDescent="0.35">
      <c r="A2636" s="85"/>
      <c r="B2636" s="86"/>
      <c r="C2636" s="87"/>
      <c r="D2636" s="88"/>
      <c r="E2636" s="43"/>
      <c r="F2636" s="44"/>
      <c r="G2636" s="45"/>
      <c r="H2636" s="46"/>
      <c r="I2636" s="47"/>
      <c r="J2636" s="48"/>
      <c r="K2636" s="49"/>
      <c r="L2636" s="50"/>
    </row>
    <row r="2637" spans="1:12" ht="15" customHeight="1" x14ac:dyDescent="0.35">
      <c r="A2637" s="85"/>
      <c r="B2637" s="86"/>
      <c r="C2637" s="87"/>
      <c r="D2637" s="88"/>
      <c r="E2637" s="43"/>
      <c r="F2637" s="44"/>
      <c r="G2637" s="45"/>
      <c r="H2637" s="46"/>
      <c r="I2637" s="47"/>
      <c r="J2637" s="48"/>
      <c r="K2637" s="49"/>
      <c r="L2637" s="50"/>
    </row>
    <row r="2638" spans="1:12" ht="15" customHeight="1" x14ac:dyDescent="0.35">
      <c r="A2638" s="85"/>
      <c r="B2638" s="86"/>
      <c r="C2638" s="87"/>
      <c r="D2638" s="88"/>
      <c r="E2638" s="43"/>
      <c r="F2638" s="44"/>
      <c r="G2638" s="45"/>
      <c r="H2638" s="46"/>
      <c r="I2638" s="47"/>
      <c r="J2638" s="48"/>
      <c r="K2638" s="49"/>
      <c r="L2638" s="50"/>
    </row>
    <row r="2639" spans="1:12" ht="15" customHeight="1" x14ac:dyDescent="0.35">
      <c r="A2639" s="85"/>
      <c r="B2639" s="86"/>
      <c r="C2639" s="87"/>
      <c r="D2639" s="88"/>
      <c r="E2639" s="43"/>
      <c r="F2639" s="44"/>
      <c r="G2639" s="45"/>
      <c r="H2639" s="46"/>
      <c r="I2639" s="47"/>
      <c r="J2639" s="48"/>
      <c r="K2639" s="49"/>
      <c r="L2639" s="50"/>
    </row>
    <row r="2640" spans="1:12" ht="15" customHeight="1" x14ac:dyDescent="0.35">
      <c r="A2640" s="85"/>
      <c r="B2640" s="86"/>
      <c r="C2640" s="87"/>
      <c r="D2640" s="88"/>
      <c r="E2640" s="43"/>
      <c r="F2640" s="44"/>
      <c r="G2640" s="45"/>
      <c r="H2640" s="46"/>
      <c r="I2640" s="47"/>
      <c r="J2640" s="48"/>
      <c r="K2640" s="49"/>
      <c r="L2640" s="50"/>
    </row>
    <row r="2641" spans="1:12" ht="15" customHeight="1" x14ac:dyDescent="0.35">
      <c r="A2641" s="85"/>
      <c r="B2641" s="86"/>
      <c r="C2641" s="87"/>
      <c r="D2641" s="88"/>
      <c r="E2641" s="43"/>
      <c r="F2641" s="44"/>
      <c r="G2641" s="45"/>
      <c r="H2641" s="46"/>
      <c r="I2641" s="47"/>
      <c r="J2641" s="48"/>
      <c r="K2641" s="49"/>
      <c r="L2641" s="50"/>
    </row>
    <row r="2642" spans="1:12" ht="15" customHeight="1" x14ac:dyDescent="0.35">
      <c r="A2642" s="85"/>
      <c r="B2642" s="86"/>
      <c r="C2642" s="87"/>
      <c r="D2642" s="88"/>
      <c r="E2642" s="43"/>
      <c r="F2642" s="44"/>
      <c r="G2642" s="45"/>
      <c r="H2642" s="46"/>
      <c r="I2642" s="47"/>
      <c r="J2642" s="48"/>
      <c r="K2642" s="49"/>
      <c r="L2642" s="50"/>
    </row>
    <row r="2643" spans="1:12" ht="15" customHeight="1" x14ac:dyDescent="0.35">
      <c r="A2643" s="85"/>
      <c r="B2643" s="86"/>
      <c r="C2643" s="87"/>
      <c r="D2643" s="88"/>
      <c r="E2643" s="43"/>
      <c r="F2643" s="44"/>
      <c r="G2643" s="45"/>
      <c r="H2643" s="46"/>
      <c r="I2643" s="47"/>
      <c r="J2643" s="48"/>
      <c r="K2643" s="49"/>
      <c r="L2643" s="50"/>
    </row>
    <row r="2644" spans="1:12" ht="15" customHeight="1" x14ac:dyDescent="0.35">
      <c r="A2644" s="85"/>
      <c r="B2644" s="86"/>
      <c r="C2644" s="87"/>
      <c r="D2644" s="88"/>
      <c r="E2644" s="43"/>
      <c r="F2644" s="44"/>
      <c r="G2644" s="45"/>
      <c r="H2644" s="46"/>
      <c r="I2644" s="47"/>
      <c r="J2644" s="48"/>
      <c r="K2644" s="49"/>
      <c r="L2644" s="50"/>
    </row>
    <row r="2645" spans="1:12" ht="15" customHeight="1" x14ac:dyDescent="0.35">
      <c r="A2645" s="85"/>
      <c r="B2645" s="86"/>
      <c r="C2645" s="87"/>
      <c r="D2645" s="88"/>
      <c r="E2645" s="43"/>
      <c r="F2645" s="44"/>
      <c r="G2645" s="45"/>
      <c r="H2645" s="46"/>
      <c r="I2645" s="47"/>
      <c r="J2645" s="48"/>
      <c r="K2645" s="49"/>
      <c r="L2645" s="50"/>
    </row>
    <row r="2646" spans="1:12" ht="15" customHeight="1" x14ac:dyDescent="0.35">
      <c r="A2646" s="85"/>
      <c r="B2646" s="86"/>
      <c r="C2646" s="87"/>
      <c r="D2646" s="88"/>
      <c r="E2646" s="43"/>
      <c r="F2646" s="44"/>
      <c r="G2646" s="45"/>
      <c r="H2646" s="46"/>
      <c r="I2646" s="47"/>
      <c r="J2646" s="48"/>
      <c r="K2646" s="49"/>
      <c r="L2646" s="50"/>
    </row>
    <row r="2647" spans="1:12" ht="15" customHeight="1" x14ac:dyDescent="0.35">
      <c r="A2647" s="85"/>
      <c r="B2647" s="86"/>
      <c r="C2647" s="87"/>
      <c r="D2647" s="88"/>
      <c r="E2647" s="43"/>
      <c r="F2647" s="44"/>
      <c r="G2647" s="45"/>
      <c r="H2647" s="46"/>
      <c r="I2647" s="47"/>
      <c r="J2647" s="48"/>
      <c r="K2647" s="49"/>
      <c r="L2647" s="50"/>
    </row>
    <row r="2648" spans="1:12" ht="15" customHeight="1" x14ac:dyDescent="0.35">
      <c r="A2648" s="85"/>
      <c r="B2648" s="86"/>
      <c r="C2648" s="87"/>
      <c r="D2648" s="88"/>
      <c r="E2648" s="43"/>
      <c r="F2648" s="44"/>
      <c r="G2648" s="45"/>
      <c r="H2648" s="46"/>
      <c r="I2648" s="47"/>
      <c r="J2648" s="48"/>
      <c r="K2648" s="49"/>
      <c r="L2648" s="50"/>
    </row>
    <row r="2649" spans="1:12" ht="15" customHeight="1" x14ac:dyDescent="0.35">
      <c r="A2649" s="85"/>
      <c r="B2649" s="86"/>
      <c r="C2649" s="87"/>
      <c r="D2649" s="88"/>
      <c r="E2649" s="43"/>
      <c r="F2649" s="44"/>
      <c r="G2649" s="45"/>
      <c r="H2649" s="46"/>
      <c r="I2649" s="47"/>
      <c r="J2649" s="48"/>
      <c r="K2649" s="49"/>
      <c r="L2649" s="50"/>
    </row>
    <row r="2650" spans="1:12" ht="15" customHeight="1" x14ac:dyDescent="0.35">
      <c r="A2650" s="85"/>
      <c r="B2650" s="86"/>
      <c r="C2650" s="87"/>
      <c r="D2650" s="88"/>
      <c r="E2650" s="43"/>
      <c r="F2650" s="44"/>
      <c r="G2650" s="45"/>
      <c r="H2650" s="46"/>
      <c r="I2650" s="47"/>
      <c r="J2650" s="48"/>
      <c r="K2650" s="49"/>
      <c r="L2650" s="50"/>
    </row>
    <row r="2651" spans="1:12" ht="15" customHeight="1" x14ac:dyDescent="0.35">
      <c r="A2651" s="85"/>
      <c r="B2651" s="86"/>
      <c r="C2651" s="87"/>
      <c r="D2651" s="88"/>
      <c r="E2651" s="43"/>
      <c r="F2651" s="44"/>
      <c r="G2651" s="45"/>
      <c r="H2651" s="46"/>
      <c r="I2651" s="47"/>
      <c r="J2651" s="48"/>
      <c r="K2651" s="49"/>
      <c r="L2651" s="50"/>
    </row>
    <row r="2652" spans="1:12" ht="15" customHeight="1" x14ac:dyDescent="0.35">
      <c r="A2652" s="85"/>
      <c r="B2652" s="86"/>
      <c r="C2652" s="87"/>
      <c r="D2652" s="88"/>
      <c r="E2652" s="43"/>
      <c r="F2652" s="44"/>
      <c r="G2652" s="45"/>
      <c r="H2652" s="46"/>
      <c r="I2652" s="47"/>
      <c r="J2652" s="48"/>
      <c r="K2652" s="49"/>
      <c r="L2652" s="50"/>
    </row>
    <row r="2653" spans="1:12" ht="15" customHeight="1" x14ac:dyDescent="0.35">
      <c r="A2653" s="85"/>
      <c r="B2653" s="86"/>
      <c r="C2653" s="87"/>
      <c r="D2653" s="88"/>
      <c r="E2653" s="43"/>
      <c r="F2653" s="44"/>
      <c r="G2653" s="45"/>
      <c r="H2653" s="46"/>
      <c r="I2653" s="47"/>
      <c r="J2653" s="48"/>
      <c r="K2653" s="49"/>
      <c r="L2653" s="50"/>
    </row>
    <row r="2654" spans="1:12" ht="15" customHeight="1" x14ac:dyDescent="0.35">
      <c r="A2654" s="85"/>
      <c r="B2654" s="86"/>
      <c r="C2654" s="87"/>
      <c r="D2654" s="88"/>
      <c r="E2654" s="43"/>
      <c r="F2654" s="44"/>
      <c r="G2654" s="45"/>
      <c r="H2654" s="46"/>
      <c r="I2654" s="47"/>
      <c r="J2654" s="48"/>
      <c r="K2654" s="49"/>
      <c r="L2654" s="50"/>
    </row>
    <row r="2655" spans="1:12" ht="15" customHeight="1" x14ac:dyDescent="0.35">
      <c r="A2655" s="85"/>
      <c r="B2655" s="86"/>
      <c r="C2655" s="87"/>
      <c r="D2655" s="88"/>
      <c r="E2655" s="43"/>
      <c r="F2655" s="44"/>
      <c r="G2655" s="45"/>
      <c r="H2655" s="46"/>
      <c r="I2655" s="47"/>
      <c r="J2655" s="48"/>
      <c r="K2655" s="49"/>
      <c r="L2655" s="50"/>
    </row>
    <row r="2656" spans="1:12" ht="15" customHeight="1" x14ac:dyDescent="0.35">
      <c r="A2656" s="85"/>
      <c r="B2656" s="86"/>
      <c r="C2656" s="87"/>
      <c r="D2656" s="88"/>
      <c r="E2656" s="43"/>
      <c r="F2656" s="44"/>
      <c r="G2656" s="45"/>
      <c r="H2656" s="46"/>
      <c r="I2656" s="47"/>
      <c r="J2656" s="48"/>
      <c r="K2656" s="49"/>
      <c r="L2656" s="50"/>
    </row>
    <row r="2657" spans="1:12" ht="15" customHeight="1" x14ac:dyDescent="0.35">
      <c r="A2657" s="85"/>
      <c r="B2657" s="86"/>
      <c r="C2657" s="87"/>
      <c r="D2657" s="88"/>
      <c r="E2657" s="43"/>
      <c r="F2657" s="44"/>
      <c r="G2657" s="45"/>
      <c r="H2657" s="46"/>
      <c r="I2657" s="47"/>
      <c r="J2657" s="48"/>
      <c r="K2657" s="49"/>
      <c r="L2657" s="50"/>
    </row>
    <row r="2658" spans="1:12" ht="15" customHeight="1" x14ac:dyDescent="0.35">
      <c r="A2658" s="85"/>
      <c r="B2658" s="86"/>
      <c r="C2658" s="87"/>
      <c r="D2658" s="88"/>
      <c r="E2658" s="43"/>
      <c r="F2658" s="44"/>
      <c r="G2658" s="45"/>
      <c r="H2658" s="46"/>
      <c r="I2658" s="47"/>
      <c r="J2658" s="48"/>
      <c r="K2658" s="49"/>
      <c r="L2658" s="50"/>
    </row>
    <row r="2659" spans="1:12" ht="15" customHeight="1" x14ac:dyDescent="0.35">
      <c r="A2659" s="85"/>
      <c r="B2659" s="86"/>
      <c r="C2659" s="87"/>
      <c r="D2659" s="88"/>
      <c r="E2659" s="43"/>
      <c r="F2659" s="44"/>
      <c r="G2659" s="45"/>
      <c r="H2659" s="46"/>
      <c r="I2659" s="47"/>
      <c r="J2659" s="48"/>
      <c r="K2659" s="49"/>
      <c r="L2659" s="50"/>
    </row>
    <row r="2660" spans="1:12" ht="15" customHeight="1" x14ac:dyDescent="0.35">
      <c r="A2660" s="85"/>
      <c r="B2660" s="86"/>
      <c r="C2660" s="87"/>
      <c r="D2660" s="88"/>
      <c r="E2660" s="43"/>
      <c r="F2660" s="44"/>
      <c r="G2660" s="45"/>
      <c r="H2660" s="46"/>
      <c r="I2660" s="47"/>
      <c r="J2660" s="48"/>
      <c r="K2660" s="49"/>
      <c r="L2660" s="50"/>
    </row>
    <row r="2661" spans="1:12" ht="15" customHeight="1" x14ac:dyDescent="0.35">
      <c r="A2661" s="85"/>
      <c r="B2661" s="86"/>
      <c r="C2661" s="87"/>
      <c r="D2661" s="88"/>
      <c r="E2661" s="43"/>
      <c r="F2661" s="44"/>
      <c r="G2661" s="45"/>
      <c r="H2661" s="46"/>
      <c r="I2661" s="47"/>
      <c r="J2661" s="48"/>
      <c r="K2661" s="49"/>
      <c r="L2661" s="50"/>
    </row>
    <row r="2662" spans="1:12" ht="15" customHeight="1" x14ac:dyDescent="0.35">
      <c r="A2662" s="85"/>
      <c r="B2662" s="86"/>
      <c r="C2662" s="87"/>
      <c r="D2662" s="88"/>
      <c r="E2662" s="43"/>
      <c r="F2662" s="44"/>
      <c r="G2662" s="45"/>
      <c r="H2662" s="46"/>
      <c r="I2662" s="47"/>
      <c r="J2662" s="48"/>
      <c r="K2662" s="49"/>
      <c r="L2662" s="50"/>
    </row>
    <row r="2663" spans="1:12" ht="15" customHeight="1" x14ac:dyDescent="0.35">
      <c r="A2663" s="85"/>
      <c r="B2663" s="86"/>
      <c r="C2663" s="87"/>
      <c r="D2663" s="88"/>
      <c r="E2663" s="43"/>
      <c r="F2663" s="44"/>
      <c r="G2663" s="45"/>
      <c r="H2663" s="46"/>
      <c r="I2663" s="47"/>
      <c r="J2663" s="48"/>
      <c r="K2663" s="49"/>
      <c r="L2663" s="50"/>
    </row>
    <row r="2664" spans="1:12" ht="15" customHeight="1" x14ac:dyDescent="0.35">
      <c r="A2664" s="85"/>
      <c r="B2664" s="86"/>
      <c r="C2664" s="87"/>
      <c r="D2664" s="88"/>
      <c r="E2664" s="43"/>
      <c r="F2664" s="44"/>
      <c r="G2664" s="45"/>
      <c r="H2664" s="46"/>
      <c r="I2664" s="47"/>
      <c r="J2664" s="48"/>
      <c r="K2664" s="49"/>
      <c r="L2664" s="50"/>
    </row>
    <row r="2665" spans="1:12" ht="15" customHeight="1" x14ac:dyDescent="0.35">
      <c r="A2665" s="85"/>
      <c r="B2665" s="86"/>
      <c r="C2665" s="87"/>
      <c r="D2665" s="88"/>
      <c r="E2665" s="43"/>
      <c r="F2665" s="44"/>
      <c r="G2665" s="45"/>
      <c r="H2665" s="46"/>
      <c r="I2665" s="47"/>
      <c r="J2665" s="48"/>
      <c r="K2665" s="49"/>
      <c r="L2665" s="50"/>
    </row>
    <row r="2666" spans="1:12" ht="15" customHeight="1" x14ac:dyDescent="0.35">
      <c r="A2666" s="85"/>
      <c r="B2666" s="86"/>
      <c r="C2666" s="87"/>
      <c r="D2666" s="88"/>
      <c r="E2666" s="43"/>
      <c r="F2666" s="44"/>
      <c r="G2666" s="45"/>
      <c r="H2666" s="46"/>
      <c r="I2666" s="47"/>
      <c r="J2666" s="48"/>
      <c r="K2666" s="49"/>
      <c r="L2666" s="50"/>
    </row>
    <row r="2667" spans="1:12" ht="15" customHeight="1" x14ac:dyDescent="0.35">
      <c r="A2667" s="85"/>
      <c r="B2667" s="86"/>
      <c r="C2667" s="87"/>
      <c r="D2667" s="88"/>
      <c r="E2667" s="43"/>
      <c r="F2667" s="44"/>
      <c r="G2667" s="45"/>
      <c r="H2667" s="46"/>
      <c r="I2667" s="47"/>
      <c r="J2667" s="48"/>
      <c r="K2667" s="49"/>
      <c r="L2667" s="50"/>
    </row>
    <row r="2668" spans="1:12" ht="15" customHeight="1" x14ac:dyDescent="0.35">
      <c r="A2668" s="85"/>
      <c r="B2668" s="86"/>
      <c r="C2668" s="87"/>
      <c r="D2668" s="88"/>
      <c r="E2668" s="43"/>
      <c r="F2668" s="44"/>
      <c r="G2668" s="45"/>
      <c r="H2668" s="46"/>
      <c r="I2668" s="47"/>
      <c r="J2668" s="48"/>
      <c r="K2668" s="49"/>
      <c r="L2668" s="50"/>
    </row>
    <row r="2669" spans="1:12" ht="15" customHeight="1" x14ac:dyDescent="0.35">
      <c r="A2669" s="85"/>
      <c r="B2669" s="86"/>
      <c r="C2669" s="87"/>
      <c r="D2669" s="88"/>
      <c r="E2669" s="43"/>
      <c r="F2669" s="44"/>
      <c r="G2669" s="45"/>
      <c r="H2669" s="46"/>
      <c r="I2669" s="47"/>
      <c r="J2669" s="48"/>
      <c r="K2669" s="49"/>
      <c r="L2669" s="50"/>
    </row>
    <row r="2670" spans="1:12" ht="15" customHeight="1" x14ac:dyDescent="0.35">
      <c r="A2670" s="85"/>
      <c r="B2670" s="86"/>
      <c r="C2670" s="87"/>
      <c r="D2670" s="88"/>
      <c r="E2670" s="43"/>
      <c r="F2670" s="44"/>
      <c r="G2670" s="45"/>
      <c r="H2670" s="46"/>
      <c r="I2670" s="47"/>
      <c r="J2670" s="48"/>
      <c r="K2670" s="49"/>
      <c r="L2670" s="50"/>
    </row>
    <row r="2671" spans="1:12" ht="15" customHeight="1" x14ac:dyDescent="0.35">
      <c r="A2671" s="85"/>
      <c r="B2671" s="86"/>
      <c r="C2671" s="87"/>
      <c r="D2671" s="88"/>
      <c r="E2671" s="43"/>
      <c r="F2671" s="44"/>
      <c r="G2671" s="45"/>
      <c r="H2671" s="46"/>
      <c r="I2671" s="47"/>
      <c r="J2671" s="48"/>
      <c r="K2671" s="49"/>
      <c r="L2671" s="50"/>
    </row>
    <row r="2672" spans="1:12" ht="15" customHeight="1" x14ac:dyDescent="0.35">
      <c r="A2672" s="85"/>
      <c r="B2672" s="86"/>
      <c r="C2672" s="87"/>
      <c r="D2672" s="88"/>
      <c r="E2672" s="43"/>
      <c r="F2672" s="44"/>
      <c r="G2672" s="45"/>
      <c r="H2672" s="46"/>
      <c r="I2672" s="47"/>
      <c r="J2672" s="48"/>
      <c r="K2672" s="49"/>
      <c r="L2672" s="50"/>
    </row>
    <row r="2673" spans="1:12" ht="15" customHeight="1" x14ac:dyDescent="0.35">
      <c r="A2673" s="85"/>
      <c r="B2673" s="86"/>
      <c r="C2673" s="87"/>
      <c r="D2673" s="88"/>
      <c r="E2673" s="43"/>
      <c r="F2673" s="44"/>
      <c r="G2673" s="45"/>
      <c r="H2673" s="46"/>
      <c r="I2673" s="47"/>
      <c r="J2673" s="48"/>
      <c r="K2673" s="49"/>
      <c r="L2673" s="50"/>
    </row>
    <row r="2674" spans="1:12" ht="15" customHeight="1" x14ac:dyDescent="0.35">
      <c r="A2674" s="85"/>
      <c r="B2674" s="86"/>
      <c r="C2674" s="87"/>
      <c r="D2674" s="88"/>
      <c r="E2674" s="43"/>
      <c r="F2674" s="44"/>
      <c r="G2674" s="45"/>
      <c r="H2674" s="46"/>
      <c r="I2674" s="47"/>
      <c r="J2674" s="48"/>
      <c r="K2674" s="49"/>
      <c r="L2674" s="50"/>
    </row>
    <row r="2675" spans="1:12" ht="15" customHeight="1" x14ac:dyDescent="0.35">
      <c r="A2675" s="85"/>
      <c r="B2675" s="86"/>
      <c r="C2675" s="87"/>
      <c r="D2675" s="88"/>
      <c r="E2675" s="43"/>
      <c r="F2675" s="44"/>
      <c r="G2675" s="45"/>
      <c r="H2675" s="46"/>
      <c r="I2675" s="47"/>
      <c r="J2675" s="48"/>
      <c r="K2675" s="49"/>
      <c r="L2675" s="50"/>
    </row>
    <row r="2676" spans="1:12" ht="15" customHeight="1" x14ac:dyDescent="0.35">
      <c r="A2676" s="85"/>
      <c r="B2676" s="86"/>
      <c r="C2676" s="87"/>
      <c r="D2676" s="88"/>
      <c r="E2676" s="43"/>
      <c r="F2676" s="44"/>
      <c r="G2676" s="45"/>
      <c r="H2676" s="46"/>
      <c r="I2676" s="47"/>
      <c r="J2676" s="48"/>
      <c r="K2676" s="49"/>
      <c r="L2676" s="50"/>
    </row>
    <row r="2677" spans="1:12" ht="15" customHeight="1" x14ac:dyDescent="0.35">
      <c r="A2677" s="85"/>
      <c r="B2677" s="86"/>
      <c r="C2677" s="87"/>
      <c r="D2677" s="88"/>
      <c r="E2677" s="43"/>
      <c r="F2677" s="44"/>
      <c r="G2677" s="45"/>
      <c r="H2677" s="46"/>
      <c r="I2677" s="47"/>
      <c r="J2677" s="48"/>
      <c r="K2677" s="49"/>
      <c r="L2677" s="50"/>
    </row>
    <row r="2678" spans="1:12" ht="15" customHeight="1" x14ac:dyDescent="0.35">
      <c r="A2678" s="85"/>
      <c r="B2678" s="86"/>
      <c r="C2678" s="87"/>
      <c r="D2678" s="88"/>
      <c r="E2678" s="43"/>
      <c r="F2678" s="44"/>
      <c r="G2678" s="45"/>
      <c r="H2678" s="46"/>
      <c r="I2678" s="47"/>
      <c r="J2678" s="48"/>
      <c r="K2678" s="49"/>
      <c r="L2678" s="50"/>
    </row>
    <row r="2679" spans="1:12" ht="15" customHeight="1" x14ac:dyDescent="0.35">
      <c r="A2679" s="85"/>
      <c r="B2679" s="86"/>
      <c r="C2679" s="87"/>
      <c r="D2679" s="88"/>
      <c r="E2679" s="43"/>
      <c r="F2679" s="44"/>
      <c r="G2679" s="45"/>
      <c r="H2679" s="46"/>
      <c r="I2679" s="47"/>
      <c r="J2679" s="48"/>
      <c r="K2679" s="49"/>
      <c r="L2679" s="50"/>
    </row>
    <row r="2680" spans="1:12" ht="15" customHeight="1" x14ac:dyDescent="0.35">
      <c r="A2680" s="85"/>
      <c r="B2680" s="86"/>
      <c r="C2680" s="87"/>
      <c r="D2680" s="88"/>
      <c r="E2680" s="43"/>
      <c r="F2680" s="44"/>
      <c r="G2680" s="45"/>
      <c r="H2680" s="46"/>
      <c r="I2680" s="47"/>
      <c r="J2680" s="48"/>
      <c r="K2680" s="49"/>
      <c r="L2680" s="50"/>
    </row>
    <row r="2681" spans="1:12" ht="15" customHeight="1" x14ac:dyDescent="0.35">
      <c r="A2681" s="85"/>
      <c r="B2681" s="86"/>
      <c r="C2681" s="87"/>
      <c r="D2681" s="88"/>
      <c r="E2681" s="43"/>
      <c r="F2681" s="44"/>
      <c r="G2681" s="45"/>
      <c r="H2681" s="46"/>
      <c r="I2681" s="47"/>
      <c r="J2681" s="48"/>
      <c r="K2681" s="49"/>
      <c r="L2681" s="50"/>
    </row>
    <row r="2682" spans="1:12" ht="15" customHeight="1" x14ac:dyDescent="0.35">
      <c r="A2682" s="85"/>
      <c r="B2682" s="86"/>
      <c r="C2682" s="87"/>
      <c r="D2682" s="88"/>
      <c r="E2682" s="43"/>
      <c r="F2682" s="44"/>
      <c r="G2682" s="45"/>
      <c r="H2682" s="46"/>
      <c r="I2682" s="47"/>
      <c r="J2682" s="48"/>
      <c r="K2682" s="49"/>
      <c r="L2682" s="50"/>
    </row>
    <row r="2683" spans="1:12" ht="15" customHeight="1" x14ac:dyDescent="0.35">
      <c r="A2683" s="85"/>
      <c r="B2683" s="86"/>
      <c r="C2683" s="87"/>
      <c r="D2683" s="88"/>
      <c r="E2683" s="43"/>
      <c r="F2683" s="44"/>
      <c r="G2683" s="45"/>
      <c r="H2683" s="46"/>
      <c r="I2683" s="47"/>
      <c r="J2683" s="48"/>
      <c r="K2683" s="49"/>
      <c r="L2683" s="50"/>
    </row>
    <row r="2684" spans="1:12" ht="15" customHeight="1" x14ac:dyDescent="0.35">
      <c r="A2684" s="85"/>
      <c r="B2684" s="86"/>
      <c r="C2684" s="87"/>
      <c r="D2684" s="88"/>
      <c r="E2684" s="43"/>
      <c r="F2684" s="44"/>
      <c r="G2684" s="45"/>
      <c r="H2684" s="46"/>
      <c r="I2684" s="47"/>
      <c r="J2684" s="48"/>
      <c r="K2684" s="49"/>
      <c r="L2684" s="50"/>
    </row>
    <row r="2685" spans="1:12" ht="15" customHeight="1" x14ac:dyDescent="0.35">
      <c r="A2685" s="85"/>
      <c r="B2685" s="86"/>
      <c r="C2685" s="87"/>
      <c r="D2685" s="88"/>
      <c r="E2685" s="43"/>
      <c r="F2685" s="44"/>
      <c r="G2685" s="45"/>
      <c r="H2685" s="46"/>
      <c r="I2685" s="47"/>
      <c r="J2685" s="48"/>
      <c r="K2685" s="49"/>
      <c r="L2685" s="50"/>
    </row>
    <row r="2686" spans="1:12" ht="15" customHeight="1" x14ac:dyDescent="0.35">
      <c r="A2686" s="85"/>
      <c r="B2686" s="86"/>
      <c r="C2686" s="87"/>
      <c r="D2686" s="88"/>
      <c r="E2686" s="43"/>
      <c r="F2686" s="44"/>
      <c r="G2686" s="45"/>
      <c r="H2686" s="46"/>
      <c r="I2686" s="47"/>
      <c r="J2686" s="48"/>
      <c r="K2686" s="49"/>
      <c r="L2686" s="50"/>
    </row>
    <row r="2687" spans="1:12" ht="15" customHeight="1" x14ac:dyDescent="0.35">
      <c r="A2687" s="85"/>
      <c r="B2687" s="86"/>
      <c r="C2687" s="87"/>
      <c r="D2687" s="88"/>
      <c r="E2687" s="43"/>
      <c r="F2687" s="44"/>
      <c r="G2687" s="45"/>
      <c r="H2687" s="46"/>
      <c r="I2687" s="47"/>
      <c r="J2687" s="48"/>
      <c r="K2687" s="49"/>
      <c r="L2687" s="50"/>
    </row>
    <row r="2688" spans="1:12" ht="15" customHeight="1" x14ac:dyDescent="0.35">
      <c r="A2688" s="85"/>
      <c r="B2688" s="86"/>
      <c r="C2688" s="87"/>
      <c r="D2688" s="88"/>
      <c r="E2688" s="43"/>
      <c r="F2688" s="44"/>
      <c r="G2688" s="45"/>
      <c r="H2688" s="46"/>
      <c r="I2688" s="47"/>
      <c r="J2688" s="48"/>
      <c r="K2688" s="49"/>
      <c r="L2688" s="50"/>
    </row>
    <row r="2689" spans="1:12" ht="15" customHeight="1" x14ac:dyDescent="0.35">
      <c r="A2689" s="85"/>
      <c r="B2689" s="86"/>
      <c r="C2689" s="87"/>
      <c r="D2689" s="88"/>
      <c r="E2689" s="43"/>
      <c r="F2689" s="44"/>
      <c r="G2689" s="45"/>
      <c r="H2689" s="46"/>
      <c r="I2689" s="47"/>
      <c r="J2689" s="48"/>
      <c r="K2689" s="49"/>
      <c r="L2689" s="50"/>
    </row>
    <row r="2690" spans="1:12" ht="15" customHeight="1" x14ac:dyDescent="0.35">
      <c r="A2690" s="85"/>
      <c r="B2690" s="86"/>
      <c r="C2690" s="87"/>
      <c r="D2690" s="88"/>
      <c r="E2690" s="43"/>
      <c r="F2690" s="44"/>
      <c r="G2690" s="45"/>
      <c r="H2690" s="46"/>
      <c r="I2690" s="47"/>
      <c r="J2690" s="48"/>
      <c r="K2690" s="49"/>
      <c r="L2690" s="50"/>
    </row>
    <row r="2691" spans="1:12" ht="15" customHeight="1" x14ac:dyDescent="0.35">
      <c r="A2691" s="85"/>
      <c r="B2691" s="86"/>
      <c r="C2691" s="87"/>
      <c r="D2691" s="88"/>
      <c r="E2691" s="43"/>
      <c r="F2691" s="44"/>
      <c r="G2691" s="45"/>
      <c r="H2691" s="46"/>
      <c r="I2691" s="47"/>
      <c r="J2691" s="48"/>
      <c r="K2691" s="49"/>
      <c r="L2691" s="50"/>
    </row>
    <row r="2692" spans="1:12" ht="15" customHeight="1" x14ac:dyDescent="0.35">
      <c r="A2692" s="85"/>
      <c r="B2692" s="86"/>
      <c r="C2692" s="87"/>
      <c r="D2692" s="88"/>
      <c r="E2692" s="43"/>
      <c r="F2692" s="44"/>
      <c r="G2692" s="45"/>
      <c r="H2692" s="46"/>
      <c r="I2692" s="47"/>
      <c r="J2692" s="48"/>
      <c r="K2692" s="49"/>
      <c r="L2692" s="50"/>
    </row>
    <row r="2693" spans="1:12" ht="15" customHeight="1" x14ac:dyDescent="0.35">
      <c r="A2693" s="85"/>
      <c r="B2693" s="86"/>
      <c r="C2693" s="87"/>
      <c r="D2693" s="88"/>
      <c r="E2693" s="43"/>
      <c r="F2693" s="44"/>
      <c r="G2693" s="45"/>
      <c r="H2693" s="46"/>
      <c r="I2693" s="47"/>
      <c r="J2693" s="48"/>
      <c r="K2693" s="49"/>
      <c r="L2693" s="50"/>
    </row>
    <row r="2694" spans="1:12" ht="15" customHeight="1" x14ac:dyDescent="0.35">
      <c r="A2694" s="85"/>
      <c r="B2694" s="86"/>
      <c r="C2694" s="87"/>
      <c r="D2694" s="88"/>
      <c r="E2694" s="43"/>
      <c r="F2694" s="44"/>
      <c r="G2694" s="45"/>
      <c r="H2694" s="46"/>
      <c r="I2694" s="47"/>
      <c r="J2694" s="48"/>
      <c r="K2694" s="49"/>
      <c r="L2694" s="50"/>
    </row>
    <row r="2695" spans="1:12" ht="15" customHeight="1" x14ac:dyDescent="0.35">
      <c r="A2695" s="85"/>
      <c r="B2695" s="86"/>
      <c r="C2695" s="87"/>
      <c r="D2695" s="88"/>
      <c r="E2695" s="43"/>
      <c r="F2695" s="44"/>
      <c r="G2695" s="45"/>
      <c r="H2695" s="46"/>
      <c r="I2695" s="47"/>
      <c r="J2695" s="48"/>
      <c r="K2695" s="49"/>
      <c r="L2695" s="50"/>
    </row>
    <row r="2696" spans="1:12" ht="15" customHeight="1" x14ac:dyDescent="0.35">
      <c r="A2696" s="85"/>
      <c r="B2696" s="86"/>
      <c r="C2696" s="87"/>
      <c r="D2696" s="88"/>
      <c r="E2696" s="43"/>
      <c r="F2696" s="44"/>
      <c r="G2696" s="45"/>
      <c r="H2696" s="46"/>
      <c r="I2696" s="47"/>
      <c r="J2696" s="48"/>
      <c r="K2696" s="49"/>
      <c r="L2696" s="50"/>
    </row>
    <row r="2697" spans="1:12" ht="15" customHeight="1" x14ac:dyDescent="0.35">
      <c r="A2697" s="85"/>
      <c r="B2697" s="86"/>
      <c r="C2697" s="87"/>
      <c r="D2697" s="88"/>
      <c r="E2697" s="43"/>
      <c r="F2697" s="44"/>
      <c r="G2697" s="45"/>
      <c r="H2697" s="46"/>
      <c r="I2697" s="47"/>
      <c r="J2697" s="48"/>
      <c r="K2697" s="49"/>
      <c r="L2697" s="50"/>
    </row>
    <row r="2698" spans="1:12" ht="15" customHeight="1" x14ac:dyDescent="0.35">
      <c r="A2698" s="85"/>
      <c r="B2698" s="86"/>
      <c r="C2698" s="87"/>
      <c r="D2698" s="88"/>
      <c r="E2698" s="43"/>
      <c r="F2698" s="44"/>
      <c r="G2698" s="45"/>
      <c r="H2698" s="46"/>
      <c r="I2698" s="47"/>
      <c r="J2698" s="48"/>
      <c r="K2698" s="49"/>
      <c r="L2698" s="50"/>
    </row>
    <row r="2699" spans="1:12" ht="15" customHeight="1" x14ac:dyDescent="0.35">
      <c r="A2699" s="85"/>
      <c r="B2699" s="86"/>
      <c r="C2699" s="87"/>
      <c r="D2699" s="88"/>
      <c r="E2699" s="43"/>
      <c r="F2699" s="44"/>
      <c r="G2699" s="45"/>
      <c r="H2699" s="46"/>
      <c r="I2699" s="47"/>
      <c r="J2699" s="48"/>
      <c r="K2699" s="49"/>
      <c r="L2699" s="50"/>
    </row>
    <row r="2700" spans="1:12" ht="15" customHeight="1" x14ac:dyDescent="0.35">
      <c r="A2700" s="85"/>
      <c r="B2700" s="86"/>
      <c r="C2700" s="87"/>
      <c r="D2700" s="88"/>
      <c r="E2700" s="43"/>
      <c r="F2700" s="44"/>
      <c r="G2700" s="45"/>
      <c r="H2700" s="46"/>
      <c r="I2700" s="47"/>
      <c r="J2700" s="48"/>
      <c r="K2700" s="49"/>
      <c r="L2700" s="50"/>
    </row>
    <row r="2701" spans="1:12" ht="15" customHeight="1" x14ac:dyDescent="0.35">
      <c r="A2701" s="85"/>
      <c r="B2701" s="86"/>
      <c r="C2701" s="87"/>
      <c r="D2701" s="88"/>
      <c r="E2701" s="43"/>
      <c r="F2701" s="44"/>
      <c r="G2701" s="45"/>
      <c r="H2701" s="46"/>
      <c r="I2701" s="47"/>
      <c r="J2701" s="48"/>
      <c r="K2701" s="49"/>
      <c r="L2701" s="50"/>
    </row>
    <row r="2702" spans="1:12" ht="15" customHeight="1" x14ac:dyDescent="0.35">
      <c r="A2702" s="85"/>
      <c r="B2702" s="86"/>
      <c r="C2702" s="87"/>
      <c r="D2702" s="88"/>
      <c r="E2702" s="43"/>
      <c r="F2702" s="44"/>
      <c r="G2702" s="45"/>
      <c r="H2702" s="46"/>
      <c r="I2702" s="47"/>
      <c r="J2702" s="48"/>
      <c r="K2702" s="49"/>
      <c r="L2702" s="50"/>
    </row>
    <row r="2703" spans="1:12" ht="15" customHeight="1" x14ac:dyDescent="0.35">
      <c r="A2703" s="85"/>
      <c r="B2703" s="86"/>
      <c r="C2703" s="87"/>
      <c r="D2703" s="88"/>
      <c r="E2703" s="43"/>
      <c r="F2703" s="44"/>
      <c r="G2703" s="45"/>
      <c r="H2703" s="46"/>
      <c r="I2703" s="47"/>
      <c r="J2703" s="48"/>
      <c r="K2703" s="49"/>
      <c r="L2703" s="50"/>
    </row>
    <row r="2704" spans="1:12" ht="15" customHeight="1" x14ac:dyDescent="0.35">
      <c r="A2704" s="85"/>
      <c r="B2704" s="86"/>
      <c r="C2704" s="87"/>
      <c r="D2704" s="88"/>
      <c r="E2704" s="43"/>
      <c r="F2704" s="44"/>
      <c r="G2704" s="45"/>
      <c r="H2704" s="46"/>
      <c r="I2704" s="47"/>
      <c r="J2704" s="48"/>
      <c r="K2704" s="49"/>
      <c r="L2704" s="50"/>
    </row>
    <row r="2705" spans="1:12" ht="15" customHeight="1" x14ac:dyDescent="0.35">
      <c r="A2705" s="85"/>
      <c r="B2705" s="86"/>
      <c r="C2705" s="87"/>
      <c r="D2705" s="88"/>
      <c r="E2705" s="43"/>
      <c r="F2705" s="44"/>
      <c r="G2705" s="45"/>
      <c r="H2705" s="46"/>
      <c r="I2705" s="47"/>
      <c r="J2705" s="48"/>
      <c r="K2705" s="49"/>
      <c r="L2705" s="50"/>
    </row>
    <row r="2706" spans="1:12" ht="15" customHeight="1" x14ac:dyDescent="0.35">
      <c r="A2706" s="85"/>
      <c r="B2706" s="86"/>
      <c r="C2706" s="87"/>
      <c r="D2706" s="88"/>
      <c r="E2706" s="43"/>
      <c r="F2706" s="44"/>
      <c r="G2706" s="45"/>
      <c r="H2706" s="46"/>
      <c r="I2706" s="47"/>
      <c r="J2706" s="48"/>
      <c r="K2706" s="49"/>
      <c r="L2706" s="50"/>
    </row>
    <row r="2707" spans="1:12" ht="15" customHeight="1" x14ac:dyDescent="0.35">
      <c r="A2707" s="85"/>
      <c r="B2707" s="86"/>
      <c r="C2707" s="87"/>
      <c r="D2707" s="88"/>
      <c r="E2707" s="43"/>
      <c r="F2707" s="44"/>
      <c r="G2707" s="45"/>
      <c r="H2707" s="46"/>
      <c r="I2707" s="47"/>
      <c r="J2707" s="48"/>
      <c r="K2707" s="49"/>
      <c r="L2707" s="50"/>
    </row>
    <row r="2708" spans="1:12" ht="15" customHeight="1" x14ac:dyDescent="0.35">
      <c r="A2708" s="85"/>
      <c r="B2708" s="86"/>
      <c r="C2708" s="87"/>
      <c r="D2708" s="88"/>
      <c r="E2708" s="43"/>
      <c r="F2708" s="44"/>
      <c r="G2708" s="45"/>
      <c r="H2708" s="46"/>
      <c r="I2708" s="47"/>
      <c r="J2708" s="48"/>
      <c r="K2708" s="49"/>
      <c r="L2708" s="50"/>
    </row>
    <row r="2709" spans="1:12" ht="15" customHeight="1" x14ac:dyDescent="0.35">
      <c r="A2709" s="85"/>
      <c r="B2709" s="86"/>
      <c r="C2709" s="87"/>
      <c r="D2709" s="88"/>
      <c r="E2709" s="43"/>
      <c r="F2709" s="44"/>
      <c r="G2709" s="45"/>
      <c r="H2709" s="46"/>
      <c r="I2709" s="47"/>
      <c r="J2709" s="48"/>
      <c r="K2709" s="49"/>
      <c r="L2709" s="50"/>
    </row>
    <row r="2710" spans="1:12" ht="15" customHeight="1" x14ac:dyDescent="0.35">
      <c r="A2710" s="85"/>
      <c r="B2710" s="86"/>
      <c r="C2710" s="87"/>
      <c r="D2710" s="88"/>
      <c r="E2710" s="43"/>
      <c r="F2710" s="44"/>
      <c r="G2710" s="45"/>
      <c r="H2710" s="46"/>
      <c r="I2710" s="47"/>
      <c r="J2710" s="48"/>
      <c r="K2710" s="49"/>
      <c r="L2710" s="50"/>
    </row>
    <row r="2711" spans="1:12" ht="15" customHeight="1" x14ac:dyDescent="0.35">
      <c r="A2711" s="85"/>
      <c r="B2711" s="86"/>
      <c r="C2711" s="87"/>
      <c r="D2711" s="88"/>
      <c r="E2711" s="43"/>
      <c r="F2711" s="44"/>
      <c r="G2711" s="45"/>
      <c r="H2711" s="46"/>
      <c r="I2711" s="47"/>
      <c r="J2711" s="48"/>
      <c r="K2711" s="49"/>
      <c r="L2711" s="50"/>
    </row>
    <row r="2712" spans="1:12" ht="15" customHeight="1" x14ac:dyDescent="0.35">
      <c r="A2712" s="85"/>
      <c r="B2712" s="86"/>
      <c r="C2712" s="87"/>
      <c r="D2712" s="88"/>
      <c r="E2712" s="43"/>
      <c r="F2712" s="44"/>
      <c r="G2712" s="45"/>
      <c r="H2712" s="46"/>
      <c r="I2712" s="47"/>
      <c r="J2712" s="48"/>
      <c r="K2712" s="49"/>
      <c r="L2712" s="50"/>
    </row>
    <row r="2713" spans="1:12" ht="15" customHeight="1" x14ac:dyDescent="0.35">
      <c r="A2713" s="85"/>
      <c r="B2713" s="86"/>
      <c r="C2713" s="87"/>
      <c r="D2713" s="88"/>
      <c r="E2713" s="43"/>
      <c r="F2713" s="44"/>
      <c r="G2713" s="45"/>
      <c r="H2713" s="46"/>
      <c r="I2713" s="47"/>
      <c r="J2713" s="48"/>
      <c r="K2713" s="49"/>
      <c r="L2713" s="50"/>
    </row>
    <row r="2714" spans="1:12" ht="15" customHeight="1" x14ac:dyDescent="0.35">
      <c r="A2714" s="85"/>
      <c r="B2714" s="86"/>
      <c r="C2714" s="87"/>
      <c r="D2714" s="88"/>
      <c r="E2714" s="43"/>
      <c r="F2714" s="44"/>
      <c r="G2714" s="45"/>
      <c r="H2714" s="46"/>
      <c r="I2714" s="47"/>
      <c r="J2714" s="48"/>
      <c r="K2714" s="49"/>
      <c r="L2714" s="50"/>
    </row>
    <row r="2715" spans="1:12" ht="15" customHeight="1" x14ac:dyDescent="0.35">
      <c r="A2715" s="85"/>
      <c r="B2715" s="86"/>
      <c r="C2715" s="87"/>
      <c r="D2715" s="88"/>
      <c r="E2715" s="43"/>
      <c r="F2715" s="44"/>
      <c r="G2715" s="45"/>
      <c r="H2715" s="46"/>
      <c r="I2715" s="47"/>
      <c r="J2715" s="48"/>
      <c r="K2715" s="49"/>
      <c r="L2715" s="50"/>
    </row>
    <row r="2716" spans="1:12" ht="15" customHeight="1" x14ac:dyDescent="0.35">
      <c r="A2716" s="85"/>
      <c r="B2716" s="86"/>
      <c r="C2716" s="87"/>
      <c r="D2716" s="88"/>
      <c r="E2716" s="43"/>
      <c r="F2716" s="44"/>
      <c r="G2716" s="45"/>
      <c r="H2716" s="46"/>
      <c r="I2716" s="47"/>
      <c r="J2716" s="48"/>
      <c r="K2716" s="49"/>
      <c r="L2716" s="50"/>
    </row>
    <row r="2717" spans="1:12" ht="15" customHeight="1" x14ac:dyDescent="0.35">
      <c r="A2717" s="85"/>
      <c r="B2717" s="86"/>
      <c r="C2717" s="87"/>
      <c r="D2717" s="88"/>
      <c r="E2717" s="43"/>
      <c r="F2717" s="44"/>
      <c r="G2717" s="45"/>
      <c r="H2717" s="46"/>
      <c r="I2717" s="47"/>
      <c r="J2717" s="48"/>
      <c r="K2717" s="49"/>
      <c r="L2717" s="50"/>
    </row>
    <row r="2718" spans="1:12" ht="15" customHeight="1" x14ac:dyDescent="0.35">
      <c r="A2718" s="85"/>
      <c r="B2718" s="86"/>
      <c r="C2718" s="87"/>
      <c r="D2718" s="88"/>
      <c r="E2718" s="43"/>
      <c r="F2718" s="44"/>
      <c r="G2718" s="45"/>
      <c r="H2718" s="46"/>
      <c r="I2718" s="47"/>
      <c r="J2718" s="48"/>
      <c r="K2718" s="49"/>
      <c r="L2718" s="50"/>
    </row>
    <row r="2719" spans="1:12" ht="15" customHeight="1" x14ac:dyDescent="0.35">
      <c r="A2719" s="85"/>
      <c r="B2719" s="86"/>
      <c r="C2719" s="87"/>
      <c r="D2719" s="88"/>
      <c r="E2719" s="43"/>
      <c r="F2719" s="44"/>
      <c r="G2719" s="45"/>
      <c r="H2719" s="46"/>
      <c r="I2719" s="47"/>
      <c r="J2719" s="48"/>
      <c r="K2719" s="49"/>
      <c r="L2719" s="50"/>
    </row>
    <row r="2720" spans="1:12" ht="15" customHeight="1" x14ac:dyDescent="0.35">
      <c r="A2720" s="85"/>
      <c r="B2720" s="86"/>
      <c r="C2720" s="87"/>
      <c r="D2720" s="88"/>
      <c r="E2720" s="43"/>
      <c r="F2720" s="44"/>
      <c r="G2720" s="45"/>
      <c r="H2720" s="46"/>
      <c r="I2720" s="47"/>
      <c r="J2720" s="48"/>
      <c r="K2720" s="49"/>
      <c r="L2720" s="50"/>
    </row>
    <row r="2721" spans="1:12" ht="15" customHeight="1" x14ac:dyDescent="0.35">
      <c r="A2721" s="85"/>
      <c r="B2721" s="86"/>
      <c r="C2721" s="87"/>
      <c r="D2721" s="88"/>
      <c r="E2721" s="43"/>
      <c r="F2721" s="44"/>
      <c r="G2721" s="45"/>
      <c r="H2721" s="46"/>
      <c r="I2721" s="47"/>
      <c r="J2721" s="48"/>
      <c r="K2721" s="49"/>
      <c r="L2721" s="50"/>
    </row>
    <row r="2722" spans="1:12" ht="15" customHeight="1" x14ac:dyDescent="0.35">
      <c r="A2722" s="85"/>
      <c r="B2722" s="86"/>
      <c r="C2722" s="87"/>
      <c r="D2722" s="88"/>
      <c r="E2722" s="43"/>
      <c r="F2722" s="44"/>
      <c r="G2722" s="45"/>
      <c r="H2722" s="46"/>
      <c r="I2722" s="47"/>
      <c r="J2722" s="48"/>
      <c r="K2722" s="49"/>
      <c r="L2722" s="50"/>
    </row>
    <row r="2723" spans="1:12" ht="15" customHeight="1" x14ac:dyDescent="0.35">
      <c r="A2723" s="85"/>
      <c r="B2723" s="86"/>
      <c r="C2723" s="87"/>
      <c r="D2723" s="88"/>
      <c r="E2723" s="43"/>
      <c r="F2723" s="44"/>
      <c r="G2723" s="45"/>
      <c r="H2723" s="46"/>
      <c r="I2723" s="47"/>
      <c r="J2723" s="48"/>
      <c r="K2723" s="49"/>
      <c r="L2723" s="50"/>
    </row>
    <row r="2724" spans="1:12" ht="15" customHeight="1" x14ac:dyDescent="0.35">
      <c r="A2724" s="85"/>
      <c r="B2724" s="86"/>
      <c r="C2724" s="87"/>
      <c r="D2724" s="88"/>
      <c r="E2724" s="43"/>
      <c r="F2724" s="44"/>
      <c r="G2724" s="45"/>
      <c r="H2724" s="46"/>
      <c r="I2724" s="47"/>
      <c r="J2724" s="48"/>
      <c r="K2724" s="49"/>
      <c r="L2724" s="50"/>
    </row>
    <row r="2725" spans="1:12" ht="15" customHeight="1" x14ac:dyDescent="0.35">
      <c r="A2725" s="85"/>
      <c r="B2725" s="86"/>
      <c r="C2725" s="87"/>
      <c r="D2725" s="88"/>
      <c r="E2725" s="43"/>
      <c r="F2725" s="44"/>
      <c r="G2725" s="45"/>
      <c r="H2725" s="46"/>
      <c r="I2725" s="47"/>
      <c r="J2725" s="48"/>
      <c r="K2725" s="49"/>
      <c r="L2725" s="50"/>
    </row>
    <row r="2726" spans="1:12" ht="15" customHeight="1" x14ac:dyDescent="0.35">
      <c r="A2726" s="85"/>
      <c r="B2726" s="86"/>
      <c r="C2726" s="87"/>
      <c r="D2726" s="88"/>
      <c r="E2726" s="43"/>
      <c r="F2726" s="44"/>
      <c r="G2726" s="45"/>
      <c r="H2726" s="46"/>
      <c r="I2726" s="47"/>
      <c r="J2726" s="48"/>
      <c r="K2726" s="49"/>
      <c r="L2726" s="50"/>
    </row>
    <row r="2727" spans="1:12" ht="15" customHeight="1" x14ac:dyDescent="0.35">
      <c r="A2727" s="85"/>
      <c r="B2727" s="86"/>
      <c r="C2727" s="87"/>
      <c r="D2727" s="88"/>
      <c r="E2727" s="43"/>
      <c r="F2727" s="44"/>
      <c r="G2727" s="45"/>
      <c r="H2727" s="46"/>
      <c r="I2727" s="47"/>
      <c r="J2727" s="48"/>
      <c r="K2727" s="49"/>
      <c r="L2727" s="50"/>
    </row>
    <row r="2728" spans="1:12" ht="15" customHeight="1" x14ac:dyDescent="0.35">
      <c r="A2728" s="85"/>
      <c r="B2728" s="86"/>
      <c r="C2728" s="87"/>
      <c r="D2728" s="88"/>
      <c r="E2728" s="43"/>
      <c r="F2728" s="44"/>
      <c r="G2728" s="45"/>
      <c r="H2728" s="46"/>
      <c r="I2728" s="47"/>
      <c r="J2728" s="48"/>
      <c r="K2728" s="49"/>
      <c r="L2728" s="50"/>
    </row>
    <row r="2729" spans="1:12" ht="15" customHeight="1" x14ac:dyDescent="0.35">
      <c r="A2729" s="85"/>
      <c r="B2729" s="86"/>
      <c r="C2729" s="87"/>
      <c r="D2729" s="88"/>
      <c r="E2729" s="43"/>
      <c r="F2729" s="44"/>
      <c r="G2729" s="45"/>
      <c r="H2729" s="46"/>
      <c r="I2729" s="47"/>
      <c r="J2729" s="48"/>
      <c r="K2729" s="49"/>
      <c r="L2729" s="50"/>
    </row>
    <row r="2730" spans="1:12" ht="15" customHeight="1" x14ac:dyDescent="0.35">
      <c r="A2730" s="85"/>
      <c r="B2730" s="86"/>
      <c r="C2730" s="87"/>
      <c r="D2730" s="88"/>
      <c r="E2730" s="43"/>
      <c r="F2730" s="44"/>
      <c r="G2730" s="45"/>
      <c r="H2730" s="46"/>
      <c r="I2730" s="47"/>
      <c r="J2730" s="48"/>
      <c r="K2730" s="49"/>
      <c r="L2730" s="50"/>
    </row>
    <row r="2731" spans="1:12" ht="15" customHeight="1" x14ac:dyDescent="0.35">
      <c r="A2731" s="85"/>
      <c r="B2731" s="86"/>
      <c r="C2731" s="87"/>
      <c r="D2731" s="88"/>
      <c r="E2731" s="43"/>
      <c r="F2731" s="44"/>
      <c r="G2731" s="45"/>
      <c r="H2731" s="46"/>
      <c r="I2731" s="47"/>
      <c r="J2731" s="48"/>
      <c r="K2731" s="49"/>
      <c r="L2731" s="50"/>
    </row>
    <row r="2732" spans="1:12" ht="15" customHeight="1" x14ac:dyDescent="0.35">
      <c r="A2732" s="85"/>
      <c r="B2732" s="86"/>
      <c r="C2732" s="87"/>
      <c r="D2732" s="88"/>
      <c r="E2732" s="43"/>
      <c r="F2732" s="44"/>
      <c r="G2732" s="45"/>
      <c r="H2732" s="46"/>
      <c r="I2732" s="47"/>
      <c r="J2732" s="48"/>
      <c r="K2732" s="49"/>
      <c r="L2732" s="50"/>
    </row>
    <row r="2733" spans="1:12" ht="15" customHeight="1" x14ac:dyDescent="0.35">
      <c r="A2733" s="85"/>
      <c r="B2733" s="86"/>
      <c r="C2733" s="87"/>
      <c r="D2733" s="88"/>
      <c r="E2733" s="43"/>
      <c r="F2733" s="44"/>
      <c r="G2733" s="45"/>
      <c r="H2733" s="46"/>
      <c r="I2733" s="47"/>
      <c r="J2733" s="48"/>
      <c r="K2733" s="49"/>
      <c r="L2733" s="50"/>
    </row>
    <row r="2734" spans="1:12" ht="15" customHeight="1" x14ac:dyDescent="0.35">
      <c r="A2734" s="85"/>
      <c r="B2734" s="86"/>
      <c r="C2734" s="87"/>
      <c r="D2734" s="88"/>
      <c r="E2734" s="43"/>
      <c r="F2734" s="44"/>
      <c r="G2734" s="45"/>
      <c r="H2734" s="46"/>
      <c r="I2734" s="47"/>
      <c r="J2734" s="48"/>
      <c r="K2734" s="49"/>
      <c r="L2734" s="50"/>
    </row>
    <row r="2735" spans="1:12" ht="15" customHeight="1" x14ac:dyDescent="0.35">
      <c r="A2735" s="85"/>
      <c r="B2735" s="86"/>
      <c r="C2735" s="87"/>
      <c r="D2735" s="88"/>
      <c r="E2735" s="43"/>
      <c r="F2735" s="44"/>
      <c r="G2735" s="45"/>
      <c r="H2735" s="46"/>
      <c r="I2735" s="47"/>
      <c r="J2735" s="48"/>
      <c r="K2735" s="49"/>
      <c r="L2735" s="50"/>
    </row>
    <row r="2736" spans="1:12" ht="15" customHeight="1" x14ac:dyDescent="0.35">
      <c r="A2736" s="85"/>
      <c r="B2736" s="86"/>
      <c r="C2736" s="87"/>
      <c r="D2736" s="88"/>
      <c r="E2736" s="43"/>
      <c r="F2736" s="44"/>
      <c r="G2736" s="45"/>
      <c r="H2736" s="46"/>
      <c r="I2736" s="47"/>
      <c r="J2736" s="48"/>
      <c r="K2736" s="49"/>
      <c r="L2736" s="50"/>
    </row>
    <row r="2737" spans="1:12" ht="15" customHeight="1" x14ac:dyDescent="0.35">
      <c r="A2737" s="85"/>
      <c r="B2737" s="86"/>
      <c r="C2737" s="87"/>
      <c r="D2737" s="88"/>
      <c r="E2737" s="43"/>
      <c r="F2737" s="44"/>
      <c r="G2737" s="45"/>
      <c r="H2737" s="46"/>
      <c r="I2737" s="47"/>
      <c r="J2737" s="48"/>
      <c r="K2737" s="49"/>
      <c r="L2737" s="50"/>
    </row>
    <row r="2738" spans="1:12" ht="15" customHeight="1" x14ac:dyDescent="0.35">
      <c r="A2738" s="85"/>
      <c r="B2738" s="86"/>
      <c r="C2738" s="87"/>
      <c r="D2738" s="88"/>
      <c r="E2738" s="43"/>
      <c r="F2738" s="44"/>
      <c r="G2738" s="45"/>
      <c r="H2738" s="46"/>
      <c r="I2738" s="47"/>
      <c r="J2738" s="48"/>
      <c r="K2738" s="49"/>
      <c r="L2738" s="50"/>
    </row>
    <row r="2739" spans="1:12" ht="15" customHeight="1" x14ac:dyDescent="0.35">
      <c r="A2739" s="85"/>
      <c r="B2739" s="86"/>
      <c r="C2739" s="87"/>
      <c r="D2739" s="88"/>
      <c r="E2739" s="43"/>
      <c r="F2739" s="44"/>
      <c r="G2739" s="45"/>
      <c r="H2739" s="46"/>
      <c r="I2739" s="47"/>
      <c r="J2739" s="48"/>
      <c r="K2739" s="49"/>
      <c r="L2739" s="50"/>
    </row>
    <row r="2740" spans="1:12" ht="15" customHeight="1" x14ac:dyDescent="0.35">
      <c r="A2740" s="85"/>
      <c r="B2740" s="86"/>
      <c r="C2740" s="87"/>
      <c r="D2740" s="88"/>
      <c r="E2740" s="43"/>
      <c r="F2740" s="44"/>
      <c r="G2740" s="45"/>
      <c r="H2740" s="46"/>
      <c r="I2740" s="47"/>
      <c r="J2740" s="48"/>
      <c r="K2740" s="49"/>
      <c r="L2740" s="50"/>
    </row>
    <row r="2741" spans="1:12" ht="15" customHeight="1" x14ac:dyDescent="0.35">
      <c r="A2741" s="85"/>
      <c r="B2741" s="86"/>
      <c r="C2741" s="87"/>
      <c r="D2741" s="88"/>
      <c r="E2741" s="43"/>
      <c r="F2741" s="44"/>
      <c r="G2741" s="45"/>
      <c r="H2741" s="46"/>
      <c r="I2741" s="47"/>
      <c r="J2741" s="48"/>
      <c r="K2741" s="49"/>
      <c r="L2741" s="50"/>
    </row>
    <row r="2742" spans="1:12" ht="15" customHeight="1" x14ac:dyDescent="0.35">
      <c r="A2742" s="85"/>
      <c r="B2742" s="86"/>
      <c r="C2742" s="87"/>
      <c r="D2742" s="88"/>
      <c r="E2742" s="43"/>
      <c r="F2742" s="44"/>
      <c r="G2742" s="45"/>
      <c r="H2742" s="46"/>
      <c r="I2742" s="47"/>
      <c r="J2742" s="48"/>
      <c r="K2742" s="49"/>
      <c r="L2742" s="50"/>
    </row>
    <row r="2743" spans="1:12" ht="15" customHeight="1" x14ac:dyDescent="0.35">
      <c r="A2743" s="85"/>
      <c r="B2743" s="86"/>
      <c r="C2743" s="87"/>
      <c r="D2743" s="88"/>
      <c r="E2743" s="43"/>
      <c r="F2743" s="44"/>
      <c r="G2743" s="45"/>
      <c r="H2743" s="46"/>
      <c r="I2743" s="47"/>
      <c r="J2743" s="48"/>
      <c r="K2743" s="49"/>
      <c r="L2743" s="50"/>
    </row>
    <row r="2744" spans="1:12" ht="15" customHeight="1" x14ac:dyDescent="0.35">
      <c r="A2744" s="85"/>
      <c r="B2744" s="86"/>
      <c r="C2744" s="87"/>
      <c r="D2744" s="88"/>
      <c r="E2744" s="43"/>
      <c r="F2744" s="44"/>
      <c r="G2744" s="45"/>
      <c r="H2744" s="46"/>
      <c r="I2744" s="47"/>
      <c r="J2744" s="48"/>
      <c r="K2744" s="49"/>
      <c r="L2744" s="50"/>
    </row>
    <row r="2745" spans="1:12" ht="15" customHeight="1" x14ac:dyDescent="0.35">
      <c r="A2745" s="85"/>
      <c r="B2745" s="86"/>
      <c r="C2745" s="87"/>
      <c r="D2745" s="88"/>
      <c r="E2745" s="43"/>
      <c r="F2745" s="44"/>
      <c r="G2745" s="45"/>
      <c r="H2745" s="46"/>
      <c r="I2745" s="47"/>
      <c r="J2745" s="48"/>
      <c r="K2745" s="49"/>
      <c r="L2745" s="50"/>
    </row>
    <row r="2746" spans="1:12" ht="15" customHeight="1" x14ac:dyDescent="0.35">
      <c r="A2746" s="85"/>
      <c r="B2746" s="86"/>
      <c r="C2746" s="87"/>
      <c r="D2746" s="88"/>
      <c r="E2746" s="43"/>
      <c r="F2746" s="44"/>
      <c r="G2746" s="45"/>
      <c r="H2746" s="46"/>
      <c r="I2746" s="47"/>
      <c r="J2746" s="48"/>
      <c r="K2746" s="49"/>
      <c r="L2746" s="50"/>
    </row>
    <row r="2747" spans="1:12" ht="15" customHeight="1" x14ac:dyDescent="0.35">
      <c r="A2747" s="85"/>
      <c r="B2747" s="86"/>
      <c r="C2747" s="87"/>
      <c r="D2747" s="88"/>
      <c r="E2747" s="43"/>
      <c r="F2747" s="44"/>
      <c r="G2747" s="45"/>
      <c r="H2747" s="46"/>
      <c r="I2747" s="47"/>
      <c r="J2747" s="48"/>
      <c r="K2747" s="49"/>
      <c r="L2747" s="50"/>
    </row>
    <row r="2748" spans="1:12" ht="15" customHeight="1" x14ac:dyDescent="0.35">
      <c r="A2748" s="85"/>
      <c r="B2748" s="86"/>
      <c r="C2748" s="87"/>
      <c r="D2748" s="88"/>
      <c r="E2748" s="43"/>
      <c r="F2748" s="44"/>
      <c r="G2748" s="45"/>
      <c r="H2748" s="46"/>
      <c r="I2748" s="47"/>
      <c r="J2748" s="48"/>
      <c r="K2748" s="49"/>
      <c r="L2748" s="50"/>
    </row>
    <row r="2749" spans="1:12" ht="15" customHeight="1" x14ac:dyDescent="0.35">
      <c r="A2749" s="85"/>
      <c r="B2749" s="86"/>
      <c r="C2749" s="87"/>
      <c r="D2749" s="88"/>
      <c r="E2749" s="43"/>
      <c r="F2749" s="44"/>
      <c r="G2749" s="45"/>
      <c r="H2749" s="46"/>
      <c r="I2749" s="47"/>
      <c r="J2749" s="48"/>
      <c r="K2749" s="49"/>
      <c r="L2749" s="50"/>
    </row>
    <row r="2750" spans="1:12" ht="15" customHeight="1" x14ac:dyDescent="0.35">
      <c r="A2750" s="85"/>
      <c r="B2750" s="86"/>
      <c r="C2750" s="87"/>
      <c r="D2750" s="88"/>
      <c r="E2750" s="43"/>
      <c r="F2750" s="44"/>
      <c r="G2750" s="45"/>
      <c r="H2750" s="46"/>
      <c r="I2750" s="47"/>
      <c r="J2750" s="48"/>
      <c r="K2750" s="49"/>
      <c r="L2750" s="50"/>
    </row>
    <row r="2751" spans="1:12" ht="15" customHeight="1" x14ac:dyDescent="0.35">
      <c r="A2751" s="85"/>
      <c r="B2751" s="86"/>
      <c r="C2751" s="87"/>
      <c r="D2751" s="88"/>
      <c r="E2751" s="43"/>
      <c r="F2751" s="44"/>
      <c r="G2751" s="45"/>
      <c r="H2751" s="46"/>
      <c r="I2751" s="47"/>
      <c r="J2751" s="48"/>
      <c r="K2751" s="49"/>
      <c r="L2751" s="50"/>
    </row>
    <row r="2752" spans="1:12" ht="15" customHeight="1" x14ac:dyDescent="0.35">
      <c r="A2752" s="85"/>
      <c r="B2752" s="86"/>
      <c r="C2752" s="87"/>
      <c r="D2752" s="88"/>
      <c r="E2752" s="43"/>
      <c r="F2752" s="44"/>
      <c r="G2752" s="45"/>
      <c r="H2752" s="46"/>
      <c r="I2752" s="47"/>
      <c r="J2752" s="48"/>
      <c r="K2752" s="49"/>
      <c r="L2752" s="50"/>
    </row>
    <row r="2753" spans="1:12" ht="15" customHeight="1" x14ac:dyDescent="0.35">
      <c r="A2753" s="85"/>
      <c r="B2753" s="86"/>
      <c r="C2753" s="87"/>
      <c r="D2753" s="88"/>
      <c r="E2753" s="43"/>
      <c r="F2753" s="44"/>
      <c r="G2753" s="45"/>
      <c r="H2753" s="46"/>
      <c r="I2753" s="47"/>
      <c r="J2753" s="48"/>
      <c r="K2753" s="49"/>
      <c r="L2753" s="50"/>
    </row>
    <row r="2754" spans="1:12" ht="15" customHeight="1" x14ac:dyDescent="0.35">
      <c r="A2754" s="85"/>
      <c r="B2754" s="86"/>
      <c r="C2754" s="87"/>
      <c r="D2754" s="88"/>
      <c r="E2754" s="43"/>
      <c r="F2754" s="44"/>
      <c r="G2754" s="45"/>
      <c r="H2754" s="46"/>
      <c r="I2754" s="47"/>
      <c r="J2754" s="48"/>
      <c r="K2754" s="49"/>
      <c r="L2754" s="50"/>
    </row>
    <row r="2755" spans="1:12" ht="15" customHeight="1" x14ac:dyDescent="0.35">
      <c r="A2755" s="85"/>
      <c r="B2755" s="86"/>
      <c r="C2755" s="87"/>
      <c r="D2755" s="88"/>
      <c r="E2755" s="43"/>
      <c r="F2755" s="44"/>
      <c r="G2755" s="45"/>
      <c r="H2755" s="46"/>
      <c r="I2755" s="47"/>
      <c r="J2755" s="48"/>
      <c r="K2755" s="49"/>
      <c r="L2755" s="50"/>
    </row>
    <row r="2756" spans="1:12" ht="15" customHeight="1" x14ac:dyDescent="0.35">
      <c r="A2756" s="85"/>
      <c r="B2756" s="86"/>
      <c r="C2756" s="87"/>
      <c r="D2756" s="88"/>
      <c r="E2756" s="43"/>
      <c r="F2756" s="44"/>
      <c r="G2756" s="45"/>
      <c r="H2756" s="46"/>
      <c r="I2756" s="47"/>
      <c r="J2756" s="48"/>
      <c r="K2756" s="49"/>
      <c r="L2756" s="50"/>
    </row>
    <row r="2757" spans="1:12" ht="15" customHeight="1" x14ac:dyDescent="0.35">
      <c r="A2757" s="85"/>
      <c r="B2757" s="86"/>
      <c r="C2757" s="87"/>
      <c r="D2757" s="88"/>
      <c r="E2757" s="43"/>
      <c r="F2757" s="44"/>
      <c r="G2757" s="45"/>
      <c r="H2757" s="46"/>
      <c r="I2757" s="47"/>
      <c r="J2757" s="48"/>
      <c r="K2757" s="49"/>
      <c r="L2757" s="50"/>
    </row>
    <row r="2758" spans="1:12" ht="15" customHeight="1" x14ac:dyDescent="0.35">
      <c r="A2758" s="85"/>
      <c r="B2758" s="86"/>
      <c r="C2758" s="87"/>
      <c r="D2758" s="88"/>
      <c r="E2758" s="43"/>
      <c r="F2758" s="44"/>
      <c r="G2758" s="45"/>
      <c r="H2758" s="46"/>
      <c r="I2758" s="47"/>
      <c r="J2758" s="48"/>
      <c r="K2758" s="49"/>
      <c r="L2758" s="50"/>
    </row>
    <row r="2759" spans="1:12" ht="15" customHeight="1" x14ac:dyDescent="0.35">
      <c r="A2759" s="85"/>
      <c r="B2759" s="86"/>
      <c r="C2759" s="87"/>
      <c r="D2759" s="88"/>
      <c r="E2759" s="43"/>
      <c r="F2759" s="44"/>
      <c r="G2759" s="45"/>
      <c r="H2759" s="46"/>
      <c r="I2759" s="47"/>
      <c r="J2759" s="48"/>
      <c r="K2759" s="49"/>
      <c r="L2759" s="50"/>
    </row>
    <row r="2760" spans="1:12" ht="15" customHeight="1" x14ac:dyDescent="0.35">
      <c r="A2760" s="85"/>
      <c r="B2760" s="86"/>
      <c r="C2760" s="87"/>
      <c r="D2760" s="88"/>
      <c r="E2760" s="43"/>
      <c r="F2760" s="44"/>
      <c r="G2760" s="45"/>
      <c r="H2760" s="46"/>
      <c r="I2760" s="47"/>
      <c r="J2760" s="48"/>
      <c r="K2760" s="49"/>
      <c r="L2760" s="50"/>
    </row>
    <row r="2761" spans="1:12" ht="15" customHeight="1" x14ac:dyDescent="0.35">
      <c r="A2761" s="85"/>
      <c r="B2761" s="86"/>
      <c r="C2761" s="87"/>
      <c r="D2761" s="88"/>
      <c r="E2761" s="43"/>
      <c r="F2761" s="44"/>
      <c r="G2761" s="45"/>
      <c r="H2761" s="46"/>
      <c r="I2761" s="47"/>
      <c r="J2761" s="48"/>
      <c r="K2761" s="49"/>
      <c r="L2761" s="50"/>
    </row>
    <row r="2762" spans="1:12" ht="15" customHeight="1" x14ac:dyDescent="0.35">
      <c r="A2762" s="85"/>
      <c r="B2762" s="86"/>
      <c r="C2762" s="87"/>
      <c r="D2762" s="88"/>
      <c r="E2762" s="43"/>
      <c r="F2762" s="44"/>
      <c r="G2762" s="45"/>
      <c r="H2762" s="46"/>
      <c r="I2762" s="47"/>
      <c r="J2762" s="48"/>
      <c r="K2762" s="49"/>
      <c r="L2762" s="50"/>
    </row>
    <row r="2763" spans="1:12" ht="15" customHeight="1" x14ac:dyDescent="0.35">
      <c r="A2763" s="85"/>
      <c r="B2763" s="86"/>
      <c r="C2763" s="87"/>
      <c r="D2763" s="88"/>
      <c r="E2763" s="43"/>
      <c r="F2763" s="44"/>
      <c r="G2763" s="45"/>
      <c r="H2763" s="46"/>
      <c r="I2763" s="47"/>
      <c r="J2763" s="48"/>
      <c r="K2763" s="49"/>
      <c r="L2763" s="50"/>
    </row>
    <row r="2764" spans="1:12" ht="15" customHeight="1" x14ac:dyDescent="0.35">
      <c r="A2764" s="85"/>
      <c r="B2764" s="86"/>
      <c r="C2764" s="87"/>
      <c r="D2764" s="88"/>
      <c r="E2764" s="43"/>
      <c r="F2764" s="44"/>
      <c r="G2764" s="45"/>
      <c r="H2764" s="46"/>
      <c r="I2764" s="47"/>
      <c r="J2764" s="48"/>
      <c r="K2764" s="49"/>
      <c r="L2764" s="50"/>
    </row>
    <row r="2765" spans="1:12" ht="15" customHeight="1" x14ac:dyDescent="0.35">
      <c r="A2765" s="85"/>
      <c r="B2765" s="86"/>
      <c r="C2765" s="87"/>
      <c r="D2765" s="88"/>
      <c r="E2765" s="43"/>
      <c r="F2765" s="44"/>
      <c r="G2765" s="45"/>
      <c r="H2765" s="46"/>
      <c r="I2765" s="47"/>
      <c r="J2765" s="48"/>
      <c r="K2765" s="49"/>
      <c r="L2765" s="50"/>
    </row>
    <row r="2766" spans="1:12" ht="15" customHeight="1" x14ac:dyDescent="0.35">
      <c r="A2766" s="85"/>
      <c r="B2766" s="86"/>
      <c r="C2766" s="87"/>
      <c r="D2766" s="88"/>
      <c r="E2766" s="43"/>
      <c r="F2766" s="44"/>
      <c r="G2766" s="45"/>
      <c r="H2766" s="46"/>
      <c r="I2766" s="47"/>
      <c r="J2766" s="48"/>
      <c r="K2766" s="49"/>
      <c r="L2766" s="50"/>
    </row>
    <row r="2767" spans="1:12" ht="15" customHeight="1" x14ac:dyDescent="0.35">
      <c r="A2767" s="85"/>
      <c r="B2767" s="86"/>
      <c r="C2767" s="87"/>
      <c r="D2767" s="88"/>
      <c r="E2767" s="43"/>
      <c r="F2767" s="44"/>
      <c r="G2767" s="45"/>
      <c r="H2767" s="46"/>
      <c r="I2767" s="47"/>
      <c r="J2767" s="48"/>
      <c r="K2767" s="49"/>
      <c r="L2767" s="50"/>
    </row>
    <row r="2768" spans="1:12" ht="15" customHeight="1" x14ac:dyDescent="0.35">
      <c r="A2768" s="85"/>
      <c r="B2768" s="86"/>
      <c r="C2768" s="87"/>
      <c r="D2768" s="88"/>
      <c r="E2768" s="43"/>
      <c r="F2768" s="44"/>
      <c r="G2768" s="45"/>
      <c r="H2768" s="46"/>
      <c r="I2768" s="47"/>
      <c r="J2768" s="48"/>
      <c r="K2768" s="49"/>
      <c r="L2768" s="50"/>
    </row>
    <row r="2769" spans="1:12" ht="15" customHeight="1" x14ac:dyDescent="0.35">
      <c r="A2769" s="85"/>
      <c r="B2769" s="86"/>
      <c r="C2769" s="87"/>
      <c r="D2769" s="88"/>
      <c r="E2769" s="43"/>
      <c r="F2769" s="44"/>
      <c r="G2769" s="45"/>
      <c r="H2769" s="46"/>
      <c r="I2769" s="47"/>
      <c r="J2769" s="48"/>
      <c r="K2769" s="49"/>
      <c r="L2769" s="50"/>
    </row>
    <row r="2770" spans="1:12" ht="15" customHeight="1" x14ac:dyDescent="0.35">
      <c r="A2770" s="85"/>
      <c r="B2770" s="86"/>
      <c r="C2770" s="87"/>
      <c r="D2770" s="88"/>
      <c r="E2770" s="43"/>
      <c r="F2770" s="44"/>
      <c r="G2770" s="45"/>
      <c r="H2770" s="46"/>
      <c r="I2770" s="47"/>
      <c r="J2770" s="48"/>
      <c r="K2770" s="49"/>
      <c r="L2770" s="50"/>
    </row>
    <row r="2771" spans="1:12" ht="15" customHeight="1" x14ac:dyDescent="0.35">
      <c r="A2771" s="85"/>
      <c r="B2771" s="86"/>
      <c r="C2771" s="87"/>
      <c r="D2771" s="88"/>
      <c r="E2771" s="43"/>
      <c r="F2771" s="44"/>
      <c r="G2771" s="45"/>
      <c r="H2771" s="46"/>
      <c r="I2771" s="47"/>
      <c r="J2771" s="48"/>
      <c r="K2771" s="49"/>
      <c r="L2771" s="50"/>
    </row>
    <row r="2772" spans="1:12" ht="15" customHeight="1" x14ac:dyDescent="0.35">
      <c r="A2772" s="85"/>
      <c r="B2772" s="86"/>
      <c r="C2772" s="87"/>
      <c r="D2772" s="88"/>
      <c r="E2772" s="43"/>
      <c r="F2772" s="44"/>
      <c r="G2772" s="45"/>
      <c r="H2772" s="46"/>
      <c r="I2772" s="47"/>
      <c r="J2772" s="48"/>
      <c r="K2772" s="49"/>
      <c r="L2772" s="50"/>
    </row>
    <row r="2773" spans="1:12" ht="15" customHeight="1" x14ac:dyDescent="0.35">
      <c r="A2773" s="85"/>
      <c r="B2773" s="86"/>
      <c r="C2773" s="87"/>
      <c r="D2773" s="88"/>
      <c r="E2773" s="43"/>
      <c r="F2773" s="44"/>
      <c r="G2773" s="45"/>
      <c r="H2773" s="46"/>
      <c r="I2773" s="47"/>
      <c r="J2773" s="48"/>
      <c r="K2773" s="49"/>
      <c r="L2773" s="50"/>
    </row>
    <row r="2774" spans="1:12" ht="15" customHeight="1" x14ac:dyDescent="0.35">
      <c r="A2774" s="85"/>
      <c r="B2774" s="86"/>
      <c r="C2774" s="87"/>
      <c r="D2774" s="88"/>
      <c r="E2774" s="43"/>
      <c r="F2774" s="44"/>
      <c r="G2774" s="45"/>
      <c r="H2774" s="46"/>
      <c r="I2774" s="47"/>
      <c r="J2774" s="48"/>
      <c r="K2774" s="49"/>
      <c r="L2774" s="50"/>
    </row>
    <row r="2775" spans="1:12" ht="15" customHeight="1" x14ac:dyDescent="0.35">
      <c r="A2775" s="85"/>
      <c r="B2775" s="86"/>
      <c r="C2775" s="87"/>
      <c r="D2775" s="88"/>
      <c r="E2775" s="43"/>
      <c r="F2775" s="44"/>
      <c r="G2775" s="45"/>
      <c r="H2775" s="46"/>
      <c r="I2775" s="47"/>
      <c r="J2775" s="48"/>
      <c r="K2775" s="49"/>
      <c r="L2775" s="50"/>
    </row>
    <row r="2776" spans="1:12" ht="15" customHeight="1" x14ac:dyDescent="0.35">
      <c r="A2776" s="85"/>
      <c r="B2776" s="86"/>
      <c r="C2776" s="87"/>
      <c r="D2776" s="88"/>
      <c r="E2776" s="43"/>
      <c r="F2776" s="44"/>
      <c r="G2776" s="45"/>
      <c r="H2776" s="46"/>
      <c r="I2776" s="47"/>
      <c r="J2776" s="48"/>
      <c r="K2776" s="49"/>
      <c r="L2776" s="50"/>
    </row>
    <row r="2777" spans="1:12" ht="15" customHeight="1" x14ac:dyDescent="0.35">
      <c r="A2777" s="85"/>
      <c r="B2777" s="86"/>
      <c r="C2777" s="87"/>
      <c r="D2777" s="88"/>
      <c r="E2777" s="43"/>
      <c r="F2777" s="44"/>
      <c r="G2777" s="45"/>
      <c r="H2777" s="46"/>
      <c r="I2777" s="47"/>
      <c r="J2777" s="48"/>
      <c r="K2777" s="49"/>
      <c r="L2777" s="50"/>
    </row>
    <row r="2778" spans="1:12" ht="15" customHeight="1" x14ac:dyDescent="0.35">
      <c r="A2778" s="85"/>
      <c r="B2778" s="86"/>
      <c r="C2778" s="87"/>
      <c r="D2778" s="88"/>
      <c r="E2778" s="43"/>
      <c r="F2778" s="44"/>
      <c r="G2778" s="45"/>
      <c r="H2778" s="46"/>
      <c r="I2778" s="47"/>
      <c r="J2778" s="48"/>
      <c r="K2778" s="49"/>
      <c r="L2778" s="50"/>
    </row>
    <row r="2779" spans="1:12" ht="15" customHeight="1" x14ac:dyDescent="0.35">
      <c r="A2779" s="85"/>
      <c r="B2779" s="86"/>
      <c r="C2779" s="87"/>
      <c r="D2779" s="88"/>
      <c r="E2779" s="43"/>
      <c r="F2779" s="44"/>
      <c r="G2779" s="45"/>
      <c r="H2779" s="46"/>
      <c r="I2779" s="47"/>
      <c r="J2779" s="48"/>
      <c r="K2779" s="49"/>
      <c r="L2779" s="50"/>
    </row>
    <row r="2780" spans="1:12" ht="15" customHeight="1" x14ac:dyDescent="0.35">
      <c r="A2780" s="85"/>
      <c r="B2780" s="86"/>
      <c r="C2780" s="87"/>
      <c r="D2780" s="88"/>
      <c r="E2780" s="43"/>
      <c r="F2780" s="44"/>
      <c r="G2780" s="45"/>
      <c r="H2780" s="46"/>
      <c r="I2780" s="47"/>
      <c r="J2780" s="48"/>
      <c r="K2780" s="49"/>
      <c r="L2780" s="50"/>
    </row>
    <row r="2781" spans="1:12" ht="15" customHeight="1" x14ac:dyDescent="0.35">
      <c r="A2781" s="85"/>
      <c r="B2781" s="86"/>
      <c r="C2781" s="87"/>
      <c r="D2781" s="88"/>
      <c r="E2781" s="43"/>
      <c r="F2781" s="44"/>
      <c r="G2781" s="45"/>
      <c r="H2781" s="46"/>
      <c r="I2781" s="47"/>
      <c r="J2781" s="48"/>
      <c r="K2781" s="49"/>
      <c r="L2781" s="50"/>
    </row>
    <row r="2782" spans="1:12" ht="15" customHeight="1" x14ac:dyDescent="0.35">
      <c r="A2782" s="85"/>
      <c r="B2782" s="86"/>
      <c r="C2782" s="87"/>
      <c r="D2782" s="88"/>
      <c r="E2782" s="43"/>
      <c r="F2782" s="44"/>
      <c r="G2782" s="45"/>
      <c r="H2782" s="46"/>
      <c r="I2782" s="47"/>
      <c r="J2782" s="48"/>
      <c r="K2782" s="49"/>
      <c r="L2782" s="50"/>
    </row>
    <row r="2783" spans="1:12" ht="15" customHeight="1" x14ac:dyDescent="0.35">
      <c r="A2783" s="85"/>
      <c r="B2783" s="86"/>
      <c r="C2783" s="87"/>
      <c r="D2783" s="88"/>
      <c r="E2783" s="43"/>
      <c r="F2783" s="44"/>
      <c r="G2783" s="45"/>
      <c r="H2783" s="46"/>
      <c r="I2783" s="47"/>
      <c r="J2783" s="48"/>
      <c r="K2783" s="49"/>
      <c r="L2783" s="50"/>
    </row>
    <row r="2784" spans="1:12" ht="15" customHeight="1" x14ac:dyDescent="0.35">
      <c r="A2784" s="85"/>
      <c r="B2784" s="86"/>
      <c r="C2784" s="87"/>
      <c r="D2784" s="88"/>
      <c r="E2784" s="43"/>
      <c r="F2784" s="44"/>
      <c r="G2784" s="45"/>
      <c r="H2784" s="46"/>
      <c r="I2784" s="47"/>
      <c r="J2784" s="48"/>
      <c r="K2784" s="49"/>
      <c r="L2784" s="50"/>
    </row>
    <row r="2785" spans="1:12" ht="15" customHeight="1" x14ac:dyDescent="0.35">
      <c r="A2785" s="85"/>
      <c r="B2785" s="86"/>
      <c r="C2785" s="87"/>
      <c r="D2785" s="88"/>
      <c r="E2785" s="43"/>
      <c r="F2785" s="44"/>
      <c r="G2785" s="45"/>
      <c r="H2785" s="46"/>
      <c r="I2785" s="47"/>
      <c r="J2785" s="48"/>
      <c r="K2785" s="49"/>
      <c r="L2785" s="50"/>
    </row>
    <row r="2786" spans="1:12" ht="15" customHeight="1" x14ac:dyDescent="0.35">
      <c r="A2786" s="85"/>
      <c r="B2786" s="86"/>
      <c r="C2786" s="87"/>
      <c r="D2786" s="88"/>
      <c r="E2786" s="43"/>
      <c r="F2786" s="44"/>
      <c r="G2786" s="45"/>
      <c r="H2786" s="46"/>
      <c r="I2786" s="47"/>
      <c r="J2786" s="48"/>
      <c r="K2786" s="49"/>
      <c r="L2786" s="50"/>
    </row>
    <row r="2787" spans="1:12" ht="15" customHeight="1" x14ac:dyDescent="0.35">
      <c r="A2787" s="85"/>
      <c r="B2787" s="86"/>
      <c r="C2787" s="87"/>
      <c r="D2787" s="88"/>
      <c r="E2787" s="43"/>
      <c r="F2787" s="44"/>
      <c r="G2787" s="45"/>
      <c r="H2787" s="46"/>
      <c r="I2787" s="47"/>
      <c r="J2787" s="48"/>
      <c r="K2787" s="49"/>
      <c r="L2787" s="50"/>
    </row>
    <row r="2788" spans="1:12" ht="15" customHeight="1" x14ac:dyDescent="0.35">
      <c r="A2788" s="85"/>
      <c r="B2788" s="86"/>
      <c r="C2788" s="87"/>
      <c r="D2788" s="88"/>
      <c r="E2788" s="43"/>
      <c r="F2788" s="44"/>
      <c r="G2788" s="45"/>
      <c r="H2788" s="46"/>
      <c r="I2788" s="47"/>
      <c r="J2788" s="48"/>
      <c r="K2788" s="49"/>
      <c r="L2788" s="50"/>
    </row>
    <row r="2789" spans="1:12" ht="15" customHeight="1" x14ac:dyDescent="0.35">
      <c r="A2789" s="85"/>
      <c r="B2789" s="86"/>
      <c r="C2789" s="87"/>
      <c r="D2789" s="88"/>
      <c r="E2789" s="43"/>
      <c r="F2789" s="44"/>
      <c r="G2789" s="45"/>
      <c r="H2789" s="46"/>
      <c r="I2789" s="47"/>
      <c r="J2789" s="48"/>
      <c r="K2789" s="49"/>
      <c r="L2789" s="50"/>
    </row>
    <row r="2790" spans="1:12" ht="15" customHeight="1" x14ac:dyDescent="0.35">
      <c r="A2790" s="85"/>
      <c r="B2790" s="86"/>
      <c r="C2790" s="87"/>
      <c r="D2790" s="88"/>
      <c r="E2790" s="43"/>
      <c r="F2790" s="44"/>
      <c r="G2790" s="45"/>
      <c r="H2790" s="46"/>
      <c r="I2790" s="47"/>
      <c r="J2790" s="48"/>
      <c r="K2790" s="49"/>
      <c r="L2790" s="50"/>
    </row>
    <row r="2791" spans="1:12" ht="15" customHeight="1" x14ac:dyDescent="0.35">
      <c r="A2791" s="85"/>
      <c r="B2791" s="86"/>
      <c r="C2791" s="87"/>
      <c r="D2791" s="88"/>
      <c r="E2791" s="43"/>
      <c r="F2791" s="44"/>
      <c r="G2791" s="45"/>
      <c r="H2791" s="46"/>
      <c r="I2791" s="47"/>
      <c r="J2791" s="48"/>
      <c r="K2791" s="49"/>
      <c r="L2791" s="50"/>
    </row>
    <row r="2792" spans="1:12" ht="15" customHeight="1" x14ac:dyDescent="0.35">
      <c r="A2792" s="85"/>
      <c r="B2792" s="86"/>
      <c r="C2792" s="87"/>
      <c r="D2792" s="88"/>
      <c r="E2792" s="43"/>
      <c r="F2792" s="44"/>
      <c r="G2792" s="45"/>
      <c r="H2792" s="46"/>
      <c r="I2792" s="47"/>
      <c r="J2792" s="48"/>
      <c r="K2792" s="49"/>
      <c r="L2792" s="50"/>
    </row>
    <row r="2793" spans="1:12" ht="15" customHeight="1" x14ac:dyDescent="0.35">
      <c r="A2793" s="85"/>
      <c r="B2793" s="86"/>
      <c r="C2793" s="87"/>
      <c r="D2793" s="88"/>
      <c r="E2793" s="43"/>
      <c r="F2793" s="44"/>
      <c r="G2793" s="45"/>
      <c r="H2793" s="46"/>
      <c r="I2793" s="47"/>
      <c r="J2793" s="48"/>
      <c r="K2793" s="49"/>
      <c r="L2793" s="50"/>
    </row>
    <row r="2794" spans="1:12" ht="15" customHeight="1" x14ac:dyDescent="0.35">
      <c r="A2794" s="85"/>
      <c r="B2794" s="86"/>
      <c r="C2794" s="87"/>
      <c r="D2794" s="88"/>
      <c r="E2794" s="43"/>
      <c r="F2794" s="44"/>
      <c r="G2794" s="45"/>
      <c r="H2794" s="46"/>
      <c r="I2794" s="47"/>
      <c r="J2794" s="48"/>
      <c r="K2794" s="49"/>
      <c r="L2794" s="50"/>
    </row>
    <row r="2795" spans="1:12" ht="15" customHeight="1" x14ac:dyDescent="0.35">
      <c r="A2795" s="85"/>
      <c r="B2795" s="86"/>
      <c r="C2795" s="87"/>
      <c r="D2795" s="88"/>
      <c r="E2795" s="43"/>
      <c r="F2795" s="44"/>
      <c r="G2795" s="45"/>
      <c r="H2795" s="46"/>
      <c r="I2795" s="47"/>
      <c r="J2795" s="48"/>
      <c r="K2795" s="49"/>
      <c r="L2795" s="50"/>
    </row>
    <row r="2796" spans="1:12" ht="15" customHeight="1" x14ac:dyDescent="0.35">
      <c r="A2796" s="85"/>
      <c r="B2796" s="86"/>
      <c r="C2796" s="87"/>
      <c r="D2796" s="88"/>
      <c r="E2796" s="43"/>
      <c r="F2796" s="44"/>
      <c r="G2796" s="45"/>
      <c r="H2796" s="46"/>
      <c r="I2796" s="47"/>
      <c r="J2796" s="48"/>
      <c r="K2796" s="49"/>
      <c r="L2796" s="50"/>
    </row>
    <row r="2797" spans="1:12" ht="15" customHeight="1" x14ac:dyDescent="0.35">
      <c r="A2797" s="85"/>
      <c r="B2797" s="86"/>
      <c r="C2797" s="87"/>
      <c r="D2797" s="88"/>
      <c r="E2797" s="43"/>
      <c r="F2797" s="44"/>
      <c r="G2797" s="45"/>
      <c r="H2797" s="46"/>
      <c r="I2797" s="47"/>
      <c r="J2797" s="48"/>
      <c r="K2797" s="49"/>
      <c r="L2797" s="50"/>
    </row>
    <row r="2798" spans="1:12" ht="15" customHeight="1" x14ac:dyDescent="0.35">
      <c r="A2798" s="85"/>
      <c r="B2798" s="86"/>
      <c r="C2798" s="87"/>
      <c r="D2798" s="88"/>
      <c r="E2798" s="43"/>
      <c r="F2798" s="44"/>
      <c r="G2798" s="45"/>
      <c r="H2798" s="46"/>
      <c r="I2798" s="47"/>
      <c r="J2798" s="48"/>
      <c r="K2798" s="49"/>
      <c r="L2798" s="50"/>
    </row>
    <row r="2799" spans="1:12" ht="15" customHeight="1" x14ac:dyDescent="0.35">
      <c r="A2799" s="85"/>
      <c r="B2799" s="86"/>
      <c r="C2799" s="87"/>
      <c r="D2799" s="88"/>
      <c r="E2799" s="43"/>
      <c r="F2799" s="44"/>
      <c r="G2799" s="45"/>
      <c r="H2799" s="46"/>
      <c r="I2799" s="47"/>
      <c r="J2799" s="48"/>
      <c r="K2799" s="49"/>
      <c r="L2799" s="50"/>
    </row>
    <row r="2800" spans="1:12" ht="15" customHeight="1" x14ac:dyDescent="0.35">
      <c r="A2800" s="85"/>
      <c r="B2800" s="86"/>
      <c r="C2800" s="87"/>
      <c r="D2800" s="88"/>
      <c r="E2800" s="43"/>
      <c r="F2800" s="44"/>
      <c r="G2800" s="45"/>
      <c r="H2800" s="46"/>
      <c r="I2800" s="47"/>
      <c r="J2800" s="48"/>
      <c r="K2800" s="49"/>
      <c r="L2800" s="50"/>
    </row>
    <row r="2801" spans="1:12" ht="15" customHeight="1" x14ac:dyDescent="0.35">
      <c r="A2801" s="85"/>
      <c r="B2801" s="86"/>
      <c r="C2801" s="87"/>
      <c r="D2801" s="88"/>
      <c r="E2801" s="43"/>
      <c r="F2801" s="44"/>
      <c r="G2801" s="45"/>
      <c r="H2801" s="46"/>
      <c r="I2801" s="47"/>
      <c r="J2801" s="48"/>
      <c r="K2801" s="49"/>
      <c r="L2801" s="50"/>
    </row>
    <row r="2802" spans="1:12" ht="15" customHeight="1" x14ac:dyDescent="0.35">
      <c r="A2802" s="85"/>
      <c r="B2802" s="86"/>
      <c r="C2802" s="87"/>
      <c r="D2802" s="88"/>
      <c r="E2802" s="43"/>
      <c r="F2802" s="44"/>
      <c r="G2802" s="45"/>
      <c r="H2802" s="46"/>
      <c r="I2802" s="47"/>
      <c r="J2802" s="48"/>
      <c r="K2802" s="49"/>
      <c r="L2802" s="50"/>
    </row>
    <row r="2803" spans="1:12" ht="15" customHeight="1" x14ac:dyDescent="0.35">
      <c r="A2803" s="85"/>
      <c r="B2803" s="86"/>
      <c r="C2803" s="87"/>
      <c r="D2803" s="88"/>
      <c r="E2803" s="43"/>
      <c r="F2803" s="44"/>
      <c r="G2803" s="45"/>
      <c r="H2803" s="46"/>
      <c r="I2803" s="47"/>
      <c r="J2803" s="48"/>
      <c r="K2803" s="49"/>
      <c r="L2803" s="50"/>
    </row>
    <row r="2804" spans="1:12" ht="15" customHeight="1" x14ac:dyDescent="0.35">
      <c r="A2804" s="85"/>
      <c r="B2804" s="86"/>
      <c r="C2804" s="87"/>
      <c r="D2804" s="88"/>
      <c r="E2804" s="43"/>
      <c r="F2804" s="44"/>
      <c r="G2804" s="45"/>
      <c r="H2804" s="46"/>
      <c r="I2804" s="47"/>
      <c r="J2804" s="48"/>
      <c r="K2804" s="49"/>
      <c r="L2804" s="50"/>
    </row>
    <row r="2805" spans="1:12" ht="15" customHeight="1" x14ac:dyDescent="0.35">
      <c r="A2805" s="85"/>
      <c r="B2805" s="86"/>
      <c r="C2805" s="87"/>
      <c r="D2805" s="88"/>
      <c r="E2805" s="43"/>
      <c r="F2805" s="44"/>
      <c r="G2805" s="45"/>
      <c r="H2805" s="46"/>
      <c r="I2805" s="47"/>
      <c r="J2805" s="48"/>
      <c r="K2805" s="49"/>
      <c r="L2805" s="50"/>
    </row>
    <row r="2806" spans="1:12" ht="15" customHeight="1" x14ac:dyDescent="0.35">
      <c r="A2806" s="85"/>
      <c r="B2806" s="86"/>
      <c r="C2806" s="87"/>
      <c r="D2806" s="88"/>
      <c r="E2806" s="43"/>
      <c r="F2806" s="44"/>
      <c r="G2806" s="45"/>
      <c r="H2806" s="46"/>
      <c r="I2806" s="47"/>
      <c r="J2806" s="48"/>
      <c r="K2806" s="49"/>
      <c r="L2806" s="50"/>
    </row>
    <row r="2807" spans="1:12" ht="15" customHeight="1" x14ac:dyDescent="0.35">
      <c r="A2807" s="85"/>
      <c r="B2807" s="86"/>
      <c r="C2807" s="87"/>
      <c r="D2807" s="88"/>
      <c r="E2807" s="43"/>
      <c r="F2807" s="44"/>
      <c r="G2807" s="45"/>
      <c r="H2807" s="46"/>
      <c r="I2807" s="47"/>
      <c r="J2807" s="48"/>
      <c r="K2807" s="49"/>
      <c r="L2807" s="50"/>
    </row>
    <row r="2808" spans="1:12" ht="15" customHeight="1" x14ac:dyDescent="0.35">
      <c r="A2808" s="85"/>
      <c r="B2808" s="86"/>
      <c r="C2808" s="87"/>
      <c r="D2808" s="88"/>
      <c r="E2808" s="43"/>
      <c r="F2808" s="44"/>
      <c r="G2808" s="45"/>
      <c r="H2808" s="46"/>
      <c r="I2808" s="47"/>
      <c r="J2808" s="48"/>
      <c r="K2808" s="49"/>
      <c r="L2808" s="50"/>
    </row>
    <row r="2809" spans="1:12" ht="15" customHeight="1" x14ac:dyDescent="0.35">
      <c r="A2809" s="85"/>
      <c r="B2809" s="86"/>
      <c r="C2809" s="87"/>
      <c r="D2809" s="88"/>
      <c r="E2809" s="43"/>
      <c r="F2809" s="44"/>
      <c r="G2809" s="45"/>
      <c r="H2809" s="46"/>
      <c r="I2809" s="47"/>
      <c r="J2809" s="48"/>
      <c r="K2809" s="49"/>
      <c r="L2809" s="50"/>
    </row>
    <row r="2810" spans="1:12" ht="15" customHeight="1" x14ac:dyDescent="0.35">
      <c r="A2810" s="85"/>
      <c r="B2810" s="86"/>
      <c r="C2810" s="87"/>
      <c r="D2810" s="88"/>
      <c r="E2810" s="43"/>
      <c r="F2810" s="44"/>
      <c r="G2810" s="45"/>
      <c r="H2810" s="46"/>
      <c r="I2810" s="47"/>
      <c r="J2810" s="48"/>
      <c r="K2810" s="49"/>
      <c r="L2810" s="50"/>
    </row>
    <row r="2811" spans="1:12" ht="15" customHeight="1" x14ac:dyDescent="0.35">
      <c r="A2811" s="85"/>
      <c r="B2811" s="86"/>
      <c r="C2811" s="87"/>
      <c r="D2811" s="88"/>
      <c r="E2811" s="43"/>
      <c r="F2811" s="44"/>
      <c r="G2811" s="45"/>
      <c r="H2811" s="46"/>
      <c r="I2811" s="47"/>
      <c r="J2811" s="48"/>
      <c r="K2811" s="49"/>
      <c r="L2811" s="50"/>
    </row>
    <row r="2812" spans="1:12" ht="15" customHeight="1" x14ac:dyDescent="0.35">
      <c r="A2812" s="85"/>
      <c r="B2812" s="86"/>
      <c r="C2812" s="87"/>
      <c r="D2812" s="88"/>
      <c r="E2812" s="43"/>
      <c r="F2812" s="44"/>
      <c r="G2812" s="45"/>
      <c r="H2812" s="46"/>
      <c r="I2812" s="47"/>
      <c r="J2812" s="48"/>
      <c r="K2812" s="49"/>
      <c r="L2812" s="50"/>
    </row>
    <row r="2813" spans="1:12" ht="15" customHeight="1" x14ac:dyDescent="0.35">
      <c r="A2813" s="85"/>
      <c r="B2813" s="86"/>
      <c r="C2813" s="87"/>
      <c r="D2813" s="88"/>
      <c r="E2813" s="43"/>
      <c r="F2813" s="44"/>
      <c r="G2813" s="45"/>
      <c r="H2813" s="46"/>
      <c r="I2813" s="47"/>
      <c r="J2813" s="48"/>
      <c r="K2813" s="49"/>
      <c r="L2813" s="50"/>
    </row>
    <row r="2814" spans="1:12" ht="15" customHeight="1" x14ac:dyDescent="0.35">
      <c r="A2814" s="85"/>
      <c r="B2814" s="86"/>
      <c r="C2814" s="87"/>
      <c r="D2814" s="88"/>
      <c r="E2814" s="43"/>
      <c r="F2814" s="44"/>
      <c r="G2814" s="45"/>
      <c r="H2814" s="46"/>
      <c r="I2814" s="47"/>
      <c r="J2814" s="48"/>
      <c r="K2814" s="49"/>
      <c r="L2814" s="50"/>
    </row>
    <row r="2815" spans="1:12" ht="15" customHeight="1" x14ac:dyDescent="0.35">
      <c r="A2815" s="85"/>
      <c r="B2815" s="86"/>
      <c r="C2815" s="87"/>
      <c r="D2815" s="88"/>
      <c r="E2815" s="43"/>
      <c r="F2815" s="44"/>
      <c r="G2815" s="45"/>
      <c r="H2815" s="46"/>
      <c r="I2815" s="47"/>
      <c r="J2815" s="48"/>
      <c r="K2815" s="49"/>
      <c r="L2815" s="50"/>
    </row>
    <row r="2816" spans="1:12" ht="15" customHeight="1" x14ac:dyDescent="0.35">
      <c r="A2816" s="85"/>
      <c r="B2816" s="86"/>
      <c r="C2816" s="87"/>
      <c r="D2816" s="88"/>
      <c r="E2816" s="43"/>
      <c r="F2816" s="44"/>
      <c r="G2816" s="45"/>
      <c r="H2816" s="46"/>
      <c r="I2816" s="47"/>
      <c r="J2816" s="48"/>
      <c r="K2816" s="49"/>
      <c r="L2816" s="50"/>
    </row>
    <row r="2817" spans="1:12" ht="15" customHeight="1" x14ac:dyDescent="0.35">
      <c r="A2817" s="85"/>
      <c r="B2817" s="86"/>
      <c r="C2817" s="87"/>
      <c r="D2817" s="88"/>
      <c r="E2817" s="43"/>
      <c r="F2817" s="44"/>
      <c r="G2817" s="45"/>
      <c r="H2817" s="46"/>
      <c r="I2817" s="47"/>
      <c r="J2817" s="48"/>
      <c r="K2817" s="49"/>
      <c r="L2817" s="50"/>
    </row>
    <row r="2818" spans="1:12" ht="15" customHeight="1" x14ac:dyDescent="0.35">
      <c r="A2818" s="85"/>
      <c r="B2818" s="86"/>
      <c r="C2818" s="87"/>
      <c r="D2818" s="88"/>
      <c r="E2818" s="43"/>
      <c r="F2818" s="44"/>
      <c r="G2818" s="45"/>
      <c r="H2818" s="46"/>
      <c r="I2818" s="47"/>
      <c r="J2818" s="48"/>
      <c r="K2818" s="49"/>
      <c r="L2818" s="50"/>
    </row>
    <row r="2819" spans="1:12" ht="15" customHeight="1" x14ac:dyDescent="0.35">
      <c r="A2819" s="85"/>
      <c r="B2819" s="86"/>
      <c r="C2819" s="87"/>
      <c r="D2819" s="88"/>
      <c r="E2819" s="43"/>
      <c r="F2819" s="44"/>
      <c r="G2819" s="45"/>
      <c r="H2819" s="46"/>
      <c r="I2819" s="47"/>
      <c r="J2819" s="48"/>
      <c r="K2819" s="49"/>
      <c r="L2819" s="50"/>
    </row>
    <row r="2820" spans="1:12" ht="15" customHeight="1" x14ac:dyDescent="0.35">
      <c r="A2820" s="85"/>
      <c r="B2820" s="86"/>
      <c r="C2820" s="87"/>
      <c r="D2820" s="88"/>
      <c r="E2820" s="43"/>
      <c r="F2820" s="44"/>
      <c r="G2820" s="45"/>
      <c r="H2820" s="46"/>
      <c r="I2820" s="47"/>
      <c r="J2820" s="48"/>
      <c r="K2820" s="49"/>
      <c r="L2820" s="50"/>
    </row>
    <row r="2821" spans="1:12" ht="15" customHeight="1" x14ac:dyDescent="0.35">
      <c r="A2821" s="85"/>
      <c r="B2821" s="86"/>
      <c r="C2821" s="87"/>
      <c r="D2821" s="88"/>
      <c r="E2821" s="43"/>
      <c r="F2821" s="44"/>
      <c r="G2821" s="45"/>
      <c r="H2821" s="46"/>
      <c r="I2821" s="47"/>
      <c r="J2821" s="48"/>
      <c r="K2821" s="49"/>
      <c r="L2821" s="50"/>
    </row>
    <row r="2822" spans="1:12" ht="15" customHeight="1" x14ac:dyDescent="0.35">
      <c r="A2822" s="85"/>
      <c r="B2822" s="86"/>
      <c r="C2822" s="87"/>
      <c r="D2822" s="88"/>
      <c r="E2822" s="43"/>
      <c r="F2822" s="44"/>
      <c r="G2822" s="45"/>
      <c r="H2822" s="46"/>
      <c r="I2822" s="47"/>
      <c r="J2822" s="48"/>
      <c r="K2822" s="49"/>
      <c r="L2822" s="50"/>
    </row>
    <row r="2823" spans="1:12" ht="15" customHeight="1" x14ac:dyDescent="0.35">
      <c r="A2823" s="85"/>
      <c r="B2823" s="86"/>
      <c r="C2823" s="87"/>
      <c r="D2823" s="88"/>
      <c r="E2823" s="43"/>
      <c r="F2823" s="44"/>
      <c r="G2823" s="45"/>
      <c r="H2823" s="46"/>
      <c r="I2823" s="47"/>
      <c r="J2823" s="48"/>
      <c r="K2823" s="49"/>
      <c r="L2823" s="50"/>
    </row>
    <row r="2824" spans="1:12" ht="15" customHeight="1" x14ac:dyDescent="0.35">
      <c r="A2824" s="85"/>
      <c r="B2824" s="86"/>
      <c r="C2824" s="87"/>
      <c r="D2824" s="88"/>
      <c r="E2824" s="43"/>
      <c r="F2824" s="44"/>
      <c r="G2824" s="45"/>
      <c r="H2824" s="46"/>
      <c r="I2824" s="47"/>
      <c r="J2824" s="48"/>
      <c r="K2824" s="49"/>
      <c r="L2824" s="50"/>
    </row>
    <row r="2825" spans="1:12" ht="15" customHeight="1" x14ac:dyDescent="0.35">
      <c r="A2825" s="85"/>
      <c r="B2825" s="86"/>
      <c r="C2825" s="87"/>
      <c r="D2825" s="88"/>
      <c r="E2825" s="43"/>
      <c r="F2825" s="44"/>
      <c r="G2825" s="45"/>
      <c r="H2825" s="46"/>
      <c r="I2825" s="47"/>
      <c r="J2825" s="48"/>
      <c r="K2825" s="49"/>
      <c r="L2825" s="50"/>
    </row>
    <row r="2826" spans="1:12" ht="15" customHeight="1" x14ac:dyDescent="0.35">
      <c r="A2826" s="85"/>
      <c r="B2826" s="86"/>
      <c r="C2826" s="87"/>
      <c r="D2826" s="88"/>
      <c r="E2826" s="43"/>
      <c r="F2826" s="44"/>
      <c r="G2826" s="45"/>
      <c r="H2826" s="46"/>
      <c r="I2826" s="47"/>
      <c r="J2826" s="48"/>
      <c r="K2826" s="49"/>
      <c r="L2826" s="50"/>
    </row>
    <row r="2827" spans="1:12" ht="15" customHeight="1" x14ac:dyDescent="0.35">
      <c r="A2827" s="85"/>
      <c r="B2827" s="86"/>
      <c r="C2827" s="87"/>
      <c r="D2827" s="88"/>
      <c r="E2827" s="43"/>
      <c r="F2827" s="44"/>
      <c r="G2827" s="45"/>
      <c r="H2827" s="46"/>
      <c r="I2827" s="47"/>
      <c r="J2827" s="48"/>
      <c r="K2827" s="49"/>
      <c r="L2827" s="50"/>
    </row>
    <row r="2828" spans="1:12" ht="15" customHeight="1" x14ac:dyDescent="0.35">
      <c r="A2828" s="85"/>
      <c r="B2828" s="86"/>
      <c r="C2828" s="87"/>
      <c r="D2828" s="88"/>
      <c r="E2828" s="43"/>
      <c r="F2828" s="44"/>
      <c r="G2828" s="45"/>
      <c r="H2828" s="46"/>
      <c r="I2828" s="47"/>
      <c r="J2828" s="48"/>
      <c r="K2828" s="49"/>
      <c r="L2828" s="50"/>
    </row>
    <row r="2829" spans="1:12" ht="15" customHeight="1" x14ac:dyDescent="0.35">
      <c r="A2829" s="85"/>
      <c r="B2829" s="86"/>
      <c r="C2829" s="87"/>
      <c r="D2829" s="88"/>
      <c r="E2829" s="43"/>
      <c r="F2829" s="44"/>
      <c r="G2829" s="45"/>
      <c r="H2829" s="46"/>
      <c r="I2829" s="47"/>
      <c r="J2829" s="48"/>
      <c r="K2829" s="49"/>
      <c r="L2829" s="50"/>
    </row>
    <row r="2830" spans="1:12" ht="15" customHeight="1" x14ac:dyDescent="0.35">
      <c r="A2830" s="85"/>
      <c r="B2830" s="86"/>
      <c r="C2830" s="87"/>
      <c r="D2830" s="88"/>
      <c r="E2830" s="43"/>
      <c r="F2830" s="44"/>
      <c r="G2830" s="45"/>
      <c r="H2830" s="46"/>
      <c r="I2830" s="47"/>
      <c r="J2830" s="48"/>
      <c r="K2830" s="49"/>
      <c r="L2830" s="50"/>
    </row>
    <row r="2831" spans="1:12" ht="15" customHeight="1" x14ac:dyDescent="0.35">
      <c r="A2831" s="85"/>
      <c r="B2831" s="86"/>
      <c r="C2831" s="87"/>
      <c r="D2831" s="88"/>
      <c r="E2831" s="43"/>
      <c r="F2831" s="44"/>
      <c r="G2831" s="45"/>
      <c r="H2831" s="46"/>
      <c r="I2831" s="47"/>
      <c r="J2831" s="48"/>
      <c r="K2831" s="49"/>
      <c r="L2831" s="50"/>
    </row>
    <row r="2832" spans="1:12" ht="15" customHeight="1" x14ac:dyDescent="0.35">
      <c r="A2832" s="85"/>
      <c r="B2832" s="86"/>
      <c r="C2832" s="87"/>
      <c r="D2832" s="88"/>
      <c r="E2832" s="43"/>
      <c r="F2832" s="44"/>
      <c r="G2832" s="45"/>
      <c r="H2832" s="46"/>
      <c r="I2832" s="47"/>
      <c r="J2832" s="48"/>
      <c r="K2832" s="49"/>
      <c r="L2832" s="50"/>
    </row>
    <row r="2833" spans="1:12" ht="15" customHeight="1" x14ac:dyDescent="0.35">
      <c r="A2833" s="85"/>
      <c r="B2833" s="86"/>
      <c r="C2833" s="87"/>
      <c r="D2833" s="88"/>
      <c r="E2833" s="43"/>
      <c r="F2833" s="44"/>
      <c r="G2833" s="45"/>
      <c r="H2833" s="46"/>
      <c r="I2833" s="47"/>
      <c r="J2833" s="48"/>
      <c r="K2833" s="49"/>
      <c r="L2833" s="50"/>
    </row>
    <row r="2834" spans="1:12" ht="15" customHeight="1" x14ac:dyDescent="0.35">
      <c r="A2834" s="85"/>
      <c r="B2834" s="86"/>
      <c r="C2834" s="87"/>
      <c r="D2834" s="88"/>
      <c r="E2834" s="43"/>
      <c r="F2834" s="44"/>
      <c r="G2834" s="45"/>
      <c r="H2834" s="46"/>
      <c r="I2834" s="47"/>
      <c r="J2834" s="48"/>
      <c r="K2834" s="49"/>
      <c r="L2834" s="50"/>
    </row>
    <row r="2835" spans="1:12" ht="15" customHeight="1" x14ac:dyDescent="0.35">
      <c r="A2835" s="85"/>
      <c r="B2835" s="86"/>
      <c r="C2835" s="87"/>
      <c r="D2835" s="88"/>
      <c r="E2835" s="43"/>
      <c r="F2835" s="44"/>
      <c r="G2835" s="45"/>
      <c r="H2835" s="46"/>
      <c r="I2835" s="47"/>
      <c r="J2835" s="48"/>
      <c r="K2835" s="49"/>
      <c r="L2835" s="50"/>
    </row>
    <row r="2836" spans="1:12" ht="15" customHeight="1" x14ac:dyDescent="0.35">
      <c r="A2836" s="85"/>
      <c r="B2836" s="86"/>
      <c r="C2836" s="87"/>
      <c r="D2836" s="88"/>
      <c r="E2836" s="43"/>
      <c r="F2836" s="44"/>
      <c r="G2836" s="45"/>
      <c r="H2836" s="46"/>
      <c r="I2836" s="47"/>
      <c r="J2836" s="48"/>
      <c r="K2836" s="49"/>
      <c r="L2836" s="50"/>
    </row>
    <row r="2837" spans="1:12" ht="15" customHeight="1" x14ac:dyDescent="0.35">
      <c r="A2837" s="85"/>
      <c r="B2837" s="86"/>
      <c r="C2837" s="87"/>
      <c r="D2837" s="88"/>
      <c r="E2837" s="43"/>
      <c r="F2837" s="44"/>
      <c r="G2837" s="45"/>
      <c r="H2837" s="46"/>
      <c r="I2837" s="47"/>
      <c r="J2837" s="48"/>
      <c r="K2837" s="49"/>
      <c r="L2837" s="50"/>
    </row>
    <row r="2838" spans="1:12" ht="15" customHeight="1" x14ac:dyDescent="0.35">
      <c r="A2838" s="85"/>
      <c r="B2838" s="86"/>
      <c r="C2838" s="87"/>
      <c r="D2838" s="88"/>
      <c r="E2838" s="43"/>
      <c r="F2838" s="44"/>
      <c r="G2838" s="45"/>
      <c r="H2838" s="46"/>
      <c r="I2838" s="47"/>
      <c r="J2838" s="48"/>
      <c r="K2838" s="49"/>
      <c r="L2838" s="50"/>
    </row>
    <row r="2839" spans="1:12" ht="15" customHeight="1" x14ac:dyDescent="0.35">
      <c r="A2839" s="85"/>
      <c r="B2839" s="86"/>
      <c r="C2839" s="87"/>
      <c r="D2839" s="88"/>
      <c r="E2839" s="43"/>
      <c r="F2839" s="44"/>
      <c r="G2839" s="45"/>
      <c r="H2839" s="46"/>
      <c r="I2839" s="47"/>
      <c r="J2839" s="48"/>
      <c r="K2839" s="49"/>
      <c r="L2839" s="50"/>
    </row>
    <row r="2840" spans="1:12" ht="15" customHeight="1" x14ac:dyDescent="0.35">
      <c r="A2840" s="85"/>
      <c r="B2840" s="86"/>
      <c r="C2840" s="87"/>
      <c r="D2840" s="88"/>
      <c r="E2840" s="43"/>
      <c r="F2840" s="44"/>
      <c r="G2840" s="45"/>
      <c r="H2840" s="46"/>
      <c r="I2840" s="47"/>
      <c r="J2840" s="48"/>
      <c r="K2840" s="49"/>
      <c r="L2840" s="50"/>
    </row>
    <row r="2841" spans="1:12" ht="15" customHeight="1" x14ac:dyDescent="0.35">
      <c r="A2841" s="85"/>
      <c r="B2841" s="86"/>
      <c r="C2841" s="87"/>
      <c r="D2841" s="88"/>
      <c r="E2841" s="43"/>
      <c r="F2841" s="44"/>
      <c r="G2841" s="45"/>
      <c r="H2841" s="46"/>
      <c r="I2841" s="47"/>
      <c r="J2841" s="48"/>
      <c r="K2841" s="49"/>
      <c r="L2841" s="50"/>
    </row>
    <row r="2842" spans="1:12" ht="15" customHeight="1" x14ac:dyDescent="0.35">
      <c r="A2842" s="85"/>
      <c r="B2842" s="86"/>
      <c r="C2842" s="87"/>
      <c r="D2842" s="88"/>
      <c r="E2842" s="43"/>
      <c r="F2842" s="44"/>
      <c r="G2842" s="45"/>
      <c r="H2842" s="46"/>
      <c r="I2842" s="47"/>
      <c r="J2842" s="48"/>
      <c r="K2842" s="49"/>
      <c r="L2842" s="50"/>
    </row>
    <row r="2843" spans="1:12" ht="15" customHeight="1" x14ac:dyDescent="0.35">
      <c r="A2843" s="85"/>
      <c r="B2843" s="86"/>
      <c r="C2843" s="87"/>
      <c r="D2843" s="88"/>
      <c r="E2843" s="43"/>
      <c r="F2843" s="44"/>
      <c r="G2843" s="45"/>
      <c r="H2843" s="46"/>
      <c r="I2843" s="47"/>
      <c r="J2843" s="48"/>
      <c r="K2843" s="49"/>
      <c r="L2843" s="50"/>
    </row>
    <row r="2844" spans="1:12" ht="15" customHeight="1" x14ac:dyDescent="0.35">
      <c r="A2844" s="85"/>
      <c r="B2844" s="86"/>
      <c r="C2844" s="87"/>
      <c r="D2844" s="88"/>
      <c r="E2844" s="43"/>
      <c r="F2844" s="44"/>
      <c r="G2844" s="45"/>
      <c r="H2844" s="46"/>
      <c r="I2844" s="47"/>
      <c r="J2844" s="48"/>
      <c r="K2844" s="49"/>
      <c r="L2844" s="50"/>
    </row>
    <row r="2845" spans="1:12" ht="15" customHeight="1" x14ac:dyDescent="0.35">
      <c r="A2845" s="85"/>
      <c r="B2845" s="86"/>
      <c r="C2845" s="87"/>
      <c r="D2845" s="88"/>
      <c r="E2845" s="43"/>
      <c r="F2845" s="44"/>
      <c r="G2845" s="45"/>
      <c r="H2845" s="46"/>
      <c r="I2845" s="47"/>
      <c r="J2845" s="48"/>
      <c r="K2845" s="49"/>
      <c r="L2845" s="50"/>
    </row>
    <row r="2846" spans="1:12" ht="15" customHeight="1" x14ac:dyDescent="0.35">
      <c r="A2846" s="85"/>
      <c r="B2846" s="86"/>
      <c r="C2846" s="87"/>
      <c r="D2846" s="88"/>
      <c r="E2846" s="43"/>
      <c r="F2846" s="44"/>
      <c r="G2846" s="45"/>
      <c r="H2846" s="46"/>
      <c r="I2846" s="47"/>
      <c r="J2846" s="48"/>
      <c r="K2846" s="49"/>
      <c r="L2846" s="50"/>
    </row>
    <row r="2847" spans="1:12" ht="15" customHeight="1" x14ac:dyDescent="0.35">
      <c r="A2847" s="85"/>
      <c r="B2847" s="86"/>
      <c r="C2847" s="87"/>
      <c r="D2847" s="88"/>
      <c r="E2847" s="43"/>
      <c r="F2847" s="44"/>
      <c r="G2847" s="45"/>
      <c r="H2847" s="46"/>
      <c r="I2847" s="47"/>
      <c r="J2847" s="48"/>
      <c r="K2847" s="49"/>
      <c r="L2847" s="50"/>
    </row>
    <row r="2848" spans="1:12" ht="15" customHeight="1" x14ac:dyDescent="0.35">
      <c r="A2848" s="85"/>
      <c r="B2848" s="86"/>
      <c r="C2848" s="87"/>
      <c r="D2848" s="88"/>
      <c r="E2848" s="43"/>
      <c r="F2848" s="44"/>
      <c r="G2848" s="45"/>
      <c r="H2848" s="46"/>
      <c r="I2848" s="47"/>
      <c r="J2848" s="48"/>
      <c r="K2848" s="49"/>
      <c r="L2848" s="50"/>
    </row>
    <row r="2849" spans="1:12" ht="15" customHeight="1" x14ac:dyDescent="0.35">
      <c r="A2849" s="85"/>
      <c r="B2849" s="86"/>
      <c r="C2849" s="87"/>
      <c r="D2849" s="88"/>
      <c r="E2849" s="43"/>
      <c r="F2849" s="44"/>
      <c r="G2849" s="45"/>
      <c r="H2849" s="46"/>
      <c r="I2849" s="47"/>
      <c r="J2849" s="48"/>
      <c r="K2849" s="49"/>
      <c r="L2849" s="50"/>
    </row>
    <row r="2850" spans="1:12" ht="15" customHeight="1" x14ac:dyDescent="0.35">
      <c r="A2850" s="85"/>
      <c r="B2850" s="86"/>
      <c r="C2850" s="87"/>
      <c r="D2850" s="88"/>
      <c r="E2850" s="43"/>
      <c r="F2850" s="44"/>
      <c r="G2850" s="45"/>
      <c r="H2850" s="46"/>
      <c r="I2850" s="47"/>
      <c r="J2850" s="48"/>
      <c r="K2850" s="49"/>
      <c r="L2850" s="50"/>
    </row>
    <row r="2851" spans="1:12" ht="15" customHeight="1" x14ac:dyDescent="0.35">
      <c r="A2851" s="85"/>
      <c r="B2851" s="86"/>
      <c r="C2851" s="87"/>
      <c r="D2851" s="88"/>
      <c r="E2851" s="43"/>
      <c r="F2851" s="44"/>
      <c r="G2851" s="45"/>
      <c r="H2851" s="46"/>
      <c r="I2851" s="47"/>
      <c r="J2851" s="48"/>
      <c r="K2851" s="49"/>
      <c r="L2851" s="50"/>
    </row>
    <row r="2852" spans="1:12" ht="15" customHeight="1" x14ac:dyDescent="0.35">
      <c r="A2852" s="85"/>
      <c r="B2852" s="86"/>
      <c r="C2852" s="87"/>
      <c r="D2852" s="88"/>
      <c r="E2852" s="43"/>
      <c r="F2852" s="44"/>
      <c r="G2852" s="45"/>
      <c r="H2852" s="46"/>
      <c r="I2852" s="47"/>
      <c r="J2852" s="48"/>
      <c r="K2852" s="49"/>
      <c r="L2852" s="50"/>
    </row>
    <row r="2853" spans="1:12" ht="15" customHeight="1" x14ac:dyDescent="0.35">
      <c r="A2853" s="85"/>
      <c r="B2853" s="86"/>
      <c r="C2853" s="87"/>
      <c r="D2853" s="88"/>
      <c r="E2853" s="43"/>
      <c r="F2853" s="44"/>
      <c r="G2853" s="45"/>
      <c r="H2853" s="46"/>
      <c r="I2853" s="47"/>
      <c r="J2853" s="48"/>
      <c r="K2853" s="49"/>
      <c r="L2853" s="50"/>
    </row>
    <row r="2854" spans="1:12" ht="15" customHeight="1" x14ac:dyDescent="0.35">
      <c r="A2854" s="85"/>
      <c r="B2854" s="86"/>
      <c r="C2854" s="87"/>
      <c r="D2854" s="88"/>
      <c r="E2854" s="43"/>
      <c r="F2854" s="44"/>
      <c r="G2854" s="45"/>
      <c r="H2854" s="46"/>
      <c r="I2854" s="47"/>
      <c r="J2854" s="48"/>
      <c r="K2854" s="49"/>
      <c r="L2854" s="50"/>
    </row>
    <row r="2855" spans="1:12" ht="15" customHeight="1" x14ac:dyDescent="0.35">
      <c r="A2855" s="85"/>
      <c r="B2855" s="86"/>
      <c r="C2855" s="87"/>
      <c r="D2855" s="88"/>
      <c r="E2855" s="43"/>
      <c r="F2855" s="44"/>
      <c r="G2855" s="45"/>
      <c r="H2855" s="46"/>
      <c r="I2855" s="47"/>
      <c r="J2855" s="48"/>
      <c r="K2855" s="49"/>
      <c r="L2855" s="50"/>
    </row>
    <row r="2856" spans="1:12" ht="15" customHeight="1" x14ac:dyDescent="0.35">
      <c r="A2856" s="85"/>
      <c r="B2856" s="86"/>
      <c r="C2856" s="87"/>
      <c r="D2856" s="88"/>
      <c r="E2856" s="43"/>
      <c r="F2856" s="44"/>
      <c r="G2856" s="45"/>
      <c r="H2856" s="46"/>
      <c r="I2856" s="47"/>
      <c r="J2856" s="48"/>
      <c r="K2856" s="49"/>
      <c r="L2856" s="50"/>
    </row>
    <row r="2857" spans="1:12" ht="15" customHeight="1" x14ac:dyDescent="0.35">
      <c r="A2857" s="85"/>
      <c r="B2857" s="86"/>
      <c r="C2857" s="87"/>
      <c r="D2857" s="88"/>
      <c r="E2857" s="43"/>
      <c r="F2857" s="44"/>
      <c r="G2857" s="45"/>
      <c r="H2857" s="46"/>
      <c r="I2857" s="47"/>
      <c r="J2857" s="48"/>
      <c r="K2857" s="49"/>
      <c r="L2857" s="50"/>
    </row>
    <row r="2858" spans="1:12" ht="15" customHeight="1" x14ac:dyDescent="0.35">
      <c r="A2858" s="85"/>
      <c r="B2858" s="86"/>
      <c r="C2858" s="87"/>
      <c r="D2858" s="88"/>
      <c r="E2858" s="43"/>
      <c r="F2858" s="44"/>
      <c r="G2858" s="45"/>
      <c r="H2858" s="46"/>
      <c r="I2858" s="47"/>
      <c r="J2858" s="48"/>
      <c r="K2858" s="49"/>
      <c r="L2858" s="50"/>
    </row>
    <row r="2859" spans="1:12" ht="15" customHeight="1" x14ac:dyDescent="0.35">
      <c r="A2859" s="85"/>
      <c r="B2859" s="86"/>
      <c r="C2859" s="87"/>
      <c r="D2859" s="88"/>
      <c r="E2859" s="43"/>
      <c r="F2859" s="44"/>
      <c r="G2859" s="45"/>
      <c r="H2859" s="46"/>
      <c r="I2859" s="47"/>
      <c r="J2859" s="48"/>
      <c r="K2859" s="49"/>
      <c r="L2859" s="50"/>
    </row>
    <row r="2860" spans="1:12" ht="15" customHeight="1" x14ac:dyDescent="0.35">
      <c r="A2860" s="85"/>
      <c r="B2860" s="86"/>
      <c r="C2860" s="87"/>
      <c r="D2860" s="88"/>
      <c r="E2860" s="43"/>
      <c r="F2860" s="44"/>
      <c r="G2860" s="45"/>
      <c r="H2860" s="46"/>
      <c r="I2860" s="47"/>
      <c r="J2860" s="48"/>
      <c r="K2860" s="49"/>
      <c r="L2860" s="50"/>
    </row>
    <row r="2861" spans="1:12" ht="15" customHeight="1" x14ac:dyDescent="0.35">
      <c r="A2861" s="85"/>
      <c r="B2861" s="86"/>
      <c r="C2861" s="87"/>
      <c r="D2861" s="88"/>
      <c r="E2861" s="43"/>
      <c r="F2861" s="44"/>
      <c r="G2861" s="45"/>
      <c r="H2861" s="46"/>
      <c r="I2861" s="47"/>
      <c r="J2861" s="48"/>
      <c r="K2861" s="49"/>
      <c r="L2861" s="50"/>
    </row>
    <row r="2862" spans="1:12" ht="15" customHeight="1" x14ac:dyDescent="0.35">
      <c r="A2862" s="85"/>
      <c r="B2862" s="86"/>
      <c r="C2862" s="87"/>
      <c r="D2862" s="88"/>
      <c r="E2862" s="43"/>
      <c r="F2862" s="44"/>
      <c r="G2862" s="45"/>
      <c r="H2862" s="46"/>
      <c r="I2862" s="47"/>
      <c r="J2862" s="48"/>
      <c r="K2862" s="49"/>
      <c r="L2862" s="50"/>
    </row>
    <row r="2863" spans="1:12" ht="15" customHeight="1" x14ac:dyDescent="0.35">
      <c r="A2863" s="85"/>
      <c r="B2863" s="86"/>
      <c r="C2863" s="87"/>
      <c r="D2863" s="88"/>
      <c r="E2863" s="43"/>
      <c r="F2863" s="44"/>
      <c r="G2863" s="45"/>
      <c r="H2863" s="46"/>
      <c r="I2863" s="47"/>
      <c r="J2863" s="48"/>
      <c r="K2863" s="49"/>
      <c r="L2863" s="50"/>
    </row>
    <row r="2864" spans="1:12" ht="15" customHeight="1" x14ac:dyDescent="0.35">
      <c r="A2864" s="85"/>
      <c r="B2864" s="86"/>
      <c r="C2864" s="87"/>
      <c r="D2864" s="88"/>
      <c r="E2864" s="43"/>
      <c r="F2864" s="44"/>
      <c r="G2864" s="45"/>
      <c r="H2864" s="46"/>
      <c r="I2864" s="47"/>
      <c r="J2864" s="48"/>
      <c r="K2864" s="49"/>
      <c r="L2864" s="50"/>
    </row>
    <row r="2865" spans="1:12" ht="15" customHeight="1" x14ac:dyDescent="0.35">
      <c r="A2865" s="85"/>
      <c r="B2865" s="86"/>
      <c r="C2865" s="87"/>
      <c r="D2865" s="88"/>
      <c r="E2865" s="43"/>
      <c r="F2865" s="44"/>
      <c r="G2865" s="45"/>
      <c r="H2865" s="46"/>
      <c r="I2865" s="47"/>
      <c r="J2865" s="48"/>
      <c r="K2865" s="49"/>
      <c r="L2865" s="50"/>
    </row>
    <row r="2866" spans="1:12" ht="15" customHeight="1" x14ac:dyDescent="0.35">
      <c r="A2866" s="85"/>
      <c r="B2866" s="86"/>
      <c r="C2866" s="87"/>
      <c r="D2866" s="88"/>
      <c r="E2866" s="43"/>
      <c r="F2866" s="44"/>
      <c r="G2866" s="45"/>
      <c r="H2866" s="46"/>
      <c r="I2866" s="47"/>
      <c r="J2866" s="48"/>
      <c r="K2866" s="49"/>
      <c r="L2866" s="50"/>
    </row>
    <row r="2867" spans="1:12" ht="15" customHeight="1" x14ac:dyDescent="0.35">
      <c r="A2867" s="85"/>
      <c r="B2867" s="86"/>
      <c r="C2867" s="87"/>
      <c r="D2867" s="88"/>
      <c r="E2867" s="43"/>
      <c r="F2867" s="44"/>
      <c r="G2867" s="45"/>
      <c r="H2867" s="46"/>
      <c r="I2867" s="47"/>
      <c r="J2867" s="48"/>
      <c r="K2867" s="49"/>
      <c r="L2867" s="50"/>
    </row>
    <row r="2868" spans="1:12" ht="15" customHeight="1" x14ac:dyDescent="0.35">
      <c r="A2868" s="85"/>
      <c r="B2868" s="86"/>
      <c r="C2868" s="87"/>
      <c r="D2868" s="88"/>
      <c r="E2868" s="43"/>
      <c r="F2868" s="44"/>
      <c r="G2868" s="45"/>
      <c r="H2868" s="46"/>
      <c r="I2868" s="47"/>
      <c r="J2868" s="48"/>
      <c r="K2868" s="49"/>
      <c r="L2868" s="50"/>
    </row>
    <row r="2869" spans="1:12" ht="15" customHeight="1" x14ac:dyDescent="0.35">
      <c r="A2869" s="85"/>
      <c r="B2869" s="86"/>
      <c r="C2869" s="87"/>
      <c r="D2869" s="88"/>
      <c r="E2869" s="43"/>
      <c r="F2869" s="44"/>
      <c r="G2869" s="45"/>
      <c r="H2869" s="46"/>
      <c r="I2869" s="47"/>
      <c r="J2869" s="48"/>
      <c r="K2869" s="49"/>
      <c r="L2869" s="50"/>
    </row>
    <row r="2870" spans="1:12" ht="15" customHeight="1" x14ac:dyDescent="0.35">
      <c r="A2870" s="85"/>
      <c r="B2870" s="86"/>
      <c r="C2870" s="87"/>
      <c r="D2870" s="88"/>
      <c r="E2870" s="43"/>
      <c r="F2870" s="44"/>
      <c r="G2870" s="45"/>
      <c r="H2870" s="46"/>
      <c r="I2870" s="47"/>
      <c r="J2870" s="48"/>
      <c r="K2870" s="49"/>
      <c r="L2870" s="50"/>
    </row>
    <row r="2871" spans="1:12" ht="15" customHeight="1" x14ac:dyDescent="0.35">
      <c r="A2871" s="85"/>
      <c r="B2871" s="86"/>
      <c r="C2871" s="87"/>
      <c r="D2871" s="88"/>
      <c r="E2871" s="43"/>
      <c r="F2871" s="44"/>
      <c r="G2871" s="45"/>
      <c r="H2871" s="46"/>
      <c r="I2871" s="47"/>
      <c r="J2871" s="48"/>
      <c r="K2871" s="49"/>
      <c r="L2871" s="50"/>
    </row>
    <row r="2872" spans="1:12" ht="15" customHeight="1" x14ac:dyDescent="0.35">
      <c r="A2872" s="85"/>
      <c r="B2872" s="86"/>
      <c r="C2872" s="87"/>
      <c r="D2872" s="88"/>
      <c r="E2872" s="43"/>
      <c r="F2872" s="44"/>
      <c r="G2872" s="45"/>
      <c r="H2872" s="46"/>
      <c r="I2872" s="47"/>
      <c r="J2872" s="48"/>
      <c r="K2872" s="49"/>
      <c r="L2872" s="50"/>
    </row>
    <row r="2873" spans="1:12" ht="15" customHeight="1" x14ac:dyDescent="0.35">
      <c r="A2873" s="85"/>
      <c r="B2873" s="86"/>
      <c r="C2873" s="87"/>
      <c r="D2873" s="88"/>
      <c r="E2873" s="43"/>
      <c r="F2873" s="44"/>
      <c r="G2873" s="45"/>
      <c r="H2873" s="46"/>
      <c r="I2873" s="47"/>
      <c r="J2873" s="48"/>
      <c r="K2873" s="49"/>
      <c r="L2873" s="50"/>
    </row>
    <row r="2874" spans="1:12" ht="15" customHeight="1" x14ac:dyDescent="0.35">
      <c r="A2874" s="85"/>
      <c r="B2874" s="86"/>
      <c r="C2874" s="87"/>
      <c r="D2874" s="88"/>
      <c r="E2874" s="43"/>
      <c r="F2874" s="44"/>
      <c r="G2874" s="45"/>
      <c r="H2874" s="46"/>
      <c r="I2874" s="47"/>
      <c r="J2874" s="48"/>
      <c r="K2874" s="49"/>
      <c r="L2874" s="50"/>
    </row>
    <row r="2875" spans="1:12" ht="15" customHeight="1" x14ac:dyDescent="0.35">
      <c r="A2875" s="85"/>
      <c r="B2875" s="86"/>
      <c r="C2875" s="87"/>
      <c r="D2875" s="88"/>
      <c r="E2875" s="43"/>
      <c r="F2875" s="44"/>
      <c r="G2875" s="45"/>
      <c r="H2875" s="46"/>
      <c r="I2875" s="47"/>
      <c r="J2875" s="48"/>
      <c r="K2875" s="49"/>
      <c r="L2875" s="50"/>
    </row>
    <row r="2876" spans="1:12" ht="15" customHeight="1" x14ac:dyDescent="0.35">
      <c r="A2876" s="85"/>
      <c r="B2876" s="86"/>
      <c r="C2876" s="87"/>
      <c r="D2876" s="88"/>
      <c r="E2876" s="43"/>
      <c r="F2876" s="44"/>
      <c r="G2876" s="45"/>
      <c r="H2876" s="46"/>
      <c r="I2876" s="47"/>
      <c r="J2876" s="48"/>
      <c r="K2876" s="49"/>
      <c r="L2876" s="50"/>
    </row>
    <row r="2877" spans="1:12" ht="15" customHeight="1" x14ac:dyDescent="0.35">
      <c r="A2877" s="85"/>
      <c r="B2877" s="86"/>
      <c r="C2877" s="87"/>
      <c r="D2877" s="88"/>
      <c r="E2877" s="43"/>
      <c r="F2877" s="44"/>
      <c r="G2877" s="45"/>
      <c r="H2877" s="46"/>
      <c r="I2877" s="47"/>
      <c r="J2877" s="48"/>
      <c r="K2877" s="49"/>
      <c r="L2877" s="50"/>
    </row>
    <row r="2878" spans="1:12" ht="15" customHeight="1" x14ac:dyDescent="0.35">
      <c r="A2878" s="85"/>
      <c r="B2878" s="86"/>
      <c r="C2878" s="87"/>
      <c r="D2878" s="88"/>
      <c r="E2878" s="43"/>
      <c r="F2878" s="44"/>
      <c r="G2878" s="45"/>
      <c r="H2878" s="46"/>
      <c r="I2878" s="47"/>
      <c r="J2878" s="48"/>
      <c r="K2878" s="49"/>
      <c r="L2878" s="50"/>
    </row>
    <row r="2879" spans="1:12" ht="15" customHeight="1" x14ac:dyDescent="0.35">
      <c r="A2879" s="85"/>
      <c r="B2879" s="86"/>
      <c r="C2879" s="87"/>
      <c r="D2879" s="88"/>
      <c r="E2879" s="43"/>
      <c r="F2879" s="44"/>
      <c r="G2879" s="45"/>
      <c r="H2879" s="46"/>
      <c r="I2879" s="47"/>
      <c r="J2879" s="48"/>
      <c r="K2879" s="49"/>
      <c r="L2879" s="50"/>
    </row>
    <row r="2880" spans="1:12" ht="15" customHeight="1" x14ac:dyDescent="0.35">
      <c r="A2880" s="85"/>
      <c r="B2880" s="86"/>
      <c r="C2880" s="87"/>
      <c r="D2880" s="88"/>
      <c r="E2880" s="43"/>
      <c r="F2880" s="44"/>
      <c r="G2880" s="45"/>
      <c r="H2880" s="46"/>
      <c r="I2880" s="47"/>
      <c r="J2880" s="48"/>
      <c r="K2880" s="49"/>
      <c r="L2880" s="50"/>
    </row>
    <row r="2881" spans="1:12" ht="15" customHeight="1" x14ac:dyDescent="0.35">
      <c r="A2881" s="85"/>
      <c r="B2881" s="86"/>
      <c r="C2881" s="87"/>
      <c r="D2881" s="88"/>
      <c r="E2881" s="43"/>
      <c r="F2881" s="44"/>
      <c r="G2881" s="45"/>
      <c r="H2881" s="46"/>
      <c r="I2881" s="47"/>
      <c r="J2881" s="48"/>
      <c r="K2881" s="49"/>
      <c r="L2881" s="50"/>
    </row>
    <row r="2882" spans="1:12" ht="15" customHeight="1" x14ac:dyDescent="0.35">
      <c r="A2882" s="85"/>
      <c r="B2882" s="86"/>
      <c r="C2882" s="87"/>
      <c r="D2882" s="88"/>
      <c r="E2882" s="43"/>
      <c r="F2882" s="44"/>
      <c r="G2882" s="45"/>
      <c r="H2882" s="46"/>
      <c r="I2882" s="47"/>
      <c r="J2882" s="48"/>
      <c r="K2882" s="49"/>
      <c r="L2882" s="50"/>
    </row>
    <row r="2883" spans="1:12" ht="15" customHeight="1" x14ac:dyDescent="0.35">
      <c r="A2883" s="85"/>
      <c r="B2883" s="86"/>
      <c r="C2883" s="87"/>
      <c r="D2883" s="88"/>
      <c r="E2883" s="43"/>
      <c r="F2883" s="44"/>
      <c r="G2883" s="45"/>
      <c r="H2883" s="46"/>
      <c r="I2883" s="47"/>
      <c r="J2883" s="48"/>
      <c r="K2883" s="49"/>
      <c r="L2883" s="50"/>
    </row>
    <row r="2884" spans="1:12" ht="15" customHeight="1" x14ac:dyDescent="0.35">
      <c r="A2884" s="85"/>
      <c r="B2884" s="86"/>
      <c r="C2884" s="87"/>
      <c r="D2884" s="88"/>
      <c r="E2884" s="43"/>
      <c r="F2884" s="44"/>
      <c r="G2884" s="45"/>
      <c r="H2884" s="46"/>
      <c r="I2884" s="47"/>
      <c r="J2884" s="48"/>
      <c r="K2884" s="49"/>
      <c r="L2884" s="50"/>
    </row>
    <row r="2885" spans="1:12" ht="15" customHeight="1" x14ac:dyDescent="0.35">
      <c r="A2885" s="85"/>
      <c r="B2885" s="86"/>
      <c r="C2885" s="87"/>
      <c r="D2885" s="88"/>
      <c r="E2885" s="43"/>
      <c r="F2885" s="44"/>
      <c r="G2885" s="45"/>
      <c r="H2885" s="46"/>
      <c r="I2885" s="47"/>
      <c r="J2885" s="48"/>
      <c r="K2885" s="49"/>
      <c r="L2885" s="50"/>
    </row>
    <row r="2886" spans="1:12" ht="15" customHeight="1" x14ac:dyDescent="0.35">
      <c r="A2886" s="85"/>
      <c r="B2886" s="86"/>
      <c r="C2886" s="87"/>
      <c r="D2886" s="88"/>
      <c r="E2886" s="43"/>
      <c r="F2886" s="44"/>
      <c r="G2886" s="45"/>
      <c r="H2886" s="46"/>
      <c r="I2886" s="47"/>
      <c r="J2886" s="48"/>
      <c r="K2886" s="49"/>
      <c r="L2886" s="50"/>
    </row>
    <row r="2887" spans="1:12" ht="15" customHeight="1" x14ac:dyDescent="0.35">
      <c r="A2887" s="85"/>
      <c r="B2887" s="86"/>
      <c r="C2887" s="87"/>
      <c r="D2887" s="88"/>
      <c r="E2887" s="43"/>
      <c r="F2887" s="44"/>
      <c r="G2887" s="45"/>
      <c r="H2887" s="46"/>
      <c r="I2887" s="47"/>
      <c r="J2887" s="48"/>
      <c r="K2887" s="49"/>
      <c r="L2887" s="50"/>
    </row>
    <row r="2888" spans="1:12" ht="15" customHeight="1" x14ac:dyDescent="0.35">
      <c r="A2888" s="85"/>
      <c r="B2888" s="86"/>
      <c r="C2888" s="87"/>
      <c r="D2888" s="88"/>
      <c r="E2888" s="43"/>
      <c r="F2888" s="44"/>
      <c r="G2888" s="45"/>
      <c r="H2888" s="46"/>
      <c r="I2888" s="47"/>
      <c r="J2888" s="48"/>
      <c r="K2888" s="49"/>
      <c r="L2888" s="50"/>
    </row>
    <row r="2889" spans="1:12" ht="15" customHeight="1" x14ac:dyDescent="0.35">
      <c r="A2889" s="85"/>
      <c r="B2889" s="86"/>
      <c r="C2889" s="87"/>
      <c r="D2889" s="88"/>
      <c r="E2889" s="43"/>
      <c r="F2889" s="44"/>
      <c r="G2889" s="45"/>
      <c r="H2889" s="46"/>
      <c r="I2889" s="47"/>
      <c r="J2889" s="48"/>
      <c r="K2889" s="49"/>
      <c r="L2889" s="50"/>
    </row>
    <row r="2890" spans="1:12" ht="15" customHeight="1" x14ac:dyDescent="0.35">
      <c r="A2890" s="85"/>
      <c r="B2890" s="86"/>
      <c r="C2890" s="87"/>
      <c r="D2890" s="88"/>
      <c r="E2890" s="43"/>
      <c r="F2890" s="44"/>
      <c r="G2890" s="45"/>
      <c r="H2890" s="46"/>
      <c r="I2890" s="47"/>
      <c r="J2890" s="48"/>
      <c r="K2890" s="49"/>
      <c r="L2890" s="50"/>
    </row>
    <row r="2891" spans="1:12" ht="15" customHeight="1" x14ac:dyDescent="0.35">
      <c r="A2891" s="85"/>
      <c r="B2891" s="86"/>
      <c r="C2891" s="87"/>
      <c r="D2891" s="88"/>
      <c r="E2891" s="43"/>
      <c r="F2891" s="44"/>
      <c r="G2891" s="45"/>
      <c r="H2891" s="46"/>
      <c r="I2891" s="47"/>
      <c r="J2891" s="48"/>
      <c r="K2891" s="49"/>
      <c r="L2891" s="50"/>
    </row>
    <row r="2892" spans="1:12" ht="15" customHeight="1" x14ac:dyDescent="0.35">
      <c r="A2892" s="85"/>
      <c r="B2892" s="86"/>
      <c r="C2892" s="87"/>
      <c r="D2892" s="88"/>
      <c r="E2892" s="43"/>
      <c r="F2892" s="44"/>
      <c r="G2892" s="45"/>
      <c r="H2892" s="46"/>
      <c r="I2892" s="47"/>
      <c r="J2892" s="48"/>
      <c r="K2892" s="49"/>
      <c r="L2892" s="50"/>
    </row>
    <row r="2893" spans="1:12" ht="15" customHeight="1" x14ac:dyDescent="0.35">
      <c r="A2893" s="85"/>
      <c r="B2893" s="86"/>
      <c r="C2893" s="87"/>
      <c r="D2893" s="88"/>
      <c r="E2893" s="43"/>
      <c r="F2893" s="44"/>
      <c r="G2893" s="45"/>
      <c r="H2893" s="46"/>
      <c r="I2893" s="47"/>
      <c r="J2893" s="48"/>
      <c r="K2893" s="49"/>
      <c r="L2893" s="50"/>
    </row>
    <row r="2894" spans="1:12" ht="15" customHeight="1" x14ac:dyDescent="0.35">
      <c r="A2894" s="85"/>
      <c r="B2894" s="86"/>
      <c r="C2894" s="87"/>
      <c r="D2894" s="88"/>
      <c r="E2894" s="43"/>
      <c r="F2894" s="44"/>
      <c r="G2894" s="45"/>
      <c r="H2894" s="46"/>
      <c r="I2894" s="47"/>
      <c r="J2894" s="48"/>
      <c r="K2894" s="49"/>
      <c r="L2894" s="50"/>
    </row>
    <row r="2895" spans="1:12" ht="15" customHeight="1" x14ac:dyDescent="0.35">
      <c r="A2895" s="85"/>
      <c r="B2895" s="86"/>
      <c r="C2895" s="87"/>
      <c r="D2895" s="88"/>
      <c r="E2895" s="43"/>
      <c r="F2895" s="44"/>
      <c r="G2895" s="45"/>
      <c r="H2895" s="46"/>
      <c r="I2895" s="47"/>
      <c r="J2895" s="48"/>
      <c r="K2895" s="49"/>
      <c r="L2895" s="50"/>
    </row>
    <row r="2896" spans="1:12" ht="15" customHeight="1" x14ac:dyDescent="0.35">
      <c r="A2896" s="85"/>
      <c r="B2896" s="86"/>
      <c r="C2896" s="87"/>
      <c r="D2896" s="88"/>
      <c r="E2896" s="43"/>
      <c r="F2896" s="44"/>
      <c r="G2896" s="45"/>
      <c r="H2896" s="46"/>
      <c r="I2896" s="47"/>
      <c r="J2896" s="48"/>
      <c r="K2896" s="49"/>
      <c r="L2896" s="50"/>
    </row>
    <row r="2897" spans="1:12" ht="15" customHeight="1" x14ac:dyDescent="0.35">
      <c r="A2897" s="85"/>
      <c r="B2897" s="86"/>
      <c r="C2897" s="87"/>
      <c r="D2897" s="88"/>
      <c r="E2897" s="43"/>
      <c r="F2897" s="44"/>
      <c r="G2897" s="45"/>
      <c r="H2897" s="46"/>
      <c r="I2897" s="47"/>
      <c r="J2897" s="48"/>
      <c r="K2897" s="49"/>
      <c r="L2897" s="50"/>
    </row>
    <row r="2898" spans="1:12" ht="15" customHeight="1" x14ac:dyDescent="0.35">
      <c r="A2898" s="85"/>
      <c r="B2898" s="86"/>
      <c r="C2898" s="87"/>
      <c r="D2898" s="88"/>
      <c r="E2898" s="43"/>
      <c r="F2898" s="44"/>
      <c r="G2898" s="45"/>
      <c r="H2898" s="46"/>
      <c r="I2898" s="47"/>
      <c r="J2898" s="48"/>
      <c r="K2898" s="49"/>
      <c r="L2898" s="50"/>
    </row>
    <row r="2899" spans="1:12" ht="15" customHeight="1" x14ac:dyDescent="0.35">
      <c r="A2899" s="85"/>
      <c r="B2899" s="86"/>
      <c r="C2899" s="87"/>
      <c r="D2899" s="88"/>
      <c r="E2899" s="43"/>
      <c r="F2899" s="44"/>
      <c r="G2899" s="45"/>
      <c r="H2899" s="46"/>
      <c r="I2899" s="47"/>
      <c r="J2899" s="48"/>
      <c r="K2899" s="49"/>
      <c r="L2899" s="50"/>
    </row>
    <row r="2900" spans="1:12" ht="15" customHeight="1" x14ac:dyDescent="0.35">
      <c r="A2900" s="85"/>
      <c r="B2900" s="86"/>
      <c r="C2900" s="87"/>
      <c r="D2900" s="88"/>
      <c r="E2900" s="43"/>
      <c r="F2900" s="44"/>
      <c r="G2900" s="45"/>
      <c r="H2900" s="46"/>
      <c r="I2900" s="47"/>
      <c r="J2900" s="48"/>
      <c r="K2900" s="49"/>
      <c r="L2900" s="50"/>
    </row>
    <row r="2901" spans="1:12" ht="15" customHeight="1" x14ac:dyDescent="0.35">
      <c r="A2901" s="85"/>
      <c r="B2901" s="86"/>
      <c r="C2901" s="87"/>
      <c r="D2901" s="88"/>
      <c r="E2901" s="43"/>
      <c r="F2901" s="44"/>
      <c r="G2901" s="45"/>
      <c r="H2901" s="46"/>
      <c r="I2901" s="47"/>
      <c r="J2901" s="48"/>
      <c r="K2901" s="49"/>
      <c r="L2901" s="50"/>
    </row>
    <row r="2902" spans="1:12" ht="15" customHeight="1" x14ac:dyDescent="0.35">
      <c r="A2902" s="85"/>
      <c r="B2902" s="86"/>
      <c r="C2902" s="87"/>
      <c r="D2902" s="88"/>
      <c r="E2902" s="43"/>
      <c r="F2902" s="44"/>
      <c r="G2902" s="45"/>
      <c r="H2902" s="46"/>
      <c r="I2902" s="47"/>
      <c r="J2902" s="48"/>
      <c r="K2902" s="49"/>
      <c r="L2902" s="50"/>
    </row>
    <row r="2903" spans="1:12" ht="15" customHeight="1" x14ac:dyDescent="0.35">
      <c r="A2903" s="85"/>
      <c r="B2903" s="86"/>
      <c r="C2903" s="87"/>
      <c r="D2903" s="88"/>
      <c r="E2903" s="43"/>
      <c r="F2903" s="44"/>
      <c r="G2903" s="45"/>
      <c r="H2903" s="46"/>
      <c r="I2903" s="47"/>
      <c r="J2903" s="48"/>
      <c r="K2903" s="49"/>
      <c r="L2903" s="50"/>
    </row>
    <row r="2904" spans="1:12" ht="15" customHeight="1" x14ac:dyDescent="0.35">
      <c r="A2904" s="85"/>
      <c r="B2904" s="86"/>
      <c r="C2904" s="87"/>
      <c r="D2904" s="88"/>
      <c r="E2904" s="43"/>
      <c r="F2904" s="44"/>
      <c r="G2904" s="45"/>
      <c r="H2904" s="46"/>
      <c r="I2904" s="47"/>
      <c r="J2904" s="48"/>
      <c r="K2904" s="49"/>
      <c r="L2904" s="50"/>
    </row>
    <row r="2905" spans="1:12" ht="15" customHeight="1" x14ac:dyDescent="0.35">
      <c r="A2905" s="85"/>
      <c r="B2905" s="86"/>
      <c r="C2905" s="87"/>
      <c r="D2905" s="88"/>
      <c r="E2905" s="43"/>
      <c r="F2905" s="44"/>
      <c r="G2905" s="45"/>
      <c r="H2905" s="46"/>
      <c r="I2905" s="47"/>
      <c r="J2905" s="48"/>
      <c r="K2905" s="49"/>
      <c r="L2905" s="50"/>
    </row>
    <row r="2906" spans="1:12" ht="15" customHeight="1" x14ac:dyDescent="0.35">
      <c r="A2906" s="85"/>
      <c r="B2906" s="86"/>
      <c r="C2906" s="87"/>
      <c r="D2906" s="88"/>
      <c r="E2906" s="43"/>
      <c r="F2906" s="44"/>
      <c r="G2906" s="45"/>
      <c r="H2906" s="46"/>
      <c r="I2906" s="47"/>
      <c r="J2906" s="48"/>
      <c r="K2906" s="49"/>
      <c r="L2906" s="50"/>
    </row>
    <row r="2907" spans="1:12" ht="15" customHeight="1" x14ac:dyDescent="0.35">
      <c r="A2907" s="85"/>
      <c r="B2907" s="86"/>
      <c r="C2907" s="87"/>
      <c r="D2907" s="88"/>
      <c r="E2907" s="43"/>
      <c r="F2907" s="44"/>
      <c r="G2907" s="45"/>
      <c r="H2907" s="46"/>
      <c r="I2907" s="47"/>
      <c r="J2907" s="48"/>
      <c r="K2907" s="49"/>
      <c r="L2907" s="50"/>
    </row>
    <row r="2908" spans="1:12" ht="15" customHeight="1" x14ac:dyDescent="0.35">
      <c r="A2908" s="85"/>
      <c r="B2908" s="86"/>
      <c r="C2908" s="87"/>
      <c r="D2908" s="88"/>
      <c r="E2908" s="43"/>
      <c r="F2908" s="44"/>
      <c r="G2908" s="45"/>
      <c r="H2908" s="46"/>
      <c r="I2908" s="47"/>
      <c r="J2908" s="48"/>
      <c r="K2908" s="49"/>
      <c r="L2908" s="50"/>
    </row>
    <row r="2909" spans="1:12" ht="15" customHeight="1" x14ac:dyDescent="0.35">
      <c r="A2909" s="85"/>
      <c r="B2909" s="86"/>
      <c r="C2909" s="87"/>
      <c r="D2909" s="88"/>
      <c r="E2909" s="43"/>
      <c r="F2909" s="44"/>
      <c r="G2909" s="45"/>
      <c r="H2909" s="46"/>
      <c r="I2909" s="47"/>
      <c r="J2909" s="48"/>
      <c r="K2909" s="49"/>
      <c r="L2909" s="50"/>
    </row>
    <row r="2910" spans="1:12" ht="15" customHeight="1" x14ac:dyDescent="0.35">
      <c r="A2910" s="85"/>
      <c r="B2910" s="86"/>
      <c r="C2910" s="87"/>
      <c r="D2910" s="88"/>
      <c r="E2910" s="43"/>
      <c r="F2910" s="44"/>
      <c r="G2910" s="45"/>
      <c r="H2910" s="46"/>
      <c r="I2910" s="47"/>
      <c r="J2910" s="48"/>
      <c r="K2910" s="49"/>
      <c r="L2910" s="50"/>
    </row>
    <row r="2911" spans="1:12" ht="15" customHeight="1" x14ac:dyDescent="0.35">
      <c r="A2911" s="85"/>
      <c r="B2911" s="86"/>
      <c r="C2911" s="87"/>
      <c r="D2911" s="88"/>
      <c r="E2911" s="43"/>
      <c r="F2911" s="44"/>
      <c r="G2911" s="45"/>
      <c r="H2911" s="46"/>
      <c r="I2911" s="47"/>
      <c r="J2911" s="48"/>
      <c r="K2911" s="49"/>
      <c r="L2911" s="50"/>
    </row>
    <row r="2912" spans="1:12" ht="15" customHeight="1" x14ac:dyDescent="0.35">
      <c r="A2912" s="85"/>
      <c r="B2912" s="86"/>
      <c r="C2912" s="87"/>
      <c r="D2912" s="88"/>
      <c r="E2912" s="43"/>
      <c r="F2912" s="44"/>
      <c r="G2912" s="45"/>
      <c r="H2912" s="46"/>
      <c r="I2912" s="47"/>
      <c r="J2912" s="48"/>
      <c r="K2912" s="49"/>
      <c r="L2912" s="50"/>
    </row>
    <row r="2913" spans="1:12" ht="15" customHeight="1" x14ac:dyDescent="0.35">
      <c r="A2913" s="85"/>
      <c r="B2913" s="86"/>
      <c r="C2913" s="87"/>
      <c r="D2913" s="88"/>
      <c r="E2913" s="43"/>
      <c r="F2913" s="44"/>
      <c r="G2913" s="45"/>
      <c r="H2913" s="46"/>
      <c r="I2913" s="47"/>
      <c r="J2913" s="48"/>
      <c r="K2913" s="49"/>
      <c r="L2913" s="50"/>
    </row>
    <row r="2914" spans="1:12" ht="15" customHeight="1" x14ac:dyDescent="0.35">
      <c r="A2914" s="85"/>
      <c r="B2914" s="86"/>
      <c r="C2914" s="87"/>
      <c r="D2914" s="88"/>
      <c r="E2914" s="43"/>
      <c r="F2914" s="44"/>
      <c r="G2914" s="45"/>
      <c r="H2914" s="46"/>
      <c r="I2914" s="47"/>
      <c r="J2914" s="48"/>
      <c r="K2914" s="49"/>
      <c r="L2914" s="50"/>
    </row>
    <row r="2915" spans="1:12" ht="15" customHeight="1" x14ac:dyDescent="0.35">
      <c r="A2915" s="85"/>
      <c r="B2915" s="86"/>
      <c r="C2915" s="87"/>
      <c r="D2915" s="88"/>
      <c r="E2915" s="43"/>
      <c r="F2915" s="44"/>
      <c r="G2915" s="45"/>
      <c r="H2915" s="46"/>
      <c r="I2915" s="47"/>
      <c r="J2915" s="48"/>
      <c r="K2915" s="49"/>
      <c r="L2915" s="50"/>
    </row>
    <row r="2916" spans="1:12" ht="15" customHeight="1" x14ac:dyDescent="0.35">
      <c r="A2916" s="85"/>
      <c r="B2916" s="86"/>
      <c r="C2916" s="87"/>
      <c r="D2916" s="88"/>
      <c r="E2916" s="43"/>
      <c r="F2916" s="44"/>
      <c r="G2916" s="45"/>
      <c r="H2916" s="46"/>
      <c r="I2916" s="47"/>
      <c r="J2916" s="48"/>
      <c r="K2916" s="49"/>
      <c r="L2916" s="50"/>
    </row>
    <row r="2917" spans="1:12" ht="15" customHeight="1" x14ac:dyDescent="0.35">
      <c r="A2917" s="85"/>
      <c r="B2917" s="86"/>
      <c r="C2917" s="87"/>
      <c r="D2917" s="88"/>
      <c r="E2917" s="43"/>
      <c r="F2917" s="44"/>
      <c r="G2917" s="45"/>
      <c r="H2917" s="46"/>
      <c r="I2917" s="47"/>
      <c r="J2917" s="48"/>
      <c r="K2917" s="49"/>
      <c r="L2917" s="50"/>
    </row>
    <row r="2918" spans="1:12" ht="15" customHeight="1" x14ac:dyDescent="0.35">
      <c r="A2918" s="85"/>
      <c r="B2918" s="86"/>
      <c r="C2918" s="87"/>
      <c r="D2918" s="88"/>
      <c r="E2918" s="43"/>
      <c r="F2918" s="44"/>
      <c r="G2918" s="45"/>
      <c r="H2918" s="46"/>
      <c r="I2918" s="47"/>
      <c r="J2918" s="48"/>
      <c r="K2918" s="49"/>
      <c r="L2918" s="50"/>
    </row>
    <row r="2919" spans="1:12" ht="15" customHeight="1" x14ac:dyDescent="0.35">
      <c r="A2919" s="85"/>
      <c r="B2919" s="86"/>
      <c r="C2919" s="87"/>
      <c r="D2919" s="88"/>
      <c r="E2919" s="43"/>
      <c r="F2919" s="44"/>
      <c r="G2919" s="45"/>
      <c r="H2919" s="46"/>
      <c r="I2919" s="47"/>
      <c r="J2919" s="48"/>
      <c r="K2919" s="49"/>
      <c r="L2919" s="50"/>
    </row>
    <row r="2920" spans="1:12" ht="15" customHeight="1" x14ac:dyDescent="0.35">
      <c r="A2920" s="85"/>
      <c r="B2920" s="86"/>
      <c r="C2920" s="87"/>
      <c r="D2920" s="88"/>
      <c r="E2920" s="43"/>
      <c r="F2920" s="44"/>
      <c r="G2920" s="45"/>
      <c r="H2920" s="46"/>
      <c r="I2920" s="47"/>
      <c r="J2920" s="48"/>
      <c r="K2920" s="49"/>
      <c r="L2920" s="50"/>
    </row>
    <row r="2921" spans="1:12" ht="15" customHeight="1" x14ac:dyDescent="0.35">
      <c r="A2921" s="85"/>
      <c r="B2921" s="86"/>
      <c r="C2921" s="87"/>
      <c r="D2921" s="88"/>
      <c r="E2921" s="43"/>
      <c r="F2921" s="44"/>
      <c r="G2921" s="45"/>
      <c r="H2921" s="46"/>
      <c r="I2921" s="47"/>
      <c r="J2921" s="48"/>
      <c r="K2921" s="49"/>
      <c r="L2921" s="50"/>
    </row>
    <row r="2922" spans="1:12" ht="15" customHeight="1" x14ac:dyDescent="0.35">
      <c r="A2922" s="85"/>
      <c r="B2922" s="86"/>
      <c r="C2922" s="87"/>
      <c r="D2922" s="88"/>
      <c r="E2922" s="43"/>
      <c r="F2922" s="44"/>
      <c r="G2922" s="45"/>
      <c r="H2922" s="46"/>
      <c r="I2922" s="47"/>
      <c r="J2922" s="48"/>
      <c r="K2922" s="49"/>
      <c r="L2922" s="50"/>
    </row>
    <row r="2923" spans="1:12" ht="15" customHeight="1" x14ac:dyDescent="0.35">
      <c r="A2923" s="85"/>
      <c r="B2923" s="86"/>
      <c r="C2923" s="87"/>
      <c r="D2923" s="88"/>
      <c r="E2923" s="43"/>
      <c r="F2923" s="44"/>
      <c r="G2923" s="45"/>
      <c r="H2923" s="46"/>
      <c r="I2923" s="47"/>
      <c r="J2923" s="48"/>
      <c r="K2923" s="49"/>
      <c r="L2923" s="50"/>
    </row>
    <row r="2924" spans="1:12" ht="15" customHeight="1" x14ac:dyDescent="0.35">
      <c r="A2924" s="85"/>
      <c r="B2924" s="86"/>
      <c r="C2924" s="87"/>
      <c r="D2924" s="88"/>
      <c r="E2924" s="43"/>
      <c r="F2924" s="44"/>
      <c r="G2924" s="45"/>
      <c r="H2924" s="46"/>
      <c r="I2924" s="47"/>
      <c r="J2924" s="48"/>
      <c r="K2924" s="49"/>
      <c r="L2924" s="50"/>
    </row>
    <row r="2925" spans="1:12" ht="15" customHeight="1" x14ac:dyDescent="0.35">
      <c r="A2925" s="85"/>
      <c r="B2925" s="86"/>
      <c r="C2925" s="87"/>
      <c r="D2925" s="88"/>
      <c r="E2925" s="43"/>
      <c r="F2925" s="44"/>
      <c r="G2925" s="45"/>
      <c r="H2925" s="46"/>
      <c r="I2925" s="47"/>
      <c r="J2925" s="48"/>
      <c r="K2925" s="49"/>
      <c r="L2925" s="50"/>
    </row>
    <row r="2926" spans="1:12" ht="15" customHeight="1" x14ac:dyDescent="0.35">
      <c r="A2926" s="85"/>
      <c r="B2926" s="86"/>
      <c r="C2926" s="87"/>
      <c r="D2926" s="88"/>
      <c r="E2926" s="43"/>
      <c r="F2926" s="44"/>
      <c r="G2926" s="45"/>
      <c r="H2926" s="46"/>
      <c r="I2926" s="47"/>
      <c r="J2926" s="48"/>
      <c r="K2926" s="49"/>
      <c r="L2926" s="50"/>
    </row>
    <row r="2927" spans="1:12" ht="15" customHeight="1" x14ac:dyDescent="0.35">
      <c r="A2927" s="85"/>
      <c r="B2927" s="86"/>
      <c r="C2927" s="87"/>
      <c r="D2927" s="88"/>
      <c r="E2927" s="43"/>
      <c r="F2927" s="44"/>
      <c r="G2927" s="45"/>
      <c r="H2927" s="46"/>
      <c r="I2927" s="47"/>
      <c r="J2927" s="48"/>
      <c r="K2927" s="49"/>
      <c r="L2927" s="50"/>
    </row>
    <row r="2928" spans="1:12" ht="15" customHeight="1" x14ac:dyDescent="0.35">
      <c r="A2928" s="85"/>
      <c r="B2928" s="86"/>
      <c r="C2928" s="87"/>
      <c r="D2928" s="88"/>
      <c r="E2928" s="43"/>
      <c r="F2928" s="44"/>
      <c r="G2928" s="45"/>
      <c r="H2928" s="46"/>
      <c r="I2928" s="47"/>
      <c r="J2928" s="48"/>
      <c r="K2928" s="49"/>
      <c r="L2928" s="50"/>
    </row>
    <row r="2929" spans="1:12" ht="15" customHeight="1" x14ac:dyDescent="0.35">
      <c r="A2929" s="85"/>
      <c r="B2929" s="86"/>
      <c r="C2929" s="87"/>
      <c r="D2929" s="88"/>
      <c r="E2929" s="43"/>
      <c r="F2929" s="44"/>
      <c r="G2929" s="45"/>
      <c r="H2929" s="46"/>
      <c r="I2929" s="47"/>
      <c r="J2929" s="48"/>
      <c r="K2929" s="49"/>
      <c r="L2929" s="50"/>
    </row>
    <row r="2930" spans="1:12" ht="15" customHeight="1" x14ac:dyDescent="0.35">
      <c r="A2930" s="85"/>
      <c r="B2930" s="86"/>
      <c r="C2930" s="87"/>
      <c r="D2930" s="88"/>
      <c r="E2930" s="43"/>
      <c r="F2930" s="44"/>
      <c r="G2930" s="45"/>
      <c r="H2930" s="46"/>
      <c r="I2930" s="47"/>
      <c r="J2930" s="48"/>
      <c r="K2930" s="49"/>
      <c r="L2930" s="50"/>
    </row>
    <row r="2931" spans="1:12" ht="15" customHeight="1" x14ac:dyDescent="0.35">
      <c r="A2931" s="85"/>
      <c r="B2931" s="86"/>
      <c r="C2931" s="87"/>
      <c r="D2931" s="88"/>
      <c r="E2931" s="43"/>
      <c r="F2931" s="44"/>
      <c r="G2931" s="45"/>
      <c r="H2931" s="46"/>
      <c r="I2931" s="47"/>
      <c r="J2931" s="48"/>
      <c r="K2931" s="49"/>
      <c r="L2931" s="50"/>
    </row>
    <row r="2932" spans="1:12" ht="15" customHeight="1" x14ac:dyDescent="0.35">
      <c r="A2932" s="85"/>
      <c r="B2932" s="86"/>
      <c r="C2932" s="87"/>
      <c r="D2932" s="88"/>
      <c r="E2932" s="43"/>
      <c r="F2932" s="44"/>
      <c r="G2932" s="45"/>
      <c r="H2932" s="46"/>
      <c r="I2932" s="47"/>
      <c r="J2932" s="48"/>
      <c r="K2932" s="49"/>
      <c r="L2932" s="50"/>
    </row>
    <row r="2933" spans="1:12" ht="15" customHeight="1" x14ac:dyDescent="0.35">
      <c r="A2933" s="85"/>
      <c r="B2933" s="86"/>
      <c r="C2933" s="87"/>
      <c r="D2933" s="88"/>
      <c r="E2933" s="43"/>
      <c r="F2933" s="44"/>
      <c r="G2933" s="45"/>
      <c r="H2933" s="46"/>
      <c r="I2933" s="47"/>
      <c r="J2933" s="48"/>
      <c r="K2933" s="49"/>
      <c r="L2933" s="50"/>
    </row>
    <row r="2934" spans="1:12" ht="15" customHeight="1" x14ac:dyDescent="0.35">
      <c r="A2934" s="85"/>
      <c r="B2934" s="86"/>
      <c r="C2934" s="87"/>
      <c r="D2934" s="88"/>
      <c r="E2934" s="43"/>
      <c r="F2934" s="44"/>
      <c r="G2934" s="45"/>
      <c r="H2934" s="46"/>
      <c r="I2934" s="47"/>
      <c r="J2934" s="48"/>
      <c r="K2934" s="49"/>
      <c r="L2934" s="50"/>
    </row>
    <row r="2935" spans="1:12" ht="15" customHeight="1" x14ac:dyDescent="0.35">
      <c r="A2935" s="85"/>
      <c r="B2935" s="86"/>
      <c r="C2935" s="87"/>
      <c r="D2935" s="88"/>
      <c r="E2935" s="43"/>
      <c r="F2935" s="44"/>
      <c r="G2935" s="45"/>
      <c r="H2935" s="46"/>
      <c r="I2935" s="47"/>
      <c r="J2935" s="48"/>
      <c r="K2935" s="49"/>
      <c r="L2935" s="50"/>
    </row>
    <row r="2936" spans="1:12" ht="15" customHeight="1" x14ac:dyDescent="0.35">
      <c r="A2936" s="85"/>
      <c r="B2936" s="86"/>
      <c r="C2936" s="87"/>
      <c r="D2936" s="88"/>
      <c r="E2936" s="43"/>
      <c r="F2936" s="44"/>
      <c r="G2936" s="45"/>
      <c r="H2936" s="46"/>
      <c r="I2936" s="47"/>
      <c r="J2936" s="48"/>
      <c r="K2936" s="49"/>
      <c r="L2936" s="50"/>
    </row>
    <row r="2937" spans="1:12" ht="15" customHeight="1" x14ac:dyDescent="0.35">
      <c r="A2937" s="85"/>
      <c r="B2937" s="86"/>
      <c r="C2937" s="87"/>
      <c r="D2937" s="88"/>
      <c r="E2937" s="43"/>
      <c r="F2937" s="44"/>
      <c r="G2937" s="45"/>
      <c r="H2937" s="46"/>
      <c r="I2937" s="47"/>
      <c r="J2937" s="48"/>
      <c r="K2937" s="49"/>
      <c r="L2937" s="50"/>
    </row>
    <row r="2938" spans="1:12" ht="15" customHeight="1" x14ac:dyDescent="0.35">
      <c r="A2938" s="85"/>
      <c r="B2938" s="86"/>
      <c r="C2938" s="87"/>
      <c r="D2938" s="88"/>
      <c r="E2938" s="43"/>
      <c r="F2938" s="44"/>
      <c r="G2938" s="45"/>
      <c r="H2938" s="46"/>
      <c r="I2938" s="47"/>
      <c r="J2938" s="48"/>
      <c r="K2938" s="49"/>
      <c r="L2938" s="50"/>
    </row>
    <row r="2939" spans="1:12" ht="15" customHeight="1" x14ac:dyDescent="0.35">
      <c r="A2939" s="85"/>
      <c r="B2939" s="86"/>
      <c r="C2939" s="87"/>
      <c r="D2939" s="88"/>
      <c r="E2939" s="43"/>
      <c r="F2939" s="44"/>
      <c r="G2939" s="45"/>
      <c r="H2939" s="46"/>
      <c r="I2939" s="47"/>
      <c r="J2939" s="48"/>
      <c r="K2939" s="49"/>
      <c r="L2939" s="50"/>
    </row>
    <row r="2940" spans="1:12" ht="15" customHeight="1" x14ac:dyDescent="0.35">
      <c r="A2940" s="85"/>
      <c r="B2940" s="86"/>
      <c r="C2940" s="87"/>
      <c r="D2940" s="88"/>
      <c r="E2940" s="43"/>
      <c r="F2940" s="44"/>
      <c r="G2940" s="45"/>
      <c r="H2940" s="46"/>
      <c r="I2940" s="47"/>
      <c r="J2940" s="48"/>
      <c r="K2940" s="49"/>
      <c r="L2940" s="50"/>
    </row>
    <row r="2941" spans="1:12" ht="15" customHeight="1" x14ac:dyDescent="0.35">
      <c r="A2941" s="85"/>
      <c r="B2941" s="86"/>
      <c r="C2941" s="87"/>
      <c r="D2941" s="88"/>
      <c r="E2941" s="43"/>
      <c r="F2941" s="44"/>
      <c r="G2941" s="45"/>
      <c r="H2941" s="46"/>
      <c r="I2941" s="47"/>
      <c r="J2941" s="48"/>
      <c r="K2941" s="49"/>
      <c r="L2941" s="50"/>
    </row>
    <row r="2942" spans="1:12" ht="15" customHeight="1" x14ac:dyDescent="0.35">
      <c r="A2942" s="85"/>
      <c r="B2942" s="86"/>
      <c r="C2942" s="87"/>
      <c r="D2942" s="88"/>
      <c r="E2942" s="43"/>
      <c r="F2942" s="44"/>
      <c r="G2942" s="45"/>
      <c r="H2942" s="46"/>
      <c r="I2942" s="47"/>
      <c r="J2942" s="48"/>
      <c r="K2942" s="49"/>
      <c r="L2942" s="50"/>
    </row>
    <row r="2943" spans="1:12" ht="15" customHeight="1" x14ac:dyDescent="0.35">
      <c r="A2943" s="85"/>
      <c r="B2943" s="86"/>
      <c r="C2943" s="87"/>
      <c r="D2943" s="88"/>
      <c r="E2943" s="43"/>
      <c r="F2943" s="44"/>
      <c r="G2943" s="45"/>
      <c r="H2943" s="46"/>
      <c r="I2943" s="47"/>
      <c r="J2943" s="48"/>
      <c r="K2943" s="49"/>
      <c r="L2943" s="50"/>
    </row>
    <row r="2944" spans="1:12" ht="15" customHeight="1" x14ac:dyDescent="0.35">
      <c r="A2944" s="85"/>
      <c r="B2944" s="86"/>
      <c r="C2944" s="87"/>
      <c r="D2944" s="88"/>
      <c r="E2944" s="43"/>
      <c r="F2944" s="44"/>
      <c r="G2944" s="45"/>
      <c r="H2944" s="46"/>
      <c r="I2944" s="47"/>
      <c r="J2944" s="48"/>
      <c r="K2944" s="49"/>
      <c r="L2944" s="50"/>
    </row>
    <row r="2945" spans="1:12" ht="15" customHeight="1" x14ac:dyDescent="0.35">
      <c r="A2945" s="85"/>
      <c r="B2945" s="86"/>
      <c r="C2945" s="87"/>
      <c r="D2945" s="88"/>
      <c r="E2945" s="43"/>
      <c r="F2945" s="44"/>
      <c r="G2945" s="45"/>
      <c r="H2945" s="46"/>
      <c r="I2945" s="47"/>
      <c r="J2945" s="48"/>
      <c r="K2945" s="49"/>
      <c r="L2945" s="50"/>
    </row>
    <row r="2946" spans="1:12" ht="15" customHeight="1" x14ac:dyDescent="0.35">
      <c r="A2946" s="85"/>
      <c r="B2946" s="86"/>
      <c r="C2946" s="87"/>
      <c r="D2946" s="88"/>
      <c r="E2946" s="43"/>
      <c r="F2946" s="44"/>
      <c r="G2946" s="45"/>
      <c r="H2946" s="46"/>
      <c r="I2946" s="47"/>
      <c r="J2946" s="48"/>
      <c r="K2946" s="49"/>
      <c r="L2946" s="50"/>
    </row>
  </sheetData>
  <autoFilter ref="A6:W2202" xr:uid="{00000000-0009-0000-0000-000000000000}"/>
  <mergeCells count="10">
    <mergeCell ref="A1:K1"/>
    <mergeCell ref="A2:K2"/>
    <mergeCell ref="K3:L3"/>
    <mergeCell ref="A4:A5"/>
    <mergeCell ref="B4:B5"/>
    <mergeCell ref="C4:C5"/>
    <mergeCell ref="D4:D5"/>
    <mergeCell ref="E4:I4"/>
    <mergeCell ref="J4:J5"/>
    <mergeCell ref="K4:K5"/>
  </mergeCells>
  <conditionalFormatting sqref="B1802">
    <cfRule type="cellIs" dxfId="167" priority="6" operator="equal">
      <formula>2268066081</formula>
    </cfRule>
    <cfRule type="duplicateValues" dxfId="166" priority="7"/>
    <cfRule type="duplicateValues" dxfId="165" priority="8"/>
    <cfRule type="duplicateValues" dxfId="164" priority="9"/>
    <cfRule type="duplicateValues" dxfId="163" priority="10"/>
  </conditionalFormatting>
  <conditionalFormatting sqref="L1:L2121 L2203:L1048576">
    <cfRule type="cellIs" dxfId="162" priority="16" operator="equal">
      <formula>2268066081</formula>
    </cfRule>
  </conditionalFormatting>
  <conditionalFormatting sqref="L17:L20">
    <cfRule type="duplicateValues" dxfId="161" priority="71"/>
    <cfRule type="duplicateValues" dxfId="160" priority="72"/>
    <cfRule type="duplicateValues" dxfId="159" priority="73"/>
    <cfRule type="duplicateValues" dxfId="158" priority="74"/>
    <cfRule type="duplicateValues" dxfId="157" priority="75"/>
  </conditionalFormatting>
  <conditionalFormatting sqref="L21:L181 L9:L16">
    <cfRule type="duplicateValues" dxfId="156" priority="76"/>
    <cfRule type="duplicateValues" dxfId="155" priority="77"/>
    <cfRule type="duplicateValues" dxfId="154" priority="78"/>
    <cfRule type="duplicateValues" dxfId="153" priority="79"/>
  </conditionalFormatting>
  <conditionalFormatting sqref="L182:L333 L8">
    <cfRule type="duplicateValues" dxfId="152" priority="83"/>
    <cfRule type="duplicateValues" dxfId="151" priority="80"/>
    <cfRule type="duplicateValues" dxfId="150" priority="81"/>
    <cfRule type="duplicateValues" dxfId="149" priority="82"/>
  </conditionalFormatting>
  <conditionalFormatting sqref="L334:L433">
    <cfRule type="duplicateValues" dxfId="148" priority="86"/>
    <cfRule type="duplicateValues" dxfId="147" priority="87"/>
    <cfRule type="duplicateValues" dxfId="146" priority="85"/>
    <cfRule type="duplicateValues" dxfId="145" priority="84"/>
  </conditionalFormatting>
  <conditionalFormatting sqref="L434:L583 L585:L653">
    <cfRule type="duplicateValues" dxfId="144" priority="90"/>
    <cfRule type="duplicateValues" dxfId="143" priority="91"/>
    <cfRule type="duplicateValues" dxfId="142" priority="88"/>
    <cfRule type="duplicateValues" dxfId="141" priority="89"/>
  </conditionalFormatting>
  <conditionalFormatting sqref="L584">
    <cfRule type="duplicateValues" dxfId="140" priority="67"/>
    <cfRule type="duplicateValues" dxfId="139" priority="70"/>
    <cfRule type="duplicateValues" dxfId="138" priority="68"/>
    <cfRule type="duplicateValues" dxfId="137" priority="69"/>
  </conditionalFormatting>
  <conditionalFormatting sqref="L654:L723 L729:L796">
    <cfRule type="duplicateValues" dxfId="136" priority="98"/>
    <cfRule type="duplicateValues" dxfId="135" priority="99"/>
    <cfRule type="duplicateValues" dxfId="134" priority="100"/>
    <cfRule type="duplicateValues" dxfId="133" priority="101"/>
  </conditionalFormatting>
  <conditionalFormatting sqref="L724:L728">
    <cfRule type="duplicateValues" dxfId="132" priority="61"/>
    <cfRule type="duplicateValues" dxfId="131" priority="58"/>
    <cfRule type="duplicateValues" dxfId="130" priority="60"/>
    <cfRule type="duplicateValues" dxfId="129" priority="59"/>
  </conditionalFormatting>
  <conditionalFormatting sqref="L797:L800">
    <cfRule type="duplicateValues" dxfId="128" priority="54"/>
    <cfRule type="duplicateValues" dxfId="127" priority="55"/>
    <cfRule type="duplicateValues" dxfId="126" priority="56"/>
    <cfRule type="duplicateValues" dxfId="125" priority="57"/>
  </conditionalFormatting>
  <conditionalFormatting sqref="L801:L804 L807:L812">
    <cfRule type="duplicateValues" dxfId="124" priority="102"/>
    <cfRule type="duplicateValues" dxfId="123" priority="103"/>
    <cfRule type="duplicateValues" dxfId="122" priority="104"/>
    <cfRule type="duplicateValues" dxfId="121" priority="105"/>
  </conditionalFormatting>
  <conditionalFormatting sqref="L805:L806">
    <cfRule type="duplicateValues" dxfId="120" priority="45"/>
    <cfRule type="duplicateValues" dxfId="119" priority="44"/>
    <cfRule type="duplicateValues" dxfId="118" priority="42"/>
    <cfRule type="duplicateValues" dxfId="117" priority="41"/>
  </conditionalFormatting>
  <conditionalFormatting sqref="L813:L828">
    <cfRule type="duplicateValues" dxfId="116" priority="51"/>
    <cfRule type="duplicateValues" dxfId="115" priority="53"/>
    <cfRule type="duplicateValues" dxfId="114" priority="52"/>
    <cfRule type="duplicateValues" dxfId="113" priority="50"/>
  </conditionalFormatting>
  <conditionalFormatting sqref="L829:L887">
    <cfRule type="duplicateValues" dxfId="112" priority="117"/>
    <cfRule type="duplicateValues" dxfId="111" priority="118"/>
    <cfRule type="duplicateValues" dxfId="110" priority="119"/>
    <cfRule type="duplicateValues" dxfId="109" priority="120"/>
  </conditionalFormatting>
  <conditionalFormatting sqref="L888:L893">
    <cfRule type="duplicateValues" dxfId="108" priority="113"/>
    <cfRule type="duplicateValues" dxfId="107" priority="110"/>
    <cfRule type="duplicateValues" dxfId="106" priority="111"/>
    <cfRule type="duplicateValues" dxfId="105" priority="112"/>
  </conditionalFormatting>
  <conditionalFormatting sqref="L894:L1283">
    <cfRule type="duplicateValues" dxfId="104" priority="190"/>
    <cfRule type="duplicateValues" dxfId="103" priority="191"/>
    <cfRule type="duplicateValues" dxfId="102" priority="192"/>
    <cfRule type="duplicateValues" dxfId="101" priority="193"/>
  </conditionalFormatting>
  <conditionalFormatting sqref="L1284:L1617 L1619:L1705 L1709:L2121 L2203:L2860">
    <cfRule type="duplicateValues" dxfId="100" priority="245"/>
    <cfRule type="duplicateValues" dxfId="99" priority="242"/>
    <cfRule type="duplicateValues" dxfId="98" priority="243"/>
    <cfRule type="duplicateValues" dxfId="97" priority="244"/>
  </conditionalFormatting>
  <conditionalFormatting sqref="L1618">
    <cfRule type="duplicateValues" dxfId="96" priority="25"/>
    <cfRule type="duplicateValues" dxfId="95" priority="24"/>
    <cfRule type="duplicateValues" dxfId="94" priority="23"/>
    <cfRule type="duplicateValues" dxfId="93" priority="22"/>
  </conditionalFormatting>
  <conditionalFormatting sqref="L1706:L1708">
    <cfRule type="duplicateValues" dxfId="92" priority="17"/>
    <cfRule type="duplicateValues" dxfId="91" priority="18"/>
    <cfRule type="duplicateValues" dxfId="90" priority="20"/>
    <cfRule type="duplicateValues" dxfId="89" priority="19"/>
  </conditionalFormatting>
  <conditionalFormatting sqref="L2861:L2946">
    <cfRule type="duplicateValues" dxfId="88" priority="35"/>
    <cfRule type="duplicateValues" dxfId="87" priority="34"/>
    <cfRule type="duplicateValues" dxfId="86" priority="33"/>
    <cfRule type="duplicateValues" dxfId="85" priority="32"/>
  </conditionalFormatting>
  <conditionalFormatting sqref="L2947:L1048576 L1:L7">
    <cfRule type="duplicateValues" dxfId="84" priority="92"/>
    <cfRule type="duplicateValues" dxfId="83" priority="93"/>
    <cfRule type="duplicateValues" dxfId="82" priority="94"/>
    <cfRule type="duplicateValues" dxfId="81" priority="95"/>
  </conditionalFormatting>
  <conditionalFormatting sqref="L2947:L1048576 L1:L333">
    <cfRule type="duplicateValues" dxfId="80" priority="97"/>
  </conditionalFormatting>
  <conditionalFormatting sqref="L2947:L1048576 L182:L333 L1:L8">
    <cfRule type="duplicateValues" dxfId="79" priority="96"/>
  </conditionalFormatting>
  <conditionalFormatting sqref="M1596">
    <cfRule type="duplicateValues" dxfId="78" priority="30"/>
    <cfRule type="duplicateValues" dxfId="77" priority="29"/>
    <cfRule type="duplicateValues" dxfId="76" priority="28"/>
    <cfRule type="duplicateValues" dxfId="75" priority="27"/>
  </conditionalFormatting>
  <conditionalFormatting sqref="M1596:N1596">
    <cfRule type="cellIs" dxfId="74" priority="11" operator="equal">
      <formula>2268066081</formula>
    </cfRule>
  </conditionalFormatting>
  <conditionalFormatting sqref="N596">
    <cfRule type="duplicateValues" dxfId="73" priority="66"/>
    <cfRule type="duplicateValues" dxfId="72" priority="65"/>
    <cfRule type="cellIs" dxfId="71" priority="64" operator="equal">
      <formula>2268066081</formula>
    </cfRule>
    <cfRule type="duplicateValues" dxfId="70" priority="63"/>
    <cfRule type="duplicateValues" dxfId="69" priority="62"/>
  </conditionalFormatting>
  <conditionalFormatting sqref="N1596">
    <cfRule type="duplicateValues" dxfId="68" priority="15"/>
    <cfRule type="duplicateValues" dxfId="67" priority="14"/>
    <cfRule type="duplicateValues" dxfId="66" priority="13"/>
    <cfRule type="duplicateValues" dxfId="65" priority="12"/>
  </conditionalFormatting>
  <conditionalFormatting sqref="L2122:L2202">
    <cfRule type="cellIs" dxfId="4" priority="1" operator="equal">
      <formula>2268066081</formula>
    </cfRule>
  </conditionalFormatting>
  <conditionalFormatting sqref="L2122:L2202">
    <cfRule type="duplicateValues" dxfId="2" priority="2"/>
    <cfRule type="duplicateValues" dxfId="1" priority="3"/>
    <cfRule type="duplicateValues" dxfId="0" priority="4"/>
    <cfRule type="duplicateValues" dxfId="3" priority="5"/>
  </conditionalFormatting>
  <hyperlinks>
    <hyperlink ref="O3" r:id="rId1" xr:uid="{00000000-0004-0000-0000-000000000000}"/>
    <hyperlink ref="N4" r:id="rId2" xr:uid="{00000000-0004-0000-0000-000001000000}"/>
  </hyperlinks>
  <pageMargins left="0.25" right="0.25" top="0.75" bottom="0.75" header="0" footer="0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M1038"/>
  <sheetViews>
    <sheetView zoomScale="120" zoomScaleNormal="120" workbookViewId="0">
      <pane xSplit="1" ySplit="5" topLeftCell="B890" activePane="bottomRight" state="frozen"/>
      <selection pane="topRight" activeCell="B1" sqref="B1"/>
      <selection pane="bottomLeft" activeCell="A7" sqref="A7"/>
      <selection pane="bottomRight" activeCell="G966" sqref="G966:G1001"/>
    </sheetView>
  </sheetViews>
  <sheetFormatPr defaultColWidth="14.44140625" defaultRowHeight="15" customHeight="1" x14ac:dyDescent="0.3"/>
  <cols>
    <col min="1" max="1" width="29.6640625" style="3" customWidth="1"/>
    <col min="2" max="3" width="10.33203125" style="3" customWidth="1"/>
    <col min="4" max="4" width="15.33203125" style="3" customWidth="1"/>
    <col min="5" max="5" width="14.33203125" style="164" customWidth="1"/>
    <col min="6" max="6" width="14.33203125" style="3" hidden="1" customWidth="1"/>
    <col min="7" max="7" width="16.44140625" style="3" customWidth="1"/>
    <col min="8" max="8" width="17.5546875" style="3" customWidth="1"/>
    <col min="9" max="9" width="18.88671875" style="3" customWidth="1"/>
    <col min="10" max="10" width="19.44140625" style="6" customWidth="1"/>
    <col min="11" max="11" width="16.6640625" style="3" bestFit="1" customWidth="1"/>
    <col min="12" max="12" width="27" style="3" customWidth="1"/>
    <col min="13" max="13" width="14.6640625" style="3" customWidth="1"/>
    <col min="14" max="16384" width="14.44140625" style="3"/>
  </cols>
  <sheetData>
    <row r="1" spans="1:13" ht="29.25" customHeight="1" x14ac:dyDescent="0.3">
      <c r="A1" s="205" t="s">
        <v>1331</v>
      </c>
      <c r="B1" s="205"/>
      <c r="C1" s="205"/>
      <c r="D1" s="205"/>
      <c r="E1" s="205"/>
      <c r="F1" s="205"/>
      <c r="G1" s="205"/>
      <c r="J1" s="133">
        <f>652111688-I3</f>
        <v>-627002998</v>
      </c>
    </row>
    <row r="2" spans="1:13" ht="24.75" customHeight="1" x14ac:dyDescent="0.3">
      <c r="A2" s="134"/>
      <c r="E2" s="3"/>
      <c r="G2" s="135" t="s">
        <v>1332</v>
      </c>
      <c r="H2" s="135" t="s">
        <v>1333</v>
      </c>
      <c r="I2" s="136" t="s">
        <v>1334</v>
      </c>
      <c r="K2" s="137" t="s">
        <v>1335</v>
      </c>
    </row>
    <row r="3" spans="1:13" ht="31.5" customHeight="1" x14ac:dyDescent="0.3">
      <c r="A3" s="138"/>
      <c r="B3" s="138"/>
      <c r="C3" s="138"/>
      <c r="D3" s="138"/>
      <c r="E3" s="138"/>
      <c r="F3" s="139"/>
      <c r="G3" s="136">
        <f>+'05.2022-misa'!I6</f>
        <v>1329879654</v>
      </c>
      <c r="H3" s="136">
        <f>+I5</f>
        <v>50764968</v>
      </c>
      <c r="I3" s="136">
        <f>+G3-H3</f>
        <v>1279114686</v>
      </c>
      <c r="J3" s="9"/>
      <c r="K3" s="140" t="s">
        <v>1336</v>
      </c>
    </row>
    <row r="4" spans="1:13" ht="18" customHeight="1" x14ac:dyDescent="0.3">
      <c r="A4" s="206" t="s">
        <v>8</v>
      </c>
      <c r="B4" s="208" t="s">
        <v>1337</v>
      </c>
      <c r="C4" s="177"/>
      <c r="D4" s="208" t="s">
        <v>1338</v>
      </c>
      <c r="E4" s="141" t="s">
        <v>1339</v>
      </c>
      <c r="F4" s="142" t="s">
        <v>1340</v>
      </c>
      <c r="G4" s="143" t="s">
        <v>18</v>
      </c>
      <c r="H4" s="143" t="s">
        <v>1341</v>
      </c>
      <c r="I4" s="144"/>
      <c r="J4" s="210"/>
      <c r="K4" s="12" t="s">
        <v>1342</v>
      </c>
    </row>
    <row r="5" spans="1:13" ht="28.5" customHeight="1" x14ac:dyDescent="0.3">
      <c r="A5" s="207"/>
      <c r="B5" s="209"/>
      <c r="C5" s="178"/>
      <c r="D5" s="209"/>
      <c r="E5" s="143">
        <f>SUM(E7:E606)</f>
        <v>9139188678</v>
      </c>
      <c r="F5" s="143">
        <f>SUM(F7:F606)</f>
        <v>800251599.58000004</v>
      </c>
      <c r="G5" s="143">
        <f>SUM(G7:G606)</f>
        <v>10042710309.579998</v>
      </c>
      <c r="H5" s="143">
        <f>SUM(H7:H606)</f>
        <v>10042710309.579998</v>
      </c>
      <c r="I5" s="143">
        <f>SUM(I7:I1924)</f>
        <v>50764968</v>
      </c>
      <c r="J5" s="210"/>
      <c r="K5" s="12" t="s">
        <v>1343</v>
      </c>
    </row>
    <row r="6" spans="1:13" ht="21.75" hidden="1" customHeight="1" x14ac:dyDescent="0.35">
      <c r="A6" s="145" t="s">
        <v>1344</v>
      </c>
      <c r="B6" s="146" t="s">
        <v>1345</v>
      </c>
      <c r="C6" s="146"/>
      <c r="D6" s="147">
        <v>44313</v>
      </c>
      <c r="E6" s="148">
        <v>6317000</v>
      </c>
      <c r="F6" s="44">
        <f t="shared" ref="F6:F21" si="0">E6*0.1</f>
        <v>631700</v>
      </c>
      <c r="G6" s="149">
        <f>+F6+E6</f>
        <v>6948700</v>
      </c>
      <c r="H6" s="149">
        <v>6948700</v>
      </c>
      <c r="I6" s="150">
        <f>+G6-H6</f>
        <v>0</v>
      </c>
      <c r="J6" s="151"/>
      <c r="K6" s="3" t="s">
        <v>1346</v>
      </c>
    </row>
    <row r="7" spans="1:13" ht="21.75" hidden="1" customHeight="1" x14ac:dyDescent="0.35">
      <c r="A7" s="145" t="s">
        <v>1347</v>
      </c>
      <c r="B7" s="146" t="s">
        <v>1348</v>
      </c>
      <c r="C7" s="146"/>
      <c r="D7" s="147">
        <v>44341</v>
      </c>
      <c r="E7" s="148">
        <v>40000</v>
      </c>
      <c r="F7" s="44">
        <f t="shared" si="0"/>
        <v>4000</v>
      </c>
      <c r="G7" s="149">
        <f t="shared" ref="G7:G8" si="1">+F7+E7</f>
        <v>44000</v>
      </c>
      <c r="H7" s="149">
        <v>44000</v>
      </c>
      <c r="I7" s="150">
        <f t="shared" ref="I7:I70" si="2">+G7-H7</f>
        <v>0</v>
      </c>
      <c r="J7" s="151"/>
      <c r="K7" s="12" t="s">
        <v>1349</v>
      </c>
      <c r="M7" s="152">
        <v>713906460</v>
      </c>
    </row>
    <row r="8" spans="1:13" ht="21.75" hidden="1" customHeight="1" x14ac:dyDescent="0.35">
      <c r="A8" s="145" t="s">
        <v>1350</v>
      </c>
      <c r="B8" s="146" t="s">
        <v>1351</v>
      </c>
      <c r="C8" s="146"/>
      <c r="D8" s="147">
        <v>44341</v>
      </c>
      <c r="E8" s="153">
        <v>64000</v>
      </c>
      <c r="F8" s="44">
        <f t="shared" si="0"/>
        <v>6400</v>
      </c>
      <c r="G8" s="149">
        <f t="shared" si="1"/>
        <v>70400</v>
      </c>
      <c r="H8" s="149">
        <v>70400</v>
      </c>
      <c r="I8" s="150">
        <f t="shared" si="2"/>
        <v>0</v>
      </c>
      <c r="J8" s="151"/>
    </row>
    <row r="9" spans="1:13" ht="21.75" hidden="1" customHeight="1" x14ac:dyDescent="0.35">
      <c r="A9" s="145" t="s">
        <v>1352</v>
      </c>
      <c r="B9" s="146" t="s">
        <v>1353</v>
      </c>
      <c r="C9" s="146"/>
      <c r="D9" s="147" t="s">
        <v>1354</v>
      </c>
      <c r="E9" s="154">
        <v>1485000</v>
      </c>
      <c r="F9" s="44">
        <f t="shared" si="0"/>
        <v>148500</v>
      </c>
      <c r="G9" s="149">
        <f>+F9+E9</f>
        <v>1633500</v>
      </c>
      <c r="H9" s="149">
        <v>1633500</v>
      </c>
      <c r="I9" s="150">
        <f t="shared" si="2"/>
        <v>0</v>
      </c>
      <c r="J9" s="151"/>
    </row>
    <row r="10" spans="1:13" ht="21.75" hidden="1" customHeight="1" x14ac:dyDescent="0.35">
      <c r="A10" s="145" t="s">
        <v>1355</v>
      </c>
      <c r="B10" s="146" t="s">
        <v>1356</v>
      </c>
      <c r="C10" s="146"/>
      <c r="D10" s="147">
        <v>44351</v>
      </c>
      <c r="E10" s="154">
        <v>32000</v>
      </c>
      <c r="F10" s="44">
        <f t="shared" si="0"/>
        <v>3200</v>
      </c>
      <c r="G10" s="149">
        <f t="shared" ref="G10:G73" si="3">+F10+E10</f>
        <v>35200</v>
      </c>
      <c r="H10" s="149">
        <v>35200</v>
      </c>
      <c r="I10" s="150">
        <f t="shared" si="2"/>
        <v>0</v>
      </c>
      <c r="J10" s="151"/>
    </row>
    <row r="11" spans="1:13" ht="21.75" hidden="1" customHeight="1" x14ac:dyDescent="0.35">
      <c r="A11" s="145" t="s">
        <v>1357</v>
      </c>
      <c r="B11" s="146" t="s">
        <v>1358</v>
      </c>
      <c r="C11" s="146"/>
      <c r="D11" s="147">
        <v>44354</v>
      </c>
      <c r="E11" s="154">
        <v>1815000</v>
      </c>
      <c r="F11" s="44">
        <f t="shared" si="0"/>
        <v>181500</v>
      </c>
      <c r="G11" s="149">
        <f t="shared" si="3"/>
        <v>1996500</v>
      </c>
      <c r="H11" s="149">
        <v>1996500</v>
      </c>
      <c r="I11" s="150">
        <f t="shared" si="2"/>
        <v>0</v>
      </c>
      <c r="J11" s="151"/>
    </row>
    <row r="12" spans="1:13" ht="21.75" hidden="1" customHeight="1" x14ac:dyDescent="0.35">
      <c r="A12" s="145" t="s">
        <v>1359</v>
      </c>
      <c r="B12" s="146" t="s">
        <v>1360</v>
      </c>
      <c r="C12" s="146"/>
      <c r="D12" s="147">
        <v>44362</v>
      </c>
      <c r="E12" s="154">
        <v>32000</v>
      </c>
      <c r="F12" s="44">
        <f t="shared" si="0"/>
        <v>3200</v>
      </c>
      <c r="G12" s="149">
        <f t="shared" si="3"/>
        <v>35200</v>
      </c>
      <c r="H12" s="149">
        <v>35200</v>
      </c>
      <c r="I12" s="150">
        <f t="shared" si="2"/>
        <v>0</v>
      </c>
      <c r="J12" s="151"/>
    </row>
    <row r="13" spans="1:13" ht="21.75" hidden="1" customHeight="1" x14ac:dyDescent="0.35">
      <c r="A13" s="145" t="s">
        <v>1361</v>
      </c>
      <c r="B13" s="146" t="s">
        <v>1362</v>
      </c>
      <c r="C13" s="146"/>
      <c r="D13" s="147">
        <v>44362</v>
      </c>
      <c r="E13" s="154">
        <v>1460000</v>
      </c>
      <c r="F13" s="44">
        <f t="shared" si="0"/>
        <v>146000</v>
      </c>
      <c r="G13" s="149">
        <f t="shared" si="3"/>
        <v>1606000</v>
      </c>
      <c r="H13" s="149">
        <v>1606000</v>
      </c>
      <c r="I13" s="150">
        <f t="shared" si="2"/>
        <v>0</v>
      </c>
      <c r="J13" s="151"/>
    </row>
    <row r="14" spans="1:13" ht="21.75" hidden="1" customHeight="1" x14ac:dyDescent="0.35">
      <c r="A14" s="145" t="s">
        <v>1363</v>
      </c>
      <c r="B14" s="146" t="s">
        <v>1364</v>
      </c>
      <c r="C14" s="146"/>
      <c r="D14" s="147">
        <v>44362</v>
      </c>
      <c r="E14" s="154">
        <v>120000</v>
      </c>
      <c r="F14" s="44">
        <f t="shared" si="0"/>
        <v>12000</v>
      </c>
      <c r="G14" s="149">
        <f t="shared" si="3"/>
        <v>132000</v>
      </c>
      <c r="H14" s="149">
        <v>132000</v>
      </c>
      <c r="I14" s="150">
        <f t="shared" si="2"/>
        <v>0</v>
      </c>
      <c r="J14" s="151"/>
    </row>
    <row r="15" spans="1:13" ht="21.75" hidden="1" customHeight="1" x14ac:dyDescent="0.35">
      <c r="A15" s="145" t="s">
        <v>1365</v>
      </c>
      <c r="B15" s="146" t="s">
        <v>1366</v>
      </c>
      <c r="C15" s="146"/>
      <c r="D15" s="147">
        <v>44557</v>
      </c>
      <c r="E15" s="154">
        <v>1448000</v>
      </c>
      <c r="F15" s="44">
        <f t="shared" si="0"/>
        <v>144800</v>
      </c>
      <c r="G15" s="149">
        <f t="shared" si="3"/>
        <v>1592800</v>
      </c>
      <c r="H15" s="149">
        <v>1592800</v>
      </c>
      <c r="I15" s="150">
        <f t="shared" si="2"/>
        <v>0</v>
      </c>
      <c r="J15" s="151"/>
    </row>
    <row r="16" spans="1:13" ht="21.75" hidden="1" customHeight="1" x14ac:dyDescent="0.35">
      <c r="A16" s="145" t="s">
        <v>1367</v>
      </c>
      <c r="B16" s="146" t="s">
        <v>1368</v>
      </c>
      <c r="C16" s="146"/>
      <c r="D16" s="147" t="s">
        <v>1369</v>
      </c>
      <c r="E16" s="154">
        <v>18231600</v>
      </c>
      <c r="F16" s="44">
        <f>E16*0.08</f>
        <v>1458528</v>
      </c>
      <c r="G16" s="149">
        <f t="shared" si="3"/>
        <v>19690128</v>
      </c>
      <c r="H16" s="149">
        <v>19690128</v>
      </c>
      <c r="I16" s="150">
        <f t="shared" si="2"/>
        <v>0</v>
      </c>
      <c r="J16" s="151"/>
    </row>
    <row r="17" spans="1:10" ht="21.75" hidden="1" customHeight="1" x14ac:dyDescent="0.35">
      <c r="A17" s="145" t="s">
        <v>1370</v>
      </c>
      <c r="B17" s="146" t="s">
        <v>1371</v>
      </c>
      <c r="C17" s="146"/>
      <c r="D17" s="147" t="s">
        <v>1372</v>
      </c>
      <c r="E17" s="154">
        <v>1105000</v>
      </c>
      <c r="F17" s="44">
        <f t="shared" si="0"/>
        <v>110500</v>
      </c>
      <c r="G17" s="149">
        <f t="shared" si="3"/>
        <v>1215500</v>
      </c>
      <c r="H17" s="149">
        <v>1215500</v>
      </c>
      <c r="I17" s="150">
        <f t="shared" si="2"/>
        <v>0</v>
      </c>
      <c r="J17" s="151"/>
    </row>
    <row r="18" spans="1:10" ht="21.75" hidden="1" customHeight="1" x14ac:dyDescent="0.35">
      <c r="A18" s="145" t="s">
        <v>1373</v>
      </c>
      <c r="B18" s="146" t="s">
        <v>1374</v>
      </c>
      <c r="C18" s="146"/>
      <c r="D18" s="147">
        <v>44743</v>
      </c>
      <c r="E18" s="154">
        <v>704000</v>
      </c>
      <c r="F18" s="44">
        <f t="shared" si="0"/>
        <v>70400</v>
      </c>
      <c r="G18" s="149">
        <f t="shared" si="3"/>
        <v>774400</v>
      </c>
      <c r="H18" s="149">
        <v>774400</v>
      </c>
      <c r="I18" s="150">
        <f t="shared" si="2"/>
        <v>0</v>
      </c>
      <c r="J18" s="151"/>
    </row>
    <row r="19" spans="1:10" ht="21.75" hidden="1" customHeight="1" x14ac:dyDescent="0.35">
      <c r="A19" s="145" t="s">
        <v>1375</v>
      </c>
      <c r="B19" s="146" t="s">
        <v>1376</v>
      </c>
      <c r="C19" s="146"/>
      <c r="D19" s="147" t="s">
        <v>1372</v>
      </c>
      <c r="E19" s="154">
        <v>1064000</v>
      </c>
      <c r="F19" s="44">
        <f t="shared" si="0"/>
        <v>106400</v>
      </c>
      <c r="G19" s="149">
        <f t="shared" si="3"/>
        <v>1170400</v>
      </c>
      <c r="H19" s="149">
        <v>1170400</v>
      </c>
      <c r="I19" s="150">
        <f t="shared" si="2"/>
        <v>0</v>
      </c>
      <c r="J19" s="151"/>
    </row>
    <row r="20" spans="1:10" ht="21.75" hidden="1" customHeight="1" x14ac:dyDescent="0.35">
      <c r="A20" s="145" t="s">
        <v>1377</v>
      </c>
      <c r="B20" s="146" t="s">
        <v>1378</v>
      </c>
      <c r="C20" s="146"/>
      <c r="D20" s="147" t="s">
        <v>1372</v>
      </c>
      <c r="E20" s="154">
        <v>128000</v>
      </c>
      <c r="F20" s="44">
        <f t="shared" si="0"/>
        <v>12800</v>
      </c>
      <c r="G20" s="149">
        <f t="shared" si="3"/>
        <v>140800</v>
      </c>
      <c r="H20" s="149">
        <v>140800</v>
      </c>
      <c r="I20" s="150">
        <f t="shared" si="2"/>
        <v>0</v>
      </c>
      <c r="J20" s="151"/>
    </row>
    <row r="21" spans="1:10" ht="21.75" hidden="1" customHeight="1" x14ac:dyDescent="0.35">
      <c r="A21" s="145" t="s">
        <v>1379</v>
      </c>
      <c r="B21" s="146" t="s">
        <v>1380</v>
      </c>
      <c r="C21" s="146"/>
      <c r="D21" s="147" t="s">
        <v>1381</v>
      </c>
      <c r="E21" s="154">
        <v>378000</v>
      </c>
      <c r="F21" s="44">
        <f t="shared" si="0"/>
        <v>37800</v>
      </c>
      <c r="G21" s="149">
        <f t="shared" si="3"/>
        <v>415800</v>
      </c>
      <c r="H21" s="149">
        <v>415800</v>
      </c>
      <c r="I21" s="150">
        <f t="shared" si="2"/>
        <v>0</v>
      </c>
      <c r="J21" s="151"/>
    </row>
    <row r="22" spans="1:10" ht="21.75" hidden="1" customHeight="1" x14ac:dyDescent="0.35">
      <c r="A22" s="145" t="s">
        <v>1382</v>
      </c>
      <c r="B22" s="146" t="s">
        <v>1383</v>
      </c>
      <c r="C22" s="146"/>
      <c r="D22" s="147" t="s">
        <v>1369</v>
      </c>
      <c r="E22" s="154">
        <v>7689500</v>
      </c>
      <c r="F22" s="44">
        <f>E22*0.08</f>
        <v>615160</v>
      </c>
      <c r="G22" s="149">
        <f t="shared" si="3"/>
        <v>8304660</v>
      </c>
      <c r="H22" s="149">
        <v>8304660</v>
      </c>
      <c r="I22" s="150">
        <f t="shared" si="2"/>
        <v>0</v>
      </c>
      <c r="J22" s="151"/>
    </row>
    <row r="23" spans="1:10" ht="21.75" hidden="1" customHeight="1" x14ac:dyDescent="0.35">
      <c r="A23" s="145" t="s">
        <v>1384</v>
      </c>
      <c r="B23" s="146" t="s">
        <v>1385</v>
      </c>
      <c r="C23" s="146"/>
      <c r="D23" s="147" t="s">
        <v>1369</v>
      </c>
      <c r="E23" s="154">
        <v>26697800</v>
      </c>
      <c r="F23" s="44">
        <f t="shared" ref="F23:F86" si="4">E23*0.08</f>
        <v>2135824</v>
      </c>
      <c r="G23" s="149">
        <f t="shared" si="3"/>
        <v>28833624</v>
      </c>
      <c r="H23" s="149">
        <v>28833624</v>
      </c>
      <c r="I23" s="150">
        <f t="shared" si="2"/>
        <v>0</v>
      </c>
      <c r="J23" s="151"/>
    </row>
    <row r="24" spans="1:10" ht="21.75" hidden="1" customHeight="1" x14ac:dyDescent="0.35">
      <c r="A24" s="145" t="s">
        <v>1386</v>
      </c>
      <c r="B24" s="146" t="s">
        <v>1387</v>
      </c>
      <c r="C24" s="146"/>
      <c r="D24" s="147" t="s">
        <v>1369</v>
      </c>
      <c r="E24" s="154">
        <v>2092000</v>
      </c>
      <c r="F24" s="44">
        <f t="shared" si="4"/>
        <v>167360</v>
      </c>
      <c r="G24" s="149">
        <f t="shared" si="3"/>
        <v>2259360</v>
      </c>
      <c r="H24" s="149">
        <v>2259360</v>
      </c>
      <c r="I24" s="150">
        <f t="shared" si="2"/>
        <v>0</v>
      </c>
      <c r="J24" s="151"/>
    </row>
    <row r="25" spans="1:10" ht="21.75" hidden="1" customHeight="1" x14ac:dyDescent="0.35">
      <c r="A25" s="145" t="s">
        <v>1388</v>
      </c>
      <c r="B25" s="146" t="s">
        <v>1389</v>
      </c>
      <c r="C25" s="146"/>
      <c r="D25" s="147" t="s">
        <v>1369</v>
      </c>
      <c r="E25" s="154">
        <v>5812000</v>
      </c>
      <c r="F25" s="44">
        <f t="shared" si="4"/>
        <v>464960</v>
      </c>
      <c r="G25" s="149">
        <f t="shared" si="3"/>
        <v>6276960</v>
      </c>
      <c r="H25" s="149">
        <v>6276960</v>
      </c>
      <c r="I25" s="150">
        <f t="shared" si="2"/>
        <v>0</v>
      </c>
      <c r="J25" s="151"/>
    </row>
    <row r="26" spans="1:10" ht="21.75" hidden="1" customHeight="1" x14ac:dyDescent="0.35">
      <c r="A26" s="145" t="s">
        <v>1390</v>
      </c>
      <c r="B26" s="146" t="s">
        <v>1391</v>
      </c>
      <c r="C26" s="146"/>
      <c r="D26" s="147" t="s">
        <v>1369</v>
      </c>
      <c r="E26" s="154">
        <v>8021700</v>
      </c>
      <c r="F26" s="44">
        <f t="shared" si="4"/>
        <v>641736</v>
      </c>
      <c r="G26" s="149">
        <f t="shared" si="3"/>
        <v>8663436</v>
      </c>
      <c r="H26" s="149">
        <v>8663436</v>
      </c>
      <c r="I26" s="150">
        <f t="shared" si="2"/>
        <v>0</v>
      </c>
      <c r="J26" s="151"/>
    </row>
    <row r="27" spans="1:10" ht="21.75" hidden="1" customHeight="1" x14ac:dyDescent="0.35">
      <c r="A27" s="145" t="s">
        <v>1392</v>
      </c>
      <c r="B27" s="146" t="s">
        <v>1393</v>
      </c>
      <c r="C27" s="146"/>
      <c r="D27" s="147" t="s">
        <v>1369</v>
      </c>
      <c r="E27" s="154">
        <v>23711400</v>
      </c>
      <c r="F27" s="44">
        <f t="shared" si="4"/>
        <v>1896912</v>
      </c>
      <c r="G27" s="149">
        <f t="shared" si="3"/>
        <v>25608312</v>
      </c>
      <c r="H27" s="149">
        <v>25608312</v>
      </c>
      <c r="I27" s="150">
        <f t="shared" si="2"/>
        <v>0</v>
      </c>
      <c r="J27" s="151"/>
    </row>
    <row r="28" spans="1:10" ht="21.75" hidden="1" customHeight="1" x14ac:dyDescent="0.35">
      <c r="A28" s="145" t="s">
        <v>1394</v>
      </c>
      <c r="B28" s="146" t="s">
        <v>1395</v>
      </c>
      <c r="C28" s="146"/>
      <c r="D28" s="147" t="s">
        <v>1369</v>
      </c>
      <c r="E28" s="154">
        <v>27235500</v>
      </c>
      <c r="F28" s="44">
        <f t="shared" si="4"/>
        <v>2178840</v>
      </c>
      <c r="G28" s="149">
        <f t="shared" si="3"/>
        <v>29414340</v>
      </c>
      <c r="H28" s="149">
        <v>29414340</v>
      </c>
      <c r="I28" s="150">
        <f t="shared" si="2"/>
        <v>0</v>
      </c>
      <c r="J28" s="151"/>
    </row>
    <row r="29" spans="1:10" ht="21.75" hidden="1" customHeight="1" x14ac:dyDescent="0.35">
      <c r="A29" s="145" t="s">
        <v>1396</v>
      </c>
      <c r="B29" s="146" t="s">
        <v>1397</v>
      </c>
      <c r="C29" s="146"/>
      <c r="D29" s="147" t="s">
        <v>1369</v>
      </c>
      <c r="E29" s="154">
        <v>10780000</v>
      </c>
      <c r="F29" s="44">
        <f t="shared" si="4"/>
        <v>862400</v>
      </c>
      <c r="G29" s="149">
        <f t="shared" si="3"/>
        <v>11642400</v>
      </c>
      <c r="H29" s="149">
        <v>11642400</v>
      </c>
      <c r="I29" s="150">
        <f t="shared" si="2"/>
        <v>0</v>
      </c>
      <c r="J29" s="151"/>
    </row>
    <row r="30" spans="1:10" ht="21.75" hidden="1" customHeight="1" x14ac:dyDescent="0.35">
      <c r="A30" s="145" t="s">
        <v>1398</v>
      </c>
      <c r="B30" s="146" t="s">
        <v>1399</v>
      </c>
      <c r="C30" s="146"/>
      <c r="D30" s="147" t="s">
        <v>1369</v>
      </c>
      <c r="E30" s="154">
        <v>63154900</v>
      </c>
      <c r="F30" s="44">
        <f t="shared" si="4"/>
        <v>5052392</v>
      </c>
      <c r="G30" s="149">
        <f t="shared" si="3"/>
        <v>68207292</v>
      </c>
      <c r="H30" s="149">
        <v>68207292</v>
      </c>
      <c r="I30" s="150">
        <f t="shared" si="2"/>
        <v>0</v>
      </c>
      <c r="J30" s="151"/>
    </row>
    <row r="31" spans="1:10" ht="21.75" hidden="1" customHeight="1" x14ac:dyDescent="0.35">
      <c r="A31" s="145" t="s">
        <v>1400</v>
      </c>
      <c r="B31" s="146" t="s">
        <v>1401</v>
      </c>
      <c r="C31" s="146"/>
      <c r="D31" s="147" t="s">
        <v>1369</v>
      </c>
      <c r="E31" s="154">
        <v>54373000</v>
      </c>
      <c r="F31" s="44">
        <f t="shared" si="4"/>
        <v>4349840</v>
      </c>
      <c r="G31" s="149">
        <f t="shared" si="3"/>
        <v>58722840</v>
      </c>
      <c r="H31" s="149">
        <v>58722840</v>
      </c>
      <c r="I31" s="150">
        <f t="shared" si="2"/>
        <v>0</v>
      </c>
      <c r="J31" s="151"/>
    </row>
    <row r="32" spans="1:10" ht="21.75" hidden="1" customHeight="1" x14ac:dyDescent="0.35">
      <c r="A32" s="145" t="s">
        <v>1402</v>
      </c>
      <c r="B32" s="146" t="s">
        <v>1403</v>
      </c>
      <c r="C32" s="146"/>
      <c r="D32" s="147" t="s">
        <v>1369</v>
      </c>
      <c r="E32" s="154">
        <v>14429000</v>
      </c>
      <c r="F32" s="44">
        <f t="shared" si="4"/>
        <v>1154320</v>
      </c>
      <c r="G32" s="149">
        <f t="shared" si="3"/>
        <v>15583320</v>
      </c>
      <c r="H32" s="149">
        <v>15583320</v>
      </c>
      <c r="I32" s="150">
        <f t="shared" si="2"/>
        <v>0</v>
      </c>
      <c r="J32" s="151"/>
    </row>
    <row r="33" spans="1:10" ht="21.75" hidden="1" customHeight="1" x14ac:dyDescent="0.35">
      <c r="A33" s="145" t="s">
        <v>1404</v>
      </c>
      <c r="B33" s="146" t="s">
        <v>1405</v>
      </c>
      <c r="C33" s="146"/>
      <c r="D33" s="147" t="s">
        <v>1369</v>
      </c>
      <c r="E33" s="154">
        <v>53017700</v>
      </c>
      <c r="F33" s="44">
        <f t="shared" si="4"/>
        <v>4241416</v>
      </c>
      <c r="G33" s="149">
        <f t="shared" si="3"/>
        <v>57259116</v>
      </c>
      <c r="H33" s="149">
        <v>57259116</v>
      </c>
      <c r="I33" s="150">
        <f t="shared" si="2"/>
        <v>0</v>
      </c>
      <c r="J33" s="151"/>
    </row>
    <row r="34" spans="1:10" ht="21.75" hidden="1" customHeight="1" x14ac:dyDescent="0.35">
      <c r="A34" s="145" t="s">
        <v>1406</v>
      </c>
      <c r="B34" s="155" t="s">
        <v>1407</v>
      </c>
      <c r="C34" s="155"/>
      <c r="D34" s="147" t="s">
        <v>1408</v>
      </c>
      <c r="E34" s="154">
        <v>9314700</v>
      </c>
      <c r="F34" s="44">
        <f t="shared" si="4"/>
        <v>745176</v>
      </c>
      <c r="G34" s="149">
        <f t="shared" si="3"/>
        <v>10059876</v>
      </c>
      <c r="H34" s="149">
        <v>10059876</v>
      </c>
      <c r="I34" s="150">
        <f t="shared" si="2"/>
        <v>0</v>
      </c>
      <c r="J34" s="151"/>
    </row>
    <row r="35" spans="1:10" ht="21.75" hidden="1" customHeight="1" x14ac:dyDescent="0.35">
      <c r="A35" s="145" t="s">
        <v>1409</v>
      </c>
      <c r="B35" s="155" t="s">
        <v>1410</v>
      </c>
      <c r="C35" s="155"/>
      <c r="D35" s="147" t="s">
        <v>1411</v>
      </c>
      <c r="E35" s="154">
        <v>2286000</v>
      </c>
      <c r="F35" s="44">
        <f t="shared" si="4"/>
        <v>182880</v>
      </c>
      <c r="G35" s="149">
        <f t="shared" si="3"/>
        <v>2468880</v>
      </c>
      <c r="H35" s="149">
        <v>2468880</v>
      </c>
      <c r="I35" s="150">
        <f t="shared" si="2"/>
        <v>0</v>
      </c>
      <c r="J35" s="151"/>
    </row>
    <row r="36" spans="1:10" ht="21.75" hidden="1" customHeight="1" x14ac:dyDescent="0.35">
      <c r="A36" s="145" t="s">
        <v>1412</v>
      </c>
      <c r="B36" s="146" t="s">
        <v>1413</v>
      </c>
      <c r="C36" s="146"/>
      <c r="D36" s="147" t="s">
        <v>1414</v>
      </c>
      <c r="E36" s="156">
        <v>47886790</v>
      </c>
      <c r="F36" s="44">
        <f t="shared" si="4"/>
        <v>3830943.2</v>
      </c>
      <c r="G36" s="149">
        <f t="shared" si="3"/>
        <v>51717733.200000003</v>
      </c>
      <c r="H36" s="149">
        <v>51717733.200000003</v>
      </c>
      <c r="I36" s="150">
        <f t="shared" si="2"/>
        <v>0</v>
      </c>
      <c r="J36" s="151"/>
    </row>
    <row r="37" spans="1:10" ht="21.75" hidden="1" customHeight="1" x14ac:dyDescent="0.35">
      <c r="A37" s="145" t="s">
        <v>1415</v>
      </c>
      <c r="B37" s="155" t="s">
        <v>1416</v>
      </c>
      <c r="C37" s="155"/>
      <c r="D37" s="147" t="s">
        <v>1417</v>
      </c>
      <c r="E37" s="156">
        <v>12241500</v>
      </c>
      <c r="F37" s="44">
        <f t="shared" si="4"/>
        <v>979320</v>
      </c>
      <c r="G37" s="149">
        <f t="shared" si="3"/>
        <v>13220820</v>
      </c>
      <c r="H37" s="149">
        <v>13220820</v>
      </c>
      <c r="I37" s="150">
        <f t="shared" si="2"/>
        <v>0</v>
      </c>
      <c r="J37" s="151"/>
    </row>
    <row r="38" spans="1:10" ht="21.75" hidden="1" customHeight="1" x14ac:dyDescent="0.35">
      <c r="A38" s="145" t="s">
        <v>1418</v>
      </c>
      <c r="B38" s="146" t="s">
        <v>1419</v>
      </c>
      <c r="C38" s="146"/>
      <c r="D38" s="147" t="s">
        <v>1417</v>
      </c>
      <c r="E38" s="156">
        <v>668500</v>
      </c>
      <c r="F38" s="44">
        <f t="shared" si="4"/>
        <v>53480</v>
      </c>
      <c r="G38" s="149">
        <f t="shared" si="3"/>
        <v>721980</v>
      </c>
      <c r="H38" s="149">
        <v>721980</v>
      </c>
      <c r="I38" s="150">
        <f t="shared" si="2"/>
        <v>0</v>
      </c>
      <c r="J38" s="151"/>
    </row>
    <row r="39" spans="1:10" ht="21.75" hidden="1" customHeight="1" x14ac:dyDescent="0.35">
      <c r="A39" s="145" t="s">
        <v>1420</v>
      </c>
      <c r="B39" s="146" t="s">
        <v>1421</v>
      </c>
      <c r="C39" s="146"/>
      <c r="D39" s="147" t="s">
        <v>1417</v>
      </c>
      <c r="E39" s="156">
        <v>8817200</v>
      </c>
      <c r="F39" s="44">
        <f t="shared" si="4"/>
        <v>705376</v>
      </c>
      <c r="G39" s="149">
        <f t="shared" si="3"/>
        <v>9522576</v>
      </c>
      <c r="H39" s="149">
        <v>9522576</v>
      </c>
      <c r="I39" s="150">
        <f t="shared" si="2"/>
        <v>0</v>
      </c>
      <c r="J39" s="151"/>
    </row>
    <row r="40" spans="1:10" ht="21.75" hidden="1" customHeight="1" x14ac:dyDescent="0.35">
      <c r="A40" s="145" t="s">
        <v>1422</v>
      </c>
      <c r="B40" s="155" t="s">
        <v>1423</v>
      </c>
      <c r="C40" s="155"/>
      <c r="D40" s="147" t="s">
        <v>1417</v>
      </c>
      <c r="E40" s="156">
        <v>14795000</v>
      </c>
      <c r="F40" s="44">
        <f t="shared" si="4"/>
        <v>1183600</v>
      </c>
      <c r="G40" s="149">
        <f t="shared" si="3"/>
        <v>15978600</v>
      </c>
      <c r="H40" s="149">
        <v>15978600</v>
      </c>
      <c r="I40" s="150">
        <f t="shared" si="2"/>
        <v>0</v>
      </c>
      <c r="J40" s="151"/>
    </row>
    <row r="41" spans="1:10" ht="21.75" hidden="1" customHeight="1" x14ac:dyDescent="0.35">
      <c r="A41" s="145" t="s">
        <v>1424</v>
      </c>
      <c r="B41" s="146" t="s">
        <v>1425</v>
      </c>
      <c r="C41" s="146"/>
      <c r="D41" s="147" t="s">
        <v>1417</v>
      </c>
      <c r="E41" s="156">
        <v>4084900</v>
      </c>
      <c r="F41" s="44">
        <f t="shared" si="4"/>
        <v>326792</v>
      </c>
      <c r="G41" s="149">
        <f t="shared" si="3"/>
        <v>4411692</v>
      </c>
      <c r="H41" s="149">
        <v>4411692</v>
      </c>
      <c r="I41" s="150">
        <f t="shared" si="2"/>
        <v>0</v>
      </c>
      <c r="J41" s="151"/>
    </row>
    <row r="42" spans="1:10" ht="21.75" hidden="1" customHeight="1" x14ac:dyDescent="0.35">
      <c r="A42" s="145" t="s">
        <v>1426</v>
      </c>
      <c r="B42" s="146" t="s">
        <v>1427</v>
      </c>
      <c r="C42" s="146"/>
      <c r="D42" s="147" t="s">
        <v>1417</v>
      </c>
      <c r="E42" s="156">
        <v>12853800</v>
      </c>
      <c r="F42" s="44">
        <f t="shared" si="4"/>
        <v>1028304</v>
      </c>
      <c r="G42" s="149">
        <f t="shared" si="3"/>
        <v>13882104</v>
      </c>
      <c r="H42" s="149">
        <v>13882104</v>
      </c>
      <c r="I42" s="150">
        <f t="shared" si="2"/>
        <v>0</v>
      </c>
      <c r="J42" s="151"/>
    </row>
    <row r="43" spans="1:10" ht="21.75" hidden="1" customHeight="1" x14ac:dyDescent="0.35">
      <c r="A43" s="145" t="s">
        <v>1428</v>
      </c>
      <c r="B43" s="146" t="s">
        <v>1429</v>
      </c>
      <c r="C43" s="146"/>
      <c r="D43" s="147" t="s">
        <v>1417</v>
      </c>
      <c r="E43" s="156">
        <v>4768000</v>
      </c>
      <c r="F43" s="44">
        <f t="shared" si="4"/>
        <v>381440</v>
      </c>
      <c r="G43" s="149">
        <f t="shared" si="3"/>
        <v>5149440</v>
      </c>
      <c r="H43" s="149">
        <v>5149440</v>
      </c>
      <c r="I43" s="150">
        <f t="shared" si="2"/>
        <v>0</v>
      </c>
      <c r="J43" s="151"/>
    </row>
    <row r="44" spans="1:10" ht="21.75" hidden="1" customHeight="1" x14ac:dyDescent="0.35">
      <c r="A44" s="145" t="s">
        <v>1430</v>
      </c>
      <c r="B44" s="146" t="s">
        <v>1431</v>
      </c>
      <c r="C44" s="146"/>
      <c r="D44" s="147" t="s">
        <v>1417</v>
      </c>
      <c r="E44" s="156">
        <v>24450300</v>
      </c>
      <c r="F44" s="44">
        <f t="shared" si="4"/>
        <v>1956024</v>
      </c>
      <c r="G44" s="149">
        <f t="shared" si="3"/>
        <v>26406324</v>
      </c>
      <c r="H44" s="149">
        <v>26406324</v>
      </c>
      <c r="I44" s="150">
        <f t="shared" si="2"/>
        <v>0</v>
      </c>
      <c r="J44" s="151"/>
    </row>
    <row r="45" spans="1:10" ht="21.75" hidden="1" customHeight="1" x14ac:dyDescent="0.35">
      <c r="A45" s="145" t="s">
        <v>1432</v>
      </c>
      <c r="B45" s="155" t="s">
        <v>1433</v>
      </c>
      <c r="C45" s="155"/>
      <c r="D45" s="147" t="s">
        <v>1417</v>
      </c>
      <c r="E45" s="156">
        <v>2785000</v>
      </c>
      <c r="F45" s="44">
        <f t="shared" si="4"/>
        <v>222800</v>
      </c>
      <c r="G45" s="149">
        <f t="shared" si="3"/>
        <v>3007800</v>
      </c>
      <c r="H45" s="149">
        <v>3007800</v>
      </c>
      <c r="I45" s="150">
        <f t="shared" si="2"/>
        <v>0</v>
      </c>
      <c r="J45" s="151"/>
    </row>
    <row r="46" spans="1:10" ht="21.75" hidden="1" customHeight="1" x14ac:dyDescent="0.35">
      <c r="A46" s="145" t="s">
        <v>1434</v>
      </c>
      <c r="B46" s="155" t="s">
        <v>1435</v>
      </c>
      <c r="C46" s="155"/>
      <c r="D46" s="147" t="s">
        <v>1417</v>
      </c>
      <c r="E46" s="156">
        <v>22175800</v>
      </c>
      <c r="F46" s="44">
        <f t="shared" si="4"/>
        <v>1774064</v>
      </c>
      <c r="G46" s="149">
        <f t="shared" si="3"/>
        <v>23949864</v>
      </c>
      <c r="H46" s="149">
        <v>23949864</v>
      </c>
      <c r="I46" s="150">
        <f t="shared" si="2"/>
        <v>0</v>
      </c>
      <c r="J46" s="151"/>
    </row>
    <row r="47" spans="1:10" ht="21.75" hidden="1" customHeight="1" x14ac:dyDescent="0.35">
      <c r="A47" s="145" t="s">
        <v>1436</v>
      </c>
      <c r="B47" s="146" t="s">
        <v>1437</v>
      </c>
      <c r="C47" s="146"/>
      <c r="D47" s="147" t="s">
        <v>1417</v>
      </c>
      <c r="E47" s="156">
        <v>20533400</v>
      </c>
      <c r="F47" s="44">
        <f t="shared" si="4"/>
        <v>1642672</v>
      </c>
      <c r="G47" s="149">
        <f t="shared" si="3"/>
        <v>22176072</v>
      </c>
      <c r="H47" s="149">
        <v>22176072</v>
      </c>
      <c r="I47" s="150">
        <f t="shared" si="2"/>
        <v>0</v>
      </c>
      <c r="J47" s="151"/>
    </row>
    <row r="48" spans="1:10" ht="21.75" hidden="1" customHeight="1" x14ac:dyDescent="0.35">
      <c r="A48" s="145" t="s">
        <v>1438</v>
      </c>
      <c r="B48" s="155" t="s">
        <v>1439</v>
      </c>
      <c r="C48" s="155"/>
      <c r="D48" s="147" t="s">
        <v>1417</v>
      </c>
      <c r="E48" s="156">
        <v>48535100</v>
      </c>
      <c r="F48" s="44">
        <f t="shared" si="4"/>
        <v>3882808</v>
      </c>
      <c r="G48" s="149">
        <f t="shared" si="3"/>
        <v>52417908</v>
      </c>
      <c r="H48" s="149">
        <v>52417908</v>
      </c>
      <c r="I48" s="150">
        <f t="shared" si="2"/>
        <v>0</v>
      </c>
      <c r="J48" s="151"/>
    </row>
    <row r="49" spans="1:10" ht="21.75" hidden="1" customHeight="1" x14ac:dyDescent="0.35">
      <c r="A49" s="145" t="s">
        <v>1440</v>
      </c>
      <c r="B49" s="155" t="s">
        <v>1441</v>
      </c>
      <c r="C49" s="155"/>
      <c r="D49" s="147" t="s">
        <v>1417</v>
      </c>
      <c r="E49" s="156">
        <v>48225900</v>
      </c>
      <c r="F49" s="44">
        <f t="shared" si="4"/>
        <v>3858072</v>
      </c>
      <c r="G49" s="149">
        <f t="shared" si="3"/>
        <v>52083972</v>
      </c>
      <c r="H49" s="149">
        <v>52083972</v>
      </c>
      <c r="I49" s="150">
        <f t="shared" si="2"/>
        <v>0</v>
      </c>
      <c r="J49" s="151"/>
    </row>
    <row r="50" spans="1:10" ht="21.75" hidden="1" customHeight="1" x14ac:dyDescent="0.35">
      <c r="A50" s="145" t="s">
        <v>1442</v>
      </c>
      <c r="B50" s="155" t="s">
        <v>1443</v>
      </c>
      <c r="C50" s="155"/>
      <c r="D50" s="147" t="s">
        <v>1417</v>
      </c>
      <c r="E50" s="156">
        <v>19805000</v>
      </c>
      <c r="F50" s="44">
        <f t="shared" si="4"/>
        <v>1584400</v>
      </c>
      <c r="G50" s="149">
        <f t="shared" si="3"/>
        <v>21389400</v>
      </c>
      <c r="H50" s="149">
        <v>21389400</v>
      </c>
      <c r="I50" s="150">
        <f t="shared" si="2"/>
        <v>0</v>
      </c>
      <c r="J50" s="151"/>
    </row>
    <row r="51" spans="1:10" ht="21.75" hidden="1" customHeight="1" x14ac:dyDescent="0.35">
      <c r="A51" s="145" t="s">
        <v>1444</v>
      </c>
      <c r="B51" s="155" t="s">
        <v>1445</v>
      </c>
      <c r="C51" s="155"/>
      <c r="D51" s="147" t="s">
        <v>1417</v>
      </c>
      <c r="E51" s="156">
        <v>20973900</v>
      </c>
      <c r="F51" s="44">
        <f t="shared" si="4"/>
        <v>1677912</v>
      </c>
      <c r="G51" s="149">
        <f t="shared" si="3"/>
        <v>22651812</v>
      </c>
      <c r="H51" s="149">
        <v>22651812</v>
      </c>
      <c r="I51" s="150">
        <f t="shared" si="2"/>
        <v>0</v>
      </c>
      <c r="J51" s="151"/>
    </row>
    <row r="52" spans="1:10" ht="21.75" hidden="1" customHeight="1" x14ac:dyDescent="0.35">
      <c r="A52" s="145" t="s">
        <v>1446</v>
      </c>
      <c r="B52" s="155" t="s">
        <v>1447</v>
      </c>
      <c r="C52" s="155"/>
      <c r="D52" s="147" t="s">
        <v>1417</v>
      </c>
      <c r="E52" s="156">
        <v>951000</v>
      </c>
      <c r="F52" s="44">
        <f t="shared" si="4"/>
        <v>76080</v>
      </c>
      <c r="G52" s="149">
        <f t="shared" si="3"/>
        <v>1027080</v>
      </c>
      <c r="H52" s="149">
        <v>1027080</v>
      </c>
      <c r="I52" s="150">
        <f t="shared" si="2"/>
        <v>0</v>
      </c>
      <c r="J52" s="151"/>
    </row>
    <row r="53" spans="1:10" ht="21.75" hidden="1" customHeight="1" x14ac:dyDescent="0.35">
      <c r="A53" s="145" t="s">
        <v>1448</v>
      </c>
      <c r="B53" s="155" t="s">
        <v>1449</v>
      </c>
      <c r="C53" s="155"/>
      <c r="D53" s="147" t="s">
        <v>1417</v>
      </c>
      <c r="E53" s="156">
        <v>4468000</v>
      </c>
      <c r="F53" s="44">
        <f t="shared" si="4"/>
        <v>357440</v>
      </c>
      <c r="G53" s="149">
        <f t="shared" si="3"/>
        <v>4825440</v>
      </c>
      <c r="H53" s="149">
        <v>4825440</v>
      </c>
      <c r="I53" s="150">
        <f t="shared" si="2"/>
        <v>0</v>
      </c>
      <c r="J53" s="151"/>
    </row>
    <row r="54" spans="1:10" ht="21.75" hidden="1" customHeight="1" x14ac:dyDescent="0.35">
      <c r="A54" s="145" t="s">
        <v>1450</v>
      </c>
      <c r="B54" s="146" t="s">
        <v>1451</v>
      </c>
      <c r="C54" s="146"/>
      <c r="D54" s="147" t="s">
        <v>1417</v>
      </c>
      <c r="E54" s="156">
        <v>32166300</v>
      </c>
      <c r="F54" s="44">
        <f t="shared" si="4"/>
        <v>2573304</v>
      </c>
      <c r="G54" s="149">
        <f t="shared" si="3"/>
        <v>34739604</v>
      </c>
      <c r="H54" s="149">
        <v>34739604</v>
      </c>
      <c r="I54" s="150">
        <f t="shared" si="2"/>
        <v>0</v>
      </c>
      <c r="J54" s="151"/>
    </row>
    <row r="55" spans="1:10" ht="21.75" hidden="1" customHeight="1" x14ac:dyDescent="0.35">
      <c r="A55" s="145" t="s">
        <v>1452</v>
      </c>
      <c r="B55" s="146" t="s">
        <v>1453</v>
      </c>
      <c r="C55" s="146"/>
      <c r="D55" s="147" t="s">
        <v>1417</v>
      </c>
      <c r="E55" s="156">
        <v>42456700</v>
      </c>
      <c r="F55" s="44">
        <f t="shared" si="4"/>
        <v>3396536</v>
      </c>
      <c r="G55" s="149">
        <f t="shared" si="3"/>
        <v>45853236</v>
      </c>
      <c r="H55" s="149">
        <v>45853236</v>
      </c>
      <c r="I55" s="150">
        <f t="shared" si="2"/>
        <v>0</v>
      </c>
      <c r="J55" s="151"/>
    </row>
    <row r="56" spans="1:10" ht="21.75" hidden="1" customHeight="1" x14ac:dyDescent="0.35">
      <c r="A56" s="145" t="s">
        <v>1454</v>
      </c>
      <c r="B56" s="155" t="s">
        <v>1455</v>
      </c>
      <c r="C56" s="155"/>
      <c r="D56" s="147" t="s">
        <v>1417</v>
      </c>
      <c r="E56" s="156">
        <v>32247700</v>
      </c>
      <c r="F56" s="44">
        <f t="shared" si="4"/>
        <v>2579816</v>
      </c>
      <c r="G56" s="149">
        <f t="shared" si="3"/>
        <v>34827516</v>
      </c>
      <c r="H56" s="149">
        <v>34827516</v>
      </c>
      <c r="I56" s="150">
        <f t="shared" si="2"/>
        <v>0</v>
      </c>
      <c r="J56" s="151"/>
    </row>
    <row r="57" spans="1:10" ht="21.75" hidden="1" customHeight="1" x14ac:dyDescent="0.35">
      <c r="A57" s="145" t="s">
        <v>1456</v>
      </c>
      <c r="B57" s="146" t="s">
        <v>1457</v>
      </c>
      <c r="C57" s="146"/>
      <c r="D57" s="147" t="s">
        <v>1417</v>
      </c>
      <c r="E57" s="156">
        <v>4712800</v>
      </c>
      <c r="F57" s="44">
        <f t="shared" si="4"/>
        <v>377024</v>
      </c>
      <c r="G57" s="149">
        <f t="shared" si="3"/>
        <v>5089824</v>
      </c>
      <c r="H57" s="149">
        <v>5089824</v>
      </c>
      <c r="I57" s="150">
        <f t="shared" si="2"/>
        <v>0</v>
      </c>
      <c r="J57" s="151"/>
    </row>
    <row r="58" spans="1:10" ht="21.75" hidden="1" customHeight="1" x14ac:dyDescent="0.35">
      <c r="A58" s="145" t="s">
        <v>1458</v>
      </c>
      <c r="B58" s="146" t="s">
        <v>1459</v>
      </c>
      <c r="C58" s="146"/>
      <c r="D58" s="147" t="s">
        <v>1417</v>
      </c>
      <c r="E58" s="156">
        <v>13098000</v>
      </c>
      <c r="F58" s="44">
        <f t="shared" si="4"/>
        <v>1047840</v>
      </c>
      <c r="G58" s="149">
        <f t="shared" si="3"/>
        <v>14145840</v>
      </c>
      <c r="H58" s="149">
        <v>14145840</v>
      </c>
      <c r="I58" s="150">
        <f t="shared" si="2"/>
        <v>0</v>
      </c>
      <c r="J58" s="151"/>
    </row>
    <row r="59" spans="1:10" ht="21.75" hidden="1" customHeight="1" x14ac:dyDescent="0.35">
      <c r="A59" s="145" t="s">
        <v>1460</v>
      </c>
      <c r="B59" s="155" t="s">
        <v>1461</v>
      </c>
      <c r="C59" s="155"/>
      <c r="D59" s="147" t="s">
        <v>1417</v>
      </c>
      <c r="E59" s="156">
        <v>11062400</v>
      </c>
      <c r="F59" s="44">
        <f t="shared" si="4"/>
        <v>884992</v>
      </c>
      <c r="G59" s="149">
        <f t="shared" si="3"/>
        <v>11947392</v>
      </c>
      <c r="H59" s="149">
        <v>11947392</v>
      </c>
      <c r="I59" s="150">
        <f t="shared" si="2"/>
        <v>0</v>
      </c>
      <c r="J59" s="151"/>
    </row>
    <row r="60" spans="1:10" ht="21.75" hidden="1" customHeight="1" x14ac:dyDescent="0.35">
      <c r="A60" s="145" t="s">
        <v>1462</v>
      </c>
      <c r="B60" s="155" t="s">
        <v>1463</v>
      </c>
      <c r="C60" s="155"/>
      <c r="D60" s="147" t="s">
        <v>1417</v>
      </c>
      <c r="E60" s="156">
        <v>39556300</v>
      </c>
      <c r="F60" s="44">
        <f t="shared" si="4"/>
        <v>3164504</v>
      </c>
      <c r="G60" s="149">
        <f t="shared" si="3"/>
        <v>42720804</v>
      </c>
      <c r="H60" s="149">
        <v>42720804</v>
      </c>
      <c r="I60" s="150">
        <f t="shared" si="2"/>
        <v>0</v>
      </c>
      <c r="J60" s="151"/>
    </row>
    <row r="61" spans="1:10" ht="21.75" hidden="1" customHeight="1" x14ac:dyDescent="0.35">
      <c r="A61" s="145" t="s">
        <v>1464</v>
      </c>
      <c r="B61" s="146" t="s">
        <v>1465</v>
      </c>
      <c r="C61" s="146"/>
      <c r="D61" s="147" t="s">
        <v>1417</v>
      </c>
      <c r="E61" s="156">
        <v>6908000</v>
      </c>
      <c r="F61" s="44">
        <f t="shared" si="4"/>
        <v>552640</v>
      </c>
      <c r="G61" s="149">
        <f t="shared" si="3"/>
        <v>7460640</v>
      </c>
      <c r="H61" s="149">
        <v>7460640</v>
      </c>
      <c r="I61" s="150">
        <f t="shared" si="2"/>
        <v>0</v>
      </c>
      <c r="J61" s="151"/>
    </row>
    <row r="62" spans="1:10" ht="21.75" hidden="1" customHeight="1" x14ac:dyDescent="0.35">
      <c r="A62" s="145" t="s">
        <v>1462</v>
      </c>
      <c r="B62" s="155" t="s">
        <v>1466</v>
      </c>
      <c r="C62" s="155"/>
      <c r="D62" s="147" t="s">
        <v>1417</v>
      </c>
      <c r="E62" s="156">
        <v>54000</v>
      </c>
      <c r="F62" s="44">
        <f t="shared" si="4"/>
        <v>4320</v>
      </c>
      <c r="G62" s="149">
        <f t="shared" si="3"/>
        <v>58320</v>
      </c>
      <c r="H62" s="149">
        <v>58320</v>
      </c>
      <c r="I62" s="150">
        <f t="shared" si="2"/>
        <v>0</v>
      </c>
      <c r="J62" s="151"/>
    </row>
    <row r="63" spans="1:10" ht="21.75" hidden="1" customHeight="1" x14ac:dyDescent="0.35">
      <c r="A63" s="145" t="s">
        <v>1467</v>
      </c>
      <c r="B63" s="146" t="s">
        <v>1468</v>
      </c>
      <c r="C63" s="146"/>
      <c r="D63" s="147" t="s">
        <v>1417</v>
      </c>
      <c r="E63" s="156">
        <v>34083500</v>
      </c>
      <c r="F63" s="44">
        <f t="shared" si="4"/>
        <v>2726680</v>
      </c>
      <c r="G63" s="149">
        <f t="shared" si="3"/>
        <v>36810180</v>
      </c>
      <c r="H63" s="149">
        <v>36810180</v>
      </c>
      <c r="I63" s="150">
        <f t="shared" si="2"/>
        <v>0</v>
      </c>
      <c r="J63" s="151"/>
    </row>
    <row r="64" spans="1:10" ht="21.75" hidden="1" customHeight="1" x14ac:dyDescent="0.35">
      <c r="A64" s="145" t="s">
        <v>1469</v>
      </c>
      <c r="B64" s="146" t="s">
        <v>1470</v>
      </c>
      <c r="C64" s="146"/>
      <c r="D64" s="147" t="s">
        <v>1417</v>
      </c>
      <c r="E64" s="156">
        <v>1008200</v>
      </c>
      <c r="F64" s="44">
        <f t="shared" si="4"/>
        <v>80656</v>
      </c>
      <c r="G64" s="149">
        <f t="shared" si="3"/>
        <v>1088856</v>
      </c>
      <c r="H64" s="149">
        <v>1088856</v>
      </c>
      <c r="I64" s="150">
        <f t="shared" si="2"/>
        <v>0</v>
      </c>
      <c r="J64" s="151"/>
    </row>
    <row r="65" spans="1:10" ht="21.75" hidden="1" customHeight="1" x14ac:dyDescent="0.35">
      <c r="A65" s="145" t="s">
        <v>1471</v>
      </c>
      <c r="B65" s="146" t="s">
        <v>1472</v>
      </c>
      <c r="C65" s="146"/>
      <c r="D65" s="147" t="s">
        <v>1417</v>
      </c>
      <c r="E65" s="156">
        <v>553000</v>
      </c>
      <c r="F65" s="44">
        <f t="shared" si="4"/>
        <v>44240</v>
      </c>
      <c r="G65" s="149">
        <f t="shared" si="3"/>
        <v>597240</v>
      </c>
      <c r="H65" s="149">
        <v>597240</v>
      </c>
      <c r="I65" s="150">
        <f t="shared" si="2"/>
        <v>0</v>
      </c>
      <c r="J65" s="151"/>
    </row>
    <row r="66" spans="1:10" ht="21.75" hidden="1" customHeight="1" x14ac:dyDescent="0.35">
      <c r="A66" s="145" t="s">
        <v>1473</v>
      </c>
      <c r="B66" s="146" t="s">
        <v>1474</v>
      </c>
      <c r="C66" s="146"/>
      <c r="D66" s="147" t="s">
        <v>1417</v>
      </c>
      <c r="E66" s="156">
        <v>851000</v>
      </c>
      <c r="F66" s="44">
        <f t="shared" si="4"/>
        <v>68080</v>
      </c>
      <c r="G66" s="149">
        <f t="shared" si="3"/>
        <v>919080</v>
      </c>
      <c r="H66" s="149">
        <v>919080</v>
      </c>
      <c r="I66" s="150">
        <f t="shared" si="2"/>
        <v>0</v>
      </c>
      <c r="J66" s="151"/>
    </row>
    <row r="67" spans="1:10" ht="21.75" hidden="1" customHeight="1" x14ac:dyDescent="0.35">
      <c r="A67" s="145" t="s">
        <v>1475</v>
      </c>
      <c r="B67" s="146" t="s">
        <v>1476</v>
      </c>
      <c r="C67" s="146"/>
      <c r="D67" s="147" t="s">
        <v>1417</v>
      </c>
      <c r="E67" s="156">
        <v>10397000</v>
      </c>
      <c r="F67" s="44">
        <f t="shared" si="4"/>
        <v>831760</v>
      </c>
      <c r="G67" s="149">
        <f t="shared" si="3"/>
        <v>11228760</v>
      </c>
      <c r="H67" s="149">
        <v>11228760</v>
      </c>
      <c r="I67" s="150">
        <f t="shared" si="2"/>
        <v>0</v>
      </c>
      <c r="J67" s="151"/>
    </row>
    <row r="68" spans="1:10" ht="21.75" hidden="1" customHeight="1" x14ac:dyDescent="0.35">
      <c r="A68" s="145" t="s">
        <v>1477</v>
      </c>
      <c r="B68" s="146" t="s">
        <v>1478</v>
      </c>
      <c r="C68" s="146"/>
      <c r="D68" s="147" t="s">
        <v>1417</v>
      </c>
      <c r="E68" s="156">
        <v>98000</v>
      </c>
      <c r="F68" s="44">
        <f t="shared" si="4"/>
        <v>7840</v>
      </c>
      <c r="G68" s="149">
        <f t="shared" si="3"/>
        <v>105840</v>
      </c>
      <c r="H68" s="149">
        <v>105840</v>
      </c>
      <c r="I68" s="150">
        <f t="shared" si="2"/>
        <v>0</v>
      </c>
      <c r="J68" s="151"/>
    </row>
    <row r="69" spans="1:10" ht="21.75" hidden="1" customHeight="1" x14ac:dyDescent="0.35">
      <c r="A69" s="145" t="s">
        <v>1479</v>
      </c>
      <c r="B69" s="155" t="s">
        <v>1480</v>
      </c>
      <c r="C69" s="155"/>
      <c r="D69" s="147" t="s">
        <v>1481</v>
      </c>
      <c r="E69" s="156">
        <v>2893400</v>
      </c>
      <c r="F69" s="44">
        <f t="shared" si="4"/>
        <v>231472</v>
      </c>
      <c r="G69" s="149">
        <f t="shared" si="3"/>
        <v>3124872</v>
      </c>
      <c r="H69" s="149">
        <v>3124872</v>
      </c>
      <c r="I69" s="150">
        <f t="shared" si="2"/>
        <v>0</v>
      </c>
      <c r="J69" s="151"/>
    </row>
    <row r="70" spans="1:10" ht="21.75" hidden="1" customHeight="1" x14ac:dyDescent="0.35">
      <c r="A70" s="145" t="s">
        <v>1482</v>
      </c>
      <c r="B70" s="155" t="s">
        <v>1483</v>
      </c>
      <c r="C70" s="155"/>
      <c r="D70" s="147" t="s">
        <v>1481</v>
      </c>
      <c r="E70" s="156">
        <v>4932200</v>
      </c>
      <c r="F70" s="44">
        <f t="shared" si="4"/>
        <v>394576</v>
      </c>
      <c r="G70" s="149">
        <f t="shared" si="3"/>
        <v>5326776</v>
      </c>
      <c r="H70" s="149">
        <v>5326776</v>
      </c>
      <c r="I70" s="150">
        <f t="shared" si="2"/>
        <v>0</v>
      </c>
      <c r="J70" s="151"/>
    </row>
    <row r="71" spans="1:10" ht="21.75" hidden="1" customHeight="1" x14ac:dyDescent="0.35">
      <c r="A71" s="145" t="s">
        <v>1484</v>
      </c>
      <c r="B71" s="155" t="s">
        <v>1485</v>
      </c>
      <c r="C71" s="155"/>
      <c r="D71" s="147" t="s">
        <v>1481</v>
      </c>
      <c r="E71" s="156">
        <v>3109900</v>
      </c>
      <c r="F71" s="44">
        <f t="shared" si="4"/>
        <v>248792</v>
      </c>
      <c r="G71" s="149">
        <f t="shared" si="3"/>
        <v>3358692</v>
      </c>
      <c r="H71" s="149">
        <v>3358692</v>
      </c>
      <c r="I71" s="150">
        <f t="shared" ref="I71:I134" si="5">+G71-H71</f>
        <v>0</v>
      </c>
      <c r="J71" s="151"/>
    </row>
    <row r="72" spans="1:10" ht="21.75" hidden="1" customHeight="1" x14ac:dyDescent="0.35">
      <c r="A72" s="145" t="s">
        <v>1486</v>
      </c>
      <c r="B72" s="155" t="s">
        <v>1487</v>
      </c>
      <c r="C72" s="155"/>
      <c r="D72" s="147" t="s">
        <v>1481</v>
      </c>
      <c r="E72" s="156">
        <v>117000</v>
      </c>
      <c r="F72" s="44">
        <f t="shared" si="4"/>
        <v>9360</v>
      </c>
      <c r="G72" s="149">
        <f t="shared" si="3"/>
        <v>126360</v>
      </c>
      <c r="H72" s="149">
        <v>126360</v>
      </c>
      <c r="I72" s="150">
        <f t="shared" si="5"/>
        <v>0</v>
      </c>
      <c r="J72" s="151"/>
    </row>
    <row r="73" spans="1:10" ht="21.75" hidden="1" customHeight="1" x14ac:dyDescent="0.35">
      <c r="A73" s="145" t="s">
        <v>1488</v>
      </c>
      <c r="B73" s="155" t="s">
        <v>1489</v>
      </c>
      <c r="C73" s="155"/>
      <c r="D73" s="147" t="s">
        <v>1481</v>
      </c>
      <c r="E73" s="156">
        <v>9328500</v>
      </c>
      <c r="F73" s="44">
        <f t="shared" si="4"/>
        <v>746280</v>
      </c>
      <c r="G73" s="149">
        <f t="shared" si="3"/>
        <v>10074780</v>
      </c>
      <c r="H73" s="149">
        <v>10074780</v>
      </c>
      <c r="I73" s="150">
        <f t="shared" si="5"/>
        <v>0</v>
      </c>
      <c r="J73" s="151"/>
    </row>
    <row r="74" spans="1:10" ht="21.75" hidden="1" customHeight="1" x14ac:dyDescent="0.35">
      <c r="A74" s="145" t="s">
        <v>1490</v>
      </c>
      <c r="B74" s="155" t="s">
        <v>1491</v>
      </c>
      <c r="C74" s="155"/>
      <c r="D74" s="147" t="s">
        <v>1481</v>
      </c>
      <c r="E74" s="156">
        <v>7695800</v>
      </c>
      <c r="F74" s="44">
        <f t="shared" si="4"/>
        <v>615664</v>
      </c>
      <c r="G74" s="149">
        <f t="shared" ref="G74:G137" si="6">+F74+E74</f>
        <v>8311464</v>
      </c>
      <c r="H74" s="149">
        <v>8311464</v>
      </c>
      <c r="I74" s="150">
        <f t="shared" si="5"/>
        <v>0</v>
      </c>
      <c r="J74" s="151"/>
    </row>
    <row r="75" spans="1:10" ht="21.75" hidden="1" customHeight="1" x14ac:dyDescent="0.35">
      <c r="A75" s="145" t="s">
        <v>1492</v>
      </c>
      <c r="B75" s="155" t="s">
        <v>1493</v>
      </c>
      <c r="C75" s="155"/>
      <c r="D75" s="147" t="s">
        <v>1481</v>
      </c>
      <c r="E75" s="156">
        <v>2352000</v>
      </c>
      <c r="F75" s="44">
        <f t="shared" si="4"/>
        <v>188160</v>
      </c>
      <c r="G75" s="149">
        <f t="shared" si="6"/>
        <v>2540160</v>
      </c>
      <c r="H75" s="149">
        <v>2540160</v>
      </c>
      <c r="I75" s="150">
        <f t="shared" si="5"/>
        <v>0</v>
      </c>
      <c r="J75" s="151"/>
    </row>
    <row r="76" spans="1:10" ht="21.75" hidden="1" customHeight="1" x14ac:dyDescent="0.35">
      <c r="A76" s="145" t="s">
        <v>1494</v>
      </c>
      <c r="B76" s="155" t="s">
        <v>1495</v>
      </c>
      <c r="C76" s="155"/>
      <c r="D76" s="147" t="s">
        <v>1481</v>
      </c>
      <c r="E76" s="156">
        <v>28524000</v>
      </c>
      <c r="F76" s="44">
        <f t="shared" si="4"/>
        <v>2281920</v>
      </c>
      <c r="G76" s="149">
        <f t="shared" si="6"/>
        <v>30805920</v>
      </c>
      <c r="H76" s="149">
        <v>30805920</v>
      </c>
      <c r="I76" s="150">
        <f t="shared" si="5"/>
        <v>0</v>
      </c>
      <c r="J76" s="151"/>
    </row>
    <row r="77" spans="1:10" ht="21.75" hidden="1" customHeight="1" x14ac:dyDescent="0.35">
      <c r="A77" s="145" t="s">
        <v>1496</v>
      </c>
      <c r="B77" s="155" t="s">
        <v>1497</v>
      </c>
      <c r="C77" s="155"/>
      <c r="D77" s="147" t="s">
        <v>1481</v>
      </c>
      <c r="E77" s="156">
        <v>1141000</v>
      </c>
      <c r="F77" s="44">
        <f t="shared" si="4"/>
        <v>91280</v>
      </c>
      <c r="G77" s="149">
        <f t="shared" si="6"/>
        <v>1232280</v>
      </c>
      <c r="H77" s="149">
        <v>1232280</v>
      </c>
      <c r="I77" s="150">
        <f t="shared" si="5"/>
        <v>0</v>
      </c>
      <c r="J77" s="151"/>
    </row>
    <row r="78" spans="1:10" ht="21.75" hidden="1" customHeight="1" x14ac:dyDescent="0.35">
      <c r="A78" s="145" t="s">
        <v>1498</v>
      </c>
      <c r="B78" s="155" t="s">
        <v>1499</v>
      </c>
      <c r="C78" s="155"/>
      <c r="D78" s="147" t="s">
        <v>1481</v>
      </c>
      <c r="E78" s="156">
        <v>50533500</v>
      </c>
      <c r="F78" s="44">
        <f t="shared" si="4"/>
        <v>4042680</v>
      </c>
      <c r="G78" s="149">
        <f t="shared" si="6"/>
        <v>54576180</v>
      </c>
      <c r="H78" s="149">
        <v>54576180</v>
      </c>
      <c r="I78" s="150">
        <f t="shared" si="5"/>
        <v>0</v>
      </c>
      <c r="J78" s="151"/>
    </row>
    <row r="79" spans="1:10" ht="21.75" hidden="1" customHeight="1" x14ac:dyDescent="0.35">
      <c r="A79" s="145" t="s">
        <v>1500</v>
      </c>
      <c r="B79" s="155" t="s">
        <v>1501</v>
      </c>
      <c r="C79" s="155"/>
      <c r="D79" s="147" t="s">
        <v>1481</v>
      </c>
      <c r="E79" s="156">
        <v>1114000</v>
      </c>
      <c r="F79" s="44">
        <f t="shared" si="4"/>
        <v>89120</v>
      </c>
      <c r="G79" s="149">
        <f t="shared" si="6"/>
        <v>1203120</v>
      </c>
      <c r="H79" s="149">
        <v>1203120</v>
      </c>
      <c r="I79" s="150">
        <f t="shared" si="5"/>
        <v>0</v>
      </c>
      <c r="J79" s="151"/>
    </row>
    <row r="80" spans="1:10" ht="21.75" hidden="1" customHeight="1" x14ac:dyDescent="0.35">
      <c r="A80" s="145" t="s">
        <v>1502</v>
      </c>
      <c r="B80" s="155" t="s">
        <v>1503</v>
      </c>
      <c r="C80" s="155"/>
      <c r="D80" s="147" t="s">
        <v>1481</v>
      </c>
      <c r="E80" s="156">
        <v>22389700</v>
      </c>
      <c r="F80" s="44">
        <f t="shared" si="4"/>
        <v>1791176</v>
      </c>
      <c r="G80" s="149">
        <f t="shared" si="6"/>
        <v>24180876</v>
      </c>
      <c r="H80" s="149">
        <v>24180876</v>
      </c>
      <c r="I80" s="150">
        <f t="shared" si="5"/>
        <v>0</v>
      </c>
      <c r="J80" s="151"/>
    </row>
    <row r="81" spans="1:10" ht="21.75" hidden="1" customHeight="1" x14ac:dyDescent="0.35">
      <c r="A81" s="145" t="s">
        <v>1504</v>
      </c>
      <c r="B81" s="155" t="s">
        <v>1505</v>
      </c>
      <c r="C81" s="155"/>
      <c r="D81" s="147" t="s">
        <v>1481</v>
      </c>
      <c r="E81" s="156">
        <v>2749500</v>
      </c>
      <c r="F81" s="44">
        <f t="shared" si="4"/>
        <v>219960</v>
      </c>
      <c r="G81" s="149">
        <f t="shared" si="6"/>
        <v>2969460</v>
      </c>
      <c r="H81" s="149">
        <v>2969460</v>
      </c>
      <c r="I81" s="150">
        <f t="shared" si="5"/>
        <v>0</v>
      </c>
      <c r="J81" s="151"/>
    </row>
    <row r="82" spans="1:10" ht="21.75" hidden="1" customHeight="1" x14ac:dyDescent="0.35">
      <c r="A82" s="145" t="s">
        <v>1506</v>
      </c>
      <c r="B82" s="155" t="s">
        <v>1507</v>
      </c>
      <c r="C82" s="155"/>
      <c r="D82" s="147" t="s">
        <v>1481</v>
      </c>
      <c r="E82" s="156">
        <v>196000</v>
      </c>
      <c r="F82" s="44">
        <f t="shared" si="4"/>
        <v>15680</v>
      </c>
      <c r="G82" s="149">
        <f t="shared" si="6"/>
        <v>211680</v>
      </c>
      <c r="H82" s="149">
        <v>211680</v>
      </c>
      <c r="I82" s="150">
        <f t="shared" si="5"/>
        <v>0</v>
      </c>
      <c r="J82" s="151"/>
    </row>
    <row r="83" spans="1:10" ht="21.75" hidden="1" customHeight="1" x14ac:dyDescent="0.35">
      <c r="A83" s="145" t="s">
        <v>1508</v>
      </c>
      <c r="B83" s="155" t="s">
        <v>1509</v>
      </c>
      <c r="C83" s="155"/>
      <c r="D83" s="147" t="s">
        <v>1481</v>
      </c>
      <c r="E83" s="156">
        <v>9248900</v>
      </c>
      <c r="F83" s="44">
        <f t="shared" si="4"/>
        <v>739912</v>
      </c>
      <c r="G83" s="149">
        <f t="shared" si="6"/>
        <v>9988812</v>
      </c>
      <c r="H83" s="149">
        <v>9988812</v>
      </c>
      <c r="I83" s="150">
        <f t="shared" si="5"/>
        <v>0</v>
      </c>
      <c r="J83" s="151"/>
    </row>
    <row r="84" spans="1:10" ht="21.75" hidden="1" customHeight="1" x14ac:dyDescent="0.35">
      <c r="A84" s="145" t="s">
        <v>1510</v>
      </c>
      <c r="B84" s="155" t="s">
        <v>1511</v>
      </c>
      <c r="C84" s="155"/>
      <c r="D84" s="147" t="s">
        <v>1481</v>
      </c>
      <c r="E84" s="156">
        <v>37241600</v>
      </c>
      <c r="F84" s="44">
        <f t="shared" si="4"/>
        <v>2979328</v>
      </c>
      <c r="G84" s="149">
        <f t="shared" si="6"/>
        <v>40220928</v>
      </c>
      <c r="H84" s="149">
        <v>40220928</v>
      </c>
      <c r="I84" s="150">
        <f t="shared" si="5"/>
        <v>0</v>
      </c>
      <c r="J84" s="151"/>
    </row>
    <row r="85" spans="1:10" ht="21.75" hidden="1" customHeight="1" x14ac:dyDescent="0.35">
      <c r="A85" s="145" t="s">
        <v>1512</v>
      </c>
      <c r="B85" s="155" t="s">
        <v>1513</v>
      </c>
      <c r="C85" s="155"/>
      <c r="D85" s="147" t="s">
        <v>1481</v>
      </c>
      <c r="E85" s="156">
        <v>20672500</v>
      </c>
      <c r="F85" s="44">
        <f t="shared" si="4"/>
        <v>1653800</v>
      </c>
      <c r="G85" s="149">
        <f t="shared" si="6"/>
        <v>22326300</v>
      </c>
      <c r="H85" s="149">
        <v>22326300</v>
      </c>
      <c r="I85" s="150">
        <f t="shared" si="5"/>
        <v>0</v>
      </c>
      <c r="J85" s="151"/>
    </row>
    <row r="86" spans="1:10" ht="21.75" hidden="1" customHeight="1" x14ac:dyDescent="0.35">
      <c r="A86" s="145" t="s">
        <v>1514</v>
      </c>
      <c r="B86" s="155" t="s">
        <v>1515</v>
      </c>
      <c r="C86" s="155"/>
      <c r="D86" s="147" t="s">
        <v>1481</v>
      </c>
      <c r="E86" s="156">
        <v>77291800</v>
      </c>
      <c r="F86" s="44">
        <f t="shared" si="4"/>
        <v>6183344</v>
      </c>
      <c r="G86" s="149">
        <f t="shared" si="6"/>
        <v>83475144</v>
      </c>
      <c r="H86" s="149">
        <v>83475144</v>
      </c>
      <c r="I86" s="150">
        <f t="shared" si="5"/>
        <v>0</v>
      </c>
      <c r="J86" s="151"/>
    </row>
    <row r="87" spans="1:10" ht="21.75" hidden="1" customHeight="1" x14ac:dyDescent="0.35">
      <c r="A87" s="145" t="s">
        <v>1516</v>
      </c>
      <c r="B87" s="155" t="s">
        <v>1517</v>
      </c>
      <c r="C87" s="155"/>
      <c r="D87" s="147" t="s">
        <v>1481</v>
      </c>
      <c r="E87" s="156">
        <v>11411200</v>
      </c>
      <c r="F87" s="44">
        <f t="shared" ref="F87:F150" si="7">E87*0.08</f>
        <v>912896</v>
      </c>
      <c r="G87" s="149">
        <f t="shared" si="6"/>
        <v>12324096</v>
      </c>
      <c r="H87" s="149">
        <v>12324096</v>
      </c>
      <c r="I87" s="150">
        <f t="shared" si="5"/>
        <v>0</v>
      </c>
      <c r="J87" s="151"/>
    </row>
    <row r="88" spans="1:10" ht="21.75" hidden="1" customHeight="1" x14ac:dyDescent="0.35">
      <c r="A88" s="145" t="s">
        <v>1518</v>
      </c>
      <c r="B88" s="155" t="s">
        <v>1519</v>
      </c>
      <c r="C88" s="155"/>
      <c r="D88" s="147" t="s">
        <v>1481</v>
      </c>
      <c r="E88" s="156">
        <v>2699000</v>
      </c>
      <c r="F88" s="44">
        <f t="shared" si="7"/>
        <v>215920</v>
      </c>
      <c r="G88" s="149">
        <f t="shared" si="6"/>
        <v>2914920</v>
      </c>
      <c r="H88" s="149">
        <v>2914920</v>
      </c>
      <c r="I88" s="150">
        <f t="shared" si="5"/>
        <v>0</v>
      </c>
      <c r="J88" s="151"/>
    </row>
    <row r="89" spans="1:10" ht="21.75" hidden="1" customHeight="1" x14ac:dyDescent="0.35">
      <c r="A89" s="145" t="s">
        <v>1520</v>
      </c>
      <c r="B89" s="155" t="s">
        <v>1521</v>
      </c>
      <c r="C89" s="155"/>
      <c r="D89" s="147" t="s">
        <v>1481</v>
      </c>
      <c r="E89" s="156">
        <v>1771000</v>
      </c>
      <c r="F89" s="44">
        <f t="shared" si="7"/>
        <v>141680</v>
      </c>
      <c r="G89" s="149">
        <f t="shared" si="6"/>
        <v>1912680</v>
      </c>
      <c r="H89" s="149">
        <v>1912680</v>
      </c>
      <c r="I89" s="150">
        <f t="shared" si="5"/>
        <v>0</v>
      </c>
      <c r="J89" s="151"/>
    </row>
    <row r="90" spans="1:10" ht="21.75" hidden="1" customHeight="1" x14ac:dyDescent="0.35">
      <c r="A90" s="145" t="s">
        <v>1522</v>
      </c>
      <c r="B90" s="155" t="s">
        <v>1523</v>
      </c>
      <c r="C90" s="155"/>
      <c r="D90" s="147" t="s">
        <v>1481</v>
      </c>
      <c r="E90" s="156">
        <v>4885000</v>
      </c>
      <c r="F90" s="44">
        <f t="shared" si="7"/>
        <v>390800</v>
      </c>
      <c r="G90" s="149">
        <f t="shared" si="6"/>
        <v>5275800</v>
      </c>
      <c r="H90" s="149">
        <v>5275800</v>
      </c>
      <c r="I90" s="150">
        <f t="shared" si="5"/>
        <v>0</v>
      </c>
      <c r="J90" s="151"/>
    </row>
    <row r="91" spans="1:10" ht="21.75" hidden="1" customHeight="1" x14ac:dyDescent="0.35">
      <c r="A91" s="145" t="s">
        <v>1524</v>
      </c>
      <c r="B91" s="155" t="s">
        <v>1525</v>
      </c>
      <c r="C91" s="155"/>
      <c r="D91" s="147" t="s">
        <v>1481</v>
      </c>
      <c r="E91" s="156">
        <v>39743100</v>
      </c>
      <c r="F91" s="44">
        <f t="shared" si="7"/>
        <v>3179448</v>
      </c>
      <c r="G91" s="149">
        <f t="shared" si="6"/>
        <v>42922548</v>
      </c>
      <c r="H91" s="149">
        <v>42922548</v>
      </c>
      <c r="I91" s="150">
        <f t="shared" si="5"/>
        <v>0</v>
      </c>
      <c r="J91" s="151"/>
    </row>
    <row r="92" spans="1:10" ht="21.75" hidden="1" customHeight="1" x14ac:dyDescent="0.35">
      <c r="A92" s="145" t="s">
        <v>1526</v>
      </c>
      <c r="B92" s="155" t="s">
        <v>1527</v>
      </c>
      <c r="C92" s="155"/>
      <c r="D92" s="147" t="s">
        <v>1481</v>
      </c>
      <c r="E92" s="156">
        <v>2813000</v>
      </c>
      <c r="F92" s="44">
        <f t="shared" si="7"/>
        <v>225040</v>
      </c>
      <c r="G92" s="149">
        <f t="shared" si="6"/>
        <v>3038040</v>
      </c>
      <c r="H92" s="149">
        <v>3038040</v>
      </c>
      <c r="I92" s="150">
        <f t="shared" si="5"/>
        <v>0</v>
      </c>
      <c r="J92" s="151"/>
    </row>
    <row r="93" spans="1:10" ht="21.75" hidden="1" customHeight="1" x14ac:dyDescent="0.35">
      <c r="A93" s="145" t="s">
        <v>1528</v>
      </c>
      <c r="B93" s="155" t="s">
        <v>1529</v>
      </c>
      <c r="C93" s="155"/>
      <c r="D93" s="147" t="s">
        <v>1481</v>
      </c>
      <c r="E93" s="156">
        <v>14326000</v>
      </c>
      <c r="F93" s="44">
        <f t="shared" si="7"/>
        <v>1146080</v>
      </c>
      <c r="G93" s="149">
        <f t="shared" si="6"/>
        <v>15472080</v>
      </c>
      <c r="H93" s="149">
        <v>15472080</v>
      </c>
      <c r="I93" s="150">
        <f t="shared" si="5"/>
        <v>0</v>
      </c>
      <c r="J93" s="151"/>
    </row>
    <row r="94" spans="1:10" ht="21.75" hidden="1" customHeight="1" x14ac:dyDescent="0.35">
      <c r="A94" s="145"/>
      <c r="B94" s="146"/>
      <c r="C94" s="146"/>
      <c r="D94" s="147"/>
      <c r="E94" s="154"/>
      <c r="F94" s="44"/>
      <c r="G94" s="149">
        <f t="shared" si="6"/>
        <v>0</v>
      </c>
      <c r="H94" s="149">
        <v>0</v>
      </c>
      <c r="I94" s="150">
        <f t="shared" si="5"/>
        <v>0</v>
      </c>
      <c r="J94" s="151"/>
    </row>
    <row r="95" spans="1:10" ht="21.75" hidden="1" customHeight="1" x14ac:dyDescent="0.35">
      <c r="A95" s="145" t="s">
        <v>1530</v>
      </c>
      <c r="B95" s="146" t="s">
        <v>1531</v>
      </c>
      <c r="C95" s="146"/>
      <c r="D95" s="147">
        <v>44634</v>
      </c>
      <c r="E95" s="154">
        <v>7957700</v>
      </c>
      <c r="F95" s="44">
        <f t="shared" si="7"/>
        <v>636616</v>
      </c>
      <c r="G95" s="149">
        <f t="shared" si="6"/>
        <v>8594316</v>
      </c>
      <c r="H95" s="149">
        <v>8594316</v>
      </c>
      <c r="I95" s="150">
        <f t="shared" si="5"/>
        <v>0</v>
      </c>
      <c r="J95" s="151"/>
    </row>
    <row r="96" spans="1:10" ht="21.75" hidden="1" customHeight="1" x14ac:dyDescent="0.35">
      <c r="A96" s="145" t="s">
        <v>1532</v>
      </c>
      <c r="B96" s="146" t="s">
        <v>1533</v>
      </c>
      <c r="C96" s="146"/>
      <c r="D96" s="147">
        <v>44634</v>
      </c>
      <c r="E96" s="154">
        <v>10444000</v>
      </c>
      <c r="F96" s="44">
        <f t="shared" si="7"/>
        <v>835520</v>
      </c>
      <c r="G96" s="149">
        <f t="shared" si="6"/>
        <v>11279520</v>
      </c>
      <c r="H96" s="149">
        <v>11279520</v>
      </c>
      <c r="I96" s="150">
        <f t="shared" si="5"/>
        <v>0</v>
      </c>
      <c r="J96" s="151"/>
    </row>
    <row r="97" spans="1:10" ht="21.75" hidden="1" customHeight="1" x14ac:dyDescent="0.35">
      <c r="A97" s="145" t="s">
        <v>1534</v>
      </c>
      <c r="B97" s="146" t="s">
        <v>1535</v>
      </c>
      <c r="C97" s="146"/>
      <c r="D97" s="147">
        <v>44634</v>
      </c>
      <c r="E97" s="154">
        <v>11723700</v>
      </c>
      <c r="F97" s="44">
        <f t="shared" si="7"/>
        <v>937896</v>
      </c>
      <c r="G97" s="149">
        <f t="shared" si="6"/>
        <v>12661596</v>
      </c>
      <c r="H97" s="149">
        <v>12661596</v>
      </c>
      <c r="I97" s="150">
        <f t="shared" si="5"/>
        <v>0</v>
      </c>
      <c r="J97" s="151"/>
    </row>
    <row r="98" spans="1:10" ht="21.75" hidden="1" customHeight="1" x14ac:dyDescent="0.35">
      <c r="A98" s="145" t="s">
        <v>1536</v>
      </c>
      <c r="B98" s="146" t="s">
        <v>1537</v>
      </c>
      <c r="C98" s="146"/>
      <c r="D98" s="147">
        <v>44634</v>
      </c>
      <c r="E98" s="154">
        <v>7669400</v>
      </c>
      <c r="F98" s="44">
        <f t="shared" si="7"/>
        <v>613552</v>
      </c>
      <c r="G98" s="149">
        <f t="shared" si="6"/>
        <v>8282952</v>
      </c>
      <c r="H98" s="149">
        <v>8282952</v>
      </c>
      <c r="I98" s="150">
        <f t="shared" si="5"/>
        <v>0</v>
      </c>
      <c r="J98" s="151"/>
    </row>
    <row r="99" spans="1:10" ht="21.75" hidden="1" customHeight="1" x14ac:dyDescent="0.35">
      <c r="A99" s="145" t="s">
        <v>1538</v>
      </c>
      <c r="B99" s="146" t="s">
        <v>1539</v>
      </c>
      <c r="C99" s="146"/>
      <c r="D99" s="147">
        <v>44634</v>
      </c>
      <c r="E99" s="154">
        <v>15083000</v>
      </c>
      <c r="F99" s="44">
        <f t="shared" si="7"/>
        <v>1206640</v>
      </c>
      <c r="G99" s="149">
        <f t="shared" si="6"/>
        <v>16289640</v>
      </c>
      <c r="H99" s="149">
        <v>16289640</v>
      </c>
      <c r="I99" s="150">
        <f t="shared" si="5"/>
        <v>0</v>
      </c>
      <c r="J99" s="151"/>
    </row>
    <row r="100" spans="1:10" ht="21.75" hidden="1" customHeight="1" x14ac:dyDescent="0.35">
      <c r="A100" s="145" t="s">
        <v>1540</v>
      </c>
      <c r="B100" s="146" t="s">
        <v>1541</v>
      </c>
      <c r="C100" s="146"/>
      <c r="D100" s="147">
        <v>44634</v>
      </c>
      <c r="E100" s="154">
        <v>66820000</v>
      </c>
      <c r="F100" s="44">
        <f t="shared" si="7"/>
        <v>5345600</v>
      </c>
      <c r="G100" s="149">
        <f t="shared" si="6"/>
        <v>72165600</v>
      </c>
      <c r="H100" s="149">
        <v>72165600</v>
      </c>
      <c r="I100" s="150">
        <f t="shared" si="5"/>
        <v>0</v>
      </c>
      <c r="J100" s="151"/>
    </row>
    <row r="101" spans="1:10" ht="21.75" hidden="1" customHeight="1" x14ac:dyDescent="0.35">
      <c r="A101" s="145" t="s">
        <v>1542</v>
      </c>
      <c r="B101" s="146" t="s">
        <v>1543</v>
      </c>
      <c r="C101" s="146"/>
      <c r="D101" s="147">
        <v>44634</v>
      </c>
      <c r="E101" s="154">
        <v>24537000</v>
      </c>
      <c r="F101" s="44">
        <f t="shared" si="7"/>
        <v>1962960</v>
      </c>
      <c r="G101" s="149">
        <f t="shared" si="6"/>
        <v>26499960</v>
      </c>
      <c r="H101" s="149">
        <v>26499960</v>
      </c>
      <c r="I101" s="150">
        <f t="shared" si="5"/>
        <v>0</v>
      </c>
      <c r="J101" s="151"/>
    </row>
    <row r="102" spans="1:10" ht="21.75" hidden="1" customHeight="1" x14ac:dyDescent="0.35">
      <c r="A102" s="145" t="s">
        <v>1544</v>
      </c>
      <c r="B102" s="146" t="s">
        <v>1545</v>
      </c>
      <c r="C102" s="146"/>
      <c r="D102" s="147">
        <v>44634</v>
      </c>
      <c r="E102" s="154">
        <v>2009000</v>
      </c>
      <c r="F102" s="44">
        <f t="shared" si="7"/>
        <v>160720</v>
      </c>
      <c r="G102" s="149">
        <f t="shared" si="6"/>
        <v>2169720</v>
      </c>
      <c r="H102" s="149">
        <v>2169720</v>
      </c>
      <c r="I102" s="150">
        <f t="shared" si="5"/>
        <v>0</v>
      </c>
      <c r="J102" s="151"/>
    </row>
    <row r="103" spans="1:10" ht="21.75" hidden="1" customHeight="1" x14ac:dyDescent="0.35">
      <c r="A103" s="145" t="s">
        <v>1546</v>
      </c>
      <c r="B103" s="146" t="s">
        <v>1547</v>
      </c>
      <c r="C103" s="146"/>
      <c r="D103" s="147">
        <v>44634</v>
      </c>
      <c r="E103" s="154">
        <v>432000</v>
      </c>
      <c r="F103" s="44">
        <f t="shared" si="7"/>
        <v>34560</v>
      </c>
      <c r="G103" s="149">
        <f t="shared" si="6"/>
        <v>466560</v>
      </c>
      <c r="H103" s="149">
        <v>466560</v>
      </c>
      <c r="I103" s="150">
        <f t="shared" si="5"/>
        <v>0</v>
      </c>
      <c r="J103" s="151"/>
    </row>
    <row r="104" spans="1:10" ht="21.75" hidden="1" customHeight="1" x14ac:dyDescent="0.35">
      <c r="A104" s="145" t="s">
        <v>1548</v>
      </c>
      <c r="B104" s="146" t="s">
        <v>1549</v>
      </c>
      <c r="C104" s="146"/>
      <c r="D104" s="147">
        <v>44634</v>
      </c>
      <c r="E104" s="154">
        <v>5174000</v>
      </c>
      <c r="F104" s="44">
        <f t="shared" si="7"/>
        <v>413920</v>
      </c>
      <c r="G104" s="149">
        <f t="shared" si="6"/>
        <v>5587920</v>
      </c>
      <c r="H104" s="149">
        <v>5587920</v>
      </c>
      <c r="I104" s="150">
        <f t="shared" si="5"/>
        <v>0</v>
      </c>
      <c r="J104" s="151"/>
    </row>
    <row r="105" spans="1:10" ht="21.75" hidden="1" customHeight="1" x14ac:dyDescent="0.35">
      <c r="A105" s="145" t="s">
        <v>1550</v>
      </c>
      <c r="B105" s="146" t="s">
        <v>1551</v>
      </c>
      <c r="C105" s="146"/>
      <c r="D105" s="147">
        <v>44634</v>
      </c>
      <c r="E105" s="154">
        <v>9524000</v>
      </c>
      <c r="F105" s="44">
        <f t="shared" si="7"/>
        <v>761920</v>
      </c>
      <c r="G105" s="149">
        <f t="shared" si="6"/>
        <v>10285920</v>
      </c>
      <c r="H105" s="149">
        <v>10285920</v>
      </c>
      <c r="I105" s="150">
        <f t="shared" si="5"/>
        <v>0</v>
      </c>
      <c r="J105" s="151"/>
    </row>
    <row r="106" spans="1:10" ht="21.75" hidden="1" customHeight="1" x14ac:dyDescent="0.35">
      <c r="A106" s="145" t="s">
        <v>1552</v>
      </c>
      <c r="B106" s="146" t="s">
        <v>1553</v>
      </c>
      <c r="C106" s="146"/>
      <c r="D106" s="147">
        <v>44634</v>
      </c>
      <c r="E106" s="154">
        <v>972000</v>
      </c>
      <c r="F106" s="44">
        <f t="shared" si="7"/>
        <v>77760</v>
      </c>
      <c r="G106" s="149">
        <f t="shared" si="6"/>
        <v>1049760</v>
      </c>
      <c r="H106" s="149">
        <v>1049760</v>
      </c>
      <c r="I106" s="150">
        <f t="shared" si="5"/>
        <v>0</v>
      </c>
      <c r="J106" s="151"/>
    </row>
    <row r="107" spans="1:10" ht="21.75" hidden="1" customHeight="1" x14ac:dyDescent="0.35">
      <c r="A107" s="145" t="s">
        <v>1554</v>
      </c>
      <c r="B107" s="146" t="s">
        <v>1555</v>
      </c>
      <c r="C107" s="146"/>
      <c r="D107" s="147">
        <v>44634</v>
      </c>
      <c r="E107" s="154">
        <v>1258000</v>
      </c>
      <c r="F107" s="44">
        <f t="shared" si="7"/>
        <v>100640</v>
      </c>
      <c r="G107" s="149">
        <f t="shared" si="6"/>
        <v>1358640</v>
      </c>
      <c r="H107" s="149">
        <v>1358640</v>
      </c>
      <c r="I107" s="150">
        <f t="shared" si="5"/>
        <v>0</v>
      </c>
      <c r="J107" s="151"/>
    </row>
    <row r="108" spans="1:10" ht="21.75" hidden="1" customHeight="1" x14ac:dyDescent="0.35">
      <c r="A108" s="145" t="s">
        <v>1556</v>
      </c>
      <c r="B108" s="146" t="s">
        <v>1557</v>
      </c>
      <c r="C108" s="146"/>
      <c r="D108" s="147">
        <v>44634</v>
      </c>
      <c r="E108" s="154">
        <v>17837500</v>
      </c>
      <c r="F108" s="44">
        <f t="shared" si="7"/>
        <v>1427000</v>
      </c>
      <c r="G108" s="149">
        <f t="shared" si="6"/>
        <v>19264500</v>
      </c>
      <c r="H108" s="149">
        <v>19264500</v>
      </c>
      <c r="I108" s="150">
        <f t="shared" si="5"/>
        <v>0</v>
      </c>
      <c r="J108" s="151"/>
    </row>
    <row r="109" spans="1:10" ht="21.75" hidden="1" customHeight="1" x14ac:dyDescent="0.35">
      <c r="A109" s="145" t="s">
        <v>1558</v>
      </c>
      <c r="B109" s="146" t="s">
        <v>1559</v>
      </c>
      <c r="C109" s="146"/>
      <c r="D109" s="147">
        <v>44634</v>
      </c>
      <c r="E109" s="154">
        <v>9708000</v>
      </c>
      <c r="F109" s="44">
        <f t="shared" si="7"/>
        <v>776640</v>
      </c>
      <c r="G109" s="149">
        <f t="shared" si="6"/>
        <v>10484640</v>
      </c>
      <c r="H109" s="149">
        <v>10484640</v>
      </c>
      <c r="I109" s="150">
        <f t="shared" si="5"/>
        <v>0</v>
      </c>
      <c r="J109" s="151"/>
    </row>
    <row r="110" spans="1:10" ht="21.75" hidden="1" customHeight="1" x14ac:dyDescent="0.35">
      <c r="A110" s="145" t="s">
        <v>1548</v>
      </c>
      <c r="B110" s="146" t="s">
        <v>1560</v>
      </c>
      <c r="C110" s="146"/>
      <c r="D110" s="147">
        <v>44634</v>
      </c>
      <c r="E110" s="154">
        <v>2952000</v>
      </c>
      <c r="F110" s="44">
        <f t="shared" si="7"/>
        <v>236160</v>
      </c>
      <c r="G110" s="149">
        <f t="shared" si="6"/>
        <v>3188160</v>
      </c>
      <c r="H110" s="149">
        <v>3188160</v>
      </c>
      <c r="I110" s="150">
        <f t="shared" si="5"/>
        <v>0</v>
      </c>
      <c r="J110" s="151"/>
    </row>
    <row r="111" spans="1:10" ht="21.75" hidden="1" customHeight="1" x14ac:dyDescent="0.35">
      <c r="A111" s="145" t="s">
        <v>1561</v>
      </c>
      <c r="B111" s="146" t="s">
        <v>1562</v>
      </c>
      <c r="C111" s="146"/>
      <c r="D111" s="147">
        <v>44634</v>
      </c>
      <c r="E111" s="154">
        <v>17088500</v>
      </c>
      <c r="F111" s="44">
        <f t="shared" si="7"/>
        <v>1367080</v>
      </c>
      <c r="G111" s="149">
        <f t="shared" si="6"/>
        <v>18455580</v>
      </c>
      <c r="H111" s="149">
        <v>18455580</v>
      </c>
      <c r="I111" s="150">
        <f t="shared" si="5"/>
        <v>0</v>
      </c>
      <c r="J111" s="151"/>
    </row>
    <row r="112" spans="1:10" ht="21.75" hidden="1" customHeight="1" x14ac:dyDescent="0.35">
      <c r="A112" s="145" t="s">
        <v>1344</v>
      </c>
      <c r="B112" s="146" t="s">
        <v>1563</v>
      </c>
      <c r="C112" s="146"/>
      <c r="D112" s="147">
        <v>44634</v>
      </c>
      <c r="E112" s="154">
        <v>989800</v>
      </c>
      <c r="F112" s="44">
        <f t="shared" si="7"/>
        <v>79184</v>
      </c>
      <c r="G112" s="149">
        <f t="shared" si="6"/>
        <v>1068984</v>
      </c>
      <c r="H112" s="149">
        <v>1068984</v>
      </c>
      <c r="I112" s="150">
        <f t="shared" si="5"/>
        <v>0</v>
      </c>
      <c r="J112" s="151"/>
    </row>
    <row r="113" spans="1:10" ht="21.75" hidden="1" customHeight="1" x14ac:dyDescent="0.35">
      <c r="A113" s="145" t="s">
        <v>1564</v>
      </c>
      <c r="B113" s="146" t="s">
        <v>1565</v>
      </c>
      <c r="C113" s="146"/>
      <c r="D113" s="147">
        <v>44634</v>
      </c>
      <c r="E113" s="154">
        <v>208200</v>
      </c>
      <c r="F113" s="44">
        <f t="shared" si="7"/>
        <v>16656</v>
      </c>
      <c r="G113" s="149">
        <f t="shared" si="6"/>
        <v>224856</v>
      </c>
      <c r="H113" s="149">
        <v>224856</v>
      </c>
      <c r="I113" s="150">
        <f t="shared" si="5"/>
        <v>0</v>
      </c>
      <c r="J113" s="151"/>
    </row>
    <row r="114" spans="1:10" ht="21.75" hidden="1" customHeight="1" x14ac:dyDescent="0.35">
      <c r="A114" s="145" t="s">
        <v>1566</v>
      </c>
      <c r="B114" s="146" t="s">
        <v>1567</v>
      </c>
      <c r="C114" s="146"/>
      <c r="D114" s="147">
        <v>44634</v>
      </c>
      <c r="E114" s="154">
        <v>202500</v>
      </c>
      <c r="F114" s="44">
        <f t="shared" si="7"/>
        <v>16200</v>
      </c>
      <c r="G114" s="149">
        <f t="shared" si="6"/>
        <v>218700</v>
      </c>
      <c r="H114" s="149">
        <v>218700</v>
      </c>
      <c r="I114" s="150">
        <f t="shared" si="5"/>
        <v>0</v>
      </c>
      <c r="J114" s="151"/>
    </row>
    <row r="115" spans="1:10" ht="21.75" hidden="1" customHeight="1" x14ac:dyDescent="0.35">
      <c r="A115" s="145" t="s">
        <v>1568</v>
      </c>
      <c r="B115" s="146" t="s">
        <v>1569</v>
      </c>
      <c r="C115" s="146"/>
      <c r="D115" s="147">
        <v>44634</v>
      </c>
      <c r="E115" s="154">
        <v>2634500</v>
      </c>
      <c r="F115" s="44">
        <f t="shared" si="7"/>
        <v>210760</v>
      </c>
      <c r="G115" s="149">
        <f t="shared" si="6"/>
        <v>2845260</v>
      </c>
      <c r="H115" s="149">
        <v>2845260</v>
      </c>
      <c r="I115" s="150">
        <f t="shared" si="5"/>
        <v>0</v>
      </c>
      <c r="J115" s="151"/>
    </row>
    <row r="116" spans="1:10" ht="21.75" hidden="1" customHeight="1" x14ac:dyDescent="0.35">
      <c r="A116" s="145" t="s">
        <v>1570</v>
      </c>
      <c r="B116" s="146" t="s">
        <v>1571</v>
      </c>
      <c r="C116" s="146"/>
      <c r="D116" s="147">
        <v>44634</v>
      </c>
      <c r="E116" s="154">
        <v>600000</v>
      </c>
      <c r="F116" s="44">
        <f t="shared" si="7"/>
        <v>48000</v>
      </c>
      <c r="G116" s="149">
        <f t="shared" si="6"/>
        <v>648000</v>
      </c>
      <c r="H116" s="149">
        <v>648000</v>
      </c>
      <c r="I116" s="150">
        <f t="shared" si="5"/>
        <v>0</v>
      </c>
      <c r="J116" s="151"/>
    </row>
    <row r="117" spans="1:10" ht="21.75" hidden="1" customHeight="1" x14ac:dyDescent="0.35">
      <c r="A117" s="145" t="s">
        <v>1572</v>
      </c>
      <c r="B117" s="146" t="s">
        <v>1573</v>
      </c>
      <c r="C117" s="146"/>
      <c r="D117" s="147">
        <v>44634</v>
      </c>
      <c r="E117" s="154">
        <v>3056000</v>
      </c>
      <c r="F117" s="44">
        <f t="shared" si="7"/>
        <v>244480</v>
      </c>
      <c r="G117" s="149">
        <f t="shared" si="6"/>
        <v>3300480</v>
      </c>
      <c r="H117" s="149">
        <v>3300480</v>
      </c>
      <c r="I117" s="150">
        <f t="shared" si="5"/>
        <v>0</v>
      </c>
      <c r="J117" s="151"/>
    </row>
    <row r="118" spans="1:10" ht="21.75" hidden="1" customHeight="1" x14ac:dyDescent="0.35">
      <c r="A118" s="145" t="s">
        <v>1574</v>
      </c>
      <c r="B118" s="146" t="s">
        <v>1575</v>
      </c>
      <c r="C118" s="146"/>
      <c r="D118" s="147">
        <v>44634</v>
      </c>
      <c r="E118" s="154">
        <v>15501400</v>
      </c>
      <c r="F118" s="44">
        <f t="shared" si="7"/>
        <v>1240112</v>
      </c>
      <c r="G118" s="149">
        <f t="shared" si="6"/>
        <v>16741512</v>
      </c>
      <c r="H118" s="149">
        <v>16741512</v>
      </c>
      <c r="I118" s="150">
        <f t="shared" si="5"/>
        <v>0</v>
      </c>
      <c r="J118" s="151"/>
    </row>
    <row r="119" spans="1:10" ht="21.75" hidden="1" customHeight="1" x14ac:dyDescent="0.35">
      <c r="A119" s="145" t="s">
        <v>1576</v>
      </c>
      <c r="B119" s="146" t="s">
        <v>1577</v>
      </c>
      <c r="C119" s="146"/>
      <c r="D119" s="147">
        <v>44634</v>
      </c>
      <c r="E119" s="154">
        <v>13442700</v>
      </c>
      <c r="F119" s="44">
        <f t="shared" si="7"/>
        <v>1075416</v>
      </c>
      <c r="G119" s="149">
        <f t="shared" si="6"/>
        <v>14518116</v>
      </c>
      <c r="H119" s="149">
        <v>14518116</v>
      </c>
      <c r="I119" s="150">
        <f t="shared" si="5"/>
        <v>0</v>
      </c>
      <c r="J119" s="151"/>
    </row>
    <row r="120" spans="1:10" ht="21.75" hidden="1" customHeight="1" x14ac:dyDescent="0.35">
      <c r="A120" s="145" t="s">
        <v>1578</v>
      </c>
      <c r="B120" s="146" t="s">
        <v>1579</v>
      </c>
      <c r="C120" s="146"/>
      <c r="D120" s="147">
        <v>44634</v>
      </c>
      <c r="E120" s="154">
        <v>21602000</v>
      </c>
      <c r="F120" s="44">
        <f t="shared" si="7"/>
        <v>1728160</v>
      </c>
      <c r="G120" s="149">
        <f t="shared" si="6"/>
        <v>23330160</v>
      </c>
      <c r="H120" s="149">
        <v>23330160</v>
      </c>
      <c r="I120" s="150">
        <f t="shared" si="5"/>
        <v>0</v>
      </c>
      <c r="J120" s="151"/>
    </row>
    <row r="121" spans="1:10" ht="21.75" hidden="1" customHeight="1" x14ac:dyDescent="0.35">
      <c r="A121" s="145" t="s">
        <v>1580</v>
      </c>
      <c r="B121" s="146" t="s">
        <v>1581</v>
      </c>
      <c r="C121" s="146"/>
      <c r="D121" s="147">
        <v>44634</v>
      </c>
      <c r="E121" s="154">
        <v>9069500</v>
      </c>
      <c r="F121" s="44">
        <f t="shared" si="7"/>
        <v>725560</v>
      </c>
      <c r="G121" s="149">
        <f t="shared" si="6"/>
        <v>9795060</v>
      </c>
      <c r="H121" s="149">
        <v>9795060</v>
      </c>
      <c r="I121" s="150">
        <f t="shared" si="5"/>
        <v>0</v>
      </c>
      <c r="J121" s="151"/>
    </row>
    <row r="122" spans="1:10" ht="21.75" hidden="1" customHeight="1" x14ac:dyDescent="0.35">
      <c r="A122" s="145" t="s">
        <v>1582</v>
      </c>
      <c r="B122" s="146" t="s">
        <v>1583</v>
      </c>
      <c r="C122" s="146"/>
      <c r="D122" s="147">
        <v>44634</v>
      </c>
      <c r="E122" s="154">
        <v>600000</v>
      </c>
      <c r="F122" s="44">
        <f t="shared" si="7"/>
        <v>48000</v>
      </c>
      <c r="G122" s="149">
        <f t="shared" si="6"/>
        <v>648000</v>
      </c>
      <c r="H122" s="149">
        <v>648000</v>
      </c>
      <c r="I122" s="150">
        <f t="shared" si="5"/>
        <v>0</v>
      </c>
      <c r="J122" s="151"/>
    </row>
    <row r="123" spans="1:10" ht="21.75" hidden="1" customHeight="1" x14ac:dyDescent="0.35">
      <c r="A123" s="145" t="s">
        <v>1584</v>
      </c>
      <c r="B123" s="146" t="s">
        <v>1585</v>
      </c>
      <c r="C123" s="146"/>
      <c r="D123" s="147">
        <v>44634</v>
      </c>
      <c r="E123" s="154">
        <v>4063000</v>
      </c>
      <c r="F123" s="44">
        <f t="shared" si="7"/>
        <v>325040</v>
      </c>
      <c r="G123" s="149">
        <f t="shared" si="6"/>
        <v>4388040</v>
      </c>
      <c r="H123" s="149">
        <v>4388040</v>
      </c>
      <c r="I123" s="150">
        <f t="shared" si="5"/>
        <v>0</v>
      </c>
      <c r="J123" s="151"/>
    </row>
    <row r="124" spans="1:10" ht="21.75" hidden="1" customHeight="1" x14ac:dyDescent="0.35">
      <c r="A124" s="145" t="s">
        <v>1586</v>
      </c>
      <c r="B124" s="146" t="s">
        <v>1587</v>
      </c>
      <c r="C124" s="146"/>
      <c r="D124" s="147">
        <v>44634</v>
      </c>
      <c r="E124" s="154">
        <v>5613000</v>
      </c>
      <c r="F124" s="44">
        <f t="shared" si="7"/>
        <v>449040</v>
      </c>
      <c r="G124" s="149">
        <f t="shared" si="6"/>
        <v>6062040</v>
      </c>
      <c r="H124" s="149">
        <v>6062040</v>
      </c>
      <c r="I124" s="150">
        <f t="shared" si="5"/>
        <v>0</v>
      </c>
      <c r="J124" s="151"/>
    </row>
    <row r="125" spans="1:10" ht="21.75" hidden="1" customHeight="1" x14ac:dyDescent="0.35">
      <c r="A125" s="145" t="s">
        <v>1357</v>
      </c>
      <c r="B125" s="146" t="s">
        <v>1588</v>
      </c>
      <c r="C125" s="146"/>
      <c r="D125" s="147">
        <v>44634</v>
      </c>
      <c r="E125" s="154">
        <v>9982500</v>
      </c>
      <c r="F125" s="44">
        <f t="shared" si="7"/>
        <v>798600</v>
      </c>
      <c r="G125" s="149">
        <f t="shared" si="6"/>
        <v>10781100</v>
      </c>
      <c r="H125" s="149">
        <v>10781100</v>
      </c>
      <c r="I125" s="150">
        <f t="shared" si="5"/>
        <v>0</v>
      </c>
      <c r="J125" s="151"/>
    </row>
    <row r="126" spans="1:10" ht="21.75" hidden="1" customHeight="1" x14ac:dyDescent="0.35">
      <c r="A126" s="145" t="s">
        <v>1589</v>
      </c>
      <c r="B126" s="146" t="s">
        <v>1590</v>
      </c>
      <c r="C126" s="146"/>
      <c r="D126" s="147">
        <v>44634</v>
      </c>
      <c r="E126" s="154">
        <v>8762500</v>
      </c>
      <c r="F126" s="44">
        <f t="shared" si="7"/>
        <v>701000</v>
      </c>
      <c r="G126" s="149">
        <f t="shared" si="6"/>
        <v>9463500</v>
      </c>
      <c r="H126" s="149">
        <v>9463500</v>
      </c>
      <c r="I126" s="150">
        <f t="shared" si="5"/>
        <v>0</v>
      </c>
      <c r="J126" s="151"/>
    </row>
    <row r="127" spans="1:10" ht="21.75" hidden="1" customHeight="1" x14ac:dyDescent="0.35">
      <c r="A127" s="145" t="s">
        <v>1591</v>
      </c>
      <c r="B127" s="146" t="s">
        <v>1592</v>
      </c>
      <c r="C127" s="146"/>
      <c r="D127" s="147">
        <v>44634</v>
      </c>
      <c r="E127" s="154">
        <v>303000</v>
      </c>
      <c r="F127" s="44">
        <f t="shared" si="7"/>
        <v>24240</v>
      </c>
      <c r="G127" s="149">
        <f t="shared" si="6"/>
        <v>327240</v>
      </c>
      <c r="H127" s="149">
        <v>327240</v>
      </c>
      <c r="I127" s="150">
        <f t="shared" si="5"/>
        <v>0</v>
      </c>
      <c r="J127" s="151"/>
    </row>
    <row r="128" spans="1:10" ht="21.75" hidden="1" customHeight="1" x14ac:dyDescent="0.35">
      <c r="A128" s="145" t="s">
        <v>1593</v>
      </c>
      <c r="B128" s="146" t="s">
        <v>1594</v>
      </c>
      <c r="C128" s="146"/>
      <c r="D128" s="147">
        <v>44634</v>
      </c>
      <c r="E128" s="154">
        <v>22126000</v>
      </c>
      <c r="F128" s="44">
        <f t="shared" si="7"/>
        <v>1770080</v>
      </c>
      <c r="G128" s="149">
        <f t="shared" si="6"/>
        <v>23896080</v>
      </c>
      <c r="H128" s="149">
        <v>23896080</v>
      </c>
      <c r="I128" s="150">
        <f t="shared" si="5"/>
        <v>0</v>
      </c>
      <c r="J128" s="151"/>
    </row>
    <row r="129" spans="1:10" ht="21.75" hidden="1" customHeight="1" x14ac:dyDescent="0.35">
      <c r="A129" s="145" t="s">
        <v>1595</v>
      </c>
      <c r="B129" s="146" t="s">
        <v>1596</v>
      </c>
      <c r="C129" s="146"/>
      <c r="D129" s="147">
        <v>44634</v>
      </c>
      <c r="E129" s="154">
        <v>4197000</v>
      </c>
      <c r="F129" s="44">
        <f t="shared" si="7"/>
        <v>335760</v>
      </c>
      <c r="G129" s="149">
        <f t="shared" si="6"/>
        <v>4532760</v>
      </c>
      <c r="H129" s="149">
        <v>4532760</v>
      </c>
      <c r="I129" s="150">
        <f t="shared" si="5"/>
        <v>0</v>
      </c>
      <c r="J129" s="151"/>
    </row>
    <row r="130" spans="1:10" ht="21.75" hidden="1" customHeight="1" x14ac:dyDescent="0.35">
      <c r="A130" s="145" t="s">
        <v>1597</v>
      </c>
      <c r="B130" s="146" t="s">
        <v>1598</v>
      </c>
      <c r="C130" s="146"/>
      <c r="D130" s="147">
        <v>44634</v>
      </c>
      <c r="E130" s="154">
        <v>156370100</v>
      </c>
      <c r="F130" s="44">
        <f t="shared" si="7"/>
        <v>12509608</v>
      </c>
      <c r="G130" s="149">
        <f t="shared" si="6"/>
        <v>168879708</v>
      </c>
      <c r="H130" s="149">
        <v>168879708</v>
      </c>
      <c r="I130" s="150">
        <f t="shared" si="5"/>
        <v>0</v>
      </c>
      <c r="J130" s="151"/>
    </row>
    <row r="131" spans="1:10" ht="21.75" hidden="1" customHeight="1" x14ac:dyDescent="0.35">
      <c r="A131" s="145" t="s">
        <v>1599</v>
      </c>
      <c r="B131" s="146" t="s">
        <v>1600</v>
      </c>
      <c r="C131" s="146"/>
      <c r="D131" s="147">
        <v>44634</v>
      </c>
      <c r="E131" s="154">
        <v>36653500</v>
      </c>
      <c r="F131" s="44">
        <f t="shared" si="7"/>
        <v>2932280</v>
      </c>
      <c r="G131" s="149">
        <f t="shared" si="6"/>
        <v>39585780</v>
      </c>
      <c r="H131" s="149">
        <v>39585780</v>
      </c>
      <c r="I131" s="150">
        <f t="shared" si="5"/>
        <v>0</v>
      </c>
      <c r="J131" s="151"/>
    </row>
    <row r="132" spans="1:10" ht="21.75" hidden="1" customHeight="1" x14ac:dyDescent="0.35">
      <c r="A132" s="145" t="s">
        <v>1601</v>
      </c>
      <c r="B132" s="146" t="s">
        <v>1602</v>
      </c>
      <c r="C132" s="146"/>
      <c r="D132" s="147">
        <v>44634</v>
      </c>
      <c r="E132" s="154">
        <v>294000</v>
      </c>
      <c r="F132" s="44">
        <f t="shared" si="7"/>
        <v>23520</v>
      </c>
      <c r="G132" s="149">
        <f t="shared" si="6"/>
        <v>317520</v>
      </c>
      <c r="H132" s="149">
        <v>317520</v>
      </c>
      <c r="I132" s="150">
        <f t="shared" si="5"/>
        <v>0</v>
      </c>
      <c r="J132" s="151"/>
    </row>
    <row r="133" spans="1:10" ht="21.75" hidden="1" customHeight="1" x14ac:dyDescent="0.35">
      <c r="A133" s="145" t="s">
        <v>1603</v>
      </c>
      <c r="B133" s="146" t="s">
        <v>1604</v>
      </c>
      <c r="C133" s="146"/>
      <c r="D133" s="147">
        <v>44634</v>
      </c>
      <c r="E133" s="154">
        <v>7773000</v>
      </c>
      <c r="F133" s="44">
        <f t="shared" si="7"/>
        <v>621840</v>
      </c>
      <c r="G133" s="149">
        <f t="shared" si="6"/>
        <v>8394840</v>
      </c>
      <c r="H133" s="149">
        <v>8394840</v>
      </c>
      <c r="I133" s="150">
        <f t="shared" si="5"/>
        <v>0</v>
      </c>
      <c r="J133" s="151"/>
    </row>
    <row r="134" spans="1:10" ht="21.75" hidden="1" customHeight="1" x14ac:dyDescent="0.35">
      <c r="A134" s="145" t="s">
        <v>1605</v>
      </c>
      <c r="B134" s="146" t="s">
        <v>1606</v>
      </c>
      <c r="C134" s="146"/>
      <c r="D134" s="147">
        <v>44634</v>
      </c>
      <c r="E134" s="154">
        <v>3103000</v>
      </c>
      <c r="F134" s="44">
        <f t="shared" si="7"/>
        <v>248240</v>
      </c>
      <c r="G134" s="149">
        <f t="shared" si="6"/>
        <v>3351240</v>
      </c>
      <c r="H134" s="149">
        <v>3351240</v>
      </c>
      <c r="I134" s="150">
        <f t="shared" si="5"/>
        <v>0</v>
      </c>
      <c r="J134" s="151"/>
    </row>
    <row r="135" spans="1:10" ht="21.75" hidden="1" customHeight="1" x14ac:dyDescent="0.35">
      <c r="A135" s="145" t="s">
        <v>1607</v>
      </c>
      <c r="B135" s="146" t="s">
        <v>1608</v>
      </c>
      <c r="C135" s="146"/>
      <c r="D135" s="147">
        <v>44638</v>
      </c>
      <c r="E135" s="154">
        <v>18391500</v>
      </c>
      <c r="F135" s="44">
        <f t="shared" si="7"/>
        <v>1471320</v>
      </c>
      <c r="G135" s="149">
        <f t="shared" si="6"/>
        <v>19862820</v>
      </c>
      <c r="H135" s="149">
        <v>19862820</v>
      </c>
      <c r="I135" s="150">
        <f t="shared" ref="I135:I198" si="8">+G135-H135</f>
        <v>0</v>
      </c>
      <c r="J135" s="151"/>
    </row>
    <row r="136" spans="1:10" ht="21.75" hidden="1" customHeight="1" x14ac:dyDescent="0.35">
      <c r="A136" s="145" t="s">
        <v>1500</v>
      </c>
      <c r="B136" s="146" t="s">
        <v>1609</v>
      </c>
      <c r="C136" s="146"/>
      <c r="D136" s="147">
        <v>44638</v>
      </c>
      <c r="E136" s="148">
        <v>80000</v>
      </c>
      <c r="F136" s="44">
        <f t="shared" si="7"/>
        <v>6400</v>
      </c>
      <c r="G136" s="149">
        <f t="shared" si="6"/>
        <v>86400</v>
      </c>
      <c r="H136" s="149">
        <v>86400</v>
      </c>
      <c r="I136" s="150">
        <f t="shared" si="8"/>
        <v>0</v>
      </c>
      <c r="J136" s="151"/>
    </row>
    <row r="137" spans="1:10" ht="21.75" hidden="1" customHeight="1" x14ac:dyDescent="0.35">
      <c r="A137" s="145" t="s">
        <v>1610</v>
      </c>
      <c r="B137" s="146" t="s">
        <v>1611</v>
      </c>
      <c r="C137" s="146"/>
      <c r="D137" s="147">
        <v>44638</v>
      </c>
      <c r="E137" s="148">
        <v>1272000</v>
      </c>
      <c r="F137" s="44">
        <f t="shared" si="7"/>
        <v>101760</v>
      </c>
      <c r="G137" s="149">
        <f t="shared" si="6"/>
        <v>1373760</v>
      </c>
      <c r="H137" s="149">
        <v>1373760</v>
      </c>
      <c r="I137" s="150">
        <f t="shared" si="8"/>
        <v>0</v>
      </c>
      <c r="J137" s="151"/>
    </row>
    <row r="138" spans="1:10" ht="21.75" hidden="1" customHeight="1" x14ac:dyDescent="0.35">
      <c r="A138" s="145" t="s">
        <v>1612</v>
      </c>
      <c r="B138" s="146" t="s">
        <v>1613</v>
      </c>
      <c r="C138" s="146"/>
      <c r="D138" s="147">
        <v>44638</v>
      </c>
      <c r="E138" s="148">
        <v>4741000</v>
      </c>
      <c r="F138" s="44">
        <f t="shared" si="7"/>
        <v>379280</v>
      </c>
      <c r="G138" s="149">
        <f t="shared" ref="G138:G201" si="9">+F138+E138</f>
        <v>5120280</v>
      </c>
      <c r="H138" s="149">
        <v>5120280</v>
      </c>
      <c r="I138" s="150">
        <f t="shared" si="8"/>
        <v>0</v>
      </c>
      <c r="J138" s="151"/>
    </row>
    <row r="139" spans="1:10" ht="21.75" hidden="1" customHeight="1" x14ac:dyDescent="0.35">
      <c r="A139" s="145" t="s">
        <v>1614</v>
      </c>
      <c r="B139" s="146" t="s">
        <v>1615</v>
      </c>
      <c r="C139" s="146"/>
      <c r="D139" s="147">
        <v>44638</v>
      </c>
      <c r="E139" s="148">
        <v>20678900</v>
      </c>
      <c r="F139" s="44">
        <f t="shared" si="7"/>
        <v>1654312</v>
      </c>
      <c r="G139" s="149">
        <f t="shared" si="9"/>
        <v>22333212</v>
      </c>
      <c r="H139" s="149">
        <v>22333212</v>
      </c>
      <c r="I139" s="150">
        <f t="shared" si="8"/>
        <v>0</v>
      </c>
      <c r="J139" s="151"/>
    </row>
    <row r="140" spans="1:10" ht="21.75" hidden="1" customHeight="1" x14ac:dyDescent="0.35">
      <c r="A140" s="145" t="s">
        <v>1616</v>
      </c>
      <c r="B140" s="146" t="s">
        <v>1617</v>
      </c>
      <c r="C140" s="146"/>
      <c r="D140" s="147">
        <v>44638</v>
      </c>
      <c r="E140" s="148">
        <v>165000</v>
      </c>
      <c r="F140" s="44">
        <f t="shared" si="7"/>
        <v>13200</v>
      </c>
      <c r="G140" s="149">
        <f t="shared" si="9"/>
        <v>178200</v>
      </c>
      <c r="H140" s="149">
        <v>178200</v>
      </c>
      <c r="I140" s="150">
        <f t="shared" si="8"/>
        <v>0</v>
      </c>
      <c r="J140" s="151"/>
    </row>
    <row r="141" spans="1:10" ht="21.75" hidden="1" customHeight="1" x14ac:dyDescent="0.35">
      <c r="A141" s="145" t="s">
        <v>1618</v>
      </c>
      <c r="B141" s="146" t="s">
        <v>1619</v>
      </c>
      <c r="C141" s="146"/>
      <c r="D141" s="147">
        <v>44638</v>
      </c>
      <c r="E141" s="148">
        <v>1024000</v>
      </c>
      <c r="F141" s="44">
        <f t="shared" si="7"/>
        <v>81920</v>
      </c>
      <c r="G141" s="149">
        <f t="shared" si="9"/>
        <v>1105920</v>
      </c>
      <c r="H141" s="149">
        <v>1105920</v>
      </c>
      <c r="I141" s="150">
        <f t="shared" si="8"/>
        <v>0</v>
      </c>
      <c r="J141" s="151"/>
    </row>
    <row r="142" spans="1:10" ht="21.75" hidden="1" customHeight="1" x14ac:dyDescent="0.35">
      <c r="A142" s="145" t="s">
        <v>1620</v>
      </c>
      <c r="B142" s="146" t="s">
        <v>1621</v>
      </c>
      <c r="C142" s="146"/>
      <c r="D142" s="147">
        <v>44638</v>
      </c>
      <c r="E142" s="148">
        <v>22845700</v>
      </c>
      <c r="F142" s="44">
        <f t="shared" si="7"/>
        <v>1827656</v>
      </c>
      <c r="G142" s="149">
        <f t="shared" si="9"/>
        <v>24673356</v>
      </c>
      <c r="H142" s="149">
        <v>24673356</v>
      </c>
      <c r="I142" s="150">
        <f t="shared" si="8"/>
        <v>0</v>
      </c>
      <c r="J142" s="151"/>
    </row>
    <row r="143" spans="1:10" ht="21.75" hidden="1" customHeight="1" x14ac:dyDescent="0.35">
      <c r="A143" s="145" t="s">
        <v>1622</v>
      </c>
      <c r="B143" s="146" t="s">
        <v>1623</v>
      </c>
      <c r="C143" s="146"/>
      <c r="D143" s="147">
        <v>44638</v>
      </c>
      <c r="E143" s="148">
        <v>6932500</v>
      </c>
      <c r="F143" s="44">
        <f t="shared" si="7"/>
        <v>554600</v>
      </c>
      <c r="G143" s="149">
        <f t="shared" si="9"/>
        <v>7487100</v>
      </c>
      <c r="H143" s="149">
        <v>7487100</v>
      </c>
      <c r="I143" s="150">
        <f t="shared" si="8"/>
        <v>0</v>
      </c>
      <c r="J143" s="151"/>
    </row>
    <row r="144" spans="1:10" ht="21.75" hidden="1" customHeight="1" x14ac:dyDescent="0.35">
      <c r="A144" s="145" t="s">
        <v>1624</v>
      </c>
      <c r="B144" s="146" t="s">
        <v>1625</v>
      </c>
      <c r="C144" s="146"/>
      <c r="D144" s="147">
        <v>44645</v>
      </c>
      <c r="E144" s="148">
        <v>64000</v>
      </c>
      <c r="F144" s="44">
        <f t="shared" si="7"/>
        <v>5120</v>
      </c>
      <c r="G144" s="149">
        <f t="shared" si="9"/>
        <v>69120</v>
      </c>
      <c r="H144" s="149">
        <v>69120</v>
      </c>
      <c r="I144" s="150">
        <f t="shared" si="8"/>
        <v>0</v>
      </c>
      <c r="J144" s="151"/>
    </row>
    <row r="145" spans="1:10" ht="21.75" hidden="1" customHeight="1" x14ac:dyDescent="0.35">
      <c r="A145" s="145" t="s">
        <v>1626</v>
      </c>
      <c r="B145" s="146" t="s">
        <v>1627</v>
      </c>
      <c r="C145" s="146"/>
      <c r="D145" s="147">
        <v>44645</v>
      </c>
      <c r="E145" s="148">
        <v>45500</v>
      </c>
      <c r="F145" s="44">
        <f t="shared" si="7"/>
        <v>3640</v>
      </c>
      <c r="G145" s="149">
        <f t="shared" si="9"/>
        <v>49140</v>
      </c>
      <c r="H145" s="149">
        <v>49140</v>
      </c>
      <c r="I145" s="150">
        <f t="shared" si="8"/>
        <v>0</v>
      </c>
      <c r="J145" s="151"/>
    </row>
    <row r="146" spans="1:10" ht="21.75" hidden="1" customHeight="1" x14ac:dyDescent="0.35">
      <c r="A146" s="145" t="s">
        <v>1628</v>
      </c>
      <c r="B146" s="146" t="s">
        <v>1629</v>
      </c>
      <c r="C146" s="146"/>
      <c r="D146" s="147">
        <v>44645</v>
      </c>
      <c r="E146" s="148">
        <v>494500</v>
      </c>
      <c r="F146" s="44">
        <f t="shared" si="7"/>
        <v>39560</v>
      </c>
      <c r="G146" s="149">
        <f t="shared" si="9"/>
        <v>534060</v>
      </c>
      <c r="H146" s="149">
        <v>534060</v>
      </c>
      <c r="I146" s="150">
        <f t="shared" si="8"/>
        <v>0</v>
      </c>
      <c r="J146" s="151"/>
    </row>
    <row r="147" spans="1:10" ht="21.75" hidden="1" customHeight="1" x14ac:dyDescent="0.35">
      <c r="A147" s="145" t="s">
        <v>1630</v>
      </c>
      <c r="B147" s="146" t="s">
        <v>1631</v>
      </c>
      <c r="C147" s="146"/>
      <c r="D147" s="147">
        <v>44645</v>
      </c>
      <c r="E147" s="148">
        <v>4332200</v>
      </c>
      <c r="F147" s="44">
        <f t="shared" si="7"/>
        <v>346576</v>
      </c>
      <c r="G147" s="149">
        <f t="shared" si="9"/>
        <v>4678776</v>
      </c>
      <c r="H147" s="149">
        <v>4678776</v>
      </c>
      <c r="I147" s="150">
        <f t="shared" si="8"/>
        <v>0</v>
      </c>
      <c r="J147" s="151"/>
    </row>
    <row r="148" spans="1:10" ht="21.75" hidden="1" customHeight="1" x14ac:dyDescent="0.35">
      <c r="A148" s="145" t="s">
        <v>1632</v>
      </c>
      <c r="B148" s="146" t="s">
        <v>1633</v>
      </c>
      <c r="C148" s="146"/>
      <c r="D148" s="147">
        <v>44645</v>
      </c>
      <c r="E148" s="148">
        <v>2140200</v>
      </c>
      <c r="F148" s="44">
        <f t="shared" si="7"/>
        <v>171216</v>
      </c>
      <c r="G148" s="149">
        <f t="shared" si="9"/>
        <v>2311416</v>
      </c>
      <c r="H148" s="149">
        <v>2311416</v>
      </c>
      <c r="I148" s="150">
        <f t="shared" si="8"/>
        <v>0</v>
      </c>
      <c r="J148" s="151"/>
    </row>
    <row r="149" spans="1:10" ht="21.75" hidden="1" customHeight="1" x14ac:dyDescent="0.35">
      <c r="A149" s="145" t="s">
        <v>1634</v>
      </c>
      <c r="B149" s="146" t="s">
        <v>1635</v>
      </c>
      <c r="C149" s="146"/>
      <c r="D149" s="147">
        <v>44645</v>
      </c>
      <c r="E149" s="148">
        <v>9537500</v>
      </c>
      <c r="F149" s="44">
        <f t="shared" si="7"/>
        <v>763000</v>
      </c>
      <c r="G149" s="149">
        <f t="shared" si="9"/>
        <v>10300500</v>
      </c>
      <c r="H149" s="149">
        <v>10300500</v>
      </c>
      <c r="I149" s="150">
        <f t="shared" si="8"/>
        <v>0</v>
      </c>
      <c r="J149" s="151"/>
    </row>
    <row r="150" spans="1:10" ht="21.75" hidden="1" customHeight="1" x14ac:dyDescent="0.35">
      <c r="A150" s="145" t="s">
        <v>1430</v>
      </c>
      <c r="B150" s="146" t="s">
        <v>1636</v>
      </c>
      <c r="C150" s="146"/>
      <c r="D150" s="147">
        <v>44650</v>
      </c>
      <c r="E150" s="148">
        <v>2037000</v>
      </c>
      <c r="F150" s="44">
        <f t="shared" si="7"/>
        <v>162960</v>
      </c>
      <c r="G150" s="149">
        <f t="shared" si="9"/>
        <v>2199960</v>
      </c>
      <c r="H150" s="149">
        <v>2199960</v>
      </c>
      <c r="I150" s="150">
        <f t="shared" si="8"/>
        <v>0</v>
      </c>
      <c r="J150" s="151"/>
    </row>
    <row r="151" spans="1:10" ht="21.75" hidden="1" customHeight="1" x14ac:dyDescent="0.35">
      <c r="A151" s="145" t="s">
        <v>1637</v>
      </c>
      <c r="B151" s="146" t="s">
        <v>1638</v>
      </c>
      <c r="C151" s="146"/>
      <c r="D151" s="147">
        <v>44666</v>
      </c>
      <c r="E151" s="148">
        <v>91000</v>
      </c>
      <c r="F151" s="44">
        <f t="shared" ref="F151:F214" si="10">E151*0.08</f>
        <v>7280</v>
      </c>
      <c r="G151" s="149">
        <f t="shared" si="9"/>
        <v>98280</v>
      </c>
      <c r="H151" s="149">
        <v>98280</v>
      </c>
      <c r="I151" s="150">
        <f t="shared" si="8"/>
        <v>0</v>
      </c>
      <c r="J151" s="151"/>
    </row>
    <row r="152" spans="1:10" ht="21.75" hidden="1" customHeight="1" x14ac:dyDescent="0.35">
      <c r="A152" s="145" t="s">
        <v>1639</v>
      </c>
      <c r="B152" s="146" t="s">
        <v>1640</v>
      </c>
      <c r="C152" s="146"/>
      <c r="D152" s="147">
        <v>44650</v>
      </c>
      <c r="E152" s="148">
        <v>160000</v>
      </c>
      <c r="F152" s="44">
        <f t="shared" si="10"/>
        <v>12800</v>
      </c>
      <c r="G152" s="149">
        <f t="shared" si="9"/>
        <v>172800</v>
      </c>
      <c r="H152" s="149">
        <v>172800</v>
      </c>
      <c r="I152" s="150">
        <f t="shared" si="8"/>
        <v>0</v>
      </c>
      <c r="J152" s="151"/>
    </row>
    <row r="153" spans="1:10" ht="21.75" hidden="1" customHeight="1" x14ac:dyDescent="0.35">
      <c r="A153" s="145" t="s">
        <v>1641</v>
      </c>
      <c r="B153" s="146" t="s">
        <v>1642</v>
      </c>
      <c r="C153" s="146"/>
      <c r="D153" s="147">
        <v>44666</v>
      </c>
      <c r="E153" s="148">
        <v>784000</v>
      </c>
      <c r="F153" s="44">
        <f t="shared" si="10"/>
        <v>62720</v>
      </c>
      <c r="G153" s="149">
        <f t="shared" si="9"/>
        <v>846720</v>
      </c>
      <c r="H153" s="149">
        <v>846720</v>
      </c>
      <c r="I153" s="150">
        <f t="shared" si="8"/>
        <v>0</v>
      </c>
      <c r="J153" s="151"/>
    </row>
    <row r="154" spans="1:10" ht="21.75" hidden="1" customHeight="1" x14ac:dyDescent="0.35">
      <c r="A154" s="145" t="s">
        <v>1603</v>
      </c>
      <c r="B154" s="146" t="s">
        <v>1643</v>
      </c>
      <c r="C154" s="146"/>
      <c r="D154" s="147">
        <v>44659</v>
      </c>
      <c r="E154" s="148">
        <v>709500</v>
      </c>
      <c r="F154" s="44">
        <f t="shared" si="10"/>
        <v>56760</v>
      </c>
      <c r="G154" s="149">
        <f t="shared" si="9"/>
        <v>766260</v>
      </c>
      <c r="H154" s="149">
        <v>766260</v>
      </c>
      <c r="I154" s="150">
        <f t="shared" si="8"/>
        <v>0</v>
      </c>
      <c r="J154" s="151"/>
    </row>
    <row r="155" spans="1:10" ht="21.75" hidden="1" customHeight="1" x14ac:dyDescent="0.35">
      <c r="A155" s="145" t="s">
        <v>1644</v>
      </c>
      <c r="B155" s="146" t="s">
        <v>1645</v>
      </c>
      <c r="C155" s="146"/>
      <c r="D155" s="147">
        <v>44642</v>
      </c>
      <c r="E155" s="148">
        <v>4940719</v>
      </c>
      <c r="F155" s="44">
        <f t="shared" si="10"/>
        <v>395257.52</v>
      </c>
      <c r="G155" s="149">
        <f t="shared" si="9"/>
        <v>5335976.5199999996</v>
      </c>
      <c r="H155" s="149">
        <v>5335976.5199999996</v>
      </c>
      <c r="I155" s="150">
        <f t="shared" si="8"/>
        <v>0</v>
      </c>
      <c r="J155" s="151"/>
    </row>
    <row r="156" spans="1:10" ht="21.75" hidden="1" customHeight="1" x14ac:dyDescent="0.35">
      <c r="A156" s="145" t="s">
        <v>1646</v>
      </c>
      <c r="B156" s="146" t="s">
        <v>1647</v>
      </c>
      <c r="C156" s="146"/>
      <c r="D156" s="147">
        <v>44670</v>
      </c>
      <c r="E156" s="148">
        <v>6423008</v>
      </c>
      <c r="F156" s="44">
        <f>+E156*0.1</f>
        <v>642300.80000000005</v>
      </c>
      <c r="G156" s="149">
        <f t="shared" si="9"/>
        <v>7065308.7999999998</v>
      </c>
      <c r="H156" s="149">
        <v>7065308.7999999998</v>
      </c>
      <c r="I156" s="150">
        <f t="shared" si="8"/>
        <v>0</v>
      </c>
      <c r="J156" s="151"/>
    </row>
    <row r="157" spans="1:10" ht="21.75" hidden="1" customHeight="1" x14ac:dyDescent="0.35">
      <c r="A157" s="145" t="s">
        <v>1648</v>
      </c>
      <c r="B157" s="146" t="s">
        <v>1649</v>
      </c>
      <c r="C157" s="146"/>
      <c r="D157" s="147">
        <v>44666</v>
      </c>
      <c r="E157" s="148">
        <v>32000</v>
      </c>
      <c r="F157" s="44">
        <f t="shared" si="10"/>
        <v>2560</v>
      </c>
      <c r="G157" s="149">
        <f t="shared" si="9"/>
        <v>34560</v>
      </c>
      <c r="H157" s="149">
        <v>34560</v>
      </c>
      <c r="I157" s="150">
        <f t="shared" si="8"/>
        <v>0</v>
      </c>
      <c r="J157" s="151"/>
    </row>
    <row r="158" spans="1:10" ht="21.75" hidden="1" customHeight="1" x14ac:dyDescent="0.35">
      <c r="A158" s="145" t="s">
        <v>1650</v>
      </c>
      <c r="B158" s="146" t="s">
        <v>1651</v>
      </c>
      <c r="C158" s="146"/>
      <c r="D158" s="147">
        <v>44666</v>
      </c>
      <c r="E158" s="148">
        <v>6508000</v>
      </c>
      <c r="F158" s="44">
        <f t="shared" si="10"/>
        <v>520640</v>
      </c>
      <c r="G158" s="149">
        <f t="shared" si="9"/>
        <v>7028640</v>
      </c>
      <c r="H158" s="149">
        <v>7028640</v>
      </c>
      <c r="I158" s="150">
        <f t="shared" si="8"/>
        <v>0</v>
      </c>
      <c r="J158" s="151"/>
    </row>
    <row r="159" spans="1:10" ht="21.75" hidden="1" customHeight="1" x14ac:dyDescent="0.35">
      <c r="A159" s="145" t="s">
        <v>1652</v>
      </c>
      <c r="B159" s="146" t="s">
        <v>1653</v>
      </c>
      <c r="C159" s="146"/>
      <c r="D159" s="147">
        <v>44676</v>
      </c>
      <c r="E159" s="148">
        <v>320000</v>
      </c>
      <c r="F159" s="44">
        <f t="shared" si="10"/>
        <v>25600</v>
      </c>
      <c r="G159" s="149">
        <f t="shared" si="9"/>
        <v>345600</v>
      </c>
      <c r="H159" s="149">
        <v>345600</v>
      </c>
      <c r="I159" s="150">
        <f t="shared" si="8"/>
        <v>0</v>
      </c>
      <c r="J159" s="151"/>
    </row>
    <row r="160" spans="1:10" ht="21.75" hidden="1" customHeight="1" x14ac:dyDescent="0.35">
      <c r="A160" s="145" t="s">
        <v>1644</v>
      </c>
      <c r="B160" s="146" t="s">
        <v>1654</v>
      </c>
      <c r="C160" s="146"/>
      <c r="D160" s="147">
        <v>44700</v>
      </c>
      <c r="E160" s="148">
        <v>4858178</v>
      </c>
      <c r="F160" s="44">
        <f t="shared" si="10"/>
        <v>388654.24</v>
      </c>
      <c r="G160" s="149">
        <f t="shared" si="9"/>
        <v>5246832.24</v>
      </c>
      <c r="H160" s="149">
        <v>5246832.24</v>
      </c>
      <c r="I160" s="150">
        <f t="shared" si="8"/>
        <v>0</v>
      </c>
      <c r="J160" s="151"/>
    </row>
    <row r="161" spans="1:10" ht="21.75" hidden="1" customHeight="1" x14ac:dyDescent="0.35">
      <c r="A161" s="145" t="s">
        <v>1655</v>
      </c>
      <c r="B161" s="146" t="s">
        <v>1656</v>
      </c>
      <c r="C161" s="146"/>
      <c r="D161" s="147">
        <v>44699</v>
      </c>
      <c r="E161" s="148">
        <v>38000</v>
      </c>
      <c r="F161" s="44">
        <f t="shared" si="10"/>
        <v>3040</v>
      </c>
      <c r="G161" s="149">
        <f t="shared" si="9"/>
        <v>41040</v>
      </c>
      <c r="H161" s="149">
        <v>41040</v>
      </c>
      <c r="I161" s="150">
        <f t="shared" si="8"/>
        <v>0</v>
      </c>
      <c r="J161" s="151"/>
    </row>
    <row r="162" spans="1:10" ht="21.75" hidden="1" customHeight="1" x14ac:dyDescent="0.35">
      <c r="A162" s="145" t="s">
        <v>1657</v>
      </c>
      <c r="B162" s="146" t="s">
        <v>1658</v>
      </c>
      <c r="C162" s="146"/>
      <c r="D162" s="147">
        <v>44699</v>
      </c>
      <c r="E162" s="148">
        <v>4056000</v>
      </c>
      <c r="F162" s="44">
        <f t="shared" si="10"/>
        <v>324480</v>
      </c>
      <c r="G162" s="149">
        <f t="shared" si="9"/>
        <v>4380480</v>
      </c>
      <c r="H162" s="149">
        <v>4380480</v>
      </c>
      <c r="I162" s="150">
        <f t="shared" si="8"/>
        <v>0</v>
      </c>
      <c r="J162" s="151"/>
    </row>
    <row r="163" spans="1:10" ht="21.75" hidden="1" customHeight="1" x14ac:dyDescent="0.35">
      <c r="A163" s="145" t="s">
        <v>1659</v>
      </c>
      <c r="B163" s="146" t="s">
        <v>1660</v>
      </c>
      <c r="C163" s="146"/>
      <c r="D163" s="147">
        <v>44699</v>
      </c>
      <c r="E163" s="148">
        <v>142200</v>
      </c>
      <c r="F163" s="44">
        <f t="shared" si="10"/>
        <v>11376</v>
      </c>
      <c r="G163" s="149">
        <f t="shared" si="9"/>
        <v>153576</v>
      </c>
      <c r="H163" s="149">
        <v>153576</v>
      </c>
      <c r="I163" s="150">
        <f t="shared" si="8"/>
        <v>0</v>
      </c>
      <c r="J163" s="151"/>
    </row>
    <row r="164" spans="1:10" ht="21.75" hidden="1" customHeight="1" x14ac:dyDescent="0.35">
      <c r="A164" s="145" t="s">
        <v>1661</v>
      </c>
      <c r="B164" s="146" t="s">
        <v>1662</v>
      </c>
      <c r="C164" s="146"/>
      <c r="D164" s="147">
        <v>44699</v>
      </c>
      <c r="E164" s="148">
        <v>125000</v>
      </c>
      <c r="F164" s="44">
        <f t="shared" si="10"/>
        <v>10000</v>
      </c>
      <c r="G164" s="149">
        <f t="shared" si="9"/>
        <v>135000</v>
      </c>
      <c r="H164" s="149">
        <v>135000</v>
      </c>
      <c r="I164" s="150">
        <f t="shared" si="8"/>
        <v>0</v>
      </c>
      <c r="J164" s="151"/>
    </row>
    <row r="165" spans="1:10" ht="21.75" hidden="1" customHeight="1" x14ac:dyDescent="0.35">
      <c r="A165" s="145" t="s">
        <v>1663</v>
      </c>
      <c r="B165" s="146" t="s">
        <v>1664</v>
      </c>
      <c r="C165" s="146"/>
      <c r="D165" s="147">
        <v>44699</v>
      </c>
      <c r="E165" s="148">
        <v>38000</v>
      </c>
      <c r="F165" s="44">
        <f t="shared" si="10"/>
        <v>3040</v>
      </c>
      <c r="G165" s="149">
        <f t="shared" si="9"/>
        <v>41040</v>
      </c>
      <c r="H165" s="149">
        <v>41040</v>
      </c>
      <c r="I165" s="150">
        <f t="shared" si="8"/>
        <v>0</v>
      </c>
      <c r="J165" s="151"/>
    </row>
    <row r="166" spans="1:10" ht="21.75" hidden="1" customHeight="1" x14ac:dyDescent="0.35">
      <c r="A166" s="145" t="s">
        <v>1665</v>
      </c>
      <c r="B166" s="146" t="s">
        <v>1666</v>
      </c>
      <c r="C166" s="146"/>
      <c r="D166" s="147">
        <v>44699</v>
      </c>
      <c r="E166" s="148">
        <v>10060000</v>
      </c>
      <c r="F166" s="44">
        <f t="shared" si="10"/>
        <v>804800</v>
      </c>
      <c r="G166" s="149">
        <f t="shared" si="9"/>
        <v>10864800</v>
      </c>
      <c r="H166" s="149">
        <v>10864800</v>
      </c>
      <c r="I166" s="150">
        <f t="shared" si="8"/>
        <v>0</v>
      </c>
      <c r="J166" s="151"/>
    </row>
    <row r="167" spans="1:10" ht="21.75" hidden="1" customHeight="1" x14ac:dyDescent="0.35">
      <c r="A167" s="145" t="s">
        <v>1667</v>
      </c>
      <c r="B167" s="146" t="s">
        <v>1668</v>
      </c>
      <c r="C167" s="146"/>
      <c r="D167" s="147">
        <v>44699</v>
      </c>
      <c r="E167" s="148">
        <v>515200</v>
      </c>
      <c r="F167" s="44">
        <f t="shared" si="10"/>
        <v>41216</v>
      </c>
      <c r="G167" s="149">
        <f t="shared" si="9"/>
        <v>556416</v>
      </c>
      <c r="H167" s="149">
        <v>556416</v>
      </c>
      <c r="I167" s="150">
        <f t="shared" si="8"/>
        <v>0</v>
      </c>
      <c r="J167" s="151"/>
    </row>
    <row r="168" spans="1:10" ht="21.75" hidden="1" customHeight="1" x14ac:dyDescent="0.35">
      <c r="A168" s="145" t="s">
        <v>1669</v>
      </c>
      <c r="B168" s="146" t="s">
        <v>1670</v>
      </c>
      <c r="C168" s="146"/>
      <c r="D168" s="147">
        <v>44699</v>
      </c>
      <c r="E168" s="148">
        <v>125000</v>
      </c>
      <c r="F168" s="44">
        <f t="shared" si="10"/>
        <v>10000</v>
      </c>
      <c r="G168" s="149">
        <f t="shared" si="9"/>
        <v>135000</v>
      </c>
      <c r="H168" s="149">
        <v>135000</v>
      </c>
      <c r="I168" s="150">
        <f t="shared" si="8"/>
        <v>0</v>
      </c>
      <c r="J168" s="151"/>
    </row>
    <row r="169" spans="1:10" ht="21.75" hidden="1" customHeight="1" x14ac:dyDescent="0.35">
      <c r="A169" s="145" t="s">
        <v>1671</v>
      </c>
      <c r="B169" s="146" t="s">
        <v>1672</v>
      </c>
      <c r="C169" s="146"/>
      <c r="D169" s="147">
        <v>44699</v>
      </c>
      <c r="E169" s="148">
        <v>76000</v>
      </c>
      <c r="F169" s="44">
        <f t="shared" si="10"/>
        <v>6080</v>
      </c>
      <c r="G169" s="149">
        <f t="shared" si="9"/>
        <v>82080</v>
      </c>
      <c r="H169" s="149">
        <v>82080</v>
      </c>
      <c r="I169" s="150">
        <f t="shared" si="8"/>
        <v>0</v>
      </c>
      <c r="J169" s="151"/>
    </row>
    <row r="170" spans="1:10" ht="21.75" hidden="1" customHeight="1" x14ac:dyDescent="0.35">
      <c r="A170" s="145" t="s">
        <v>1673</v>
      </c>
      <c r="B170" s="146" t="s">
        <v>1674</v>
      </c>
      <c r="C170" s="146"/>
      <c r="D170" s="147">
        <v>44699</v>
      </c>
      <c r="E170" s="148">
        <v>40000</v>
      </c>
      <c r="F170" s="44">
        <f t="shared" si="10"/>
        <v>3200</v>
      </c>
      <c r="G170" s="149">
        <f t="shared" si="9"/>
        <v>43200</v>
      </c>
      <c r="H170" s="149">
        <v>43200</v>
      </c>
      <c r="I170" s="150">
        <f t="shared" si="8"/>
        <v>0</v>
      </c>
      <c r="J170" s="151"/>
    </row>
    <row r="171" spans="1:10" ht="21.75" hidden="1" customHeight="1" x14ac:dyDescent="0.35">
      <c r="A171" s="145" t="s">
        <v>1675</v>
      </c>
      <c r="B171" s="146" t="s">
        <v>1676</v>
      </c>
      <c r="C171" s="146"/>
      <c r="D171" s="147">
        <v>44709</v>
      </c>
      <c r="E171" s="148">
        <v>750000</v>
      </c>
      <c r="F171" s="44">
        <f t="shared" si="10"/>
        <v>60000</v>
      </c>
      <c r="G171" s="149">
        <f t="shared" si="9"/>
        <v>810000</v>
      </c>
      <c r="H171" s="149">
        <v>810000</v>
      </c>
      <c r="I171" s="150">
        <f t="shared" si="8"/>
        <v>0</v>
      </c>
      <c r="J171" s="151"/>
    </row>
    <row r="172" spans="1:10" ht="21.75" hidden="1" customHeight="1" x14ac:dyDescent="0.35">
      <c r="A172" s="145" t="s">
        <v>1677</v>
      </c>
      <c r="B172" s="146" t="s">
        <v>1678</v>
      </c>
      <c r="C172" s="146"/>
      <c r="D172" s="147">
        <v>44709</v>
      </c>
      <c r="E172" s="148">
        <v>640000</v>
      </c>
      <c r="F172" s="44">
        <f t="shared" si="10"/>
        <v>51200</v>
      </c>
      <c r="G172" s="149">
        <f t="shared" si="9"/>
        <v>691200</v>
      </c>
      <c r="H172" s="149">
        <v>691200</v>
      </c>
      <c r="I172" s="150">
        <f t="shared" si="8"/>
        <v>0</v>
      </c>
      <c r="J172" s="151"/>
    </row>
    <row r="173" spans="1:10" ht="21.75" hidden="1" customHeight="1" x14ac:dyDescent="0.35">
      <c r="A173" s="145" t="s">
        <v>1679</v>
      </c>
      <c r="B173" s="146" t="s">
        <v>1680</v>
      </c>
      <c r="C173" s="146"/>
      <c r="D173" s="147">
        <v>44709</v>
      </c>
      <c r="E173" s="148">
        <v>40000</v>
      </c>
      <c r="F173" s="44">
        <f t="shared" si="10"/>
        <v>3200</v>
      </c>
      <c r="G173" s="149">
        <f t="shared" si="9"/>
        <v>43200</v>
      </c>
      <c r="H173" s="149">
        <v>43200</v>
      </c>
      <c r="I173" s="150">
        <f t="shared" si="8"/>
        <v>0</v>
      </c>
      <c r="J173" s="151"/>
    </row>
    <row r="174" spans="1:10" ht="21.75" hidden="1" customHeight="1" x14ac:dyDescent="0.35">
      <c r="A174" s="145" t="s">
        <v>1620</v>
      </c>
      <c r="B174" s="146" t="s">
        <v>1681</v>
      </c>
      <c r="C174" s="146"/>
      <c r="D174" s="147">
        <v>44710</v>
      </c>
      <c r="E174" s="148">
        <v>80000</v>
      </c>
      <c r="F174" s="44">
        <f t="shared" si="10"/>
        <v>6400</v>
      </c>
      <c r="G174" s="149">
        <f t="shared" si="9"/>
        <v>86400</v>
      </c>
      <c r="H174" s="149">
        <v>86400</v>
      </c>
      <c r="I174" s="150">
        <f t="shared" si="8"/>
        <v>0</v>
      </c>
      <c r="J174" s="151"/>
    </row>
    <row r="175" spans="1:10" ht="21.75" hidden="1" customHeight="1" x14ac:dyDescent="0.35">
      <c r="A175" s="145" t="s">
        <v>1367</v>
      </c>
      <c r="B175" s="146" t="s">
        <v>1682</v>
      </c>
      <c r="C175" s="146"/>
      <c r="D175" s="147">
        <v>44710</v>
      </c>
      <c r="E175" s="148">
        <v>808500</v>
      </c>
      <c r="F175" s="44">
        <f t="shared" si="10"/>
        <v>64680</v>
      </c>
      <c r="G175" s="149">
        <f t="shared" si="9"/>
        <v>873180</v>
      </c>
      <c r="H175" s="149">
        <v>873180</v>
      </c>
      <c r="I175" s="150">
        <f t="shared" si="8"/>
        <v>0</v>
      </c>
      <c r="J175" s="151"/>
    </row>
    <row r="176" spans="1:10" ht="21.75" hidden="1" customHeight="1" x14ac:dyDescent="0.35">
      <c r="A176" s="145" t="s">
        <v>1683</v>
      </c>
      <c r="B176" s="146" t="s">
        <v>1684</v>
      </c>
      <c r="C176" s="146"/>
      <c r="D176" s="147">
        <v>44733</v>
      </c>
      <c r="E176" s="148">
        <v>967718</v>
      </c>
      <c r="F176" s="44">
        <f t="shared" si="10"/>
        <v>77417.440000000002</v>
      </c>
      <c r="G176" s="149">
        <f t="shared" si="9"/>
        <v>1045135.44</v>
      </c>
      <c r="H176" s="149">
        <v>1045135.44</v>
      </c>
      <c r="I176" s="150">
        <f t="shared" si="8"/>
        <v>0</v>
      </c>
      <c r="J176" s="151"/>
    </row>
    <row r="177" spans="1:10" ht="21.75" hidden="1" customHeight="1" x14ac:dyDescent="0.35">
      <c r="A177" s="145" t="s">
        <v>1677</v>
      </c>
      <c r="B177" s="146" t="s">
        <v>1685</v>
      </c>
      <c r="C177" s="146"/>
      <c r="D177" s="147">
        <v>44709</v>
      </c>
      <c r="E177" s="148">
        <v>75600</v>
      </c>
      <c r="F177" s="44">
        <f t="shared" si="10"/>
        <v>6048</v>
      </c>
      <c r="G177" s="149">
        <f t="shared" si="9"/>
        <v>81648</v>
      </c>
      <c r="H177" s="149">
        <v>81648</v>
      </c>
      <c r="I177" s="150">
        <f t="shared" si="8"/>
        <v>0</v>
      </c>
      <c r="J177" s="151"/>
    </row>
    <row r="178" spans="1:10" ht="21.75" hidden="1" customHeight="1" x14ac:dyDescent="0.35">
      <c r="A178" s="145" t="s">
        <v>1686</v>
      </c>
      <c r="B178" s="146" t="s">
        <v>1687</v>
      </c>
      <c r="C178" s="146"/>
      <c r="D178" s="147">
        <v>44709</v>
      </c>
      <c r="E178" s="148">
        <v>121500</v>
      </c>
      <c r="F178" s="44">
        <f t="shared" si="10"/>
        <v>9720</v>
      </c>
      <c r="G178" s="149">
        <f t="shared" si="9"/>
        <v>131220</v>
      </c>
      <c r="H178" s="149">
        <v>131220</v>
      </c>
      <c r="I178" s="150">
        <f t="shared" si="8"/>
        <v>0</v>
      </c>
      <c r="J178" s="151"/>
    </row>
    <row r="179" spans="1:10" ht="21.75" hidden="1" customHeight="1" x14ac:dyDescent="0.35">
      <c r="A179" s="145" t="s">
        <v>1677</v>
      </c>
      <c r="B179" s="146" t="s">
        <v>1688</v>
      </c>
      <c r="C179" s="146"/>
      <c r="D179" s="147">
        <v>44720</v>
      </c>
      <c r="E179" s="148">
        <v>240000</v>
      </c>
      <c r="F179" s="44">
        <f t="shared" si="10"/>
        <v>19200</v>
      </c>
      <c r="G179" s="149">
        <f t="shared" si="9"/>
        <v>259200</v>
      </c>
      <c r="H179" s="149">
        <v>259200</v>
      </c>
      <c r="I179" s="150">
        <f t="shared" si="8"/>
        <v>0</v>
      </c>
      <c r="J179" s="151"/>
    </row>
    <row r="180" spans="1:10" ht="21.75" hidden="1" customHeight="1" x14ac:dyDescent="0.35">
      <c r="A180" s="145" t="s">
        <v>1686</v>
      </c>
      <c r="B180" s="146" t="s">
        <v>1689</v>
      </c>
      <c r="C180" s="146"/>
      <c r="D180" s="147">
        <v>44720</v>
      </c>
      <c r="E180" s="148">
        <v>228000</v>
      </c>
      <c r="F180" s="44">
        <f t="shared" si="10"/>
        <v>18240</v>
      </c>
      <c r="G180" s="149">
        <f t="shared" si="9"/>
        <v>246240</v>
      </c>
      <c r="H180" s="149">
        <v>246240</v>
      </c>
      <c r="I180" s="150">
        <f t="shared" si="8"/>
        <v>0</v>
      </c>
      <c r="J180" s="151"/>
    </row>
    <row r="181" spans="1:10" ht="21.75" hidden="1" customHeight="1" x14ac:dyDescent="0.35">
      <c r="A181" s="145" t="s">
        <v>1690</v>
      </c>
      <c r="B181" s="146" t="s">
        <v>1691</v>
      </c>
      <c r="C181" s="146"/>
      <c r="D181" s="147">
        <v>44720</v>
      </c>
      <c r="E181" s="148">
        <v>32000</v>
      </c>
      <c r="F181" s="44">
        <f t="shared" si="10"/>
        <v>2560</v>
      </c>
      <c r="G181" s="149">
        <f t="shared" si="9"/>
        <v>34560</v>
      </c>
      <c r="H181" s="149">
        <v>34560</v>
      </c>
      <c r="I181" s="150">
        <f t="shared" si="8"/>
        <v>0</v>
      </c>
      <c r="J181" s="151"/>
    </row>
    <row r="182" spans="1:10" ht="21.75" hidden="1" customHeight="1" x14ac:dyDescent="0.35">
      <c r="A182" s="145" t="s">
        <v>1692</v>
      </c>
      <c r="B182" s="146" t="s">
        <v>1693</v>
      </c>
      <c r="C182" s="146"/>
      <c r="D182" s="147">
        <v>44710</v>
      </c>
      <c r="E182" s="148">
        <v>920000</v>
      </c>
      <c r="F182" s="44">
        <f t="shared" si="10"/>
        <v>73600</v>
      </c>
      <c r="G182" s="149">
        <f t="shared" si="9"/>
        <v>993600</v>
      </c>
      <c r="H182" s="149">
        <v>993600</v>
      </c>
      <c r="I182" s="150">
        <f t="shared" si="8"/>
        <v>0</v>
      </c>
      <c r="J182" s="151"/>
    </row>
    <row r="183" spans="1:10" ht="21.75" hidden="1" customHeight="1" x14ac:dyDescent="0.35">
      <c r="A183" s="145" t="s">
        <v>1690</v>
      </c>
      <c r="B183" s="146" t="s">
        <v>1674</v>
      </c>
      <c r="C183" s="146"/>
      <c r="D183" s="147">
        <v>44720</v>
      </c>
      <c r="E183" s="148">
        <v>94500</v>
      </c>
      <c r="F183" s="44">
        <f t="shared" si="10"/>
        <v>7560</v>
      </c>
      <c r="G183" s="149">
        <f t="shared" si="9"/>
        <v>102060</v>
      </c>
      <c r="H183" s="149">
        <v>102060</v>
      </c>
      <c r="I183" s="150">
        <f t="shared" si="8"/>
        <v>0</v>
      </c>
      <c r="J183" s="151"/>
    </row>
    <row r="184" spans="1:10" ht="21.75" hidden="1" customHeight="1" x14ac:dyDescent="0.35">
      <c r="A184" s="145" t="s">
        <v>1694</v>
      </c>
      <c r="B184" s="146" t="s">
        <v>1695</v>
      </c>
      <c r="C184" s="146"/>
      <c r="D184" s="147">
        <v>44769</v>
      </c>
      <c r="E184" s="148">
        <v>5611000</v>
      </c>
      <c r="F184" s="44">
        <f t="shared" si="10"/>
        <v>448880</v>
      </c>
      <c r="G184" s="149">
        <f t="shared" si="9"/>
        <v>6059880</v>
      </c>
      <c r="H184" s="149">
        <v>6059880</v>
      </c>
      <c r="I184" s="150">
        <f t="shared" si="8"/>
        <v>0</v>
      </c>
      <c r="J184" s="151">
        <v>44788</v>
      </c>
    </row>
    <row r="185" spans="1:10" ht="21.75" hidden="1" customHeight="1" x14ac:dyDescent="0.35">
      <c r="A185" s="145" t="s">
        <v>1626</v>
      </c>
      <c r="B185" s="146" t="s">
        <v>1696</v>
      </c>
      <c r="C185" s="146"/>
      <c r="D185" s="147">
        <v>44773</v>
      </c>
      <c r="E185" s="148">
        <v>32000</v>
      </c>
      <c r="F185" s="44">
        <f t="shared" si="10"/>
        <v>2560</v>
      </c>
      <c r="G185" s="149">
        <f t="shared" si="9"/>
        <v>34560</v>
      </c>
      <c r="H185" s="149">
        <v>34560</v>
      </c>
      <c r="I185" s="150">
        <f t="shared" si="8"/>
        <v>0</v>
      </c>
      <c r="J185" s="151">
        <v>44788</v>
      </c>
    </row>
    <row r="186" spans="1:10" ht="21.75" hidden="1" customHeight="1" x14ac:dyDescent="0.35">
      <c r="A186" s="145" t="s">
        <v>1697</v>
      </c>
      <c r="B186" s="146" t="s">
        <v>1698</v>
      </c>
      <c r="C186" s="146"/>
      <c r="D186" s="147">
        <v>44819</v>
      </c>
      <c r="E186" s="148">
        <v>130000</v>
      </c>
      <c r="F186" s="44">
        <f t="shared" si="10"/>
        <v>10400</v>
      </c>
      <c r="G186" s="149">
        <f t="shared" si="9"/>
        <v>140400</v>
      </c>
      <c r="H186" s="149">
        <v>140400</v>
      </c>
      <c r="I186" s="150">
        <f t="shared" si="8"/>
        <v>0</v>
      </c>
      <c r="J186" s="151">
        <v>44829</v>
      </c>
    </row>
    <row r="187" spans="1:10" ht="21.75" hidden="1" customHeight="1" x14ac:dyDescent="0.35">
      <c r="A187" s="145" t="s">
        <v>1699</v>
      </c>
      <c r="B187" s="146" t="s">
        <v>1700</v>
      </c>
      <c r="C187" s="146"/>
      <c r="D187" s="147">
        <v>44791</v>
      </c>
      <c r="E187" s="148">
        <v>100000000</v>
      </c>
      <c r="F187" s="44">
        <f t="shared" si="10"/>
        <v>8000000</v>
      </c>
      <c r="G187" s="149">
        <f t="shared" si="9"/>
        <v>108000000</v>
      </c>
      <c r="H187" s="149">
        <v>108000000</v>
      </c>
      <c r="I187" s="150">
        <f t="shared" si="8"/>
        <v>0</v>
      </c>
      <c r="J187" s="151">
        <v>44829</v>
      </c>
    </row>
    <row r="188" spans="1:10" ht="21.75" hidden="1" customHeight="1" x14ac:dyDescent="0.35">
      <c r="A188" s="145" t="s">
        <v>1690</v>
      </c>
      <c r="B188" s="146" t="s">
        <v>1701</v>
      </c>
      <c r="C188" s="146"/>
      <c r="D188" s="147">
        <v>44798</v>
      </c>
      <c r="E188" s="148">
        <v>1360000</v>
      </c>
      <c r="F188" s="44">
        <f t="shared" si="10"/>
        <v>108800</v>
      </c>
      <c r="G188" s="149">
        <f t="shared" si="9"/>
        <v>1468800</v>
      </c>
      <c r="H188" s="149">
        <v>1468800</v>
      </c>
      <c r="I188" s="150">
        <f t="shared" si="8"/>
        <v>0</v>
      </c>
      <c r="J188" s="151">
        <v>44829</v>
      </c>
    </row>
    <row r="189" spans="1:10" ht="21.75" hidden="1" customHeight="1" x14ac:dyDescent="0.35">
      <c r="A189" s="145" t="s">
        <v>1626</v>
      </c>
      <c r="B189" s="146" t="s">
        <v>1702</v>
      </c>
      <c r="C189" s="146"/>
      <c r="D189" s="147">
        <v>44788</v>
      </c>
      <c r="E189" s="148">
        <v>256000</v>
      </c>
      <c r="F189" s="44">
        <f t="shared" si="10"/>
        <v>20480</v>
      </c>
      <c r="G189" s="149">
        <f t="shared" si="9"/>
        <v>276480</v>
      </c>
      <c r="H189" s="149">
        <v>276480</v>
      </c>
      <c r="I189" s="150">
        <f t="shared" si="8"/>
        <v>0</v>
      </c>
      <c r="J189" s="151">
        <v>44829</v>
      </c>
    </row>
    <row r="190" spans="1:10" ht="21.75" hidden="1" customHeight="1" x14ac:dyDescent="0.35">
      <c r="A190" s="145" t="s">
        <v>1703</v>
      </c>
      <c r="B190" s="146" t="s">
        <v>1704</v>
      </c>
      <c r="C190" s="146"/>
      <c r="D190" s="147">
        <v>44792</v>
      </c>
      <c r="E190" s="148">
        <v>12497209</v>
      </c>
      <c r="F190" s="44">
        <f t="shared" si="10"/>
        <v>999776.72</v>
      </c>
      <c r="G190" s="149">
        <f t="shared" si="9"/>
        <v>13496985.720000001</v>
      </c>
      <c r="H190" s="149">
        <v>13496985.720000001</v>
      </c>
      <c r="I190" s="150">
        <f t="shared" si="8"/>
        <v>0</v>
      </c>
      <c r="J190" s="151">
        <v>44829</v>
      </c>
    </row>
    <row r="191" spans="1:10" ht="21.75" hidden="1" customHeight="1" x14ac:dyDescent="0.35">
      <c r="A191" s="145" t="s">
        <v>1705</v>
      </c>
      <c r="B191" s="146" t="s">
        <v>1706</v>
      </c>
      <c r="C191" s="146"/>
      <c r="D191" s="147">
        <v>44798</v>
      </c>
      <c r="E191" s="148">
        <v>8064000</v>
      </c>
      <c r="F191" s="44">
        <f t="shared" si="10"/>
        <v>645120</v>
      </c>
      <c r="G191" s="149">
        <f t="shared" si="9"/>
        <v>8709120</v>
      </c>
      <c r="H191" s="149">
        <v>8709120</v>
      </c>
      <c r="I191" s="150">
        <f t="shared" si="8"/>
        <v>0</v>
      </c>
      <c r="J191" s="151">
        <v>44829</v>
      </c>
    </row>
    <row r="192" spans="1:10" ht="21.75" hidden="1" customHeight="1" x14ac:dyDescent="0.35">
      <c r="A192" s="145" t="s">
        <v>1707</v>
      </c>
      <c r="B192" s="146" t="s">
        <v>1708</v>
      </c>
      <c r="C192" s="146"/>
      <c r="D192" s="147">
        <v>44798</v>
      </c>
      <c r="E192" s="148">
        <v>240000</v>
      </c>
      <c r="F192" s="44">
        <f t="shared" si="10"/>
        <v>19200</v>
      </c>
      <c r="G192" s="149">
        <f t="shared" si="9"/>
        <v>259200</v>
      </c>
      <c r="H192" s="149">
        <v>259200</v>
      </c>
      <c r="I192" s="150">
        <f t="shared" si="8"/>
        <v>0</v>
      </c>
      <c r="J192" s="151">
        <v>44829</v>
      </c>
    </row>
    <row r="193" spans="1:11" ht="21.75" hidden="1" customHeight="1" x14ac:dyDescent="0.35">
      <c r="A193" s="145" t="s">
        <v>1709</v>
      </c>
      <c r="B193" s="146" t="s">
        <v>1710</v>
      </c>
      <c r="C193" s="146"/>
      <c r="D193" s="147">
        <v>44799</v>
      </c>
      <c r="E193" s="148">
        <v>64000</v>
      </c>
      <c r="F193" s="44">
        <f t="shared" si="10"/>
        <v>5120</v>
      </c>
      <c r="G193" s="149">
        <f t="shared" si="9"/>
        <v>69120</v>
      </c>
      <c r="H193" s="149">
        <v>69120</v>
      </c>
      <c r="I193" s="150">
        <f t="shared" si="8"/>
        <v>0</v>
      </c>
      <c r="J193" s="151">
        <v>44829</v>
      </c>
    </row>
    <row r="194" spans="1:11" ht="21.75" hidden="1" customHeight="1" x14ac:dyDescent="0.35">
      <c r="A194" s="145" t="s">
        <v>1711</v>
      </c>
      <c r="B194" s="146" t="s">
        <v>1712</v>
      </c>
      <c r="C194" s="146"/>
      <c r="D194" s="147">
        <v>44803</v>
      </c>
      <c r="E194" s="148">
        <v>64000</v>
      </c>
      <c r="F194" s="44">
        <f t="shared" si="10"/>
        <v>5120</v>
      </c>
      <c r="G194" s="149">
        <f t="shared" si="9"/>
        <v>69120</v>
      </c>
      <c r="H194" s="149">
        <v>69120</v>
      </c>
      <c r="I194" s="150">
        <f t="shared" si="8"/>
        <v>0</v>
      </c>
      <c r="J194" s="151">
        <v>44829</v>
      </c>
    </row>
    <row r="195" spans="1:11" ht="21.75" hidden="1" customHeight="1" x14ac:dyDescent="0.35">
      <c r="A195" s="145" t="s">
        <v>1713</v>
      </c>
      <c r="B195" s="146" t="s">
        <v>1714</v>
      </c>
      <c r="C195" s="146"/>
      <c r="D195" s="147">
        <v>44819</v>
      </c>
      <c r="E195" s="148">
        <v>375000</v>
      </c>
      <c r="F195" s="44">
        <f t="shared" si="10"/>
        <v>30000</v>
      </c>
      <c r="G195" s="149">
        <f t="shared" si="9"/>
        <v>405000</v>
      </c>
      <c r="H195" s="149">
        <v>405000</v>
      </c>
      <c r="I195" s="150">
        <f t="shared" si="8"/>
        <v>0</v>
      </c>
      <c r="J195" s="151">
        <v>44829</v>
      </c>
    </row>
    <row r="196" spans="1:11" ht="21.75" hidden="1" customHeight="1" x14ac:dyDescent="0.35">
      <c r="A196" s="145" t="s">
        <v>1715</v>
      </c>
      <c r="B196" s="146" t="s">
        <v>1716</v>
      </c>
      <c r="C196" s="146"/>
      <c r="D196" s="147">
        <v>44803</v>
      </c>
      <c r="E196" s="148">
        <v>128000</v>
      </c>
      <c r="F196" s="44">
        <f t="shared" si="10"/>
        <v>10240</v>
      </c>
      <c r="G196" s="149">
        <f t="shared" si="9"/>
        <v>138240</v>
      </c>
      <c r="H196" s="149">
        <v>138240</v>
      </c>
      <c r="I196" s="150">
        <f t="shared" si="8"/>
        <v>0</v>
      </c>
      <c r="J196" s="151">
        <v>44829</v>
      </c>
    </row>
    <row r="197" spans="1:11" ht="21.75" hidden="1" customHeight="1" x14ac:dyDescent="0.35">
      <c r="A197" s="145" t="s">
        <v>77</v>
      </c>
      <c r="B197" s="146" t="s">
        <v>1717</v>
      </c>
      <c r="C197" s="146"/>
      <c r="D197" s="147">
        <v>44823</v>
      </c>
      <c r="E197" s="148">
        <v>3499320</v>
      </c>
      <c r="F197" s="44">
        <f t="shared" si="10"/>
        <v>279945.59999999998</v>
      </c>
      <c r="G197" s="149">
        <f t="shared" si="9"/>
        <v>3779265.6</v>
      </c>
      <c r="H197" s="149">
        <v>3779265.6</v>
      </c>
      <c r="I197" s="150">
        <f t="shared" si="8"/>
        <v>0</v>
      </c>
      <c r="J197" s="151">
        <v>44829</v>
      </c>
    </row>
    <row r="198" spans="1:11" ht="21.75" hidden="1" customHeight="1" x14ac:dyDescent="0.35">
      <c r="A198" s="145" t="s">
        <v>1603</v>
      </c>
      <c r="B198" s="146" t="s">
        <v>1718</v>
      </c>
      <c r="C198" s="146"/>
      <c r="D198" s="147">
        <v>44830</v>
      </c>
      <c r="E198" s="148">
        <v>512000</v>
      </c>
      <c r="F198" s="44">
        <f t="shared" si="10"/>
        <v>40960</v>
      </c>
      <c r="G198" s="149">
        <f t="shared" si="9"/>
        <v>552960</v>
      </c>
      <c r="H198" s="149">
        <v>552960</v>
      </c>
      <c r="I198" s="150">
        <f t="shared" si="8"/>
        <v>0</v>
      </c>
      <c r="J198" s="151">
        <v>44849</v>
      </c>
      <c r="K198" s="157"/>
    </row>
    <row r="199" spans="1:11" ht="21.75" hidden="1" customHeight="1" x14ac:dyDescent="0.35">
      <c r="A199" s="145" t="s">
        <v>1709</v>
      </c>
      <c r="B199" s="146" t="s">
        <v>1719</v>
      </c>
      <c r="C199" s="146"/>
      <c r="D199" s="147">
        <v>44851</v>
      </c>
      <c r="E199" s="148">
        <v>64000</v>
      </c>
      <c r="F199" s="44">
        <f t="shared" si="10"/>
        <v>5120</v>
      </c>
      <c r="G199" s="149">
        <f t="shared" si="9"/>
        <v>69120</v>
      </c>
      <c r="H199" s="149">
        <v>69120</v>
      </c>
      <c r="I199" s="150">
        <f t="shared" ref="I199:I262" si="11">+G199-H199</f>
        <v>0</v>
      </c>
      <c r="J199" s="151">
        <v>44859</v>
      </c>
      <c r="K199" s="12"/>
    </row>
    <row r="200" spans="1:11" ht="21.75" hidden="1" customHeight="1" x14ac:dyDescent="0.35">
      <c r="A200" s="145" t="s">
        <v>1667</v>
      </c>
      <c r="B200" s="146" t="s">
        <v>1720</v>
      </c>
      <c r="C200" s="146"/>
      <c r="D200" s="147">
        <v>44841</v>
      </c>
      <c r="E200" s="148">
        <v>1176000</v>
      </c>
      <c r="F200" s="44">
        <f t="shared" si="10"/>
        <v>94080</v>
      </c>
      <c r="G200" s="149">
        <f t="shared" si="9"/>
        <v>1270080</v>
      </c>
      <c r="H200" s="149">
        <v>1270080</v>
      </c>
      <c r="I200" s="150">
        <f t="shared" si="11"/>
        <v>0</v>
      </c>
      <c r="J200" s="151">
        <v>44849</v>
      </c>
    </row>
    <row r="201" spans="1:11" ht="21.75" hidden="1" customHeight="1" x14ac:dyDescent="0.35">
      <c r="A201" s="145" t="s">
        <v>1657</v>
      </c>
      <c r="B201" s="146" t="s">
        <v>1721</v>
      </c>
      <c r="C201" s="146"/>
      <c r="D201" s="147">
        <v>44834</v>
      </c>
      <c r="E201" s="148">
        <v>512000</v>
      </c>
      <c r="F201" s="44">
        <f t="shared" si="10"/>
        <v>40960</v>
      </c>
      <c r="G201" s="149">
        <f t="shared" si="9"/>
        <v>552960</v>
      </c>
      <c r="H201" s="149">
        <v>552960</v>
      </c>
      <c r="I201" s="150">
        <f t="shared" si="11"/>
        <v>0</v>
      </c>
      <c r="J201" s="151">
        <v>44849</v>
      </c>
    </row>
    <row r="202" spans="1:11" ht="21.75" hidden="1" customHeight="1" x14ac:dyDescent="0.35">
      <c r="A202" s="145" t="s">
        <v>1626</v>
      </c>
      <c r="B202" s="146" t="s">
        <v>1722</v>
      </c>
      <c r="C202" s="146"/>
      <c r="D202" s="147">
        <v>44832</v>
      </c>
      <c r="E202" s="148">
        <v>192000</v>
      </c>
      <c r="F202" s="44">
        <f t="shared" si="10"/>
        <v>15360</v>
      </c>
      <c r="G202" s="149">
        <f t="shared" ref="G202:G265" si="12">+F202+E202</f>
        <v>207360</v>
      </c>
      <c r="H202" s="149">
        <v>207360</v>
      </c>
      <c r="I202" s="150">
        <f t="shared" si="11"/>
        <v>0</v>
      </c>
      <c r="J202" s="151">
        <v>44849</v>
      </c>
    </row>
    <row r="203" spans="1:11" ht="21.75" hidden="1" customHeight="1" x14ac:dyDescent="0.35">
      <c r="A203" s="145" t="s">
        <v>1723</v>
      </c>
      <c r="B203" s="146" t="s">
        <v>1724</v>
      </c>
      <c r="C203" s="146"/>
      <c r="D203" s="147">
        <v>44851</v>
      </c>
      <c r="E203" s="148">
        <v>1360000</v>
      </c>
      <c r="F203" s="44">
        <f t="shared" si="10"/>
        <v>108800</v>
      </c>
      <c r="G203" s="149">
        <f t="shared" si="12"/>
        <v>1468800</v>
      </c>
      <c r="H203" s="149">
        <v>1468800</v>
      </c>
      <c r="I203" s="150">
        <f t="shared" si="11"/>
        <v>0</v>
      </c>
      <c r="J203" s="151">
        <v>44859</v>
      </c>
    </row>
    <row r="204" spans="1:11" ht="21.75" hidden="1" customHeight="1" x14ac:dyDescent="0.35">
      <c r="A204" s="145" t="s">
        <v>1725</v>
      </c>
      <c r="B204" s="146" t="s">
        <v>1726</v>
      </c>
      <c r="C204" s="146"/>
      <c r="D204" s="147">
        <v>44852</v>
      </c>
      <c r="E204" s="148">
        <v>402000</v>
      </c>
      <c r="F204" s="44">
        <f t="shared" si="10"/>
        <v>32160</v>
      </c>
      <c r="G204" s="149">
        <f t="shared" si="12"/>
        <v>434160</v>
      </c>
      <c r="H204" s="149">
        <v>434160</v>
      </c>
      <c r="I204" s="150">
        <f t="shared" si="11"/>
        <v>0</v>
      </c>
      <c r="J204" s="151">
        <v>44859</v>
      </c>
    </row>
    <row r="205" spans="1:11" ht="21.75" hidden="1" customHeight="1" x14ac:dyDescent="0.35">
      <c r="A205" s="145" t="s">
        <v>1727</v>
      </c>
      <c r="B205" s="146" t="s">
        <v>1728</v>
      </c>
      <c r="C205" s="146"/>
      <c r="D205" s="147">
        <v>44862</v>
      </c>
      <c r="E205" s="148">
        <v>1056000</v>
      </c>
      <c r="F205" s="44">
        <f t="shared" si="10"/>
        <v>84480</v>
      </c>
      <c r="G205" s="149">
        <f t="shared" si="12"/>
        <v>1140480</v>
      </c>
      <c r="H205" s="149">
        <v>1140480</v>
      </c>
      <c r="I205" s="150">
        <f t="shared" si="11"/>
        <v>0</v>
      </c>
      <c r="J205" s="151">
        <v>44880</v>
      </c>
    </row>
    <row r="206" spans="1:11" ht="21.75" hidden="1" customHeight="1" x14ac:dyDescent="0.35">
      <c r="A206" s="145" t="s">
        <v>1386</v>
      </c>
      <c r="B206" s="146" t="s">
        <v>1729</v>
      </c>
      <c r="C206" s="146"/>
      <c r="D206" s="147">
        <v>44860</v>
      </c>
      <c r="E206" s="148">
        <v>576000</v>
      </c>
      <c r="F206" s="44">
        <f t="shared" si="10"/>
        <v>46080</v>
      </c>
      <c r="G206" s="149">
        <f t="shared" si="12"/>
        <v>622080</v>
      </c>
      <c r="H206" s="149">
        <v>622080</v>
      </c>
      <c r="I206" s="150">
        <f t="shared" si="11"/>
        <v>0</v>
      </c>
      <c r="J206" s="151">
        <v>44880</v>
      </c>
    </row>
    <row r="207" spans="1:11" ht="21.75" hidden="1" customHeight="1" x14ac:dyDescent="0.35">
      <c r="A207" s="145" t="s">
        <v>1730</v>
      </c>
      <c r="B207" s="146" t="s">
        <v>1731</v>
      </c>
      <c r="C207" s="146"/>
      <c r="D207" s="147">
        <v>44862</v>
      </c>
      <c r="E207" s="148">
        <v>1928000</v>
      </c>
      <c r="F207" s="44">
        <f t="shared" si="10"/>
        <v>154240</v>
      </c>
      <c r="G207" s="149">
        <f t="shared" si="12"/>
        <v>2082240</v>
      </c>
      <c r="H207" s="149">
        <v>2082240</v>
      </c>
      <c r="I207" s="150">
        <f t="shared" si="11"/>
        <v>0</v>
      </c>
      <c r="J207" s="151">
        <v>44880</v>
      </c>
    </row>
    <row r="208" spans="1:11" ht="21.75" hidden="1" customHeight="1" x14ac:dyDescent="0.35">
      <c r="A208" s="145" t="s">
        <v>1655</v>
      </c>
      <c r="B208" s="146" t="s">
        <v>1732</v>
      </c>
      <c r="C208" s="146"/>
      <c r="D208" s="147">
        <v>44862</v>
      </c>
      <c r="E208" s="148">
        <v>352000</v>
      </c>
      <c r="F208" s="44">
        <f t="shared" si="10"/>
        <v>28160</v>
      </c>
      <c r="G208" s="149">
        <f t="shared" si="12"/>
        <v>380160</v>
      </c>
      <c r="H208" s="149">
        <v>380160</v>
      </c>
      <c r="I208" s="150">
        <f t="shared" si="11"/>
        <v>0</v>
      </c>
      <c r="J208" s="151">
        <v>44880</v>
      </c>
    </row>
    <row r="209" spans="1:11" ht="21.75" hidden="1" customHeight="1" x14ac:dyDescent="0.35">
      <c r="A209" s="145" t="s">
        <v>1418</v>
      </c>
      <c r="B209" s="146" t="s">
        <v>1733</v>
      </c>
      <c r="C209" s="146"/>
      <c r="D209" s="147">
        <v>44865</v>
      </c>
      <c r="E209" s="148">
        <v>760000</v>
      </c>
      <c r="F209" s="44">
        <f t="shared" si="10"/>
        <v>60800</v>
      </c>
      <c r="G209" s="149">
        <f t="shared" si="12"/>
        <v>820800</v>
      </c>
      <c r="H209" s="149">
        <v>820800</v>
      </c>
      <c r="I209" s="150">
        <f t="shared" si="11"/>
        <v>0</v>
      </c>
      <c r="J209" s="151">
        <v>44880</v>
      </c>
    </row>
    <row r="210" spans="1:11" ht="21.75" hidden="1" customHeight="1" x14ac:dyDescent="0.35">
      <c r="A210" s="145" t="s">
        <v>1709</v>
      </c>
      <c r="B210" s="146" t="s">
        <v>1734</v>
      </c>
      <c r="C210" s="146"/>
      <c r="D210" s="147">
        <v>44865</v>
      </c>
      <c r="E210" s="148">
        <v>520000</v>
      </c>
      <c r="F210" s="44">
        <f t="shared" si="10"/>
        <v>41600</v>
      </c>
      <c r="G210" s="149">
        <f t="shared" si="12"/>
        <v>561600</v>
      </c>
      <c r="H210" s="149">
        <v>561600</v>
      </c>
      <c r="I210" s="150">
        <f t="shared" si="11"/>
        <v>0</v>
      </c>
      <c r="J210" s="151">
        <v>44880</v>
      </c>
    </row>
    <row r="211" spans="1:11" ht="21.75" hidden="1" customHeight="1" x14ac:dyDescent="0.35">
      <c r="A211" s="145" t="s">
        <v>1735</v>
      </c>
      <c r="B211" s="146" t="s">
        <v>1736</v>
      </c>
      <c r="C211" s="146"/>
      <c r="D211" s="147">
        <v>44890</v>
      </c>
      <c r="E211" s="148">
        <v>2296000</v>
      </c>
      <c r="F211" s="44">
        <f t="shared" si="10"/>
        <v>183680</v>
      </c>
      <c r="G211" s="149">
        <f t="shared" si="12"/>
        <v>2479680</v>
      </c>
      <c r="H211" s="149">
        <v>2479680</v>
      </c>
      <c r="I211" s="150">
        <f t="shared" si="11"/>
        <v>0</v>
      </c>
      <c r="J211" s="151">
        <v>44910</v>
      </c>
    </row>
    <row r="212" spans="1:11" ht="21.75" hidden="1" customHeight="1" x14ac:dyDescent="0.35">
      <c r="A212" s="145" t="s">
        <v>1683</v>
      </c>
      <c r="B212" s="146" t="s">
        <v>1737</v>
      </c>
      <c r="C212" s="146"/>
      <c r="D212" s="147">
        <v>44886</v>
      </c>
      <c r="E212" s="148">
        <v>10516962</v>
      </c>
      <c r="F212" s="44">
        <f t="shared" si="10"/>
        <v>841356.96</v>
      </c>
      <c r="G212" s="149">
        <f t="shared" si="12"/>
        <v>11358318.960000001</v>
      </c>
      <c r="H212" s="149">
        <v>11358318.960000001</v>
      </c>
      <c r="I212" s="150">
        <f t="shared" si="11"/>
        <v>0</v>
      </c>
      <c r="J212" s="151">
        <v>44890</v>
      </c>
    </row>
    <row r="213" spans="1:11" ht="21.75" hidden="1" customHeight="1" x14ac:dyDescent="0.35">
      <c r="A213" s="145" t="s">
        <v>1630</v>
      </c>
      <c r="B213" s="146" t="s">
        <v>1738</v>
      </c>
      <c r="C213" s="146"/>
      <c r="D213" s="147">
        <v>44880</v>
      </c>
      <c r="E213" s="148">
        <v>128000</v>
      </c>
      <c r="F213" s="44">
        <f t="shared" si="10"/>
        <v>10240</v>
      </c>
      <c r="G213" s="149">
        <f t="shared" si="12"/>
        <v>138240</v>
      </c>
      <c r="H213" s="149">
        <v>138240</v>
      </c>
      <c r="I213" s="150">
        <f t="shared" si="11"/>
        <v>0</v>
      </c>
      <c r="J213" s="151">
        <v>44890</v>
      </c>
    </row>
    <row r="214" spans="1:11" ht="21.75" hidden="1" customHeight="1" x14ac:dyDescent="0.35">
      <c r="A214" s="145" t="s">
        <v>1739</v>
      </c>
      <c r="B214" s="146" t="s">
        <v>1740</v>
      </c>
      <c r="C214" s="146"/>
      <c r="D214" s="147">
        <v>44895</v>
      </c>
      <c r="E214" s="148">
        <v>288000</v>
      </c>
      <c r="F214" s="44">
        <f t="shared" si="10"/>
        <v>23040</v>
      </c>
      <c r="G214" s="149">
        <f t="shared" si="12"/>
        <v>311040</v>
      </c>
      <c r="H214" s="149">
        <v>311040</v>
      </c>
      <c r="I214" s="150">
        <f t="shared" si="11"/>
        <v>0</v>
      </c>
      <c r="J214" s="151">
        <v>44910</v>
      </c>
    </row>
    <row r="215" spans="1:11" ht="21.75" hidden="1" customHeight="1" x14ac:dyDescent="0.35">
      <c r="A215" s="145" t="s">
        <v>1741</v>
      </c>
      <c r="B215" s="146" t="s">
        <v>1742</v>
      </c>
      <c r="C215" s="146"/>
      <c r="D215" s="147">
        <v>44882</v>
      </c>
      <c r="E215" s="148">
        <v>416000</v>
      </c>
      <c r="F215" s="44">
        <f t="shared" ref="F215:F231" si="13">E215*0.08</f>
        <v>33280</v>
      </c>
      <c r="G215" s="149">
        <f t="shared" si="12"/>
        <v>449280</v>
      </c>
      <c r="H215" s="149">
        <v>449280</v>
      </c>
      <c r="I215" s="150">
        <f t="shared" si="11"/>
        <v>0</v>
      </c>
      <c r="J215" s="151">
        <v>44890</v>
      </c>
    </row>
    <row r="216" spans="1:11" ht="21.75" hidden="1" customHeight="1" x14ac:dyDescent="0.35">
      <c r="A216" s="145" t="s">
        <v>1406</v>
      </c>
      <c r="B216" s="146" t="s">
        <v>1743</v>
      </c>
      <c r="C216" s="146"/>
      <c r="D216" s="147">
        <v>44893</v>
      </c>
      <c r="E216" s="148">
        <v>320000</v>
      </c>
      <c r="F216" s="44">
        <f t="shared" si="13"/>
        <v>25600</v>
      </c>
      <c r="G216" s="149">
        <f t="shared" si="12"/>
        <v>345600</v>
      </c>
      <c r="H216" s="149">
        <v>345600</v>
      </c>
      <c r="I216" s="150">
        <f t="shared" si="11"/>
        <v>0</v>
      </c>
      <c r="J216" s="151">
        <v>44910</v>
      </c>
    </row>
    <row r="217" spans="1:11" ht="21.75" hidden="1" customHeight="1" x14ac:dyDescent="0.35">
      <c r="A217" s="145" t="s">
        <v>1630</v>
      </c>
      <c r="B217" s="146" t="s">
        <v>1744</v>
      </c>
      <c r="C217" s="146"/>
      <c r="D217" s="147">
        <v>44880</v>
      </c>
      <c r="E217" s="148">
        <v>128000</v>
      </c>
      <c r="F217" s="44">
        <f t="shared" si="13"/>
        <v>10240</v>
      </c>
      <c r="G217" s="149">
        <f t="shared" si="12"/>
        <v>138240</v>
      </c>
      <c r="H217" s="149">
        <v>138240</v>
      </c>
      <c r="I217" s="150">
        <f t="shared" si="11"/>
        <v>0</v>
      </c>
      <c r="J217" s="151">
        <v>44890</v>
      </c>
    </row>
    <row r="218" spans="1:11" ht="21.75" hidden="1" customHeight="1" x14ac:dyDescent="0.35">
      <c r="A218" s="145" t="s">
        <v>1745</v>
      </c>
      <c r="B218" s="146" t="s">
        <v>1746</v>
      </c>
      <c r="C218" s="146"/>
      <c r="D218" s="147">
        <v>44921</v>
      </c>
      <c r="E218" s="148">
        <v>990000</v>
      </c>
      <c r="F218" s="44">
        <f t="shared" si="13"/>
        <v>79200</v>
      </c>
      <c r="G218" s="149">
        <f>+F218+E218</f>
        <v>1069200</v>
      </c>
      <c r="H218" s="149">
        <v>1069200</v>
      </c>
      <c r="I218" s="150">
        <f t="shared" si="11"/>
        <v>0</v>
      </c>
      <c r="J218" s="151">
        <v>45000</v>
      </c>
      <c r="K218" s="3" t="s">
        <v>293</v>
      </c>
    </row>
    <row r="219" spans="1:11" ht="21.75" hidden="1" customHeight="1" x14ac:dyDescent="0.35">
      <c r="A219" s="145" t="s">
        <v>1747</v>
      </c>
      <c r="B219" s="146" t="s">
        <v>1748</v>
      </c>
      <c r="C219" s="146"/>
      <c r="D219" s="147">
        <v>44925</v>
      </c>
      <c r="E219" s="148">
        <v>2812900</v>
      </c>
      <c r="F219" s="44">
        <f t="shared" si="13"/>
        <v>225032</v>
      </c>
      <c r="G219" s="149">
        <f t="shared" si="12"/>
        <v>3037932</v>
      </c>
      <c r="H219" s="149">
        <v>3037932</v>
      </c>
      <c r="I219" s="150">
        <f t="shared" si="11"/>
        <v>0</v>
      </c>
      <c r="J219" s="151">
        <v>45000</v>
      </c>
      <c r="K219" s="3" t="s">
        <v>293</v>
      </c>
    </row>
    <row r="220" spans="1:11" ht="21.75" hidden="1" customHeight="1" x14ac:dyDescent="0.35">
      <c r="A220" s="145" t="s">
        <v>1749</v>
      </c>
      <c r="B220" s="155" t="s">
        <v>1750</v>
      </c>
      <c r="C220" s="155"/>
      <c r="D220" s="147">
        <v>44964</v>
      </c>
      <c r="E220" s="148">
        <v>16799800</v>
      </c>
      <c r="F220" s="44">
        <f t="shared" ref="F220:F229" si="14">+E220*0.1</f>
        <v>1679980</v>
      </c>
      <c r="G220" s="149">
        <f t="shared" si="12"/>
        <v>18479780</v>
      </c>
      <c r="H220" s="149">
        <v>18479780</v>
      </c>
      <c r="I220" s="150">
        <f t="shared" si="11"/>
        <v>0</v>
      </c>
      <c r="J220" s="151">
        <v>45000</v>
      </c>
    </row>
    <row r="221" spans="1:11" ht="21.75" hidden="1" customHeight="1" x14ac:dyDescent="0.35">
      <c r="A221" s="145" t="s">
        <v>1751</v>
      </c>
      <c r="B221" s="155" t="s">
        <v>1752</v>
      </c>
      <c r="C221" s="155"/>
      <c r="D221" s="147">
        <v>44957</v>
      </c>
      <c r="E221" s="148">
        <v>16306000</v>
      </c>
      <c r="F221" s="44">
        <f t="shared" si="14"/>
        <v>1630600</v>
      </c>
      <c r="G221" s="149">
        <f t="shared" si="12"/>
        <v>17936600</v>
      </c>
      <c r="H221" s="149">
        <v>17936600</v>
      </c>
      <c r="I221" s="150">
        <f t="shared" si="11"/>
        <v>0</v>
      </c>
      <c r="J221" s="151">
        <v>45000</v>
      </c>
    </row>
    <row r="222" spans="1:11" ht="21.75" hidden="1" customHeight="1" x14ac:dyDescent="0.35">
      <c r="A222" s="145" t="s">
        <v>1753</v>
      </c>
      <c r="B222" s="155" t="s">
        <v>1754</v>
      </c>
      <c r="C222" s="155"/>
      <c r="D222" s="147">
        <v>44957</v>
      </c>
      <c r="E222" s="148">
        <v>13399500</v>
      </c>
      <c r="F222" s="44">
        <f t="shared" si="14"/>
        <v>1339950</v>
      </c>
      <c r="G222" s="149">
        <f t="shared" si="12"/>
        <v>14739450</v>
      </c>
      <c r="H222" s="149">
        <v>14739450</v>
      </c>
      <c r="I222" s="150">
        <f t="shared" si="11"/>
        <v>0</v>
      </c>
      <c r="J222" s="151">
        <v>45000</v>
      </c>
    </row>
    <row r="223" spans="1:11" ht="21.75" hidden="1" customHeight="1" x14ac:dyDescent="0.35">
      <c r="A223" s="145" t="s">
        <v>1755</v>
      </c>
      <c r="B223" s="155" t="s">
        <v>1756</v>
      </c>
      <c r="C223" s="155"/>
      <c r="D223" s="147">
        <v>44953</v>
      </c>
      <c r="E223" s="148">
        <v>560000</v>
      </c>
      <c r="F223" s="44">
        <f t="shared" si="14"/>
        <v>56000</v>
      </c>
      <c r="G223" s="149">
        <f t="shared" si="12"/>
        <v>616000</v>
      </c>
      <c r="H223" s="149">
        <v>616000</v>
      </c>
      <c r="I223" s="150">
        <f t="shared" si="11"/>
        <v>0</v>
      </c>
      <c r="J223" s="151">
        <v>45000</v>
      </c>
    </row>
    <row r="224" spans="1:11" ht="21.75" hidden="1" customHeight="1" x14ac:dyDescent="0.35">
      <c r="A224" s="145" t="s">
        <v>1757</v>
      </c>
      <c r="B224" s="155" t="s">
        <v>1758</v>
      </c>
      <c r="C224" s="155"/>
      <c r="D224" s="147">
        <v>44964</v>
      </c>
      <c r="E224" s="148">
        <v>19825400</v>
      </c>
      <c r="F224" s="44">
        <f t="shared" si="14"/>
        <v>1982540</v>
      </c>
      <c r="G224" s="149">
        <f t="shared" si="12"/>
        <v>21807940</v>
      </c>
      <c r="H224" s="149">
        <v>21807940</v>
      </c>
      <c r="I224" s="150">
        <f t="shared" si="11"/>
        <v>0</v>
      </c>
      <c r="J224" s="151">
        <v>45000</v>
      </c>
    </row>
    <row r="225" spans="1:11" ht="21.75" hidden="1" customHeight="1" x14ac:dyDescent="0.35">
      <c r="A225" s="145" t="s">
        <v>1375</v>
      </c>
      <c r="B225" s="155" t="s">
        <v>1759</v>
      </c>
      <c r="C225" s="155"/>
      <c r="D225" s="147">
        <v>44964</v>
      </c>
      <c r="E225" s="148">
        <v>9995600</v>
      </c>
      <c r="F225" s="44">
        <f t="shared" si="14"/>
        <v>999560</v>
      </c>
      <c r="G225" s="149">
        <f t="shared" si="12"/>
        <v>10995160</v>
      </c>
      <c r="H225" s="149">
        <v>10995160</v>
      </c>
      <c r="I225" s="150">
        <f t="shared" si="11"/>
        <v>0</v>
      </c>
      <c r="J225" s="151">
        <v>45000</v>
      </c>
    </row>
    <row r="226" spans="1:11" ht="21.75" hidden="1" customHeight="1" x14ac:dyDescent="0.35">
      <c r="A226" s="145" t="s">
        <v>1760</v>
      </c>
      <c r="B226" s="155" t="s">
        <v>1761</v>
      </c>
      <c r="C226" s="155"/>
      <c r="D226" s="147">
        <v>44964</v>
      </c>
      <c r="E226" s="148">
        <v>4550500</v>
      </c>
      <c r="F226" s="44">
        <f t="shared" si="14"/>
        <v>455050</v>
      </c>
      <c r="G226" s="149">
        <f t="shared" si="12"/>
        <v>5005550</v>
      </c>
      <c r="H226" s="149">
        <v>5005550</v>
      </c>
      <c r="I226" s="150">
        <f t="shared" si="11"/>
        <v>0</v>
      </c>
      <c r="J226" s="151">
        <v>45000</v>
      </c>
    </row>
    <row r="227" spans="1:11" ht="21.75" hidden="1" customHeight="1" x14ac:dyDescent="0.35">
      <c r="A227" s="145" t="s">
        <v>1690</v>
      </c>
      <c r="B227" s="155" t="s">
        <v>1762</v>
      </c>
      <c r="C227" s="155"/>
      <c r="D227" s="147">
        <v>44957</v>
      </c>
      <c r="E227" s="148">
        <v>832000</v>
      </c>
      <c r="F227" s="44">
        <f t="shared" si="14"/>
        <v>83200</v>
      </c>
      <c r="G227" s="149">
        <f t="shared" si="12"/>
        <v>915200</v>
      </c>
      <c r="H227" s="149">
        <v>915200</v>
      </c>
      <c r="I227" s="150">
        <f t="shared" si="11"/>
        <v>0</v>
      </c>
      <c r="J227" s="151">
        <v>45000</v>
      </c>
    </row>
    <row r="228" spans="1:11" ht="21.75" hidden="1" customHeight="1" x14ac:dyDescent="0.35">
      <c r="A228" s="145" t="s">
        <v>1763</v>
      </c>
      <c r="B228" s="155" t="s">
        <v>1764</v>
      </c>
      <c r="C228" s="155"/>
      <c r="D228" s="147">
        <v>44953</v>
      </c>
      <c r="E228" s="148">
        <v>1001000</v>
      </c>
      <c r="F228" s="44">
        <f t="shared" si="14"/>
        <v>100100</v>
      </c>
      <c r="G228" s="149">
        <f t="shared" si="12"/>
        <v>1101100</v>
      </c>
      <c r="H228" s="149">
        <v>1101100</v>
      </c>
      <c r="I228" s="150">
        <f t="shared" si="11"/>
        <v>0</v>
      </c>
      <c r="J228" s="151">
        <v>45000</v>
      </c>
    </row>
    <row r="229" spans="1:11" ht="21.75" hidden="1" customHeight="1" x14ac:dyDescent="0.35">
      <c r="A229" s="145" t="s">
        <v>1765</v>
      </c>
      <c r="B229" s="155" t="s">
        <v>1766</v>
      </c>
      <c r="C229" s="155"/>
      <c r="D229" s="147">
        <v>44935</v>
      </c>
      <c r="E229" s="148">
        <v>1087258782</v>
      </c>
      <c r="F229" s="44">
        <f t="shared" si="14"/>
        <v>108725878.2</v>
      </c>
      <c r="G229" s="149">
        <f t="shared" si="12"/>
        <v>1195984660.2</v>
      </c>
      <c r="H229" s="149">
        <v>1195984660.2</v>
      </c>
      <c r="I229" s="150">
        <f t="shared" si="11"/>
        <v>0</v>
      </c>
      <c r="J229" s="151">
        <v>45000</v>
      </c>
    </row>
    <row r="230" spans="1:11" ht="21.75" hidden="1" customHeight="1" x14ac:dyDescent="0.35">
      <c r="A230" s="145" t="s">
        <v>1624</v>
      </c>
      <c r="B230" s="146" t="s">
        <v>1767</v>
      </c>
      <c r="C230" s="146"/>
      <c r="D230" s="147">
        <v>44910</v>
      </c>
      <c r="E230" s="148">
        <v>288000</v>
      </c>
      <c r="F230" s="44">
        <f t="shared" si="13"/>
        <v>23040</v>
      </c>
      <c r="G230" s="149">
        <f t="shared" si="12"/>
        <v>311040</v>
      </c>
      <c r="H230" s="149">
        <v>311040</v>
      </c>
      <c r="I230" s="150">
        <f t="shared" si="11"/>
        <v>0</v>
      </c>
      <c r="J230" s="151">
        <v>45000</v>
      </c>
      <c r="K230" s="3" t="s">
        <v>293</v>
      </c>
    </row>
    <row r="231" spans="1:11" ht="21.75" hidden="1" customHeight="1" x14ac:dyDescent="0.35">
      <c r="A231" s="145" t="s">
        <v>1367</v>
      </c>
      <c r="B231" s="146" t="s">
        <v>1768</v>
      </c>
      <c r="C231" s="146"/>
      <c r="D231" s="147">
        <v>44925</v>
      </c>
      <c r="E231" s="148">
        <v>224000</v>
      </c>
      <c r="F231" s="44">
        <f t="shared" si="13"/>
        <v>17920</v>
      </c>
      <c r="G231" s="149">
        <f t="shared" si="12"/>
        <v>241920</v>
      </c>
      <c r="H231" s="149">
        <v>241920</v>
      </c>
      <c r="I231" s="150">
        <f t="shared" si="11"/>
        <v>0</v>
      </c>
      <c r="J231" s="151">
        <v>45000</v>
      </c>
      <c r="K231" s="3" t="s">
        <v>293</v>
      </c>
    </row>
    <row r="232" spans="1:11" ht="21.75" hidden="1" customHeight="1" x14ac:dyDescent="0.35">
      <c r="A232" s="145" t="s">
        <v>1769</v>
      </c>
      <c r="B232" s="155" t="s">
        <v>1770</v>
      </c>
      <c r="C232" s="155"/>
      <c r="D232" s="147">
        <v>44964</v>
      </c>
      <c r="E232" s="148">
        <v>1248000</v>
      </c>
      <c r="F232" s="44">
        <f>+E232*0.1</f>
        <v>124800</v>
      </c>
      <c r="G232" s="149">
        <f t="shared" si="12"/>
        <v>1372800</v>
      </c>
      <c r="H232" s="149">
        <v>1372800</v>
      </c>
      <c r="I232" s="150">
        <f t="shared" si="11"/>
        <v>0</v>
      </c>
      <c r="J232" s="151">
        <v>45000</v>
      </c>
    </row>
    <row r="233" spans="1:11" ht="21.75" hidden="1" customHeight="1" x14ac:dyDescent="0.35">
      <c r="A233" s="145" t="s">
        <v>1771</v>
      </c>
      <c r="B233" s="146" t="s">
        <v>1772</v>
      </c>
      <c r="C233" s="146"/>
      <c r="D233" s="147">
        <v>44966</v>
      </c>
      <c r="E233" s="148">
        <v>11760482</v>
      </c>
      <c r="F233" s="44">
        <f t="shared" ref="F233:F297" si="15">+E233*0.1</f>
        <v>1176048.2</v>
      </c>
      <c r="G233" s="149">
        <f t="shared" si="12"/>
        <v>12936530.199999999</v>
      </c>
      <c r="H233" s="149">
        <v>12936530.199999999</v>
      </c>
      <c r="I233" s="150">
        <f t="shared" si="11"/>
        <v>0</v>
      </c>
      <c r="J233" s="151">
        <v>45000</v>
      </c>
    </row>
    <row r="234" spans="1:11" ht="21.75" hidden="1" customHeight="1" x14ac:dyDescent="0.35">
      <c r="A234" s="145" t="s">
        <v>1657</v>
      </c>
      <c r="B234" s="155" t="s">
        <v>1773</v>
      </c>
      <c r="C234" s="155"/>
      <c r="D234" s="147">
        <v>44972</v>
      </c>
      <c r="E234" s="148">
        <v>13123800</v>
      </c>
      <c r="F234" s="44">
        <f t="shared" si="15"/>
        <v>1312380</v>
      </c>
      <c r="G234" s="149">
        <f t="shared" si="12"/>
        <v>14436180</v>
      </c>
      <c r="H234" s="149">
        <v>14436180</v>
      </c>
      <c r="I234" s="150">
        <f t="shared" si="11"/>
        <v>0</v>
      </c>
      <c r="J234" s="151">
        <v>45000</v>
      </c>
    </row>
    <row r="235" spans="1:11" ht="21.75" hidden="1" customHeight="1" x14ac:dyDescent="0.35">
      <c r="A235" s="145" t="s">
        <v>1774</v>
      </c>
      <c r="B235" s="155" t="s">
        <v>1775</v>
      </c>
      <c r="C235" s="155"/>
      <c r="D235" s="147">
        <v>44972</v>
      </c>
      <c r="E235" s="148">
        <v>10385000</v>
      </c>
      <c r="F235" s="44">
        <f t="shared" si="15"/>
        <v>1038500</v>
      </c>
      <c r="G235" s="149">
        <f t="shared" si="12"/>
        <v>11423500</v>
      </c>
      <c r="H235" s="149">
        <v>11423500</v>
      </c>
      <c r="I235" s="150">
        <f t="shared" si="11"/>
        <v>0</v>
      </c>
      <c r="J235" s="151">
        <v>45000</v>
      </c>
    </row>
    <row r="236" spans="1:11" ht="21.75" hidden="1" customHeight="1" x14ac:dyDescent="0.35">
      <c r="A236" s="145" t="s">
        <v>1776</v>
      </c>
      <c r="B236" s="155" t="s">
        <v>1777</v>
      </c>
      <c r="C236" s="155"/>
      <c r="D236" s="147">
        <v>44972</v>
      </c>
      <c r="E236" s="148">
        <v>1485000</v>
      </c>
      <c r="F236" s="44">
        <f t="shared" si="15"/>
        <v>148500</v>
      </c>
      <c r="G236" s="149">
        <f t="shared" si="12"/>
        <v>1633500</v>
      </c>
      <c r="H236" s="149">
        <v>1633500</v>
      </c>
      <c r="I236" s="150">
        <f t="shared" si="11"/>
        <v>0</v>
      </c>
      <c r="J236" s="151">
        <v>45000</v>
      </c>
    </row>
    <row r="237" spans="1:11" ht="21.75" hidden="1" customHeight="1" x14ac:dyDescent="0.35">
      <c r="A237" s="145" t="s">
        <v>1778</v>
      </c>
      <c r="B237" s="155" t="s">
        <v>1779</v>
      </c>
      <c r="C237" s="155"/>
      <c r="D237" s="147">
        <v>44972</v>
      </c>
      <c r="E237" s="148">
        <v>11880000</v>
      </c>
      <c r="F237" s="44">
        <f t="shared" si="15"/>
        <v>1188000</v>
      </c>
      <c r="G237" s="149">
        <f t="shared" si="12"/>
        <v>13068000</v>
      </c>
      <c r="H237" s="149">
        <v>13068000</v>
      </c>
      <c r="I237" s="150">
        <f t="shared" si="11"/>
        <v>0</v>
      </c>
      <c r="J237" s="151">
        <v>45000</v>
      </c>
    </row>
    <row r="238" spans="1:11" ht="21.75" hidden="1" customHeight="1" x14ac:dyDescent="0.35">
      <c r="A238" s="145" t="s">
        <v>1690</v>
      </c>
      <c r="B238" s="155" t="s">
        <v>1780</v>
      </c>
      <c r="C238" s="155"/>
      <c r="D238" s="147">
        <v>44972</v>
      </c>
      <c r="E238" s="148">
        <v>7811800</v>
      </c>
      <c r="F238" s="44">
        <f t="shared" si="15"/>
        <v>781180</v>
      </c>
      <c r="G238" s="149">
        <f t="shared" si="12"/>
        <v>8592980</v>
      </c>
      <c r="H238" s="149">
        <v>8592980</v>
      </c>
      <c r="I238" s="150">
        <f t="shared" si="11"/>
        <v>0</v>
      </c>
      <c r="J238" s="151">
        <v>45000</v>
      </c>
    </row>
    <row r="239" spans="1:11" ht="21.75" hidden="1" customHeight="1" x14ac:dyDescent="0.35">
      <c r="A239" s="145" t="s">
        <v>1781</v>
      </c>
      <c r="B239" s="155" t="s">
        <v>1782</v>
      </c>
      <c r="C239" s="155"/>
      <c r="D239" s="147">
        <v>44967</v>
      </c>
      <c r="E239" s="148">
        <v>56390978</v>
      </c>
      <c r="F239" s="44">
        <f t="shared" si="15"/>
        <v>5639097.8000000007</v>
      </c>
      <c r="G239" s="149">
        <f t="shared" si="12"/>
        <v>62030075.799999997</v>
      </c>
      <c r="H239" s="149">
        <v>62030075.799999997</v>
      </c>
      <c r="I239" s="150">
        <f t="shared" si="11"/>
        <v>0</v>
      </c>
      <c r="J239" s="151">
        <v>45000</v>
      </c>
    </row>
    <row r="240" spans="1:11" ht="21.75" hidden="1" customHeight="1" x14ac:dyDescent="0.35">
      <c r="A240" s="145" t="s">
        <v>1783</v>
      </c>
      <c r="B240" s="155" t="s">
        <v>1784</v>
      </c>
      <c r="C240" s="155"/>
      <c r="D240" s="147">
        <v>44972</v>
      </c>
      <c r="E240" s="148">
        <v>44340800</v>
      </c>
      <c r="F240" s="44">
        <f t="shared" si="15"/>
        <v>4434080</v>
      </c>
      <c r="G240" s="149">
        <f t="shared" si="12"/>
        <v>48774880</v>
      </c>
      <c r="H240" s="149">
        <v>48774880</v>
      </c>
      <c r="I240" s="150">
        <f t="shared" si="11"/>
        <v>0</v>
      </c>
      <c r="J240" s="151">
        <v>45000</v>
      </c>
    </row>
    <row r="241" spans="1:10" ht="21.75" hidden="1" customHeight="1" x14ac:dyDescent="0.35">
      <c r="A241" s="145" t="s">
        <v>1785</v>
      </c>
      <c r="B241" s="155" t="s">
        <v>1786</v>
      </c>
      <c r="C241" s="155"/>
      <c r="D241" s="147">
        <v>44972</v>
      </c>
      <c r="E241" s="148">
        <v>4080000</v>
      </c>
      <c r="F241" s="44">
        <f t="shared" si="15"/>
        <v>408000</v>
      </c>
      <c r="G241" s="149">
        <f t="shared" si="12"/>
        <v>4488000</v>
      </c>
      <c r="H241" s="149">
        <v>4488000</v>
      </c>
      <c r="I241" s="150">
        <f t="shared" si="11"/>
        <v>0</v>
      </c>
      <c r="J241" s="151">
        <v>45000</v>
      </c>
    </row>
    <row r="242" spans="1:10" ht="21.75" hidden="1" customHeight="1" x14ac:dyDescent="0.35">
      <c r="A242" s="145" t="s">
        <v>1787</v>
      </c>
      <c r="B242" s="155" t="s">
        <v>1788</v>
      </c>
      <c r="C242" s="155"/>
      <c r="D242" s="147">
        <v>44972</v>
      </c>
      <c r="E242" s="148">
        <v>30506100</v>
      </c>
      <c r="F242" s="44">
        <f t="shared" si="15"/>
        <v>3050610</v>
      </c>
      <c r="G242" s="149">
        <f t="shared" si="12"/>
        <v>33556710</v>
      </c>
      <c r="H242" s="149">
        <v>33556710</v>
      </c>
      <c r="I242" s="150">
        <f t="shared" si="11"/>
        <v>0</v>
      </c>
      <c r="J242" s="151">
        <v>45000</v>
      </c>
    </row>
    <row r="243" spans="1:10" ht="21.75" hidden="1" customHeight="1" x14ac:dyDescent="0.35">
      <c r="A243" s="145" t="s">
        <v>1789</v>
      </c>
      <c r="B243" s="155" t="s">
        <v>1790</v>
      </c>
      <c r="C243" s="155"/>
      <c r="D243" s="147">
        <v>44972</v>
      </c>
      <c r="E243" s="148">
        <v>30021800</v>
      </c>
      <c r="F243" s="44">
        <f t="shared" si="15"/>
        <v>3002180</v>
      </c>
      <c r="G243" s="149">
        <f t="shared" si="12"/>
        <v>33023980</v>
      </c>
      <c r="H243" s="149">
        <v>33023980</v>
      </c>
      <c r="I243" s="150">
        <f t="shared" si="11"/>
        <v>0</v>
      </c>
      <c r="J243" s="151">
        <v>45000</v>
      </c>
    </row>
    <row r="244" spans="1:10" ht="21.75" hidden="1" customHeight="1" x14ac:dyDescent="0.35">
      <c r="A244" s="145" t="s">
        <v>1648</v>
      </c>
      <c r="B244" s="155" t="s">
        <v>1791</v>
      </c>
      <c r="C244" s="155"/>
      <c r="D244" s="147">
        <v>44972</v>
      </c>
      <c r="E244" s="148">
        <v>1339000</v>
      </c>
      <c r="F244" s="44">
        <f t="shared" si="15"/>
        <v>133900</v>
      </c>
      <c r="G244" s="149">
        <f t="shared" si="12"/>
        <v>1472900</v>
      </c>
      <c r="H244" s="149">
        <v>1472900</v>
      </c>
      <c r="I244" s="150">
        <f t="shared" si="11"/>
        <v>0</v>
      </c>
      <c r="J244" s="151">
        <v>45000</v>
      </c>
    </row>
    <row r="245" spans="1:10" ht="21.75" hidden="1" customHeight="1" x14ac:dyDescent="0.35">
      <c r="A245" s="145" t="s">
        <v>1650</v>
      </c>
      <c r="B245" s="155" t="s">
        <v>1792</v>
      </c>
      <c r="C245" s="155"/>
      <c r="D245" s="147">
        <v>44972</v>
      </c>
      <c r="E245" s="148">
        <v>3147000</v>
      </c>
      <c r="F245" s="44">
        <f t="shared" si="15"/>
        <v>314700</v>
      </c>
      <c r="G245" s="149">
        <f t="shared" si="12"/>
        <v>3461700</v>
      </c>
      <c r="H245" s="149">
        <v>3461700</v>
      </c>
      <c r="I245" s="150">
        <f t="shared" si="11"/>
        <v>0</v>
      </c>
      <c r="J245" s="151">
        <v>45000</v>
      </c>
    </row>
    <row r="246" spans="1:10" ht="21.75" hidden="1" customHeight="1" x14ac:dyDescent="0.35">
      <c r="A246" s="145" t="s">
        <v>1388</v>
      </c>
      <c r="B246" s="155" t="s">
        <v>1793</v>
      </c>
      <c r="C246" s="155"/>
      <c r="D246" s="147">
        <v>44972</v>
      </c>
      <c r="E246" s="148">
        <v>9185100</v>
      </c>
      <c r="F246" s="44">
        <f t="shared" si="15"/>
        <v>918510</v>
      </c>
      <c r="G246" s="149">
        <f t="shared" si="12"/>
        <v>10103610</v>
      </c>
      <c r="H246" s="149">
        <v>10103610</v>
      </c>
      <c r="I246" s="150">
        <f t="shared" si="11"/>
        <v>0</v>
      </c>
      <c r="J246" s="151">
        <v>45000</v>
      </c>
    </row>
    <row r="247" spans="1:10" ht="21.75" hidden="1" customHeight="1" x14ac:dyDescent="0.35">
      <c r="A247" s="145" t="s">
        <v>1386</v>
      </c>
      <c r="B247" s="155" t="s">
        <v>1794</v>
      </c>
      <c r="C247" s="155"/>
      <c r="D247" s="147">
        <v>44972</v>
      </c>
      <c r="E247" s="148">
        <v>14321200</v>
      </c>
      <c r="F247" s="44">
        <f t="shared" si="15"/>
        <v>1432120</v>
      </c>
      <c r="G247" s="149">
        <f t="shared" si="12"/>
        <v>15753320</v>
      </c>
      <c r="H247" s="149">
        <v>15753320</v>
      </c>
      <c r="I247" s="150">
        <f t="shared" si="11"/>
        <v>0</v>
      </c>
      <c r="J247" s="151">
        <v>45000</v>
      </c>
    </row>
    <row r="248" spans="1:10" ht="21.75" hidden="1" customHeight="1" x14ac:dyDescent="0.35">
      <c r="A248" s="145" t="s">
        <v>1795</v>
      </c>
      <c r="B248" s="155" t="s">
        <v>1796</v>
      </c>
      <c r="C248" s="155"/>
      <c r="D248" s="147">
        <v>44972</v>
      </c>
      <c r="E248" s="148">
        <v>8958000</v>
      </c>
      <c r="F248" s="44">
        <f t="shared" si="15"/>
        <v>895800</v>
      </c>
      <c r="G248" s="149">
        <f t="shared" si="12"/>
        <v>9853800</v>
      </c>
      <c r="H248" s="149">
        <v>9853800</v>
      </c>
      <c r="I248" s="150">
        <f t="shared" si="11"/>
        <v>0</v>
      </c>
      <c r="J248" s="151">
        <v>45000</v>
      </c>
    </row>
    <row r="249" spans="1:10" ht="21.75" hidden="1" customHeight="1" x14ac:dyDescent="0.35">
      <c r="A249" s="145" t="s">
        <v>1626</v>
      </c>
      <c r="B249" s="155" t="s">
        <v>1797</v>
      </c>
      <c r="C249" s="155"/>
      <c r="D249" s="147">
        <v>44972</v>
      </c>
      <c r="E249" s="148">
        <v>903000</v>
      </c>
      <c r="F249" s="44">
        <f t="shared" si="15"/>
        <v>90300</v>
      </c>
      <c r="G249" s="149">
        <f t="shared" si="12"/>
        <v>993300</v>
      </c>
      <c r="H249" s="149">
        <v>993300</v>
      </c>
      <c r="I249" s="150">
        <f t="shared" si="11"/>
        <v>0</v>
      </c>
      <c r="J249" s="151">
        <v>45000</v>
      </c>
    </row>
    <row r="250" spans="1:10" ht="21.75" hidden="1" customHeight="1" x14ac:dyDescent="0.35">
      <c r="A250" s="145" t="s">
        <v>1798</v>
      </c>
      <c r="B250" s="155" t="s">
        <v>1799</v>
      </c>
      <c r="C250" s="155"/>
      <c r="D250" s="147">
        <v>44972</v>
      </c>
      <c r="E250" s="148">
        <v>512000</v>
      </c>
      <c r="F250" s="44">
        <f t="shared" si="15"/>
        <v>51200</v>
      </c>
      <c r="G250" s="149">
        <f t="shared" si="12"/>
        <v>563200</v>
      </c>
      <c r="H250" s="149">
        <v>563200</v>
      </c>
      <c r="I250" s="150">
        <f t="shared" si="11"/>
        <v>0</v>
      </c>
      <c r="J250" s="151">
        <v>45000</v>
      </c>
    </row>
    <row r="251" spans="1:10" ht="21.75" hidden="1" customHeight="1" x14ac:dyDescent="0.35">
      <c r="A251" s="145" t="s">
        <v>1626</v>
      </c>
      <c r="B251" s="155" t="s">
        <v>1800</v>
      </c>
      <c r="C251" s="155"/>
      <c r="D251" s="147">
        <v>44972</v>
      </c>
      <c r="E251" s="148">
        <v>16461500</v>
      </c>
      <c r="F251" s="44">
        <f t="shared" si="15"/>
        <v>1646150</v>
      </c>
      <c r="G251" s="149">
        <f t="shared" si="12"/>
        <v>18107650</v>
      </c>
      <c r="H251" s="149">
        <v>18107650</v>
      </c>
      <c r="I251" s="150">
        <f t="shared" si="11"/>
        <v>0</v>
      </c>
      <c r="J251" s="151">
        <v>45000</v>
      </c>
    </row>
    <row r="252" spans="1:10" ht="21.75" hidden="1" customHeight="1" x14ac:dyDescent="0.35">
      <c r="A252" s="145" t="s">
        <v>1801</v>
      </c>
      <c r="B252" s="155" t="s">
        <v>1802</v>
      </c>
      <c r="C252" s="155"/>
      <c r="D252" s="147">
        <v>44972</v>
      </c>
      <c r="E252" s="148">
        <v>23730200</v>
      </c>
      <c r="F252" s="44">
        <f t="shared" si="15"/>
        <v>2373020</v>
      </c>
      <c r="G252" s="149">
        <f t="shared" si="12"/>
        <v>26103220</v>
      </c>
      <c r="H252" s="149">
        <v>26103220</v>
      </c>
      <c r="I252" s="150">
        <f t="shared" si="11"/>
        <v>0</v>
      </c>
      <c r="J252" s="151">
        <v>45000</v>
      </c>
    </row>
    <row r="253" spans="1:10" ht="21.75" hidden="1" customHeight="1" x14ac:dyDescent="0.35">
      <c r="A253" s="145" t="s">
        <v>1803</v>
      </c>
      <c r="B253" s="155" t="s">
        <v>1804</v>
      </c>
      <c r="C253" s="155"/>
      <c r="D253" s="147">
        <v>44972</v>
      </c>
      <c r="E253" s="148">
        <v>39638100</v>
      </c>
      <c r="F253" s="44">
        <f t="shared" si="15"/>
        <v>3963810</v>
      </c>
      <c r="G253" s="149">
        <f t="shared" si="12"/>
        <v>43601910</v>
      </c>
      <c r="H253" s="149">
        <v>43601910</v>
      </c>
      <c r="I253" s="150">
        <f t="shared" si="11"/>
        <v>0</v>
      </c>
      <c r="J253" s="151">
        <v>45000</v>
      </c>
    </row>
    <row r="254" spans="1:10" ht="21.75" hidden="1" customHeight="1" x14ac:dyDescent="0.35">
      <c r="A254" s="145" t="s">
        <v>1805</v>
      </c>
      <c r="B254" s="155" t="s">
        <v>1806</v>
      </c>
      <c r="C254" s="155"/>
      <c r="D254" s="147">
        <v>44972</v>
      </c>
      <c r="E254" s="148">
        <v>11150800</v>
      </c>
      <c r="F254" s="44">
        <f t="shared" si="15"/>
        <v>1115080</v>
      </c>
      <c r="G254" s="149">
        <f t="shared" si="12"/>
        <v>12265880</v>
      </c>
      <c r="H254" s="149">
        <v>12265880</v>
      </c>
      <c r="I254" s="150">
        <f t="shared" si="11"/>
        <v>0</v>
      </c>
      <c r="J254" s="151">
        <v>45000</v>
      </c>
    </row>
    <row r="255" spans="1:10" ht="21.75" hidden="1" customHeight="1" x14ac:dyDescent="0.35">
      <c r="A255" s="145" t="s">
        <v>1730</v>
      </c>
      <c r="B255" s="155" t="s">
        <v>1807</v>
      </c>
      <c r="C255" s="155"/>
      <c r="D255" s="147">
        <v>44972</v>
      </c>
      <c r="E255" s="148">
        <v>9708000</v>
      </c>
      <c r="F255" s="44">
        <f t="shared" si="15"/>
        <v>970800</v>
      </c>
      <c r="G255" s="149">
        <f t="shared" si="12"/>
        <v>10678800</v>
      </c>
      <c r="H255" s="149">
        <v>10678800</v>
      </c>
      <c r="I255" s="150">
        <f t="shared" si="11"/>
        <v>0</v>
      </c>
      <c r="J255" s="151">
        <v>45000</v>
      </c>
    </row>
    <row r="256" spans="1:10" ht="21.75" hidden="1" customHeight="1" x14ac:dyDescent="0.35">
      <c r="A256" s="145" t="s">
        <v>1624</v>
      </c>
      <c r="B256" s="155" t="s">
        <v>1808</v>
      </c>
      <c r="C256" s="155"/>
      <c r="D256" s="147">
        <v>44972</v>
      </c>
      <c r="E256" s="148">
        <v>66442600</v>
      </c>
      <c r="F256" s="44">
        <f t="shared" si="15"/>
        <v>6644260</v>
      </c>
      <c r="G256" s="149">
        <f t="shared" si="12"/>
        <v>73086860</v>
      </c>
      <c r="H256" s="149">
        <v>73086860</v>
      </c>
      <c r="I256" s="150">
        <f t="shared" si="11"/>
        <v>0</v>
      </c>
      <c r="J256" s="151">
        <v>45000</v>
      </c>
    </row>
    <row r="257" spans="1:10" ht="21.75" hidden="1" customHeight="1" x14ac:dyDescent="0.35">
      <c r="A257" s="145" t="s">
        <v>1809</v>
      </c>
      <c r="B257" s="155" t="s">
        <v>1810</v>
      </c>
      <c r="C257" s="155"/>
      <c r="D257" s="147">
        <v>44972</v>
      </c>
      <c r="E257" s="148">
        <v>44249500</v>
      </c>
      <c r="F257" s="44">
        <f t="shared" si="15"/>
        <v>4424950</v>
      </c>
      <c r="G257" s="149">
        <f t="shared" si="12"/>
        <v>48674450</v>
      </c>
      <c r="H257" s="149">
        <v>48674450</v>
      </c>
      <c r="I257" s="150">
        <f t="shared" si="11"/>
        <v>0</v>
      </c>
      <c r="J257" s="151">
        <v>45000</v>
      </c>
    </row>
    <row r="258" spans="1:10" ht="21.75" hidden="1" customHeight="1" x14ac:dyDescent="0.35">
      <c r="A258" s="145" t="s">
        <v>1709</v>
      </c>
      <c r="B258" s="155" t="s">
        <v>1811</v>
      </c>
      <c r="C258" s="155"/>
      <c r="D258" s="147">
        <v>44972</v>
      </c>
      <c r="E258" s="148">
        <v>499000</v>
      </c>
      <c r="F258" s="44">
        <f t="shared" si="15"/>
        <v>49900</v>
      </c>
      <c r="G258" s="149">
        <f t="shared" si="12"/>
        <v>548900</v>
      </c>
      <c r="H258" s="149">
        <v>548900</v>
      </c>
      <c r="I258" s="150">
        <f t="shared" si="11"/>
        <v>0</v>
      </c>
      <c r="J258" s="151">
        <v>45000</v>
      </c>
    </row>
    <row r="259" spans="1:10" ht="21.75" hidden="1" customHeight="1" x14ac:dyDescent="0.35">
      <c r="A259" s="145" t="s">
        <v>1730</v>
      </c>
      <c r="B259" s="155" t="s">
        <v>1812</v>
      </c>
      <c r="C259" s="155"/>
      <c r="D259" s="147">
        <v>44972</v>
      </c>
      <c r="E259" s="148">
        <v>550400</v>
      </c>
      <c r="F259" s="44">
        <f t="shared" si="15"/>
        <v>55040</v>
      </c>
      <c r="G259" s="149">
        <f t="shared" si="12"/>
        <v>605440</v>
      </c>
      <c r="H259" s="149">
        <v>605440</v>
      </c>
      <c r="I259" s="150">
        <f t="shared" si="11"/>
        <v>0</v>
      </c>
      <c r="J259" s="151">
        <v>45000</v>
      </c>
    </row>
    <row r="260" spans="1:10" ht="21.75" hidden="1" customHeight="1" x14ac:dyDescent="0.35">
      <c r="A260" s="145" t="s">
        <v>1624</v>
      </c>
      <c r="B260" s="155" t="s">
        <v>1813</v>
      </c>
      <c r="C260" s="155"/>
      <c r="D260" s="147">
        <v>44972</v>
      </c>
      <c r="E260" s="148">
        <v>288000</v>
      </c>
      <c r="F260" s="44">
        <f t="shared" si="15"/>
        <v>28800</v>
      </c>
      <c r="G260" s="149">
        <f t="shared" si="12"/>
        <v>316800</v>
      </c>
      <c r="H260" s="149">
        <v>316800</v>
      </c>
      <c r="I260" s="150">
        <f t="shared" si="11"/>
        <v>0</v>
      </c>
      <c r="J260" s="151">
        <v>45000</v>
      </c>
    </row>
    <row r="261" spans="1:10" ht="21.75" hidden="1" customHeight="1" x14ac:dyDescent="0.35">
      <c r="A261" s="145" t="s">
        <v>1814</v>
      </c>
      <c r="B261" s="155" t="s">
        <v>1815</v>
      </c>
      <c r="C261" s="155"/>
      <c r="D261" s="147">
        <v>44972</v>
      </c>
      <c r="E261" s="148">
        <v>36439400</v>
      </c>
      <c r="F261" s="44">
        <f t="shared" si="15"/>
        <v>3643940</v>
      </c>
      <c r="G261" s="149">
        <f t="shared" si="12"/>
        <v>40083340</v>
      </c>
      <c r="H261" s="149">
        <v>40083340</v>
      </c>
      <c r="I261" s="150">
        <f t="shared" si="11"/>
        <v>0</v>
      </c>
      <c r="J261" s="151">
        <v>45000</v>
      </c>
    </row>
    <row r="262" spans="1:10" ht="21.75" hidden="1" customHeight="1" x14ac:dyDescent="0.35">
      <c r="A262" s="145" t="s">
        <v>1711</v>
      </c>
      <c r="B262" s="155" t="s">
        <v>1816</v>
      </c>
      <c r="C262" s="155"/>
      <c r="D262" s="147">
        <v>44972</v>
      </c>
      <c r="E262" s="148">
        <v>1170000</v>
      </c>
      <c r="F262" s="44">
        <f t="shared" si="15"/>
        <v>117000</v>
      </c>
      <c r="G262" s="149">
        <f t="shared" si="12"/>
        <v>1287000</v>
      </c>
      <c r="H262" s="149">
        <v>1287000</v>
      </c>
      <c r="I262" s="150">
        <f t="shared" si="11"/>
        <v>0</v>
      </c>
      <c r="J262" s="151">
        <v>45000</v>
      </c>
    </row>
    <row r="263" spans="1:10" ht="21.75" hidden="1" customHeight="1" x14ac:dyDescent="0.35">
      <c r="A263" s="145" t="s">
        <v>1659</v>
      </c>
      <c r="B263" s="155" t="s">
        <v>1817</v>
      </c>
      <c r="C263" s="155"/>
      <c r="D263" s="147">
        <v>44972</v>
      </c>
      <c r="E263" s="148">
        <v>4169000</v>
      </c>
      <c r="F263" s="44">
        <f t="shared" si="15"/>
        <v>416900</v>
      </c>
      <c r="G263" s="149">
        <f t="shared" si="12"/>
        <v>4585900</v>
      </c>
      <c r="H263" s="149">
        <v>4585900</v>
      </c>
      <c r="I263" s="150">
        <f t="shared" ref="I263:I327" si="16">+G263-H263</f>
        <v>0</v>
      </c>
      <c r="J263" s="151">
        <v>45000</v>
      </c>
    </row>
    <row r="264" spans="1:10" ht="21.75" hidden="1" customHeight="1" x14ac:dyDescent="0.35">
      <c r="A264" s="145" t="s">
        <v>1818</v>
      </c>
      <c r="B264" s="155" t="s">
        <v>1819</v>
      </c>
      <c r="C264" s="155"/>
      <c r="D264" s="147">
        <v>44972</v>
      </c>
      <c r="E264" s="148">
        <v>10024000</v>
      </c>
      <c r="F264" s="44">
        <f t="shared" si="15"/>
        <v>1002400</v>
      </c>
      <c r="G264" s="149">
        <f t="shared" si="12"/>
        <v>11026400</v>
      </c>
      <c r="H264" s="149">
        <v>11026400</v>
      </c>
      <c r="I264" s="150">
        <f t="shared" si="16"/>
        <v>0</v>
      </c>
      <c r="J264" s="151">
        <v>45000</v>
      </c>
    </row>
    <row r="265" spans="1:10" ht="21.75" hidden="1" customHeight="1" x14ac:dyDescent="0.35">
      <c r="A265" s="145" t="s">
        <v>1820</v>
      </c>
      <c r="B265" s="155" t="s">
        <v>1821</v>
      </c>
      <c r="C265" s="155"/>
      <c r="D265" s="147">
        <v>44972</v>
      </c>
      <c r="E265" s="148">
        <v>22031500</v>
      </c>
      <c r="F265" s="44">
        <f t="shared" si="15"/>
        <v>2203150</v>
      </c>
      <c r="G265" s="149">
        <f t="shared" si="12"/>
        <v>24234650</v>
      </c>
      <c r="H265" s="149">
        <v>24234650</v>
      </c>
      <c r="I265" s="150">
        <f t="shared" si="16"/>
        <v>0</v>
      </c>
      <c r="J265" s="151">
        <v>45000</v>
      </c>
    </row>
    <row r="266" spans="1:10" ht="21.75" hidden="1" customHeight="1" x14ac:dyDescent="0.35">
      <c r="A266" s="145" t="s">
        <v>1822</v>
      </c>
      <c r="B266" s="155" t="s">
        <v>1823</v>
      </c>
      <c r="C266" s="155"/>
      <c r="D266" s="147">
        <v>44972</v>
      </c>
      <c r="E266" s="148">
        <v>408000</v>
      </c>
      <c r="F266" s="44">
        <f t="shared" si="15"/>
        <v>40800</v>
      </c>
      <c r="G266" s="149">
        <f t="shared" ref="G266:G330" si="17">+F266+E266</f>
        <v>448800</v>
      </c>
      <c r="H266" s="149">
        <v>448800</v>
      </c>
      <c r="I266" s="150">
        <f t="shared" si="16"/>
        <v>0</v>
      </c>
      <c r="J266" s="151">
        <v>45000</v>
      </c>
    </row>
    <row r="267" spans="1:10" ht="21.75" hidden="1" customHeight="1" x14ac:dyDescent="0.35">
      <c r="A267" s="145" t="s">
        <v>1824</v>
      </c>
      <c r="B267" s="155" t="s">
        <v>1825</v>
      </c>
      <c r="C267" s="155"/>
      <c r="D267" s="147">
        <v>44972</v>
      </c>
      <c r="E267" s="148">
        <v>12305600</v>
      </c>
      <c r="F267" s="44">
        <f t="shared" si="15"/>
        <v>1230560</v>
      </c>
      <c r="G267" s="149">
        <f t="shared" si="17"/>
        <v>13536160</v>
      </c>
      <c r="H267" s="149">
        <v>13536160</v>
      </c>
      <c r="I267" s="150">
        <f t="shared" si="16"/>
        <v>0</v>
      </c>
      <c r="J267" s="151">
        <v>45000</v>
      </c>
    </row>
    <row r="268" spans="1:10" ht="21.75" hidden="1" customHeight="1" x14ac:dyDescent="0.35">
      <c r="A268" s="145" t="s">
        <v>1630</v>
      </c>
      <c r="B268" s="155" t="s">
        <v>1826</v>
      </c>
      <c r="C268" s="155"/>
      <c r="D268" s="147">
        <v>44974</v>
      </c>
      <c r="E268" s="148">
        <v>11164200</v>
      </c>
      <c r="F268" s="44">
        <f t="shared" si="15"/>
        <v>1116420</v>
      </c>
      <c r="G268" s="149">
        <f t="shared" si="17"/>
        <v>12280620</v>
      </c>
      <c r="H268" s="149">
        <v>12280620</v>
      </c>
      <c r="I268" s="150">
        <f t="shared" si="16"/>
        <v>0</v>
      </c>
      <c r="J268" s="151">
        <v>45000</v>
      </c>
    </row>
    <row r="269" spans="1:10" ht="21.75" hidden="1" customHeight="1" x14ac:dyDescent="0.35">
      <c r="A269" s="145" t="s">
        <v>1827</v>
      </c>
      <c r="B269" s="155" t="s">
        <v>1828</v>
      </c>
      <c r="C269" s="155"/>
      <c r="D269" s="147">
        <v>44974</v>
      </c>
      <c r="E269" s="148">
        <v>2224000</v>
      </c>
      <c r="F269" s="44">
        <f t="shared" si="15"/>
        <v>222400</v>
      </c>
      <c r="G269" s="149">
        <f t="shared" si="17"/>
        <v>2446400</v>
      </c>
      <c r="H269" s="149">
        <v>2446400</v>
      </c>
      <c r="I269" s="150">
        <f t="shared" si="16"/>
        <v>0</v>
      </c>
      <c r="J269" s="151">
        <v>45000</v>
      </c>
    </row>
    <row r="270" spans="1:10" ht="21.75" hidden="1" customHeight="1" x14ac:dyDescent="0.35">
      <c r="A270" s="145" t="s">
        <v>1829</v>
      </c>
      <c r="B270" s="155" t="s">
        <v>1830</v>
      </c>
      <c r="C270" s="155"/>
      <c r="D270" s="147">
        <v>44974</v>
      </c>
      <c r="E270" s="148">
        <v>19213000</v>
      </c>
      <c r="F270" s="44">
        <f t="shared" si="15"/>
        <v>1921300</v>
      </c>
      <c r="G270" s="149">
        <f t="shared" si="17"/>
        <v>21134300</v>
      </c>
      <c r="H270" s="149">
        <v>21134300</v>
      </c>
      <c r="I270" s="150">
        <f t="shared" si="16"/>
        <v>0</v>
      </c>
      <c r="J270" s="151">
        <v>45000</v>
      </c>
    </row>
    <row r="271" spans="1:10" ht="21.75" hidden="1" customHeight="1" x14ac:dyDescent="0.35">
      <c r="A271" s="145" t="s">
        <v>1785</v>
      </c>
      <c r="B271" s="155" t="s">
        <v>1831</v>
      </c>
      <c r="C271" s="155"/>
      <c r="D271" s="147">
        <v>44974</v>
      </c>
      <c r="E271" s="148">
        <v>352000</v>
      </c>
      <c r="F271" s="44">
        <f t="shared" si="15"/>
        <v>35200</v>
      </c>
      <c r="G271" s="149">
        <f t="shared" si="17"/>
        <v>387200</v>
      </c>
      <c r="H271" s="149">
        <v>387200</v>
      </c>
      <c r="I271" s="150">
        <f t="shared" si="16"/>
        <v>0</v>
      </c>
      <c r="J271" s="151">
        <v>45000</v>
      </c>
    </row>
    <row r="272" spans="1:10" ht="21.75" hidden="1" customHeight="1" x14ac:dyDescent="0.35">
      <c r="A272" s="145" t="s">
        <v>1832</v>
      </c>
      <c r="B272" s="155" t="s">
        <v>1833</v>
      </c>
      <c r="C272" s="155"/>
      <c r="D272" s="147">
        <v>44974</v>
      </c>
      <c r="E272" s="148">
        <v>40623800</v>
      </c>
      <c r="F272" s="44">
        <f t="shared" si="15"/>
        <v>4062380</v>
      </c>
      <c r="G272" s="149">
        <f t="shared" si="17"/>
        <v>44686180</v>
      </c>
      <c r="H272" s="149">
        <v>44686180</v>
      </c>
      <c r="I272" s="150">
        <f t="shared" si="16"/>
        <v>0</v>
      </c>
      <c r="J272" s="151">
        <v>45000</v>
      </c>
    </row>
    <row r="273" spans="1:10" ht="21.75" hidden="1" customHeight="1" x14ac:dyDescent="0.35">
      <c r="A273" s="158" t="s">
        <v>1834</v>
      </c>
      <c r="B273" s="146" t="s">
        <v>1533</v>
      </c>
      <c r="C273" s="146"/>
      <c r="D273" s="147">
        <v>44974</v>
      </c>
      <c r="E273" s="148">
        <v>1560000</v>
      </c>
      <c r="F273" s="44">
        <f t="shared" si="15"/>
        <v>156000</v>
      </c>
      <c r="G273" s="149">
        <f t="shared" si="17"/>
        <v>1716000</v>
      </c>
      <c r="H273" s="149">
        <v>1716000</v>
      </c>
      <c r="I273" s="150">
        <f t="shared" si="16"/>
        <v>0</v>
      </c>
      <c r="J273" s="151">
        <v>45000</v>
      </c>
    </row>
    <row r="274" spans="1:10" ht="21.75" hidden="1" customHeight="1" x14ac:dyDescent="0.35">
      <c r="A274" s="145" t="s">
        <v>1388</v>
      </c>
      <c r="B274" s="155" t="s">
        <v>1835</v>
      </c>
      <c r="C274" s="155"/>
      <c r="D274" s="147">
        <v>44974</v>
      </c>
      <c r="E274" s="148">
        <v>256000</v>
      </c>
      <c r="F274" s="44">
        <f t="shared" si="15"/>
        <v>25600</v>
      </c>
      <c r="G274" s="149">
        <f t="shared" si="17"/>
        <v>281600</v>
      </c>
      <c r="H274" s="149">
        <v>281600</v>
      </c>
      <c r="I274" s="150">
        <f t="shared" si="16"/>
        <v>0</v>
      </c>
      <c r="J274" s="151">
        <v>45000</v>
      </c>
    </row>
    <row r="275" spans="1:10" ht="21.75" hidden="1" customHeight="1" x14ac:dyDescent="0.35">
      <c r="A275" s="145" t="s">
        <v>1692</v>
      </c>
      <c r="B275" s="155" t="s">
        <v>1836</v>
      </c>
      <c r="C275" s="155"/>
      <c r="D275" s="147">
        <v>44974</v>
      </c>
      <c r="E275" s="148">
        <v>7704000</v>
      </c>
      <c r="F275" s="44">
        <f t="shared" si="15"/>
        <v>770400</v>
      </c>
      <c r="G275" s="149">
        <f t="shared" si="17"/>
        <v>8474400</v>
      </c>
      <c r="H275" s="149">
        <v>8474400</v>
      </c>
      <c r="I275" s="150">
        <f t="shared" si="16"/>
        <v>0</v>
      </c>
      <c r="J275" s="151">
        <v>45000</v>
      </c>
    </row>
    <row r="276" spans="1:10" ht="21.75" hidden="1" customHeight="1" x14ac:dyDescent="0.35">
      <c r="A276" s="145" t="s">
        <v>1837</v>
      </c>
      <c r="B276" s="155" t="s">
        <v>1838</v>
      </c>
      <c r="C276" s="155"/>
      <c r="D276" s="147">
        <v>44974</v>
      </c>
      <c r="E276" s="148">
        <v>17989200</v>
      </c>
      <c r="F276" s="44">
        <f t="shared" si="15"/>
        <v>1798920</v>
      </c>
      <c r="G276" s="149">
        <f t="shared" si="17"/>
        <v>19788120</v>
      </c>
      <c r="H276" s="149">
        <v>19788120</v>
      </c>
      <c r="I276" s="150">
        <f t="shared" si="16"/>
        <v>0</v>
      </c>
      <c r="J276" s="151">
        <v>45000</v>
      </c>
    </row>
    <row r="277" spans="1:10" ht="21.75" hidden="1" customHeight="1" x14ac:dyDescent="0.35">
      <c r="A277" s="145" t="s">
        <v>1839</v>
      </c>
      <c r="B277" s="155" t="s">
        <v>1840</v>
      </c>
      <c r="C277" s="155"/>
      <c r="D277" s="147">
        <v>44974</v>
      </c>
      <c r="E277" s="148">
        <v>2253000</v>
      </c>
      <c r="F277" s="44">
        <f t="shared" si="15"/>
        <v>225300</v>
      </c>
      <c r="G277" s="149">
        <f t="shared" si="17"/>
        <v>2478300</v>
      </c>
      <c r="H277" s="149">
        <v>2478300</v>
      </c>
      <c r="I277" s="150">
        <f t="shared" si="16"/>
        <v>0</v>
      </c>
      <c r="J277" s="151">
        <v>45000</v>
      </c>
    </row>
    <row r="278" spans="1:10" ht="21.75" hidden="1" customHeight="1" x14ac:dyDescent="0.35">
      <c r="A278" s="158" t="s">
        <v>1841</v>
      </c>
      <c r="B278" s="155" t="s">
        <v>1772</v>
      </c>
      <c r="C278" s="155"/>
      <c r="D278" s="147">
        <v>44974</v>
      </c>
      <c r="E278" s="148">
        <v>55264000</v>
      </c>
      <c r="F278" s="44">
        <f t="shared" si="15"/>
        <v>5526400</v>
      </c>
      <c r="G278" s="149">
        <f t="shared" si="17"/>
        <v>60790400</v>
      </c>
      <c r="H278" s="149">
        <v>60790400</v>
      </c>
      <c r="I278" s="150">
        <f t="shared" si="16"/>
        <v>0</v>
      </c>
      <c r="J278" s="151">
        <v>45000</v>
      </c>
    </row>
    <row r="279" spans="1:10" ht="21.75" hidden="1" customHeight="1" x14ac:dyDescent="0.35">
      <c r="A279" s="145" t="s">
        <v>1842</v>
      </c>
      <c r="B279" s="155" t="s">
        <v>1843</v>
      </c>
      <c r="C279" s="155"/>
      <c r="D279" s="147">
        <v>44974</v>
      </c>
      <c r="E279" s="148">
        <v>8062200</v>
      </c>
      <c r="F279" s="44">
        <f t="shared" si="15"/>
        <v>806220</v>
      </c>
      <c r="G279" s="149">
        <f t="shared" si="17"/>
        <v>8868420</v>
      </c>
      <c r="H279" s="149">
        <v>8868420</v>
      </c>
      <c r="I279" s="150">
        <f t="shared" si="16"/>
        <v>0</v>
      </c>
      <c r="J279" s="151">
        <v>45000</v>
      </c>
    </row>
    <row r="280" spans="1:10" ht="21.75" hidden="1" customHeight="1" x14ac:dyDescent="0.35">
      <c r="A280" s="145" t="s">
        <v>1844</v>
      </c>
      <c r="B280" s="155" t="s">
        <v>1845</v>
      </c>
      <c r="C280" s="155"/>
      <c r="D280" s="147">
        <v>44974</v>
      </c>
      <c r="E280" s="148">
        <v>15485400</v>
      </c>
      <c r="F280" s="44">
        <f t="shared" si="15"/>
        <v>1548540</v>
      </c>
      <c r="G280" s="149">
        <f t="shared" si="17"/>
        <v>17033940</v>
      </c>
      <c r="H280" s="149">
        <v>17033940</v>
      </c>
      <c r="I280" s="150">
        <f t="shared" si="16"/>
        <v>0</v>
      </c>
      <c r="J280" s="151">
        <v>45000</v>
      </c>
    </row>
    <row r="281" spans="1:10" ht="21.75" hidden="1" customHeight="1" x14ac:dyDescent="0.35">
      <c r="A281" s="145" t="s">
        <v>1842</v>
      </c>
      <c r="B281" s="155" t="s">
        <v>1846</v>
      </c>
      <c r="C281" s="155"/>
      <c r="D281" s="147">
        <v>44974</v>
      </c>
      <c r="E281" s="148">
        <v>160000</v>
      </c>
      <c r="F281" s="44">
        <f t="shared" si="15"/>
        <v>16000</v>
      </c>
      <c r="G281" s="149">
        <f t="shared" si="17"/>
        <v>176000</v>
      </c>
      <c r="H281" s="149">
        <v>176000</v>
      </c>
      <c r="I281" s="150">
        <f t="shared" si="16"/>
        <v>0</v>
      </c>
      <c r="J281" s="151">
        <v>45000</v>
      </c>
    </row>
    <row r="282" spans="1:10" ht="21.75" hidden="1" customHeight="1" x14ac:dyDescent="0.35">
      <c r="A282" s="145" t="s">
        <v>1396</v>
      </c>
      <c r="B282" s="155" t="s">
        <v>1847</v>
      </c>
      <c r="C282" s="155"/>
      <c r="D282" s="147">
        <v>44974</v>
      </c>
      <c r="E282" s="148">
        <v>2954000</v>
      </c>
      <c r="F282" s="44">
        <f t="shared" si="15"/>
        <v>295400</v>
      </c>
      <c r="G282" s="149">
        <f t="shared" si="17"/>
        <v>3249400</v>
      </c>
      <c r="H282" s="149">
        <v>3249400</v>
      </c>
      <c r="I282" s="150">
        <f t="shared" si="16"/>
        <v>0</v>
      </c>
      <c r="J282" s="151">
        <v>45000</v>
      </c>
    </row>
    <row r="283" spans="1:10" ht="21.75" hidden="1" customHeight="1" x14ac:dyDescent="0.35">
      <c r="A283" s="145" t="s">
        <v>1848</v>
      </c>
      <c r="B283" s="155" t="s">
        <v>1849</v>
      </c>
      <c r="C283" s="155"/>
      <c r="D283" s="147">
        <v>44974</v>
      </c>
      <c r="E283" s="148">
        <v>12202000</v>
      </c>
      <c r="F283" s="44">
        <f t="shared" si="15"/>
        <v>1220200</v>
      </c>
      <c r="G283" s="149">
        <f t="shared" si="17"/>
        <v>13422200</v>
      </c>
      <c r="H283" s="149">
        <v>13422200</v>
      </c>
      <c r="I283" s="150">
        <f t="shared" si="16"/>
        <v>0</v>
      </c>
      <c r="J283" s="151">
        <v>45000</v>
      </c>
    </row>
    <row r="284" spans="1:10" ht="21.75" hidden="1" customHeight="1" x14ac:dyDescent="0.35">
      <c r="A284" s="145" t="s">
        <v>1850</v>
      </c>
      <c r="B284" s="155" t="s">
        <v>1851</v>
      </c>
      <c r="C284" s="155"/>
      <c r="D284" s="147">
        <v>44974</v>
      </c>
      <c r="E284" s="148">
        <v>13467800</v>
      </c>
      <c r="F284" s="44">
        <f t="shared" si="15"/>
        <v>1346780</v>
      </c>
      <c r="G284" s="149">
        <f t="shared" si="17"/>
        <v>14814580</v>
      </c>
      <c r="H284" s="149">
        <v>14814580</v>
      </c>
      <c r="I284" s="150">
        <f t="shared" si="16"/>
        <v>0</v>
      </c>
      <c r="J284" s="151">
        <v>45000</v>
      </c>
    </row>
    <row r="285" spans="1:10" ht="21.75" hidden="1" customHeight="1" x14ac:dyDescent="0.35">
      <c r="A285" s="145" t="s">
        <v>1852</v>
      </c>
      <c r="B285" s="155" t="s">
        <v>1853</v>
      </c>
      <c r="C285" s="155"/>
      <c r="D285" s="147">
        <v>44974</v>
      </c>
      <c r="E285" s="148">
        <v>449000</v>
      </c>
      <c r="F285" s="44">
        <f t="shared" si="15"/>
        <v>44900</v>
      </c>
      <c r="G285" s="149">
        <f t="shared" si="17"/>
        <v>493900</v>
      </c>
      <c r="H285" s="149">
        <v>493900</v>
      </c>
      <c r="I285" s="150">
        <f t="shared" si="16"/>
        <v>0</v>
      </c>
      <c r="J285" s="151">
        <v>45000</v>
      </c>
    </row>
    <row r="286" spans="1:10" ht="21.75" hidden="1" customHeight="1" x14ac:dyDescent="0.35">
      <c r="A286" s="145" t="s">
        <v>1854</v>
      </c>
      <c r="B286" s="155" t="s">
        <v>1855</v>
      </c>
      <c r="C286" s="155"/>
      <c r="D286" s="147">
        <v>44974</v>
      </c>
      <c r="E286" s="148">
        <v>396000</v>
      </c>
      <c r="F286" s="44">
        <f t="shared" si="15"/>
        <v>39600</v>
      </c>
      <c r="G286" s="149">
        <f t="shared" si="17"/>
        <v>435600</v>
      </c>
      <c r="H286" s="149">
        <v>435600</v>
      </c>
      <c r="I286" s="150">
        <f t="shared" si="16"/>
        <v>0</v>
      </c>
      <c r="J286" s="151">
        <v>45000</v>
      </c>
    </row>
    <row r="287" spans="1:10" ht="21.75" hidden="1" customHeight="1" x14ac:dyDescent="0.35">
      <c r="A287" s="145" t="s">
        <v>1707</v>
      </c>
      <c r="B287" s="155" t="s">
        <v>1856</v>
      </c>
      <c r="C287" s="155"/>
      <c r="D287" s="147">
        <v>44974</v>
      </c>
      <c r="E287" s="148">
        <v>5563600</v>
      </c>
      <c r="F287" s="44">
        <f t="shared" si="15"/>
        <v>556360</v>
      </c>
      <c r="G287" s="149">
        <f t="shared" si="17"/>
        <v>6119960</v>
      </c>
      <c r="H287" s="149">
        <v>6119960</v>
      </c>
      <c r="I287" s="150">
        <f t="shared" si="16"/>
        <v>0</v>
      </c>
      <c r="J287" s="151">
        <v>45000</v>
      </c>
    </row>
    <row r="288" spans="1:10" ht="21.75" hidden="1" customHeight="1" x14ac:dyDescent="0.35">
      <c r="A288" s="145" t="s">
        <v>1745</v>
      </c>
      <c r="B288" s="155" t="s">
        <v>1857</v>
      </c>
      <c r="C288" s="155"/>
      <c r="D288" s="147">
        <v>44974</v>
      </c>
      <c r="E288" s="148">
        <v>31113300</v>
      </c>
      <c r="F288" s="44">
        <f t="shared" si="15"/>
        <v>3111330</v>
      </c>
      <c r="G288" s="149">
        <f t="shared" si="17"/>
        <v>34224630</v>
      </c>
      <c r="H288" s="149">
        <v>34224630</v>
      </c>
      <c r="I288" s="150">
        <f t="shared" si="16"/>
        <v>0</v>
      </c>
      <c r="J288" s="151">
        <v>45000</v>
      </c>
    </row>
    <row r="289" spans="1:10" ht="21.75" hidden="1" customHeight="1" x14ac:dyDescent="0.35">
      <c r="A289" s="145" t="s">
        <v>1858</v>
      </c>
      <c r="B289" s="155" t="s">
        <v>1859</v>
      </c>
      <c r="C289" s="155"/>
      <c r="D289" s="147">
        <v>44974</v>
      </c>
      <c r="E289" s="148">
        <v>11348900</v>
      </c>
      <c r="F289" s="44">
        <f t="shared" si="15"/>
        <v>1134890</v>
      </c>
      <c r="G289" s="149">
        <f t="shared" si="17"/>
        <v>12483790</v>
      </c>
      <c r="H289" s="149">
        <v>12483790</v>
      </c>
      <c r="I289" s="150">
        <f t="shared" si="16"/>
        <v>0</v>
      </c>
      <c r="J289" s="151">
        <v>45000</v>
      </c>
    </row>
    <row r="290" spans="1:10" ht="21.75" hidden="1" customHeight="1" x14ac:dyDescent="0.35">
      <c r="A290" s="145" t="s">
        <v>1705</v>
      </c>
      <c r="B290" s="155" t="s">
        <v>1860</v>
      </c>
      <c r="C290" s="155"/>
      <c r="D290" s="147">
        <v>44974</v>
      </c>
      <c r="E290" s="148">
        <v>27678600</v>
      </c>
      <c r="F290" s="44">
        <f t="shared" si="15"/>
        <v>2767860</v>
      </c>
      <c r="G290" s="149">
        <f t="shared" si="17"/>
        <v>30446460</v>
      </c>
      <c r="H290" s="149">
        <v>30446460</v>
      </c>
      <c r="I290" s="150">
        <f t="shared" si="16"/>
        <v>0</v>
      </c>
      <c r="J290" s="151">
        <v>45000</v>
      </c>
    </row>
    <row r="291" spans="1:10" ht="21.75" hidden="1" customHeight="1" x14ac:dyDescent="0.35">
      <c r="A291" s="145" t="s">
        <v>1373</v>
      </c>
      <c r="B291" s="155" t="s">
        <v>1861</v>
      </c>
      <c r="C291" s="155"/>
      <c r="D291" s="147">
        <v>44974</v>
      </c>
      <c r="E291" s="148">
        <v>9657200</v>
      </c>
      <c r="F291" s="44">
        <f t="shared" si="15"/>
        <v>965720</v>
      </c>
      <c r="G291" s="149">
        <f t="shared" si="17"/>
        <v>10622920</v>
      </c>
      <c r="H291" s="149">
        <v>10622920</v>
      </c>
      <c r="I291" s="150">
        <f t="shared" si="16"/>
        <v>0</v>
      </c>
      <c r="J291" s="151">
        <v>45000</v>
      </c>
    </row>
    <row r="292" spans="1:10" ht="21.75" hidden="1" customHeight="1" x14ac:dyDescent="0.35">
      <c r="A292" s="145" t="s">
        <v>1862</v>
      </c>
      <c r="B292" s="155" t="s">
        <v>1863</v>
      </c>
      <c r="C292" s="155"/>
      <c r="D292" s="147">
        <v>44974</v>
      </c>
      <c r="E292" s="148">
        <v>24770300</v>
      </c>
      <c r="F292" s="44">
        <f t="shared" si="15"/>
        <v>2477030</v>
      </c>
      <c r="G292" s="149">
        <f t="shared" si="17"/>
        <v>27247330</v>
      </c>
      <c r="H292" s="149">
        <v>27247330</v>
      </c>
      <c r="I292" s="150">
        <f t="shared" si="16"/>
        <v>0</v>
      </c>
      <c r="J292" s="151">
        <v>45000</v>
      </c>
    </row>
    <row r="293" spans="1:10" ht="21.75" hidden="1" customHeight="1" x14ac:dyDescent="0.35">
      <c r="A293" s="145" t="s">
        <v>1864</v>
      </c>
      <c r="B293" s="155" t="s">
        <v>1865</v>
      </c>
      <c r="C293" s="155"/>
      <c r="D293" s="147">
        <v>44974</v>
      </c>
      <c r="E293" s="148">
        <v>47952800</v>
      </c>
      <c r="F293" s="44">
        <f t="shared" si="15"/>
        <v>4795280</v>
      </c>
      <c r="G293" s="149">
        <f t="shared" si="17"/>
        <v>52748080</v>
      </c>
      <c r="H293" s="149">
        <v>52748080</v>
      </c>
      <c r="I293" s="150">
        <f t="shared" si="16"/>
        <v>0</v>
      </c>
      <c r="J293" s="151">
        <v>45000</v>
      </c>
    </row>
    <row r="294" spans="1:10" ht="21.75" hidden="1" customHeight="1" x14ac:dyDescent="0.35">
      <c r="A294" s="145" t="s">
        <v>1866</v>
      </c>
      <c r="B294" s="155" t="s">
        <v>1867</v>
      </c>
      <c r="C294" s="155"/>
      <c r="D294" s="147">
        <v>44984</v>
      </c>
      <c r="E294" s="148">
        <v>2255400</v>
      </c>
      <c r="F294" s="44">
        <f t="shared" si="15"/>
        <v>225540</v>
      </c>
      <c r="G294" s="149">
        <f t="shared" si="17"/>
        <v>2480940</v>
      </c>
      <c r="H294" s="149">
        <v>2480940</v>
      </c>
      <c r="I294" s="150">
        <f t="shared" si="16"/>
        <v>0</v>
      </c>
      <c r="J294" s="151">
        <v>45000</v>
      </c>
    </row>
    <row r="295" spans="1:10" ht="21.75" hidden="1" customHeight="1" x14ac:dyDescent="0.35">
      <c r="A295" s="145" t="s">
        <v>1844</v>
      </c>
      <c r="B295" s="155" t="s">
        <v>1868</v>
      </c>
      <c r="C295" s="155"/>
      <c r="D295" s="147">
        <v>44984</v>
      </c>
      <c r="E295" s="148">
        <v>585000</v>
      </c>
      <c r="F295" s="44">
        <f t="shared" si="15"/>
        <v>58500</v>
      </c>
      <c r="G295" s="149">
        <f t="shared" si="17"/>
        <v>643500</v>
      </c>
      <c r="H295" s="149">
        <v>643500</v>
      </c>
      <c r="I295" s="150">
        <f t="shared" si="16"/>
        <v>0</v>
      </c>
      <c r="J295" s="151">
        <v>45000</v>
      </c>
    </row>
    <row r="296" spans="1:10" ht="21.75" hidden="1" customHeight="1" x14ac:dyDescent="0.35">
      <c r="A296" s="145" t="s">
        <v>1709</v>
      </c>
      <c r="B296" s="155" t="s">
        <v>1869</v>
      </c>
      <c r="C296" s="155"/>
      <c r="D296" s="147">
        <v>44984</v>
      </c>
      <c r="E296" s="148">
        <v>402000</v>
      </c>
      <c r="F296" s="44">
        <f t="shared" si="15"/>
        <v>40200</v>
      </c>
      <c r="G296" s="149">
        <f t="shared" si="17"/>
        <v>442200</v>
      </c>
      <c r="H296" s="149">
        <v>442200</v>
      </c>
      <c r="I296" s="150">
        <f t="shared" si="16"/>
        <v>0</v>
      </c>
      <c r="J296" s="151">
        <v>45000</v>
      </c>
    </row>
    <row r="297" spans="1:10" ht="21.75" hidden="1" customHeight="1" x14ac:dyDescent="0.35">
      <c r="A297" s="145" t="s">
        <v>1809</v>
      </c>
      <c r="B297" s="155" t="s">
        <v>1870</v>
      </c>
      <c r="C297" s="155"/>
      <c r="D297" s="147">
        <v>44984</v>
      </c>
      <c r="E297" s="148">
        <v>19697000</v>
      </c>
      <c r="F297" s="44">
        <f t="shared" si="15"/>
        <v>1969700</v>
      </c>
      <c r="G297" s="149">
        <f t="shared" si="17"/>
        <v>21666700</v>
      </c>
      <c r="H297" s="149">
        <v>21666700</v>
      </c>
      <c r="I297" s="150">
        <f t="shared" si="16"/>
        <v>0</v>
      </c>
      <c r="J297" s="151">
        <v>45000</v>
      </c>
    </row>
    <row r="298" spans="1:10" ht="21.75" hidden="1" customHeight="1" x14ac:dyDescent="0.35">
      <c r="A298" s="145" t="s">
        <v>1632</v>
      </c>
      <c r="B298" s="155" t="s">
        <v>1871</v>
      </c>
      <c r="C298" s="155"/>
      <c r="D298" s="147">
        <v>44984</v>
      </c>
      <c r="E298" s="148">
        <v>8187800</v>
      </c>
      <c r="F298" s="44">
        <f t="shared" ref="F298:F361" si="18">+E298*0.1</f>
        <v>818780</v>
      </c>
      <c r="G298" s="149">
        <f t="shared" si="17"/>
        <v>9006580</v>
      </c>
      <c r="H298" s="149">
        <v>9006580</v>
      </c>
      <c r="I298" s="150">
        <f t="shared" si="16"/>
        <v>0</v>
      </c>
      <c r="J298" s="151">
        <v>45000</v>
      </c>
    </row>
    <row r="299" spans="1:10" ht="21.75" hidden="1" customHeight="1" x14ac:dyDescent="0.35">
      <c r="A299" s="145" t="s">
        <v>1827</v>
      </c>
      <c r="B299" s="155" t="s">
        <v>1872</v>
      </c>
      <c r="C299" s="155"/>
      <c r="D299" s="147">
        <v>44984</v>
      </c>
      <c r="E299" s="148">
        <v>2904000</v>
      </c>
      <c r="F299" s="44">
        <f t="shared" si="18"/>
        <v>290400</v>
      </c>
      <c r="G299" s="149">
        <f t="shared" si="17"/>
        <v>3194400</v>
      </c>
      <c r="H299" s="149">
        <v>3194400</v>
      </c>
      <c r="I299" s="150">
        <f t="shared" si="16"/>
        <v>0</v>
      </c>
      <c r="J299" s="151">
        <v>45000</v>
      </c>
    </row>
    <row r="300" spans="1:10" ht="21.75" hidden="1" customHeight="1" x14ac:dyDescent="0.35">
      <c r="A300" s="145" t="s">
        <v>1727</v>
      </c>
      <c r="B300" s="155" t="s">
        <v>1873</v>
      </c>
      <c r="C300" s="155"/>
      <c r="D300" s="147">
        <v>44984</v>
      </c>
      <c r="E300" s="148">
        <v>87327600</v>
      </c>
      <c r="F300" s="44">
        <f t="shared" si="18"/>
        <v>8732760</v>
      </c>
      <c r="G300" s="149">
        <f t="shared" si="17"/>
        <v>96060360</v>
      </c>
      <c r="H300" s="149">
        <v>96060360</v>
      </c>
      <c r="I300" s="150">
        <f t="shared" si="16"/>
        <v>0</v>
      </c>
      <c r="J300" s="151">
        <v>45000</v>
      </c>
    </row>
    <row r="301" spans="1:10" ht="21.75" hidden="1" customHeight="1" x14ac:dyDescent="0.35">
      <c r="A301" s="145" t="s">
        <v>1866</v>
      </c>
      <c r="B301" s="155" t="s">
        <v>1874</v>
      </c>
      <c r="C301" s="155"/>
      <c r="D301" s="147">
        <v>44984</v>
      </c>
      <c r="E301" s="148">
        <v>11462400</v>
      </c>
      <c r="F301" s="44">
        <f t="shared" si="18"/>
        <v>1146240</v>
      </c>
      <c r="G301" s="149">
        <f t="shared" si="17"/>
        <v>12608640</v>
      </c>
      <c r="H301" s="149">
        <v>12608640</v>
      </c>
      <c r="I301" s="150">
        <f t="shared" si="16"/>
        <v>0</v>
      </c>
      <c r="J301" s="151">
        <v>45000</v>
      </c>
    </row>
    <row r="302" spans="1:10" ht="21.75" hidden="1" customHeight="1" x14ac:dyDescent="0.35">
      <c r="A302" s="145" t="s">
        <v>1735</v>
      </c>
      <c r="B302" s="155" t="s">
        <v>1875</v>
      </c>
      <c r="C302" s="155"/>
      <c r="D302" s="147">
        <v>44984</v>
      </c>
      <c r="E302" s="148">
        <v>34588800</v>
      </c>
      <c r="F302" s="44">
        <f t="shared" si="18"/>
        <v>3458880</v>
      </c>
      <c r="G302" s="149">
        <f t="shared" si="17"/>
        <v>38047680</v>
      </c>
      <c r="H302" s="149">
        <v>38047680</v>
      </c>
      <c r="I302" s="150">
        <f t="shared" si="16"/>
        <v>0</v>
      </c>
      <c r="J302" s="151">
        <v>45000</v>
      </c>
    </row>
    <row r="303" spans="1:10" ht="21.75" hidden="1" customHeight="1" x14ac:dyDescent="0.35">
      <c r="A303" s="145" t="s">
        <v>1876</v>
      </c>
      <c r="B303" s="155" t="s">
        <v>1877</v>
      </c>
      <c r="C303" s="155"/>
      <c r="D303" s="147">
        <v>44984</v>
      </c>
      <c r="E303" s="148">
        <v>7172900</v>
      </c>
      <c r="F303" s="44">
        <f t="shared" si="18"/>
        <v>717290</v>
      </c>
      <c r="G303" s="149">
        <f t="shared" si="17"/>
        <v>7890190</v>
      </c>
      <c r="H303" s="149">
        <v>7890190</v>
      </c>
      <c r="I303" s="150">
        <f t="shared" si="16"/>
        <v>0</v>
      </c>
      <c r="J303" s="151">
        <v>45000</v>
      </c>
    </row>
    <row r="304" spans="1:10" ht="21.75" hidden="1" customHeight="1" x14ac:dyDescent="0.35">
      <c r="A304" s="145" t="s">
        <v>1739</v>
      </c>
      <c r="B304" s="155" t="s">
        <v>1878</v>
      </c>
      <c r="C304" s="155"/>
      <c r="D304" s="147">
        <v>44984</v>
      </c>
      <c r="E304" s="148">
        <v>13301800</v>
      </c>
      <c r="F304" s="44">
        <f t="shared" si="18"/>
        <v>1330180</v>
      </c>
      <c r="G304" s="149">
        <f t="shared" si="17"/>
        <v>14631980</v>
      </c>
      <c r="H304" s="149">
        <v>14631980</v>
      </c>
      <c r="I304" s="150">
        <f t="shared" si="16"/>
        <v>0</v>
      </c>
      <c r="J304" s="151">
        <v>45000</v>
      </c>
    </row>
    <row r="305" spans="1:10" ht="21.75" hidden="1" customHeight="1" x14ac:dyDescent="0.35">
      <c r="A305" s="145" t="s">
        <v>1879</v>
      </c>
      <c r="B305" s="155" t="s">
        <v>1880</v>
      </c>
      <c r="C305" s="155"/>
      <c r="D305" s="147">
        <v>44984</v>
      </c>
      <c r="E305" s="148">
        <v>27782200</v>
      </c>
      <c r="F305" s="44">
        <f t="shared" si="18"/>
        <v>2778220</v>
      </c>
      <c r="G305" s="149">
        <f t="shared" si="17"/>
        <v>30560420</v>
      </c>
      <c r="H305" s="149">
        <v>30560420</v>
      </c>
      <c r="I305" s="150">
        <f t="shared" si="16"/>
        <v>0</v>
      </c>
      <c r="J305" s="151">
        <v>45000</v>
      </c>
    </row>
    <row r="306" spans="1:10" ht="21.75" hidden="1" customHeight="1" x14ac:dyDescent="0.35">
      <c r="A306" s="145" t="s">
        <v>1881</v>
      </c>
      <c r="B306" s="155" t="s">
        <v>1882</v>
      </c>
      <c r="C306" s="155"/>
      <c r="D306" s="147">
        <v>44984</v>
      </c>
      <c r="E306" s="148">
        <v>6330900</v>
      </c>
      <c r="F306" s="44">
        <f t="shared" si="18"/>
        <v>633090</v>
      </c>
      <c r="G306" s="149">
        <f t="shared" si="17"/>
        <v>6963990</v>
      </c>
      <c r="H306" s="149">
        <v>6963990</v>
      </c>
      <c r="I306" s="150">
        <f t="shared" si="16"/>
        <v>0</v>
      </c>
      <c r="J306" s="151">
        <v>45000</v>
      </c>
    </row>
    <row r="307" spans="1:10" ht="21.75" hidden="1" customHeight="1" x14ac:dyDescent="0.35">
      <c r="A307" s="145" t="s">
        <v>1798</v>
      </c>
      <c r="B307" s="155" t="s">
        <v>1883</v>
      </c>
      <c r="C307" s="155"/>
      <c r="D307" s="147">
        <v>44984</v>
      </c>
      <c r="E307" s="148">
        <v>17406400</v>
      </c>
      <c r="F307" s="44">
        <f t="shared" si="18"/>
        <v>1740640</v>
      </c>
      <c r="G307" s="149">
        <f t="shared" si="17"/>
        <v>19147040</v>
      </c>
      <c r="H307" s="149">
        <v>19147040</v>
      </c>
      <c r="I307" s="150">
        <f t="shared" si="16"/>
        <v>0</v>
      </c>
      <c r="J307" s="151">
        <v>45000</v>
      </c>
    </row>
    <row r="308" spans="1:10" ht="21.75" hidden="1" customHeight="1" x14ac:dyDescent="0.35">
      <c r="A308" s="145" t="s">
        <v>1755</v>
      </c>
      <c r="B308" s="155" t="s">
        <v>1884</v>
      </c>
      <c r="C308" s="155"/>
      <c r="D308" s="147">
        <v>44984</v>
      </c>
      <c r="E308" s="148">
        <v>17323900</v>
      </c>
      <c r="F308" s="44">
        <f t="shared" si="18"/>
        <v>1732390</v>
      </c>
      <c r="G308" s="149">
        <f t="shared" si="17"/>
        <v>19056290</v>
      </c>
      <c r="H308" s="149">
        <v>19056290</v>
      </c>
      <c r="I308" s="150">
        <f t="shared" si="16"/>
        <v>0</v>
      </c>
      <c r="J308" s="151">
        <v>45000</v>
      </c>
    </row>
    <row r="309" spans="1:10" ht="21.75" hidden="1" customHeight="1" x14ac:dyDescent="0.35">
      <c r="A309" s="145" t="s">
        <v>1885</v>
      </c>
      <c r="B309" s="155" t="s">
        <v>1886</v>
      </c>
      <c r="C309" s="155"/>
      <c r="D309" s="147">
        <v>44984</v>
      </c>
      <c r="E309" s="148">
        <v>3364800</v>
      </c>
      <c r="F309" s="44">
        <f t="shared" si="18"/>
        <v>336480</v>
      </c>
      <c r="G309" s="149">
        <f t="shared" si="17"/>
        <v>3701280</v>
      </c>
      <c r="H309" s="149">
        <v>3701280</v>
      </c>
      <c r="I309" s="150">
        <f t="shared" si="16"/>
        <v>0</v>
      </c>
      <c r="J309" s="151">
        <v>45000</v>
      </c>
    </row>
    <row r="310" spans="1:10" ht="21.75" hidden="1" customHeight="1" x14ac:dyDescent="0.35">
      <c r="A310" s="145" t="s">
        <v>1725</v>
      </c>
      <c r="B310" s="155" t="s">
        <v>1887</v>
      </c>
      <c r="C310" s="155"/>
      <c r="D310" s="147">
        <v>44984</v>
      </c>
      <c r="E310" s="148">
        <v>12853400</v>
      </c>
      <c r="F310" s="44">
        <f t="shared" si="18"/>
        <v>1285340</v>
      </c>
      <c r="G310" s="149">
        <f t="shared" si="17"/>
        <v>14138740</v>
      </c>
      <c r="H310" s="149">
        <v>14138740</v>
      </c>
      <c r="I310" s="150">
        <f t="shared" si="16"/>
        <v>0</v>
      </c>
      <c r="J310" s="151">
        <v>45000</v>
      </c>
    </row>
    <row r="311" spans="1:10" ht="21.75" hidden="1" customHeight="1" x14ac:dyDescent="0.35">
      <c r="A311" s="145" t="s">
        <v>1888</v>
      </c>
      <c r="B311" s="155" t="s">
        <v>1889</v>
      </c>
      <c r="C311" s="155"/>
      <c r="D311" s="147">
        <v>44984</v>
      </c>
      <c r="E311" s="148">
        <v>6244400</v>
      </c>
      <c r="F311" s="44">
        <f t="shared" si="18"/>
        <v>624440</v>
      </c>
      <c r="G311" s="149">
        <f t="shared" si="17"/>
        <v>6868840</v>
      </c>
      <c r="H311" s="149">
        <v>6868840</v>
      </c>
      <c r="I311" s="150">
        <f t="shared" si="16"/>
        <v>0</v>
      </c>
      <c r="J311" s="151">
        <v>45000</v>
      </c>
    </row>
    <row r="312" spans="1:10" ht="21.75" hidden="1" customHeight="1" x14ac:dyDescent="0.35">
      <c r="A312" s="145" t="s">
        <v>1890</v>
      </c>
      <c r="B312" s="155" t="s">
        <v>1891</v>
      </c>
      <c r="C312" s="155"/>
      <c r="D312" s="147">
        <v>44984</v>
      </c>
      <c r="E312" s="148">
        <v>1269000</v>
      </c>
      <c r="F312" s="44">
        <f t="shared" si="18"/>
        <v>126900</v>
      </c>
      <c r="G312" s="149">
        <f t="shared" si="17"/>
        <v>1395900</v>
      </c>
      <c r="H312" s="149">
        <v>1395900</v>
      </c>
      <c r="I312" s="150">
        <f t="shared" si="16"/>
        <v>0</v>
      </c>
      <c r="J312" s="151">
        <v>45000</v>
      </c>
    </row>
    <row r="313" spans="1:10" ht="21.75" hidden="1" customHeight="1" x14ac:dyDescent="0.35">
      <c r="A313" s="145" t="s">
        <v>1892</v>
      </c>
      <c r="B313" s="155" t="s">
        <v>1893</v>
      </c>
      <c r="C313" s="155"/>
      <c r="D313" s="147">
        <v>44984</v>
      </c>
      <c r="E313" s="148">
        <v>14697000</v>
      </c>
      <c r="F313" s="44">
        <f t="shared" si="18"/>
        <v>1469700</v>
      </c>
      <c r="G313" s="149">
        <f t="shared" si="17"/>
        <v>16166700</v>
      </c>
      <c r="H313" s="149">
        <v>16166700</v>
      </c>
      <c r="I313" s="150">
        <f t="shared" si="16"/>
        <v>0</v>
      </c>
      <c r="J313" s="151">
        <v>45000</v>
      </c>
    </row>
    <row r="314" spans="1:10" ht="21.75" hidden="1" customHeight="1" x14ac:dyDescent="0.35">
      <c r="A314" s="145" t="s">
        <v>1894</v>
      </c>
      <c r="B314" s="155" t="s">
        <v>1895</v>
      </c>
      <c r="C314" s="155"/>
      <c r="D314" s="147">
        <v>44984</v>
      </c>
      <c r="E314" s="148">
        <v>1700000</v>
      </c>
      <c r="F314" s="44">
        <f t="shared" si="18"/>
        <v>170000</v>
      </c>
      <c r="G314" s="149">
        <f t="shared" si="17"/>
        <v>1870000</v>
      </c>
      <c r="H314" s="149">
        <v>1870000</v>
      </c>
      <c r="I314" s="150">
        <f t="shared" si="16"/>
        <v>0</v>
      </c>
      <c r="J314" s="151">
        <v>45000</v>
      </c>
    </row>
    <row r="315" spans="1:10" ht="21.75" hidden="1" customHeight="1" x14ac:dyDescent="0.35">
      <c r="A315" s="145" t="s">
        <v>1769</v>
      </c>
      <c r="B315" s="155" t="s">
        <v>1896</v>
      </c>
      <c r="C315" s="155"/>
      <c r="D315" s="147">
        <v>44984</v>
      </c>
      <c r="E315" s="148">
        <v>40578400</v>
      </c>
      <c r="F315" s="44">
        <f t="shared" si="18"/>
        <v>4057840</v>
      </c>
      <c r="G315" s="149">
        <f t="shared" si="17"/>
        <v>44636240</v>
      </c>
      <c r="H315" s="149">
        <v>44636240</v>
      </c>
      <c r="I315" s="150">
        <f t="shared" si="16"/>
        <v>0</v>
      </c>
      <c r="J315" s="151">
        <v>45000</v>
      </c>
    </row>
    <row r="316" spans="1:10" ht="21.75" hidden="1" customHeight="1" x14ac:dyDescent="0.35">
      <c r="A316" s="145" t="s">
        <v>1897</v>
      </c>
      <c r="B316" s="155" t="s">
        <v>1898</v>
      </c>
      <c r="C316" s="155"/>
      <c r="D316" s="147">
        <v>44984</v>
      </c>
      <c r="E316" s="148">
        <v>18295800</v>
      </c>
      <c r="F316" s="44">
        <f t="shared" si="18"/>
        <v>1829580</v>
      </c>
      <c r="G316" s="149">
        <f t="shared" si="17"/>
        <v>20125380</v>
      </c>
      <c r="H316" s="149">
        <v>20125380</v>
      </c>
      <c r="I316" s="150">
        <f t="shared" si="16"/>
        <v>0</v>
      </c>
      <c r="J316" s="151">
        <v>45000</v>
      </c>
    </row>
    <row r="317" spans="1:10" ht="21.75" hidden="1" customHeight="1" x14ac:dyDescent="0.35">
      <c r="A317" s="145" t="s">
        <v>1899</v>
      </c>
      <c r="B317" s="155" t="s">
        <v>1900</v>
      </c>
      <c r="C317" s="155"/>
      <c r="D317" s="147">
        <v>44984</v>
      </c>
      <c r="E317" s="148">
        <v>12852000</v>
      </c>
      <c r="F317" s="44">
        <f t="shared" si="18"/>
        <v>1285200</v>
      </c>
      <c r="G317" s="149">
        <f t="shared" si="17"/>
        <v>14137200</v>
      </c>
      <c r="H317" s="149">
        <v>14137200</v>
      </c>
      <c r="I317" s="150">
        <f t="shared" si="16"/>
        <v>0</v>
      </c>
      <c r="J317" s="151">
        <v>45000</v>
      </c>
    </row>
    <row r="318" spans="1:10" ht="21.75" hidden="1" customHeight="1" x14ac:dyDescent="0.35">
      <c r="A318" s="145" t="s">
        <v>1901</v>
      </c>
      <c r="B318" s="155" t="s">
        <v>1902</v>
      </c>
      <c r="C318" s="155"/>
      <c r="D318" s="147">
        <v>44984</v>
      </c>
      <c r="E318" s="148">
        <v>20512000</v>
      </c>
      <c r="F318" s="44">
        <f t="shared" si="18"/>
        <v>2051200</v>
      </c>
      <c r="G318" s="149">
        <f t="shared" si="17"/>
        <v>22563200</v>
      </c>
      <c r="H318" s="149">
        <v>22563200</v>
      </c>
      <c r="I318" s="150">
        <f t="shared" si="16"/>
        <v>0</v>
      </c>
      <c r="J318" s="151">
        <v>45000</v>
      </c>
    </row>
    <row r="319" spans="1:10" ht="21.75" hidden="1" customHeight="1" x14ac:dyDescent="0.35">
      <c r="A319" s="145" t="s">
        <v>1903</v>
      </c>
      <c r="B319" s="155" t="s">
        <v>1904</v>
      </c>
      <c r="C319" s="155"/>
      <c r="D319" s="147">
        <v>44984</v>
      </c>
      <c r="E319" s="148">
        <v>17482800</v>
      </c>
      <c r="F319" s="44">
        <f t="shared" si="18"/>
        <v>1748280</v>
      </c>
      <c r="G319" s="149">
        <f t="shared" si="17"/>
        <v>19231080</v>
      </c>
      <c r="H319" s="149">
        <v>19231080</v>
      </c>
      <c r="I319" s="150">
        <f t="shared" si="16"/>
        <v>0</v>
      </c>
      <c r="J319" s="151">
        <v>45000</v>
      </c>
    </row>
    <row r="320" spans="1:10" ht="21.75" hidden="1" customHeight="1" x14ac:dyDescent="0.35">
      <c r="A320" s="145" t="s">
        <v>1905</v>
      </c>
      <c r="B320" s="155" t="s">
        <v>1906</v>
      </c>
      <c r="C320" s="155"/>
      <c r="D320" s="147">
        <v>44984</v>
      </c>
      <c r="E320" s="148">
        <v>7835000</v>
      </c>
      <c r="F320" s="44">
        <f t="shared" si="18"/>
        <v>783500</v>
      </c>
      <c r="G320" s="149">
        <f t="shared" si="17"/>
        <v>8618500</v>
      </c>
      <c r="H320" s="149">
        <v>8618500</v>
      </c>
      <c r="I320" s="150">
        <f t="shared" si="16"/>
        <v>0</v>
      </c>
      <c r="J320" s="151">
        <v>45000</v>
      </c>
    </row>
    <row r="321" spans="1:10" ht="21.75" hidden="1" customHeight="1" x14ac:dyDescent="0.35">
      <c r="A321" s="145" t="s">
        <v>1907</v>
      </c>
      <c r="B321" s="155" t="s">
        <v>1908</v>
      </c>
      <c r="C321" s="155"/>
      <c r="D321" s="147">
        <v>44984</v>
      </c>
      <c r="E321" s="148">
        <v>16002300</v>
      </c>
      <c r="F321" s="44">
        <f t="shared" si="18"/>
        <v>1600230</v>
      </c>
      <c r="G321" s="149">
        <f t="shared" si="17"/>
        <v>17602530</v>
      </c>
      <c r="H321" s="149">
        <v>17602530</v>
      </c>
      <c r="I321" s="150">
        <f t="shared" si="16"/>
        <v>0</v>
      </c>
      <c r="J321" s="151">
        <v>45000</v>
      </c>
    </row>
    <row r="322" spans="1:10" ht="21.75" hidden="1" customHeight="1" x14ac:dyDescent="0.35">
      <c r="A322" s="145" t="s">
        <v>1377</v>
      </c>
      <c r="B322" s="155" t="s">
        <v>1909</v>
      </c>
      <c r="C322" s="155"/>
      <c r="D322" s="147">
        <v>44985</v>
      </c>
      <c r="E322" s="148">
        <v>3948000</v>
      </c>
      <c r="F322" s="44">
        <f t="shared" si="18"/>
        <v>394800</v>
      </c>
      <c r="G322" s="149">
        <f t="shared" si="17"/>
        <v>4342800</v>
      </c>
      <c r="H322" s="149">
        <v>4342800</v>
      </c>
      <c r="I322" s="150">
        <f t="shared" si="16"/>
        <v>0</v>
      </c>
      <c r="J322" s="151">
        <v>45000</v>
      </c>
    </row>
    <row r="323" spans="1:10" ht="21.75" hidden="1" customHeight="1" x14ac:dyDescent="0.35">
      <c r="A323" s="145" t="s">
        <v>1667</v>
      </c>
      <c r="B323" s="155" t="s">
        <v>1910</v>
      </c>
      <c r="C323" s="155"/>
      <c r="D323" s="147">
        <v>44985</v>
      </c>
      <c r="E323" s="148">
        <v>51587600</v>
      </c>
      <c r="F323" s="44">
        <f t="shared" si="18"/>
        <v>5158760</v>
      </c>
      <c r="G323" s="149">
        <f t="shared" si="17"/>
        <v>56746360</v>
      </c>
      <c r="H323" s="149">
        <v>56746360</v>
      </c>
      <c r="I323" s="150">
        <f t="shared" si="16"/>
        <v>0</v>
      </c>
      <c r="J323" s="151">
        <v>45000</v>
      </c>
    </row>
    <row r="324" spans="1:10" ht="21.75" hidden="1" customHeight="1" x14ac:dyDescent="0.35">
      <c r="A324" s="145" t="s">
        <v>1628</v>
      </c>
      <c r="B324" s="155" t="s">
        <v>1911</v>
      </c>
      <c r="C324" s="155"/>
      <c r="D324" s="147">
        <v>44985</v>
      </c>
      <c r="E324" s="148">
        <v>19901600</v>
      </c>
      <c r="F324" s="44">
        <f t="shared" si="18"/>
        <v>1990160</v>
      </c>
      <c r="G324" s="149">
        <f t="shared" si="17"/>
        <v>21891760</v>
      </c>
      <c r="H324" s="149">
        <v>21891760</v>
      </c>
      <c r="I324" s="150">
        <f t="shared" si="16"/>
        <v>0</v>
      </c>
      <c r="J324" s="151">
        <v>45000</v>
      </c>
    </row>
    <row r="325" spans="1:10" ht="21.75" hidden="1" customHeight="1" x14ac:dyDescent="0.35">
      <c r="A325" s="145" t="s">
        <v>1912</v>
      </c>
      <c r="B325" s="155" t="s">
        <v>1913</v>
      </c>
      <c r="C325" s="155"/>
      <c r="D325" s="147">
        <v>44985</v>
      </c>
      <c r="E325" s="148">
        <v>8560400</v>
      </c>
      <c r="F325" s="44">
        <f t="shared" si="18"/>
        <v>856040</v>
      </c>
      <c r="G325" s="149">
        <f t="shared" si="17"/>
        <v>9416440</v>
      </c>
      <c r="H325" s="149">
        <v>9416440</v>
      </c>
      <c r="I325" s="150">
        <f t="shared" si="16"/>
        <v>0</v>
      </c>
      <c r="J325" s="151">
        <v>45000</v>
      </c>
    </row>
    <row r="326" spans="1:10" ht="21.75" hidden="1" customHeight="1" x14ac:dyDescent="0.35">
      <c r="A326" s="145" t="s">
        <v>1914</v>
      </c>
      <c r="B326" s="155" t="s">
        <v>1915</v>
      </c>
      <c r="C326" s="155"/>
      <c r="D326" s="147">
        <v>44985</v>
      </c>
      <c r="E326" s="148">
        <v>4446000</v>
      </c>
      <c r="F326" s="44">
        <f t="shared" si="18"/>
        <v>444600</v>
      </c>
      <c r="G326" s="149">
        <f t="shared" si="17"/>
        <v>4890600</v>
      </c>
      <c r="H326" s="149">
        <v>4890600</v>
      </c>
      <c r="I326" s="150">
        <f t="shared" si="16"/>
        <v>0</v>
      </c>
      <c r="J326" s="151">
        <v>45000</v>
      </c>
    </row>
    <row r="327" spans="1:10" ht="21.75" hidden="1" customHeight="1" x14ac:dyDescent="0.35">
      <c r="A327" s="145" t="s">
        <v>1916</v>
      </c>
      <c r="B327" s="155" t="s">
        <v>1917</v>
      </c>
      <c r="C327" s="155"/>
      <c r="D327" s="147">
        <v>44985</v>
      </c>
      <c r="E327" s="148">
        <v>22554300</v>
      </c>
      <c r="F327" s="44">
        <f t="shared" si="18"/>
        <v>2255430</v>
      </c>
      <c r="G327" s="149">
        <f t="shared" si="17"/>
        <v>24809730</v>
      </c>
      <c r="H327" s="149">
        <v>24809730</v>
      </c>
      <c r="I327" s="150">
        <f t="shared" si="16"/>
        <v>0</v>
      </c>
      <c r="J327" s="151">
        <v>45000</v>
      </c>
    </row>
    <row r="328" spans="1:10" ht="21.75" hidden="1" customHeight="1" x14ac:dyDescent="0.35">
      <c r="A328" s="145" t="s">
        <v>1918</v>
      </c>
      <c r="B328" s="155" t="s">
        <v>1919</v>
      </c>
      <c r="C328" s="155"/>
      <c r="D328" s="147">
        <v>44985</v>
      </c>
      <c r="E328" s="148">
        <v>5959200</v>
      </c>
      <c r="F328" s="44">
        <f t="shared" si="18"/>
        <v>595920</v>
      </c>
      <c r="G328" s="149">
        <f t="shared" si="17"/>
        <v>6555120</v>
      </c>
      <c r="H328" s="149">
        <v>6555120</v>
      </c>
      <c r="I328" s="150">
        <f t="shared" ref="I328:I391" si="19">+G328-H328</f>
        <v>0</v>
      </c>
      <c r="J328" s="151">
        <v>45000</v>
      </c>
    </row>
    <row r="329" spans="1:10" ht="21.75" hidden="1" customHeight="1" x14ac:dyDescent="0.35">
      <c r="A329" s="145" t="s">
        <v>1920</v>
      </c>
      <c r="B329" s="155" t="s">
        <v>1921</v>
      </c>
      <c r="C329" s="155"/>
      <c r="D329" s="147">
        <v>44985</v>
      </c>
      <c r="E329" s="148">
        <v>7581000</v>
      </c>
      <c r="F329" s="44">
        <f t="shared" si="18"/>
        <v>758100</v>
      </c>
      <c r="G329" s="149">
        <f t="shared" si="17"/>
        <v>8339100</v>
      </c>
      <c r="H329" s="149">
        <v>8339100</v>
      </c>
      <c r="I329" s="150">
        <f t="shared" si="19"/>
        <v>0</v>
      </c>
      <c r="J329" s="151">
        <v>45000</v>
      </c>
    </row>
    <row r="330" spans="1:10" ht="21.75" hidden="1" customHeight="1" x14ac:dyDescent="0.35">
      <c r="A330" s="145" t="s">
        <v>1655</v>
      </c>
      <c r="B330" s="155" t="s">
        <v>1922</v>
      </c>
      <c r="C330" s="155"/>
      <c r="D330" s="147">
        <v>44985</v>
      </c>
      <c r="E330" s="148">
        <v>5563000</v>
      </c>
      <c r="F330" s="44">
        <f t="shared" si="18"/>
        <v>556300</v>
      </c>
      <c r="G330" s="149">
        <f t="shared" si="17"/>
        <v>6119300</v>
      </c>
      <c r="H330" s="149">
        <v>6119300</v>
      </c>
      <c r="I330" s="150">
        <f t="shared" si="19"/>
        <v>0</v>
      </c>
      <c r="J330" s="151">
        <v>45000</v>
      </c>
    </row>
    <row r="331" spans="1:10" ht="21.75" hidden="1" customHeight="1" x14ac:dyDescent="0.35">
      <c r="A331" s="145" t="s">
        <v>1923</v>
      </c>
      <c r="B331" s="155" t="s">
        <v>1924</v>
      </c>
      <c r="C331" s="155"/>
      <c r="D331" s="147">
        <v>44985</v>
      </c>
      <c r="E331" s="148">
        <v>351000</v>
      </c>
      <c r="F331" s="44">
        <f t="shared" si="18"/>
        <v>35100</v>
      </c>
      <c r="G331" s="149">
        <f t="shared" ref="G331:G394" si="20">+F331+E331</f>
        <v>386100</v>
      </c>
      <c r="H331" s="149">
        <v>386100</v>
      </c>
      <c r="I331" s="150">
        <f t="shared" si="19"/>
        <v>0</v>
      </c>
      <c r="J331" s="151">
        <v>45000</v>
      </c>
    </row>
    <row r="332" spans="1:10" ht="21.75" hidden="1" customHeight="1" x14ac:dyDescent="0.35">
      <c r="A332" s="145" t="s">
        <v>1885</v>
      </c>
      <c r="B332" s="155" t="s">
        <v>1925</v>
      </c>
      <c r="C332" s="155"/>
      <c r="D332" s="147">
        <v>44985</v>
      </c>
      <c r="E332" s="148">
        <v>720000</v>
      </c>
      <c r="F332" s="44">
        <f t="shared" si="18"/>
        <v>72000</v>
      </c>
      <c r="G332" s="149">
        <f t="shared" si="20"/>
        <v>792000</v>
      </c>
      <c r="H332" s="149">
        <v>792000</v>
      </c>
      <c r="I332" s="150">
        <f t="shared" si="19"/>
        <v>0</v>
      </c>
      <c r="J332" s="151">
        <v>45000</v>
      </c>
    </row>
    <row r="333" spans="1:10" ht="21.75" hidden="1" customHeight="1" x14ac:dyDescent="0.35">
      <c r="A333" s="145" t="s">
        <v>1926</v>
      </c>
      <c r="B333" s="155" t="s">
        <v>1927</v>
      </c>
      <c r="C333" s="155"/>
      <c r="D333" s="147">
        <v>44985</v>
      </c>
      <c r="E333" s="148">
        <v>28188800</v>
      </c>
      <c r="F333" s="44">
        <f t="shared" si="18"/>
        <v>2818880</v>
      </c>
      <c r="G333" s="149">
        <f t="shared" si="20"/>
        <v>31007680</v>
      </c>
      <c r="H333" s="149">
        <v>31007680</v>
      </c>
      <c r="I333" s="150">
        <f t="shared" si="19"/>
        <v>0</v>
      </c>
      <c r="J333" s="151">
        <v>45000</v>
      </c>
    </row>
    <row r="334" spans="1:10" ht="21.75" hidden="1" customHeight="1" x14ac:dyDescent="0.35">
      <c r="A334" s="145" t="s">
        <v>1928</v>
      </c>
      <c r="B334" s="155" t="s">
        <v>1929</v>
      </c>
      <c r="C334" s="155"/>
      <c r="D334" s="147">
        <v>44985</v>
      </c>
      <c r="E334" s="148">
        <v>15395700</v>
      </c>
      <c r="F334" s="44">
        <f t="shared" si="18"/>
        <v>1539570</v>
      </c>
      <c r="G334" s="149">
        <f t="shared" si="20"/>
        <v>16935270</v>
      </c>
      <c r="H334" s="149">
        <v>16935270</v>
      </c>
      <c r="I334" s="150">
        <f t="shared" si="19"/>
        <v>0</v>
      </c>
      <c r="J334" s="151">
        <v>45000</v>
      </c>
    </row>
    <row r="335" spans="1:10" ht="21.75" hidden="1" customHeight="1" x14ac:dyDescent="0.35">
      <c r="A335" s="145" t="s">
        <v>1930</v>
      </c>
      <c r="B335" s="155" t="s">
        <v>1931</v>
      </c>
      <c r="C335" s="155"/>
      <c r="D335" s="147">
        <v>44992</v>
      </c>
      <c r="E335" s="148">
        <v>5865500</v>
      </c>
      <c r="F335" s="44">
        <f t="shared" si="18"/>
        <v>586550</v>
      </c>
      <c r="G335" s="149">
        <f t="shared" si="20"/>
        <v>6452050</v>
      </c>
      <c r="H335" s="149">
        <v>6452050</v>
      </c>
      <c r="I335" s="150">
        <f t="shared" si="19"/>
        <v>0</v>
      </c>
      <c r="J335" s="151">
        <v>45000</v>
      </c>
    </row>
    <row r="336" spans="1:10" ht="21.75" hidden="1" customHeight="1" x14ac:dyDescent="0.35">
      <c r="A336" s="145" t="s">
        <v>1932</v>
      </c>
      <c r="B336" s="155" t="s">
        <v>1933</v>
      </c>
      <c r="C336" s="155"/>
      <c r="D336" s="147">
        <v>44992</v>
      </c>
      <c r="E336" s="148">
        <v>17500200</v>
      </c>
      <c r="F336" s="44">
        <f t="shared" si="18"/>
        <v>1750020</v>
      </c>
      <c r="G336" s="149">
        <f t="shared" si="20"/>
        <v>19250220</v>
      </c>
      <c r="H336" s="149">
        <v>19250220</v>
      </c>
      <c r="I336" s="150">
        <f t="shared" si="19"/>
        <v>0</v>
      </c>
      <c r="J336" s="151">
        <v>45000</v>
      </c>
    </row>
    <row r="337" spans="1:10" ht="21.75" hidden="1" customHeight="1" x14ac:dyDescent="0.35">
      <c r="A337" s="145" t="s">
        <v>1379</v>
      </c>
      <c r="B337" s="155" t="s">
        <v>1934</v>
      </c>
      <c r="C337" s="155"/>
      <c r="D337" s="147">
        <v>44992</v>
      </c>
      <c r="E337" s="148">
        <v>13934000</v>
      </c>
      <c r="F337" s="44">
        <f t="shared" si="18"/>
        <v>1393400</v>
      </c>
      <c r="G337" s="149">
        <f t="shared" si="20"/>
        <v>15327400</v>
      </c>
      <c r="H337" s="149">
        <v>15327400</v>
      </c>
      <c r="I337" s="150">
        <f t="shared" si="19"/>
        <v>0</v>
      </c>
      <c r="J337" s="151">
        <v>45000</v>
      </c>
    </row>
    <row r="338" spans="1:10" ht="21.75" hidden="1" customHeight="1" x14ac:dyDescent="0.35">
      <c r="A338" s="145" t="s">
        <v>1935</v>
      </c>
      <c r="B338" s="155" t="s">
        <v>1936</v>
      </c>
      <c r="C338" s="155"/>
      <c r="D338" s="147">
        <v>44992</v>
      </c>
      <c r="E338" s="148">
        <v>9054600</v>
      </c>
      <c r="F338" s="44">
        <f t="shared" si="18"/>
        <v>905460</v>
      </c>
      <c r="G338" s="149">
        <f t="shared" si="20"/>
        <v>9960060</v>
      </c>
      <c r="H338" s="149">
        <v>9960060</v>
      </c>
      <c r="I338" s="150">
        <f t="shared" si="19"/>
        <v>0</v>
      </c>
      <c r="J338" s="151">
        <v>45000</v>
      </c>
    </row>
    <row r="339" spans="1:10" ht="21.75" hidden="1" customHeight="1" x14ac:dyDescent="0.35">
      <c r="A339" s="145" t="s">
        <v>1937</v>
      </c>
      <c r="B339" s="155" t="s">
        <v>1938</v>
      </c>
      <c r="C339" s="155"/>
      <c r="D339" s="147">
        <v>44992</v>
      </c>
      <c r="E339" s="148">
        <v>14191600</v>
      </c>
      <c r="F339" s="44">
        <f t="shared" si="18"/>
        <v>1419160</v>
      </c>
      <c r="G339" s="149">
        <f t="shared" si="20"/>
        <v>15610760</v>
      </c>
      <c r="H339" s="149">
        <v>15610760</v>
      </c>
      <c r="I339" s="150">
        <f t="shared" si="19"/>
        <v>0</v>
      </c>
      <c r="J339" s="151">
        <v>45000</v>
      </c>
    </row>
    <row r="340" spans="1:10" ht="21.75" hidden="1" customHeight="1" x14ac:dyDescent="0.35">
      <c r="A340" s="145" t="s">
        <v>1939</v>
      </c>
      <c r="B340" s="155" t="s">
        <v>1940</v>
      </c>
      <c r="C340" s="155"/>
      <c r="D340" s="147">
        <v>44992</v>
      </c>
      <c r="E340" s="148">
        <v>8156100</v>
      </c>
      <c r="F340" s="44">
        <f t="shared" si="18"/>
        <v>815610</v>
      </c>
      <c r="G340" s="149">
        <f t="shared" si="20"/>
        <v>8971710</v>
      </c>
      <c r="H340" s="149">
        <v>8971710</v>
      </c>
      <c r="I340" s="150">
        <f t="shared" si="19"/>
        <v>0</v>
      </c>
      <c r="J340" s="151">
        <v>45000</v>
      </c>
    </row>
    <row r="341" spans="1:10" ht="21.75" hidden="1" customHeight="1" x14ac:dyDescent="0.35">
      <c r="A341" s="145" t="s">
        <v>1941</v>
      </c>
      <c r="B341" s="155" t="s">
        <v>1942</v>
      </c>
      <c r="C341" s="155"/>
      <c r="D341" s="147">
        <v>44992</v>
      </c>
      <c r="E341" s="148">
        <v>2728000</v>
      </c>
      <c r="F341" s="44">
        <f t="shared" si="18"/>
        <v>272800</v>
      </c>
      <c r="G341" s="149">
        <f t="shared" si="20"/>
        <v>3000800</v>
      </c>
      <c r="H341" s="149">
        <v>3000800</v>
      </c>
      <c r="I341" s="150">
        <f t="shared" si="19"/>
        <v>0</v>
      </c>
      <c r="J341" s="151">
        <v>45000</v>
      </c>
    </row>
    <row r="342" spans="1:10" ht="21.75" hidden="1" customHeight="1" x14ac:dyDescent="0.35">
      <c r="A342" s="145" t="s">
        <v>1943</v>
      </c>
      <c r="B342" s="146" t="s">
        <v>1944</v>
      </c>
      <c r="C342" s="146"/>
      <c r="D342" s="147">
        <v>45000</v>
      </c>
      <c r="E342" s="148">
        <v>17148500</v>
      </c>
      <c r="F342" s="44">
        <f t="shared" si="18"/>
        <v>1714850</v>
      </c>
      <c r="G342" s="149">
        <f t="shared" si="20"/>
        <v>18863350</v>
      </c>
      <c r="H342" s="149">
        <v>18863350</v>
      </c>
      <c r="I342" s="150">
        <f t="shared" si="19"/>
        <v>0</v>
      </c>
      <c r="J342" s="151">
        <v>45000</v>
      </c>
    </row>
    <row r="343" spans="1:10" ht="21.75" hidden="1" customHeight="1" x14ac:dyDescent="0.35">
      <c r="A343" s="145" t="s">
        <v>1686</v>
      </c>
      <c r="B343" s="146" t="s">
        <v>1945</v>
      </c>
      <c r="C343" s="146"/>
      <c r="D343" s="147">
        <v>45000</v>
      </c>
      <c r="E343" s="148">
        <v>34519600</v>
      </c>
      <c r="F343" s="44">
        <f t="shared" si="18"/>
        <v>3451960</v>
      </c>
      <c r="G343" s="149">
        <f t="shared" si="20"/>
        <v>37971560</v>
      </c>
      <c r="H343" s="149">
        <v>37971560</v>
      </c>
      <c r="I343" s="150">
        <f t="shared" si="19"/>
        <v>0</v>
      </c>
      <c r="J343" s="151">
        <v>45031</v>
      </c>
    </row>
    <row r="344" spans="1:10" ht="21.75" hidden="1" customHeight="1" x14ac:dyDescent="0.35">
      <c r="A344" s="145" t="s">
        <v>1392</v>
      </c>
      <c r="B344" s="146" t="s">
        <v>1946</v>
      </c>
      <c r="C344" s="146"/>
      <c r="D344" s="147">
        <v>45000</v>
      </c>
      <c r="E344" s="148">
        <v>16863200</v>
      </c>
      <c r="F344" s="44">
        <f t="shared" si="18"/>
        <v>1686320</v>
      </c>
      <c r="G344" s="149">
        <f t="shared" si="20"/>
        <v>18549520</v>
      </c>
      <c r="H344" s="149">
        <v>18549520</v>
      </c>
      <c r="I344" s="150">
        <f t="shared" si="19"/>
        <v>0</v>
      </c>
      <c r="J344" s="151">
        <v>45031</v>
      </c>
    </row>
    <row r="345" spans="1:10" ht="21.75" hidden="1" customHeight="1" x14ac:dyDescent="0.35">
      <c r="A345" s="145" t="s">
        <v>1367</v>
      </c>
      <c r="B345" s="146" t="s">
        <v>1947</v>
      </c>
      <c r="C345" s="146"/>
      <c r="D345" s="147">
        <v>45000</v>
      </c>
      <c r="E345" s="148">
        <v>6363800</v>
      </c>
      <c r="F345" s="44">
        <f t="shared" si="18"/>
        <v>636380</v>
      </c>
      <c r="G345" s="149">
        <f t="shared" si="20"/>
        <v>7000180</v>
      </c>
      <c r="H345" s="149">
        <v>7000180</v>
      </c>
      <c r="I345" s="150">
        <f t="shared" si="19"/>
        <v>0</v>
      </c>
      <c r="J345" s="151">
        <v>45031</v>
      </c>
    </row>
    <row r="346" spans="1:10" ht="21.75" hidden="1" customHeight="1" x14ac:dyDescent="0.35">
      <c r="A346" s="145" t="s">
        <v>1948</v>
      </c>
      <c r="B346" s="146" t="s">
        <v>1949</v>
      </c>
      <c r="C346" s="146"/>
      <c r="D346" s="147">
        <v>45000</v>
      </c>
      <c r="E346" s="148">
        <v>4535400</v>
      </c>
      <c r="F346" s="44">
        <f t="shared" si="18"/>
        <v>453540</v>
      </c>
      <c r="G346" s="149">
        <f t="shared" si="20"/>
        <v>4988940</v>
      </c>
      <c r="H346" s="149">
        <v>4988940</v>
      </c>
      <c r="I346" s="150">
        <f t="shared" si="19"/>
        <v>0</v>
      </c>
      <c r="J346" s="151">
        <v>45031</v>
      </c>
    </row>
    <row r="347" spans="1:10" ht="21.75" hidden="1" customHeight="1" x14ac:dyDescent="0.35">
      <c r="A347" s="145" t="s">
        <v>1950</v>
      </c>
      <c r="B347" s="146" t="s">
        <v>1951</v>
      </c>
      <c r="C347" s="146"/>
      <c r="D347" s="147">
        <v>45000</v>
      </c>
      <c r="E347" s="148">
        <v>6824500</v>
      </c>
      <c r="F347" s="44">
        <f t="shared" si="18"/>
        <v>682450</v>
      </c>
      <c r="G347" s="149">
        <f t="shared" si="20"/>
        <v>7506950</v>
      </c>
      <c r="H347" s="149">
        <v>7506950</v>
      </c>
      <c r="I347" s="150">
        <f t="shared" si="19"/>
        <v>0</v>
      </c>
      <c r="J347" s="151">
        <v>45031</v>
      </c>
    </row>
    <row r="348" spans="1:10" ht="21.75" hidden="1" customHeight="1" x14ac:dyDescent="0.35">
      <c r="A348" s="145" t="s">
        <v>1952</v>
      </c>
      <c r="B348" s="146" t="s">
        <v>1953</v>
      </c>
      <c r="C348" s="146"/>
      <c r="D348" s="147">
        <v>45000</v>
      </c>
      <c r="E348" s="148">
        <v>1687800</v>
      </c>
      <c r="F348" s="44">
        <f t="shared" si="18"/>
        <v>168780</v>
      </c>
      <c r="G348" s="149">
        <f t="shared" si="20"/>
        <v>1856580</v>
      </c>
      <c r="H348" s="149">
        <v>1856580</v>
      </c>
      <c r="I348" s="150">
        <f t="shared" si="19"/>
        <v>0</v>
      </c>
      <c r="J348" s="151">
        <v>45031</v>
      </c>
    </row>
    <row r="349" spans="1:10" ht="21.75" hidden="1" customHeight="1" x14ac:dyDescent="0.35">
      <c r="A349" s="145" t="s">
        <v>1675</v>
      </c>
      <c r="B349" s="146" t="s">
        <v>1954</v>
      </c>
      <c r="C349" s="146"/>
      <c r="D349" s="147">
        <v>45000</v>
      </c>
      <c r="E349" s="148">
        <v>12939400</v>
      </c>
      <c r="F349" s="44">
        <f t="shared" si="18"/>
        <v>1293940</v>
      </c>
      <c r="G349" s="149">
        <f t="shared" si="20"/>
        <v>14233340</v>
      </c>
      <c r="H349" s="149">
        <v>14233340</v>
      </c>
      <c r="I349" s="150">
        <f t="shared" si="19"/>
        <v>0</v>
      </c>
      <c r="J349" s="151">
        <v>45031</v>
      </c>
    </row>
    <row r="350" spans="1:10" ht="21.75" hidden="1" customHeight="1" x14ac:dyDescent="0.35">
      <c r="A350" s="145" t="s">
        <v>1677</v>
      </c>
      <c r="B350" s="146" t="s">
        <v>1660</v>
      </c>
      <c r="C350" s="146"/>
      <c r="D350" s="147">
        <v>45002</v>
      </c>
      <c r="E350" s="148">
        <v>6063400</v>
      </c>
      <c r="F350" s="44">
        <f t="shared" si="18"/>
        <v>606340</v>
      </c>
      <c r="G350" s="149">
        <f t="shared" si="20"/>
        <v>6669740</v>
      </c>
      <c r="H350" s="149">
        <v>6669740</v>
      </c>
      <c r="I350" s="150">
        <f t="shared" si="19"/>
        <v>0</v>
      </c>
      <c r="J350" s="151">
        <v>45031</v>
      </c>
    </row>
    <row r="351" spans="1:10" ht="21.75" hidden="1" customHeight="1" x14ac:dyDescent="0.35">
      <c r="A351" s="145" t="s">
        <v>1955</v>
      </c>
      <c r="B351" s="146" t="s">
        <v>1956</v>
      </c>
      <c r="C351" s="146"/>
      <c r="D351" s="147">
        <v>45002</v>
      </c>
      <c r="E351" s="148">
        <v>3117000</v>
      </c>
      <c r="F351" s="44">
        <f t="shared" si="18"/>
        <v>311700</v>
      </c>
      <c r="G351" s="149">
        <f t="shared" si="20"/>
        <v>3428700</v>
      </c>
      <c r="H351" s="149">
        <v>3428700</v>
      </c>
      <c r="I351" s="150">
        <f t="shared" si="19"/>
        <v>0</v>
      </c>
      <c r="J351" s="151">
        <v>45031</v>
      </c>
    </row>
    <row r="352" spans="1:10" ht="21.75" hidden="1" customHeight="1" x14ac:dyDescent="0.35">
      <c r="A352" s="145" t="s">
        <v>1406</v>
      </c>
      <c r="B352" s="146" t="s">
        <v>1957</v>
      </c>
      <c r="C352" s="146"/>
      <c r="D352" s="147">
        <v>45002</v>
      </c>
      <c r="E352" s="148">
        <v>10871000</v>
      </c>
      <c r="F352" s="44">
        <f t="shared" si="18"/>
        <v>1087100</v>
      </c>
      <c r="G352" s="149">
        <f t="shared" si="20"/>
        <v>11958100</v>
      </c>
      <c r="H352" s="149">
        <v>11958100</v>
      </c>
      <c r="I352" s="150">
        <f t="shared" si="19"/>
        <v>0</v>
      </c>
      <c r="J352" s="151">
        <v>45031</v>
      </c>
    </row>
    <row r="353" spans="1:13" ht="21.75" hidden="1" customHeight="1" x14ac:dyDescent="0.35">
      <c r="A353" s="145" t="s">
        <v>1899</v>
      </c>
      <c r="B353" s="146" t="s">
        <v>1958</v>
      </c>
      <c r="C353" s="146"/>
      <c r="D353" s="147">
        <v>45002</v>
      </c>
      <c r="E353" s="148">
        <v>125000</v>
      </c>
      <c r="F353" s="44">
        <f t="shared" si="18"/>
        <v>12500</v>
      </c>
      <c r="G353" s="149">
        <f t="shared" si="20"/>
        <v>137500</v>
      </c>
      <c r="H353" s="149">
        <v>137500</v>
      </c>
      <c r="I353" s="150">
        <f t="shared" si="19"/>
        <v>0</v>
      </c>
      <c r="J353" s="151">
        <v>45031</v>
      </c>
    </row>
    <row r="354" spans="1:13" ht="21.75" hidden="1" customHeight="1" x14ac:dyDescent="0.35">
      <c r="A354" s="145" t="s">
        <v>1959</v>
      </c>
      <c r="B354" s="146" t="s">
        <v>1960</v>
      </c>
      <c r="C354" s="146"/>
      <c r="D354" s="147">
        <v>45012</v>
      </c>
      <c r="E354" s="148">
        <v>23259200</v>
      </c>
      <c r="F354" s="44">
        <f t="shared" si="18"/>
        <v>2325920</v>
      </c>
      <c r="G354" s="149">
        <f t="shared" si="20"/>
        <v>25585120</v>
      </c>
      <c r="H354" s="149">
        <v>25585120</v>
      </c>
      <c r="I354" s="150">
        <f t="shared" si="19"/>
        <v>0</v>
      </c>
      <c r="J354" s="151">
        <v>45031</v>
      </c>
    </row>
    <row r="355" spans="1:13" ht="21.75" hidden="1" customHeight="1" x14ac:dyDescent="0.35">
      <c r="A355" s="145" t="s">
        <v>1697</v>
      </c>
      <c r="B355" s="146" t="s">
        <v>1961</v>
      </c>
      <c r="C355" s="146"/>
      <c r="D355" s="147">
        <v>45012</v>
      </c>
      <c r="E355" s="148">
        <v>5496400</v>
      </c>
      <c r="F355" s="44">
        <f t="shared" si="18"/>
        <v>549640</v>
      </c>
      <c r="G355" s="149">
        <f t="shared" si="20"/>
        <v>6046040</v>
      </c>
      <c r="H355" s="149">
        <v>6046040</v>
      </c>
      <c r="I355" s="150">
        <f t="shared" si="19"/>
        <v>0</v>
      </c>
      <c r="J355" s="151">
        <v>45031</v>
      </c>
    </row>
    <row r="356" spans="1:13" ht="21.75" hidden="1" customHeight="1" x14ac:dyDescent="0.35">
      <c r="A356" s="145" t="s">
        <v>1962</v>
      </c>
      <c r="B356" s="146" t="s">
        <v>1963</v>
      </c>
      <c r="C356" s="146"/>
      <c r="D356" s="147">
        <v>45012</v>
      </c>
      <c r="E356" s="148">
        <v>16672100</v>
      </c>
      <c r="F356" s="44">
        <f t="shared" si="18"/>
        <v>1667210</v>
      </c>
      <c r="G356" s="149">
        <f t="shared" si="20"/>
        <v>18339310</v>
      </c>
      <c r="H356" s="149">
        <v>18339310</v>
      </c>
      <c r="I356" s="150">
        <f t="shared" si="19"/>
        <v>0</v>
      </c>
      <c r="J356" s="151">
        <v>45031</v>
      </c>
    </row>
    <row r="357" spans="1:13" ht="21.75" hidden="1" customHeight="1" x14ac:dyDescent="0.35">
      <c r="A357" s="145" t="s">
        <v>1677</v>
      </c>
      <c r="B357" s="146" t="s">
        <v>1964</v>
      </c>
      <c r="C357" s="146"/>
      <c r="D357" s="147">
        <v>45012</v>
      </c>
      <c r="E357" s="148">
        <v>1856000</v>
      </c>
      <c r="F357" s="44">
        <f t="shared" si="18"/>
        <v>185600</v>
      </c>
      <c r="G357" s="149">
        <f t="shared" si="20"/>
        <v>2041600</v>
      </c>
      <c r="H357" s="149">
        <v>2041600</v>
      </c>
      <c r="I357" s="150">
        <f t="shared" si="19"/>
        <v>0</v>
      </c>
      <c r="J357" s="151">
        <v>45031</v>
      </c>
    </row>
    <row r="358" spans="1:13" ht="21.75" hidden="1" customHeight="1" x14ac:dyDescent="0.35">
      <c r="A358" s="145" t="s">
        <v>1965</v>
      </c>
      <c r="B358" s="146" t="s">
        <v>1966</v>
      </c>
      <c r="C358" s="146"/>
      <c r="D358" s="147">
        <v>45012</v>
      </c>
      <c r="E358" s="148">
        <v>5883600</v>
      </c>
      <c r="F358" s="44">
        <f t="shared" si="18"/>
        <v>588360</v>
      </c>
      <c r="G358" s="149">
        <f t="shared" si="20"/>
        <v>6471960</v>
      </c>
      <c r="H358" s="149">
        <v>6471960</v>
      </c>
      <c r="I358" s="150">
        <f t="shared" si="19"/>
        <v>0</v>
      </c>
      <c r="J358" s="151">
        <v>45031</v>
      </c>
    </row>
    <row r="359" spans="1:13" ht="21.75" hidden="1" customHeight="1" x14ac:dyDescent="0.35">
      <c r="A359" s="145" t="s">
        <v>1914</v>
      </c>
      <c r="B359" s="146" t="s">
        <v>1967</v>
      </c>
      <c r="C359" s="146"/>
      <c r="D359" s="147">
        <v>45012</v>
      </c>
      <c r="E359" s="148">
        <v>29636800</v>
      </c>
      <c r="F359" s="44">
        <f t="shared" si="18"/>
        <v>2963680</v>
      </c>
      <c r="G359" s="149">
        <f t="shared" si="20"/>
        <v>32600480</v>
      </c>
      <c r="H359" s="149">
        <v>32600480</v>
      </c>
      <c r="I359" s="150">
        <f t="shared" si="19"/>
        <v>0</v>
      </c>
      <c r="J359" s="151">
        <v>45031</v>
      </c>
    </row>
    <row r="360" spans="1:13" ht="21.75" hidden="1" customHeight="1" x14ac:dyDescent="0.35">
      <c r="A360" s="145" t="s">
        <v>1968</v>
      </c>
      <c r="B360" s="146" t="s">
        <v>1969</v>
      </c>
      <c r="C360" s="146"/>
      <c r="D360" s="147">
        <v>45012</v>
      </c>
      <c r="E360" s="148">
        <v>33716200</v>
      </c>
      <c r="F360" s="44">
        <f t="shared" si="18"/>
        <v>3371620</v>
      </c>
      <c r="G360" s="149">
        <f t="shared" si="20"/>
        <v>37087820</v>
      </c>
      <c r="H360" s="149">
        <v>37087820</v>
      </c>
      <c r="I360" s="150">
        <f t="shared" si="19"/>
        <v>0</v>
      </c>
      <c r="J360" s="151">
        <v>45031</v>
      </c>
    </row>
    <row r="361" spans="1:13" ht="21.75" hidden="1" customHeight="1" x14ac:dyDescent="0.35">
      <c r="A361" s="145" t="s">
        <v>1776</v>
      </c>
      <c r="B361" s="146" t="s">
        <v>1970</v>
      </c>
      <c r="C361" s="146"/>
      <c r="D361" s="147">
        <v>45012</v>
      </c>
      <c r="E361" s="148">
        <v>128000</v>
      </c>
      <c r="F361" s="44">
        <f t="shared" si="18"/>
        <v>12800</v>
      </c>
      <c r="G361" s="149">
        <f t="shared" si="20"/>
        <v>140800</v>
      </c>
      <c r="H361" s="149">
        <v>140800</v>
      </c>
      <c r="I361" s="150">
        <f t="shared" si="19"/>
        <v>0</v>
      </c>
      <c r="J361" s="151">
        <v>45031</v>
      </c>
    </row>
    <row r="362" spans="1:13" ht="21.75" hidden="1" customHeight="1" x14ac:dyDescent="0.35">
      <c r="A362" s="145" t="s">
        <v>1634</v>
      </c>
      <c r="B362" s="146" t="s">
        <v>1971</v>
      </c>
      <c r="C362" s="146"/>
      <c r="D362" s="147">
        <v>45014</v>
      </c>
      <c r="E362" s="148">
        <v>11721300</v>
      </c>
      <c r="F362" s="44">
        <f t="shared" ref="F362:F412" si="21">+E362*0.1</f>
        <v>1172130</v>
      </c>
      <c r="G362" s="149">
        <f t="shared" si="20"/>
        <v>12893430</v>
      </c>
      <c r="H362" s="149">
        <v>12893430</v>
      </c>
      <c r="I362" s="150">
        <f t="shared" si="19"/>
        <v>0</v>
      </c>
      <c r="J362" s="151">
        <v>45031</v>
      </c>
    </row>
    <row r="363" spans="1:13" ht="21.75" hidden="1" customHeight="1" x14ac:dyDescent="0.35">
      <c r="A363" s="145" t="s">
        <v>1972</v>
      </c>
      <c r="B363" s="146" t="s">
        <v>1973</v>
      </c>
      <c r="C363" s="146"/>
      <c r="D363" s="147">
        <v>45014</v>
      </c>
      <c r="E363" s="148">
        <v>9684000</v>
      </c>
      <c r="F363" s="44">
        <f t="shared" si="21"/>
        <v>968400</v>
      </c>
      <c r="G363" s="149">
        <f t="shared" si="20"/>
        <v>10652400</v>
      </c>
      <c r="H363" s="149">
        <v>10652400</v>
      </c>
      <c r="I363" s="150">
        <f t="shared" si="19"/>
        <v>0</v>
      </c>
      <c r="J363" s="151">
        <v>45031</v>
      </c>
      <c r="K363" s="159"/>
      <c r="L363" s="160"/>
      <c r="M363" s="160"/>
    </row>
    <row r="364" spans="1:13" ht="21.75" hidden="1" customHeight="1" x14ac:dyDescent="0.35">
      <c r="A364" s="145" t="s">
        <v>1974</v>
      </c>
      <c r="B364" s="146" t="s">
        <v>1975</v>
      </c>
      <c r="C364" s="146"/>
      <c r="D364" s="147">
        <v>45016</v>
      </c>
      <c r="E364" s="148">
        <v>17754600</v>
      </c>
      <c r="F364" s="44">
        <f t="shared" si="21"/>
        <v>1775460</v>
      </c>
      <c r="G364" s="149">
        <f t="shared" si="20"/>
        <v>19530060</v>
      </c>
      <c r="H364" s="149">
        <v>19530060</v>
      </c>
      <c r="I364" s="150">
        <f t="shared" si="19"/>
        <v>0</v>
      </c>
      <c r="J364" s="151">
        <v>45031</v>
      </c>
    </row>
    <row r="365" spans="1:13" ht="21.75" hidden="1" customHeight="1" x14ac:dyDescent="0.35">
      <c r="A365" s="145" t="s">
        <v>1976</v>
      </c>
      <c r="B365" s="146" t="s">
        <v>1977</v>
      </c>
      <c r="C365" s="146"/>
      <c r="D365" s="147">
        <v>45016</v>
      </c>
      <c r="E365" s="148">
        <v>3450000</v>
      </c>
      <c r="F365" s="44">
        <f t="shared" si="21"/>
        <v>345000</v>
      </c>
      <c r="G365" s="149">
        <f t="shared" si="20"/>
        <v>3795000</v>
      </c>
      <c r="H365" s="149">
        <v>3795000</v>
      </c>
      <c r="I365" s="150">
        <f t="shared" si="19"/>
        <v>0</v>
      </c>
      <c r="J365" s="151">
        <v>45031</v>
      </c>
    </row>
    <row r="366" spans="1:13" ht="21.75" hidden="1" customHeight="1" x14ac:dyDescent="0.35">
      <c r="A366" s="145" t="s">
        <v>1683</v>
      </c>
      <c r="B366" s="146" t="s">
        <v>1978</v>
      </c>
      <c r="C366" s="146"/>
      <c r="D366" s="147">
        <v>45026</v>
      </c>
      <c r="E366" s="148">
        <v>18661022</v>
      </c>
      <c r="F366" s="44">
        <f t="shared" si="21"/>
        <v>1866102.2000000002</v>
      </c>
      <c r="G366" s="149">
        <f t="shared" si="20"/>
        <v>20527124.199999999</v>
      </c>
      <c r="H366" s="149">
        <v>20527124.199999999</v>
      </c>
      <c r="I366" s="150">
        <f t="shared" si="19"/>
        <v>0</v>
      </c>
      <c r="J366" s="151">
        <v>45031</v>
      </c>
      <c r="K366" s="12"/>
    </row>
    <row r="367" spans="1:13" ht="21.75" hidden="1" customHeight="1" x14ac:dyDescent="0.35">
      <c r="A367" s="145" t="s">
        <v>1979</v>
      </c>
      <c r="B367" s="146" t="s">
        <v>1980</v>
      </c>
      <c r="C367" s="146"/>
      <c r="D367" s="147">
        <v>45033</v>
      </c>
      <c r="E367" s="148">
        <v>4241000</v>
      </c>
      <c r="F367" s="44">
        <f t="shared" si="21"/>
        <v>424100</v>
      </c>
      <c r="G367" s="149">
        <f t="shared" si="20"/>
        <v>4665100</v>
      </c>
      <c r="H367" s="149">
        <v>4665100</v>
      </c>
      <c r="I367" s="150">
        <f t="shared" si="19"/>
        <v>0</v>
      </c>
      <c r="J367" s="151">
        <v>45061</v>
      </c>
    </row>
    <row r="368" spans="1:13" ht="21.75" hidden="1" customHeight="1" x14ac:dyDescent="0.35">
      <c r="A368" s="145" t="s">
        <v>1916</v>
      </c>
      <c r="B368" s="146" t="s">
        <v>1981</v>
      </c>
      <c r="C368" s="146"/>
      <c r="D368" s="147">
        <v>45033</v>
      </c>
      <c r="E368" s="148">
        <v>160000</v>
      </c>
      <c r="F368" s="44">
        <f t="shared" si="21"/>
        <v>16000</v>
      </c>
      <c r="G368" s="149">
        <f t="shared" si="20"/>
        <v>176000</v>
      </c>
      <c r="H368" s="149">
        <v>176000</v>
      </c>
      <c r="I368" s="150">
        <f t="shared" si="19"/>
        <v>0</v>
      </c>
      <c r="J368" s="151">
        <v>45061</v>
      </c>
    </row>
    <row r="369" spans="1:10" ht="21.75" hidden="1" customHeight="1" x14ac:dyDescent="0.35">
      <c r="A369" s="145" t="s">
        <v>1634</v>
      </c>
      <c r="B369" s="146" t="s">
        <v>1982</v>
      </c>
      <c r="C369" s="146"/>
      <c r="D369" s="147">
        <v>45033</v>
      </c>
      <c r="E369" s="148">
        <v>1090600</v>
      </c>
      <c r="F369" s="44">
        <f t="shared" si="21"/>
        <v>109060</v>
      </c>
      <c r="G369" s="149">
        <f t="shared" si="20"/>
        <v>1199660</v>
      </c>
      <c r="H369" s="149">
        <v>1199660</v>
      </c>
      <c r="I369" s="150">
        <f t="shared" si="19"/>
        <v>0</v>
      </c>
      <c r="J369" s="151">
        <v>45061</v>
      </c>
    </row>
    <row r="370" spans="1:10" ht="21.75" hidden="1" customHeight="1" x14ac:dyDescent="0.35">
      <c r="A370" s="145" t="s">
        <v>1968</v>
      </c>
      <c r="B370" s="146" t="s">
        <v>1983</v>
      </c>
      <c r="C370" s="146"/>
      <c r="D370" s="147">
        <v>45040</v>
      </c>
      <c r="E370" s="148">
        <v>871000</v>
      </c>
      <c r="F370" s="44">
        <f t="shared" si="21"/>
        <v>87100</v>
      </c>
      <c r="G370" s="149">
        <f t="shared" si="20"/>
        <v>958100</v>
      </c>
      <c r="H370" s="149">
        <v>958100</v>
      </c>
      <c r="I370" s="150">
        <f t="shared" si="19"/>
        <v>0</v>
      </c>
      <c r="J370" s="151">
        <v>45061</v>
      </c>
    </row>
    <row r="371" spans="1:10" ht="21.75" hidden="1" customHeight="1" x14ac:dyDescent="0.35">
      <c r="A371" s="145" t="s">
        <v>1984</v>
      </c>
      <c r="B371" s="146" t="s">
        <v>1985</v>
      </c>
      <c r="C371" s="146"/>
      <c r="D371" s="147">
        <v>45040</v>
      </c>
      <c r="E371" s="148">
        <v>4064000</v>
      </c>
      <c r="F371" s="44">
        <f t="shared" si="21"/>
        <v>406400</v>
      </c>
      <c r="G371" s="149">
        <f t="shared" si="20"/>
        <v>4470400</v>
      </c>
      <c r="H371" s="149">
        <v>4470400</v>
      </c>
      <c r="I371" s="150">
        <f t="shared" si="19"/>
        <v>0</v>
      </c>
      <c r="J371" s="151">
        <v>45061</v>
      </c>
    </row>
    <row r="372" spans="1:10" ht="21.75" hidden="1" customHeight="1" x14ac:dyDescent="0.35">
      <c r="A372" s="145" t="s">
        <v>1986</v>
      </c>
      <c r="B372" s="146" t="s">
        <v>1987</v>
      </c>
      <c r="C372" s="146"/>
      <c r="D372" s="147">
        <v>45040</v>
      </c>
      <c r="E372" s="148">
        <v>208000</v>
      </c>
      <c r="F372" s="44">
        <f t="shared" si="21"/>
        <v>20800</v>
      </c>
      <c r="G372" s="149">
        <f t="shared" si="20"/>
        <v>228800</v>
      </c>
      <c r="H372" s="149">
        <v>228800</v>
      </c>
      <c r="I372" s="150">
        <f t="shared" si="19"/>
        <v>0</v>
      </c>
      <c r="J372" s="151">
        <v>45061</v>
      </c>
    </row>
    <row r="373" spans="1:10" ht="21.75" hidden="1" customHeight="1" x14ac:dyDescent="0.35">
      <c r="A373" s="145" t="s">
        <v>1988</v>
      </c>
      <c r="B373" s="146" t="s">
        <v>1989</v>
      </c>
      <c r="C373" s="146"/>
      <c r="D373" s="147">
        <v>45033</v>
      </c>
      <c r="E373" s="148">
        <v>2197000</v>
      </c>
      <c r="F373" s="44">
        <f t="shared" si="21"/>
        <v>219700</v>
      </c>
      <c r="G373" s="149">
        <f t="shared" si="20"/>
        <v>2416700</v>
      </c>
      <c r="H373" s="149">
        <v>2416700</v>
      </c>
      <c r="I373" s="150">
        <f t="shared" si="19"/>
        <v>0</v>
      </c>
      <c r="J373" s="151">
        <v>45061</v>
      </c>
    </row>
    <row r="374" spans="1:10" ht="21.75" hidden="1" customHeight="1" x14ac:dyDescent="0.35">
      <c r="A374" s="145" t="s">
        <v>1624</v>
      </c>
      <c r="B374" s="146" t="s">
        <v>1990</v>
      </c>
      <c r="C374" s="146"/>
      <c r="D374" s="147">
        <v>45040</v>
      </c>
      <c r="E374" s="148">
        <v>392000</v>
      </c>
      <c r="F374" s="44">
        <f t="shared" si="21"/>
        <v>39200</v>
      </c>
      <c r="G374" s="149">
        <f t="shared" si="20"/>
        <v>431200</v>
      </c>
      <c r="H374" s="149">
        <v>431200</v>
      </c>
      <c r="I374" s="150">
        <f t="shared" si="19"/>
        <v>0</v>
      </c>
      <c r="J374" s="151">
        <v>45061</v>
      </c>
    </row>
    <row r="375" spans="1:10" ht="21.75" hidden="1" customHeight="1" x14ac:dyDescent="0.35">
      <c r="A375" s="145" t="s">
        <v>1885</v>
      </c>
      <c r="B375" s="146" t="s">
        <v>1991</v>
      </c>
      <c r="C375" s="146"/>
      <c r="D375" s="147">
        <v>45033</v>
      </c>
      <c r="E375" s="148">
        <v>33500</v>
      </c>
      <c r="F375" s="44">
        <f t="shared" si="21"/>
        <v>3350</v>
      </c>
      <c r="G375" s="149">
        <f t="shared" si="20"/>
        <v>36850</v>
      </c>
      <c r="H375" s="149">
        <v>36850</v>
      </c>
      <c r="I375" s="150">
        <f t="shared" si="19"/>
        <v>0</v>
      </c>
      <c r="J375" s="151">
        <v>45061</v>
      </c>
    </row>
    <row r="376" spans="1:10" ht="21.75" hidden="1" customHeight="1" x14ac:dyDescent="0.35">
      <c r="A376" s="145" t="s">
        <v>1614</v>
      </c>
      <c r="B376" s="146" t="s">
        <v>1992</v>
      </c>
      <c r="C376" s="146"/>
      <c r="D376" s="147">
        <v>45054</v>
      </c>
      <c r="E376" s="148">
        <v>3377900</v>
      </c>
      <c r="F376" s="44">
        <f t="shared" si="21"/>
        <v>337790</v>
      </c>
      <c r="G376" s="149">
        <f t="shared" si="20"/>
        <v>3715690</v>
      </c>
      <c r="H376" s="149">
        <v>3715690</v>
      </c>
      <c r="I376" s="150">
        <f t="shared" si="19"/>
        <v>0</v>
      </c>
      <c r="J376" s="151">
        <v>45061</v>
      </c>
    </row>
    <row r="377" spans="1:10" ht="21.75" hidden="1" customHeight="1" x14ac:dyDescent="0.35">
      <c r="A377" s="145" t="s">
        <v>1993</v>
      </c>
      <c r="B377" s="146" t="s">
        <v>1994</v>
      </c>
      <c r="C377" s="146"/>
      <c r="D377" s="147">
        <v>45061</v>
      </c>
      <c r="E377" s="148">
        <v>78000</v>
      </c>
      <c r="F377" s="44">
        <f t="shared" si="21"/>
        <v>7800</v>
      </c>
      <c r="G377" s="149">
        <f t="shared" si="20"/>
        <v>85800</v>
      </c>
      <c r="H377" s="149">
        <v>85800</v>
      </c>
      <c r="I377" s="150">
        <f t="shared" si="19"/>
        <v>0</v>
      </c>
      <c r="J377" s="151">
        <v>45071</v>
      </c>
    </row>
    <row r="378" spans="1:10" ht="21.75" hidden="1" customHeight="1" x14ac:dyDescent="0.35">
      <c r="A378" s="145" t="s">
        <v>1995</v>
      </c>
      <c r="B378" s="146" t="s">
        <v>1996</v>
      </c>
      <c r="C378" s="146"/>
      <c r="D378" s="147">
        <v>45061</v>
      </c>
      <c r="E378" s="148">
        <v>258000</v>
      </c>
      <c r="F378" s="44">
        <f t="shared" si="21"/>
        <v>25800</v>
      </c>
      <c r="G378" s="149">
        <f t="shared" si="20"/>
        <v>283800</v>
      </c>
      <c r="H378" s="149">
        <v>283800</v>
      </c>
      <c r="I378" s="150">
        <f t="shared" si="19"/>
        <v>0</v>
      </c>
      <c r="J378" s="151">
        <v>45071</v>
      </c>
    </row>
    <row r="379" spans="1:10" ht="21.75" hidden="1" customHeight="1" x14ac:dyDescent="0.35">
      <c r="A379" s="145" t="s">
        <v>1997</v>
      </c>
      <c r="B379" s="146" t="s">
        <v>1998</v>
      </c>
      <c r="C379" s="146"/>
      <c r="D379" s="147">
        <v>45061</v>
      </c>
      <c r="E379" s="148">
        <v>182000</v>
      </c>
      <c r="F379" s="44">
        <f t="shared" si="21"/>
        <v>18200</v>
      </c>
      <c r="G379" s="149">
        <f t="shared" si="20"/>
        <v>200200</v>
      </c>
      <c r="H379" s="149">
        <v>200200</v>
      </c>
      <c r="I379" s="150">
        <f t="shared" si="19"/>
        <v>0</v>
      </c>
      <c r="J379" s="151">
        <v>45071</v>
      </c>
    </row>
    <row r="380" spans="1:10" ht="21.75" hidden="1" customHeight="1" x14ac:dyDescent="0.35">
      <c r="A380" s="145" t="s">
        <v>1999</v>
      </c>
      <c r="B380" s="146" t="s">
        <v>2000</v>
      </c>
      <c r="C380" s="146"/>
      <c r="D380" s="147">
        <v>45064</v>
      </c>
      <c r="E380" s="148">
        <v>52000</v>
      </c>
      <c r="F380" s="44">
        <f t="shared" si="21"/>
        <v>5200</v>
      </c>
      <c r="G380" s="149">
        <f t="shared" si="20"/>
        <v>57200</v>
      </c>
      <c r="H380" s="149">
        <v>57200</v>
      </c>
      <c r="I380" s="150">
        <f t="shared" si="19"/>
        <v>0</v>
      </c>
      <c r="J380" s="151">
        <v>45071</v>
      </c>
    </row>
    <row r="381" spans="1:10" ht="21.75" hidden="1" customHeight="1" x14ac:dyDescent="0.35">
      <c r="A381" s="145" t="s">
        <v>1506</v>
      </c>
      <c r="B381" s="146" t="s">
        <v>2001</v>
      </c>
      <c r="C381" s="146"/>
      <c r="D381" s="147">
        <v>45064</v>
      </c>
      <c r="E381" s="148">
        <v>206000</v>
      </c>
      <c r="F381" s="44">
        <f t="shared" si="21"/>
        <v>20600</v>
      </c>
      <c r="G381" s="149">
        <f t="shared" si="20"/>
        <v>226600</v>
      </c>
      <c r="H381" s="149">
        <v>226600</v>
      </c>
      <c r="I381" s="150">
        <f t="shared" si="19"/>
        <v>0</v>
      </c>
      <c r="J381" s="151">
        <v>45071</v>
      </c>
    </row>
    <row r="382" spans="1:10" ht="21.75" hidden="1" customHeight="1" x14ac:dyDescent="0.35">
      <c r="A382" s="145" t="s">
        <v>2002</v>
      </c>
      <c r="B382" s="146" t="s">
        <v>2003</v>
      </c>
      <c r="C382" s="146"/>
      <c r="D382" s="147">
        <v>45064</v>
      </c>
      <c r="E382" s="148">
        <v>435500</v>
      </c>
      <c r="F382" s="44">
        <f t="shared" si="21"/>
        <v>43550</v>
      </c>
      <c r="G382" s="149">
        <f t="shared" si="20"/>
        <v>479050</v>
      </c>
      <c r="H382" s="149">
        <v>479050</v>
      </c>
      <c r="I382" s="150">
        <f t="shared" si="19"/>
        <v>0</v>
      </c>
      <c r="J382" s="151">
        <v>45071</v>
      </c>
    </row>
    <row r="383" spans="1:10" ht="21.75" hidden="1" customHeight="1" x14ac:dyDescent="0.35">
      <c r="A383" s="145" t="s">
        <v>1683</v>
      </c>
      <c r="B383" s="146" t="s">
        <v>2004</v>
      </c>
      <c r="C383" s="146"/>
      <c r="D383" s="147">
        <v>45068</v>
      </c>
      <c r="E383" s="148">
        <v>5762412</v>
      </c>
      <c r="F383" s="44">
        <f t="shared" si="21"/>
        <v>576241.20000000007</v>
      </c>
      <c r="G383" s="149">
        <f t="shared" si="20"/>
        <v>6338653.2000000002</v>
      </c>
      <c r="H383" s="149">
        <v>6338653.2000000002</v>
      </c>
      <c r="I383" s="150">
        <f t="shared" si="19"/>
        <v>0</v>
      </c>
      <c r="J383" s="151">
        <v>45071</v>
      </c>
    </row>
    <row r="384" spans="1:10" ht="21.75" hidden="1" customHeight="1" x14ac:dyDescent="0.35">
      <c r="A384" s="145" t="s">
        <v>2005</v>
      </c>
      <c r="B384" s="146" t="s">
        <v>2006</v>
      </c>
      <c r="C384" s="146"/>
      <c r="D384" s="147">
        <v>45071</v>
      </c>
      <c r="E384" s="148">
        <v>1265000</v>
      </c>
      <c r="F384" s="44">
        <f t="shared" si="21"/>
        <v>126500</v>
      </c>
      <c r="G384" s="149">
        <f t="shared" si="20"/>
        <v>1391500</v>
      </c>
      <c r="H384" s="149">
        <v>1391500</v>
      </c>
      <c r="I384" s="150">
        <f t="shared" si="19"/>
        <v>0</v>
      </c>
      <c r="J384" s="151">
        <v>45132</v>
      </c>
    </row>
    <row r="385" spans="1:10" ht="21.75" hidden="1" customHeight="1" x14ac:dyDescent="0.35">
      <c r="A385" s="145" t="s">
        <v>2007</v>
      </c>
      <c r="B385" s="146" t="s">
        <v>2008</v>
      </c>
      <c r="C385" s="146"/>
      <c r="D385" s="147">
        <v>45071</v>
      </c>
      <c r="E385" s="148">
        <v>1234500</v>
      </c>
      <c r="F385" s="44">
        <f t="shared" si="21"/>
        <v>123450</v>
      </c>
      <c r="G385" s="149">
        <f t="shared" si="20"/>
        <v>1357950</v>
      </c>
      <c r="H385" s="149">
        <v>1357950</v>
      </c>
      <c r="I385" s="150">
        <f t="shared" si="19"/>
        <v>0</v>
      </c>
      <c r="J385" s="151">
        <v>45132</v>
      </c>
    </row>
    <row r="386" spans="1:10" ht="21.75" hidden="1" customHeight="1" x14ac:dyDescent="0.35">
      <c r="A386" s="145" t="s">
        <v>1690</v>
      </c>
      <c r="B386" s="146" t="s">
        <v>1772</v>
      </c>
      <c r="C386" s="146"/>
      <c r="D386" s="147">
        <v>45071</v>
      </c>
      <c r="E386" s="148">
        <v>240000</v>
      </c>
      <c r="F386" s="44">
        <f t="shared" si="21"/>
        <v>24000</v>
      </c>
      <c r="G386" s="149">
        <f t="shared" si="20"/>
        <v>264000</v>
      </c>
      <c r="H386" s="149">
        <v>264000</v>
      </c>
      <c r="I386" s="150">
        <f t="shared" si="19"/>
        <v>0</v>
      </c>
      <c r="J386" s="151">
        <v>45132</v>
      </c>
    </row>
    <row r="387" spans="1:10" ht="21.75" hidden="1" customHeight="1" x14ac:dyDescent="0.35">
      <c r="A387" s="145" t="s">
        <v>2009</v>
      </c>
      <c r="B387" s="146" t="s">
        <v>2010</v>
      </c>
      <c r="C387" s="146"/>
      <c r="D387" s="147">
        <v>45071</v>
      </c>
      <c r="E387" s="148">
        <v>364000</v>
      </c>
      <c r="F387" s="44">
        <f t="shared" si="21"/>
        <v>36400</v>
      </c>
      <c r="G387" s="149">
        <f t="shared" si="20"/>
        <v>400400</v>
      </c>
      <c r="H387" s="149">
        <v>400400</v>
      </c>
      <c r="I387" s="150">
        <f t="shared" si="19"/>
        <v>0</v>
      </c>
      <c r="J387" s="151">
        <v>45132</v>
      </c>
    </row>
    <row r="388" spans="1:10" ht="21.75" hidden="1" customHeight="1" x14ac:dyDescent="0.35">
      <c r="A388" s="145" t="s">
        <v>2011</v>
      </c>
      <c r="B388" s="146" t="s">
        <v>2012</v>
      </c>
      <c r="C388" s="146"/>
      <c r="D388" s="147">
        <v>45071</v>
      </c>
      <c r="E388" s="148">
        <v>130000</v>
      </c>
      <c r="F388" s="44">
        <f t="shared" si="21"/>
        <v>13000</v>
      </c>
      <c r="G388" s="149">
        <f t="shared" si="20"/>
        <v>143000</v>
      </c>
      <c r="H388" s="149">
        <v>143000</v>
      </c>
      <c r="I388" s="150">
        <f t="shared" si="19"/>
        <v>0</v>
      </c>
      <c r="J388" s="151">
        <v>45132</v>
      </c>
    </row>
    <row r="389" spans="1:10" ht="21.75" hidden="1" customHeight="1" x14ac:dyDescent="0.35">
      <c r="A389" s="145" t="s">
        <v>2013</v>
      </c>
      <c r="B389" s="146" t="s">
        <v>2014</v>
      </c>
      <c r="C389" s="146"/>
      <c r="D389" s="147">
        <v>45084</v>
      </c>
      <c r="E389" s="148">
        <v>208991900</v>
      </c>
      <c r="F389" s="44">
        <f t="shared" si="21"/>
        <v>20899190</v>
      </c>
      <c r="G389" s="149">
        <f t="shared" si="20"/>
        <v>229891090</v>
      </c>
      <c r="H389" s="149">
        <v>229891090</v>
      </c>
      <c r="I389" s="150">
        <f t="shared" si="19"/>
        <v>0</v>
      </c>
      <c r="J389" s="151">
        <v>45132</v>
      </c>
    </row>
    <row r="390" spans="1:10" ht="21.75" hidden="1" customHeight="1" x14ac:dyDescent="0.35">
      <c r="A390" s="145" t="s">
        <v>2015</v>
      </c>
      <c r="B390" s="146" t="s">
        <v>2016</v>
      </c>
      <c r="C390" s="146"/>
      <c r="D390" s="147">
        <v>45077</v>
      </c>
      <c r="E390" s="148">
        <v>480000</v>
      </c>
      <c r="F390" s="44">
        <f t="shared" si="21"/>
        <v>48000</v>
      </c>
      <c r="G390" s="149">
        <f t="shared" si="20"/>
        <v>528000</v>
      </c>
      <c r="H390" s="149">
        <v>528000</v>
      </c>
      <c r="I390" s="150">
        <f t="shared" si="19"/>
        <v>0</v>
      </c>
      <c r="J390" s="151">
        <v>45132</v>
      </c>
    </row>
    <row r="391" spans="1:10" ht="21.75" hidden="1" customHeight="1" x14ac:dyDescent="0.35">
      <c r="A391" s="145" t="s">
        <v>1683</v>
      </c>
      <c r="B391" s="146" t="s">
        <v>2017</v>
      </c>
      <c r="C391" s="146"/>
      <c r="D391" s="147">
        <v>45086</v>
      </c>
      <c r="E391" s="148">
        <v>3622895</v>
      </c>
      <c r="F391" s="44">
        <f t="shared" si="21"/>
        <v>362289.5</v>
      </c>
      <c r="G391" s="149">
        <f t="shared" si="20"/>
        <v>3985184.5</v>
      </c>
      <c r="H391" s="149">
        <v>3985184.5</v>
      </c>
      <c r="I391" s="150">
        <f t="shared" si="19"/>
        <v>0</v>
      </c>
      <c r="J391" s="151">
        <v>45132</v>
      </c>
    </row>
    <row r="392" spans="1:10" ht="21.75" hidden="1" customHeight="1" x14ac:dyDescent="0.35">
      <c r="A392" s="145" t="s">
        <v>1524</v>
      </c>
      <c r="B392" s="146" t="s">
        <v>2018</v>
      </c>
      <c r="C392" s="146"/>
      <c r="D392" s="147">
        <v>45077</v>
      </c>
      <c r="E392" s="148">
        <v>1024000</v>
      </c>
      <c r="F392" s="44">
        <f t="shared" si="21"/>
        <v>102400</v>
      </c>
      <c r="G392" s="149">
        <f t="shared" si="20"/>
        <v>1126400</v>
      </c>
      <c r="H392" s="149">
        <v>1126400</v>
      </c>
      <c r="I392" s="150">
        <f t="shared" ref="I392:I455" si="22">+G392-H392</f>
        <v>0</v>
      </c>
      <c r="J392" s="151">
        <v>45132</v>
      </c>
    </row>
    <row r="393" spans="1:10" ht="21.75" hidden="1" customHeight="1" x14ac:dyDescent="0.35">
      <c r="A393" s="145" t="s">
        <v>2019</v>
      </c>
      <c r="B393" s="146" t="s">
        <v>2020</v>
      </c>
      <c r="C393" s="146"/>
      <c r="D393" s="147">
        <v>45092</v>
      </c>
      <c r="E393" s="148">
        <v>368000</v>
      </c>
      <c r="F393" s="44">
        <f t="shared" si="21"/>
        <v>36800</v>
      </c>
      <c r="G393" s="149">
        <f t="shared" si="20"/>
        <v>404800</v>
      </c>
      <c r="H393" s="149">
        <v>404800</v>
      </c>
      <c r="I393" s="150">
        <f t="shared" si="22"/>
        <v>0</v>
      </c>
      <c r="J393" s="151">
        <v>45132</v>
      </c>
    </row>
    <row r="394" spans="1:10" ht="21.75" hidden="1" customHeight="1" x14ac:dyDescent="0.35">
      <c r="A394" s="145" t="s">
        <v>1603</v>
      </c>
      <c r="B394" s="146" t="s">
        <v>2021</v>
      </c>
      <c r="C394" s="146"/>
      <c r="D394" s="147">
        <v>45092</v>
      </c>
      <c r="E394" s="148">
        <v>388500</v>
      </c>
      <c r="F394" s="44">
        <f t="shared" si="21"/>
        <v>38850</v>
      </c>
      <c r="G394" s="149">
        <f t="shared" si="20"/>
        <v>427350</v>
      </c>
      <c r="H394" s="149">
        <v>427350</v>
      </c>
      <c r="I394" s="150">
        <f t="shared" si="22"/>
        <v>0</v>
      </c>
      <c r="J394" s="151">
        <v>45132</v>
      </c>
    </row>
    <row r="395" spans="1:10" ht="21.75" hidden="1" customHeight="1" x14ac:dyDescent="0.35">
      <c r="A395" s="145" t="s">
        <v>1709</v>
      </c>
      <c r="B395" s="146" t="s">
        <v>2022</v>
      </c>
      <c r="C395" s="146"/>
      <c r="D395" s="147">
        <v>45103</v>
      </c>
      <c r="E395" s="148">
        <v>28000</v>
      </c>
      <c r="F395" s="44">
        <f t="shared" si="21"/>
        <v>2800</v>
      </c>
      <c r="G395" s="149">
        <f t="shared" ref="G395:G443" si="23">+F395+E395</f>
        <v>30800</v>
      </c>
      <c r="H395" s="149">
        <v>30800</v>
      </c>
      <c r="I395" s="150">
        <f t="shared" si="22"/>
        <v>0</v>
      </c>
      <c r="J395" s="151">
        <v>45132</v>
      </c>
    </row>
    <row r="396" spans="1:10" ht="21.75" hidden="1" customHeight="1" x14ac:dyDescent="0.35">
      <c r="A396" s="145" t="s">
        <v>2023</v>
      </c>
      <c r="B396" s="146" t="s">
        <v>2024</v>
      </c>
      <c r="C396" s="146"/>
      <c r="D396" s="147">
        <v>45103</v>
      </c>
      <c r="E396" s="148">
        <v>78000</v>
      </c>
      <c r="F396" s="44">
        <f t="shared" si="21"/>
        <v>7800</v>
      </c>
      <c r="G396" s="149">
        <f t="shared" si="23"/>
        <v>85800</v>
      </c>
      <c r="H396" s="149">
        <v>85800</v>
      </c>
      <c r="I396" s="150">
        <f t="shared" si="22"/>
        <v>0</v>
      </c>
      <c r="J396" s="151">
        <v>45132</v>
      </c>
    </row>
    <row r="397" spans="1:10" ht="21.75" hidden="1" customHeight="1" x14ac:dyDescent="0.35">
      <c r="A397" s="145" t="s">
        <v>2025</v>
      </c>
      <c r="B397" s="146" t="s">
        <v>2026</v>
      </c>
      <c r="C397" s="146"/>
      <c r="D397" s="147">
        <v>45103</v>
      </c>
      <c r="E397" s="148">
        <v>78000</v>
      </c>
      <c r="F397" s="44">
        <f t="shared" si="21"/>
        <v>7800</v>
      </c>
      <c r="G397" s="149">
        <f t="shared" si="23"/>
        <v>85800</v>
      </c>
      <c r="H397" s="149">
        <v>85800</v>
      </c>
      <c r="I397" s="150">
        <f t="shared" si="22"/>
        <v>0</v>
      </c>
      <c r="J397" s="151">
        <v>45132</v>
      </c>
    </row>
    <row r="398" spans="1:10" ht="21.75" hidden="1" customHeight="1" x14ac:dyDescent="0.35">
      <c r="A398" s="145" t="s">
        <v>2027</v>
      </c>
      <c r="B398" s="146" t="s">
        <v>2028</v>
      </c>
      <c r="C398" s="146"/>
      <c r="D398" s="147">
        <v>45103</v>
      </c>
      <c r="E398" s="148">
        <v>104000</v>
      </c>
      <c r="F398" s="44">
        <f t="shared" si="21"/>
        <v>10400</v>
      </c>
      <c r="G398" s="149">
        <f t="shared" si="23"/>
        <v>114400</v>
      </c>
      <c r="H398" s="149">
        <v>114400</v>
      </c>
      <c r="I398" s="150">
        <f t="shared" si="22"/>
        <v>0</v>
      </c>
      <c r="J398" s="151">
        <v>45132</v>
      </c>
    </row>
    <row r="399" spans="1:10" ht="21.75" hidden="1" customHeight="1" x14ac:dyDescent="0.35">
      <c r="A399" s="145" t="s">
        <v>2029</v>
      </c>
      <c r="B399" s="146" t="s">
        <v>2030</v>
      </c>
      <c r="C399" s="146"/>
      <c r="D399" s="147">
        <v>45103</v>
      </c>
      <c r="E399" s="148">
        <v>100000000</v>
      </c>
      <c r="F399" s="44">
        <f t="shared" si="21"/>
        <v>10000000</v>
      </c>
      <c r="G399" s="149">
        <f t="shared" si="23"/>
        <v>110000000</v>
      </c>
      <c r="H399" s="149">
        <v>110000000</v>
      </c>
      <c r="I399" s="150">
        <f t="shared" si="22"/>
        <v>0</v>
      </c>
      <c r="J399" s="151">
        <v>45132</v>
      </c>
    </row>
    <row r="400" spans="1:10" ht="21.75" hidden="1" customHeight="1" x14ac:dyDescent="0.35">
      <c r="A400" s="145" t="s">
        <v>1692</v>
      </c>
      <c r="B400" s="146" t="s">
        <v>2031</v>
      </c>
      <c r="C400" s="146"/>
      <c r="D400" s="147">
        <v>45105</v>
      </c>
      <c r="E400" s="148">
        <v>112000</v>
      </c>
      <c r="F400" s="44">
        <f t="shared" si="21"/>
        <v>11200</v>
      </c>
      <c r="G400" s="149">
        <f t="shared" si="23"/>
        <v>123200</v>
      </c>
      <c r="H400" s="149">
        <v>123200</v>
      </c>
      <c r="I400" s="150">
        <f t="shared" si="22"/>
        <v>0</v>
      </c>
      <c r="J400" s="151">
        <v>45132</v>
      </c>
    </row>
    <row r="401" spans="1:10" ht="21.75" hidden="1" customHeight="1" x14ac:dyDescent="0.35">
      <c r="A401" s="145" t="s">
        <v>2032</v>
      </c>
      <c r="B401" s="146" t="s">
        <v>2033</v>
      </c>
      <c r="C401" s="146"/>
      <c r="D401" s="147">
        <v>45105</v>
      </c>
      <c r="E401" s="148">
        <v>208000</v>
      </c>
      <c r="F401" s="44">
        <f t="shared" si="21"/>
        <v>20800</v>
      </c>
      <c r="G401" s="149">
        <f t="shared" si="23"/>
        <v>228800</v>
      </c>
      <c r="H401" s="149">
        <v>228800</v>
      </c>
      <c r="I401" s="150">
        <f t="shared" si="22"/>
        <v>0</v>
      </c>
      <c r="J401" s="151">
        <v>45132</v>
      </c>
    </row>
    <row r="402" spans="1:10" ht="21.75" hidden="1" customHeight="1" x14ac:dyDescent="0.35">
      <c r="A402" s="145" t="s">
        <v>2034</v>
      </c>
      <c r="B402" s="146" t="s">
        <v>2035</v>
      </c>
      <c r="C402" s="146"/>
      <c r="D402" s="147">
        <v>45105</v>
      </c>
      <c r="E402" s="148">
        <v>26000</v>
      </c>
      <c r="F402" s="44">
        <f t="shared" si="21"/>
        <v>2600</v>
      </c>
      <c r="G402" s="149">
        <f t="shared" si="23"/>
        <v>28600</v>
      </c>
      <c r="H402" s="149">
        <v>28600</v>
      </c>
      <c r="I402" s="150">
        <f t="shared" si="22"/>
        <v>0</v>
      </c>
      <c r="J402" s="151">
        <v>45132</v>
      </c>
    </row>
    <row r="403" spans="1:10" ht="21.75" hidden="1" customHeight="1" x14ac:dyDescent="0.35">
      <c r="A403" s="145" t="s">
        <v>1939</v>
      </c>
      <c r="B403" s="146" t="s">
        <v>2036</v>
      </c>
      <c r="C403" s="146"/>
      <c r="D403" s="147">
        <v>45105</v>
      </c>
      <c r="E403" s="148">
        <v>104000</v>
      </c>
      <c r="F403" s="44">
        <f t="shared" si="21"/>
        <v>10400</v>
      </c>
      <c r="G403" s="149">
        <f t="shared" si="23"/>
        <v>114400</v>
      </c>
      <c r="H403" s="149">
        <v>114400</v>
      </c>
      <c r="I403" s="150">
        <f t="shared" si="22"/>
        <v>0</v>
      </c>
      <c r="J403" s="151">
        <v>45132</v>
      </c>
    </row>
    <row r="404" spans="1:10" ht="21.75" hidden="1" customHeight="1" x14ac:dyDescent="0.35">
      <c r="A404" s="145" t="s">
        <v>2037</v>
      </c>
      <c r="B404" s="146" t="s">
        <v>2038</v>
      </c>
      <c r="C404" s="146"/>
      <c r="D404" s="147">
        <v>45114</v>
      </c>
      <c r="E404" s="148">
        <v>468000</v>
      </c>
      <c r="F404" s="44">
        <f>+E404*0.08</f>
        <v>37440</v>
      </c>
      <c r="G404" s="149">
        <f t="shared" si="23"/>
        <v>505440</v>
      </c>
      <c r="H404" s="149">
        <v>505440</v>
      </c>
      <c r="I404" s="150">
        <f t="shared" si="22"/>
        <v>0</v>
      </c>
      <c r="J404" s="151">
        <v>45132</v>
      </c>
    </row>
    <row r="405" spans="1:10" ht="21.75" hidden="1" customHeight="1" x14ac:dyDescent="0.35">
      <c r="A405" s="145" t="s">
        <v>2039</v>
      </c>
      <c r="B405" s="146" t="s">
        <v>2040</v>
      </c>
      <c r="C405" s="146"/>
      <c r="D405" s="147">
        <v>45114</v>
      </c>
      <c r="E405" s="148">
        <v>26000</v>
      </c>
      <c r="F405" s="44">
        <f>+E405*0.08</f>
        <v>2080</v>
      </c>
      <c r="G405" s="149">
        <f t="shared" si="23"/>
        <v>28080</v>
      </c>
      <c r="H405" s="149">
        <v>28080</v>
      </c>
      <c r="I405" s="150">
        <f t="shared" si="22"/>
        <v>0</v>
      </c>
      <c r="J405" s="151">
        <v>45132</v>
      </c>
    </row>
    <row r="406" spans="1:10" ht="21.75" hidden="1" customHeight="1" x14ac:dyDescent="0.35">
      <c r="A406" s="145" t="s">
        <v>2041</v>
      </c>
      <c r="B406" s="146" t="s">
        <v>2042</v>
      </c>
      <c r="C406" s="146"/>
      <c r="D406" s="147">
        <v>45117</v>
      </c>
      <c r="E406" s="148">
        <v>256000</v>
      </c>
      <c r="F406" s="44">
        <f>+E406*0.08</f>
        <v>20480</v>
      </c>
      <c r="G406" s="149">
        <f t="shared" si="23"/>
        <v>276480</v>
      </c>
      <c r="H406" s="149">
        <v>276480</v>
      </c>
      <c r="I406" s="150">
        <f t="shared" si="22"/>
        <v>0</v>
      </c>
      <c r="J406" s="151">
        <v>45132</v>
      </c>
    </row>
    <row r="407" spans="1:10" ht="21.75" hidden="1" customHeight="1" x14ac:dyDescent="0.35">
      <c r="A407" s="145" t="s">
        <v>1941</v>
      </c>
      <c r="B407" s="146" t="s">
        <v>2043</v>
      </c>
      <c r="C407" s="146"/>
      <c r="D407" s="147">
        <v>45117</v>
      </c>
      <c r="E407" s="148">
        <v>208000</v>
      </c>
      <c r="F407" s="44">
        <f>+E407*0.08</f>
        <v>16640</v>
      </c>
      <c r="G407" s="149">
        <f t="shared" si="23"/>
        <v>224640</v>
      </c>
      <c r="H407" s="149">
        <v>224640</v>
      </c>
      <c r="I407" s="150">
        <f t="shared" si="22"/>
        <v>0</v>
      </c>
      <c r="J407" s="151">
        <v>45132</v>
      </c>
    </row>
    <row r="408" spans="1:10" ht="21.75" hidden="1" customHeight="1" x14ac:dyDescent="0.35">
      <c r="A408" s="145" t="s">
        <v>1683</v>
      </c>
      <c r="B408" s="146" t="s">
        <v>2044</v>
      </c>
      <c r="C408" s="146"/>
      <c r="D408" s="147">
        <v>45107</v>
      </c>
      <c r="E408" s="148">
        <v>6206093</v>
      </c>
      <c r="F408" s="44">
        <f t="shared" si="21"/>
        <v>620609.30000000005</v>
      </c>
      <c r="G408" s="149">
        <f t="shared" si="23"/>
        <v>6826702.2999999998</v>
      </c>
      <c r="H408" s="149">
        <v>6826702.2999999998</v>
      </c>
      <c r="I408" s="150">
        <f t="shared" si="22"/>
        <v>0</v>
      </c>
      <c r="J408" s="151">
        <v>45132</v>
      </c>
    </row>
    <row r="409" spans="1:10" ht="21.75" hidden="1" customHeight="1" x14ac:dyDescent="0.35">
      <c r="A409" s="145" t="s">
        <v>2045</v>
      </c>
      <c r="B409" s="146" t="s">
        <v>2046</v>
      </c>
      <c r="C409" s="146"/>
      <c r="D409" s="147">
        <v>45114</v>
      </c>
      <c r="E409" s="148">
        <v>234000</v>
      </c>
      <c r="F409" s="44">
        <f>+E409*0.08</f>
        <v>18720</v>
      </c>
      <c r="G409" s="149">
        <f t="shared" si="23"/>
        <v>252720</v>
      </c>
      <c r="H409" s="149">
        <v>252720</v>
      </c>
      <c r="I409" s="150">
        <f t="shared" si="22"/>
        <v>0</v>
      </c>
      <c r="J409" s="151">
        <v>45132</v>
      </c>
    </row>
    <row r="410" spans="1:10" ht="21.75" hidden="1" customHeight="1" x14ac:dyDescent="0.35">
      <c r="A410" s="145" t="s">
        <v>2047</v>
      </c>
      <c r="B410" s="146" t="s">
        <v>2048</v>
      </c>
      <c r="C410" s="146"/>
      <c r="D410" s="147">
        <v>45107</v>
      </c>
      <c r="E410" s="148">
        <v>130000</v>
      </c>
      <c r="F410" s="44">
        <f t="shared" si="21"/>
        <v>13000</v>
      </c>
      <c r="G410" s="149">
        <f t="shared" si="23"/>
        <v>143000</v>
      </c>
      <c r="H410" s="149">
        <v>143000</v>
      </c>
      <c r="I410" s="150">
        <f t="shared" si="22"/>
        <v>0</v>
      </c>
      <c r="J410" s="151">
        <v>45132</v>
      </c>
    </row>
    <row r="411" spans="1:10" ht="21.75" hidden="1" customHeight="1" x14ac:dyDescent="0.35">
      <c r="A411" s="145" t="s">
        <v>2049</v>
      </c>
      <c r="B411" s="146" t="s">
        <v>2050</v>
      </c>
      <c r="C411" s="146"/>
      <c r="D411" s="147">
        <v>45107</v>
      </c>
      <c r="E411" s="148">
        <v>52000</v>
      </c>
      <c r="F411" s="44">
        <f t="shared" si="21"/>
        <v>5200</v>
      </c>
      <c r="G411" s="149">
        <f t="shared" si="23"/>
        <v>57200</v>
      </c>
      <c r="H411" s="149">
        <v>57200</v>
      </c>
      <c r="I411" s="150">
        <f t="shared" si="22"/>
        <v>0</v>
      </c>
      <c r="J411" s="151">
        <v>45132</v>
      </c>
    </row>
    <row r="412" spans="1:10" ht="21.75" hidden="1" customHeight="1" x14ac:dyDescent="0.35">
      <c r="A412" s="145" t="s">
        <v>2051</v>
      </c>
      <c r="B412" s="146" t="s">
        <v>2052</v>
      </c>
      <c r="C412" s="146"/>
      <c r="D412" s="147">
        <v>45107</v>
      </c>
      <c r="E412" s="148">
        <v>78000</v>
      </c>
      <c r="F412" s="44">
        <f t="shared" si="21"/>
        <v>7800</v>
      </c>
      <c r="G412" s="149">
        <f t="shared" si="23"/>
        <v>85800</v>
      </c>
      <c r="H412" s="149">
        <v>85800</v>
      </c>
      <c r="I412" s="150">
        <f t="shared" si="22"/>
        <v>0</v>
      </c>
      <c r="J412" s="151">
        <v>45132</v>
      </c>
    </row>
    <row r="413" spans="1:10" ht="21.75" hidden="1" customHeight="1" x14ac:dyDescent="0.35">
      <c r="A413" s="145" t="s">
        <v>2053</v>
      </c>
      <c r="B413" s="146" t="s">
        <v>2054</v>
      </c>
      <c r="C413" s="146"/>
      <c r="D413" s="147">
        <v>45124</v>
      </c>
      <c r="E413" s="148">
        <v>828000</v>
      </c>
      <c r="F413" s="44">
        <f>+E413*0.08</f>
        <v>66240</v>
      </c>
      <c r="G413" s="149">
        <f t="shared" si="23"/>
        <v>894240</v>
      </c>
      <c r="H413" s="149">
        <v>894240</v>
      </c>
      <c r="I413" s="150">
        <f t="shared" si="22"/>
        <v>0</v>
      </c>
      <c r="J413" s="151">
        <v>45132</v>
      </c>
    </row>
    <row r="414" spans="1:10" ht="21.75" hidden="1" customHeight="1" x14ac:dyDescent="0.35">
      <c r="A414" s="145" t="s">
        <v>2055</v>
      </c>
      <c r="B414" s="146" t="s">
        <v>2056</v>
      </c>
      <c r="C414" s="146"/>
      <c r="D414" s="147">
        <v>45124</v>
      </c>
      <c r="E414" s="148">
        <v>805000</v>
      </c>
      <c r="F414" s="44">
        <f>+E414*0.08</f>
        <v>64400</v>
      </c>
      <c r="G414" s="149">
        <f t="shared" si="23"/>
        <v>869400</v>
      </c>
      <c r="H414" s="149">
        <v>869400</v>
      </c>
      <c r="I414" s="150">
        <f t="shared" si="22"/>
        <v>0</v>
      </c>
      <c r="J414" s="151">
        <v>45132</v>
      </c>
    </row>
    <row r="415" spans="1:10" ht="21.75" hidden="1" customHeight="1" x14ac:dyDescent="0.35">
      <c r="A415" s="145" t="s">
        <v>2057</v>
      </c>
      <c r="B415" s="146" t="s">
        <v>2058</v>
      </c>
      <c r="C415" s="146"/>
      <c r="D415" s="147">
        <v>45126</v>
      </c>
      <c r="E415" s="148">
        <v>624000</v>
      </c>
      <c r="F415" s="44">
        <f>+E415*0.08</f>
        <v>49920</v>
      </c>
      <c r="G415" s="149">
        <f t="shared" si="23"/>
        <v>673920</v>
      </c>
      <c r="H415" s="149">
        <v>673920</v>
      </c>
      <c r="I415" s="150">
        <f t="shared" si="22"/>
        <v>0</v>
      </c>
      <c r="J415" s="151">
        <v>45132</v>
      </c>
    </row>
    <row r="416" spans="1:10" ht="21.75" hidden="1" customHeight="1" x14ac:dyDescent="0.35">
      <c r="A416" s="145" t="s">
        <v>1783</v>
      </c>
      <c r="B416" s="146" t="s">
        <v>2059</v>
      </c>
      <c r="C416" s="146"/>
      <c r="D416" s="147">
        <v>45126</v>
      </c>
      <c r="E416" s="148">
        <v>672000</v>
      </c>
      <c r="F416" s="44">
        <f t="shared" ref="F416:F443" si="24">+E416*0.08</f>
        <v>53760</v>
      </c>
      <c r="G416" s="149">
        <f t="shared" si="23"/>
        <v>725760</v>
      </c>
      <c r="H416" s="149">
        <v>725760</v>
      </c>
      <c r="I416" s="150">
        <f t="shared" si="22"/>
        <v>0</v>
      </c>
      <c r="J416" s="151">
        <v>45132</v>
      </c>
    </row>
    <row r="417" spans="1:10" ht="21.75" hidden="1" customHeight="1" x14ac:dyDescent="0.35">
      <c r="A417" s="145" t="s">
        <v>2060</v>
      </c>
      <c r="B417" s="146" t="s">
        <v>2061</v>
      </c>
      <c r="C417" s="146"/>
      <c r="D417" s="147">
        <v>45126</v>
      </c>
      <c r="E417" s="148">
        <v>3162695</v>
      </c>
      <c r="F417" s="44">
        <f>+E417*0.1</f>
        <v>316269.5</v>
      </c>
      <c r="G417" s="149">
        <f t="shared" si="23"/>
        <v>3478964.5</v>
      </c>
      <c r="H417" s="149">
        <v>3478964.5</v>
      </c>
      <c r="I417" s="150">
        <f t="shared" si="22"/>
        <v>0</v>
      </c>
      <c r="J417" s="151">
        <v>45132</v>
      </c>
    </row>
    <row r="418" spans="1:10" ht="21.75" hidden="1" customHeight="1" x14ac:dyDescent="0.35">
      <c r="A418" s="145" t="s">
        <v>2062</v>
      </c>
      <c r="B418" s="146" t="s">
        <v>2063</v>
      </c>
      <c r="C418" s="146"/>
      <c r="D418" s="147">
        <v>45126</v>
      </c>
      <c r="E418" s="148">
        <v>494000</v>
      </c>
      <c r="F418" s="44">
        <f t="shared" si="24"/>
        <v>39520</v>
      </c>
      <c r="G418" s="149">
        <f t="shared" si="23"/>
        <v>533520</v>
      </c>
      <c r="H418" s="149">
        <v>533520</v>
      </c>
      <c r="I418" s="150">
        <f t="shared" si="22"/>
        <v>0</v>
      </c>
      <c r="J418" s="151">
        <v>45132</v>
      </c>
    </row>
    <row r="419" spans="1:10" ht="21.75" hidden="1" customHeight="1" x14ac:dyDescent="0.35">
      <c r="A419" s="145" t="s">
        <v>1657</v>
      </c>
      <c r="B419" s="146" t="s">
        <v>2064</v>
      </c>
      <c r="C419" s="146"/>
      <c r="D419" s="147">
        <v>45093</v>
      </c>
      <c r="E419" s="148">
        <v>10805800</v>
      </c>
      <c r="F419" s="44">
        <f>+E419*0.1</f>
        <v>1080580</v>
      </c>
      <c r="G419" s="149">
        <f t="shared" si="23"/>
        <v>11886380</v>
      </c>
      <c r="H419" s="149">
        <v>11886380</v>
      </c>
      <c r="I419" s="150">
        <f t="shared" si="22"/>
        <v>0</v>
      </c>
      <c r="J419" s="151">
        <v>45132</v>
      </c>
    </row>
    <row r="420" spans="1:10" ht="21.75" hidden="1" customHeight="1" x14ac:dyDescent="0.35">
      <c r="A420" s="145" t="s">
        <v>2065</v>
      </c>
      <c r="B420" s="146" t="s">
        <v>2066</v>
      </c>
      <c r="C420" s="146"/>
      <c r="D420" s="147">
        <v>45153</v>
      </c>
      <c r="E420" s="148">
        <v>130000</v>
      </c>
      <c r="F420" s="44">
        <f t="shared" si="24"/>
        <v>10400</v>
      </c>
      <c r="G420" s="149">
        <f t="shared" si="23"/>
        <v>140400</v>
      </c>
      <c r="H420" s="149">
        <v>140400</v>
      </c>
      <c r="I420" s="150">
        <f t="shared" si="22"/>
        <v>0</v>
      </c>
      <c r="J420" s="151">
        <v>45163</v>
      </c>
    </row>
    <row r="421" spans="1:10" ht="21.75" hidden="1" customHeight="1" x14ac:dyDescent="0.35">
      <c r="A421" s="145" t="s">
        <v>2067</v>
      </c>
      <c r="B421" s="146" t="s">
        <v>2068</v>
      </c>
      <c r="C421" s="146"/>
      <c r="D421" s="147">
        <v>45156</v>
      </c>
      <c r="E421" s="148">
        <v>52000</v>
      </c>
      <c r="F421" s="44">
        <f t="shared" si="24"/>
        <v>4160</v>
      </c>
      <c r="G421" s="149">
        <f t="shared" si="23"/>
        <v>56160</v>
      </c>
      <c r="H421" s="149">
        <v>56160</v>
      </c>
      <c r="I421" s="150">
        <f t="shared" si="22"/>
        <v>0</v>
      </c>
      <c r="J421" s="151">
        <v>45163</v>
      </c>
    </row>
    <row r="422" spans="1:10" ht="21.75" hidden="1" customHeight="1" x14ac:dyDescent="0.35">
      <c r="A422" s="145" t="s">
        <v>2069</v>
      </c>
      <c r="B422" s="146" t="s">
        <v>2070</v>
      </c>
      <c r="C422" s="146"/>
      <c r="D422" s="147">
        <v>45138</v>
      </c>
      <c r="E422" s="148">
        <v>502500</v>
      </c>
      <c r="F422" s="44">
        <f t="shared" si="24"/>
        <v>40200</v>
      </c>
      <c r="G422" s="149">
        <f t="shared" si="23"/>
        <v>542700</v>
      </c>
      <c r="H422" s="149">
        <v>542700</v>
      </c>
      <c r="I422" s="150">
        <f t="shared" si="22"/>
        <v>0</v>
      </c>
      <c r="J422" s="151">
        <v>45153</v>
      </c>
    </row>
    <row r="423" spans="1:10" ht="21.75" hidden="1" customHeight="1" x14ac:dyDescent="0.35">
      <c r="A423" s="145" t="s">
        <v>2071</v>
      </c>
      <c r="B423" s="146" t="s">
        <v>2072</v>
      </c>
      <c r="C423" s="146"/>
      <c r="D423" s="147">
        <v>45146</v>
      </c>
      <c r="E423" s="148">
        <v>156000</v>
      </c>
      <c r="F423" s="44">
        <f t="shared" si="24"/>
        <v>12480</v>
      </c>
      <c r="G423" s="149">
        <f t="shared" si="23"/>
        <v>168480</v>
      </c>
      <c r="H423" s="149">
        <v>168480</v>
      </c>
      <c r="I423" s="150">
        <f t="shared" si="22"/>
        <v>0</v>
      </c>
      <c r="J423" s="151">
        <v>45153</v>
      </c>
    </row>
    <row r="424" spans="1:10" ht="21.75" hidden="1" customHeight="1" x14ac:dyDescent="0.35">
      <c r="A424" s="145" t="s">
        <v>2073</v>
      </c>
      <c r="B424" s="146" t="s">
        <v>2074</v>
      </c>
      <c r="C424" s="146"/>
      <c r="D424" s="147">
        <v>45156</v>
      </c>
      <c r="E424" s="148">
        <v>182000</v>
      </c>
      <c r="F424" s="44">
        <f t="shared" si="24"/>
        <v>14560</v>
      </c>
      <c r="G424" s="149">
        <f t="shared" si="23"/>
        <v>196560</v>
      </c>
      <c r="H424" s="149">
        <v>196560</v>
      </c>
      <c r="I424" s="150">
        <f t="shared" si="22"/>
        <v>0</v>
      </c>
      <c r="J424" s="151">
        <v>45163</v>
      </c>
    </row>
    <row r="425" spans="1:10" ht="21.75" hidden="1" customHeight="1" x14ac:dyDescent="0.35">
      <c r="A425" s="145" t="s">
        <v>2075</v>
      </c>
      <c r="B425" s="146" t="s">
        <v>2076</v>
      </c>
      <c r="C425" s="146"/>
      <c r="D425" s="147">
        <v>45156</v>
      </c>
      <c r="E425" s="148">
        <v>156000</v>
      </c>
      <c r="F425" s="44">
        <f t="shared" si="24"/>
        <v>12480</v>
      </c>
      <c r="G425" s="149">
        <f t="shared" si="23"/>
        <v>168480</v>
      </c>
      <c r="H425" s="149">
        <v>168480</v>
      </c>
      <c r="I425" s="150">
        <f t="shared" si="22"/>
        <v>0</v>
      </c>
      <c r="J425" s="151">
        <v>45163</v>
      </c>
    </row>
    <row r="426" spans="1:10" ht="21.75" hidden="1" customHeight="1" x14ac:dyDescent="0.35">
      <c r="A426" s="145" t="s">
        <v>2077</v>
      </c>
      <c r="B426" s="146" t="s">
        <v>2078</v>
      </c>
      <c r="C426" s="146"/>
      <c r="D426" s="147">
        <v>45153</v>
      </c>
      <c r="E426" s="148">
        <v>104000</v>
      </c>
      <c r="F426" s="44">
        <f t="shared" si="24"/>
        <v>8320</v>
      </c>
      <c r="G426" s="149">
        <f t="shared" si="23"/>
        <v>112320</v>
      </c>
      <c r="H426" s="149">
        <v>112320</v>
      </c>
      <c r="I426" s="150">
        <f t="shared" si="22"/>
        <v>0</v>
      </c>
      <c r="J426" s="151">
        <v>45163</v>
      </c>
    </row>
    <row r="427" spans="1:10" ht="21.75" hidden="1" customHeight="1" x14ac:dyDescent="0.35">
      <c r="A427" s="145" t="s">
        <v>1683</v>
      </c>
      <c r="B427" s="146" t="s">
        <v>2079</v>
      </c>
      <c r="C427" s="146"/>
      <c r="D427" s="147">
        <v>45148</v>
      </c>
      <c r="E427" s="148">
        <v>2702790</v>
      </c>
      <c r="F427" s="44">
        <f t="shared" si="24"/>
        <v>216223.2</v>
      </c>
      <c r="G427" s="149">
        <f t="shared" si="23"/>
        <v>2919013.2</v>
      </c>
      <c r="H427" s="149">
        <v>2919013.2</v>
      </c>
      <c r="I427" s="150">
        <f t="shared" si="22"/>
        <v>0</v>
      </c>
      <c r="J427" s="151">
        <v>45153</v>
      </c>
    </row>
    <row r="428" spans="1:10" ht="21.75" hidden="1" customHeight="1" x14ac:dyDescent="0.35">
      <c r="A428" s="145" t="s">
        <v>2080</v>
      </c>
      <c r="B428" s="146" t="s">
        <v>2081</v>
      </c>
      <c r="C428" s="146"/>
      <c r="D428" s="147">
        <v>45135</v>
      </c>
      <c r="E428" s="148">
        <v>182000</v>
      </c>
      <c r="F428" s="44">
        <f t="shared" si="24"/>
        <v>14560</v>
      </c>
      <c r="G428" s="149">
        <f t="shared" si="23"/>
        <v>196560</v>
      </c>
      <c r="H428" s="149">
        <v>196560</v>
      </c>
      <c r="I428" s="150">
        <f t="shared" si="22"/>
        <v>0</v>
      </c>
      <c r="J428" s="151">
        <v>45153</v>
      </c>
    </row>
    <row r="429" spans="1:10" ht="21.75" hidden="1" customHeight="1" x14ac:dyDescent="0.35">
      <c r="A429" s="145" t="s">
        <v>2082</v>
      </c>
      <c r="B429" s="146" t="s">
        <v>2083</v>
      </c>
      <c r="C429" s="146"/>
      <c r="D429" s="147">
        <v>45146</v>
      </c>
      <c r="E429" s="148">
        <v>182000</v>
      </c>
      <c r="F429" s="44">
        <f t="shared" si="24"/>
        <v>14560</v>
      </c>
      <c r="G429" s="149">
        <f t="shared" si="23"/>
        <v>196560</v>
      </c>
      <c r="H429" s="149">
        <v>196560</v>
      </c>
      <c r="I429" s="150">
        <f t="shared" si="22"/>
        <v>0</v>
      </c>
      <c r="J429" s="151">
        <v>45153</v>
      </c>
    </row>
    <row r="430" spans="1:10" ht="21.75" hidden="1" customHeight="1" x14ac:dyDescent="0.35">
      <c r="A430" s="145" t="s">
        <v>2084</v>
      </c>
      <c r="B430" s="146" t="s">
        <v>2085</v>
      </c>
      <c r="C430" s="146"/>
      <c r="D430" s="147">
        <v>45146</v>
      </c>
      <c r="E430" s="148">
        <v>368000</v>
      </c>
      <c r="F430" s="44">
        <f t="shared" si="24"/>
        <v>29440</v>
      </c>
      <c r="G430" s="149">
        <f t="shared" si="23"/>
        <v>397440</v>
      </c>
      <c r="H430" s="149">
        <v>397440</v>
      </c>
      <c r="I430" s="150">
        <f t="shared" si="22"/>
        <v>0</v>
      </c>
      <c r="J430" s="151">
        <v>45153</v>
      </c>
    </row>
    <row r="431" spans="1:10" ht="21.75" hidden="1" customHeight="1" x14ac:dyDescent="0.35">
      <c r="A431" s="145" t="s">
        <v>2086</v>
      </c>
      <c r="B431" s="146" t="s">
        <v>2087</v>
      </c>
      <c r="C431" s="146"/>
      <c r="D431" s="147">
        <v>45156</v>
      </c>
      <c r="E431" s="148">
        <v>52000</v>
      </c>
      <c r="F431" s="44">
        <f t="shared" si="24"/>
        <v>4160</v>
      </c>
      <c r="G431" s="149">
        <f t="shared" si="23"/>
        <v>56160</v>
      </c>
      <c r="H431" s="149">
        <v>56160</v>
      </c>
      <c r="I431" s="150">
        <f t="shared" si="22"/>
        <v>0</v>
      </c>
      <c r="J431" s="151">
        <v>45163</v>
      </c>
    </row>
    <row r="432" spans="1:10" ht="21.75" hidden="1" customHeight="1" x14ac:dyDescent="0.35">
      <c r="A432" s="145" t="s">
        <v>1686</v>
      </c>
      <c r="B432" s="146" t="s">
        <v>2088</v>
      </c>
      <c r="C432" s="146"/>
      <c r="D432" s="147">
        <v>45163</v>
      </c>
      <c r="E432" s="148">
        <v>1157500</v>
      </c>
      <c r="F432" s="44">
        <f t="shared" si="24"/>
        <v>92600</v>
      </c>
      <c r="G432" s="149">
        <f t="shared" si="23"/>
        <v>1250100</v>
      </c>
      <c r="H432" s="149">
        <v>1250100</v>
      </c>
      <c r="I432" s="150">
        <f t="shared" si="22"/>
        <v>0</v>
      </c>
      <c r="J432" s="151">
        <v>45184</v>
      </c>
    </row>
    <row r="433" spans="1:10" ht="21.75" hidden="1" customHeight="1" x14ac:dyDescent="0.35">
      <c r="A433" s="145" t="s">
        <v>1735</v>
      </c>
      <c r="B433" s="146" t="s">
        <v>2089</v>
      </c>
      <c r="C433" s="146"/>
      <c r="D433" s="147">
        <v>45163</v>
      </c>
      <c r="E433" s="148">
        <v>128000</v>
      </c>
      <c r="F433" s="44">
        <f t="shared" si="24"/>
        <v>10240</v>
      </c>
      <c r="G433" s="149">
        <f t="shared" si="23"/>
        <v>138240</v>
      </c>
      <c r="H433" s="149">
        <v>138240</v>
      </c>
      <c r="I433" s="150">
        <f t="shared" si="22"/>
        <v>0</v>
      </c>
      <c r="J433" s="151">
        <v>45184</v>
      </c>
    </row>
    <row r="434" spans="1:10" ht="21.75" hidden="1" customHeight="1" x14ac:dyDescent="0.35">
      <c r="A434" s="145" t="s">
        <v>2090</v>
      </c>
      <c r="B434" s="146" t="s">
        <v>2091</v>
      </c>
      <c r="C434" s="146"/>
      <c r="D434" s="147">
        <v>45167</v>
      </c>
      <c r="E434" s="148">
        <v>364000</v>
      </c>
      <c r="F434" s="44">
        <f t="shared" si="24"/>
        <v>29120</v>
      </c>
      <c r="G434" s="149">
        <f t="shared" si="23"/>
        <v>393120</v>
      </c>
      <c r="H434" s="149">
        <v>393120</v>
      </c>
      <c r="I434" s="150">
        <f t="shared" si="22"/>
        <v>0</v>
      </c>
      <c r="J434" s="151">
        <v>45184</v>
      </c>
    </row>
    <row r="435" spans="1:10" ht="21.75" hidden="1" customHeight="1" x14ac:dyDescent="0.35">
      <c r="A435" s="145" t="s">
        <v>2092</v>
      </c>
      <c r="B435" s="146" t="s">
        <v>2093</v>
      </c>
      <c r="C435" s="146"/>
      <c r="D435" s="147">
        <v>45168</v>
      </c>
      <c r="E435" s="148">
        <v>182000</v>
      </c>
      <c r="F435" s="44">
        <f t="shared" si="24"/>
        <v>14560</v>
      </c>
      <c r="G435" s="149">
        <f t="shared" si="23"/>
        <v>196560</v>
      </c>
      <c r="H435" s="149">
        <v>196560</v>
      </c>
      <c r="I435" s="150">
        <f t="shared" si="22"/>
        <v>0</v>
      </c>
      <c r="J435" s="151">
        <v>45184</v>
      </c>
    </row>
    <row r="436" spans="1:10" ht="21.75" hidden="1" customHeight="1" x14ac:dyDescent="0.35">
      <c r="A436" s="145" t="s">
        <v>2094</v>
      </c>
      <c r="B436" s="146" t="s">
        <v>2095</v>
      </c>
      <c r="C436" s="146"/>
      <c r="D436" s="147">
        <v>45168</v>
      </c>
      <c r="E436" s="148">
        <v>104000</v>
      </c>
      <c r="F436" s="44">
        <f t="shared" si="24"/>
        <v>8320</v>
      </c>
      <c r="G436" s="149">
        <f t="shared" si="23"/>
        <v>112320</v>
      </c>
      <c r="H436" s="149">
        <v>112320</v>
      </c>
      <c r="I436" s="150">
        <f t="shared" si="22"/>
        <v>0</v>
      </c>
      <c r="J436" s="151">
        <v>45184</v>
      </c>
    </row>
    <row r="437" spans="1:10" ht="21.75" hidden="1" customHeight="1" x14ac:dyDescent="0.35">
      <c r="A437" s="145" t="s">
        <v>1916</v>
      </c>
      <c r="B437" s="146" t="s">
        <v>2096</v>
      </c>
      <c r="C437" s="146"/>
      <c r="D437" s="147">
        <v>45177</v>
      </c>
      <c r="E437" s="148">
        <v>192000</v>
      </c>
      <c r="F437" s="44">
        <f t="shared" si="24"/>
        <v>15360</v>
      </c>
      <c r="G437" s="149">
        <f t="shared" si="23"/>
        <v>207360</v>
      </c>
      <c r="H437" s="149">
        <v>207360</v>
      </c>
      <c r="I437" s="150">
        <f t="shared" si="22"/>
        <v>0</v>
      </c>
      <c r="J437" s="151">
        <v>45184</v>
      </c>
    </row>
    <row r="438" spans="1:10" ht="21.75" hidden="1" customHeight="1" x14ac:dyDescent="0.35">
      <c r="A438" s="145" t="s">
        <v>2097</v>
      </c>
      <c r="B438" s="146" t="s">
        <v>2098</v>
      </c>
      <c r="C438" s="146"/>
      <c r="D438" s="147">
        <v>45177</v>
      </c>
      <c r="E438" s="148">
        <v>52000</v>
      </c>
      <c r="F438" s="44">
        <f t="shared" si="24"/>
        <v>4160</v>
      </c>
      <c r="G438" s="149">
        <f t="shared" si="23"/>
        <v>56160</v>
      </c>
      <c r="H438" s="149">
        <v>56160</v>
      </c>
      <c r="I438" s="150">
        <f t="shared" si="22"/>
        <v>0</v>
      </c>
      <c r="J438" s="151">
        <v>45184</v>
      </c>
    </row>
    <row r="439" spans="1:10" ht="21.75" hidden="1" customHeight="1" x14ac:dyDescent="0.35">
      <c r="A439" s="145" t="s">
        <v>2099</v>
      </c>
      <c r="B439" s="146" t="s">
        <v>2100</v>
      </c>
      <c r="C439" s="146"/>
      <c r="D439" s="147">
        <v>45177</v>
      </c>
      <c r="E439" s="148">
        <v>156000</v>
      </c>
      <c r="F439" s="44">
        <f t="shared" si="24"/>
        <v>12480</v>
      </c>
      <c r="G439" s="149">
        <f t="shared" si="23"/>
        <v>168480</v>
      </c>
      <c r="H439" s="149">
        <v>168480</v>
      </c>
      <c r="I439" s="150">
        <f t="shared" si="22"/>
        <v>0</v>
      </c>
      <c r="J439" s="151">
        <v>45184</v>
      </c>
    </row>
    <row r="440" spans="1:10" ht="21.75" hidden="1" customHeight="1" x14ac:dyDescent="0.35">
      <c r="A440" s="145" t="s">
        <v>2101</v>
      </c>
      <c r="B440" s="146" t="s">
        <v>2102</v>
      </c>
      <c r="C440" s="146"/>
      <c r="D440" s="147">
        <v>45180</v>
      </c>
      <c r="E440" s="148">
        <v>8601492</v>
      </c>
      <c r="F440" s="44">
        <f t="shared" si="24"/>
        <v>688119.36</v>
      </c>
      <c r="G440" s="149">
        <f t="shared" si="23"/>
        <v>9289611.3599999994</v>
      </c>
      <c r="H440" s="149">
        <v>9289611.3599999994</v>
      </c>
      <c r="I440" s="150">
        <f t="shared" si="22"/>
        <v>0</v>
      </c>
      <c r="J440" s="151">
        <v>45184</v>
      </c>
    </row>
    <row r="441" spans="1:10" ht="21.75" hidden="1" customHeight="1" x14ac:dyDescent="0.35">
      <c r="A441" s="145" t="s">
        <v>2103</v>
      </c>
      <c r="B441" s="146" t="s">
        <v>2104</v>
      </c>
      <c r="C441" s="146"/>
      <c r="D441" s="147">
        <v>45169</v>
      </c>
      <c r="E441" s="148">
        <v>67000</v>
      </c>
      <c r="F441" s="44">
        <f t="shared" si="24"/>
        <v>5360</v>
      </c>
      <c r="G441" s="149">
        <f t="shared" si="23"/>
        <v>72360</v>
      </c>
      <c r="H441" s="149">
        <v>72360</v>
      </c>
      <c r="I441" s="150">
        <f t="shared" si="22"/>
        <v>0</v>
      </c>
      <c r="J441" s="151">
        <v>45184</v>
      </c>
    </row>
    <row r="442" spans="1:10" ht="21.75" hidden="1" customHeight="1" x14ac:dyDescent="0.35">
      <c r="A442" s="145" t="s">
        <v>2105</v>
      </c>
      <c r="B442" s="146" t="s">
        <v>2106</v>
      </c>
      <c r="C442" s="146"/>
      <c r="D442" s="147">
        <v>45184</v>
      </c>
      <c r="E442" s="148">
        <v>52000</v>
      </c>
      <c r="F442" s="44">
        <f t="shared" si="24"/>
        <v>4160</v>
      </c>
      <c r="G442" s="149">
        <f t="shared" si="23"/>
        <v>56160</v>
      </c>
      <c r="H442" s="149">
        <v>56160</v>
      </c>
      <c r="I442" s="150">
        <f t="shared" si="22"/>
        <v>0</v>
      </c>
      <c r="J442" s="151">
        <v>45214</v>
      </c>
    </row>
    <row r="443" spans="1:10" ht="21.75" hidden="1" customHeight="1" x14ac:dyDescent="0.35">
      <c r="A443" s="145" t="s">
        <v>2107</v>
      </c>
      <c r="B443" s="146" t="s">
        <v>2108</v>
      </c>
      <c r="C443" s="146"/>
      <c r="D443" s="147">
        <v>45184</v>
      </c>
      <c r="E443" s="148">
        <v>64000</v>
      </c>
      <c r="F443" s="44">
        <f t="shared" si="24"/>
        <v>5120</v>
      </c>
      <c r="G443" s="149">
        <f t="shared" si="23"/>
        <v>69120</v>
      </c>
      <c r="H443" s="149">
        <v>69120</v>
      </c>
      <c r="I443" s="150">
        <f t="shared" si="22"/>
        <v>0</v>
      </c>
      <c r="J443" s="151">
        <v>45214</v>
      </c>
    </row>
    <row r="444" spans="1:10" ht="21.75" hidden="1" customHeight="1" x14ac:dyDescent="0.35">
      <c r="A444" s="145" t="s">
        <v>2109</v>
      </c>
      <c r="B444" s="146" t="s">
        <v>2110</v>
      </c>
      <c r="C444" s="146"/>
      <c r="D444" s="147">
        <v>45184</v>
      </c>
      <c r="E444" s="148">
        <v>164500</v>
      </c>
      <c r="F444" s="44">
        <f>+E444*0.08</f>
        <v>13160</v>
      </c>
      <c r="G444" s="149">
        <f>+F444+E444</f>
        <v>177660</v>
      </c>
      <c r="H444" s="149">
        <v>177660</v>
      </c>
      <c r="I444" s="150">
        <f t="shared" si="22"/>
        <v>0</v>
      </c>
      <c r="J444" s="151">
        <v>45214</v>
      </c>
    </row>
    <row r="445" spans="1:10" ht="21.75" hidden="1" customHeight="1" x14ac:dyDescent="0.35">
      <c r="A445" s="145" t="s">
        <v>1462</v>
      </c>
      <c r="B445" s="146" t="s">
        <v>2111</v>
      </c>
      <c r="C445" s="146"/>
      <c r="D445" s="147">
        <v>45198</v>
      </c>
      <c r="E445" s="148">
        <v>288000</v>
      </c>
      <c r="F445" s="44">
        <f t="shared" ref="F445:F466" si="25">+E445*0.08</f>
        <v>23040</v>
      </c>
      <c r="G445" s="149">
        <f t="shared" ref="G445:G466" si="26">+F445+E445</f>
        <v>311040</v>
      </c>
      <c r="H445" s="149">
        <v>311040</v>
      </c>
      <c r="I445" s="150">
        <f t="shared" si="22"/>
        <v>0</v>
      </c>
      <c r="J445" s="151">
        <v>45214</v>
      </c>
    </row>
    <row r="446" spans="1:10" ht="21.75" hidden="1" customHeight="1" x14ac:dyDescent="0.35">
      <c r="A446" s="145" t="s">
        <v>2112</v>
      </c>
      <c r="B446" s="146" t="s">
        <v>2113</v>
      </c>
      <c r="C446" s="146"/>
      <c r="D446" s="147">
        <v>45205</v>
      </c>
      <c r="E446" s="148">
        <v>416000</v>
      </c>
      <c r="F446" s="44">
        <f t="shared" si="25"/>
        <v>33280</v>
      </c>
      <c r="G446" s="149">
        <f t="shared" si="26"/>
        <v>449280</v>
      </c>
      <c r="H446" s="149">
        <v>449280</v>
      </c>
      <c r="I446" s="150">
        <f t="shared" si="22"/>
        <v>0</v>
      </c>
      <c r="J446" s="151">
        <v>45214</v>
      </c>
    </row>
    <row r="447" spans="1:10" ht="21.75" hidden="1" customHeight="1" x14ac:dyDescent="0.35">
      <c r="A447" s="145" t="s">
        <v>2114</v>
      </c>
      <c r="B447" s="146" t="s">
        <v>2115</v>
      </c>
      <c r="C447" s="146"/>
      <c r="D447" s="147">
        <v>45198</v>
      </c>
      <c r="E447" s="148">
        <v>52000</v>
      </c>
      <c r="F447" s="44">
        <f t="shared" si="25"/>
        <v>4160</v>
      </c>
      <c r="G447" s="149">
        <f t="shared" si="26"/>
        <v>56160</v>
      </c>
      <c r="H447" s="149">
        <v>56160</v>
      </c>
      <c r="I447" s="150">
        <f t="shared" si="22"/>
        <v>0</v>
      </c>
      <c r="J447" s="151">
        <v>45214</v>
      </c>
    </row>
    <row r="448" spans="1:10" ht="21.75" hidden="1" customHeight="1" x14ac:dyDescent="0.35">
      <c r="A448" s="145" t="s">
        <v>1473</v>
      </c>
      <c r="B448" s="146" t="s">
        <v>2116</v>
      </c>
      <c r="C448" s="146"/>
      <c r="D448" s="147">
        <v>45205</v>
      </c>
      <c r="E448" s="148">
        <v>467000</v>
      </c>
      <c r="F448" s="44">
        <f t="shared" si="25"/>
        <v>37360</v>
      </c>
      <c r="G448" s="149">
        <f t="shared" si="26"/>
        <v>504360</v>
      </c>
      <c r="H448" s="149">
        <v>504360</v>
      </c>
      <c r="I448" s="150">
        <f t="shared" si="22"/>
        <v>0</v>
      </c>
      <c r="J448" s="151">
        <v>45214</v>
      </c>
    </row>
    <row r="449" spans="1:10" ht="21.75" hidden="1" customHeight="1" x14ac:dyDescent="0.35">
      <c r="A449" s="145" t="s">
        <v>2117</v>
      </c>
      <c r="B449" s="146" t="s">
        <v>2118</v>
      </c>
      <c r="C449" s="146"/>
      <c r="D449" s="147">
        <v>45194</v>
      </c>
      <c r="E449" s="148">
        <v>26000</v>
      </c>
      <c r="F449" s="44">
        <f t="shared" si="25"/>
        <v>2080</v>
      </c>
      <c r="G449" s="149">
        <f t="shared" si="26"/>
        <v>28080</v>
      </c>
      <c r="H449" s="149">
        <v>28080</v>
      </c>
      <c r="I449" s="150">
        <f t="shared" si="22"/>
        <v>0</v>
      </c>
      <c r="J449" s="151">
        <v>45214</v>
      </c>
    </row>
    <row r="450" spans="1:10" ht="21.75" hidden="1" customHeight="1" x14ac:dyDescent="0.35">
      <c r="A450" s="145" t="s">
        <v>2119</v>
      </c>
      <c r="B450" s="146" t="s">
        <v>2120</v>
      </c>
      <c r="C450" s="146"/>
      <c r="D450" s="147">
        <v>45215</v>
      </c>
      <c r="E450" s="148">
        <v>134000</v>
      </c>
      <c r="F450" s="44">
        <f t="shared" si="25"/>
        <v>10720</v>
      </c>
      <c r="G450" s="149">
        <f t="shared" si="26"/>
        <v>144720</v>
      </c>
      <c r="H450" s="149">
        <v>144720</v>
      </c>
      <c r="I450" s="150">
        <f t="shared" si="22"/>
        <v>0</v>
      </c>
      <c r="J450" s="151">
        <v>45224</v>
      </c>
    </row>
    <row r="451" spans="1:10" ht="21.75" hidden="1" customHeight="1" x14ac:dyDescent="0.35">
      <c r="A451" s="145" t="s">
        <v>2121</v>
      </c>
      <c r="B451" s="146" t="s">
        <v>2122</v>
      </c>
      <c r="C451" s="146"/>
      <c r="D451" s="147">
        <v>45218</v>
      </c>
      <c r="E451" s="148">
        <v>7709460</v>
      </c>
      <c r="F451" s="44">
        <f t="shared" si="25"/>
        <v>616756.80000000005</v>
      </c>
      <c r="G451" s="149">
        <f t="shared" si="26"/>
        <v>8326216.7999999998</v>
      </c>
      <c r="H451" s="149">
        <v>8326216.7999999998</v>
      </c>
      <c r="I451" s="150">
        <f t="shared" si="22"/>
        <v>0</v>
      </c>
      <c r="J451" s="151">
        <v>45224</v>
      </c>
    </row>
    <row r="452" spans="1:10" ht="21.75" hidden="1" customHeight="1" x14ac:dyDescent="0.35">
      <c r="A452" s="145" t="s">
        <v>2123</v>
      </c>
      <c r="B452" s="146" t="s">
        <v>2124</v>
      </c>
      <c r="C452" s="146"/>
      <c r="D452" s="147">
        <v>45224</v>
      </c>
      <c r="E452" s="148">
        <v>64000</v>
      </c>
      <c r="F452" s="44">
        <f t="shared" si="25"/>
        <v>5120</v>
      </c>
      <c r="G452" s="149">
        <f t="shared" si="26"/>
        <v>69120</v>
      </c>
      <c r="H452" s="149">
        <v>69120</v>
      </c>
      <c r="I452" s="150">
        <f t="shared" si="22"/>
        <v>0</v>
      </c>
      <c r="J452" s="151">
        <v>45245</v>
      </c>
    </row>
    <row r="453" spans="1:10" ht="21.75" hidden="1" customHeight="1" x14ac:dyDescent="0.35">
      <c r="A453" s="145" t="s">
        <v>2125</v>
      </c>
      <c r="B453" s="146" t="s">
        <v>2126</v>
      </c>
      <c r="C453" s="146"/>
      <c r="D453" s="147">
        <v>45229</v>
      </c>
      <c r="E453" s="148">
        <v>1548000</v>
      </c>
      <c r="F453" s="44">
        <f t="shared" si="25"/>
        <v>123840</v>
      </c>
      <c r="G453" s="149">
        <f t="shared" si="26"/>
        <v>1671840</v>
      </c>
      <c r="H453" s="149">
        <v>1671840</v>
      </c>
      <c r="I453" s="150">
        <f t="shared" si="22"/>
        <v>0</v>
      </c>
      <c r="J453" s="151">
        <v>45245</v>
      </c>
    </row>
    <row r="454" spans="1:10" ht="21.75" hidden="1" customHeight="1" x14ac:dyDescent="0.35">
      <c r="A454" s="145" t="s">
        <v>1440</v>
      </c>
      <c r="B454" s="146" t="s">
        <v>2127</v>
      </c>
      <c r="C454" s="146"/>
      <c r="D454" s="147">
        <v>45237</v>
      </c>
      <c r="E454" s="148">
        <v>288000</v>
      </c>
      <c r="F454" s="44">
        <f t="shared" si="25"/>
        <v>23040</v>
      </c>
      <c r="G454" s="149">
        <f t="shared" si="26"/>
        <v>311040</v>
      </c>
      <c r="H454" s="149">
        <v>311040</v>
      </c>
      <c r="I454" s="150">
        <f t="shared" si="22"/>
        <v>0</v>
      </c>
      <c r="J454" s="151">
        <v>45245</v>
      </c>
    </row>
    <row r="455" spans="1:10" ht="21.75" hidden="1" customHeight="1" x14ac:dyDescent="0.35">
      <c r="A455" s="145" t="s">
        <v>2109</v>
      </c>
      <c r="B455" s="146" t="s">
        <v>2128</v>
      </c>
      <c r="C455" s="146"/>
      <c r="D455" s="147">
        <v>45237</v>
      </c>
      <c r="E455" s="148">
        <v>32000</v>
      </c>
      <c r="F455" s="44">
        <f t="shared" si="25"/>
        <v>2560</v>
      </c>
      <c r="G455" s="149">
        <f t="shared" si="26"/>
        <v>34560</v>
      </c>
      <c r="H455" s="149">
        <v>34560</v>
      </c>
      <c r="I455" s="150">
        <f t="shared" si="22"/>
        <v>0</v>
      </c>
      <c r="J455" s="151">
        <v>45245</v>
      </c>
    </row>
    <row r="456" spans="1:10" ht="21.75" hidden="1" customHeight="1" x14ac:dyDescent="0.35">
      <c r="A456" s="161" t="s">
        <v>2129</v>
      </c>
      <c r="B456" s="146" t="s">
        <v>1724</v>
      </c>
      <c r="C456" s="146"/>
      <c r="D456" s="147">
        <v>45237</v>
      </c>
      <c r="E456" s="148">
        <v>52000</v>
      </c>
      <c r="F456" s="44">
        <f t="shared" si="25"/>
        <v>4160</v>
      </c>
      <c r="G456" s="149">
        <f t="shared" si="26"/>
        <v>56160</v>
      </c>
      <c r="H456" s="149">
        <v>56160</v>
      </c>
      <c r="I456" s="150">
        <f t="shared" ref="I456:I519" si="27">+G456-H456</f>
        <v>0</v>
      </c>
      <c r="J456" s="151">
        <v>45245</v>
      </c>
    </row>
    <row r="457" spans="1:10" ht="21.75" hidden="1" customHeight="1" x14ac:dyDescent="0.35">
      <c r="A457" s="145" t="s">
        <v>2121</v>
      </c>
      <c r="B457" s="146" t="s">
        <v>2130</v>
      </c>
      <c r="C457" s="146"/>
      <c r="D457" s="147">
        <v>45240</v>
      </c>
      <c r="E457" s="148">
        <v>767136</v>
      </c>
      <c r="F457" s="44">
        <f t="shared" si="25"/>
        <v>61370.880000000005</v>
      </c>
      <c r="G457" s="149">
        <f t="shared" si="26"/>
        <v>828506.88</v>
      </c>
      <c r="H457" s="149">
        <v>828506.88</v>
      </c>
      <c r="I457" s="150">
        <f t="shared" si="27"/>
        <v>0</v>
      </c>
      <c r="J457" s="151">
        <v>45245</v>
      </c>
    </row>
    <row r="458" spans="1:10" ht="21.75" hidden="1" customHeight="1" x14ac:dyDescent="0.35">
      <c r="A458" s="145" t="s">
        <v>1432</v>
      </c>
      <c r="B458" s="146" t="s">
        <v>2131</v>
      </c>
      <c r="C458" s="146"/>
      <c r="D458" s="147">
        <v>45245</v>
      </c>
      <c r="E458" s="148">
        <v>704000</v>
      </c>
      <c r="F458" s="44">
        <f t="shared" si="25"/>
        <v>56320</v>
      </c>
      <c r="G458" s="149">
        <f t="shared" si="26"/>
        <v>760320</v>
      </c>
      <c r="H458" s="149">
        <v>760320</v>
      </c>
      <c r="I458" s="150">
        <f t="shared" si="27"/>
        <v>0</v>
      </c>
      <c r="J458" s="151">
        <v>45275</v>
      </c>
    </row>
    <row r="459" spans="1:10" ht="21.75" hidden="1" customHeight="1" x14ac:dyDescent="0.35">
      <c r="A459" s="145" t="s">
        <v>1607</v>
      </c>
      <c r="B459" s="146" t="s">
        <v>2132</v>
      </c>
      <c r="C459" s="146"/>
      <c r="D459" s="147">
        <v>45245</v>
      </c>
      <c r="E459" s="148">
        <v>96000</v>
      </c>
      <c r="F459" s="44">
        <f t="shared" si="25"/>
        <v>7680</v>
      </c>
      <c r="G459" s="149">
        <f t="shared" si="26"/>
        <v>103680</v>
      </c>
      <c r="H459" s="149">
        <v>103680</v>
      </c>
      <c r="I459" s="150">
        <f t="shared" si="27"/>
        <v>0</v>
      </c>
      <c r="J459" s="151">
        <v>45275</v>
      </c>
    </row>
    <row r="460" spans="1:10" ht="21.75" hidden="1" customHeight="1" x14ac:dyDescent="0.35">
      <c r="A460" s="145" t="s">
        <v>2133</v>
      </c>
      <c r="B460" s="146" t="s">
        <v>2134</v>
      </c>
      <c r="C460" s="146"/>
      <c r="D460" s="147">
        <v>45245</v>
      </c>
      <c r="E460" s="148">
        <v>260000</v>
      </c>
      <c r="F460" s="44">
        <f t="shared" si="25"/>
        <v>20800</v>
      </c>
      <c r="G460" s="149">
        <f t="shared" si="26"/>
        <v>280800</v>
      </c>
      <c r="H460" s="149">
        <v>280800</v>
      </c>
      <c r="I460" s="150">
        <f t="shared" si="27"/>
        <v>0</v>
      </c>
      <c r="J460" s="151">
        <v>45275</v>
      </c>
    </row>
    <row r="461" spans="1:10" ht="21.75" hidden="1" customHeight="1" x14ac:dyDescent="0.35">
      <c r="A461" s="145" t="s">
        <v>1751</v>
      </c>
      <c r="B461" s="146" t="s">
        <v>2135</v>
      </c>
      <c r="C461" s="146"/>
      <c r="D461" s="147">
        <v>45258</v>
      </c>
      <c r="E461" s="148">
        <v>2120000</v>
      </c>
      <c r="F461" s="44">
        <f t="shared" si="25"/>
        <v>169600</v>
      </c>
      <c r="G461" s="149">
        <f t="shared" si="26"/>
        <v>2289600</v>
      </c>
      <c r="H461" s="149">
        <v>2289600</v>
      </c>
      <c r="I461" s="150">
        <f t="shared" si="27"/>
        <v>0</v>
      </c>
      <c r="J461" s="151">
        <v>45275</v>
      </c>
    </row>
    <row r="462" spans="1:10" ht="21.75" hidden="1" customHeight="1" x14ac:dyDescent="0.35">
      <c r="A462" s="145" t="s">
        <v>1628</v>
      </c>
      <c r="B462" s="146" t="s">
        <v>2136</v>
      </c>
      <c r="C462" s="146"/>
      <c r="D462" s="147">
        <v>45258</v>
      </c>
      <c r="E462" s="148">
        <v>1078000</v>
      </c>
      <c r="F462" s="44">
        <f t="shared" si="25"/>
        <v>86240</v>
      </c>
      <c r="G462" s="149">
        <f t="shared" si="26"/>
        <v>1164240</v>
      </c>
      <c r="H462" s="149">
        <v>1164240</v>
      </c>
      <c r="I462" s="150">
        <f t="shared" si="27"/>
        <v>0</v>
      </c>
      <c r="J462" s="151">
        <v>45275</v>
      </c>
    </row>
    <row r="463" spans="1:10" ht="21.75" hidden="1" customHeight="1" x14ac:dyDescent="0.35">
      <c r="A463" s="145" t="s">
        <v>2015</v>
      </c>
      <c r="B463" s="146" t="s">
        <v>2137</v>
      </c>
      <c r="C463" s="146"/>
      <c r="D463" s="147">
        <v>45260</v>
      </c>
      <c r="E463" s="148">
        <v>695000</v>
      </c>
      <c r="F463" s="44">
        <f t="shared" si="25"/>
        <v>55600</v>
      </c>
      <c r="G463" s="149">
        <f t="shared" si="26"/>
        <v>750600</v>
      </c>
      <c r="H463" s="149">
        <v>750600</v>
      </c>
      <c r="I463" s="150">
        <f t="shared" si="27"/>
        <v>0</v>
      </c>
      <c r="J463" s="151">
        <v>45275</v>
      </c>
    </row>
    <row r="464" spans="1:10" ht="21.75" hidden="1" customHeight="1" x14ac:dyDescent="0.35">
      <c r="A464" s="145" t="s">
        <v>2138</v>
      </c>
      <c r="B464" s="146" t="s">
        <v>2139</v>
      </c>
      <c r="C464" s="146"/>
      <c r="D464" s="147">
        <v>45272</v>
      </c>
      <c r="E464" s="148">
        <v>120000</v>
      </c>
      <c r="F464" s="44">
        <f t="shared" si="25"/>
        <v>9600</v>
      </c>
      <c r="G464" s="149">
        <f t="shared" si="26"/>
        <v>129600</v>
      </c>
      <c r="H464" s="149">
        <v>129600</v>
      </c>
      <c r="I464" s="150">
        <f t="shared" si="27"/>
        <v>0</v>
      </c>
      <c r="J464" s="151">
        <v>45376</v>
      </c>
    </row>
    <row r="465" spans="1:13" ht="21.75" hidden="1" customHeight="1" x14ac:dyDescent="0.35">
      <c r="A465" s="145" t="s">
        <v>2140</v>
      </c>
      <c r="B465" s="146" t="s">
        <v>2141</v>
      </c>
      <c r="C465" s="146"/>
      <c r="D465" s="147">
        <v>45275</v>
      </c>
      <c r="E465" s="148">
        <v>40000</v>
      </c>
      <c r="F465" s="44">
        <f t="shared" si="25"/>
        <v>3200</v>
      </c>
      <c r="G465" s="149">
        <f t="shared" si="26"/>
        <v>43200</v>
      </c>
      <c r="H465" s="149">
        <v>43200</v>
      </c>
      <c r="I465" s="150">
        <f t="shared" si="27"/>
        <v>0</v>
      </c>
      <c r="J465" s="151">
        <v>45376</v>
      </c>
    </row>
    <row r="466" spans="1:13" ht="21.75" hidden="1" customHeight="1" x14ac:dyDescent="0.35">
      <c r="A466" s="145" t="s">
        <v>2142</v>
      </c>
      <c r="B466" s="146" t="s">
        <v>2143</v>
      </c>
      <c r="C466" s="146"/>
      <c r="D466" s="147">
        <v>45279</v>
      </c>
      <c r="E466" s="148">
        <v>29860369</v>
      </c>
      <c r="F466" s="44">
        <f t="shared" si="25"/>
        <v>2388829.52</v>
      </c>
      <c r="G466" s="149">
        <f t="shared" si="26"/>
        <v>32249198.52</v>
      </c>
      <c r="H466" s="149">
        <v>32249198.52</v>
      </c>
      <c r="I466" s="150">
        <f t="shared" si="27"/>
        <v>0</v>
      </c>
      <c r="J466" s="151">
        <v>45285</v>
      </c>
    </row>
    <row r="467" spans="1:13" ht="21.75" hidden="1" customHeight="1" x14ac:dyDescent="0.35">
      <c r="A467" s="145" t="s">
        <v>2144</v>
      </c>
      <c r="B467" s="146"/>
      <c r="C467" s="146"/>
      <c r="D467" s="147"/>
      <c r="E467" s="148"/>
      <c r="F467" s="44"/>
      <c r="G467" s="149">
        <v>6250571</v>
      </c>
      <c r="H467" s="149">
        <v>6250571</v>
      </c>
      <c r="I467" s="150">
        <f t="shared" si="27"/>
        <v>0</v>
      </c>
      <c r="J467" s="151">
        <v>45285</v>
      </c>
    </row>
    <row r="468" spans="1:13" ht="21.75" hidden="1" customHeight="1" x14ac:dyDescent="0.35">
      <c r="A468" s="145" t="s">
        <v>2145</v>
      </c>
      <c r="B468" s="146"/>
      <c r="C468" s="146"/>
      <c r="D468" s="147"/>
      <c r="E468" s="148"/>
      <c r="F468" s="44"/>
      <c r="G468" s="149">
        <v>3316656</v>
      </c>
      <c r="H468" s="149">
        <v>3316656</v>
      </c>
      <c r="I468" s="150">
        <f t="shared" si="27"/>
        <v>0</v>
      </c>
      <c r="J468" s="151">
        <v>45285</v>
      </c>
    </row>
    <row r="469" spans="1:13" ht="21.75" hidden="1" customHeight="1" x14ac:dyDescent="0.35">
      <c r="A469" s="145" t="s">
        <v>2146</v>
      </c>
      <c r="B469" s="146"/>
      <c r="C469" s="146"/>
      <c r="D469" s="147"/>
      <c r="E469" s="148"/>
      <c r="F469" s="44"/>
      <c r="G469" s="149">
        <v>414546</v>
      </c>
      <c r="H469" s="149">
        <v>414546</v>
      </c>
      <c r="I469" s="150">
        <f t="shared" si="27"/>
        <v>0</v>
      </c>
      <c r="J469" s="151">
        <v>45285</v>
      </c>
    </row>
    <row r="470" spans="1:13" ht="21.75" hidden="1" customHeight="1" x14ac:dyDescent="0.35">
      <c r="A470" s="145" t="s">
        <v>1894</v>
      </c>
      <c r="B470" s="146" t="s">
        <v>2147</v>
      </c>
      <c r="C470" s="146"/>
      <c r="D470" s="147">
        <v>45301</v>
      </c>
      <c r="E470" s="148">
        <v>720000</v>
      </c>
      <c r="F470" s="44">
        <f t="shared" ref="F470:F534" si="28">+E470*0.08</f>
        <v>57600</v>
      </c>
      <c r="G470" s="149">
        <f t="shared" ref="G470:G534" si="29">+F470+E470</f>
        <v>777600</v>
      </c>
      <c r="H470" s="149">
        <v>777600</v>
      </c>
      <c r="I470" s="150">
        <f t="shared" si="27"/>
        <v>0</v>
      </c>
      <c r="J470" s="151">
        <v>45376</v>
      </c>
    </row>
    <row r="471" spans="1:13" ht="21.75" hidden="1" customHeight="1" x14ac:dyDescent="0.35">
      <c r="A471" s="145" t="s">
        <v>1763</v>
      </c>
      <c r="B471" s="146" t="s">
        <v>2148</v>
      </c>
      <c r="C471" s="146"/>
      <c r="D471" s="147">
        <v>45304</v>
      </c>
      <c r="E471" s="148">
        <v>730000</v>
      </c>
      <c r="F471" s="44">
        <f t="shared" si="28"/>
        <v>58400</v>
      </c>
      <c r="G471" s="149">
        <f t="shared" si="29"/>
        <v>788400</v>
      </c>
      <c r="H471" s="149">
        <v>788400</v>
      </c>
      <c r="I471" s="150">
        <f t="shared" si="27"/>
        <v>0</v>
      </c>
      <c r="J471" s="151">
        <v>45376</v>
      </c>
    </row>
    <row r="472" spans="1:13" ht="21.75" hidden="1" customHeight="1" x14ac:dyDescent="0.35">
      <c r="A472" s="145" t="s">
        <v>1885</v>
      </c>
      <c r="B472" s="146" t="s">
        <v>2149</v>
      </c>
      <c r="C472" s="146"/>
      <c r="D472" s="147">
        <v>45342</v>
      </c>
      <c r="E472" s="148">
        <v>2107500</v>
      </c>
      <c r="F472" s="44">
        <f t="shared" si="28"/>
        <v>168600</v>
      </c>
      <c r="G472" s="149">
        <f t="shared" si="29"/>
        <v>2276100</v>
      </c>
      <c r="H472" s="149">
        <v>2276100</v>
      </c>
      <c r="I472" s="150">
        <f t="shared" si="27"/>
        <v>0</v>
      </c>
      <c r="J472" s="151">
        <v>45376</v>
      </c>
      <c r="K472" s="3">
        <v>9103306897</v>
      </c>
      <c r="L472" s="3" t="s">
        <v>293</v>
      </c>
    </row>
    <row r="473" spans="1:13" ht="21.75" hidden="1" customHeight="1" x14ac:dyDescent="0.35">
      <c r="A473" s="145" t="s">
        <v>1753</v>
      </c>
      <c r="B473" s="146" t="s">
        <v>2150</v>
      </c>
      <c r="C473" s="146"/>
      <c r="D473" s="147">
        <v>45342</v>
      </c>
      <c r="E473" s="148">
        <v>4110000</v>
      </c>
      <c r="F473" s="44">
        <f t="shared" si="28"/>
        <v>328800</v>
      </c>
      <c r="G473" s="149">
        <f t="shared" si="29"/>
        <v>4438800</v>
      </c>
      <c r="H473" s="149">
        <v>4438800</v>
      </c>
      <c r="I473" s="150">
        <f t="shared" si="27"/>
        <v>0</v>
      </c>
      <c r="J473" s="151">
        <v>45376</v>
      </c>
      <c r="K473" s="3">
        <v>9103306664</v>
      </c>
      <c r="L473" s="3" t="s">
        <v>293</v>
      </c>
      <c r="M473" s="3" t="s">
        <v>2151</v>
      </c>
    </row>
    <row r="474" spans="1:13" ht="21.75" hidden="1" customHeight="1" x14ac:dyDescent="0.35">
      <c r="A474" s="145" t="s">
        <v>1834</v>
      </c>
      <c r="B474" s="146" t="s">
        <v>2152</v>
      </c>
      <c r="C474" s="146"/>
      <c r="D474" s="147">
        <v>45341</v>
      </c>
      <c r="E474" s="148">
        <v>11516000</v>
      </c>
      <c r="F474" s="44">
        <f t="shared" si="28"/>
        <v>921280</v>
      </c>
      <c r="G474" s="149">
        <f t="shared" si="29"/>
        <v>12437280</v>
      </c>
      <c r="H474" s="149">
        <v>12437280</v>
      </c>
      <c r="I474" s="150">
        <f t="shared" si="27"/>
        <v>0</v>
      </c>
      <c r="J474" s="151">
        <v>45376</v>
      </c>
      <c r="K474" s="3">
        <v>9103303201</v>
      </c>
      <c r="L474" s="3" t="s">
        <v>293</v>
      </c>
      <c r="M474" s="3" t="s">
        <v>2151</v>
      </c>
    </row>
    <row r="475" spans="1:13" ht="21.75" hidden="1" customHeight="1" x14ac:dyDescent="0.35">
      <c r="A475" s="145" t="s">
        <v>1798</v>
      </c>
      <c r="B475" s="146" t="s">
        <v>2153</v>
      </c>
      <c r="C475" s="146"/>
      <c r="D475" s="147">
        <v>45342</v>
      </c>
      <c r="E475" s="148">
        <v>24838000</v>
      </c>
      <c r="F475" s="44">
        <f t="shared" si="28"/>
        <v>1987040</v>
      </c>
      <c r="G475" s="149">
        <f t="shared" si="29"/>
        <v>26825040</v>
      </c>
      <c r="H475" s="149">
        <v>26825040</v>
      </c>
      <c r="I475" s="150">
        <f t="shared" si="27"/>
        <v>0</v>
      </c>
      <c r="J475" s="151">
        <v>45376</v>
      </c>
      <c r="K475" s="3">
        <v>9103300056</v>
      </c>
      <c r="L475" s="3" t="s">
        <v>293</v>
      </c>
    </row>
    <row r="476" spans="1:13" ht="21.75" hidden="1" customHeight="1" x14ac:dyDescent="0.35">
      <c r="A476" s="145" t="s">
        <v>2154</v>
      </c>
      <c r="B476" s="146" t="s">
        <v>2155</v>
      </c>
      <c r="C476" s="146"/>
      <c r="D476" s="147">
        <v>45303</v>
      </c>
      <c r="E476" s="148">
        <v>40000</v>
      </c>
      <c r="F476" s="44">
        <f t="shared" si="28"/>
        <v>3200</v>
      </c>
      <c r="G476" s="149">
        <f t="shared" si="29"/>
        <v>43200</v>
      </c>
      <c r="H476" s="149">
        <v>43200</v>
      </c>
      <c r="I476" s="150">
        <f t="shared" si="27"/>
        <v>0</v>
      </c>
      <c r="J476" s="151">
        <v>45376</v>
      </c>
      <c r="K476" s="3">
        <v>9103178395</v>
      </c>
    </row>
    <row r="477" spans="1:13" ht="21.75" hidden="1" customHeight="1" x14ac:dyDescent="0.35">
      <c r="A477" s="145" t="s">
        <v>1686</v>
      </c>
      <c r="B477" s="146" t="s">
        <v>2156</v>
      </c>
      <c r="C477" s="146"/>
      <c r="D477" s="147">
        <v>45340</v>
      </c>
      <c r="E477" s="148">
        <v>5425000</v>
      </c>
      <c r="F477" s="44">
        <f t="shared" si="28"/>
        <v>434000</v>
      </c>
      <c r="G477" s="149">
        <f t="shared" si="29"/>
        <v>5859000</v>
      </c>
      <c r="H477" s="149">
        <v>5859000</v>
      </c>
      <c r="I477" s="150">
        <f t="shared" si="27"/>
        <v>0</v>
      </c>
      <c r="J477" s="151">
        <v>45376</v>
      </c>
      <c r="K477" s="3">
        <v>9103299230</v>
      </c>
      <c r="L477" s="3" t="s">
        <v>293</v>
      </c>
      <c r="M477" s="3" t="s">
        <v>2151</v>
      </c>
    </row>
    <row r="478" spans="1:13" ht="21.75" hidden="1" customHeight="1" x14ac:dyDescent="0.35">
      <c r="A478" s="145" t="s">
        <v>2157</v>
      </c>
      <c r="B478" s="146" t="s">
        <v>2158</v>
      </c>
      <c r="C478" s="146"/>
      <c r="D478" s="147">
        <v>45342</v>
      </c>
      <c r="E478" s="148">
        <v>268126865</v>
      </c>
      <c r="F478" s="44">
        <f t="shared" si="28"/>
        <v>21450149.199999999</v>
      </c>
      <c r="G478" s="149">
        <f t="shared" si="29"/>
        <v>289577014.19999999</v>
      </c>
      <c r="H478" s="149">
        <v>289577014.19999999</v>
      </c>
      <c r="I478" s="150">
        <f t="shared" si="27"/>
        <v>0</v>
      </c>
      <c r="J478" s="151">
        <v>45376</v>
      </c>
    </row>
    <row r="479" spans="1:13" ht="21.75" hidden="1" customHeight="1" x14ac:dyDescent="0.35">
      <c r="A479" s="145" t="s">
        <v>2159</v>
      </c>
      <c r="B479" s="146" t="s">
        <v>2160</v>
      </c>
      <c r="C479" s="146"/>
      <c r="D479" s="147">
        <v>45310</v>
      </c>
      <c r="E479" s="148">
        <v>1007624176</v>
      </c>
      <c r="F479" s="44">
        <f t="shared" si="28"/>
        <v>80609934.079999998</v>
      </c>
      <c r="G479" s="149">
        <f t="shared" si="29"/>
        <v>1088234110.0799999</v>
      </c>
      <c r="H479" s="149">
        <v>1088234110.0799999</v>
      </c>
      <c r="I479" s="150">
        <f t="shared" si="27"/>
        <v>0</v>
      </c>
      <c r="J479" s="151">
        <v>45376</v>
      </c>
    </row>
    <row r="480" spans="1:13" ht="21.75" hidden="1" customHeight="1" x14ac:dyDescent="0.35">
      <c r="A480" s="145" t="s">
        <v>1392</v>
      </c>
      <c r="B480" s="146" t="s">
        <v>2161</v>
      </c>
      <c r="C480" s="146"/>
      <c r="D480" s="147">
        <v>45305</v>
      </c>
      <c r="E480" s="148">
        <v>165000</v>
      </c>
      <c r="F480" s="44">
        <f t="shared" si="28"/>
        <v>13200</v>
      </c>
      <c r="G480" s="149">
        <f t="shared" si="29"/>
        <v>178200</v>
      </c>
      <c r="H480" s="149">
        <v>178200</v>
      </c>
      <c r="I480" s="150">
        <f t="shared" si="27"/>
        <v>0</v>
      </c>
      <c r="J480" s="151">
        <v>45376</v>
      </c>
      <c r="K480" s="3">
        <v>9103184792</v>
      </c>
    </row>
    <row r="481" spans="1:13" ht="21.75" hidden="1" customHeight="1" x14ac:dyDescent="0.35">
      <c r="A481" s="145" t="s">
        <v>2162</v>
      </c>
      <c r="B481" s="146" t="s">
        <v>2163</v>
      </c>
      <c r="C481" s="146"/>
      <c r="D481" s="147">
        <v>45328</v>
      </c>
      <c r="E481" s="148">
        <v>1348000</v>
      </c>
      <c r="F481" s="44">
        <f t="shared" si="28"/>
        <v>107840</v>
      </c>
      <c r="G481" s="149">
        <f t="shared" si="29"/>
        <v>1455840</v>
      </c>
      <c r="H481" s="149">
        <v>1455840</v>
      </c>
      <c r="I481" s="150">
        <f t="shared" si="27"/>
        <v>0</v>
      </c>
      <c r="J481" s="151">
        <v>45376</v>
      </c>
      <c r="K481" s="3">
        <v>9103273691</v>
      </c>
      <c r="L481" s="3" t="s">
        <v>293</v>
      </c>
    </row>
    <row r="482" spans="1:13" ht="21.75" hidden="1" customHeight="1" x14ac:dyDescent="0.35">
      <c r="A482" s="145" t="s">
        <v>1818</v>
      </c>
      <c r="B482" s="146" t="s">
        <v>2164</v>
      </c>
      <c r="C482" s="146"/>
      <c r="D482" s="147">
        <v>45342</v>
      </c>
      <c r="E482" s="148">
        <v>7786000</v>
      </c>
      <c r="F482" s="44">
        <f t="shared" si="28"/>
        <v>622880</v>
      </c>
      <c r="G482" s="149">
        <f t="shared" si="29"/>
        <v>8408880</v>
      </c>
      <c r="H482" s="149">
        <v>8408880</v>
      </c>
      <c r="I482" s="150">
        <f t="shared" si="27"/>
        <v>0</v>
      </c>
      <c r="J482" s="151">
        <v>45376</v>
      </c>
      <c r="K482" s="3">
        <v>9103303148</v>
      </c>
      <c r="L482" s="3" t="s">
        <v>293</v>
      </c>
    </row>
    <row r="483" spans="1:13" ht="21.75" hidden="1" customHeight="1" x14ac:dyDescent="0.35">
      <c r="A483" s="145" t="s">
        <v>1730</v>
      </c>
      <c r="B483" s="146" t="s">
        <v>2165</v>
      </c>
      <c r="C483" s="146"/>
      <c r="D483" s="147">
        <v>45343</v>
      </c>
      <c r="E483" s="148">
        <v>5285000</v>
      </c>
      <c r="F483" s="44">
        <f t="shared" si="28"/>
        <v>422800</v>
      </c>
      <c r="G483" s="149">
        <f t="shared" si="29"/>
        <v>5707800</v>
      </c>
      <c r="H483" s="149">
        <v>5707800</v>
      </c>
      <c r="I483" s="150">
        <f t="shared" si="27"/>
        <v>0</v>
      </c>
      <c r="J483" s="151">
        <v>45376</v>
      </c>
      <c r="K483" s="3">
        <v>9103309764</v>
      </c>
      <c r="L483" s="3" t="s">
        <v>293</v>
      </c>
    </row>
    <row r="484" spans="1:13" ht="21.75" hidden="1" customHeight="1" x14ac:dyDescent="0.35">
      <c r="A484" s="145" t="s">
        <v>1739</v>
      </c>
      <c r="B484" s="146" t="s">
        <v>2166</v>
      </c>
      <c r="C484" s="146"/>
      <c r="D484" s="147">
        <v>45343</v>
      </c>
      <c r="E484" s="148">
        <v>18227500</v>
      </c>
      <c r="F484" s="44">
        <f t="shared" si="28"/>
        <v>1458200</v>
      </c>
      <c r="G484" s="149">
        <f t="shared" si="29"/>
        <v>19685700</v>
      </c>
      <c r="H484" s="149">
        <v>19685700</v>
      </c>
      <c r="I484" s="150">
        <f t="shared" si="27"/>
        <v>0</v>
      </c>
      <c r="J484" s="151">
        <v>45376</v>
      </c>
      <c r="K484" s="3">
        <v>9103298943</v>
      </c>
      <c r="L484" s="3" t="s">
        <v>293</v>
      </c>
    </row>
    <row r="485" spans="1:13" ht="21.75" hidden="1" customHeight="1" x14ac:dyDescent="0.35">
      <c r="A485" s="145" t="s">
        <v>1876</v>
      </c>
      <c r="B485" s="146" t="s">
        <v>2167</v>
      </c>
      <c r="C485" s="146"/>
      <c r="D485" s="147">
        <v>45343</v>
      </c>
      <c r="E485" s="148">
        <v>1543500</v>
      </c>
      <c r="F485" s="44">
        <f t="shared" si="28"/>
        <v>123480</v>
      </c>
      <c r="G485" s="149">
        <f t="shared" si="29"/>
        <v>1666980</v>
      </c>
      <c r="H485" s="149">
        <v>1666980</v>
      </c>
      <c r="I485" s="150">
        <f t="shared" si="27"/>
        <v>0</v>
      </c>
      <c r="J485" s="151">
        <v>45376</v>
      </c>
      <c r="K485" s="3">
        <v>9103303575</v>
      </c>
      <c r="L485" s="3" t="s">
        <v>293</v>
      </c>
      <c r="M485" s="3" t="s">
        <v>2151</v>
      </c>
    </row>
    <row r="486" spans="1:13" ht="21.75" hidden="1" customHeight="1" x14ac:dyDescent="0.35">
      <c r="A486" s="145" t="s">
        <v>1725</v>
      </c>
      <c r="B486" s="146" t="s">
        <v>2168</v>
      </c>
      <c r="C486" s="146"/>
      <c r="D486" s="147">
        <v>45343</v>
      </c>
      <c r="E486" s="148">
        <v>48061500</v>
      </c>
      <c r="F486" s="44">
        <f t="shared" si="28"/>
        <v>3844920</v>
      </c>
      <c r="G486" s="149">
        <f t="shared" si="29"/>
        <v>51906420</v>
      </c>
      <c r="H486" s="149">
        <v>51906420</v>
      </c>
      <c r="I486" s="150">
        <f t="shared" si="27"/>
        <v>0</v>
      </c>
      <c r="J486" s="151">
        <v>45376</v>
      </c>
      <c r="K486" s="3">
        <v>9103303989</v>
      </c>
      <c r="L486" s="3" t="s">
        <v>293</v>
      </c>
      <c r="M486" s="3" t="s">
        <v>2151</v>
      </c>
    </row>
    <row r="487" spans="1:13" ht="21.75" hidden="1" customHeight="1" x14ac:dyDescent="0.35">
      <c r="A487" s="145" t="s">
        <v>1932</v>
      </c>
      <c r="B487" s="146" t="s">
        <v>2169</v>
      </c>
      <c r="C487" s="146"/>
      <c r="D487" s="147">
        <v>45343</v>
      </c>
      <c r="E487" s="148">
        <v>31690500</v>
      </c>
      <c r="F487" s="44">
        <f t="shared" si="28"/>
        <v>2535240</v>
      </c>
      <c r="G487" s="149">
        <f t="shared" si="29"/>
        <v>34225740</v>
      </c>
      <c r="H487" s="149">
        <v>34225740</v>
      </c>
      <c r="I487" s="150">
        <f t="shared" si="27"/>
        <v>0</v>
      </c>
      <c r="J487" s="151">
        <v>45376</v>
      </c>
      <c r="K487" s="3">
        <v>9103315113</v>
      </c>
      <c r="L487" s="3" t="s">
        <v>293</v>
      </c>
    </row>
    <row r="488" spans="1:13" ht="21.75" hidden="1" customHeight="1" x14ac:dyDescent="0.35">
      <c r="A488" s="145" t="s">
        <v>1916</v>
      </c>
      <c r="B488" s="146" t="s">
        <v>2170</v>
      </c>
      <c r="C488" s="146"/>
      <c r="D488" s="147">
        <v>45343</v>
      </c>
      <c r="E488" s="148">
        <v>17177000</v>
      </c>
      <c r="F488" s="44">
        <f t="shared" si="28"/>
        <v>1374160</v>
      </c>
      <c r="G488" s="149">
        <f t="shared" si="29"/>
        <v>18551160</v>
      </c>
      <c r="H488" s="149">
        <v>18551160</v>
      </c>
      <c r="I488" s="150">
        <f t="shared" si="27"/>
        <v>0</v>
      </c>
      <c r="J488" s="151">
        <v>45376</v>
      </c>
      <c r="K488" s="3">
        <v>9103314798</v>
      </c>
      <c r="L488" s="3" t="s">
        <v>293</v>
      </c>
      <c r="M488" s="3" t="s">
        <v>2151</v>
      </c>
    </row>
    <row r="489" spans="1:13" ht="21.75" hidden="1" customHeight="1" x14ac:dyDescent="0.35">
      <c r="A489" s="145" t="s">
        <v>1690</v>
      </c>
      <c r="B489" s="146" t="s">
        <v>2148</v>
      </c>
      <c r="C489" s="146"/>
      <c r="D489" s="147">
        <v>45343</v>
      </c>
      <c r="E489" s="148">
        <v>20432000</v>
      </c>
      <c r="F489" s="44">
        <f t="shared" si="28"/>
        <v>1634560</v>
      </c>
      <c r="G489" s="149">
        <f t="shared" si="29"/>
        <v>22066560</v>
      </c>
      <c r="H489" s="149">
        <v>22066560</v>
      </c>
      <c r="I489" s="150">
        <f t="shared" si="27"/>
        <v>0</v>
      </c>
      <c r="J489" s="151">
        <v>45376</v>
      </c>
      <c r="K489" s="3">
        <v>9103316373</v>
      </c>
      <c r="L489" s="3" t="s">
        <v>293</v>
      </c>
    </row>
    <row r="490" spans="1:13" ht="21.75" hidden="1" customHeight="1" x14ac:dyDescent="0.35">
      <c r="A490" s="145" t="s">
        <v>1955</v>
      </c>
      <c r="B490" s="146" t="s">
        <v>2166</v>
      </c>
      <c r="C490" s="146"/>
      <c r="D490" s="147">
        <v>45343</v>
      </c>
      <c r="E490" s="148">
        <v>472000</v>
      </c>
      <c r="F490" s="44">
        <f t="shared" si="28"/>
        <v>37760</v>
      </c>
      <c r="G490" s="149">
        <f t="shared" si="29"/>
        <v>509760</v>
      </c>
      <c r="H490" s="149">
        <v>509760</v>
      </c>
      <c r="I490" s="150">
        <f t="shared" si="27"/>
        <v>0</v>
      </c>
      <c r="J490" s="151">
        <v>45376</v>
      </c>
      <c r="K490" s="3">
        <v>9103313223</v>
      </c>
      <c r="L490" s="3" t="s">
        <v>293</v>
      </c>
    </row>
    <row r="491" spans="1:13" ht="21.75" hidden="1" customHeight="1" x14ac:dyDescent="0.35">
      <c r="A491" s="145" t="s">
        <v>1995</v>
      </c>
      <c r="B491" s="146" t="s">
        <v>2171</v>
      </c>
      <c r="C491" s="146"/>
      <c r="D491" s="147">
        <v>45344</v>
      </c>
      <c r="E491" s="148">
        <v>30328500</v>
      </c>
      <c r="F491" s="44">
        <f t="shared" si="28"/>
        <v>2426280</v>
      </c>
      <c r="G491" s="149">
        <f t="shared" si="29"/>
        <v>32754780</v>
      </c>
      <c r="H491" s="149">
        <v>32754780</v>
      </c>
      <c r="I491" s="150">
        <f t="shared" si="27"/>
        <v>0</v>
      </c>
      <c r="J491" s="151">
        <v>45376</v>
      </c>
      <c r="K491" s="3">
        <v>9103306659</v>
      </c>
      <c r="L491" s="3" t="s">
        <v>293</v>
      </c>
      <c r="M491" s="3" t="s">
        <v>2151</v>
      </c>
    </row>
    <row r="492" spans="1:13" ht="21.75" hidden="1" customHeight="1" x14ac:dyDescent="0.35">
      <c r="A492" s="145" t="s">
        <v>2172</v>
      </c>
      <c r="B492" s="146" t="s">
        <v>2173</v>
      </c>
      <c r="C492" s="146"/>
      <c r="D492" s="147">
        <v>45344</v>
      </c>
      <c r="E492" s="148">
        <v>23099500</v>
      </c>
      <c r="F492" s="44">
        <f t="shared" si="28"/>
        <v>1847960</v>
      </c>
      <c r="G492" s="149">
        <f t="shared" si="29"/>
        <v>24947460</v>
      </c>
      <c r="H492" s="149">
        <v>24947460</v>
      </c>
      <c r="I492" s="150">
        <f t="shared" si="27"/>
        <v>0</v>
      </c>
      <c r="J492" s="151">
        <v>45376</v>
      </c>
      <c r="K492" s="3">
        <v>9103299376</v>
      </c>
      <c r="L492" s="3" t="s">
        <v>293</v>
      </c>
    </row>
    <row r="493" spans="1:13" ht="21.75" hidden="1" customHeight="1" x14ac:dyDescent="0.35">
      <c r="A493" s="145" t="s">
        <v>2174</v>
      </c>
      <c r="B493" s="146" t="s">
        <v>2175</v>
      </c>
      <c r="C493" s="146"/>
      <c r="D493" s="147">
        <v>45344</v>
      </c>
      <c r="E493" s="148">
        <v>19260500</v>
      </c>
      <c r="F493" s="44">
        <f t="shared" si="28"/>
        <v>1540840</v>
      </c>
      <c r="G493" s="149">
        <f t="shared" si="29"/>
        <v>20801340</v>
      </c>
      <c r="H493" s="149">
        <v>20801340</v>
      </c>
      <c r="I493" s="150">
        <f t="shared" si="27"/>
        <v>0</v>
      </c>
      <c r="J493" s="151">
        <v>45376</v>
      </c>
      <c r="K493" s="3">
        <v>9103308664</v>
      </c>
      <c r="L493" s="3" t="s">
        <v>293</v>
      </c>
      <c r="M493" s="3" t="s">
        <v>2151</v>
      </c>
    </row>
    <row r="494" spans="1:13" ht="21.75" hidden="1" customHeight="1" x14ac:dyDescent="0.35">
      <c r="A494" s="145" t="s">
        <v>1500</v>
      </c>
      <c r="B494" s="146" t="s">
        <v>2176</v>
      </c>
      <c r="C494" s="146"/>
      <c r="D494" s="147">
        <v>45344</v>
      </c>
      <c r="E494" s="148">
        <v>2162000</v>
      </c>
      <c r="F494" s="44">
        <f t="shared" si="28"/>
        <v>172960</v>
      </c>
      <c r="G494" s="149">
        <f t="shared" si="29"/>
        <v>2334960</v>
      </c>
      <c r="H494" s="149">
        <v>2334960</v>
      </c>
      <c r="I494" s="150">
        <f t="shared" si="27"/>
        <v>0</v>
      </c>
      <c r="J494" s="151">
        <v>45376</v>
      </c>
      <c r="K494" s="3">
        <v>9103318951</v>
      </c>
      <c r="L494" s="3" t="s">
        <v>293</v>
      </c>
    </row>
    <row r="495" spans="1:13" ht="21.75" hidden="1" customHeight="1" x14ac:dyDescent="0.35">
      <c r="A495" s="145" t="s">
        <v>1735</v>
      </c>
      <c r="B495" s="146" t="s">
        <v>2177</v>
      </c>
      <c r="C495" s="146"/>
      <c r="D495" s="147">
        <v>45345</v>
      </c>
      <c r="E495" s="148">
        <v>58012000</v>
      </c>
      <c r="F495" s="44">
        <f t="shared" si="28"/>
        <v>4640960</v>
      </c>
      <c r="G495" s="149">
        <f t="shared" si="29"/>
        <v>62652960</v>
      </c>
      <c r="H495" s="149">
        <v>62652960</v>
      </c>
      <c r="I495" s="150">
        <f t="shared" si="27"/>
        <v>0</v>
      </c>
      <c r="J495" s="151">
        <v>45376</v>
      </c>
      <c r="K495" s="3">
        <v>9103320502</v>
      </c>
      <c r="L495" s="3" t="s">
        <v>293</v>
      </c>
    </row>
    <row r="496" spans="1:13" ht="21.75" hidden="1" customHeight="1" x14ac:dyDescent="0.35">
      <c r="A496" s="145" t="s">
        <v>1763</v>
      </c>
      <c r="B496" s="146" t="s">
        <v>2178</v>
      </c>
      <c r="C496" s="146"/>
      <c r="D496" s="147">
        <v>45345</v>
      </c>
      <c r="E496" s="148">
        <v>38148500</v>
      </c>
      <c r="F496" s="44">
        <f t="shared" si="28"/>
        <v>3051880</v>
      </c>
      <c r="G496" s="149">
        <f t="shared" si="29"/>
        <v>41200380</v>
      </c>
      <c r="H496" s="149">
        <v>41200380</v>
      </c>
      <c r="I496" s="150">
        <f t="shared" si="27"/>
        <v>0</v>
      </c>
      <c r="J496" s="151">
        <v>45376</v>
      </c>
      <c r="K496" s="3">
        <v>9103316742</v>
      </c>
      <c r="L496" s="3" t="s">
        <v>293</v>
      </c>
    </row>
    <row r="497" spans="1:13" ht="21.75" hidden="1" customHeight="1" x14ac:dyDescent="0.35">
      <c r="A497" s="145" t="s">
        <v>1657</v>
      </c>
      <c r="B497" s="146" t="s">
        <v>2179</v>
      </c>
      <c r="C497" s="146"/>
      <c r="D497" s="147">
        <v>45346</v>
      </c>
      <c r="E497" s="148">
        <v>19843000</v>
      </c>
      <c r="F497" s="44">
        <f t="shared" si="28"/>
        <v>1587440</v>
      </c>
      <c r="G497" s="149">
        <f t="shared" si="29"/>
        <v>21430440</v>
      </c>
      <c r="H497" s="149">
        <v>21430440</v>
      </c>
      <c r="I497" s="150">
        <f t="shared" si="27"/>
        <v>0</v>
      </c>
      <c r="J497" s="151">
        <v>45376</v>
      </c>
      <c r="K497" s="3">
        <v>9103323903</v>
      </c>
      <c r="L497" s="3" t="s">
        <v>293</v>
      </c>
    </row>
    <row r="498" spans="1:13" ht="21.75" hidden="1" customHeight="1" x14ac:dyDescent="0.35">
      <c r="A498" s="145" t="s">
        <v>2180</v>
      </c>
      <c r="B498" s="146" t="s">
        <v>2181</v>
      </c>
      <c r="C498" s="146"/>
      <c r="D498" s="147">
        <v>45346</v>
      </c>
      <c r="E498" s="148">
        <v>34023000</v>
      </c>
      <c r="F498" s="44">
        <f t="shared" si="28"/>
        <v>2721840</v>
      </c>
      <c r="G498" s="149">
        <f t="shared" si="29"/>
        <v>36744840</v>
      </c>
      <c r="H498" s="149">
        <v>36744840</v>
      </c>
      <c r="I498" s="150">
        <f t="shared" si="27"/>
        <v>0</v>
      </c>
      <c r="J498" s="151">
        <v>45376</v>
      </c>
      <c r="K498" s="3">
        <v>9103313743</v>
      </c>
      <c r="L498" s="3" t="s">
        <v>293</v>
      </c>
    </row>
    <row r="499" spans="1:13" ht="21.75" hidden="1" customHeight="1" x14ac:dyDescent="0.35">
      <c r="A499" s="145" t="s">
        <v>1711</v>
      </c>
      <c r="B499" s="146" t="s">
        <v>2182</v>
      </c>
      <c r="C499" s="146"/>
      <c r="D499" s="147">
        <v>45347</v>
      </c>
      <c r="E499" s="148">
        <v>38828000</v>
      </c>
      <c r="F499" s="44">
        <f t="shared" si="28"/>
        <v>3106240</v>
      </c>
      <c r="G499" s="149">
        <f t="shared" si="29"/>
        <v>41934240</v>
      </c>
      <c r="H499" s="149">
        <v>41934240</v>
      </c>
      <c r="I499" s="150">
        <f t="shared" si="27"/>
        <v>0</v>
      </c>
      <c r="J499" s="151">
        <v>45376</v>
      </c>
      <c r="K499" s="3">
        <v>9103334649</v>
      </c>
      <c r="L499" s="3" t="s">
        <v>293</v>
      </c>
      <c r="M499" s="3" t="s">
        <v>2151</v>
      </c>
    </row>
    <row r="500" spans="1:13" ht="21.75" hidden="1" customHeight="1" x14ac:dyDescent="0.35">
      <c r="A500" s="145" t="s">
        <v>1655</v>
      </c>
      <c r="B500" s="146" t="s">
        <v>2183</v>
      </c>
      <c r="C500" s="146"/>
      <c r="D500" s="147">
        <v>45347</v>
      </c>
      <c r="E500" s="148">
        <v>54953500</v>
      </c>
      <c r="F500" s="44">
        <f t="shared" si="28"/>
        <v>4396280</v>
      </c>
      <c r="G500" s="149">
        <f t="shared" si="29"/>
        <v>59349780</v>
      </c>
      <c r="H500" s="149">
        <v>59349780</v>
      </c>
      <c r="I500" s="150">
        <f t="shared" si="27"/>
        <v>0</v>
      </c>
      <c r="J500" s="151">
        <v>45376</v>
      </c>
      <c r="K500" s="3">
        <v>9103329074</v>
      </c>
    </row>
    <row r="501" spans="1:13" ht="21.75" hidden="1" customHeight="1" x14ac:dyDescent="0.35">
      <c r="A501" s="145" t="s">
        <v>1373</v>
      </c>
      <c r="B501" s="146" t="s">
        <v>2184</v>
      </c>
      <c r="C501" s="146"/>
      <c r="D501" s="147">
        <v>45347</v>
      </c>
      <c r="E501" s="148">
        <v>19744000</v>
      </c>
      <c r="F501" s="44">
        <f t="shared" si="28"/>
        <v>1579520</v>
      </c>
      <c r="G501" s="149">
        <f t="shared" si="29"/>
        <v>21323520</v>
      </c>
      <c r="H501" s="149">
        <v>21323520</v>
      </c>
      <c r="I501" s="150">
        <f t="shared" si="27"/>
        <v>0</v>
      </c>
      <c r="J501" s="151">
        <v>45376</v>
      </c>
      <c r="K501" s="3">
        <v>9103334119</v>
      </c>
      <c r="L501" s="3" t="s">
        <v>293</v>
      </c>
    </row>
    <row r="502" spans="1:13" ht="21.75" hidden="1" customHeight="1" x14ac:dyDescent="0.35">
      <c r="A502" s="145" t="s">
        <v>1709</v>
      </c>
      <c r="B502" s="146" t="s">
        <v>2185</v>
      </c>
      <c r="C502" s="146"/>
      <c r="D502" s="147">
        <v>45345</v>
      </c>
      <c r="E502" s="148">
        <v>790000</v>
      </c>
      <c r="F502" s="44">
        <f t="shared" si="28"/>
        <v>63200</v>
      </c>
      <c r="G502" s="149">
        <f t="shared" si="29"/>
        <v>853200</v>
      </c>
      <c r="H502" s="149">
        <v>853200</v>
      </c>
      <c r="I502" s="150">
        <f t="shared" si="27"/>
        <v>0</v>
      </c>
      <c r="J502" s="151">
        <v>45376</v>
      </c>
      <c r="K502" s="3">
        <v>9103325610</v>
      </c>
      <c r="L502" s="3" t="s">
        <v>293</v>
      </c>
      <c r="M502" s="3" t="s">
        <v>2151</v>
      </c>
    </row>
    <row r="503" spans="1:13" ht="21.75" hidden="1" customHeight="1" x14ac:dyDescent="0.35">
      <c r="A503" s="145" t="s">
        <v>1760</v>
      </c>
      <c r="B503" s="146" t="s">
        <v>2186</v>
      </c>
      <c r="C503" s="146"/>
      <c r="D503" s="147">
        <v>45346</v>
      </c>
      <c r="E503" s="148">
        <v>16233000</v>
      </c>
      <c r="F503" s="44">
        <f t="shared" si="28"/>
        <v>1298640</v>
      </c>
      <c r="G503" s="149">
        <f t="shared" si="29"/>
        <v>17531640</v>
      </c>
      <c r="H503" s="149">
        <v>17531640</v>
      </c>
      <c r="I503" s="150">
        <f t="shared" si="27"/>
        <v>0</v>
      </c>
      <c r="J503" s="151">
        <v>45376</v>
      </c>
      <c r="K503" s="3">
        <v>9103326453</v>
      </c>
      <c r="L503" s="3" t="s">
        <v>293</v>
      </c>
    </row>
    <row r="504" spans="1:13" ht="21.75" hidden="1" customHeight="1" x14ac:dyDescent="0.35">
      <c r="A504" s="145" t="s">
        <v>1709</v>
      </c>
      <c r="B504" s="146" t="s">
        <v>1893</v>
      </c>
      <c r="C504" s="146"/>
      <c r="D504" s="147">
        <v>45345</v>
      </c>
      <c r="E504" s="148">
        <v>32000</v>
      </c>
      <c r="F504" s="44">
        <f t="shared" si="28"/>
        <v>2560</v>
      </c>
      <c r="G504" s="149">
        <f t="shared" si="29"/>
        <v>34560</v>
      </c>
      <c r="H504" s="149">
        <v>34560</v>
      </c>
      <c r="I504" s="150">
        <f t="shared" si="27"/>
        <v>0</v>
      </c>
      <c r="J504" s="151">
        <v>45376</v>
      </c>
      <c r="K504" s="3">
        <v>9103326710</v>
      </c>
      <c r="L504" s="3" t="s">
        <v>293</v>
      </c>
      <c r="M504" s="3" t="s">
        <v>2151</v>
      </c>
    </row>
    <row r="505" spans="1:13" ht="21.75" hidden="1" customHeight="1" x14ac:dyDescent="0.35">
      <c r="A505" s="145" t="s">
        <v>1650</v>
      </c>
      <c r="B505" s="146" t="s">
        <v>2187</v>
      </c>
      <c r="C505" s="146"/>
      <c r="D505" s="147">
        <v>45348</v>
      </c>
      <c r="E505" s="148">
        <v>23118000</v>
      </c>
      <c r="F505" s="44">
        <f t="shared" si="28"/>
        <v>1849440</v>
      </c>
      <c r="G505" s="149">
        <f t="shared" si="29"/>
        <v>24967440</v>
      </c>
      <c r="H505" s="149">
        <v>24967440</v>
      </c>
      <c r="I505" s="150">
        <f t="shared" si="27"/>
        <v>0</v>
      </c>
      <c r="J505" s="151">
        <v>45376</v>
      </c>
      <c r="K505" s="3">
        <v>9103322109</v>
      </c>
      <c r="L505" s="3" t="s">
        <v>293</v>
      </c>
      <c r="M505" s="3" t="s">
        <v>2151</v>
      </c>
    </row>
    <row r="506" spans="1:13" ht="21.75" hidden="1" customHeight="1" x14ac:dyDescent="0.35">
      <c r="A506" s="145" t="s">
        <v>1690</v>
      </c>
      <c r="B506" s="146" t="s">
        <v>2188</v>
      </c>
      <c r="C506" s="146"/>
      <c r="D506" s="147">
        <v>45348</v>
      </c>
      <c r="E506" s="148">
        <v>1040000</v>
      </c>
      <c r="F506" s="44">
        <f t="shared" si="28"/>
        <v>83200</v>
      </c>
      <c r="G506" s="149">
        <f t="shared" si="29"/>
        <v>1123200</v>
      </c>
      <c r="H506" s="149">
        <v>1123200</v>
      </c>
      <c r="I506" s="150">
        <f t="shared" si="27"/>
        <v>0</v>
      </c>
      <c r="J506" s="151">
        <v>45376</v>
      </c>
      <c r="K506" s="3">
        <v>9103337454</v>
      </c>
      <c r="L506" s="3" t="s">
        <v>293</v>
      </c>
      <c r="M506" s="3" t="s">
        <v>2151</v>
      </c>
    </row>
    <row r="507" spans="1:13" ht="21.75" hidden="1" customHeight="1" x14ac:dyDescent="0.35">
      <c r="A507" s="145" t="s">
        <v>2189</v>
      </c>
      <c r="B507" s="146" t="s">
        <v>2190</v>
      </c>
      <c r="C507" s="146"/>
      <c r="D507" s="147">
        <v>45348</v>
      </c>
      <c r="E507" s="148">
        <v>5507000</v>
      </c>
      <c r="F507" s="44">
        <f t="shared" si="28"/>
        <v>440560</v>
      </c>
      <c r="G507" s="149">
        <f t="shared" si="29"/>
        <v>5947560</v>
      </c>
      <c r="H507" s="149">
        <v>5947560</v>
      </c>
      <c r="I507" s="150">
        <f t="shared" si="27"/>
        <v>0</v>
      </c>
      <c r="J507" s="151">
        <v>45376</v>
      </c>
      <c r="K507" s="3">
        <v>9103334318</v>
      </c>
      <c r="L507" s="3" t="s">
        <v>293</v>
      </c>
    </row>
    <row r="508" spans="1:13" ht="21.75" hidden="1" customHeight="1" x14ac:dyDescent="0.35">
      <c r="A508" s="145" t="s">
        <v>1648</v>
      </c>
      <c r="B508" s="146" t="s">
        <v>2191</v>
      </c>
      <c r="C508" s="146"/>
      <c r="D508" s="147">
        <v>45348</v>
      </c>
      <c r="E508" s="148">
        <v>5467000</v>
      </c>
      <c r="F508" s="44">
        <f t="shared" si="28"/>
        <v>437360</v>
      </c>
      <c r="G508" s="149">
        <f t="shared" si="29"/>
        <v>5904360</v>
      </c>
      <c r="H508" s="149">
        <v>5904360</v>
      </c>
      <c r="I508" s="150">
        <f t="shared" si="27"/>
        <v>0</v>
      </c>
      <c r="J508" s="151">
        <v>45376</v>
      </c>
      <c r="K508" s="3">
        <v>9103335529</v>
      </c>
      <c r="L508" s="3" t="s">
        <v>293</v>
      </c>
    </row>
    <row r="509" spans="1:13" ht="21.75" hidden="1" customHeight="1" x14ac:dyDescent="0.35">
      <c r="A509" s="145" t="s">
        <v>1814</v>
      </c>
      <c r="B509" s="146" t="s">
        <v>2192</v>
      </c>
      <c r="C509" s="146"/>
      <c r="D509" s="147">
        <v>45349</v>
      </c>
      <c r="E509" s="148">
        <v>20350500</v>
      </c>
      <c r="F509" s="44">
        <f t="shared" si="28"/>
        <v>1628040</v>
      </c>
      <c r="G509" s="149">
        <f t="shared" si="29"/>
        <v>21978540</v>
      </c>
      <c r="H509" s="149">
        <v>21978540</v>
      </c>
      <c r="I509" s="150">
        <f t="shared" si="27"/>
        <v>0</v>
      </c>
      <c r="J509" s="151">
        <v>45376</v>
      </c>
      <c r="K509" s="3">
        <v>9103342252</v>
      </c>
      <c r="L509" s="3" t="s">
        <v>293</v>
      </c>
      <c r="M509" s="3" t="s">
        <v>2151</v>
      </c>
    </row>
    <row r="510" spans="1:13" ht="21.75" hidden="1" customHeight="1" x14ac:dyDescent="0.35">
      <c r="A510" s="145" t="s">
        <v>2193</v>
      </c>
      <c r="B510" s="146" t="s">
        <v>2194</v>
      </c>
      <c r="C510" s="146"/>
      <c r="D510" s="147">
        <v>45349</v>
      </c>
      <c r="E510" s="148">
        <v>16112500</v>
      </c>
      <c r="F510" s="44">
        <f t="shared" si="28"/>
        <v>1289000</v>
      </c>
      <c r="G510" s="149">
        <f t="shared" si="29"/>
        <v>17401500</v>
      </c>
      <c r="H510" s="149">
        <v>17401500</v>
      </c>
      <c r="I510" s="150">
        <f t="shared" si="27"/>
        <v>0</v>
      </c>
      <c r="J510" s="151">
        <v>45376</v>
      </c>
      <c r="K510" s="3">
        <v>9103322165</v>
      </c>
      <c r="L510" s="3" t="s">
        <v>293</v>
      </c>
    </row>
    <row r="511" spans="1:13" ht="21.75" hidden="1" customHeight="1" x14ac:dyDescent="0.35">
      <c r="A511" s="145" t="s">
        <v>1984</v>
      </c>
      <c r="B511" s="146" t="s">
        <v>2195</v>
      </c>
      <c r="C511" s="146"/>
      <c r="D511" s="147">
        <v>45349</v>
      </c>
      <c r="E511" s="148">
        <v>247000</v>
      </c>
      <c r="F511" s="44">
        <f t="shared" si="28"/>
        <v>19760</v>
      </c>
      <c r="G511" s="149">
        <f t="shared" si="29"/>
        <v>266760</v>
      </c>
      <c r="H511" s="149">
        <v>266760</v>
      </c>
      <c r="I511" s="150">
        <f t="shared" si="27"/>
        <v>0</v>
      </c>
      <c r="J511" s="151">
        <v>45376</v>
      </c>
      <c r="K511" s="3">
        <v>9103337514</v>
      </c>
      <c r="L511" s="3" t="s">
        <v>293</v>
      </c>
    </row>
    <row r="512" spans="1:13" ht="21.75" hidden="1" customHeight="1" x14ac:dyDescent="0.35">
      <c r="A512" s="145" t="s">
        <v>2196</v>
      </c>
      <c r="B512" s="146" t="s">
        <v>2197</v>
      </c>
      <c r="C512" s="146"/>
      <c r="D512" s="147">
        <v>45349</v>
      </c>
      <c r="E512" s="148">
        <v>6573500</v>
      </c>
      <c r="F512" s="44">
        <f t="shared" si="28"/>
        <v>525880</v>
      </c>
      <c r="G512" s="149">
        <f t="shared" si="29"/>
        <v>7099380</v>
      </c>
      <c r="H512" s="149">
        <v>7099380</v>
      </c>
      <c r="I512" s="150">
        <f t="shared" si="27"/>
        <v>0</v>
      </c>
      <c r="J512" s="151">
        <v>45376</v>
      </c>
      <c r="K512" s="3">
        <v>9103331446</v>
      </c>
      <c r="L512" s="3" t="s">
        <v>293</v>
      </c>
      <c r="M512" s="3" t="s">
        <v>2151</v>
      </c>
    </row>
    <row r="513" spans="1:13" ht="21.75" hidden="1" customHeight="1" x14ac:dyDescent="0.35">
      <c r="A513" s="145" t="s">
        <v>2198</v>
      </c>
      <c r="B513" s="146" t="s">
        <v>2199</v>
      </c>
      <c r="C513" s="146"/>
      <c r="D513" s="147">
        <v>45349</v>
      </c>
      <c r="E513" s="148">
        <v>21019000</v>
      </c>
      <c r="F513" s="44">
        <f t="shared" si="28"/>
        <v>1681520</v>
      </c>
      <c r="G513" s="149">
        <f t="shared" si="29"/>
        <v>22700520</v>
      </c>
      <c r="H513" s="149">
        <v>22700520</v>
      </c>
      <c r="I513" s="150">
        <f t="shared" si="27"/>
        <v>0</v>
      </c>
      <c r="J513" s="151">
        <v>45376</v>
      </c>
      <c r="K513" s="3">
        <v>9103331267</v>
      </c>
      <c r="L513" s="3" t="s">
        <v>293</v>
      </c>
    </row>
    <row r="514" spans="1:13" ht="21.75" hidden="1" customHeight="1" x14ac:dyDescent="0.35">
      <c r="A514" s="145" t="s">
        <v>1386</v>
      </c>
      <c r="B514" s="146" t="s">
        <v>2200</v>
      </c>
      <c r="C514" s="146"/>
      <c r="D514" s="147">
        <v>45349</v>
      </c>
      <c r="E514" s="148">
        <v>24743000</v>
      </c>
      <c r="F514" s="44">
        <f t="shared" si="28"/>
        <v>1979440</v>
      </c>
      <c r="G514" s="149">
        <f t="shared" si="29"/>
        <v>26722440</v>
      </c>
      <c r="H514" s="149">
        <v>26722440</v>
      </c>
      <c r="I514" s="150">
        <f t="shared" si="27"/>
        <v>0</v>
      </c>
      <c r="J514" s="151">
        <v>45376</v>
      </c>
      <c r="K514" s="3">
        <v>9103333241</v>
      </c>
      <c r="L514" s="3" t="s">
        <v>293</v>
      </c>
    </row>
    <row r="515" spans="1:13" ht="21.75" hidden="1" customHeight="1" x14ac:dyDescent="0.35">
      <c r="A515" s="145" t="s">
        <v>2201</v>
      </c>
      <c r="B515" s="146" t="s">
        <v>2202</v>
      </c>
      <c r="C515" s="146"/>
      <c r="D515" s="147">
        <v>45296</v>
      </c>
      <c r="E515" s="148">
        <v>26000</v>
      </c>
      <c r="F515" s="44">
        <f t="shared" si="28"/>
        <v>2080</v>
      </c>
      <c r="G515" s="149">
        <f t="shared" si="29"/>
        <v>28080</v>
      </c>
      <c r="H515" s="149">
        <v>28080</v>
      </c>
      <c r="I515" s="150">
        <f t="shared" si="27"/>
        <v>0</v>
      </c>
      <c r="J515" s="151">
        <v>45376</v>
      </c>
      <c r="K515" s="3">
        <v>9103150333</v>
      </c>
    </row>
    <row r="516" spans="1:13" ht="21.75" hidden="1" customHeight="1" x14ac:dyDescent="0.35">
      <c r="A516" s="145" t="s">
        <v>1952</v>
      </c>
      <c r="B516" s="146" t="s">
        <v>2203</v>
      </c>
      <c r="C516" s="146"/>
      <c r="D516" s="147">
        <v>45350</v>
      </c>
      <c r="E516" s="148">
        <v>280000</v>
      </c>
      <c r="F516" s="44">
        <f t="shared" si="28"/>
        <v>22400</v>
      </c>
      <c r="G516" s="149">
        <f t="shared" si="29"/>
        <v>302400</v>
      </c>
      <c r="H516" s="149">
        <v>302400</v>
      </c>
      <c r="I516" s="150">
        <f t="shared" si="27"/>
        <v>0</v>
      </c>
      <c r="J516" s="151">
        <v>45376</v>
      </c>
      <c r="K516" s="3">
        <v>9103350360</v>
      </c>
      <c r="L516" s="3" t="s">
        <v>293</v>
      </c>
    </row>
    <row r="517" spans="1:13" ht="21.75" hidden="1" customHeight="1" x14ac:dyDescent="0.35">
      <c r="A517" s="145" t="s">
        <v>1848</v>
      </c>
      <c r="B517" s="146" t="s">
        <v>2204</v>
      </c>
      <c r="C517" s="146"/>
      <c r="D517" s="147">
        <v>45350</v>
      </c>
      <c r="E517" s="148">
        <v>24643000</v>
      </c>
      <c r="F517" s="44">
        <f t="shared" si="28"/>
        <v>1971440</v>
      </c>
      <c r="G517" s="149">
        <f t="shared" si="29"/>
        <v>26614440</v>
      </c>
      <c r="H517" s="149">
        <v>26614440</v>
      </c>
      <c r="I517" s="150">
        <f t="shared" si="27"/>
        <v>0</v>
      </c>
      <c r="J517" s="151">
        <v>45376</v>
      </c>
      <c r="K517" s="3">
        <v>9103324049</v>
      </c>
      <c r="L517" s="3" t="s">
        <v>293</v>
      </c>
      <c r="M517" s="3" t="s">
        <v>2151</v>
      </c>
    </row>
    <row r="518" spans="1:13" ht="21.75" hidden="1" customHeight="1" x14ac:dyDescent="0.35">
      <c r="A518" s="145" t="s">
        <v>2205</v>
      </c>
      <c r="B518" s="146" t="s">
        <v>2206</v>
      </c>
      <c r="C518" s="146"/>
      <c r="D518" s="147">
        <v>45351</v>
      </c>
      <c r="E518" s="148">
        <v>7677500</v>
      </c>
      <c r="F518" s="44">
        <f t="shared" si="28"/>
        <v>614200</v>
      </c>
      <c r="G518" s="149">
        <f t="shared" si="29"/>
        <v>8291700</v>
      </c>
      <c r="H518" s="149">
        <v>8291700</v>
      </c>
      <c r="I518" s="150">
        <f t="shared" si="27"/>
        <v>0</v>
      </c>
      <c r="J518" s="151">
        <v>45376</v>
      </c>
      <c r="K518" s="3">
        <v>9103302104</v>
      </c>
      <c r="L518" s="3" t="s">
        <v>293</v>
      </c>
      <c r="M518" s="3" t="s">
        <v>2151</v>
      </c>
    </row>
    <row r="519" spans="1:13" ht="21.75" hidden="1" customHeight="1" x14ac:dyDescent="0.35">
      <c r="A519" s="145" t="s">
        <v>1751</v>
      </c>
      <c r="B519" s="146" t="s">
        <v>2207</v>
      </c>
      <c r="C519" s="146"/>
      <c r="D519" s="147">
        <v>45351</v>
      </c>
      <c r="E519" s="148">
        <v>14094000</v>
      </c>
      <c r="F519" s="44">
        <f t="shared" si="28"/>
        <v>1127520</v>
      </c>
      <c r="G519" s="149">
        <f t="shared" si="29"/>
        <v>15221520</v>
      </c>
      <c r="H519" s="149">
        <v>15221520</v>
      </c>
      <c r="I519" s="150">
        <f t="shared" si="27"/>
        <v>0</v>
      </c>
      <c r="J519" s="151">
        <v>45376</v>
      </c>
      <c r="K519" s="3">
        <v>9103328729</v>
      </c>
      <c r="L519" s="3" t="s">
        <v>293</v>
      </c>
      <c r="M519" s="3" t="s">
        <v>2151</v>
      </c>
    </row>
    <row r="520" spans="1:13" ht="21.75" hidden="1" customHeight="1" x14ac:dyDescent="0.35">
      <c r="A520" s="145" t="s">
        <v>1753</v>
      </c>
      <c r="B520" s="146" t="s">
        <v>2208</v>
      </c>
      <c r="C520" s="146"/>
      <c r="D520" s="147">
        <v>45352</v>
      </c>
      <c r="E520" s="148">
        <v>432000</v>
      </c>
      <c r="F520" s="44">
        <f t="shared" si="28"/>
        <v>34560</v>
      </c>
      <c r="G520" s="149">
        <f t="shared" si="29"/>
        <v>466560</v>
      </c>
      <c r="H520" s="149">
        <v>466560</v>
      </c>
      <c r="I520" s="150">
        <f t="shared" ref="I520:I583" si="30">+G520-H520</f>
        <v>0</v>
      </c>
      <c r="J520" s="151">
        <v>45460</v>
      </c>
      <c r="K520" s="3">
        <v>9103357157</v>
      </c>
      <c r="M520" s="3" t="s">
        <v>2151</v>
      </c>
    </row>
    <row r="521" spans="1:13" ht="21.75" hidden="1" customHeight="1" x14ac:dyDescent="0.35">
      <c r="A521" s="145" t="s">
        <v>1757</v>
      </c>
      <c r="B521" s="146" t="s">
        <v>2209</v>
      </c>
      <c r="C521" s="146"/>
      <c r="D521" s="147">
        <v>45352</v>
      </c>
      <c r="E521" s="148">
        <v>29726000</v>
      </c>
      <c r="F521" s="44">
        <f t="shared" si="28"/>
        <v>2378080</v>
      </c>
      <c r="G521" s="149">
        <f t="shared" si="29"/>
        <v>32104080</v>
      </c>
      <c r="H521" s="149">
        <v>32104080</v>
      </c>
      <c r="I521" s="150">
        <f t="shared" si="30"/>
        <v>0</v>
      </c>
      <c r="J521" s="151">
        <v>45460</v>
      </c>
      <c r="K521" s="3">
        <v>9103334374</v>
      </c>
    </row>
    <row r="522" spans="1:13" ht="21.75" hidden="1" customHeight="1" x14ac:dyDescent="0.35">
      <c r="A522" s="145" t="s">
        <v>1787</v>
      </c>
      <c r="B522" s="146" t="s">
        <v>2210</v>
      </c>
      <c r="C522" s="146"/>
      <c r="D522" s="147">
        <v>45352</v>
      </c>
      <c r="E522" s="148">
        <v>27118000</v>
      </c>
      <c r="F522" s="44">
        <f t="shared" si="28"/>
        <v>2169440</v>
      </c>
      <c r="G522" s="149">
        <f t="shared" si="29"/>
        <v>29287440</v>
      </c>
      <c r="H522" s="149">
        <v>29287440</v>
      </c>
      <c r="I522" s="150">
        <f t="shared" si="30"/>
        <v>0</v>
      </c>
      <c r="J522" s="151">
        <v>45460</v>
      </c>
      <c r="K522" s="3">
        <v>9103304012</v>
      </c>
    </row>
    <row r="523" spans="1:13" ht="21.75" hidden="1" customHeight="1" x14ac:dyDescent="0.35">
      <c r="A523" s="145" t="s">
        <v>1388</v>
      </c>
      <c r="B523" s="146" t="s">
        <v>2211</v>
      </c>
      <c r="C523" s="146"/>
      <c r="D523" s="147">
        <v>45352</v>
      </c>
      <c r="E523" s="148">
        <v>22442500</v>
      </c>
      <c r="F523" s="44">
        <f t="shared" si="28"/>
        <v>1795400</v>
      </c>
      <c r="G523" s="149">
        <f t="shared" si="29"/>
        <v>24237900</v>
      </c>
      <c r="H523" s="149">
        <v>24237900</v>
      </c>
      <c r="I523" s="150">
        <f t="shared" si="30"/>
        <v>0</v>
      </c>
      <c r="J523" s="151">
        <v>45460</v>
      </c>
      <c r="K523" s="3">
        <v>9103308535</v>
      </c>
      <c r="M523" s="3" t="s">
        <v>2151</v>
      </c>
    </row>
    <row r="524" spans="1:13" ht="21.75" hidden="1" customHeight="1" x14ac:dyDescent="0.35">
      <c r="A524" s="145" t="s">
        <v>2212</v>
      </c>
      <c r="B524" s="146" t="s">
        <v>2213</v>
      </c>
      <c r="C524" s="146"/>
      <c r="D524" s="147">
        <v>45355</v>
      </c>
      <c r="E524" s="148">
        <v>17551500</v>
      </c>
      <c r="F524" s="44">
        <f t="shared" si="28"/>
        <v>1404120</v>
      </c>
      <c r="G524" s="149">
        <f t="shared" si="29"/>
        <v>18955620</v>
      </c>
      <c r="H524" s="149">
        <v>18955620</v>
      </c>
      <c r="I524" s="150">
        <f t="shared" si="30"/>
        <v>0</v>
      </c>
      <c r="J524" s="151">
        <v>45460</v>
      </c>
      <c r="K524" s="3">
        <v>9103332876</v>
      </c>
    </row>
    <row r="525" spans="1:13" ht="21.75" hidden="1" customHeight="1" x14ac:dyDescent="0.35">
      <c r="A525" s="145" t="s">
        <v>2109</v>
      </c>
      <c r="B525" s="146" t="s">
        <v>2214</v>
      </c>
      <c r="C525" s="146"/>
      <c r="D525" s="147">
        <v>45354</v>
      </c>
      <c r="E525" s="148">
        <v>7816000</v>
      </c>
      <c r="F525" s="44">
        <f t="shared" si="28"/>
        <v>625280</v>
      </c>
      <c r="G525" s="149">
        <f t="shared" si="29"/>
        <v>8441280</v>
      </c>
      <c r="H525" s="149">
        <v>8441280</v>
      </c>
      <c r="I525" s="150">
        <f t="shared" si="30"/>
        <v>0</v>
      </c>
      <c r="J525" s="151">
        <v>45460</v>
      </c>
      <c r="K525" s="3">
        <v>9103355117</v>
      </c>
      <c r="L525" s="3" t="s">
        <v>293</v>
      </c>
    </row>
    <row r="526" spans="1:13" ht="21.75" hidden="1" customHeight="1" x14ac:dyDescent="0.35">
      <c r="A526" s="145" t="s">
        <v>2215</v>
      </c>
      <c r="B526" s="146" t="s">
        <v>2216</v>
      </c>
      <c r="C526" s="146"/>
      <c r="D526" s="147">
        <v>45354</v>
      </c>
      <c r="E526" s="148">
        <v>13876500</v>
      </c>
      <c r="F526" s="44">
        <f t="shared" si="28"/>
        <v>1110120</v>
      </c>
      <c r="G526" s="149">
        <f t="shared" si="29"/>
        <v>14986620</v>
      </c>
      <c r="H526" s="149">
        <v>14986620</v>
      </c>
      <c r="I526" s="150">
        <f t="shared" si="30"/>
        <v>0</v>
      </c>
      <c r="J526" s="151">
        <v>45460</v>
      </c>
      <c r="K526" s="3">
        <v>9103352382</v>
      </c>
      <c r="M526" s="3" t="s">
        <v>2151</v>
      </c>
    </row>
    <row r="527" spans="1:13" ht="21.75" hidden="1" customHeight="1" x14ac:dyDescent="0.35">
      <c r="A527" s="145" t="s">
        <v>2217</v>
      </c>
      <c r="B527" s="146" t="s">
        <v>2218</v>
      </c>
      <c r="C527" s="146"/>
      <c r="D527" s="147">
        <v>45353</v>
      </c>
      <c r="E527" s="148">
        <v>16511000</v>
      </c>
      <c r="F527" s="44">
        <f t="shared" si="28"/>
        <v>1320880</v>
      </c>
      <c r="G527" s="149">
        <f t="shared" si="29"/>
        <v>17831880</v>
      </c>
      <c r="H527" s="149">
        <v>17831880</v>
      </c>
      <c r="I527" s="150">
        <f t="shared" si="30"/>
        <v>0</v>
      </c>
      <c r="J527" s="151">
        <v>45460</v>
      </c>
      <c r="K527" s="3">
        <v>9103302114</v>
      </c>
      <c r="L527" s="3" t="s">
        <v>293</v>
      </c>
    </row>
    <row r="528" spans="1:13" ht="21.75" hidden="1" customHeight="1" x14ac:dyDescent="0.35">
      <c r="A528" s="145" t="s">
        <v>1448</v>
      </c>
      <c r="B528" s="146" t="s">
        <v>2219</v>
      </c>
      <c r="C528" s="146"/>
      <c r="D528" s="147">
        <v>45355</v>
      </c>
      <c r="E528" s="148">
        <v>13043500</v>
      </c>
      <c r="F528" s="44">
        <f t="shared" si="28"/>
        <v>1043480</v>
      </c>
      <c r="G528" s="149">
        <f t="shared" si="29"/>
        <v>14086980</v>
      </c>
      <c r="H528" s="149">
        <v>14086980</v>
      </c>
      <c r="I528" s="150">
        <f t="shared" si="30"/>
        <v>0</v>
      </c>
      <c r="J528" s="151">
        <v>45460</v>
      </c>
      <c r="K528" s="3">
        <v>9103356394</v>
      </c>
      <c r="M528" s="3" t="s">
        <v>2151</v>
      </c>
    </row>
    <row r="529" spans="1:13" ht="21.75" hidden="1" customHeight="1" x14ac:dyDescent="0.35">
      <c r="A529" s="145" t="s">
        <v>2220</v>
      </c>
      <c r="B529" s="146" t="s">
        <v>2221</v>
      </c>
      <c r="C529" s="146"/>
      <c r="D529" s="147">
        <v>45355</v>
      </c>
      <c r="E529" s="148">
        <v>8135500</v>
      </c>
      <c r="F529" s="44">
        <f t="shared" si="28"/>
        <v>650840</v>
      </c>
      <c r="G529" s="149">
        <f t="shared" si="29"/>
        <v>8786340</v>
      </c>
      <c r="H529" s="149">
        <v>8786340</v>
      </c>
      <c r="I529" s="150">
        <f t="shared" si="30"/>
        <v>0</v>
      </c>
      <c r="J529" s="151">
        <v>45460</v>
      </c>
      <c r="K529" s="3">
        <v>9103325358</v>
      </c>
    </row>
    <row r="530" spans="1:13" ht="21.75" hidden="1" customHeight="1" x14ac:dyDescent="0.35">
      <c r="A530" s="145" t="s">
        <v>1484</v>
      </c>
      <c r="B530" s="146" t="s">
        <v>2222</v>
      </c>
      <c r="C530" s="146"/>
      <c r="D530" s="147">
        <v>45355</v>
      </c>
      <c r="E530" s="148">
        <v>22258000</v>
      </c>
      <c r="F530" s="44">
        <f t="shared" si="28"/>
        <v>1780640</v>
      </c>
      <c r="G530" s="149">
        <f t="shared" si="29"/>
        <v>24038640</v>
      </c>
      <c r="H530" s="149">
        <v>24038640</v>
      </c>
      <c r="I530" s="150">
        <f t="shared" si="30"/>
        <v>0</v>
      </c>
      <c r="J530" s="151">
        <v>45460</v>
      </c>
      <c r="K530" s="3">
        <v>9103335001</v>
      </c>
    </row>
    <row r="531" spans="1:13" ht="21.75" hidden="1" customHeight="1" x14ac:dyDescent="0.35">
      <c r="A531" s="145" t="s">
        <v>1482</v>
      </c>
      <c r="B531" s="146" t="s">
        <v>2223</v>
      </c>
      <c r="C531" s="146"/>
      <c r="D531" s="147">
        <v>45353</v>
      </c>
      <c r="E531" s="148">
        <v>50787500</v>
      </c>
      <c r="F531" s="44">
        <f t="shared" si="28"/>
        <v>4063000</v>
      </c>
      <c r="G531" s="149">
        <f t="shared" si="29"/>
        <v>54850500</v>
      </c>
      <c r="H531" s="149">
        <v>54850500</v>
      </c>
      <c r="I531" s="150">
        <f t="shared" si="30"/>
        <v>0</v>
      </c>
      <c r="J531" s="151">
        <v>45460</v>
      </c>
      <c r="K531" s="3">
        <v>9103309132</v>
      </c>
      <c r="M531" s="3" t="s">
        <v>2151</v>
      </c>
    </row>
    <row r="532" spans="1:13" ht="21.75" hidden="1" customHeight="1" x14ac:dyDescent="0.35">
      <c r="A532" s="145" t="s">
        <v>2224</v>
      </c>
      <c r="B532" s="146" t="s">
        <v>2225</v>
      </c>
      <c r="C532" s="146"/>
      <c r="D532" s="147">
        <v>45355</v>
      </c>
      <c r="E532" s="148">
        <v>37889500</v>
      </c>
      <c r="F532" s="44">
        <f t="shared" si="28"/>
        <v>3031160</v>
      </c>
      <c r="G532" s="149">
        <f t="shared" si="29"/>
        <v>40920660</v>
      </c>
      <c r="H532" s="149">
        <v>40920660</v>
      </c>
      <c r="I532" s="150">
        <f t="shared" si="30"/>
        <v>0</v>
      </c>
      <c r="J532" s="151">
        <v>45460</v>
      </c>
      <c r="K532" s="3">
        <v>9103344711</v>
      </c>
      <c r="M532" s="3" t="s">
        <v>2151</v>
      </c>
    </row>
    <row r="533" spans="1:13" ht="21.75" hidden="1" customHeight="1" x14ac:dyDescent="0.35">
      <c r="A533" s="145" t="s">
        <v>1434</v>
      </c>
      <c r="B533" s="146" t="s">
        <v>2226</v>
      </c>
      <c r="C533" s="146"/>
      <c r="D533" s="147">
        <v>45355</v>
      </c>
      <c r="E533" s="148">
        <v>2046000</v>
      </c>
      <c r="F533" s="44">
        <f t="shared" si="28"/>
        <v>163680</v>
      </c>
      <c r="G533" s="149">
        <f t="shared" si="29"/>
        <v>2209680</v>
      </c>
      <c r="H533" s="149">
        <v>2209680</v>
      </c>
      <c r="I533" s="150">
        <f t="shared" si="30"/>
        <v>0</v>
      </c>
      <c r="J533" s="151">
        <v>45460</v>
      </c>
      <c r="K533" s="3">
        <v>9103356583</v>
      </c>
      <c r="M533" s="3" t="s">
        <v>2151</v>
      </c>
    </row>
    <row r="534" spans="1:13" ht="21.75" hidden="1" customHeight="1" x14ac:dyDescent="0.35">
      <c r="A534" s="145" t="s">
        <v>1400</v>
      </c>
      <c r="B534" s="146" t="s">
        <v>2227</v>
      </c>
      <c r="C534" s="146"/>
      <c r="D534" s="147">
        <v>45356</v>
      </c>
      <c r="E534" s="148">
        <v>39539000</v>
      </c>
      <c r="F534" s="44">
        <f t="shared" si="28"/>
        <v>3163120</v>
      </c>
      <c r="G534" s="149">
        <f t="shared" si="29"/>
        <v>42702120</v>
      </c>
      <c r="H534" s="149">
        <v>42702120</v>
      </c>
      <c r="I534" s="150">
        <f t="shared" si="30"/>
        <v>0</v>
      </c>
      <c r="J534" s="151">
        <v>45460</v>
      </c>
      <c r="K534" s="3">
        <v>9103373769</v>
      </c>
    </row>
    <row r="535" spans="1:13" ht="21.75" hidden="1" customHeight="1" x14ac:dyDescent="0.35">
      <c r="A535" s="145" t="s">
        <v>1607</v>
      </c>
      <c r="B535" s="146" t="s">
        <v>2228</v>
      </c>
      <c r="C535" s="146"/>
      <c r="D535" s="147">
        <v>45356</v>
      </c>
      <c r="E535" s="148">
        <v>3504500</v>
      </c>
      <c r="F535" s="44">
        <f t="shared" ref="F535:F603" si="31">+E535*0.08</f>
        <v>280360</v>
      </c>
      <c r="G535" s="149">
        <f t="shared" ref="G535:G603" si="32">+F535+E535</f>
        <v>3784860</v>
      </c>
      <c r="H535" s="149">
        <v>3784860</v>
      </c>
      <c r="I535" s="150">
        <f t="shared" si="30"/>
        <v>0</v>
      </c>
      <c r="J535" s="151">
        <v>45460</v>
      </c>
      <c r="K535" s="3">
        <v>9103374524</v>
      </c>
      <c r="L535" s="3" t="s">
        <v>293</v>
      </c>
    </row>
    <row r="536" spans="1:13" ht="21.75" hidden="1" customHeight="1" x14ac:dyDescent="0.35">
      <c r="A536" s="145" t="s">
        <v>2229</v>
      </c>
      <c r="B536" s="146" t="s">
        <v>2230</v>
      </c>
      <c r="C536" s="146"/>
      <c r="D536" s="147">
        <v>45356</v>
      </c>
      <c r="E536" s="148">
        <v>16371500</v>
      </c>
      <c r="F536" s="44">
        <f t="shared" si="31"/>
        <v>1309720</v>
      </c>
      <c r="G536" s="149">
        <f t="shared" si="32"/>
        <v>17681220</v>
      </c>
      <c r="H536" s="149">
        <v>17681220</v>
      </c>
      <c r="I536" s="150">
        <f t="shared" si="30"/>
        <v>0</v>
      </c>
      <c r="J536" s="151">
        <v>45460</v>
      </c>
      <c r="K536" s="3">
        <v>9103374575</v>
      </c>
    </row>
    <row r="537" spans="1:13" ht="21.75" hidden="1" customHeight="1" x14ac:dyDescent="0.35">
      <c r="A537" s="145" t="s">
        <v>1404</v>
      </c>
      <c r="B537" s="146" t="s">
        <v>2231</v>
      </c>
      <c r="C537" s="146"/>
      <c r="D537" s="147">
        <v>45356</v>
      </c>
      <c r="E537" s="148">
        <v>140752500</v>
      </c>
      <c r="F537" s="44">
        <f t="shared" si="31"/>
        <v>11260200</v>
      </c>
      <c r="G537" s="149">
        <f t="shared" si="32"/>
        <v>152012700</v>
      </c>
      <c r="H537" s="149">
        <v>152012700</v>
      </c>
      <c r="I537" s="150">
        <f t="shared" si="30"/>
        <v>0</v>
      </c>
      <c r="J537" s="151">
        <v>45460</v>
      </c>
      <c r="K537" s="3">
        <v>9103298994</v>
      </c>
      <c r="M537" s="3" t="s">
        <v>2151</v>
      </c>
    </row>
    <row r="538" spans="1:13" ht="21.75" hidden="1" customHeight="1" x14ac:dyDescent="0.35">
      <c r="A538" s="145" t="s">
        <v>1528</v>
      </c>
      <c r="B538" s="146" t="s">
        <v>2232</v>
      </c>
      <c r="C538" s="146"/>
      <c r="D538" s="147">
        <v>45356</v>
      </c>
      <c r="E538" s="148">
        <v>630000</v>
      </c>
      <c r="F538" s="44">
        <f t="shared" si="31"/>
        <v>50400</v>
      </c>
      <c r="G538" s="149">
        <f t="shared" si="32"/>
        <v>680400</v>
      </c>
      <c r="H538" s="149">
        <v>680400</v>
      </c>
      <c r="I538" s="150">
        <f t="shared" si="30"/>
        <v>0</v>
      </c>
      <c r="J538" s="151">
        <v>45460</v>
      </c>
      <c r="K538" s="3">
        <v>9103375757</v>
      </c>
    </row>
    <row r="539" spans="1:13" ht="21.75" hidden="1" customHeight="1" x14ac:dyDescent="0.35">
      <c r="A539" s="145" t="s">
        <v>1422</v>
      </c>
      <c r="B539" s="146" t="s">
        <v>2233</v>
      </c>
      <c r="C539" s="146"/>
      <c r="D539" s="147">
        <v>45356</v>
      </c>
      <c r="E539" s="148">
        <v>18949000</v>
      </c>
      <c r="F539" s="44">
        <f t="shared" si="31"/>
        <v>1515920</v>
      </c>
      <c r="G539" s="149">
        <f t="shared" si="32"/>
        <v>20464920</v>
      </c>
      <c r="H539" s="149">
        <v>20464920</v>
      </c>
      <c r="I539" s="150">
        <f t="shared" si="30"/>
        <v>0</v>
      </c>
      <c r="J539" s="151">
        <v>45460</v>
      </c>
      <c r="K539" s="3">
        <v>9103329437</v>
      </c>
      <c r="L539" s="3" t="s">
        <v>293</v>
      </c>
    </row>
    <row r="540" spans="1:13" ht="21.75" hidden="1" customHeight="1" x14ac:dyDescent="0.35">
      <c r="A540" s="145" t="s">
        <v>2234</v>
      </c>
      <c r="B540" s="146" t="s">
        <v>2235</v>
      </c>
      <c r="C540" s="146"/>
      <c r="D540" s="147">
        <v>45356</v>
      </c>
      <c r="E540" s="148">
        <v>16776500</v>
      </c>
      <c r="F540" s="44">
        <f t="shared" si="31"/>
        <v>1342120</v>
      </c>
      <c r="G540" s="149">
        <f t="shared" si="32"/>
        <v>18118620</v>
      </c>
      <c r="H540" s="149">
        <v>18118620</v>
      </c>
      <c r="I540" s="150">
        <f t="shared" si="30"/>
        <v>0</v>
      </c>
      <c r="J540" s="151">
        <v>45460</v>
      </c>
      <c r="K540" s="3">
        <v>9103373751</v>
      </c>
      <c r="L540" s="3" t="s">
        <v>293</v>
      </c>
    </row>
    <row r="541" spans="1:13" ht="21.75" hidden="1" customHeight="1" x14ac:dyDescent="0.35">
      <c r="A541" s="145" t="s">
        <v>1475</v>
      </c>
      <c r="B541" s="146" t="s">
        <v>2236</v>
      </c>
      <c r="C541" s="146"/>
      <c r="D541" s="147">
        <v>45356</v>
      </c>
      <c r="E541" s="148">
        <v>27146500</v>
      </c>
      <c r="F541" s="44">
        <f t="shared" si="31"/>
        <v>2171720</v>
      </c>
      <c r="G541" s="149">
        <f t="shared" si="32"/>
        <v>29318220</v>
      </c>
      <c r="H541" s="149">
        <v>29318220</v>
      </c>
      <c r="I541" s="150">
        <f t="shared" si="30"/>
        <v>0</v>
      </c>
      <c r="J541" s="151">
        <v>45460</v>
      </c>
      <c r="K541" s="3">
        <v>9103302997</v>
      </c>
    </row>
    <row r="542" spans="1:13" ht="21.75" hidden="1" customHeight="1" x14ac:dyDescent="0.35">
      <c r="A542" s="145" t="s">
        <v>1479</v>
      </c>
      <c r="B542" s="146" t="s">
        <v>2237</v>
      </c>
      <c r="C542" s="146"/>
      <c r="D542" s="147">
        <v>45357</v>
      </c>
      <c r="E542" s="148">
        <v>4739000</v>
      </c>
      <c r="F542" s="44">
        <f t="shared" si="31"/>
        <v>379120</v>
      </c>
      <c r="G542" s="149">
        <f t="shared" si="32"/>
        <v>5118120</v>
      </c>
      <c r="H542" s="149">
        <v>5118120</v>
      </c>
      <c r="I542" s="150">
        <f t="shared" si="30"/>
        <v>0</v>
      </c>
      <c r="J542" s="151">
        <v>45460</v>
      </c>
      <c r="K542" s="3">
        <v>9103377099</v>
      </c>
    </row>
    <row r="543" spans="1:13" ht="21.75" hidden="1" customHeight="1" x14ac:dyDescent="0.35">
      <c r="A543" s="145" t="s">
        <v>2238</v>
      </c>
      <c r="B543" s="146" t="s">
        <v>2239</v>
      </c>
      <c r="C543" s="146"/>
      <c r="D543" s="147">
        <v>45357</v>
      </c>
      <c r="E543" s="148">
        <v>10745000</v>
      </c>
      <c r="F543" s="44">
        <f t="shared" si="31"/>
        <v>859600</v>
      </c>
      <c r="G543" s="149">
        <f t="shared" si="32"/>
        <v>11604600</v>
      </c>
      <c r="H543" s="149">
        <v>11604600</v>
      </c>
      <c r="I543" s="150">
        <f t="shared" si="30"/>
        <v>0</v>
      </c>
      <c r="J543" s="151">
        <v>45460</v>
      </c>
      <c r="K543" s="3">
        <v>9103318764</v>
      </c>
      <c r="M543" s="3" t="s">
        <v>2151</v>
      </c>
    </row>
    <row r="544" spans="1:13" ht="21.75" hidden="1" customHeight="1" x14ac:dyDescent="0.35">
      <c r="A544" s="145" t="s">
        <v>2240</v>
      </c>
      <c r="B544" s="146" t="s">
        <v>2241</v>
      </c>
      <c r="C544" s="146"/>
      <c r="D544" s="147">
        <v>45357</v>
      </c>
      <c r="E544" s="148">
        <v>28832000</v>
      </c>
      <c r="F544" s="44">
        <f t="shared" si="31"/>
        <v>2306560</v>
      </c>
      <c r="G544" s="149">
        <f t="shared" si="32"/>
        <v>31138560</v>
      </c>
      <c r="H544" s="149">
        <v>31138560</v>
      </c>
      <c r="I544" s="150">
        <f t="shared" si="30"/>
        <v>0</v>
      </c>
      <c r="J544" s="151">
        <v>45460</v>
      </c>
      <c r="K544" s="3">
        <v>9103382996</v>
      </c>
    </row>
    <row r="545" spans="1:13" ht="21.75" hidden="1" customHeight="1" x14ac:dyDescent="0.35">
      <c r="A545" s="145" t="s">
        <v>1516</v>
      </c>
      <c r="B545" s="146" t="s">
        <v>2242</v>
      </c>
      <c r="C545" s="146"/>
      <c r="D545" s="147">
        <v>45357</v>
      </c>
      <c r="E545" s="148">
        <v>36882500</v>
      </c>
      <c r="F545" s="44">
        <f t="shared" si="31"/>
        <v>2950600</v>
      </c>
      <c r="G545" s="149">
        <f t="shared" si="32"/>
        <v>39833100</v>
      </c>
      <c r="H545" s="149">
        <v>39833100</v>
      </c>
      <c r="I545" s="150">
        <f t="shared" si="30"/>
        <v>0</v>
      </c>
      <c r="J545" s="151">
        <v>45460</v>
      </c>
      <c r="K545" s="3">
        <v>9103335616</v>
      </c>
      <c r="M545" s="3" t="s">
        <v>2151</v>
      </c>
    </row>
    <row r="546" spans="1:13" ht="21.75" hidden="1" customHeight="1" x14ac:dyDescent="0.35">
      <c r="A546" s="145" t="s">
        <v>2243</v>
      </c>
      <c r="B546" s="146" t="s">
        <v>2244</v>
      </c>
      <c r="C546" s="146"/>
      <c r="D546" s="147">
        <v>45357</v>
      </c>
      <c r="E546" s="148">
        <v>1187000</v>
      </c>
      <c r="F546" s="44">
        <f t="shared" si="31"/>
        <v>94960</v>
      </c>
      <c r="G546" s="149">
        <f t="shared" si="32"/>
        <v>1281960</v>
      </c>
      <c r="H546" s="149">
        <v>1281960</v>
      </c>
      <c r="I546" s="150">
        <f t="shared" si="30"/>
        <v>0</v>
      </c>
      <c r="J546" s="151">
        <v>45460</v>
      </c>
      <c r="K546" s="3">
        <v>9103381955</v>
      </c>
    </row>
    <row r="547" spans="1:13" ht="21.75" hidden="1" customHeight="1" x14ac:dyDescent="0.35">
      <c r="A547" s="145" t="s">
        <v>2245</v>
      </c>
      <c r="B547" s="146" t="s">
        <v>2246</v>
      </c>
      <c r="C547" s="146"/>
      <c r="D547" s="147">
        <v>45358</v>
      </c>
      <c r="E547" s="148">
        <v>143000</v>
      </c>
      <c r="F547" s="44">
        <f t="shared" si="31"/>
        <v>11440</v>
      </c>
      <c r="G547" s="149">
        <f t="shared" si="32"/>
        <v>154440</v>
      </c>
      <c r="H547" s="149">
        <v>154440</v>
      </c>
      <c r="I547" s="150">
        <f t="shared" si="30"/>
        <v>0</v>
      </c>
      <c r="J547" s="151">
        <v>45460</v>
      </c>
      <c r="K547" s="3">
        <v>9103382727</v>
      </c>
    </row>
    <row r="548" spans="1:13" ht="21.75" hidden="1" customHeight="1" x14ac:dyDescent="0.35">
      <c r="A548" s="145" t="s">
        <v>2247</v>
      </c>
      <c r="B548" s="146" t="s">
        <v>2248</v>
      </c>
      <c r="C548" s="146"/>
      <c r="D548" s="147">
        <v>45358</v>
      </c>
      <c r="E548" s="148">
        <v>9671500</v>
      </c>
      <c r="F548" s="44">
        <f t="shared" si="31"/>
        <v>773720</v>
      </c>
      <c r="G548" s="149">
        <f t="shared" si="32"/>
        <v>10445220</v>
      </c>
      <c r="H548" s="149">
        <v>10445220</v>
      </c>
      <c r="I548" s="150">
        <f t="shared" si="30"/>
        <v>0</v>
      </c>
      <c r="J548" s="151">
        <v>45460</v>
      </c>
      <c r="K548" s="3">
        <v>9103382200</v>
      </c>
    </row>
    <row r="549" spans="1:13" ht="21.75" hidden="1" customHeight="1" x14ac:dyDescent="0.35">
      <c r="A549" s="145" t="s">
        <v>2249</v>
      </c>
      <c r="B549" s="146" t="s">
        <v>2250</v>
      </c>
      <c r="C549" s="146"/>
      <c r="D549" s="147">
        <v>45358</v>
      </c>
      <c r="E549" s="148">
        <v>1000000</v>
      </c>
      <c r="F549" s="44">
        <f t="shared" si="31"/>
        <v>80000</v>
      </c>
      <c r="G549" s="149">
        <f t="shared" si="32"/>
        <v>1080000</v>
      </c>
      <c r="H549" s="149">
        <v>1080000</v>
      </c>
      <c r="I549" s="150">
        <f t="shared" si="30"/>
        <v>0</v>
      </c>
      <c r="J549" s="151">
        <v>45460</v>
      </c>
      <c r="K549" s="3">
        <v>9103384566</v>
      </c>
    </row>
    <row r="550" spans="1:13" ht="21.75" hidden="1" customHeight="1" x14ac:dyDescent="0.35">
      <c r="A550" s="145" t="s">
        <v>2251</v>
      </c>
      <c r="B550" s="146" t="s">
        <v>2252</v>
      </c>
      <c r="C550" s="146"/>
      <c r="D550" s="147">
        <v>45358</v>
      </c>
      <c r="E550" s="148">
        <v>15361500</v>
      </c>
      <c r="F550" s="44">
        <f t="shared" si="31"/>
        <v>1228920</v>
      </c>
      <c r="G550" s="149">
        <f t="shared" si="32"/>
        <v>16590420</v>
      </c>
      <c r="H550" s="149">
        <v>16590420</v>
      </c>
      <c r="I550" s="150">
        <f t="shared" si="30"/>
        <v>0</v>
      </c>
      <c r="J550" s="151">
        <v>45460</v>
      </c>
      <c r="K550" s="3">
        <v>9103365732</v>
      </c>
    </row>
    <row r="551" spans="1:13" ht="21.75" hidden="1" customHeight="1" x14ac:dyDescent="0.35">
      <c r="A551" s="145" t="s">
        <v>2249</v>
      </c>
      <c r="B551" s="146" t="s">
        <v>2253</v>
      </c>
      <c r="C551" s="146"/>
      <c r="D551" s="147">
        <v>45358</v>
      </c>
      <c r="E551" s="148">
        <v>11612000</v>
      </c>
      <c r="F551" s="44">
        <f t="shared" si="31"/>
        <v>928960</v>
      </c>
      <c r="G551" s="149">
        <f t="shared" si="32"/>
        <v>12540960</v>
      </c>
      <c r="H551" s="149">
        <v>12540960</v>
      </c>
      <c r="I551" s="150">
        <f t="shared" si="30"/>
        <v>0</v>
      </c>
      <c r="J551" s="151">
        <v>45460</v>
      </c>
      <c r="K551" s="3">
        <v>9103366894</v>
      </c>
    </row>
    <row r="552" spans="1:13" ht="21.75" hidden="1" customHeight="1" x14ac:dyDescent="0.35">
      <c r="A552" s="145" t="s">
        <v>2254</v>
      </c>
      <c r="B552" s="146" t="s">
        <v>2255</v>
      </c>
      <c r="C552" s="146"/>
      <c r="D552" s="147">
        <v>45358</v>
      </c>
      <c r="E552" s="148">
        <v>19472000</v>
      </c>
      <c r="F552" s="44">
        <f t="shared" si="31"/>
        <v>1557760</v>
      </c>
      <c r="G552" s="149">
        <f t="shared" si="32"/>
        <v>21029760</v>
      </c>
      <c r="H552" s="149">
        <v>21029760</v>
      </c>
      <c r="I552" s="150">
        <f t="shared" si="30"/>
        <v>0</v>
      </c>
      <c r="J552" s="151">
        <v>45460</v>
      </c>
      <c r="K552" s="3">
        <v>9103383898</v>
      </c>
      <c r="L552" s="3" t="s">
        <v>293</v>
      </c>
    </row>
    <row r="553" spans="1:13" ht="21.75" hidden="1" customHeight="1" x14ac:dyDescent="0.35">
      <c r="A553" s="145" t="s">
        <v>2256</v>
      </c>
      <c r="B553" s="146" t="s">
        <v>2257</v>
      </c>
      <c r="C553" s="146"/>
      <c r="D553" s="147">
        <v>45359</v>
      </c>
      <c r="E553" s="148">
        <v>22930500</v>
      </c>
      <c r="F553" s="44">
        <f t="shared" si="31"/>
        <v>1834440</v>
      </c>
      <c r="G553" s="149">
        <f t="shared" si="32"/>
        <v>24764940</v>
      </c>
      <c r="H553" s="149">
        <v>24764940</v>
      </c>
      <c r="I553" s="150">
        <f t="shared" si="30"/>
        <v>0</v>
      </c>
      <c r="J553" s="151">
        <v>45460</v>
      </c>
      <c r="K553" s="3">
        <v>9103312829</v>
      </c>
    </row>
    <row r="554" spans="1:13" ht="21.75" hidden="1" customHeight="1" x14ac:dyDescent="0.35">
      <c r="A554" s="145" t="s">
        <v>2258</v>
      </c>
      <c r="B554" s="146" t="s">
        <v>2259</v>
      </c>
      <c r="C554" s="146"/>
      <c r="D554" s="147">
        <v>45359</v>
      </c>
      <c r="E554" s="148">
        <v>3050500</v>
      </c>
      <c r="F554" s="44">
        <f t="shared" si="31"/>
        <v>244040</v>
      </c>
      <c r="G554" s="149">
        <f t="shared" si="32"/>
        <v>3294540</v>
      </c>
      <c r="H554" s="149">
        <v>3294540</v>
      </c>
      <c r="I554" s="150">
        <f t="shared" si="30"/>
        <v>0</v>
      </c>
      <c r="J554" s="151">
        <v>45460</v>
      </c>
      <c r="K554" s="3">
        <v>9103319168</v>
      </c>
      <c r="L554" s="3" t="s">
        <v>293</v>
      </c>
    </row>
    <row r="555" spans="1:13" ht="21.75" hidden="1" customHeight="1" x14ac:dyDescent="0.35">
      <c r="A555" s="145" t="s">
        <v>2260</v>
      </c>
      <c r="B555" s="146" t="s">
        <v>2261</v>
      </c>
      <c r="C555" s="146"/>
      <c r="D555" s="147">
        <v>45359</v>
      </c>
      <c r="E555" s="148">
        <v>27201000</v>
      </c>
      <c r="F555" s="44">
        <f t="shared" si="31"/>
        <v>2176080</v>
      </c>
      <c r="G555" s="149">
        <f t="shared" si="32"/>
        <v>29377080</v>
      </c>
      <c r="H555" s="149">
        <v>29377080</v>
      </c>
      <c r="I555" s="150">
        <f t="shared" si="30"/>
        <v>0</v>
      </c>
      <c r="J555" s="151">
        <v>45460</v>
      </c>
      <c r="K555" s="3">
        <v>9103328392</v>
      </c>
    </row>
    <row r="556" spans="1:13" ht="21.75" hidden="1" customHeight="1" x14ac:dyDescent="0.35">
      <c r="A556" s="145" t="s">
        <v>2262</v>
      </c>
      <c r="B556" s="146" t="s">
        <v>2263</v>
      </c>
      <c r="C556" s="146"/>
      <c r="D556" s="147">
        <v>45359</v>
      </c>
      <c r="E556" s="148">
        <v>16100500</v>
      </c>
      <c r="F556" s="44">
        <f t="shared" si="31"/>
        <v>1288040</v>
      </c>
      <c r="G556" s="149">
        <f t="shared" si="32"/>
        <v>17388540</v>
      </c>
      <c r="H556" s="149">
        <v>17388540</v>
      </c>
      <c r="I556" s="150">
        <f t="shared" si="30"/>
        <v>0</v>
      </c>
      <c r="J556" s="151">
        <v>45460</v>
      </c>
      <c r="K556" s="3">
        <v>9103392695</v>
      </c>
    </row>
    <row r="557" spans="1:13" ht="21.75" hidden="1" customHeight="1" x14ac:dyDescent="0.35">
      <c r="A557" s="145" t="s">
        <v>2264</v>
      </c>
      <c r="B557" s="146" t="s">
        <v>2265</v>
      </c>
      <c r="C557" s="146"/>
      <c r="D557" s="147">
        <v>45359</v>
      </c>
      <c r="E557" s="148">
        <v>19058000</v>
      </c>
      <c r="F557" s="44">
        <f t="shared" si="31"/>
        <v>1524640</v>
      </c>
      <c r="G557" s="149">
        <f t="shared" si="32"/>
        <v>20582640</v>
      </c>
      <c r="H557" s="149">
        <v>20582640</v>
      </c>
      <c r="I557" s="150">
        <f t="shared" si="30"/>
        <v>0</v>
      </c>
      <c r="J557" s="151">
        <v>45460</v>
      </c>
      <c r="K557" s="3">
        <v>9103382137</v>
      </c>
    </row>
    <row r="558" spans="1:13" ht="21.75" hidden="1" customHeight="1" x14ac:dyDescent="0.35">
      <c r="A558" s="145" t="s">
        <v>2266</v>
      </c>
      <c r="B558" s="146" t="s">
        <v>2267</v>
      </c>
      <c r="C558" s="146"/>
      <c r="D558" s="147">
        <v>45359</v>
      </c>
      <c r="E558" s="148">
        <v>27493000</v>
      </c>
      <c r="F558" s="44">
        <f t="shared" si="31"/>
        <v>2199440</v>
      </c>
      <c r="G558" s="149">
        <f t="shared" si="32"/>
        <v>29692440</v>
      </c>
      <c r="H558" s="149">
        <v>29692440</v>
      </c>
      <c r="I558" s="150">
        <f t="shared" si="30"/>
        <v>0</v>
      </c>
      <c r="J558" s="151">
        <v>45460</v>
      </c>
      <c r="K558" s="3">
        <v>9103392510</v>
      </c>
      <c r="M558" s="3" t="s">
        <v>2151</v>
      </c>
    </row>
    <row r="559" spans="1:13" ht="21.75" hidden="1" customHeight="1" x14ac:dyDescent="0.35">
      <c r="A559" s="145" t="s">
        <v>2268</v>
      </c>
      <c r="B559" s="146" t="s">
        <v>2269</v>
      </c>
      <c r="C559" s="146"/>
      <c r="D559" s="147">
        <v>45360</v>
      </c>
      <c r="E559" s="148">
        <v>280000</v>
      </c>
      <c r="F559" s="44">
        <f t="shared" si="31"/>
        <v>22400</v>
      </c>
      <c r="G559" s="149">
        <f t="shared" si="32"/>
        <v>302400</v>
      </c>
      <c r="H559" s="149">
        <v>302400</v>
      </c>
      <c r="I559" s="150">
        <f t="shared" si="30"/>
        <v>0</v>
      </c>
      <c r="J559" s="151">
        <v>45460</v>
      </c>
      <c r="K559" s="3">
        <v>9103394917</v>
      </c>
      <c r="L559" s="3" t="s">
        <v>293</v>
      </c>
    </row>
    <row r="560" spans="1:13" ht="21.75" hidden="1" customHeight="1" x14ac:dyDescent="0.35">
      <c r="A560" s="145" t="s">
        <v>2270</v>
      </c>
      <c r="B560" s="146" t="s">
        <v>2271</v>
      </c>
      <c r="C560" s="146"/>
      <c r="D560" s="147">
        <v>45360</v>
      </c>
      <c r="E560" s="148">
        <v>41209000</v>
      </c>
      <c r="F560" s="44">
        <f t="shared" si="31"/>
        <v>3296720</v>
      </c>
      <c r="G560" s="149">
        <f t="shared" si="32"/>
        <v>44505720</v>
      </c>
      <c r="H560" s="149">
        <v>44505720</v>
      </c>
      <c r="I560" s="150">
        <f t="shared" si="30"/>
        <v>0</v>
      </c>
      <c r="J560" s="151">
        <v>45460</v>
      </c>
      <c r="K560" s="3">
        <v>9103391809</v>
      </c>
    </row>
    <row r="561" spans="1:12" ht="21.75" hidden="1" customHeight="1" x14ac:dyDescent="0.35">
      <c r="A561" s="145" t="s">
        <v>2272</v>
      </c>
      <c r="B561" s="146" t="s">
        <v>2273</v>
      </c>
      <c r="C561" s="146"/>
      <c r="D561" s="147">
        <v>45360</v>
      </c>
      <c r="E561" s="148">
        <v>3822500</v>
      </c>
      <c r="F561" s="44">
        <f t="shared" si="31"/>
        <v>305800</v>
      </c>
      <c r="G561" s="149">
        <f t="shared" si="32"/>
        <v>4128300</v>
      </c>
      <c r="H561" s="149">
        <v>4128300</v>
      </c>
      <c r="I561" s="150">
        <f t="shared" si="30"/>
        <v>0</v>
      </c>
      <c r="J561" s="151">
        <v>45460</v>
      </c>
      <c r="K561" s="3">
        <v>9103395197</v>
      </c>
      <c r="L561" s="3" t="s">
        <v>293</v>
      </c>
    </row>
    <row r="562" spans="1:12" ht="21.75" hidden="1" customHeight="1" x14ac:dyDescent="0.35">
      <c r="A562" s="145" t="s">
        <v>2274</v>
      </c>
      <c r="B562" s="146" t="s">
        <v>2275</v>
      </c>
      <c r="C562" s="146"/>
      <c r="D562" s="147">
        <v>45360</v>
      </c>
      <c r="E562" s="148">
        <v>6680000</v>
      </c>
      <c r="F562" s="44">
        <f t="shared" si="31"/>
        <v>534400</v>
      </c>
      <c r="G562" s="149">
        <f t="shared" si="32"/>
        <v>7214400</v>
      </c>
      <c r="H562" s="149">
        <v>7214400</v>
      </c>
      <c r="I562" s="150">
        <f t="shared" si="30"/>
        <v>0</v>
      </c>
      <c r="J562" s="151">
        <v>45460</v>
      </c>
      <c r="K562" s="3">
        <v>9103390172</v>
      </c>
      <c r="L562" s="3" t="s">
        <v>293</v>
      </c>
    </row>
    <row r="563" spans="1:12" ht="21.75" hidden="1" customHeight="1" x14ac:dyDescent="0.35">
      <c r="A563" s="145" t="s">
        <v>2276</v>
      </c>
      <c r="B563" s="146" t="s">
        <v>2277</v>
      </c>
      <c r="C563" s="146"/>
      <c r="D563" s="147">
        <v>45360</v>
      </c>
      <c r="E563" s="148">
        <v>23942500</v>
      </c>
      <c r="F563" s="44">
        <f t="shared" si="31"/>
        <v>1915400</v>
      </c>
      <c r="G563" s="149">
        <f t="shared" si="32"/>
        <v>25857900</v>
      </c>
      <c r="H563" s="149">
        <v>25857900</v>
      </c>
      <c r="I563" s="150">
        <f t="shared" si="30"/>
        <v>0</v>
      </c>
      <c r="J563" s="151">
        <v>45460</v>
      </c>
      <c r="K563" s="3">
        <v>9103382145</v>
      </c>
      <c r="L563" s="3" t="s">
        <v>293</v>
      </c>
    </row>
    <row r="564" spans="1:12" ht="21.75" hidden="1" customHeight="1" x14ac:dyDescent="0.35">
      <c r="A564" s="145" t="s">
        <v>2278</v>
      </c>
      <c r="B564" s="146" t="s">
        <v>2279</v>
      </c>
      <c r="C564" s="146"/>
      <c r="D564" s="147">
        <v>45360</v>
      </c>
      <c r="E564" s="148">
        <v>30142500</v>
      </c>
      <c r="F564" s="44">
        <f t="shared" si="31"/>
        <v>2411400</v>
      </c>
      <c r="G564" s="149">
        <f t="shared" si="32"/>
        <v>32553900</v>
      </c>
      <c r="H564" s="149">
        <v>32553900</v>
      </c>
      <c r="I564" s="150">
        <f t="shared" si="30"/>
        <v>0</v>
      </c>
      <c r="J564" s="151">
        <v>45460</v>
      </c>
      <c r="K564" s="3">
        <v>9103345302</v>
      </c>
      <c r="L564" s="3" t="s">
        <v>293</v>
      </c>
    </row>
    <row r="565" spans="1:12" ht="21.75" hidden="1" customHeight="1" x14ac:dyDescent="0.35">
      <c r="A565" s="145" t="s">
        <v>2280</v>
      </c>
      <c r="B565" s="146" t="s">
        <v>2281</v>
      </c>
      <c r="C565" s="146"/>
      <c r="D565" s="147">
        <v>45360</v>
      </c>
      <c r="E565" s="148">
        <v>5389500</v>
      </c>
      <c r="F565" s="44">
        <f t="shared" si="31"/>
        <v>431160</v>
      </c>
      <c r="G565" s="149">
        <f t="shared" si="32"/>
        <v>5820660</v>
      </c>
      <c r="H565" s="149">
        <v>5820660</v>
      </c>
      <c r="I565" s="150">
        <f t="shared" si="30"/>
        <v>0</v>
      </c>
      <c r="J565" s="151">
        <v>45460</v>
      </c>
      <c r="K565" s="3">
        <v>9103396285</v>
      </c>
    </row>
    <row r="566" spans="1:12" ht="21.75" hidden="1" customHeight="1" x14ac:dyDescent="0.35">
      <c r="A566" s="145" t="s">
        <v>2282</v>
      </c>
      <c r="B566" s="146" t="s">
        <v>2283</v>
      </c>
      <c r="C566" s="146"/>
      <c r="D566" s="147">
        <v>45362</v>
      </c>
      <c r="E566" s="148">
        <v>18428500</v>
      </c>
      <c r="F566" s="44">
        <f t="shared" si="31"/>
        <v>1474280</v>
      </c>
      <c r="G566" s="149">
        <f t="shared" si="32"/>
        <v>19902780</v>
      </c>
      <c r="H566" s="149">
        <v>19902780</v>
      </c>
      <c r="I566" s="150">
        <f t="shared" si="30"/>
        <v>0</v>
      </c>
      <c r="J566" s="151">
        <v>45460</v>
      </c>
      <c r="K566" s="3">
        <v>9103298396</v>
      </c>
    </row>
    <row r="567" spans="1:12" ht="21.75" hidden="1" customHeight="1" x14ac:dyDescent="0.35">
      <c r="A567" s="145" t="s">
        <v>2284</v>
      </c>
      <c r="B567" s="146" t="s">
        <v>2285</v>
      </c>
      <c r="C567" s="146"/>
      <c r="D567" s="147">
        <v>45362</v>
      </c>
      <c r="E567" s="148">
        <v>51842000</v>
      </c>
      <c r="F567" s="44">
        <f t="shared" si="31"/>
        <v>4147360</v>
      </c>
      <c r="G567" s="149">
        <f t="shared" si="32"/>
        <v>55989360</v>
      </c>
      <c r="H567" s="149">
        <v>55989360</v>
      </c>
      <c r="I567" s="150">
        <f t="shared" si="30"/>
        <v>0</v>
      </c>
      <c r="J567" s="151">
        <v>45460</v>
      </c>
      <c r="K567" s="3">
        <v>9103381237</v>
      </c>
    </row>
    <row r="568" spans="1:12" ht="21.75" hidden="1" customHeight="1" x14ac:dyDescent="0.35">
      <c r="A568" s="145" t="s">
        <v>2286</v>
      </c>
      <c r="B568" s="146" t="s">
        <v>2287</v>
      </c>
      <c r="C568" s="146"/>
      <c r="D568" s="147">
        <v>45362</v>
      </c>
      <c r="E568" s="148">
        <v>12238000</v>
      </c>
      <c r="F568" s="44">
        <f t="shared" si="31"/>
        <v>979040</v>
      </c>
      <c r="G568" s="149">
        <f t="shared" si="32"/>
        <v>13217040</v>
      </c>
      <c r="H568" s="149">
        <v>13217040</v>
      </c>
      <c r="I568" s="150">
        <f t="shared" si="30"/>
        <v>0</v>
      </c>
      <c r="J568" s="151">
        <v>45460</v>
      </c>
      <c r="K568" s="3">
        <v>9103394801</v>
      </c>
    </row>
    <row r="569" spans="1:12" ht="21.75" hidden="1" customHeight="1" x14ac:dyDescent="0.35">
      <c r="A569" s="145" t="s">
        <v>2288</v>
      </c>
      <c r="B569" s="146" t="s">
        <v>2289</v>
      </c>
      <c r="C569" s="146"/>
      <c r="D569" s="162">
        <v>45362</v>
      </c>
      <c r="E569" s="148">
        <v>83773000</v>
      </c>
      <c r="F569" s="44">
        <f t="shared" si="31"/>
        <v>6701840</v>
      </c>
      <c r="G569" s="149">
        <f t="shared" si="32"/>
        <v>90474840</v>
      </c>
      <c r="H569" s="149">
        <v>90474840</v>
      </c>
      <c r="I569" s="150">
        <f t="shared" si="30"/>
        <v>0</v>
      </c>
      <c r="J569" s="151">
        <v>45460</v>
      </c>
      <c r="K569" s="3">
        <v>9103403866</v>
      </c>
    </row>
    <row r="570" spans="1:12" ht="21.75" hidden="1" customHeight="1" x14ac:dyDescent="0.35">
      <c r="A570" s="145" t="s">
        <v>2290</v>
      </c>
      <c r="B570" s="146" t="s">
        <v>2291</v>
      </c>
      <c r="C570" s="146"/>
      <c r="D570" s="147">
        <v>45362</v>
      </c>
      <c r="E570" s="148">
        <v>3310000</v>
      </c>
      <c r="F570" s="44">
        <f t="shared" si="31"/>
        <v>264800</v>
      </c>
      <c r="G570" s="149">
        <f t="shared" si="32"/>
        <v>3574800</v>
      </c>
      <c r="H570" s="149">
        <v>3574800</v>
      </c>
      <c r="I570" s="150">
        <f t="shared" si="30"/>
        <v>0</v>
      </c>
      <c r="J570" s="151">
        <v>45460</v>
      </c>
      <c r="K570" s="3">
        <v>9103302065</v>
      </c>
    </row>
    <row r="571" spans="1:12" ht="21.75" hidden="1" customHeight="1" x14ac:dyDescent="0.35">
      <c r="A571" s="145" t="s">
        <v>2292</v>
      </c>
      <c r="B571" s="146" t="s">
        <v>2293</v>
      </c>
      <c r="C571" s="146"/>
      <c r="D571" s="147">
        <v>45363</v>
      </c>
      <c r="E571" s="148">
        <v>25017500</v>
      </c>
      <c r="F571" s="44">
        <f t="shared" si="31"/>
        <v>2001400</v>
      </c>
      <c r="G571" s="149">
        <f t="shared" si="32"/>
        <v>27018900</v>
      </c>
      <c r="H571" s="149">
        <v>27018900</v>
      </c>
      <c r="I571" s="150">
        <f t="shared" si="30"/>
        <v>0</v>
      </c>
      <c r="J571" s="151">
        <v>45460</v>
      </c>
      <c r="K571" s="3">
        <v>9103406949</v>
      </c>
      <c r="L571" s="3" t="s">
        <v>293</v>
      </c>
    </row>
    <row r="572" spans="1:12" ht="21.75" hidden="1" customHeight="1" x14ac:dyDescent="0.35">
      <c r="A572" s="145" t="s">
        <v>2294</v>
      </c>
      <c r="B572" s="146" t="s">
        <v>2295</v>
      </c>
      <c r="C572" s="146"/>
      <c r="D572" s="147">
        <v>45363</v>
      </c>
      <c r="E572" s="148">
        <v>2851000</v>
      </c>
      <c r="F572" s="44">
        <f t="shared" si="31"/>
        <v>228080</v>
      </c>
      <c r="G572" s="149">
        <f t="shared" si="32"/>
        <v>3079080</v>
      </c>
      <c r="H572" s="149">
        <v>3079080</v>
      </c>
      <c r="I572" s="150">
        <f t="shared" si="30"/>
        <v>0</v>
      </c>
      <c r="J572" s="151">
        <v>45460</v>
      </c>
      <c r="K572" s="3">
        <v>9103336327</v>
      </c>
    </row>
    <row r="573" spans="1:12" ht="21.75" hidden="1" customHeight="1" x14ac:dyDescent="0.35">
      <c r="A573" s="145" t="s">
        <v>2296</v>
      </c>
      <c r="B573" s="146" t="s">
        <v>2297</v>
      </c>
      <c r="C573" s="146"/>
      <c r="D573" s="147">
        <v>45364</v>
      </c>
      <c r="E573" s="148">
        <v>48639000</v>
      </c>
      <c r="F573" s="44">
        <f t="shared" si="31"/>
        <v>3891120</v>
      </c>
      <c r="G573" s="149">
        <f t="shared" si="32"/>
        <v>52530120</v>
      </c>
      <c r="H573" s="149">
        <v>52530120</v>
      </c>
      <c r="I573" s="150">
        <f t="shared" si="30"/>
        <v>0</v>
      </c>
      <c r="J573" s="151">
        <v>45460</v>
      </c>
      <c r="K573" s="3">
        <v>9103364551</v>
      </c>
      <c r="L573" s="3" t="s">
        <v>293</v>
      </c>
    </row>
    <row r="574" spans="1:12" ht="21.75" hidden="1" customHeight="1" x14ac:dyDescent="0.35">
      <c r="A574" s="145" t="s">
        <v>2298</v>
      </c>
      <c r="B574" s="146" t="s">
        <v>2299</v>
      </c>
      <c r="C574" s="146"/>
      <c r="D574" s="147">
        <v>45364</v>
      </c>
      <c r="E574" s="148">
        <v>1030000</v>
      </c>
      <c r="F574" s="44">
        <f t="shared" si="31"/>
        <v>82400</v>
      </c>
      <c r="G574" s="149">
        <f t="shared" si="32"/>
        <v>1112400</v>
      </c>
      <c r="H574" s="149">
        <v>1112400</v>
      </c>
      <c r="I574" s="150">
        <f t="shared" si="30"/>
        <v>0</v>
      </c>
      <c r="J574" s="151">
        <v>45460</v>
      </c>
      <c r="K574" s="3">
        <v>9103400206</v>
      </c>
      <c r="L574" s="3" t="s">
        <v>293</v>
      </c>
    </row>
    <row r="575" spans="1:12" ht="21.75" hidden="1" customHeight="1" x14ac:dyDescent="0.35">
      <c r="A575" s="145" t="s">
        <v>2300</v>
      </c>
      <c r="B575" s="146" t="s">
        <v>2301</v>
      </c>
      <c r="C575" s="146"/>
      <c r="D575" s="147">
        <v>45364</v>
      </c>
      <c r="E575" s="148">
        <v>825000</v>
      </c>
      <c r="F575" s="44">
        <f t="shared" si="31"/>
        <v>66000</v>
      </c>
      <c r="G575" s="149">
        <f t="shared" si="32"/>
        <v>891000</v>
      </c>
      <c r="H575" s="149">
        <v>891000</v>
      </c>
      <c r="I575" s="150">
        <f t="shared" si="30"/>
        <v>0</v>
      </c>
      <c r="J575" s="151">
        <v>45460</v>
      </c>
      <c r="K575" s="3">
        <v>9103317784</v>
      </c>
      <c r="L575" s="3" t="s">
        <v>293</v>
      </c>
    </row>
    <row r="576" spans="1:12" ht="21.75" hidden="1" customHeight="1" x14ac:dyDescent="0.35">
      <c r="A576" s="145" t="s">
        <v>2302</v>
      </c>
      <c r="B576" s="146" t="s">
        <v>2303</v>
      </c>
      <c r="C576" s="146"/>
      <c r="D576" s="147">
        <v>45364</v>
      </c>
      <c r="E576" s="148">
        <v>13095000</v>
      </c>
      <c r="F576" s="44">
        <f t="shared" si="31"/>
        <v>1047600</v>
      </c>
      <c r="G576" s="149">
        <f t="shared" si="32"/>
        <v>14142600</v>
      </c>
      <c r="H576" s="149">
        <v>14142600</v>
      </c>
      <c r="I576" s="150">
        <f t="shared" si="30"/>
        <v>0</v>
      </c>
      <c r="J576" s="151">
        <v>45460</v>
      </c>
      <c r="K576" s="3">
        <v>9103308835</v>
      </c>
      <c r="L576" s="3" t="s">
        <v>293</v>
      </c>
    </row>
    <row r="577" spans="1:12" ht="21.75" hidden="1" customHeight="1" x14ac:dyDescent="0.35">
      <c r="A577" s="145" t="s">
        <v>2304</v>
      </c>
      <c r="B577" s="146" t="s">
        <v>2305</v>
      </c>
      <c r="C577" s="146"/>
      <c r="D577" s="147">
        <v>45364</v>
      </c>
      <c r="E577" s="148">
        <v>11170500</v>
      </c>
      <c r="F577" s="44">
        <f t="shared" si="31"/>
        <v>893640</v>
      </c>
      <c r="G577" s="149">
        <f t="shared" si="32"/>
        <v>12064140</v>
      </c>
      <c r="H577" s="149">
        <v>12064140</v>
      </c>
      <c r="I577" s="150">
        <f t="shared" si="30"/>
        <v>0</v>
      </c>
      <c r="J577" s="151">
        <v>45460</v>
      </c>
      <c r="K577" s="3">
        <v>9103410196</v>
      </c>
    </row>
    <row r="578" spans="1:12" ht="21.75" hidden="1" customHeight="1" x14ac:dyDescent="0.35">
      <c r="A578" s="145" t="s">
        <v>2306</v>
      </c>
      <c r="B578" s="146" t="s">
        <v>2307</v>
      </c>
      <c r="C578" s="146"/>
      <c r="D578" s="147">
        <v>45364</v>
      </c>
      <c r="E578" s="148">
        <v>17134000</v>
      </c>
      <c r="F578" s="44">
        <f t="shared" si="31"/>
        <v>1370720</v>
      </c>
      <c r="G578" s="149">
        <f t="shared" si="32"/>
        <v>18504720</v>
      </c>
      <c r="H578" s="149">
        <v>18504720</v>
      </c>
      <c r="I578" s="150">
        <f t="shared" si="30"/>
        <v>0</v>
      </c>
      <c r="J578" s="151">
        <v>45460</v>
      </c>
      <c r="K578" s="3">
        <v>9103327962</v>
      </c>
    </row>
    <row r="579" spans="1:12" ht="21.75" hidden="1" customHeight="1" x14ac:dyDescent="0.35">
      <c r="A579" s="145" t="s">
        <v>2308</v>
      </c>
      <c r="B579" s="146" t="s">
        <v>2309</v>
      </c>
      <c r="C579" s="146"/>
      <c r="D579" s="147">
        <v>45364</v>
      </c>
      <c r="E579" s="148">
        <v>21995000</v>
      </c>
      <c r="F579" s="44">
        <f t="shared" si="31"/>
        <v>1759600</v>
      </c>
      <c r="G579" s="149">
        <f t="shared" si="32"/>
        <v>23754600</v>
      </c>
      <c r="H579" s="149">
        <v>23754600</v>
      </c>
      <c r="I579" s="150">
        <f t="shared" si="30"/>
        <v>0</v>
      </c>
      <c r="J579" s="151">
        <v>45460</v>
      </c>
      <c r="K579" s="3">
        <v>9103376505</v>
      </c>
      <c r="L579" s="3" t="s">
        <v>293</v>
      </c>
    </row>
    <row r="580" spans="1:12" ht="21.75" hidden="1" customHeight="1" x14ac:dyDescent="0.35">
      <c r="A580" s="145" t="s">
        <v>2302</v>
      </c>
      <c r="B580" s="146" t="s">
        <v>2310</v>
      </c>
      <c r="C580" s="146"/>
      <c r="D580" s="147">
        <v>45364</v>
      </c>
      <c r="E580" s="148">
        <v>52000</v>
      </c>
      <c r="F580" s="44">
        <f t="shared" si="31"/>
        <v>4160</v>
      </c>
      <c r="G580" s="149">
        <f t="shared" si="32"/>
        <v>56160</v>
      </c>
      <c r="H580" s="149">
        <v>56160</v>
      </c>
      <c r="I580" s="150">
        <f t="shared" si="30"/>
        <v>0</v>
      </c>
      <c r="J580" s="151">
        <v>45460</v>
      </c>
      <c r="K580" s="3">
        <v>9103309054</v>
      </c>
    </row>
    <row r="581" spans="1:12" ht="21.75" hidden="1" customHeight="1" x14ac:dyDescent="0.35">
      <c r="A581" s="145" t="s">
        <v>2282</v>
      </c>
      <c r="B581" s="146" t="s">
        <v>2311</v>
      </c>
      <c r="C581" s="146"/>
      <c r="D581" s="147">
        <v>45364</v>
      </c>
      <c r="E581" s="148">
        <v>1820000</v>
      </c>
      <c r="F581" s="44">
        <f t="shared" si="31"/>
        <v>145600</v>
      </c>
      <c r="G581" s="149">
        <f t="shared" si="32"/>
        <v>1965600</v>
      </c>
      <c r="H581" s="149">
        <v>1965600</v>
      </c>
      <c r="I581" s="150">
        <f t="shared" si="30"/>
        <v>0</v>
      </c>
      <c r="J581" s="151">
        <v>45460</v>
      </c>
      <c r="K581" s="3">
        <v>9103375455</v>
      </c>
      <c r="L581" s="3" t="s">
        <v>293</v>
      </c>
    </row>
    <row r="582" spans="1:12" ht="21.75" hidden="1" customHeight="1" x14ac:dyDescent="0.35">
      <c r="A582" s="145" t="s">
        <v>2260</v>
      </c>
      <c r="B582" s="146" t="s">
        <v>2312</v>
      </c>
      <c r="C582" s="146"/>
      <c r="D582" s="147">
        <v>45365</v>
      </c>
      <c r="E582" s="148">
        <v>120000</v>
      </c>
      <c r="F582" s="44">
        <f t="shared" si="31"/>
        <v>9600</v>
      </c>
      <c r="G582" s="149">
        <f t="shared" si="32"/>
        <v>129600</v>
      </c>
      <c r="H582" s="149">
        <v>129600</v>
      </c>
      <c r="I582" s="150">
        <f t="shared" si="30"/>
        <v>0</v>
      </c>
      <c r="J582" s="151">
        <v>45460</v>
      </c>
      <c r="K582" s="3">
        <v>9103421853</v>
      </c>
    </row>
    <row r="583" spans="1:12" ht="21.75" hidden="1" customHeight="1" x14ac:dyDescent="0.35">
      <c r="A583" s="145" t="s">
        <v>2313</v>
      </c>
      <c r="B583" s="146" t="s">
        <v>2314</v>
      </c>
      <c r="C583" s="146"/>
      <c r="D583" s="147">
        <v>45365</v>
      </c>
      <c r="E583" s="148">
        <v>4931000</v>
      </c>
      <c r="F583" s="44">
        <f t="shared" si="31"/>
        <v>394480</v>
      </c>
      <c r="G583" s="149">
        <f t="shared" si="32"/>
        <v>5325480</v>
      </c>
      <c r="H583" s="149">
        <v>5325480</v>
      </c>
      <c r="I583" s="150">
        <f t="shared" si="30"/>
        <v>0</v>
      </c>
      <c r="J583" s="151">
        <v>45460</v>
      </c>
      <c r="K583" s="3">
        <v>9103310012</v>
      </c>
    </row>
    <row r="584" spans="1:12" ht="21.75" hidden="1" customHeight="1" x14ac:dyDescent="0.35">
      <c r="A584" s="145" t="s">
        <v>2315</v>
      </c>
      <c r="B584" s="146" t="s">
        <v>2316</v>
      </c>
      <c r="C584" s="146"/>
      <c r="D584" s="147">
        <v>45365</v>
      </c>
      <c r="E584" s="148">
        <v>20109000</v>
      </c>
      <c r="F584" s="44">
        <f t="shared" si="31"/>
        <v>1608720</v>
      </c>
      <c r="G584" s="149">
        <f t="shared" si="32"/>
        <v>21717720</v>
      </c>
      <c r="H584" s="149">
        <v>21717720</v>
      </c>
      <c r="I584" s="150">
        <f t="shared" ref="I584:I649" si="33">+G584-H584</f>
        <v>0</v>
      </c>
      <c r="J584" s="151">
        <v>45460</v>
      </c>
      <c r="K584" s="3">
        <v>9103379286</v>
      </c>
    </row>
    <row r="585" spans="1:12" ht="21.75" hidden="1" customHeight="1" x14ac:dyDescent="0.35">
      <c r="A585" s="145" t="s">
        <v>2317</v>
      </c>
      <c r="B585" s="146" t="s">
        <v>2318</v>
      </c>
      <c r="C585" s="146"/>
      <c r="D585" s="147">
        <v>45365</v>
      </c>
      <c r="E585" s="148">
        <v>11472500</v>
      </c>
      <c r="F585" s="44">
        <f t="shared" si="31"/>
        <v>917800</v>
      </c>
      <c r="G585" s="149">
        <f t="shared" si="32"/>
        <v>12390300</v>
      </c>
      <c r="H585" s="149">
        <v>12390300</v>
      </c>
      <c r="I585" s="150">
        <f t="shared" si="33"/>
        <v>0</v>
      </c>
      <c r="J585" s="151">
        <v>45460</v>
      </c>
      <c r="K585" s="3">
        <v>9103412643</v>
      </c>
    </row>
    <row r="586" spans="1:12" ht="21.75" hidden="1" customHeight="1" x14ac:dyDescent="0.35">
      <c r="A586" s="145" t="s">
        <v>2319</v>
      </c>
      <c r="B586" s="146" t="s">
        <v>2320</v>
      </c>
      <c r="C586" s="146"/>
      <c r="D586" s="147">
        <v>45365</v>
      </c>
      <c r="E586" s="148">
        <v>10808000</v>
      </c>
      <c r="F586" s="44">
        <f t="shared" si="31"/>
        <v>864640</v>
      </c>
      <c r="G586" s="149">
        <f t="shared" si="32"/>
        <v>11672640</v>
      </c>
      <c r="H586" s="149">
        <v>11672640</v>
      </c>
      <c r="I586" s="150">
        <f t="shared" si="33"/>
        <v>0</v>
      </c>
      <c r="J586" s="151">
        <v>45460</v>
      </c>
      <c r="K586" s="3">
        <v>9103318565</v>
      </c>
      <c r="L586" s="3" t="s">
        <v>293</v>
      </c>
    </row>
    <row r="587" spans="1:12" ht="21.75" hidden="1" customHeight="1" x14ac:dyDescent="0.35">
      <c r="A587" s="145" t="s">
        <v>2321</v>
      </c>
      <c r="B587" s="146" t="s">
        <v>2322</v>
      </c>
      <c r="C587" s="146"/>
      <c r="D587" s="147">
        <v>45366</v>
      </c>
      <c r="E587" s="148">
        <v>23977500</v>
      </c>
      <c r="F587" s="44">
        <f t="shared" si="31"/>
        <v>1918200</v>
      </c>
      <c r="G587" s="149">
        <f t="shared" si="32"/>
        <v>25895700</v>
      </c>
      <c r="H587" s="149">
        <v>25895700</v>
      </c>
      <c r="I587" s="150">
        <f t="shared" si="33"/>
        <v>0</v>
      </c>
      <c r="J587" s="151">
        <v>45460</v>
      </c>
      <c r="K587" s="3">
        <v>9103399267</v>
      </c>
    </row>
    <row r="588" spans="1:12" ht="21.75" hidden="1" customHeight="1" x14ac:dyDescent="0.35">
      <c r="A588" s="145" t="s">
        <v>2323</v>
      </c>
      <c r="B588" s="146" t="s">
        <v>2324</v>
      </c>
      <c r="C588" s="146"/>
      <c r="D588" s="147">
        <v>45366</v>
      </c>
      <c r="E588" s="148">
        <v>38288000</v>
      </c>
      <c r="F588" s="44">
        <f t="shared" si="31"/>
        <v>3063040</v>
      </c>
      <c r="G588" s="149">
        <f t="shared" si="32"/>
        <v>41351040</v>
      </c>
      <c r="H588" s="149">
        <v>41351040</v>
      </c>
      <c r="I588" s="150">
        <f t="shared" si="33"/>
        <v>0</v>
      </c>
      <c r="J588" s="151">
        <v>45460</v>
      </c>
      <c r="K588" s="3">
        <v>9103358707</v>
      </c>
    </row>
    <row r="589" spans="1:12" ht="21.75" hidden="1" customHeight="1" x14ac:dyDescent="0.35">
      <c r="A589" s="145" t="s">
        <v>2325</v>
      </c>
      <c r="B589" s="146" t="s">
        <v>2326</v>
      </c>
      <c r="C589" s="146"/>
      <c r="D589" s="147">
        <v>45366</v>
      </c>
      <c r="E589" s="148">
        <v>3533500</v>
      </c>
      <c r="F589" s="44">
        <f t="shared" si="31"/>
        <v>282680</v>
      </c>
      <c r="G589" s="149">
        <f t="shared" si="32"/>
        <v>3816180</v>
      </c>
      <c r="H589" s="149">
        <v>3816180</v>
      </c>
      <c r="I589" s="150">
        <f t="shared" si="33"/>
        <v>0</v>
      </c>
      <c r="J589" s="151">
        <v>45460</v>
      </c>
      <c r="K589" s="3">
        <v>9103366930</v>
      </c>
      <c r="L589" s="3" t="s">
        <v>293</v>
      </c>
    </row>
    <row r="590" spans="1:12" ht="21.75" hidden="1" customHeight="1" x14ac:dyDescent="0.35">
      <c r="A590" s="145" t="s">
        <v>2327</v>
      </c>
      <c r="B590" s="146" t="s">
        <v>2328</v>
      </c>
      <c r="C590" s="146"/>
      <c r="D590" s="147">
        <v>45366</v>
      </c>
      <c r="E590" s="148">
        <v>15459500</v>
      </c>
      <c r="F590" s="44">
        <f t="shared" si="31"/>
        <v>1236760</v>
      </c>
      <c r="G590" s="149">
        <f t="shared" si="32"/>
        <v>16696260</v>
      </c>
      <c r="H590" s="149">
        <v>16696260</v>
      </c>
      <c r="I590" s="150">
        <f t="shared" si="33"/>
        <v>0</v>
      </c>
      <c r="J590" s="151">
        <v>45460</v>
      </c>
      <c r="K590" s="3">
        <v>9103426203</v>
      </c>
      <c r="L590" s="3" t="s">
        <v>293</v>
      </c>
    </row>
    <row r="591" spans="1:12" ht="21.75" hidden="1" customHeight="1" x14ac:dyDescent="0.35">
      <c r="A591" s="145" t="s">
        <v>2329</v>
      </c>
      <c r="B591" s="146" t="s">
        <v>2330</v>
      </c>
      <c r="C591" s="146"/>
      <c r="D591" s="147">
        <v>45366</v>
      </c>
      <c r="E591" s="148">
        <v>9609000</v>
      </c>
      <c r="F591" s="44">
        <f t="shared" si="31"/>
        <v>768720</v>
      </c>
      <c r="G591" s="149">
        <f t="shared" si="32"/>
        <v>10377720</v>
      </c>
      <c r="H591" s="149">
        <v>10377720</v>
      </c>
      <c r="I591" s="150">
        <f t="shared" si="33"/>
        <v>0</v>
      </c>
      <c r="J591" s="151">
        <v>45460</v>
      </c>
      <c r="K591" s="3">
        <v>9103291586</v>
      </c>
    </row>
    <row r="592" spans="1:12" ht="21.75" hidden="1" customHeight="1" x14ac:dyDescent="0.35">
      <c r="A592" s="145" t="s">
        <v>2331</v>
      </c>
      <c r="B592" s="146" t="s">
        <v>2332</v>
      </c>
      <c r="C592" s="146"/>
      <c r="D592" s="147">
        <v>45367</v>
      </c>
      <c r="E592" s="148">
        <v>22119500</v>
      </c>
      <c r="F592" s="44">
        <f t="shared" si="31"/>
        <v>1769560</v>
      </c>
      <c r="G592" s="149">
        <f t="shared" si="32"/>
        <v>23889060</v>
      </c>
      <c r="H592" s="149">
        <v>23889060</v>
      </c>
      <c r="I592" s="150">
        <f t="shared" si="33"/>
        <v>0</v>
      </c>
      <c r="J592" s="151">
        <v>45460</v>
      </c>
      <c r="K592" s="3">
        <v>9103390628</v>
      </c>
      <c r="L592" s="3" t="s">
        <v>293</v>
      </c>
    </row>
    <row r="593" spans="1:12" ht="21.75" hidden="1" customHeight="1" x14ac:dyDescent="0.35">
      <c r="A593" s="145" t="s">
        <v>2333</v>
      </c>
      <c r="B593" s="146" t="s">
        <v>2334</v>
      </c>
      <c r="C593" s="146"/>
      <c r="D593" s="147">
        <v>45367</v>
      </c>
      <c r="E593" s="148">
        <v>9213000</v>
      </c>
      <c r="F593" s="44">
        <f t="shared" si="31"/>
        <v>737040</v>
      </c>
      <c r="G593" s="149">
        <f t="shared" si="32"/>
        <v>9950040</v>
      </c>
      <c r="H593" s="149">
        <v>9950040</v>
      </c>
      <c r="I593" s="150">
        <f t="shared" si="33"/>
        <v>0</v>
      </c>
      <c r="J593" s="151">
        <v>45460</v>
      </c>
      <c r="K593" s="3">
        <v>9103427856</v>
      </c>
      <c r="L593" s="3" t="s">
        <v>293</v>
      </c>
    </row>
    <row r="594" spans="1:12" ht="21.75" hidden="1" customHeight="1" x14ac:dyDescent="0.35">
      <c r="A594" s="145" t="s">
        <v>2335</v>
      </c>
      <c r="B594" s="146" t="s">
        <v>1387</v>
      </c>
      <c r="C594" s="146"/>
      <c r="D594" s="147">
        <v>45369</v>
      </c>
      <c r="E594" s="148">
        <v>21353500</v>
      </c>
      <c r="F594" s="44">
        <f t="shared" si="31"/>
        <v>1708280</v>
      </c>
      <c r="G594" s="149">
        <f t="shared" si="32"/>
        <v>23061780</v>
      </c>
      <c r="H594" s="149">
        <v>23061780</v>
      </c>
      <c r="I594" s="150">
        <f t="shared" si="33"/>
        <v>0</v>
      </c>
      <c r="J594" s="151">
        <v>45460</v>
      </c>
      <c r="K594" s="3">
        <v>9103438811</v>
      </c>
    </row>
    <row r="595" spans="1:12" ht="21.75" hidden="1" customHeight="1" x14ac:dyDescent="0.35">
      <c r="A595" s="145" t="s">
        <v>2336</v>
      </c>
      <c r="B595" s="146" t="s">
        <v>2337</v>
      </c>
      <c r="C595" s="146"/>
      <c r="D595" s="147">
        <v>45371</v>
      </c>
      <c r="E595" s="148">
        <v>18003500</v>
      </c>
      <c r="F595" s="44">
        <f t="shared" si="31"/>
        <v>1440280</v>
      </c>
      <c r="G595" s="149">
        <f t="shared" si="32"/>
        <v>19443780</v>
      </c>
      <c r="H595" s="149">
        <v>19443780</v>
      </c>
      <c r="I595" s="150">
        <f t="shared" si="33"/>
        <v>0</v>
      </c>
      <c r="J595" s="151">
        <v>45460</v>
      </c>
      <c r="K595" s="3">
        <v>9103391667</v>
      </c>
      <c r="L595" s="3" t="s">
        <v>293</v>
      </c>
    </row>
    <row r="596" spans="1:12" ht="21.75" hidden="1" customHeight="1" x14ac:dyDescent="0.35">
      <c r="A596" s="145" t="s">
        <v>2338</v>
      </c>
      <c r="B596" s="146" t="s">
        <v>2339</v>
      </c>
      <c r="C596" s="146"/>
      <c r="D596" s="147">
        <v>45370</v>
      </c>
      <c r="E596" s="148">
        <v>7165727</v>
      </c>
      <c r="F596" s="44">
        <f t="shared" si="31"/>
        <v>573258.16</v>
      </c>
      <c r="G596" s="149">
        <f t="shared" si="32"/>
        <v>7738985.1600000001</v>
      </c>
      <c r="H596" s="149">
        <v>7738985.1600000001</v>
      </c>
      <c r="I596" s="150">
        <f t="shared" si="33"/>
        <v>0</v>
      </c>
      <c r="J596" s="151">
        <v>45376</v>
      </c>
    </row>
    <row r="597" spans="1:12" ht="21.75" hidden="1" customHeight="1" x14ac:dyDescent="0.35">
      <c r="A597" s="145" t="s">
        <v>2340</v>
      </c>
      <c r="B597" s="146" t="s">
        <v>2341</v>
      </c>
      <c r="C597" s="146"/>
      <c r="D597" s="147">
        <v>45370</v>
      </c>
      <c r="E597" s="148">
        <v>30265500</v>
      </c>
      <c r="F597" s="44">
        <f t="shared" si="31"/>
        <v>2421240</v>
      </c>
      <c r="G597" s="149">
        <f t="shared" si="32"/>
        <v>32686740</v>
      </c>
      <c r="H597" s="149">
        <v>32686740</v>
      </c>
      <c r="I597" s="150">
        <f t="shared" si="33"/>
        <v>0</v>
      </c>
      <c r="J597" s="151">
        <v>45376</v>
      </c>
      <c r="K597" s="3">
        <v>9103374315</v>
      </c>
      <c r="L597" s="3" t="s">
        <v>293</v>
      </c>
    </row>
    <row r="598" spans="1:12" ht="21.75" hidden="1" customHeight="1" x14ac:dyDescent="0.35">
      <c r="A598" s="145" t="s">
        <v>2342</v>
      </c>
      <c r="B598" s="146" t="s">
        <v>2343</v>
      </c>
      <c r="C598" s="146"/>
      <c r="D598" s="147">
        <v>45372</v>
      </c>
      <c r="E598" s="148">
        <v>29437000</v>
      </c>
      <c r="F598" s="44">
        <f t="shared" si="31"/>
        <v>2354960</v>
      </c>
      <c r="G598" s="149">
        <f t="shared" si="32"/>
        <v>31791960</v>
      </c>
      <c r="H598" s="149">
        <v>31791960</v>
      </c>
      <c r="I598" s="150">
        <f t="shared" si="33"/>
        <v>0</v>
      </c>
      <c r="J598" s="151">
        <v>45460</v>
      </c>
      <c r="K598" s="3">
        <v>9103376035</v>
      </c>
      <c r="L598" s="3" t="s">
        <v>293</v>
      </c>
    </row>
    <row r="599" spans="1:12" ht="21.75" hidden="1" customHeight="1" x14ac:dyDescent="0.35">
      <c r="A599" s="145" t="s">
        <v>2288</v>
      </c>
      <c r="B599" s="146" t="s">
        <v>2344</v>
      </c>
      <c r="C599" s="146"/>
      <c r="D599" s="147">
        <v>45372</v>
      </c>
      <c r="E599" s="148">
        <v>46107500</v>
      </c>
      <c r="F599" s="44">
        <f t="shared" si="31"/>
        <v>3688600</v>
      </c>
      <c r="G599" s="149">
        <f t="shared" si="32"/>
        <v>49796100</v>
      </c>
      <c r="H599" s="149">
        <v>49796100</v>
      </c>
      <c r="I599" s="150">
        <f t="shared" si="33"/>
        <v>0</v>
      </c>
      <c r="J599" s="151">
        <v>45460</v>
      </c>
      <c r="K599" s="3">
        <v>9103452227</v>
      </c>
    </row>
    <row r="600" spans="1:12" ht="21.75" hidden="1" customHeight="1" x14ac:dyDescent="0.35">
      <c r="A600" s="145" t="s">
        <v>2288</v>
      </c>
      <c r="B600" s="146" t="s">
        <v>2345</v>
      </c>
      <c r="C600" s="146"/>
      <c r="D600" s="147">
        <v>45373</v>
      </c>
      <c r="E600" s="148">
        <v>720000</v>
      </c>
      <c r="F600" s="44">
        <f t="shared" si="31"/>
        <v>57600</v>
      </c>
      <c r="G600" s="149">
        <f t="shared" si="32"/>
        <v>777600</v>
      </c>
      <c r="H600" s="149">
        <v>777600</v>
      </c>
      <c r="I600" s="150">
        <f t="shared" si="33"/>
        <v>0</v>
      </c>
      <c r="J600" s="151">
        <v>45460</v>
      </c>
      <c r="K600" s="3">
        <v>9103460150</v>
      </c>
    </row>
    <row r="601" spans="1:12" ht="21.75" hidden="1" customHeight="1" x14ac:dyDescent="0.35">
      <c r="A601" s="145" t="s">
        <v>2346</v>
      </c>
      <c r="B601" s="146" t="s">
        <v>2347</v>
      </c>
      <c r="C601" s="146"/>
      <c r="D601" s="147">
        <v>45374</v>
      </c>
      <c r="E601" s="148">
        <v>8449000</v>
      </c>
      <c r="F601" s="44">
        <f t="shared" si="31"/>
        <v>675920</v>
      </c>
      <c r="G601" s="149">
        <f t="shared" si="32"/>
        <v>9124920</v>
      </c>
      <c r="H601" s="149">
        <v>9124920</v>
      </c>
      <c r="I601" s="150">
        <f t="shared" si="33"/>
        <v>0</v>
      </c>
      <c r="J601" s="151">
        <v>45460</v>
      </c>
      <c r="K601" s="3">
        <v>9103431607</v>
      </c>
    </row>
    <row r="602" spans="1:12" ht="21.75" hidden="1" customHeight="1" x14ac:dyDescent="0.35">
      <c r="A602" s="145" t="s">
        <v>2288</v>
      </c>
      <c r="B602" s="146" t="s">
        <v>2348</v>
      </c>
      <c r="C602" s="146"/>
      <c r="D602" s="147">
        <v>45376</v>
      </c>
      <c r="E602" s="148">
        <v>532000</v>
      </c>
      <c r="F602" s="44">
        <f t="shared" si="31"/>
        <v>42560</v>
      </c>
      <c r="G602" s="149">
        <f t="shared" si="32"/>
        <v>574560</v>
      </c>
      <c r="H602" s="149">
        <v>574560</v>
      </c>
      <c r="I602" s="150">
        <f t="shared" si="33"/>
        <v>0</v>
      </c>
      <c r="J602" s="151">
        <v>45460</v>
      </c>
      <c r="K602" s="3">
        <v>9103470033</v>
      </c>
    </row>
    <row r="603" spans="1:12" ht="21.75" hidden="1" customHeight="1" x14ac:dyDescent="0.35">
      <c r="A603" s="145" t="s">
        <v>2274</v>
      </c>
      <c r="B603" s="146" t="s">
        <v>2349</v>
      </c>
      <c r="C603" s="146"/>
      <c r="D603" s="147">
        <v>45374</v>
      </c>
      <c r="E603" s="148">
        <v>782000</v>
      </c>
      <c r="F603" s="44">
        <f t="shared" si="31"/>
        <v>62560</v>
      </c>
      <c r="G603" s="149">
        <f t="shared" si="32"/>
        <v>844560</v>
      </c>
      <c r="H603" s="149">
        <v>844560</v>
      </c>
      <c r="I603" s="150">
        <f t="shared" si="33"/>
        <v>0</v>
      </c>
      <c r="J603" s="151">
        <v>45460</v>
      </c>
      <c r="K603" s="3">
        <v>9103440224</v>
      </c>
    </row>
    <row r="604" spans="1:12" ht="21.75" hidden="1" customHeight="1" x14ac:dyDescent="0.35">
      <c r="A604" s="145" t="s">
        <v>2350</v>
      </c>
      <c r="B604" s="146"/>
      <c r="C604" s="146"/>
      <c r="D604" s="147">
        <v>45342</v>
      </c>
      <c r="E604" s="148"/>
      <c r="F604" s="44"/>
      <c r="G604" s="149">
        <v>31987610</v>
      </c>
      <c r="H604" s="149">
        <v>31987610</v>
      </c>
      <c r="I604" s="150">
        <f t="shared" si="33"/>
        <v>0</v>
      </c>
      <c r="J604" s="151">
        <v>45376</v>
      </c>
    </row>
    <row r="605" spans="1:12" ht="21.75" hidden="1" customHeight="1" x14ac:dyDescent="0.35">
      <c r="A605" s="145" t="s">
        <v>2351</v>
      </c>
      <c r="B605" s="146"/>
      <c r="C605" s="146"/>
      <c r="D605" s="147">
        <v>45342</v>
      </c>
      <c r="E605" s="148"/>
      <c r="F605" s="44"/>
      <c r="G605" s="149">
        <v>3998454</v>
      </c>
      <c r="H605" s="149">
        <v>3998454</v>
      </c>
      <c r="I605" s="150">
        <f t="shared" si="33"/>
        <v>0</v>
      </c>
      <c r="J605" s="151">
        <v>45376</v>
      </c>
    </row>
    <row r="606" spans="1:12" ht="21.75" hidden="1" customHeight="1" x14ac:dyDescent="0.35">
      <c r="A606" s="145" t="s">
        <v>2352</v>
      </c>
      <c r="B606" s="146"/>
      <c r="C606" s="146"/>
      <c r="D606" s="147">
        <v>45291</v>
      </c>
      <c r="E606" s="148"/>
      <c r="F606" s="44"/>
      <c r="G606" s="149">
        <v>57302195</v>
      </c>
      <c r="H606" s="149">
        <v>57302195</v>
      </c>
      <c r="I606" s="150">
        <f t="shared" si="33"/>
        <v>0</v>
      </c>
      <c r="J606" s="151">
        <v>45376</v>
      </c>
    </row>
    <row r="607" spans="1:12" ht="21.75" hidden="1" customHeight="1" x14ac:dyDescent="0.35">
      <c r="A607" s="145" t="s">
        <v>2353</v>
      </c>
      <c r="B607" s="146"/>
      <c r="C607" s="146"/>
      <c r="D607" s="147">
        <v>45291</v>
      </c>
      <c r="E607" s="148"/>
      <c r="F607" s="44"/>
      <c r="G607" s="149">
        <v>114604390</v>
      </c>
      <c r="H607" s="149">
        <v>114604390</v>
      </c>
      <c r="I607" s="150">
        <f t="shared" si="33"/>
        <v>0</v>
      </c>
      <c r="J607" s="151">
        <v>45376</v>
      </c>
    </row>
    <row r="608" spans="1:12" ht="21.75" hidden="1" customHeight="1" x14ac:dyDescent="0.35">
      <c r="A608" s="145" t="s">
        <v>2354</v>
      </c>
      <c r="B608" s="146"/>
      <c r="C608" s="146"/>
      <c r="D608" s="147">
        <v>45291</v>
      </c>
      <c r="E608" s="148"/>
      <c r="F608" s="44"/>
      <c r="G608" s="149">
        <v>14325550</v>
      </c>
      <c r="H608" s="149">
        <v>14325550</v>
      </c>
      <c r="I608" s="150">
        <f t="shared" si="33"/>
        <v>0</v>
      </c>
      <c r="J608" s="151">
        <v>45376</v>
      </c>
    </row>
    <row r="609" spans="1:12" ht="21.75" hidden="1" customHeight="1" x14ac:dyDescent="0.35">
      <c r="A609" s="145" t="s">
        <v>2355</v>
      </c>
      <c r="B609" s="146" t="s">
        <v>2356</v>
      </c>
      <c r="C609" s="146"/>
      <c r="D609" s="147">
        <v>45377</v>
      </c>
      <c r="E609" s="148">
        <v>27133000</v>
      </c>
      <c r="F609" s="44">
        <f t="shared" ref="F609:F672" si="34">+E609*0.08</f>
        <v>2170640</v>
      </c>
      <c r="G609" s="149">
        <f t="shared" ref="G609:G670" si="35">+F609+E609</f>
        <v>29303640</v>
      </c>
      <c r="H609" s="149">
        <v>29303640</v>
      </c>
      <c r="I609" s="150">
        <f t="shared" si="33"/>
        <v>0</v>
      </c>
      <c r="J609" s="151">
        <v>45460</v>
      </c>
      <c r="K609" s="3">
        <v>9103365128</v>
      </c>
    </row>
    <row r="610" spans="1:12" ht="21.75" hidden="1" customHeight="1" x14ac:dyDescent="0.35">
      <c r="A610" s="145" t="s">
        <v>2357</v>
      </c>
      <c r="B610" s="146" t="s">
        <v>2358</v>
      </c>
      <c r="C610" s="146"/>
      <c r="D610" s="147">
        <v>45377</v>
      </c>
      <c r="E610" s="148">
        <v>18392000</v>
      </c>
      <c r="F610" s="44">
        <f t="shared" si="34"/>
        <v>1471360</v>
      </c>
      <c r="G610" s="149">
        <f t="shared" si="35"/>
        <v>19863360</v>
      </c>
      <c r="H610" s="149">
        <v>19863360</v>
      </c>
      <c r="I610" s="150">
        <f t="shared" si="33"/>
        <v>0</v>
      </c>
      <c r="J610" s="151">
        <v>45460</v>
      </c>
      <c r="K610" s="3">
        <v>9103302730</v>
      </c>
      <c r="L610" s="3" t="s">
        <v>293</v>
      </c>
    </row>
    <row r="611" spans="1:12" ht="21.75" hidden="1" customHeight="1" x14ac:dyDescent="0.35">
      <c r="A611" s="145" t="s">
        <v>2359</v>
      </c>
      <c r="B611" s="146" t="s">
        <v>2360</v>
      </c>
      <c r="C611" s="146"/>
      <c r="D611" s="147">
        <v>45378</v>
      </c>
      <c r="E611" s="148">
        <v>14287000</v>
      </c>
      <c r="F611" s="44">
        <f t="shared" si="34"/>
        <v>1142960</v>
      </c>
      <c r="G611" s="149">
        <f t="shared" si="35"/>
        <v>15429960</v>
      </c>
      <c r="H611" s="149">
        <v>15429960</v>
      </c>
      <c r="I611" s="150">
        <f t="shared" si="33"/>
        <v>0</v>
      </c>
      <c r="J611" s="151">
        <v>45460</v>
      </c>
      <c r="K611" s="3">
        <v>9103477653</v>
      </c>
      <c r="L611" s="3" t="s">
        <v>293</v>
      </c>
    </row>
    <row r="612" spans="1:12" ht="21.75" hidden="1" customHeight="1" x14ac:dyDescent="0.35">
      <c r="A612" s="145" t="s">
        <v>2361</v>
      </c>
      <c r="B612" s="146" t="s">
        <v>2362</v>
      </c>
      <c r="C612" s="146"/>
      <c r="D612" s="147">
        <v>45377</v>
      </c>
      <c r="E612" s="148">
        <v>34928500</v>
      </c>
      <c r="F612" s="44">
        <f t="shared" si="34"/>
        <v>2794280</v>
      </c>
      <c r="G612" s="149">
        <f t="shared" si="35"/>
        <v>37722780</v>
      </c>
      <c r="H612" s="149">
        <v>37722780</v>
      </c>
      <c r="I612" s="150">
        <f t="shared" si="33"/>
        <v>0</v>
      </c>
      <c r="J612" s="151">
        <v>45460</v>
      </c>
      <c r="K612" s="3">
        <v>9103315385</v>
      </c>
    </row>
    <row r="613" spans="1:12" ht="21.75" hidden="1" customHeight="1" x14ac:dyDescent="0.35">
      <c r="A613" s="145" t="s">
        <v>2363</v>
      </c>
      <c r="B613" s="146" t="s">
        <v>2364</v>
      </c>
      <c r="C613" s="146"/>
      <c r="D613" s="147">
        <v>45380</v>
      </c>
      <c r="E613" s="148">
        <v>42397500</v>
      </c>
      <c r="F613" s="44">
        <f t="shared" si="34"/>
        <v>3391800</v>
      </c>
      <c r="G613" s="149">
        <f t="shared" si="35"/>
        <v>45789300</v>
      </c>
      <c r="H613" s="149">
        <v>45789300</v>
      </c>
      <c r="I613" s="150">
        <f t="shared" si="33"/>
        <v>0</v>
      </c>
      <c r="J613" s="151">
        <v>45460</v>
      </c>
      <c r="K613" s="3">
        <v>9103485444</v>
      </c>
    </row>
    <row r="614" spans="1:12" ht="21.75" hidden="1" customHeight="1" x14ac:dyDescent="0.35">
      <c r="A614" s="145" t="s">
        <v>2365</v>
      </c>
      <c r="B614" s="146" t="s">
        <v>2366</v>
      </c>
      <c r="C614" s="146"/>
      <c r="D614" s="147">
        <v>45384</v>
      </c>
      <c r="E614" s="148">
        <v>19990000</v>
      </c>
      <c r="F614" s="44">
        <f t="shared" si="34"/>
        <v>1599200</v>
      </c>
      <c r="G614" s="149">
        <f t="shared" si="35"/>
        <v>21589200</v>
      </c>
      <c r="H614" s="149">
        <v>21589200</v>
      </c>
      <c r="I614" s="150">
        <f t="shared" si="33"/>
        <v>0</v>
      </c>
      <c r="J614" s="151">
        <v>45460</v>
      </c>
      <c r="K614" s="3">
        <v>9103341899</v>
      </c>
      <c r="L614" s="3" t="s">
        <v>293</v>
      </c>
    </row>
    <row r="615" spans="1:12" ht="21.75" hidden="1" customHeight="1" x14ac:dyDescent="0.35">
      <c r="A615" s="145" t="s">
        <v>2367</v>
      </c>
      <c r="B615" s="146" t="s">
        <v>2368</v>
      </c>
      <c r="C615" s="146"/>
      <c r="D615" s="147">
        <v>45384</v>
      </c>
      <c r="E615" s="148">
        <v>14278000</v>
      </c>
      <c r="F615" s="44">
        <f t="shared" si="34"/>
        <v>1142240</v>
      </c>
      <c r="G615" s="149">
        <f t="shared" si="35"/>
        <v>15420240</v>
      </c>
      <c r="H615" s="149">
        <v>15420240</v>
      </c>
      <c r="I615" s="150">
        <f t="shared" si="33"/>
        <v>0</v>
      </c>
      <c r="J615" s="151">
        <v>45460</v>
      </c>
      <c r="K615" s="3">
        <v>9103370286</v>
      </c>
      <c r="L615" s="3" t="s">
        <v>293</v>
      </c>
    </row>
    <row r="616" spans="1:12" ht="21.75" hidden="1" customHeight="1" x14ac:dyDescent="0.35">
      <c r="A616" s="145" t="s">
        <v>2369</v>
      </c>
      <c r="B616" s="146" t="s">
        <v>2370</v>
      </c>
      <c r="C616" s="146"/>
      <c r="D616" s="147">
        <v>45384</v>
      </c>
      <c r="E616" s="148">
        <v>44327000</v>
      </c>
      <c r="F616" s="44">
        <f t="shared" si="34"/>
        <v>3546160</v>
      </c>
      <c r="G616" s="149">
        <f t="shared" si="35"/>
        <v>47873160</v>
      </c>
      <c r="H616" s="149">
        <v>47873160</v>
      </c>
      <c r="I616" s="150">
        <f t="shared" si="33"/>
        <v>0</v>
      </c>
      <c r="J616" s="151">
        <v>45460</v>
      </c>
      <c r="K616" s="3">
        <v>9103374114</v>
      </c>
      <c r="L616" s="3" t="s">
        <v>293</v>
      </c>
    </row>
    <row r="617" spans="1:12" ht="21.75" hidden="1" customHeight="1" x14ac:dyDescent="0.35">
      <c r="A617" s="145" t="s">
        <v>2371</v>
      </c>
      <c r="B617" s="146" t="s">
        <v>2372</v>
      </c>
      <c r="C617" s="146"/>
      <c r="D617" s="147">
        <v>45381</v>
      </c>
      <c r="E617" s="148">
        <v>14798000</v>
      </c>
      <c r="F617" s="44">
        <f t="shared" si="34"/>
        <v>1183840</v>
      </c>
      <c r="G617" s="149">
        <f t="shared" si="35"/>
        <v>15981840</v>
      </c>
      <c r="H617" s="149">
        <v>15981840</v>
      </c>
      <c r="I617" s="150">
        <f t="shared" si="33"/>
        <v>0</v>
      </c>
      <c r="J617" s="151">
        <v>45460</v>
      </c>
      <c r="K617" s="3">
        <v>9103315140</v>
      </c>
    </row>
    <row r="618" spans="1:12" ht="21.75" hidden="1" customHeight="1" x14ac:dyDescent="0.35">
      <c r="A618" s="145" t="s">
        <v>2373</v>
      </c>
      <c r="B618" s="146" t="s">
        <v>2374</v>
      </c>
      <c r="C618" s="146"/>
      <c r="D618" s="147">
        <v>45380</v>
      </c>
      <c r="E618" s="148">
        <v>880000</v>
      </c>
      <c r="F618" s="44">
        <f t="shared" si="34"/>
        <v>70400</v>
      </c>
      <c r="G618" s="149">
        <f t="shared" si="35"/>
        <v>950400</v>
      </c>
      <c r="H618" s="149">
        <v>950400</v>
      </c>
      <c r="I618" s="150">
        <f t="shared" si="33"/>
        <v>0</v>
      </c>
      <c r="J618" s="151">
        <v>45460</v>
      </c>
      <c r="K618" s="3">
        <v>9103489127</v>
      </c>
      <c r="L618" s="3" t="s">
        <v>293</v>
      </c>
    </row>
    <row r="619" spans="1:12" ht="21.75" hidden="1" customHeight="1" x14ac:dyDescent="0.35">
      <c r="A619" s="145" t="s">
        <v>2375</v>
      </c>
      <c r="B619" s="146" t="s">
        <v>2376</v>
      </c>
      <c r="C619" s="146"/>
      <c r="D619" s="147">
        <v>45379</v>
      </c>
      <c r="E619" s="148">
        <v>1229500</v>
      </c>
      <c r="F619" s="44">
        <f t="shared" si="34"/>
        <v>98360</v>
      </c>
      <c r="G619" s="149">
        <f t="shared" si="35"/>
        <v>1327860</v>
      </c>
      <c r="H619" s="149">
        <v>1327860</v>
      </c>
      <c r="I619" s="150">
        <f t="shared" si="33"/>
        <v>0</v>
      </c>
      <c r="J619" s="151">
        <v>45460</v>
      </c>
      <c r="K619" s="3">
        <v>9103485726</v>
      </c>
      <c r="L619" s="3" t="s">
        <v>293</v>
      </c>
    </row>
    <row r="620" spans="1:12" ht="21.75" hidden="1" customHeight="1" x14ac:dyDescent="0.35">
      <c r="A620" s="145" t="s">
        <v>2377</v>
      </c>
      <c r="B620" s="146" t="s">
        <v>2378</v>
      </c>
      <c r="C620" s="146"/>
      <c r="D620" s="147">
        <v>45385</v>
      </c>
      <c r="E620" s="148">
        <v>7984000</v>
      </c>
      <c r="F620" s="44">
        <f t="shared" si="34"/>
        <v>638720</v>
      </c>
      <c r="G620" s="149">
        <f t="shared" si="35"/>
        <v>8622720</v>
      </c>
      <c r="H620" s="149">
        <v>8622720</v>
      </c>
      <c r="I620" s="150">
        <f t="shared" si="33"/>
        <v>0</v>
      </c>
      <c r="J620" s="151">
        <v>45460</v>
      </c>
      <c r="K620" s="3">
        <v>9103315832</v>
      </c>
      <c r="L620" s="3" t="s">
        <v>293</v>
      </c>
    </row>
    <row r="621" spans="1:12" ht="21.75" hidden="1" customHeight="1" x14ac:dyDescent="0.35">
      <c r="A621" s="145" t="s">
        <v>1941</v>
      </c>
      <c r="B621" s="146" t="s">
        <v>2379</v>
      </c>
      <c r="C621" s="146"/>
      <c r="D621" s="147">
        <v>45387</v>
      </c>
      <c r="E621" s="148">
        <v>1698000</v>
      </c>
      <c r="F621" s="44">
        <f t="shared" si="34"/>
        <v>135840</v>
      </c>
      <c r="G621" s="149">
        <f t="shared" si="35"/>
        <v>1833840</v>
      </c>
      <c r="H621" s="149">
        <v>1833840</v>
      </c>
      <c r="I621" s="150">
        <f t="shared" si="33"/>
        <v>0</v>
      </c>
      <c r="J621" s="151">
        <v>45460</v>
      </c>
      <c r="K621" s="3">
        <v>9103525130</v>
      </c>
      <c r="L621" s="3" t="s">
        <v>293</v>
      </c>
    </row>
    <row r="622" spans="1:12" ht="21.75" hidden="1" customHeight="1" x14ac:dyDescent="0.35">
      <c r="A622" s="145" t="s">
        <v>1735</v>
      </c>
      <c r="B622" s="146" t="s">
        <v>2380</v>
      </c>
      <c r="C622" s="146"/>
      <c r="D622" s="147">
        <v>45387</v>
      </c>
      <c r="E622" s="148">
        <v>470000</v>
      </c>
      <c r="F622" s="44">
        <f t="shared" si="34"/>
        <v>37600</v>
      </c>
      <c r="G622" s="149">
        <f t="shared" si="35"/>
        <v>507600</v>
      </c>
      <c r="H622" s="149">
        <v>507600</v>
      </c>
      <c r="I622" s="150">
        <f t="shared" si="33"/>
        <v>0</v>
      </c>
      <c r="J622" s="151">
        <v>45460</v>
      </c>
      <c r="K622" s="3">
        <v>9103519116</v>
      </c>
      <c r="L622" s="3" t="s">
        <v>293</v>
      </c>
    </row>
    <row r="623" spans="1:12" ht="21.75" hidden="1" customHeight="1" x14ac:dyDescent="0.35">
      <c r="A623" s="145" t="s">
        <v>2381</v>
      </c>
      <c r="B623" s="146" t="s">
        <v>2382</v>
      </c>
      <c r="C623" s="146"/>
      <c r="D623" s="147">
        <v>45388</v>
      </c>
      <c r="E623" s="148">
        <v>1001000</v>
      </c>
      <c r="F623" s="44">
        <f t="shared" si="34"/>
        <v>80080</v>
      </c>
      <c r="G623" s="149">
        <f t="shared" si="35"/>
        <v>1081080</v>
      </c>
      <c r="H623" s="149">
        <v>1081080</v>
      </c>
      <c r="I623" s="150">
        <f t="shared" si="33"/>
        <v>0</v>
      </c>
      <c r="J623" s="151">
        <v>45460</v>
      </c>
      <c r="K623" s="3">
        <v>9103526041</v>
      </c>
      <c r="L623" s="3" t="s">
        <v>293</v>
      </c>
    </row>
    <row r="624" spans="1:12" ht="21.75" hidden="1" customHeight="1" x14ac:dyDescent="0.35">
      <c r="A624" s="145" t="s">
        <v>2383</v>
      </c>
      <c r="B624" s="146" t="s">
        <v>2384</v>
      </c>
      <c r="C624" s="146"/>
      <c r="D624" s="147">
        <v>45391</v>
      </c>
      <c r="E624" s="148">
        <v>1440000</v>
      </c>
      <c r="F624" s="44">
        <f t="shared" si="34"/>
        <v>115200</v>
      </c>
      <c r="G624" s="149">
        <f t="shared" si="35"/>
        <v>1555200</v>
      </c>
      <c r="H624" s="149">
        <v>1555200</v>
      </c>
      <c r="I624" s="150">
        <f t="shared" si="33"/>
        <v>0</v>
      </c>
      <c r="J624" s="151">
        <v>45460</v>
      </c>
      <c r="K624" s="3">
        <v>9103340344</v>
      </c>
      <c r="L624" s="3" t="s">
        <v>293</v>
      </c>
    </row>
    <row r="625" spans="1:12" ht="21.75" hidden="1" customHeight="1" x14ac:dyDescent="0.35">
      <c r="A625" s="145" t="s">
        <v>1624</v>
      </c>
      <c r="B625" s="146" t="s">
        <v>2385</v>
      </c>
      <c r="C625" s="146"/>
      <c r="D625" s="147">
        <v>45397</v>
      </c>
      <c r="E625" s="148">
        <v>7602000</v>
      </c>
      <c r="F625" s="44">
        <f t="shared" si="34"/>
        <v>608160</v>
      </c>
      <c r="G625" s="149">
        <f t="shared" si="35"/>
        <v>8210160</v>
      </c>
      <c r="H625" s="149">
        <v>8210160</v>
      </c>
      <c r="I625" s="150">
        <f t="shared" si="33"/>
        <v>0</v>
      </c>
      <c r="J625" s="151">
        <v>45460</v>
      </c>
      <c r="K625" s="3">
        <v>9103429026</v>
      </c>
      <c r="L625" s="3" t="s">
        <v>293</v>
      </c>
    </row>
    <row r="626" spans="1:12" ht="21.75" hidden="1" customHeight="1" x14ac:dyDescent="0.35">
      <c r="A626" s="145" t="s">
        <v>1965</v>
      </c>
      <c r="B626" s="146" t="s">
        <v>2386</v>
      </c>
      <c r="C626" s="146"/>
      <c r="D626" s="147">
        <v>45397</v>
      </c>
      <c r="E626" s="148">
        <v>15362000</v>
      </c>
      <c r="F626" s="44">
        <f t="shared" si="34"/>
        <v>1228960</v>
      </c>
      <c r="G626" s="149">
        <f t="shared" si="35"/>
        <v>16590960</v>
      </c>
      <c r="H626" s="149">
        <v>16590960</v>
      </c>
      <c r="I626" s="150">
        <f t="shared" si="33"/>
        <v>0</v>
      </c>
      <c r="J626" s="151">
        <v>45460</v>
      </c>
      <c r="K626" s="3">
        <v>9103348472</v>
      </c>
      <c r="L626" s="3" t="s">
        <v>293</v>
      </c>
    </row>
    <row r="627" spans="1:12" ht="21.75" hidden="1" customHeight="1" x14ac:dyDescent="0.35">
      <c r="A627" s="145" t="s">
        <v>1920</v>
      </c>
      <c r="B627" s="146" t="s">
        <v>2387</v>
      </c>
      <c r="C627" s="146"/>
      <c r="D627" s="147">
        <v>45392</v>
      </c>
      <c r="E627" s="148">
        <v>37404500</v>
      </c>
      <c r="F627" s="44">
        <f t="shared" si="34"/>
        <v>2992360</v>
      </c>
      <c r="G627" s="149">
        <f t="shared" si="35"/>
        <v>40396860</v>
      </c>
      <c r="H627" s="149">
        <v>40396860</v>
      </c>
      <c r="I627" s="150">
        <f t="shared" si="33"/>
        <v>0</v>
      </c>
      <c r="J627" s="151">
        <v>45460</v>
      </c>
      <c r="K627" s="3">
        <v>9103304367</v>
      </c>
      <c r="L627" s="3" t="s">
        <v>293</v>
      </c>
    </row>
    <row r="628" spans="1:12" ht="21.75" hidden="1" customHeight="1" x14ac:dyDescent="0.35">
      <c r="A628" s="145" t="s">
        <v>1926</v>
      </c>
      <c r="B628" s="146" t="s">
        <v>2388</v>
      </c>
      <c r="C628" s="146"/>
      <c r="D628" s="147">
        <v>45396</v>
      </c>
      <c r="E628" s="148">
        <v>9247000</v>
      </c>
      <c r="F628" s="44">
        <f t="shared" si="34"/>
        <v>739760</v>
      </c>
      <c r="G628" s="149">
        <f t="shared" si="35"/>
        <v>9986760</v>
      </c>
      <c r="H628" s="149">
        <v>9986760</v>
      </c>
      <c r="I628" s="150">
        <f t="shared" si="33"/>
        <v>0</v>
      </c>
      <c r="J628" s="151">
        <v>45460</v>
      </c>
      <c r="K628" s="3">
        <v>9103324824</v>
      </c>
      <c r="L628" s="3" t="s">
        <v>293</v>
      </c>
    </row>
    <row r="629" spans="1:12" ht="21.75" hidden="1" customHeight="1" x14ac:dyDescent="0.35">
      <c r="A629" s="145" t="s">
        <v>1888</v>
      </c>
      <c r="B629" s="146" t="s">
        <v>2389</v>
      </c>
      <c r="C629" s="146"/>
      <c r="D629" s="147">
        <v>45395</v>
      </c>
      <c r="E629" s="148">
        <v>250000</v>
      </c>
      <c r="F629" s="44">
        <f t="shared" si="34"/>
        <v>20000</v>
      </c>
      <c r="G629" s="149">
        <f t="shared" si="35"/>
        <v>270000</v>
      </c>
      <c r="H629" s="149">
        <v>270000</v>
      </c>
      <c r="I629" s="150">
        <f t="shared" si="33"/>
        <v>0</v>
      </c>
      <c r="J629" s="151">
        <v>45460</v>
      </c>
      <c r="K629" s="3">
        <v>9103526848</v>
      </c>
      <c r="L629" s="3" t="s">
        <v>293</v>
      </c>
    </row>
    <row r="630" spans="1:12" ht="21.75" hidden="1" customHeight="1" x14ac:dyDescent="0.35">
      <c r="A630" s="145" t="s">
        <v>1809</v>
      </c>
      <c r="B630" s="146" t="s">
        <v>2390</v>
      </c>
      <c r="C630" s="146"/>
      <c r="D630" s="147">
        <v>45398</v>
      </c>
      <c r="E630" s="148">
        <v>7026000</v>
      </c>
      <c r="F630" s="44">
        <f t="shared" si="34"/>
        <v>562080</v>
      </c>
      <c r="G630" s="149">
        <f t="shared" si="35"/>
        <v>7588080</v>
      </c>
      <c r="H630" s="149">
        <v>7588080</v>
      </c>
      <c r="I630" s="150">
        <f t="shared" si="33"/>
        <v>0</v>
      </c>
      <c r="J630" s="151">
        <v>45460</v>
      </c>
      <c r="K630" s="3">
        <v>9103578663</v>
      </c>
    </row>
    <row r="631" spans="1:12" ht="21.75" hidden="1" customHeight="1" x14ac:dyDescent="0.35">
      <c r="A631" s="145" t="s">
        <v>2391</v>
      </c>
      <c r="B631" s="146" t="s">
        <v>2392</v>
      </c>
      <c r="C631" s="146"/>
      <c r="D631" s="147">
        <v>45398</v>
      </c>
      <c r="E631" s="148">
        <v>8763000</v>
      </c>
      <c r="F631" s="44">
        <f t="shared" si="34"/>
        <v>701040</v>
      </c>
      <c r="G631" s="149">
        <f t="shared" si="35"/>
        <v>9464040</v>
      </c>
      <c r="H631" s="149">
        <v>9464040</v>
      </c>
      <c r="I631" s="150">
        <f t="shared" si="33"/>
        <v>0</v>
      </c>
      <c r="J631" s="151">
        <v>45460</v>
      </c>
      <c r="K631" s="3">
        <v>9103558786</v>
      </c>
    </row>
    <row r="632" spans="1:12" ht="21.75" hidden="1" customHeight="1" x14ac:dyDescent="0.35">
      <c r="A632" s="145" t="s">
        <v>1914</v>
      </c>
      <c r="B632" s="146" t="s">
        <v>2393</v>
      </c>
      <c r="C632" s="146"/>
      <c r="D632" s="147">
        <v>45408</v>
      </c>
      <c r="E632" s="148">
        <v>442000</v>
      </c>
      <c r="F632" s="44">
        <f t="shared" si="34"/>
        <v>35360</v>
      </c>
      <c r="G632" s="149">
        <f t="shared" si="35"/>
        <v>477360</v>
      </c>
      <c r="H632" s="149">
        <v>477360</v>
      </c>
      <c r="I632" s="150">
        <f t="shared" si="33"/>
        <v>0</v>
      </c>
      <c r="J632" s="151">
        <v>45460</v>
      </c>
      <c r="K632" s="3">
        <v>9103533751</v>
      </c>
    </row>
    <row r="633" spans="1:12" ht="21.75" hidden="1" customHeight="1" x14ac:dyDescent="0.35">
      <c r="A633" s="145" t="s">
        <v>1683</v>
      </c>
      <c r="B633" s="146" t="s">
        <v>2394</v>
      </c>
      <c r="C633" s="146"/>
      <c r="D633" s="147">
        <v>45401</v>
      </c>
      <c r="E633" s="148">
        <v>15674618</v>
      </c>
      <c r="F633" s="44">
        <f t="shared" si="34"/>
        <v>1253969.44</v>
      </c>
      <c r="G633" s="149">
        <f t="shared" si="35"/>
        <v>16928587.440000001</v>
      </c>
      <c r="H633" s="149">
        <v>16928587.440000001</v>
      </c>
      <c r="I633" s="150">
        <f t="shared" si="33"/>
        <v>0</v>
      </c>
      <c r="J633" s="151">
        <v>45460</v>
      </c>
    </row>
    <row r="634" spans="1:12" ht="21.75" hidden="1" customHeight="1" x14ac:dyDescent="0.35">
      <c r="A634" s="145" t="s">
        <v>1683</v>
      </c>
      <c r="B634" s="146" t="s">
        <v>2395</v>
      </c>
      <c r="C634" s="146"/>
      <c r="D634" s="147">
        <v>45429</v>
      </c>
      <c r="E634" s="148">
        <v>10055695</v>
      </c>
      <c r="F634" s="44">
        <f t="shared" si="34"/>
        <v>804455.6</v>
      </c>
      <c r="G634" s="149">
        <f t="shared" si="35"/>
        <v>10860150.6</v>
      </c>
      <c r="H634" s="149">
        <v>10860150.6</v>
      </c>
      <c r="I634" s="150">
        <f t="shared" si="33"/>
        <v>0</v>
      </c>
      <c r="J634" s="151">
        <v>45460</v>
      </c>
    </row>
    <row r="635" spans="1:12" ht="21.75" hidden="1" customHeight="1" x14ac:dyDescent="0.35">
      <c r="A635" s="145" t="s">
        <v>1683</v>
      </c>
      <c r="B635" s="146" t="s">
        <v>2396</v>
      </c>
      <c r="C635" s="146"/>
      <c r="D635" s="147">
        <v>45462</v>
      </c>
      <c r="E635" s="148">
        <v>24164010</v>
      </c>
      <c r="F635" s="44">
        <f t="shared" si="34"/>
        <v>1933120.8</v>
      </c>
      <c r="G635" s="149">
        <f t="shared" si="35"/>
        <v>26097130.800000001</v>
      </c>
      <c r="H635" s="149">
        <f>E635+F635</f>
        <v>26097130.800000001</v>
      </c>
      <c r="I635" s="150">
        <f t="shared" si="33"/>
        <v>0</v>
      </c>
      <c r="J635" s="151">
        <v>45468</v>
      </c>
    </row>
    <row r="636" spans="1:12" ht="21.75" hidden="1" customHeight="1" x14ac:dyDescent="0.35">
      <c r="A636" s="145" t="s">
        <v>1760</v>
      </c>
      <c r="B636" s="146" t="s">
        <v>2397</v>
      </c>
      <c r="C636" s="146"/>
      <c r="D636" s="147">
        <v>45465</v>
      </c>
      <c r="E636" s="148">
        <v>546000</v>
      </c>
      <c r="F636" s="44">
        <f t="shared" si="34"/>
        <v>43680</v>
      </c>
      <c r="G636" s="149">
        <f t="shared" si="35"/>
        <v>589680</v>
      </c>
      <c r="H636" s="149">
        <v>589680</v>
      </c>
      <c r="I636" s="150">
        <f t="shared" si="33"/>
        <v>0</v>
      </c>
      <c r="J636" s="151">
        <v>45519</v>
      </c>
    </row>
    <row r="637" spans="1:12" ht="21.75" hidden="1" customHeight="1" x14ac:dyDescent="0.35">
      <c r="A637" s="145" t="s">
        <v>1783</v>
      </c>
      <c r="B637" s="146" t="s">
        <v>2398</v>
      </c>
      <c r="C637" s="146"/>
      <c r="D637" s="147">
        <v>45469</v>
      </c>
      <c r="E637" s="148">
        <v>766000</v>
      </c>
      <c r="F637" s="44">
        <f t="shared" si="34"/>
        <v>61280</v>
      </c>
      <c r="G637" s="149">
        <f t="shared" si="35"/>
        <v>827280</v>
      </c>
      <c r="H637" s="149">
        <v>827280</v>
      </c>
      <c r="I637" s="150">
        <f t="shared" si="33"/>
        <v>0</v>
      </c>
      <c r="J637" s="151">
        <v>45519</v>
      </c>
    </row>
    <row r="638" spans="1:12" ht="21.75" hidden="1" customHeight="1" x14ac:dyDescent="0.35">
      <c r="A638" s="145" t="s">
        <v>1386</v>
      </c>
      <c r="B638" s="146" t="s">
        <v>2399</v>
      </c>
      <c r="C638" s="146"/>
      <c r="D638" s="147">
        <v>45492</v>
      </c>
      <c r="E638" s="148">
        <v>67000</v>
      </c>
      <c r="F638" s="44">
        <f t="shared" si="34"/>
        <v>5360</v>
      </c>
      <c r="G638" s="149">
        <f t="shared" si="35"/>
        <v>72360</v>
      </c>
      <c r="H638" s="149">
        <v>72360</v>
      </c>
      <c r="I638" s="150">
        <f t="shared" si="33"/>
        <v>0</v>
      </c>
      <c r="J638" s="151">
        <v>45519</v>
      </c>
    </row>
    <row r="639" spans="1:12" ht="21.75" hidden="1" customHeight="1" x14ac:dyDescent="0.35">
      <c r="A639" s="161" t="s">
        <v>2400</v>
      </c>
      <c r="B639" s="146" t="s">
        <v>2401</v>
      </c>
      <c r="C639" s="146"/>
      <c r="D639" s="147">
        <v>45495</v>
      </c>
      <c r="E639" s="148">
        <v>16167661</v>
      </c>
      <c r="F639" s="44">
        <f t="shared" si="34"/>
        <v>1293412.8800000001</v>
      </c>
      <c r="G639" s="149">
        <f t="shared" si="35"/>
        <v>17461073.879999999</v>
      </c>
      <c r="H639" s="149">
        <v>17461073.879999999</v>
      </c>
      <c r="I639" s="150">
        <f t="shared" si="33"/>
        <v>0</v>
      </c>
      <c r="J639" s="151">
        <v>45498</v>
      </c>
    </row>
    <row r="640" spans="1:12" ht="21.75" hidden="1" customHeight="1" x14ac:dyDescent="0.35">
      <c r="A640" s="145" t="s">
        <v>1783</v>
      </c>
      <c r="B640" s="146" t="s">
        <v>2402</v>
      </c>
      <c r="C640" s="146"/>
      <c r="D640" s="147">
        <v>45499</v>
      </c>
      <c r="E640" s="148">
        <v>960000</v>
      </c>
      <c r="F640" s="44">
        <f t="shared" si="34"/>
        <v>76800</v>
      </c>
      <c r="G640" s="149">
        <f t="shared" si="35"/>
        <v>1036800</v>
      </c>
      <c r="H640" s="149">
        <v>1036800</v>
      </c>
      <c r="I640" s="150">
        <f t="shared" si="33"/>
        <v>0</v>
      </c>
      <c r="J640" s="151">
        <v>45519</v>
      </c>
    </row>
    <row r="641" spans="1:12" ht="21.75" hidden="1" customHeight="1" x14ac:dyDescent="0.35">
      <c r="A641" s="145" t="s">
        <v>1386</v>
      </c>
      <c r="B641" s="146" t="s">
        <v>2403</v>
      </c>
      <c r="C641" s="146"/>
      <c r="D641" s="147">
        <v>45515</v>
      </c>
      <c r="E641" s="148">
        <v>40000</v>
      </c>
      <c r="F641" s="44">
        <f t="shared" si="34"/>
        <v>3200</v>
      </c>
      <c r="G641" s="149">
        <f t="shared" si="35"/>
        <v>43200</v>
      </c>
      <c r="H641" s="149">
        <v>43200</v>
      </c>
      <c r="I641" s="150">
        <f t="shared" si="33"/>
        <v>0</v>
      </c>
      <c r="J641" s="151">
        <v>45560</v>
      </c>
      <c r="K641" s="163">
        <f>H636+H637+H638+H640</f>
        <v>2526120</v>
      </c>
    </row>
    <row r="642" spans="1:12" ht="21.75" hidden="1" customHeight="1" x14ac:dyDescent="0.35">
      <c r="A642" s="145" t="s">
        <v>2404</v>
      </c>
      <c r="B642" s="146" t="s">
        <v>2405</v>
      </c>
      <c r="C642" s="146"/>
      <c r="D642" s="147">
        <v>45524</v>
      </c>
      <c r="E642" s="148">
        <v>19228885</v>
      </c>
      <c r="F642" s="44">
        <f t="shared" si="34"/>
        <v>1538310.8</v>
      </c>
      <c r="G642" s="149">
        <f t="shared" si="35"/>
        <v>20767195.800000001</v>
      </c>
      <c r="H642" s="149">
        <v>20767195.800000001</v>
      </c>
      <c r="I642" s="150">
        <f t="shared" si="33"/>
        <v>0</v>
      </c>
      <c r="J642" s="151">
        <v>45530</v>
      </c>
    </row>
    <row r="643" spans="1:12" ht="21.75" hidden="1" customHeight="1" x14ac:dyDescent="0.35">
      <c r="A643" s="145" t="s">
        <v>2406</v>
      </c>
      <c r="B643" s="146" t="s">
        <v>2407</v>
      </c>
      <c r="C643" s="146"/>
      <c r="D643" s="147">
        <v>45532</v>
      </c>
      <c r="E643" s="148">
        <v>256000</v>
      </c>
      <c r="F643" s="44">
        <f t="shared" si="34"/>
        <v>20480</v>
      </c>
      <c r="G643" s="149">
        <f t="shared" si="35"/>
        <v>276480</v>
      </c>
      <c r="H643" s="149">
        <v>276480</v>
      </c>
      <c r="I643" s="150">
        <f t="shared" si="33"/>
        <v>0</v>
      </c>
      <c r="J643" s="151">
        <v>45560</v>
      </c>
    </row>
    <row r="644" spans="1:12" ht="21.75" hidden="1" customHeight="1" x14ac:dyDescent="0.35">
      <c r="A644" s="145" t="s">
        <v>1916</v>
      </c>
      <c r="B644" s="146" t="s">
        <v>2408</v>
      </c>
      <c r="C644" s="146"/>
      <c r="D644" s="147">
        <v>45533</v>
      </c>
      <c r="E644" s="148">
        <v>192000</v>
      </c>
      <c r="F644" s="44">
        <f t="shared" si="34"/>
        <v>15360</v>
      </c>
      <c r="G644" s="149">
        <f t="shared" si="35"/>
        <v>207360</v>
      </c>
      <c r="H644" s="149">
        <v>207360</v>
      </c>
      <c r="I644" s="150">
        <f t="shared" si="33"/>
        <v>0</v>
      </c>
      <c r="J644" s="151">
        <v>45560</v>
      </c>
    </row>
    <row r="645" spans="1:12" ht="21.75" hidden="1" customHeight="1" x14ac:dyDescent="0.35">
      <c r="A645" s="145" t="s">
        <v>1894</v>
      </c>
      <c r="B645" s="146" t="s">
        <v>2409</v>
      </c>
      <c r="C645" s="146"/>
      <c r="D645" s="147">
        <v>45543</v>
      </c>
      <c r="E645" s="148">
        <v>680000</v>
      </c>
      <c r="F645" s="44">
        <f t="shared" si="34"/>
        <v>54400</v>
      </c>
      <c r="G645" s="149">
        <f t="shared" si="35"/>
        <v>734400</v>
      </c>
      <c r="H645" s="149">
        <v>734400</v>
      </c>
      <c r="I645" s="150">
        <f t="shared" si="33"/>
        <v>0</v>
      </c>
      <c r="J645" s="151">
        <v>45580</v>
      </c>
      <c r="L645" s="163">
        <f>H641+H643+H644+H648</f>
        <v>15632164.08</v>
      </c>
    </row>
    <row r="646" spans="1:12" ht="21.75" hidden="1" customHeight="1" x14ac:dyDescent="0.35">
      <c r="A646" s="145" t="s">
        <v>1950</v>
      </c>
      <c r="B646" s="146" t="s">
        <v>2410</v>
      </c>
      <c r="C646" s="146"/>
      <c r="D646" s="147">
        <v>45545</v>
      </c>
      <c r="E646" s="148">
        <v>64000</v>
      </c>
      <c r="F646" s="44">
        <f t="shared" si="34"/>
        <v>5120</v>
      </c>
      <c r="G646" s="149">
        <f t="shared" si="35"/>
        <v>69120</v>
      </c>
      <c r="H646" s="149">
        <v>69120</v>
      </c>
      <c r="I646" s="150">
        <f t="shared" si="33"/>
        <v>0</v>
      </c>
      <c r="J646" s="151">
        <v>45580</v>
      </c>
    </row>
    <row r="647" spans="1:12" ht="21.75" hidden="1" customHeight="1" x14ac:dyDescent="0.35">
      <c r="A647" s="145" t="s">
        <v>2411</v>
      </c>
      <c r="B647" s="146" t="s">
        <v>2412</v>
      </c>
      <c r="C647" s="146"/>
      <c r="D647" s="147">
        <v>45552</v>
      </c>
      <c r="E647" s="148">
        <v>1554000</v>
      </c>
      <c r="F647" s="44">
        <f t="shared" si="34"/>
        <v>124320</v>
      </c>
      <c r="G647" s="149">
        <f t="shared" si="35"/>
        <v>1678320</v>
      </c>
      <c r="H647" s="149">
        <v>1678320</v>
      </c>
      <c r="I647" s="150">
        <f t="shared" si="33"/>
        <v>0</v>
      </c>
      <c r="J647" s="151">
        <v>45580</v>
      </c>
    </row>
    <row r="648" spans="1:12" ht="21.75" hidden="1" customHeight="1" x14ac:dyDescent="0.35">
      <c r="A648" s="145" t="s">
        <v>2400</v>
      </c>
      <c r="B648" s="146" t="s">
        <v>2413</v>
      </c>
      <c r="C648" s="146"/>
      <c r="D648" s="147">
        <v>45555</v>
      </c>
      <c r="E648" s="148">
        <v>13986226</v>
      </c>
      <c r="F648" s="44">
        <f t="shared" si="34"/>
        <v>1118898.08</v>
      </c>
      <c r="G648" s="149">
        <f t="shared" si="35"/>
        <v>15105124.08</v>
      </c>
      <c r="H648" s="149">
        <v>15105124.08</v>
      </c>
      <c r="I648" s="150">
        <f t="shared" si="33"/>
        <v>0</v>
      </c>
      <c r="J648" s="151">
        <v>45560</v>
      </c>
    </row>
    <row r="649" spans="1:12" ht="21.75" hidden="1" customHeight="1" x14ac:dyDescent="0.35">
      <c r="A649" s="145" t="s">
        <v>1798</v>
      </c>
      <c r="B649" s="146" t="s">
        <v>2414</v>
      </c>
      <c r="C649" s="146"/>
      <c r="D649" s="147">
        <v>45559</v>
      </c>
      <c r="E649" s="148">
        <v>288000</v>
      </c>
      <c r="F649" s="44">
        <f t="shared" si="34"/>
        <v>23040</v>
      </c>
      <c r="G649" s="149">
        <f t="shared" si="35"/>
        <v>311040</v>
      </c>
      <c r="H649" s="149">
        <v>311040</v>
      </c>
      <c r="I649" s="150">
        <f t="shared" si="33"/>
        <v>0</v>
      </c>
      <c r="J649" s="151">
        <v>45580</v>
      </c>
    </row>
    <row r="650" spans="1:12" ht="21.75" hidden="1" customHeight="1" x14ac:dyDescent="0.35">
      <c r="A650" s="145" t="s">
        <v>1842</v>
      </c>
      <c r="B650" s="146" t="s">
        <v>2415</v>
      </c>
      <c r="C650" s="146"/>
      <c r="D650" s="147">
        <v>45560</v>
      </c>
      <c r="E650" s="148">
        <v>32000</v>
      </c>
      <c r="F650" s="44">
        <f t="shared" si="34"/>
        <v>2560</v>
      </c>
      <c r="G650" s="149">
        <f t="shared" si="35"/>
        <v>34560</v>
      </c>
      <c r="H650" s="149">
        <v>34560</v>
      </c>
      <c r="I650" s="150">
        <f t="shared" ref="I650:I714" si="36">+G650-H650</f>
        <v>0</v>
      </c>
      <c r="J650" s="151">
        <v>45580</v>
      </c>
    </row>
    <row r="651" spans="1:12" ht="21.75" hidden="1" customHeight="1" x14ac:dyDescent="0.35">
      <c r="A651" s="145" t="s">
        <v>1620</v>
      </c>
      <c r="B651" s="146" t="s">
        <v>2416</v>
      </c>
      <c r="C651" s="146"/>
      <c r="D651" s="147">
        <v>45559</v>
      </c>
      <c r="E651" s="148">
        <v>626000</v>
      </c>
      <c r="F651" s="44">
        <f t="shared" si="34"/>
        <v>50080</v>
      </c>
      <c r="G651" s="149">
        <f t="shared" si="35"/>
        <v>676080</v>
      </c>
      <c r="H651" s="149">
        <v>676080</v>
      </c>
      <c r="I651" s="150">
        <f t="shared" si="36"/>
        <v>0</v>
      </c>
      <c r="J651" s="151">
        <v>45580</v>
      </c>
    </row>
    <row r="652" spans="1:12" ht="21.75" hidden="1" customHeight="1" x14ac:dyDescent="0.35">
      <c r="A652" s="145" t="s">
        <v>1778</v>
      </c>
      <c r="B652" s="146" t="s">
        <v>2417</v>
      </c>
      <c r="C652" s="146"/>
      <c r="D652" s="147">
        <v>45563</v>
      </c>
      <c r="E652" s="148">
        <v>64000</v>
      </c>
      <c r="F652" s="44">
        <f t="shared" si="34"/>
        <v>5120</v>
      </c>
      <c r="G652" s="149">
        <f t="shared" si="35"/>
        <v>69120</v>
      </c>
      <c r="H652" s="149">
        <v>69120</v>
      </c>
      <c r="I652" s="150">
        <f t="shared" si="36"/>
        <v>0</v>
      </c>
      <c r="J652" s="151">
        <v>45580</v>
      </c>
    </row>
    <row r="653" spans="1:12" ht="21.75" hidden="1" customHeight="1" x14ac:dyDescent="0.35">
      <c r="A653" s="145" t="s">
        <v>1760</v>
      </c>
      <c r="B653" s="146" t="s">
        <v>1823</v>
      </c>
      <c r="C653" s="146"/>
      <c r="D653" s="147">
        <v>45564</v>
      </c>
      <c r="E653" s="148">
        <v>416000</v>
      </c>
      <c r="F653" s="44">
        <f t="shared" si="34"/>
        <v>33280</v>
      </c>
      <c r="G653" s="149">
        <f t="shared" si="35"/>
        <v>449280</v>
      </c>
      <c r="H653" s="149">
        <v>449280</v>
      </c>
      <c r="I653" s="150">
        <f t="shared" si="36"/>
        <v>0</v>
      </c>
      <c r="J653" s="151">
        <v>45580</v>
      </c>
    </row>
    <row r="654" spans="1:12" ht="21.75" hidden="1" customHeight="1" x14ac:dyDescent="0.35">
      <c r="A654" s="145" t="s">
        <v>1903</v>
      </c>
      <c r="B654" s="146" t="s">
        <v>2428</v>
      </c>
      <c r="C654" s="146"/>
      <c r="D654" s="147">
        <v>45570</v>
      </c>
      <c r="E654" s="148">
        <v>52000</v>
      </c>
      <c r="F654" s="44">
        <f t="shared" si="34"/>
        <v>4160</v>
      </c>
      <c r="G654" s="149">
        <f t="shared" si="35"/>
        <v>56160</v>
      </c>
      <c r="H654" s="149">
        <v>56160</v>
      </c>
      <c r="I654" s="150">
        <f t="shared" si="36"/>
        <v>0</v>
      </c>
      <c r="J654" s="151">
        <v>45611</v>
      </c>
    </row>
    <row r="655" spans="1:12" ht="21.75" hidden="1" customHeight="1" x14ac:dyDescent="0.35">
      <c r="A655" s="145" t="s">
        <v>2429</v>
      </c>
      <c r="B655" s="146" t="s">
        <v>2430</v>
      </c>
      <c r="C655" s="146"/>
      <c r="D655" s="147">
        <v>45581</v>
      </c>
      <c r="E655" s="148">
        <v>208000</v>
      </c>
      <c r="F655" s="44">
        <f t="shared" si="34"/>
        <v>16640</v>
      </c>
      <c r="G655" s="149">
        <f t="shared" si="35"/>
        <v>224640</v>
      </c>
      <c r="H655" s="149">
        <v>224640</v>
      </c>
      <c r="I655" s="150">
        <f t="shared" si="36"/>
        <v>0</v>
      </c>
      <c r="J655" s="151">
        <v>45611</v>
      </c>
    </row>
    <row r="656" spans="1:12" ht="21.75" hidden="1" customHeight="1" x14ac:dyDescent="0.35">
      <c r="A656" s="145" t="s">
        <v>1692</v>
      </c>
      <c r="B656" s="146" t="s">
        <v>2431</v>
      </c>
      <c r="C656" s="146"/>
      <c r="D656" s="147">
        <v>45581</v>
      </c>
      <c r="E656" s="148">
        <v>400000</v>
      </c>
      <c r="F656" s="44">
        <f t="shared" si="34"/>
        <v>32000</v>
      </c>
      <c r="G656" s="149">
        <f t="shared" si="35"/>
        <v>432000</v>
      </c>
      <c r="H656" s="149">
        <v>432000</v>
      </c>
      <c r="I656" s="150">
        <f t="shared" si="36"/>
        <v>0</v>
      </c>
      <c r="J656" s="151">
        <v>45611</v>
      </c>
    </row>
    <row r="657" spans="1:12" ht="21.75" hidden="1" customHeight="1" x14ac:dyDescent="0.35">
      <c r="A657" s="145" t="s">
        <v>1755</v>
      </c>
      <c r="B657" s="146" t="s">
        <v>2432</v>
      </c>
      <c r="C657" s="146"/>
      <c r="D657" s="147">
        <v>45581</v>
      </c>
      <c r="E657" s="148">
        <v>320000</v>
      </c>
      <c r="F657" s="44">
        <f t="shared" si="34"/>
        <v>25600</v>
      </c>
      <c r="G657" s="149">
        <f t="shared" si="35"/>
        <v>345600</v>
      </c>
      <c r="H657" s="149">
        <v>345600</v>
      </c>
      <c r="I657" s="150">
        <f t="shared" si="36"/>
        <v>0</v>
      </c>
      <c r="J657" s="151">
        <v>45611</v>
      </c>
    </row>
    <row r="658" spans="1:12" ht="21.75" hidden="1" customHeight="1" x14ac:dyDescent="0.35">
      <c r="A658" s="145" t="s">
        <v>2433</v>
      </c>
      <c r="B658" s="146" t="s">
        <v>2434</v>
      </c>
      <c r="C658" s="146"/>
      <c r="D658" s="147">
        <v>45587</v>
      </c>
      <c r="E658" s="148">
        <v>2400000</v>
      </c>
      <c r="F658" s="44">
        <f t="shared" si="34"/>
        <v>192000</v>
      </c>
      <c r="G658" s="149">
        <f t="shared" si="35"/>
        <v>2592000</v>
      </c>
      <c r="H658" s="149">
        <v>2592000</v>
      </c>
      <c r="I658" s="150">
        <f t="shared" si="36"/>
        <v>0</v>
      </c>
      <c r="J658" s="151">
        <v>45590</v>
      </c>
    </row>
    <row r="659" spans="1:12" ht="21.75" hidden="1" customHeight="1" x14ac:dyDescent="0.35">
      <c r="A659" s="145" t="s">
        <v>2435</v>
      </c>
      <c r="B659" s="146" t="s">
        <v>2436</v>
      </c>
      <c r="C659" s="146"/>
      <c r="D659" s="147">
        <v>45587</v>
      </c>
      <c r="E659" s="148">
        <v>21339919</v>
      </c>
      <c r="F659" s="44">
        <f t="shared" si="34"/>
        <v>1707193.52</v>
      </c>
      <c r="G659" s="149">
        <f t="shared" si="35"/>
        <v>23047112.52</v>
      </c>
      <c r="H659" s="149">
        <v>23047112.52</v>
      </c>
      <c r="I659" s="150">
        <f t="shared" si="36"/>
        <v>0</v>
      </c>
      <c r="J659" s="151">
        <v>45590</v>
      </c>
    </row>
    <row r="660" spans="1:12" ht="21.75" hidden="1" customHeight="1" x14ac:dyDescent="0.35">
      <c r="A660" s="145" t="s">
        <v>1516</v>
      </c>
      <c r="B660" s="146" t="s">
        <v>2450</v>
      </c>
      <c r="C660" s="146"/>
      <c r="D660" s="147">
        <v>45592</v>
      </c>
      <c r="E660" s="148">
        <v>360000</v>
      </c>
      <c r="F660" s="44">
        <f t="shared" si="34"/>
        <v>28800</v>
      </c>
      <c r="G660" s="149">
        <f t="shared" si="35"/>
        <v>388800</v>
      </c>
      <c r="H660" s="149">
        <v>388800</v>
      </c>
      <c r="I660" s="150">
        <f t="shared" si="36"/>
        <v>0</v>
      </c>
      <c r="J660" s="151">
        <v>45611</v>
      </c>
    </row>
    <row r="661" spans="1:12" ht="21.75" hidden="1" customHeight="1" x14ac:dyDescent="0.35">
      <c r="A661" s="145" t="s">
        <v>2488</v>
      </c>
      <c r="B661" s="146" t="s">
        <v>2489</v>
      </c>
      <c r="C661" s="146"/>
      <c r="D661" s="147">
        <v>45608</v>
      </c>
      <c r="E661" s="148">
        <v>21210846</v>
      </c>
      <c r="F661" s="44">
        <f t="shared" si="34"/>
        <v>1696867.68</v>
      </c>
      <c r="G661" s="149">
        <f t="shared" si="35"/>
        <v>22907713.68</v>
      </c>
      <c r="H661" s="149">
        <v>22907713.68</v>
      </c>
      <c r="I661" s="150">
        <f t="shared" si="36"/>
        <v>0</v>
      </c>
      <c r="J661" s="151">
        <v>45611</v>
      </c>
    </row>
    <row r="662" spans="1:12" ht="21.75" hidden="1" customHeight="1" x14ac:dyDescent="0.35">
      <c r="A662" s="145" t="s">
        <v>1469</v>
      </c>
      <c r="B662" s="146" t="s">
        <v>2504</v>
      </c>
      <c r="C662" s="146"/>
      <c r="D662" s="147">
        <v>45605</v>
      </c>
      <c r="E662" s="148">
        <v>192000</v>
      </c>
      <c r="F662" s="44">
        <f t="shared" si="34"/>
        <v>15360</v>
      </c>
      <c r="G662" s="149">
        <f t="shared" si="35"/>
        <v>207360</v>
      </c>
      <c r="H662" s="149">
        <v>207360</v>
      </c>
      <c r="I662" s="150">
        <f t="shared" si="36"/>
        <v>0</v>
      </c>
      <c r="J662" s="151">
        <v>45641</v>
      </c>
    </row>
    <row r="663" spans="1:12" ht="21.75" hidden="1" customHeight="1" x14ac:dyDescent="0.35">
      <c r="A663" s="145" t="s">
        <v>1735</v>
      </c>
      <c r="B663" s="146" t="s">
        <v>2567</v>
      </c>
      <c r="C663" s="146"/>
      <c r="D663" s="147">
        <v>45625</v>
      </c>
      <c r="E663" s="148">
        <v>160000</v>
      </c>
      <c r="F663" s="44">
        <f t="shared" si="34"/>
        <v>12800</v>
      </c>
      <c r="G663" s="149">
        <f t="shared" si="35"/>
        <v>172800</v>
      </c>
      <c r="H663" s="149">
        <v>172800</v>
      </c>
      <c r="I663" s="150">
        <f t="shared" si="36"/>
        <v>0</v>
      </c>
      <c r="J663" s="151">
        <v>45641</v>
      </c>
    </row>
    <row r="664" spans="1:12" ht="21.75" hidden="1" customHeight="1" x14ac:dyDescent="0.35">
      <c r="A664" s="145" t="s">
        <v>2568</v>
      </c>
      <c r="B664" s="146" t="s">
        <v>2569</v>
      </c>
      <c r="C664" s="146"/>
      <c r="D664" s="147">
        <v>45626</v>
      </c>
      <c r="E664" s="148">
        <v>472000</v>
      </c>
      <c r="F664" s="44">
        <f t="shared" si="34"/>
        <v>37760</v>
      </c>
      <c r="G664" s="149">
        <f t="shared" si="35"/>
        <v>509760</v>
      </c>
      <c r="H664" s="149">
        <v>509760</v>
      </c>
      <c r="I664" s="150">
        <f t="shared" si="36"/>
        <v>0</v>
      </c>
      <c r="J664" s="151">
        <v>45641</v>
      </c>
    </row>
    <row r="665" spans="1:12" ht="21.75" hidden="1" customHeight="1" x14ac:dyDescent="0.35">
      <c r="A665" s="145" t="s">
        <v>2570</v>
      </c>
      <c r="B665" s="146" t="s">
        <v>2571</v>
      </c>
      <c r="C665" s="146"/>
      <c r="D665" s="147">
        <v>45625</v>
      </c>
      <c r="E665" s="148">
        <v>402000</v>
      </c>
      <c r="F665" s="44">
        <f t="shared" si="34"/>
        <v>32160</v>
      </c>
      <c r="G665" s="149">
        <f t="shared" si="35"/>
        <v>434160</v>
      </c>
      <c r="H665" s="149">
        <v>434160</v>
      </c>
      <c r="I665" s="150">
        <f t="shared" si="36"/>
        <v>0</v>
      </c>
      <c r="J665" s="151">
        <v>45641</v>
      </c>
    </row>
    <row r="666" spans="1:12" ht="21.75" hidden="1" customHeight="1" x14ac:dyDescent="0.35">
      <c r="A666" s="145" t="s">
        <v>2572</v>
      </c>
      <c r="B666" s="146" t="s">
        <v>2573</v>
      </c>
      <c r="C666" s="146"/>
      <c r="D666" s="147">
        <v>45610</v>
      </c>
      <c r="E666" s="148">
        <v>1160000</v>
      </c>
      <c r="F666" s="44">
        <f t="shared" si="34"/>
        <v>92800</v>
      </c>
      <c r="G666" s="149">
        <f t="shared" si="35"/>
        <v>1252800</v>
      </c>
      <c r="H666" s="149">
        <v>1252800</v>
      </c>
      <c r="I666" s="150">
        <f t="shared" si="36"/>
        <v>0</v>
      </c>
      <c r="J666" s="151">
        <v>45641</v>
      </c>
    </row>
    <row r="667" spans="1:12" ht="21.75" hidden="1" customHeight="1" x14ac:dyDescent="0.35">
      <c r="A667" s="145" t="s">
        <v>2574</v>
      </c>
      <c r="B667" s="146" t="s">
        <v>2575</v>
      </c>
      <c r="C667" s="146"/>
      <c r="D667" s="147">
        <v>45630</v>
      </c>
      <c r="E667" s="148">
        <v>33500</v>
      </c>
      <c r="F667" s="44">
        <f t="shared" si="34"/>
        <v>2680</v>
      </c>
      <c r="G667" s="149">
        <f t="shared" si="35"/>
        <v>36180</v>
      </c>
      <c r="H667" s="149">
        <v>36180</v>
      </c>
      <c r="I667" s="150">
        <f t="shared" si="36"/>
        <v>0</v>
      </c>
      <c r="J667" s="151">
        <v>45731</v>
      </c>
    </row>
    <row r="668" spans="1:12" ht="21.75" hidden="1" customHeight="1" x14ac:dyDescent="0.35">
      <c r="A668" s="145" t="s">
        <v>2576</v>
      </c>
      <c r="B668" s="146" t="s">
        <v>2577</v>
      </c>
      <c r="C668" s="146"/>
      <c r="D668" s="147">
        <v>45632</v>
      </c>
      <c r="E668" s="148">
        <v>920000</v>
      </c>
      <c r="F668" s="44">
        <f t="shared" si="34"/>
        <v>73600</v>
      </c>
      <c r="G668" s="149">
        <f t="shared" si="35"/>
        <v>993600</v>
      </c>
      <c r="H668" s="149">
        <v>993600</v>
      </c>
      <c r="I668" s="150">
        <f t="shared" si="36"/>
        <v>0</v>
      </c>
      <c r="J668" s="151">
        <v>45731</v>
      </c>
    </row>
    <row r="669" spans="1:12" ht="21.75" hidden="1" customHeight="1" x14ac:dyDescent="0.35">
      <c r="A669" s="145" t="s">
        <v>2579</v>
      </c>
      <c r="B669" s="146" t="s">
        <v>2578</v>
      </c>
      <c r="C669" s="146"/>
      <c r="D669" s="147">
        <v>45634</v>
      </c>
      <c r="E669" s="148">
        <v>26000</v>
      </c>
      <c r="F669" s="44">
        <f t="shared" si="34"/>
        <v>2080</v>
      </c>
      <c r="G669" s="149">
        <f t="shared" si="35"/>
        <v>28080</v>
      </c>
      <c r="H669" s="149">
        <v>28080</v>
      </c>
      <c r="I669" s="150">
        <f t="shared" si="36"/>
        <v>0</v>
      </c>
      <c r="J669" s="151">
        <v>45731</v>
      </c>
    </row>
    <row r="670" spans="1:12" ht="21.75" hidden="1" customHeight="1" x14ac:dyDescent="0.35">
      <c r="A670" s="145" t="s">
        <v>2581</v>
      </c>
      <c r="B670" s="146" t="s">
        <v>2580</v>
      </c>
      <c r="C670" s="146"/>
      <c r="D670" s="147">
        <v>45636</v>
      </c>
      <c r="E670" s="148">
        <v>46596546</v>
      </c>
      <c r="F670" s="44">
        <f t="shared" si="34"/>
        <v>3727723.68</v>
      </c>
      <c r="G670" s="149">
        <f t="shared" si="35"/>
        <v>50324269.68</v>
      </c>
      <c r="H670" s="149">
        <v>50324269.68</v>
      </c>
      <c r="I670" s="150">
        <f t="shared" si="36"/>
        <v>0</v>
      </c>
      <c r="J670" s="151">
        <v>45641</v>
      </c>
    </row>
    <row r="671" spans="1:12" ht="21.75" hidden="1" customHeight="1" x14ac:dyDescent="0.35">
      <c r="A671" s="145" t="s">
        <v>2582</v>
      </c>
      <c r="B671" s="146"/>
      <c r="C671" s="146"/>
      <c r="D671" s="147"/>
      <c r="E671" s="148"/>
      <c r="F671" s="44">
        <f t="shared" si="34"/>
        <v>0</v>
      </c>
      <c r="G671" s="149">
        <v>18359365</v>
      </c>
      <c r="H671" s="149">
        <v>18359365</v>
      </c>
      <c r="I671" s="150">
        <f t="shared" si="36"/>
        <v>0</v>
      </c>
      <c r="J671" s="165">
        <v>45641</v>
      </c>
      <c r="K671" s="166">
        <f>+'05.2022-misa'!I6-'hd ghi giam'!I677-'hd ghi giam'!I676</f>
        <v>1329879654</v>
      </c>
    </row>
    <row r="672" spans="1:12" ht="21.75" hidden="1" customHeight="1" x14ac:dyDescent="0.35">
      <c r="A672" s="145" t="s">
        <v>2583</v>
      </c>
      <c r="B672" s="146"/>
      <c r="C672" s="146"/>
      <c r="D672" s="147"/>
      <c r="E672" s="148"/>
      <c r="F672" s="44">
        <f t="shared" si="34"/>
        <v>0</v>
      </c>
      <c r="G672" s="149">
        <v>4731120</v>
      </c>
      <c r="H672" s="149">
        <v>4731120</v>
      </c>
      <c r="I672" s="150">
        <f t="shared" si="36"/>
        <v>0</v>
      </c>
      <c r="J672" s="165">
        <v>45641</v>
      </c>
      <c r="K672" s="167">
        <v>6267284620</v>
      </c>
      <c r="L672" s="3" t="s">
        <v>2677</v>
      </c>
    </row>
    <row r="673" spans="1:12" ht="21.75" hidden="1" customHeight="1" x14ac:dyDescent="0.35">
      <c r="A673" s="145" t="s">
        <v>2584</v>
      </c>
      <c r="B673" s="146"/>
      <c r="C673" s="146"/>
      <c r="D673" s="147"/>
      <c r="E673" s="148"/>
      <c r="F673" s="44">
        <f t="shared" ref="F673:F738" si="37">+E673*0.08</f>
        <v>0</v>
      </c>
      <c r="G673" s="149">
        <v>591373</v>
      </c>
      <c r="H673" s="149">
        <v>591373</v>
      </c>
      <c r="I673" s="150">
        <f t="shared" si="36"/>
        <v>0</v>
      </c>
      <c r="J673" s="165">
        <v>45641</v>
      </c>
      <c r="K673" s="167">
        <f>+K672-K671</f>
        <v>4937404966</v>
      </c>
      <c r="L673" s="3" t="s">
        <v>2678</v>
      </c>
    </row>
    <row r="674" spans="1:12" ht="21.75" hidden="1" customHeight="1" x14ac:dyDescent="0.35">
      <c r="A674" s="145" t="s">
        <v>2673</v>
      </c>
      <c r="B674" s="146" t="s">
        <v>2671</v>
      </c>
      <c r="C674" s="146"/>
      <c r="D674" s="147">
        <v>45699</v>
      </c>
      <c r="E674" s="148">
        <v>48386239</v>
      </c>
      <c r="F674" s="44">
        <f t="shared" si="37"/>
        <v>3870899.12</v>
      </c>
      <c r="G674" s="149">
        <f t="shared" ref="G674:G738" si="38">+F674+E674</f>
        <v>52257138.119999997</v>
      </c>
      <c r="H674" s="149">
        <v>52257138.119999997</v>
      </c>
      <c r="I674" s="150">
        <f t="shared" si="36"/>
        <v>0</v>
      </c>
      <c r="J674" s="151">
        <v>45731</v>
      </c>
    </row>
    <row r="675" spans="1:12" ht="21.75" hidden="1" customHeight="1" x14ac:dyDescent="0.35">
      <c r="A675" s="145" t="s">
        <v>2674</v>
      </c>
      <c r="B675" s="146" t="s">
        <v>2672</v>
      </c>
      <c r="C675" s="146"/>
      <c r="D675" s="147">
        <v>45698</v>
      </c>
      <c r="E675" s="148">
        <v>14943225</v>
      </c>
      <c r="F675" s="44">
        <f t="shared" si="37"/>
        <v>1195458</v>
      </c>
      <c r="G675" s="149">
        <f t="shared" si="38"/>
        <v>16138683</v>
      </c>
      <c r="H675" s="149">
        <v>16138683</v>
      </c>
      <c r="I675" s="150">
        <f t="shared" si="36"/>
        <v>0</v>
      </c>
      <c r="J675" s="151">
        <v>45731</v>
      </c>
    </row>
    <row r="676" spans="1:12" ht="21.75" hidden="1" customHeight="1" x14ac:dyDescent="0.35">
      <c r="A676" s="145" t="s">
        <v>1367</v>
      </c>
      <c r="B676" s="146" t="s">
        <v>2675</v>
      </c>
      <c r="C676" s="146"/>
      <c r="D676" s="147">
        <v>45697</v>
      </c>
      <c r="E676" s="148">
        <v>1215000</v>
      </c>
      <c r="F676" s="44">
        <f t="shared" si="37"/>
        <v>97200</v>
      </c>
      <c r="G676" s="149">
        <f t="shared" si="38"/>
        <v>1312200</v>
      </c>
      <c r="H676" s="149">
        <v>1312200</v>
      </c>
      <c r="I676" s="150">
        <f t="shared" si="36"/>
        <v>0</v>
      </c>
      <c r="J676" s="151">
        <v>45731</v>
      </c>
    </row>
    <row r="677" spans="1:12" ht="21.75" hidden="1" customHeight="1" x14ac:dyDescent="0.35">
      <c r="A677" s="145" t="s">
        <v>1798</v>
      </c>
      <c r="B677" s="146" t="s">
        <v>2676</v>
      </c>
      <c r="C677" s="146"/>
      <c r="D677" s="147">
        <v>45693</v>
      </c>
      <c r="E677" s="148">
        <v>8933000</v>
      </c>
      <c r="F677" s="44">
        <f t="shared" si="37"/>
        <v>714640</v>
      </c>
      <c r="G677" s="149">
        <f t="shared" si="38"/>
        <v>9647640</v>
      </c>
      <c r="H677" s="149">
        <v>9647640</v>
      </c>
      <c r="I677" s="150">
        <f t="shared" si="36"/>
        <v>0</v>
      </c>
      <c r="J677" s="151">
        <v>45731</v>
      </c>
    </row>
    <row r="678" spans="1:12" ht="21.75" hidden="1" customHeight="1" x14ac:dyDescent="0.35">
      <c r="A678" s="168" t="s">
        <v>2196</v>
      </c>
      <c r="B678" s="146" t="s">
        <v>2679</v>
      </c>
      <c r="C678" s="146"/>
      <c r="D678" s="147">
        <v>45705</v>
      </c>
      <c r="E678" s="148">
        <v>5022000</v>
      </c>
      <c r="F678" s="44">
        <f t="shared" si="37"/>
        <v>401760</v>
      </c>
      <c r="G678" s="149">
        <f t="shared" si="38"/>
        <v>5423760</v>
      </c>
      <c r="H678" s="149">
        <v>5423760</v>
      </c>
      <c r="I678" s="150">
        <f t="shared" si="36"/>
        <v>0</v>
      </c>
      <c r="J678" s="151">
        <v>45792</v>
      </c>
    </row>
    <row r="679" spans="1:12" ht="21.75" hidden="1" customHeight="1" x14ac:dyDescent="0.35">
      <c r="A679" s="168" t="s">
        <v>2193</v>
      </c>
      <c r="B679" s="146" t="s">
        <v>2680</v>
      </c>
      <c r="C679" s="146"/>
      <c r="D679" s="147">
        <v>45698</v>
      </c>
      <c r="E679" s="148">
        <v>6003000</v>
      </c>
      <c r="F679" s="44">
        <f t="shared" si="37"/>
        <v>480240</v>
      </c>
      <c r="G679" s="149">
        <f t="shared" si="38"/>
        <v>6483240</v>
      </c>
      <c r="H679" s="149">
        <v>6483240</v>
      </c>
      <c r="I679" s="150">
        <f t="shared" si="36"/>
        <v>0</v>
      </c>
      <c r="J679" s="151">
        <v>45731</v>
      </c>
    </row>
    <row r="680" spans="1:12" ht="21.75" hidden="1" customHeight="1" x14ac:dyDescent="0.35">
      <c r="A680" s="168" t="s">
        <v>1901</v>
      </c>
      <c r="B680" s="146" t="s">
        <v>2681</v>
      </c>
      <c r="C680" s="146"/>
      <c r="D680" s="147">
        <v>45698</v>
      </c>
      <c r="E680" s="148">
        <v>24960000</v>
      </c>
      <c r="F680" s="44">
        <f t="shared" si="37"/>
        <v>1996800</v>
      </c>
      <c r="G680" s="149">
        <f t="shared" si="38"/>
        <v>26956800</v>
      </c>
      <c r="H680" s="149">
        <v>26956800</v>
      </c>
      <c r="I680" s="150">
        <f t="shared" si="36"/>
        <v>0</v>
      </c>
      <c r="J680" s="151">
        <v>45731</v>
      </c>
    </row>
    <row r="681" spans="1:12" ht="21.75" hidden="1" customHeight="1" x14ac:dyDescent="0.35">
      <c r="A681" s="168" t="s">
        <v>1406</v>
      </c>
      <c r="B681" s="146" t="s">
        <v>1784</v>
      </c>
      <c r="C681" s="146"/>
      <c r="D681" s="147">
        <v>45707</v>
      </c>
      <c r="E681" s="148">
        <v>2226000</v>
      </c>
      <c r="F681" s="44">
        <f t="shared" si="37"/>
        <v>178080</v>
      </c>
      <c r="G681" s="149">
        <f t="shared" si="38"/>
        <v>2404080</v>
      </c>
      <c r="H681" s="149">
        <v>2404080</v>
      </c>
      <c r="I681" s="150">
        <f t="shared" si="36"/>
        <v>0</v>
      </c>
      <c r="J681" s="151">
        <v>45792</v>
      </c>
    </row>
    <row r="682" spans="1:12" ht="21.75" hidden="1" customHeight="1" x14ac:dyDescent="0.35">
      <c r="A682" s="168" t="s">
        <v>1885</v>
      </c>
      <c r="B682" s="146" t="s">
        <v>2682</v>
      </c>
      <c r="C682" s="146"/>
      <c r="D682" s="147">
        <v>45696</v>
      </c>
      <c r="E682" s="148">
        <v>18840000</v>
      </c>
      <c r="F682" s="44">
        <f t="shared" si="37"/>
        <v>1507200</v>
      </c>
      <c r="G682" s="149">
        <f t="shared" si="38"/>
        <v>20347200</v>
      </c>
      <c r="H682" s="149">
        <v>20347200</v>
      </c>
      <c r="I682" s="150">
        <f t="shared" si="36"/>
        <v>0</v>
      </c>
      <c r="J682" s="151">
        <v>45731</v>
      </c>
    </row>
    <row r="683" spans="1:12" ht="21.75" hidden="1" customHeight="1" x14ac:dyDescent="0.35">
      <c r="A683" s="168" t="s">
        <v>1650</v>
      </c>
      <c r="B683" s="146" t="s">
        <v>2683</v>
      </c>
      <c r="C683" s="146"/>
      <c r="D683" s="147">
        <v>45705</v>
      </c>
      <c r="E683" s="148">
        <v>840000</v>
      </c>
      <c r="F683" s="44">
        <f t="shared" si="37"/>
        <v>67200</v>
      </c>
      <c r="G683" s="149">
        <f t="shared" si="38"/>
        <v>907200</v>
      </c>
      <c r="H683" s="149">
        <v>907200</v>
      </c>
      <c r="I683" s="150">
        <f t="shared" si="36"/>
        <v>0</v>
      </c>
      <c r="J683" s="151">
        <v>45792</v>
      </c>
    </row>
    <row r="684" spans="1:12" ht="21.75" hidden="1" customHeight="1" x14ac:dyDescent="0.35">
      <c r="A684" s="145" t="s">
        <v>2684</v>
      </c>
      <c r="B684" s="146" t="s">
        <v>2122</v>
      </c>
      <c r="C684" s="146"/>
      <c r="D684" s="147">
        <v>45710</v>
      </c>
      <c r="E684" s="148">
        <v>7954000</v>
      </c>
      <c r="F684" s="44">
        <f t="shared" si="37"/>
        <v>636320</v>
      </c>
      <c r="G684" s="149">
        <f t="shared" si="38"/>
        <v>8590320</v>
      </c>
      <c r="H684" s="149">
        <v>8590320</v>
      </c>
      <c r="I684" s="150">
        <f t="shared" si="36"/>
        <v>0</v>
      </c>
      <c r="J684" s="151">
        <v>45792</v>
      </c>
      <c r="K684" s="3">
        <v>9104912383</v>
      </c>
    </row>
    <row r="685" spans="1:12" ht="21.75" hidden="1" customHeight="1" x14ac:dyDescent="0.35">
      <c r="A685" s="145" t="s">
        <v>1824</v>
      </c>
      <c r="B685" s="146" t="s">
        <v>2685</v>
      </c>
      <c r="C685" s="146"/>
      <c r="D685" s="147">
        <v>45711</v>
      </c>
      <c r="E685" s="148">
        <v>12143000</v>
      </c>
      <c r="F685" s="44">
        <f t="shared" si="37"/>
        <v>971440</v>
      </c>
      <c r="G685" s="149">
        <f t="shared" si="38"/>
        <v>13114440</v>
      </c>
      <c r="H685" s="149">
        <v>13114440</v>
      </c>
      <c r="I685" s="150">
        <f t="shared" si="36"/>
        <v>0</v>
      </c>
      <c r="J685" s="151">
        <v>45792</v>
      </c>
      <c r="K685" s="3">
        <v>9104901703</v>
      </c>
    </row>
    <row r="686" spans="1:12" ht="21.75" hidden="1" customHeight="1" x14ac:dyDescent="0.35">
      <c r="A686" s="145" t="s">
        <v>1920</v>
      </c>
      <c r="B686" s="146" t="s">
        <v>2686</v>
      </c>
      <c r="C686" s="146"/>
      <c r="D686" s="147">
        <v>45710</v>
      </c>
      <c r="E686" s="148">
        <v>23342000</v>
      </c>
      <c r="F686" s="44">
        <f t="shared" si="37"/>
        <v>1867360</v>
      </c>
      <c r="G686" s="149">
        <f t="shared" si="38"/>
        <v>25209360</v>
      </c>
      <c r="H686" s="149">
        <v>25209360</v>
      </c>
      <c r="I686" s="150">
        <f t="shared" si="36"/>
        <v>0</v>
      </c>
      <c r="J686" s="151">
        <v>45792</v>
      </c>
      <c r="K686" s="3">
        <v>9104884196</v>
      </c>
    </row>
    <row r="687" spans="1:12" ht="21.75" hidden="1" customHeight="1" x14ac:dyDescent="0.35">
      <c r="A687" s="145" t="s">
        <v>2687</v>
      </c>
      <c r="B687" s="146" t="s">
        <v>2688</v>
      </c>
      <c r="C687" s="146"/>
      <c r="D687" s="147">
        <v>45709</v>
      </c>
      <c r="E687" s="148">
        <v>21592000</v>
      </c>
      <c r="F687" s="44">
        <f t="shared" si="37"/>
        <v>1727360</v>
      </c>
      <c r="G687" s="149">
        <f t="shared" si="38"/>
        <v>23319360</v>
      </c>
      <c r="H687" s="149">
        <v>23319360</v>
      </c>
      <c r="I687" s="150">
        <f t="shared" si="36"/>
        <v>0</v>
      </c>
      <c r="J687" s="151">
        <v>45792</v>
      </c>
      <c r="K687" s="3">
        <v>9104880667</v>
      </c>
    </row>
    <row r="688" spans="1:12" ht="21.75" hidden="1" customHeight="1" x14ac:dyDescent="0.35">
      <c r="A688" s="145" t="s">
        <v>1801</v>
      </c>
      <c r="B688" s="146" t="s">
        <v>2689</v>
      </c>
      <c r="C688" s="146"/>
      <c r="D688" s="147">
        <v>45709</v>
      </c>
      <c r="E688" s="148">
        <v>8162000</v>
      </c>
      <c r="F688" s="44">
        <f t="shared" si="37"/>
        <v>652960</v>
      </c>
      <c r="G688" s="149">
        <f t="shared" si="38"/>
        <v>8814960</v>
      </c>
      <c r="H688" s="149">
        <v>8814960</v>
      </c>
      <c r="I688" s="150">
        <f t="shared" si="36"/>
        <v>0</v>
      </c>
      <c r="J688" s="151">
        <v>45792</v>
      </c>
      <c r="K688" s="3">
        <v>9104900012</v>
      </c>
    </row>
    <row r="689" spans="1:11" ht="21.75" hidden="1" customHeight="1" x14ac:dyDescent="0.35">
      <c r="A689" s="145" t="s">
        <v>1760</v>
      </c>
      <c r="B689" s="146" t="s">
        <v>2690</v>
      </c>
      <c r="C689" s="146"/>
      <c r="D689" s="147">
        <v>45709</v>
      </c>
      <c r="E689" s="148">
        <v>4085000</v>
      </c>
      <c r="F689" s="44">
        <f t="shared" si="37"/>
        <v>326800</v>
      </c>
      <c r="G689" s="149">
        <f t="shared" si="38"/>
        <v>4411800</v>
      </c>
      <c r="H689" s="149">
        <v>4411800</v>
      </c>
      <c r="I689" s="150">
        <f t="shared" si="36"/>
        <v>0</v>
      </c>
      <c r="J689" s="151">
        <v>45792</v>
      </c>
      <c r="K689" s="3">
        <v>9104902447</v>
      </c>
    </row>
    <row r="690" spans="1:11" ht="21.75" hidden="1" customHeight="1" x14ac:dyDescent="0.35">
      <c r="A690" s="145" t="s">
        <v>1373</v>
      </c>
      <c r="B690" s="146" t="s">
        <v>2691</v>
      </c>
      <c r="C690" s="146"/>
      <c r="D690" s="147">
        <v>45709</v>
      </c>
      <c r="E690" s="148">
        <v>2114000</v>
      </c>
      <c r="F690" s="44">
        <f t="shared" si="37"/>
        <v>169120</v>
      </c>
      <c r="G690" s="149">
        <f t="shared" si="38"/>
        <v>2283120</v>
      </c>
      <c r="H690" s="149">
        <v>2283120</v>
      </c>
      <c r="I690" s="150">
        <f t="shared" si="36"/>
        <v>0</v>
      </c>
      <c r="J690" s="151">
        <v>45792</v>
      </c>
      <c r="K690" s="3">
        <v>9104906483</v>
      </c>
    </row>
    <row r="691" spans="1:11" ht="21.75" hidden="1" customHeight="1" x14ac:dyDescent="0.35">
      <c r="A691" s="145" t="s">
        <v>2674</v>
      </c>
      <c r="B691" s="146" t="s">
        <v>1539</v>
      </c>
      <c r="C691" s="146"/>
      <c r="D691" s="147">
        <v>45667</v>
      </c>
      <c r="E691" s="148">
        <v>882846938</v>
      </c>
      <c r="F691" s="44">
        <f t="shared" si="37"/>
        <v>70627755.040000007</v>
      </c>
      <c r="G691" s="149">
        <f t="shared" si="38"/>
        <v>953474693.03999996</v>
      </c>
      <c r="H691" s="149">
        <v>953474693.03999996</v>
      </c>
      <c r="I691" s="150">
        <f t="shared" si="36"/>
        <v>0</v>
      </c>
      <c r="J691" s="151">
        <v>45731</v>
      </c>
    </row>
    <row r="692" spans="1:11" s="82" customFormat="1" ht="21.75" hidden="1" customHeight="1" x14ac:dyDescent="0.35">
      <c r="A692" s="168" t="s">
        <v>1928</v>
      </c>
      <c r="B692" s="169" t="s">
        <v>2692</v>
      </c>
      <c r="C692" s="169"/>
      <c r="D692" s="170">
        <v>45704</v>
      </c>
      <c r="E692" s="171">
        <v>5002000</v>
      </c>
      <c r="F692" s="74">
        <f t="shared" si="37"/>
        <v>400160</v>
      </c>
      <c r="G692" s="172">
        <f t="shared" si="38"/>
        <v>5402160</v>
      </c>
      <c r="H692" s="172">
        <v>5402160</v>
      </c>
      <c r="I692" s="173">
        <f t="shared" si="36"/>
        <v>0</v>
      </c>
      <c r="J692" s="174">
        <v>45792</v>
      </c>
      <c r="K692" s="82">
        <v>9104877300</v>
      </c>
    </row>
    <row r="693" spans="1:11" ht="21.75" hidden="1" customHeight="1" x14ac:dyDescent="0.35">
      <c r="A693" s="145" t="s">
        <v>1388</v>
      </c>
      <c r="B693" s="146" t="s">
        <v>2693</v>
      </c>
      <c r="C693" s="146"/>
      <c r="D693" s="147">
        <v>45704</v>
      </c>
      <c r="E693" s="148">
        <v>14436000</v>
      </c>
      <c r="F693" s="44">
        <f t="shared" si="37"/>
        <v>1154880</v>
      </c>
      <c r="G693" s="149">
        <f t="shared" si="38"/>
        <v>15590880</v>
      </c>
      <c r="H693" s="149">
        <v>15590880</v>
      </c>
      <c r="I693" s="150">
        <f t="shared" si="36"/>
        <v>0</v>
      </c>
      <c r="J693" s="151">
        <v>45792</v>
      </c>
      <c r="K693" s="3">
        <v>9104882154</v>
      </c>
    </row>
    <row r="694" spans="1:11" ht="21.75" hidden="1" customHeight="1" x14ac:dyDescent="0.35">
      <c r="A694" s="145" t="s">
        <v>2694</v>
      </c>
      <c r="B694" s="146" t="s">
        <v>2695</v>
      </c>
      <c r="C694" s="146"/>
      <c r="D694" s="147">
        <v>45705</v>
      </c>
      <c r="E694" s="148">
        <v>552000</v>
      </c>
      <c r="F694" s="44">
        <f t="shared" si="37"/>
        <v>44160</v>
      </c>
      <c r="G694" s="149">
        <f t="shared" si="38"/>
        <v>596160</v>
      </c>
      <c r="H694" s="149">
        <v>596160</v>
      </c>
      <c r="I694" s="150">
        <f t="shared" si="36"/>
        <v>0</v>
      </c>
      <c r="J694" s="151">
        <v>45792</v>
      </c>
      <c r="K694" s="3">
        <v>9104885237</v>
      </c>
    </row>
    <row r="695" spans="1:11" ht="21.75" hidden="1" customHeight="1" x14ac:dyDescent="0.35">
      <c r="A695" s="145" t="s">
        <v>1923</v>
      </c>
      <c r="B695" s="146" t="s">
        <v>2696</v>
      </c>
      <c r="C695" s="146"/>
      <c r="D695" s="147">
        <v>45705</v>
      </c>
      <c r="E695" s="148">
        <v>10413000</v>
      </c>
      <c r="F695" s="44">
        <f t="shared" si="37"/>
        <v>833040</v>
      </c>
      <c r="G695" s="149">
        <f t="shared" si="38"/>
        <v>11246040</v>
      </c>
      <c r="H695" s="149">
        <v>11246040</v>
      </c>
      <c r="I695" s="150">
        <f t="shared" si="36"/>
        <v>0</v>
      </c>
      <c r="J695" s="151">
        <v>45792</v>
      </c>
      <c r="K695" s="3">
        <v>9104888877</v>
      </c>
    </row>
    <row r="696" spans="1:11" ht="21.75" hidden="1" customHeight="1" x14ac:dyDescent="0.35">
      <c r="A696" s="145" t="s">
        <v>1952</v>
      </c>
      <c r="B696" s="146" t="s">
        <v>2697</v>
      </c>
      <c r="C696" s="146"/>
      <c r="D696" s="147">
        <v>45705</v>
      </c>
      <c r="E696" s="148">
        <v>360000</v>
      </c>
      <c r="F696" s="44">
        <f t="shared" si="37"/>
        <v>28800</v>
      </c>
      <c r="G696" s="149">
        <f t="shared" si="38"/>
        <v>388800</v>
      </c>
      <c r="H696" s="149">
        <v>388800</v>
      </c>
      <c r="I696" s="150">
        <f t="shared" si="36"/>
        <v>0</v>
      </c>
      <c r="J696" s="151">
        <v>45792</v>
      </c>
      <c r="K696" s="3">
        <v>9104885275</v>
      </c>
    </row>
    <row r="697" spans="1:11" ht="21.75" hidden="1" customHeight="1" x14ac:dyDescent="0.35">
      <c r="A697" s="145" t="s">
        <v>1955</v>
      </c>
      <c r="B697" s="146" t="s">
        <v>2698</v>
      </c>
      <c r="C697" s="146"/>
      <c r="D697" s="147">
        <v>45705</v>
      </c>
      <c r="E697" s="148">
        <v>2628000</v>
      </c>
      <c r="F697" s="44">
        <f t="shared" si="37"/>
        <v>210240</v>
      </c>
      <c r="G697" s="149">
        <f t="shared" si="38"/>
        <v>2838240</v>
      </c>
      <c r="H697" s="149">
        <v>2838240</v>
      </c>
      <c r="I697" s="150">
        <f t="shared" si="36"/>
        <v>0</v>
      </c>
      <c r="J697" s="151">
        <v>45792</v>
      </c>
      <c r="K697" s="3">
        <v>9104840121</v>
      </c>
    </row>
    <row r="698" spans="1:11" ht="21.75" hidden="1" customHeight="1" x14ac:dyDescent="0.35">
      <c r="A698" s="145" t="s">
        <v>1648</v>
      </c>
      <c r="B698" s="146" t="s">
        <v>2699</v>
      </c>
      <c r="C698" s="146"/>
      <c r="D698" s="147">
        <v>45705</v>
      </c>
      <c r="E698" s="148">
        <v>2255000</v>
      </c>
      <c r="F698" s="44">
        <f t="shared" si="37"/>
        <v>180400</v>
      </c>
      <c r="G698" s="149">
        <f t="shared" si="38"/>
        <v>2435400</v>
      </c>
      <c r="H698" s="149">
        <v>2435400</v>
      </c>
      <c r="I698" s="150">
        <f t="shared" si="36"/>
        <v>0</v>
      </c>
      <c r="J698" s="151">
        <v>45792</v>
      </c>
      <c r="K698" s="3">
        <v>9104858267</v>
      </c>
    </row>
    <row r="699" spans="1:11" ht="21.75" hidden="1" customHeight="1" x14ac:dyDescent="0.35">
      <c r="A699" s="145" t="s">
        <v>1858</v>
      </c>
      <c r="B699" s="146" t="s">
        <v>2700</v>
      </c>
      <c r="C699" s="146"/>
      <c r="D699" s="147">
        <v>45706</v>
      </c>
      <c r="E699" s="148">
        <v>14566000</v>
      </c>
      <c r="F699" s="44">
        <f t="shared" si="37"/>
        <v>1165280</v>
      </c>
      <c r="G699" s="149">
        <f t="shared" si="38"/>
        <v>15731280</v>
      </c>
      <c r="H699" s="149">
        <v>15731280</v>
      </c>
      <c r="I699" s="150">
        <f t="shared" si="36"/>
        <v>0</v>
      </c>
      <c r="J699" s="151">
        <v>45792</v>
      </c>
      <c r="K699" s="3">
        <v>9104887222</v>
      </c>
    </row>
    <row r="700" spans="1:11" ht="21.75" hidden="1" customHeight="1" x14ac:dyDescent="0.35">
      <c r="A700" s="145" t="s">
        <v>2041</v>
      </c>
      <c r="B700" s="146" t="s">
        <v>2701</v>
      </c>
      <c r="C700" s="146"/>
      <c r="D700" s="147">
        <v>45706</v>
      </c>
      <c r="E700" s="148">
        <v>2542000</v>
      </c>
      <c r="F700" s="44">
        <f t="shared" si="37"/>
        <v>203360</v>
      </c>
      <c r="G700" s="149">
        <f t="shared" si="38"/>
        <v>2745360</v>
      </c>
      <c r="H700" s="149">
        <v>2745360</v>
      </c>
      <c r="I700" s="150">
        <f t="shared" si="36"/>
        <v>0</v>
      </c>
      <c r="J700" s="151">
        <v>45792</v>
      </c>
      <c r="K700" s="3">
        <v>9104894962</v>
      </c>
    </row>
    <row r="701" spans="1:11" ht="21.75" hidden="1" customHeight="1" x14ac:dyDescent="0.35">
      <c r="A701" s="145" t="s">
        <v>1739</v>
      </c>
      <c r="B701" s="146" t="s">
        <v>2702</v>
      </c>
      <c r="C701" s="146"/>
      <c r="D701" s="147">
        <v>45708</v>
      </c>
      <c r="E701" s="148">
        <v>46000</v>
      </c>
      <c r="F701" s="44">
        <f t="shared" si="37"/>
        <v>3680</v>
      </c>
      <c r="G701" s="149">
        <f t="shared" si="38"/>
        <v>49680</v>
      </c>
      <c r="H701" s="149">
        <v>49680</v>
      </c>
      <c r="I701" s="150">
        <f t="shared" si="36"/>
        <v>0</v>
      </c>
      <c r="J701" s="151">
        <v>45792</v>
      </c>
      <c r="K701" s="3">
        <v>9104904738</v>
      </c>
    </row>
    <row r="702" spans="1:11" ht="21.75" hidden="1" customHeight="1" x14ac:dyDescent="0.35">
      <c r="A702" s="145" t="s">
        <v>1876</v>
      </c>
      <c r="B702" s="146" t="s">
        <v>2703</v>
      </c>
      <c r="C702" s="146"/>
      <c r="D702" s="147">
        <v>45708</v>
      </c>
      <c r="E702" s="148">
        <v>7707000</v>
      </c>
      <c r="F702" s="44">
        <f t="shared" si="37"/>
        <v>616560</v>
      </c>
      <c r="G702" s="149">
        <f t="shared" si="38"/>
        <v>8323560</v>
      </c>
      <c r="H702" s="149">
        <v>8323560</v>
      </c>
      <c r="I702" s="150">
        <f t="shared" si="36"/>
        <v>0</v>
      </c>
      <c r="J702" s="151">
        <v>45792</v>
      </c>
      <c r="K702" s="3">
        <v>9104873395</v>
      </c>
    </row>
    <row r="703" spans="1:11" ht="21.75" hidden="1" customHeight="1" x14ac:dyDescent="0.35">
      <c r="A703" s="145" t="s">
        <v>1881</v>
      </c>
      <c r="B703" s="146" t="s">
        <v>2704</v>
      </c>
      <c r="C703" s="146"/>
      <c r="D703" s="147">
        <v>45708</v>
      </c>
      <c r="E703" s="148">
        <v>1877000</v>
      </c>
      <c r="F703" s="44">
        <f t="shared" si="37"/>
        <v>150160</v>
      </c>
      <c r="G703" s="149">
        <f t="shared" si="38"/>
        <v>2027160</v>
      </c>
      <c r="H703" s="149">
        <v>2027160</v>
      </c>
      <c r="I703" s="150">
        <f t="shared" si="36"/>
        <v>0</v>
      </c>
      <c r="J703" s="151">
        <v>45792</v>
      </c>
      <c r="K703" s="3">
        <v>9104874134</v>
      </c>
    </row>
    <row r="704" spans="1:11" ht="21.75" hidden="1" customHeight="1" x14ac:dyDescent="0.35">
      <c r="A704" s="145" t="s">
        <v>1848</v>
      </c>
      <c r="B704" s="146" t="s">
        <v>2705</v>
      </c>
      <c r="C704" s="146"/>
      <c r="D704" s="147">
        <v>45708</v>
      </c>
      <c r="E704" s="148">
        <v>2364000</v>
      </c>
      <c r="F704" s="44">
        <f t="shared" si="37"/>
        <v>189120</v>
      </c>
      <c r="G704" s="149">
        <f t="shared" si="38"/>
        <v>2553120</v>
      </c>
      <c r="H704" s="149">
        <v>2553120</v>
      </c>
      <c r="I704" s="150">
        <f t="shared" si="36"/>
        <v>0</v>
      </c>
      <c r="J704" s="151">
        <v>45792</v>
      </c>
      <c r="K704" s="3">
        <v>9104897367</v>
      </c>
    </row>
    <row r="705" spans="1:11" ht="21.75" hidden="1" customHeight="1" x14ac:dyDescent="0.35">
      <c r="A705" s="145" t="s">
        <v>1914</v>
      </c>
      <c r="B705" s="146" t="s">
        <v>2706</v>
      </c>
      <c r="C705" s="146"/>
      <c r="D705" s="147">
        <v>45708</v>
      </c>
      <c r="E705" s="148">
        <v>3801000</v>
      </c>
      <c r="F705" s="44">
        <f t="shared" si="37"/>
        <v>304080</v>
      </c>
      <c r="G705" s="149">
        <f t="shared" si="38"/>
        <v>4105080</v>
      </c>
      <c r="H705" s="149">
        <v>4105080</v>
      </c>
      <c r="I705" s="150">
        <f t="shared" si="36"/>
        <v>0</v>
      </c>
      <c r="J705" s="151">
        <v>45792</v>
      </c>
      <c r="K705" s="3">
        <v>9104860991</v>
      </c>
    </row>
    <row r="706" spans="1:11" ht="21.75" hidden="1" customHeight="1" x14ac:dyDescent="0.35">
      <c r="A706" s="145" t="s">
        <v>2215</v>
      </c>
      <c r="B706" s="146" t="s">
        <v>2706</v>
      </c>
      <c r="C706" s="146"/>
      <c r="D706" s="147">
        <v>45708</v>
      </c>
      <c r="E706" s="148">
        <v>9606000</v>
      </c>
      <c r="F706" s="44">
        <f t="shared" ref="F706" si="39">+E706*0.08</f>
        <v>768480</v>
      </c>
      <c r="G706" s="149">
        <f t="shared" ref="G706" si="40">+F706+E706</f>
        <v>10374480</v>
      </c>
      <c r="H706" s="149">
        <v>10374480</v>
      </c>
      <c r="I706" s="150">
        <f t="shared" ref="I706" si="41">+G706-H706</f>
        <v>0</v>
      </c>
      <c r="J706" s="151">
        <v>45792</v>
      </c>
      <c r="K706" s="3">
        <v>9104888218</v>
      </c>
    </row>
    <row r="707" spans="1:11" ht="21.75" hidden="1" customHeight="1" x14ac:dyDescent="0.35">
      <c r="A707" s="145" t="s">
        <v>1837</v>
      </c>
      <c r="B707" s="146" t="s">
        <v>2707</v>
      </c>
      <c r="C707" s="146"/>
      <c r="D707" s="147">
        <v>45708</v>
      </c>
      <c r="E707" s="148">
        <v>8793000</v>
      </c>
      <c r="F707" s="44">
        <f t="shared" si="37"/>
        <v>703440</v>
      </c>
      <c r="G707" s="149">
        <f t="shared" si="38"/>
        <v>9496440</v>
      </c>
      <c r="H707" s="149">
        <v>9496440</v>
      </c>
      <c r="I707" s="150">
        <f t="shared" si="36"/>
        <v>0</v>
      </c>
      <c r="J707" s="151">
        <v>45792</v>
      </c>
      <c r="K707" s="3">
        <v>9104889845</v>
      </c>
    </row>
    <row r="708" spans="1:11" ht="21.75" hidden="1" customHeight="1" x14ac:dyDescent="0.35">
      <c r="A708" s="145" t="s">
        <v>1657</v>
      </c>
      <c r="B708" s="146" t="s">
        <v>2708</v>
      </c>
      <c r="C708" s="146"/>
      <c r="D708" s="147">
        <v>45708</v>
      </c>
      <c r="E708" s="148">
        <v>6251000</v>
      </c>
      <c r="F708" s="44">
        <f t="shared" si="37"/>
        <v>500080</v>
      </c>
      <c r="G708" s="149">
        <f t="shared" si="38"/>
        <v>6751080</v>
      </c>
      <c r="H708" s="149">
        <v>6751080</v>
      </c>
      <c r="I708" s="150">
        <f t="shared" si="36"/>
        <v>0</v>
      </c>
      <c r="J708" s="151">
        <v>45792</v>
      </c>
      <c r="K708" s="3">
        <v>9104873271</v>
      </c>
    </row>
    <row r="709" spans="1:11" ht="21.75" hidden="1" customHeight="1" x14ac:dyDescent="0.35">
      <c r="A709" s="145" t="s">
        <v>1774</v>
      </c>
      <c r="B709" s="146" t="s">
        <v>2709</v>
      </c>
      <c r="C709" s="146"/>
      <c r="D709" s="147">
        <v>45708</v>
      </c>
      <c r="E709" s="148">
        <v>2855000</v>
      </c>
      <c r="F709" s="44">
        <f t="shared" si="37"/>
        <v>228400</v>
      </c>
      <c r="G709" s="149">
        <f t="shared" si="38"/>
        <v>3083400</v>
      </c>
      <c r="H709" s="149">
        <v>3083400</v>
      </c>
      <c r="I709" s="150">
        <f t="shared" si="36"/>
        <v>0</v>
      </c>
      <c r="J709" s="151">
        <v>45792</v>
      </c>
      <c r="K709" s="3">
        <v>9104874646</v>
      </c>
    </row>
    <row r="710" spans="1:11" ht="21.75" hidden="1" customHeight="1" x14ac:dyDescent="0.35">
      <c r="A710" s="145" t="s">
        <v>1634</v>
      </c>
      <c r="B710" s="146" t="s">
        <v>2710</v>
      </c>
      <c r="C710" s="146"/>
      <c r="D710" s="147">
        <v>45707</v>
      </c>
      <c r="E710" s="148">
        <v>3478000</v>
      </c>
      <c r="F710" s="44">
        <f t="shared" si="37"/>
        <v>278240</v>
      </c>
      <c r="G710" s="149">
        <f t="shared" si="38"/>
        <v>3756240</v>
      </c>
      <c r="H710" s="149">
        <v>3756240</v>
      </c>
      <c r="I710" s="150">
        <f t="shared" si="36"/>
        <v>0</v>
      </c>
      <c r="J710" s="151">
        <v>45792</v>
      </c>
      <c r="K710" s="3">
        <v>9104895186</v>
      </c>
    </row>
    <row r="711" spans="1:11" ht="21.75" hidden="1" customHeight="1" x14ac:dyDescent="0.35">
      <c r="A711" s="145" t="s">
        <v>1928</v>
      </c>
      <c r="B711" s="146" t="s">
        <v>2711</v>
      </c>
      <c r="C711" s="146"/>
      <c r="D711" s="147">
        <v>45707</v>
      </c>
      <c r="E711" s="148">
        <v>480000</v>
      </c>
      <c r="F711" s="44">
        <f t="shared" si="37"/>
        <v>38400</v>
      </c>
      <c r="G711" s="149">
        <f t="shared" si="38"/>
        <v>518400</v>
      </c>
      <c r="H711" s="149">
        <v>518400</v>
      </c>
      <c r="I711" s="150">
        <f t="shared" si="36"/>
        <v>0</v>
      </c>
      <c r="J711" s="151">
        <v>45792</v>
      </c>
      <c r="K711" s="3">
        <v>9104891158</v>
      </c>
    </row>
    <row r="712" spans="1:11" ht="21.75" hidden="1" customHeight="1" x14ac:dyDescent="0.35">
      <c r="A712" s="145" t="s">
        <v>1905</v>
      </c>
      <c r="B712" s="146" t="s">
        <v>2712</v>
      </c>
      <c r="C712" s="146"/>
      <c r="D712" s="147">
        <v>45707</v>
      </c>
      <c r="E712" s="148">
        <v>1080000</v>
      </c>
      <c r="F712" s="44">
        <f t="shared" si="37"/>
        <v>86400</v>
      </c>
      <c r="G712" s="149">
        <f t="shared" si="38"/>
        <v>1166400</v>
      </c>
      <c r="H712" s="149">
        <v>1166400</v>
      </c>
      <c r="I712" s="150">
        <f t="shared" si="36"/>
        <v>0</v>
      </c>
      <c r="J712" s="151">
        <v>45792</v>
      </c>
      <c r="K712" s="3">
        <v>9104896381</v>
      </c>
    </row>
    <row r="713" spans="1:11" ht="21.75" hidden="1" customHeight="1" x14ac:dyDescent="0.35">
      <c r="A713" s="145" t="s">
        <v>1375</v>
      </c>
      <c r="B713" s="146" t="s">
        <v>2713</v>
      </c>
      <c r="C713" s="146"/>
      <c r="D713" s="147">
        <v>45702</v>
      </c>
      <c r="E713" s="148">
        <v>3572000</v>
      </c>
      <c r="F713" s="44">
        <f t="shared" si="37"/>
        <v>285760</v>
      </c>
      <c r="G713" s="149">
        <f t="shared" si="38"/>
        <v>3857760</v>
      </c>
      <c r="H713" s="149">
        <v>3857760</v>
      </c>
      <c r="I713" s="150">
        <f t="shared" si="36"/>
        <v>0</v>
      </c>
      <c r="J713" s="151">
        <v>45731</v>
      </c>
      <c r="K713" s="3">
        <v>8104852241</v>
      </c>
    </row>
    <row r="714" spans="1:11" ht="21.75" hidden="1" customHeight="1" x14ac:dyDescent="0.35">
      <c r="A714" s="145" t="s">
        <v>1757</v>
      </c>
      <c r="B714" s="146" t="s">
        <v>2714</v>
      </c>
      <c r="C714" s="146"/>
      <c r="D714" s="147">
        <v>45693</v>
      </c>
      <c r="E714" s="148">
        <v>7104000</v>
      </c>
      <c r="F714" s="44">
        <f t="shared" si="37"/>
        <v>568320</v>
      </c>
      <c r="G714" s="149">
        <f t="shared" si="38"/>
        <v>7672320</v>
      </c>
      <c r="H714" s="149">
        <v>7672320</v>
      </c>
      <c r="I714" s="150">
        <f t="shared" si="36"/>
        <v>0</v>
      </c>
      <c r="J714" s="151">
        <v>45731</v>
      </c>
      <c r="K714" s="3">
        <v>9104820222</v>
      </c>
    </row>
    <row r="715" spans="1:11" ht="21.75" hidden="1" customHeight="1" x14ac:dyDescent="0.35">
      <c r="A715" s="145" t="s">
        <v>1686</v>
      </c>
      <c r="B715" s="146" t="s">
        <v>2715</v>
      </c>
      <c r="C715" s="146"/>
      <c r="D715" s="147">
        <v>45693</v>
      </c>
      <c r="E715" s="148">
        <v>64000</v>
      </c>
      <c r="F715" s="44">
        <f t="shared" si="37"/>
        <v>5120</v>
      </c>
      <c r="G715" s="149">
        <f t="shared" si="38"/>
        <v>69120</v>
      </c>
      <c r="H715" s="149">
        <v>69120</v>
      </c>
      <c r="I715" s="150">
        <f t="shared" ref="I715:I782" si="42">+G715-H715</f>
        <v>0</v>
      </c>
      <c r="J715" s="151">
        <v>45731</v>
      </c>
      <c r="K715" s="3">
        <v>9104820023</v>
      </c>
    </row>
    <row r="716" spans="1:11" ht="21.75" hidden="1" customHeight="1" x14ac:dyDescent="0.35">
      <c r="A716" s="145" t="s">
        <v>1686</v>
      </c>
      <c r="B716" s="146" t="s">
        <v>2716</v>
      </c>
      <c r="C716" s="146"/>
      <c r="D716" s="147">
        <v>45696</v>
      </c>
      <c r="E716" s="148">
        <v>3973000</v>
      </c>
      <c r="F716" s="44">
        <f t="shared" si="37"/>
        <v>317840</v>
      </c>
      <c r="G716" s="149">
        <f t="shared" si="38"/>
        <v>4290840</v>
      </c>
      <c r="H716" s="149">
        <v>4290840</v>
      </c>
      <c r="I716" s="150">
        <f t="shared" si="42"/>
        <v>0</v>
      </c>
      <c r="J716" s="151">
        <v>45731</v>
      </c>
      <c r="K716" s="3">
        <v>9104839970</v>
      </c>
    </row>
    <row r="717" spans="1:11" ht="21.75" hidden="1" customHeight="1" x14ac:dyDescent="0.35">
      <c r="A717" s="145" t="s">
        <v>1686</v>
      </c>
      <c r="B717" s="146" t="s">
        <v>2717</v>
      </c>
      <c r="C717" s="146"/>
      <c r="D717" s="147">
        <v>45696</v>
      </c>
      <c r="E717" s="148">
        <v>182000</v>
      </c>
      <c r="F717" s="44">
        <f t="shared" si="37"/>
        <v>14560</v>
      </c>
      <c r="G717" s="149">
        <f t="shared" si="38"/>
        <v>196560</v>
      </c>
      <c r="H717" s="149">
        <v>196560</v>
      </c>
      <c r="I717" s="150">
        <f t="shared" si="42"/>
        <v>0</v>
      </c>
      <c r="J717" s="151">
        <v>45731</v>
      </c>
      <c r="K717" s="3">
        <v>9104839975</v>
      </c>
    </row>
    <row r="718" spans="1:11" ht="21.75" hidden="1" customHeight="1" x14ac:dyDescent="0.35">
      <c r="A718" s="145" t="s">
        <v>2041</v>
      </c>
      <c r="B718" s="146" t="s">
        <v>2718</v>
      </c>
      <c r="C718" s="146"/>
      <c r="D718" s="147">
        <v>45697</v>
      </c>
      <c r="E718" s="148">
        <v>78000</v>
      </c>
      <c r="F718" s="44">
        <f t="shared" si="37"/>
        <v>6240</v>
      </c>
      <c r="G718" s="149">
        <f t="shared" si="38"/>
        <v>84240</v>
      </c>
      <c r="H718" s="149">
        <v>84240</v>
      </c>
      <c r="I718" s="150">
        <f t="shared" si="42"/>
        <v>0</v>
      </c>
      <c r="J718" s="151">
        <v>45731</v>
      </c>
      <c r="K718" s="3">
        <v>9104847196</v>
      </c>
    </row>
    <row r="719" spans="1:11" ht="21.75" hidden="1" customHeight="1" x14ac:dyDescent="0.35">
      <c r="A719" s="145" t="s">
        <v>1822</v>
      </c>
      <c r="B719" s="146" t="s">
        <v>2719</v>
      </c>
      <c r="C719" s="146"/>
      <c r="D719" s="147">
        <v>45698</v>
      </c>
      <c r="E719" s="148">
        <v>18338000</v>
      </c>
      <c r="F719" s="44">
        <f t="shared" si="37"/>
        <v>1467040</v>
      </c>
      <c r="G719" s="149">
        <f t="shared" si="38"/>
        <v>19805040</v>
      </c>
      <c r="H719" s="149">
        <v>19805040</v>
      </c>
      <c r="I719" s="150">
        <f t="shared" si="42"/>
        <v>0</v>
      </c>
      <c r="J719" s="151">
        <v>45731</v>
      </c>
      <c r="K719" s="3">
        <v>9104840039</v>
      </c>
    </row>
    <row r="720" spans="1:11" ht="21.75" hidden="1" customHeight="1" x14ac:dyDescent="0.35">
      <c r="A720" s="145" t="s">
        <v>1962</v>
      </c>
      <c r="B720" s="146" t="s">
        <v>2720</v>
      </c>
      <c r="C720" s="146"/>
      <c r="D720" s="147">
        <v>45698</v>
      </c>
      <c r="E720" s="148">
        <v>11889000</v>
      </c>
      <c r="F720" s="44">
        <f t="shared" si="37"/>
        <v>951120</v>
      </c>
      <c r="G720" s="149">
        <f t="shared" si="38"/>
        <v>12840120</v>
      </c>
      <c r="H720" s="149">
        <v>12840120</v>
      </c>
      <c r="I720" s="150">
        <f t="shared" si="42"/>
        <v>0</v>
      </c>
      <c r="J720" s="151">
        <v>45731</v>
      </c>
      <c r="K720" s="3">
        <v>9104842955</v>
      </c>
    </row>
    <row r="721" spans="1:11" ht="21.75" hidden="1" customHeight="1" x14ac:dyDescent="0.35">
      <c r="A721" s="145" t="s">
        <v>2180</v>
      </c>
      <c r="B721" s="146" t="s">
        <v>2721</v>
      </c>
      <c r="C721" s="146"/>
      <c r="D721" s="147">
        <v>45698</v>
      </c>
      <c r="E721" s="148">
        <v>7084000</v>
      </c>
      <c r="F721" s="44">
        <f t="shared" si="37"/>
        <v>566720</v>
      </c>
      <c r="G721" s="149">
        <f t="shared" si="38"/>
        <v>7650720</v>
      </c>
      <c r="H721" s="149">
        <v>7650720</v>
      </c>
      <c r="I721" s="150">
        <f t="shared" si="42"/>
        <v>0</v>
      </c>
      <c r="J721" s="151">
        <v>45731</v>
      </c>
      <c r="K721" s="3">
        <v>9104843025</v>
      </c>
    </row>
    <row r="722" spans="1:11" ht="21.75" hidden="1" customHeight="1" x14ac:dyDescent="0.35">
      <c r="A722" s="145" t="s">
        <v>1730</v>
      </c>
      <c r="B722" s="146" t="s">
        <v>2722</v>
      </c>
      <c r="C722" s="146"/>
      <c r="D722" s="147">
        <v>45701</v>
      </c>
      <c r="E722" s="148">
        <v>152000</v>
      </c>
      <c r="F722" s="44">
        <f t="shared" si="37"/>
        <v>12160</v>
      </c>
      <c r="G722" s="149">
        <f t="shared" si="38"/>
        <v>164160</v>
      </c>
      <c r="H722" s="149">
        <v>164160</v>
      </c>
      <c r="I722" s="150">
        <f t="shared" si="42"/>
        <v>0</v>
      </c>
      <c r="J722" s="151">
        <v>45731</v>
      </c>
      <c r="K722" s="3">
        <v>9104867501</v>
      </c>
    </row>
    <row r="723" spans="1:11" ht="21.75" hidden="1" customHeight="1" x14ac:dyDescent="0.35">
      <c r="A723" s="145" t="s">
        <v>1852</v>
      </c>
      <c r="B723" s="146" t="s">
        <v>2723</v>
      </c>
      <c r="C723" s="146"/>
      <c r="D723" s="147">
        <v>45701</v>
      </c>
      <c r="E723" s="148">
        <v>120000</v>
      </c>
      <c r="F723" s="44">
        <f t="shared" si="37"/>
        <v>9600</v>
      </c>
      <c r="G723" s="149">
        <f t="shared" si="38"/>
        <v>129600</v>
      </c>
      <c r="H723" s="149">
        <v>129600</v>
      </c>
      <c r="I723" s="150">
        <f t="shared" si="42"/>
        <v>0</v>
      </c>
      <c r="J723" s="151">
        <v>45731</v>
      </c>
      <c r="K723" s="3">
        <v>9104859211</v>
      </c>
    </row>
    <row r="724" spans="1:11" ht="21.75" hidden="1" customHeight="1" x14ac:dyDescent="0.35">
      <c r="A724" s="145" t="s">
        <v>2724</v>
      </c>
      <c r="B724" s="146" t="s">
        <v>2725</v>
      </c>
      <c r="C724" s="146"/>
      <c r="D724" s="147">
        <v>45701</v>
      </c>
      <c r="E724" s="148">
        <v>8021000</v>
      </c>
      <c r="F724" s="44">
        <f t="shared" si="37"/>
        <v>641680</v>
      </c>
      <c r="G724" s="149">
        <f t="shared" si="38"/>
        <v>8662680</v>
      </c>
      <c r="H724" s="149">
        <v>8662680</v>
      </c>
      <c r="I724" s="150">
        <f t="shared" si="42"/>
        <v>0</v>
      </c>
      <c r="J724" s="151">
        <v>45731</v>
      </c>
      <c r="K724" s="3">
        <v>9104858948</v>
      </c>
    </row>
    <row r="725" spans="1:11" ht="21.75" hidden="1" customHeight="1" x14ac:dyDescent="0.35">
      <c r="A725" s="145" t="s">
        <v>1755</v>
      </c>
      <c r="B725" s="146" t="s">
        <v>2726</v>
      </c>
      <c r="C725" s="146"/>
      <c r="D725" s="147">
        <v>45701</v>
      </c>
      <c r="E725" s="148">
        <v>8126000</v>
      </c>
      <c r="F725" s="44">
        <f t="shared" si="37"/>
        <v>650080</v>
      </c>
      <c r="G725" s="149">
        <f t="shared" si="38"/>
        <v>8776080</v>
      </c>
      <c r="H725" s="149">
        <v>8776080</v>
      </c>
      <c r="I725" s="150">
        <f t="shared" si="42"/>
        <v>0</v>
      </c>
      <c r="J725" s="151">
        <v>45731</v>
      </c>
      <c r="K725" s="3">
        <v>9104856165</v>
      </c>
    </row>
    <row r="726" spans="1:11" ht="21.75" hidden="1" customHeight="1" x14ac:dyDescent="0.35">
      <c r="A726" s="145" t="s">
        <v>1626</v>
      </c>
      <c r="B726" s="146" t="s">
        <v>2727</v>
      </c>
      <c r="C726" s="146"/>
      <c r="D726" s="147">
        <v>45700</v>
      </c>
      <c r="E726" s="148">
        <v>3828000</v>
      </c>
      <c r="F726" s="44">
        <f t="shared" si="37"/>
        <v>306240</v>
      </c>
      <c r="G726" s="149">
        <f t="shared" si="38"/>
        <v>4134240</v>
      </c>
      <c r="H726" s="149">
        <v>4134240</v>
      </c>
      <c r="I726" s="150">
        <f t="shared" si="42"/>
        <v>0</v>
      </c>
      <c r="J726" s="151">
        <v>45731</v>
      </c>
      <c r="K726" s="3">
        <v>9104852731</v>
      </c>
    </row>
    <row r="727" spans="1:11" ht="21.75" hidden="1" customHeight="1" x14ac:dyDescent="0.35">
      <c r="A727" s="145" t="s">
        <v>1690</v>
      </c>
      <c r="B727" s="146" t="s">
        <v>2728</v>
      </c>
      <c r="C727" s="146"/>
      <c r="D727" s="147">
        <v>45700</v>
      </c>
      <c r="E727" s="148">
        <v>14327000</v>
      </c>
      <c r="F727" s="44">
        <f t="shared" si="37"/>
        <v>1146160</v>
      </c>
      <c r="G727" s="149">
        <f t="shared" si="38"/>
        <v>15473160</v>
      </c>
      <c r="H727" s="149">
        <v>15473160</v>
      </c>
      <c r="I727" s="150">
        <f t="shared" si="42"/>
        <v>0</v>
      </c>
      <c r="J727" s="151">
        <v>45731</v>
      </c>
      <c r="K727" s="3">
        <v>9104859749</v>
      </c>
    </row>
    <row r="728" spans="1:11" ht="21.75" hidden="1" customHeight="1" x14ac:dyDescent="0.35">
      <c r="A728" s="145" t="s">
        <v>1783</v>
      </c>
      <c r="B728" s="146" t="s">
        <v>2729</v>
      </c>
      <c r="C728" s="146"/>
      <c r="D728" s="147">
        <v>45700</v>
      </c>
      <c r="E728" s="148">
        <v>10770000</v>
      </c>
      <c r="F728" s="44">
        <f t="shared" si="37"/>
        <v>861600</v>
      </c>
      <c r="G728" s="149">
        <f t="shared" si="38"/>
        <v>11631600</v>
      </c>
      <c r="H728" s="149">
        <v>11631600</v>
      </c>
      <c r="I728" s="150">
        <f t="shared" si="42"/>
        <v>0</v>
      </c>
      <c r="J728" s="151">
        <v>45731</v>
      </c>
      <c r="K728" s="3">
        <v>9104825792</v>
      </c>
    </row>
    <row r="729" spans="1:11" ht="21.75" hidden="1" customHeight="1" x14ac:dyDescent="0.35">
      <c r="A729" s="145" t="s">
        <v>1730</v>
      </c>
      <c r="B729" s="146" t="s">
        <v>2730</v>
      </c>
      <c r="C729" s="146"/>
      <c r="D729" s="147">
        <v>45699</v>
      </c>
      <c r="E729" s="148">
        <v>914000</v>
      </c>
      <c r="F729" s="44">
        <f t="shared" si="37"/>
        <v>73120</v>
      </c>
      <c r="G729" s="149">
        <f t="shared" si="38"/>
        <v>987120</v>
      </c>
      <c r="H729" s="149">
        <v>987120</v>
      </c>
      <c r="I729" s="150">
        <f t="shared" si="42"/>
        <v>0</v>
      </c>
      <c r="J729" s="151">
        <v>45731</v>
      </c>
      <c r="K729" s="3">
        <v>9104857076</v>
      </c>
    </row>
    <row r="730" spans="1:11" ht="21.75" hidden="1" customHeight="1" x14ac:dyDescent="0.35">
      <c r="A730" s="145" t="s">
        <v>1834</v>
      </c>
      <c r="B730" s="146" t="s">
        <v>2731</v>
      </c>
      <c r="C730" s="146"/>
      <c r="D730" s="147">
        <v>45701</v>
      </c>
      <c r="E730" s="148">
        <v>1874000</v>
      </c>
      <c r="F730" s="44">
        <f t="shared" si="37"/>
        <v>149920</v>
      </c>
      <c r="G730" s="149">
        <f t="shared" si="38"/>
        <v>2023920</v>
      </c>
      <c r="H730" s="149">
        <v>2023920</v>
      </c>
      <c r="I730" s="150">
        <f t="shared" si="42"/>
        <v>0</v>
      </c>
      <c r="J730" s="151">
        <v>45731</v>
      </c>
      <c r="K730" s="3">
        <v>9104866242</v>
      </c>
    </row>
    <row r="731" spans="1:11" ht="21.75" hidden="1" customHeight="1" x14ac:dyDescent="0.35">
      <c r="A731" s="145" t="s">
        <v>1959</v>
      </c>
      <c r="B731" s="146" t="s">
        <v>2732</v>
      </c>
      <c r="C731" s="146"/>
      <c r="D731" s="147">
        <v>45701</v>
      </c>
      <c r="E731" s="148">
        <v>12789000</v>
      </c>
      <c r="F731" s="44">
        <f t="shared" si="37"/>
        <v>1023120</v>
      </c>
      <c r="G731" s="149">
        <f t="shared" si="38"/>
        <v>13812120</v>
      </c>
      <c r="H731" s="149">
        <v>13812120</v>
      </c>
      <c r="I731" s="150">
        <f t="shared" si="42"/>
        <v>0</v>
      </c>
      <c r="J731" s="151">
        <v>45731</v>
      </c>
      <c r="K731" s="3">
        <v>9104866775</v>
      </c>
    </row>
    <row r="732" spans="1:11" ht="21.75" hidden="1" customHeight="1" x14ac:dyDescent="0.35">
      <c r="A732" s="145" t="s">
        <v>1932</v>
      </c>
      <c r="B732" s="146" t="s">
        <v>2733</v>
      </c>
      <c r="C732" s="146"/>
      <c r="D732" s="147">
        <v>45701</v>
      </c>
      <c r="E732" s="148">
        <v>983000</v>
      </c>
      <c r="F732" s="44">
        <f t="shared" si="37"/>
        <v>78640</v>
      </c>
      <c r="G732" s="149">
        <f t="shared" si="38"/>
        <v>1061640</v>
      </c>
      <c r="H732" s="149">
        <v>1061640</v>
      </c>
      <c r="I732" s="150">
        <f t="shared" si="42"/>
        <v>0</v>
      </c>
      <c r="J732" s="151">
        <v>45731</v>
      </c>
      <c r="K732" s="3">
        <v>9104868269</v>
      </c>
    </row>
    <row r="733" spans="1:11" ht="21.75" hidden="1" customHeight="1" x14ac:dyDescent="0.35">
      <c r="A733" s="145" t="s">
        <v>1829</v>
      </c>
      <c r="B733" s="146" t="s">
        <v>2734</v>
      </c>
      <c r="C733" s="146"/>
      <c r="D733" s="147">
        <v>45701</v>
      </c>
      <c r="E733" s="148">
        <v>2530000</v>
      </c>
      <c r="F733" s="44">
        <f t="shared" si="37"/>
        <v>202400</v>
      </c>
      <c r="G733" s="149">
        <f t="shared" si="38"/>
        <v>2732400</v>
      </c>
      <c r="H733" s="149">
        <v>2732400</v>
      </c>
      <c r="I733" s="150">
        <f t="shared" si="42"/>
        <v>0</v>
      </c>
      <c r="J733" s="151">
        <v>45731</v>
      </c>
      <c r="K733" s="3">
        <v>9104868670</v>
      </c>
    </row>
    <row r="734" spans="1:11" ht="21.75" hidden="1" customHeight="1" x14ac:dyDescent="0.35">
      <c r="A734" s="145" t="s">
        <v>1842</v>
      </c>
      <c r="B734" s="146" t="s">
        <v>2735</v>
      </c>
      <c r="C734" s="146"/>
      <c r="D734" s="147">
        <v>45702</v>
      </c>
      <c r="E734" s="148">
        <v>7566000</v>
      </c>
      <c r="F734" s="44">
        <f t="shared" si="37"/>
        <v>605280</v>
      </c>
      <c r="G734" s="149">
        <f t="shared" si="38"/>
        <v>8171280</v>
      </c>
      <c r="H734" s="149">
        <v>8171280</v>
      </c>
      <c r="I734" s="150">
        <f t="shared" si="42"/>
        <v>0</v>
      </c>
      <c r="J734" s="151">
        <v>45731</v>
      </c>
      <c r="K734" s="3">
        <v>9104842763</v>
      </c>
    </row>
    <row r="735" spans="1:11" ht="21.75" hidden="1" customHeight="1" x14ac:dyDescent="0.35">
      <c r="A735" s="145" t="s">
        <v>1753</v>
      </c>
      <c r="B735" s="146" t="s">
        <v>2736</v>
      </c>
      <c r="C735" s="146"/>
      <c r="D735" s="147">
        <v>45702</v>
      </c>
      <c r="E735" s="148">
        <v>12707000</v>
      </c>
      <c r="F735" s="44">
        <f t="shared" si="37"/>
        <v>1016560</v>
      </c>
      <c r="G735" s="149">
        <f t="shared" si="38"/>
        <v>13723560</v>
      </c>
      <c r="H735" s="149">
        <v>13723560</v>
      </c>
      <c r="I735" s="150">
        <f t="shared" si="42"/>
        <v>0</v>
      </c>
      <c r="J735" s="151">
        <v>45731</v>
      </c>
      <c r="K735" s="3">
        <v>9104874068</v>
      </c>
    </row>
    <row r="736" spans="1:11" ht="21.75" hidden="1" customHeight="1" x14ac:dyDescent="0.35">
      <c r="A736" s="145" t="s">
        <v>1818</v>
      </c>
      <c r="B736" s="146" t="s">
        <v>2737</v>
      </c>
      <c r="C736" s="146"/>
      <c r="D736" s="147">
        <v>45702</v>
      </c>
      <c r="E736" s="148">
        <v>1857000</v>
      </c>
      <c r="F736" s="44">
        <f t="shared" si="37"/>
        <v>148560</v>
      </c>
      <c r="G736" s="149">
        <f t="shared" si="38"/>
        <v>2005560</v>
      </c>
      <c r="H736" s="149">
        <v>2005560</v>
      </c>
      <c r="I736" s="150">
        <f t="shared" si="42"/>
        <v>0</v>
      </c>
      <c r="J736" s="151">
        <v>45731</v>
      </c>
      <c r="K736" s="3">
        <v>9104869000</v>
      </c>
    </row>
    <row r="737" spans="1:12" ht="21.75" hidden="1" customHeight="1" x14ac:dyDescent="0.35">
      <c r="A737" s="145" t="s">
        <v>1914</v>
      </c>
      <c r="B737" s="146" t="s">
        <v>2738</v>
      </c>
      <c r="C737" s="146"/>
      <c r="D737" s="147">
        <v>45702</v>
      </c>
      <c r="E737" s="148">
        <v>12211000</v>
      </c>
      <c r="F737" s="44">
        <f t="shared" si="37"/>
        <v>976880</v>
      </c>
      <c r="G737" s="149">
        <f t="shared" si="38"/>
        <v>13187880</v>
      </c>
      <c r="H737" s="149">
        <v>13187880</v>
      </c>
      <c r="I737" s="150">
        <f t="shared" si="42"/>
        <v>0</v>
      </c>
      <c r="J737" s="151">
        <v>45731</v>
      </c>
      <c r="K737" s="3">
        <v>9104871467</v>
      </c>
    </row>
    <row r="738" spans="1:12" ht="21.75" hidden="1" customHeight="1" x14ac:dyDescent="0.35">
      <c r="A738" s="145" t="s">
        <v>1675</v>
      </c>
      <c r="B738" s="146" t="s">
        <v>2739</v>
      </c>
      <c r="C738" s="146"/>
      <c r="D738" s="147">
        <v>45702</v>
      </c>
      <c r="E738" s="148">
        <v>5408000</v>
      </c>
      <c r="F738" s="44">
        <f t="shared" si="37"/>
        <v>432640</v>
      </c>
      <c r="G738" s="149">
        <f t="shared" si="38"/>
        <v>5840640</v>
      </c>
      <c r="H738" s="149">
        <v>5840640</v>
      </c>
      <c r="I738" s="150">
        <f t="shared" si="42"/>
        <v>0</v>
      </c>
      <c r="J738" s="151">
        <v>45731</v>
      </c>
      <c r="K738" s="3">
        <v>9104874361</v>
      </c>
    </row>
    <row r="739" spans="1:12" ht="21.75" hidden="1" customHeight="1" x14ac:dyDescent="0.35">
      <c r="A739" s="145" t="s">
        <v>1705</v>
      </c>
      <c r="B739" s="146" t="s">
        <v>2740</v>
      </c>
      <c r="C739" s="146"/>
      <c r="D739" s="147">
        <v>45704</v>
      </c>
      <c r="E739" s="148">
        <v>263000</v>
      </c>
      <c r="F739" s="44">
        <f t="shared" ref="F739:F806" si="43">+E739*0.08</f>
        <v>21040</v>
      </c>
      <c r="G739" s="149">
        <f t="shared" ref="G739:G806" si="44">+F739+E739</f>
        <v>284040</v>
      </c>
      <c r="H739" s="149">
        <v>284040</v>
      </c>
      <c r="I739" s="150">
        <f t="shared" si="42"/>
        <v>0</v>
      </c>
      <c r="J739" s="151">
        <v>45792</v>
      </c>
      <c r="K739" s="3">
        <v>9104879222</v>
      </c>
    </row>
    <row r="740" spans="1:12" ht="21.75" hidden="1" customHeight="1" x14ac:dyDescent="0.35">
      <c r="A740" s="145" t="s">
        <v>1820</v>
      </c>
      <c r="B740" s="146" t="s">
        <v>2741</v>
      </c>
      <c r="C740" s="146"/>
      <c r="D740" s="147">
        <v>45704</v>
      </c>
      <c r="E740" s="148">
        <v>2450000</v>
      </c>
      <c r="F740" s="44">
        <f t="shared" si="43"/>
        <v>196000</v>
      </c>
      <c r="G740" s="149">
        <f t="shared" si="44"/>
        <v>2646000</v>
      </c>
      <c r="H740" s="149">
        <v>2646000</v>
      </c>
      <c r="I740" s="150">
        <f t="shared" si="42"/>
        <v>0</v>
      </c>
      <c r="J740" s="151">
        <v>45792</v>
      </c>
      <c r="K740" s="3">
        <v>9104881250</v>
      </c>
    </row>
    <row r="741" spans="1:12" ht="21.75" hidden="1" customHeight="1" x14ac:dyDescent="0.35">
      <c r="A741" s="145" t="s">
        <v>1955</v>
      </c>
      <c r="B741" s="146" t="s">
        <v>2742</v>
      </c>
      <c r="C741" s="146"/>
      <c r="D741" s="147">
        <v>45705</v>
      </c>
      <c r="E741" s="148">
        <v>8524000</v>
      </c>
      <c r="F741" s="44">
        <f t="shared" si="43"/>
        <v>681920</v>
      </c>
      <c r="G741" s="149">
        <f t="shared" si="44"/>
        <v>9205920</v>
      </c>
      <c r="H741" s="149">
        <v>9205920</v>
      </c>
      <c r="I741" s="150">
        <f t="shared" si="42"/>
        <v>0</v>
      </c>
      <c r="J741" s="151">
        <v>45792</v>
      </c>
      <c r="K741" s="3">
        <v>9104840123</v>
      </c>
    </row>
    <row r="742" spans="1:12" ht="21.75" hidden="1" customHeight="1" x14ac:dyDescent="0.35">
      <c r="A742" s="145" t="s">
        <v>1657</v>
      </c>
      <c r="B742" s="146" t="s">
        <v>2743</v>
      </c>
      <c r="C742" s="146"/>
      <c r="D742" s="147">
        <v>45706</v>
      </c>
      <c r="E742" s="148">
        <v>5796000</v>
      </c>
      <c r="F742" s="44">
        <f t="shared" si="43"/>
        <v>463680</v>
      </c>
      <c r="G742" s="149">
        <f t="shared" si="44"/>
        <v>6259680</v>
      </c>
      <c r="H742" s="149">
        <v>6259680</v>
      </c>
      <c r="I742" s="150">
        <f t="shared" si="42"/>
        <v>0</v>
      </c>
      <c r="J742" s="151">
        <v>45792</v>
      </c>
      <c r="K742" s="3">
        <v>9104892174</v>
      </c>
    </row>
    <row r="743" spans="1:12" ht="21.75" hidden="1" customHeight="1" x14ac:dyDescent="0.35">
      <c r="A743" s="145" t="s">
        <v>1965</v>
      </c>
      <c r="B743" s="146" t="s">
        <v>2744</v>
      </c>
      <c r="C743" s="146"/>
      <c r="D743" s="147">
        <v>45706</v>
      </c>
      <c r="E743" s="148">
        <v>284000</v>
      </c>
      <c r="F743" s="44">
        <f t="shared" si="43"/>
        <v>22720</v>
      </c>
      <c r="G743" s="149">
        <f t="shared" si="44"/>
        <v>306720</v>
      </c>
      <c r="H743" s="149">
        <v>306720</v>
      </c>
      <c r="I743" s="150">
        <f t="shared" si="42"/>
        <v>0</v>
      </c>
      <c r="J743" s="151">
        <v>45792</v>
      </c>
      <c r="K743" s="3">
        <v>9104862227</v>
      </c>
    </row>
    <row r="744" spans="1:12" ht="21.75" hidden="1" customHeight="1" x14ac:dyDescent="0.35">
      <c r="A744" s="145" t="s">
        <v>1709</v>
      </c>
      <c r="B744" s="146" t="s">
        <v>2745</v>
      </c>
      <c r="C744" s="146"/>
      <c r="D744" s="147">
        <v>45701</v>
      </c>
      <c r="E744" s="148">
        <v>160000</v>
      </c>
      <c r="F744" s="44">
        <f t="shared" si="43"/>
        <v>12800</v>
      </c>
      <c r="G744" s="149">
        <f t="shared" si="44"/>
        <v>172800</v>
      </c>
      <c r="H744" s="149">
        <v>172800</v>
      </c>
      <c r="I744" s="150">
        <f t="shared" si="42"/>
        <v>0</v>
      </c>
      <c r="J744" s="151">
        <v>45731</v>
      </c>
      <c r="K744" s="3">
        <v>9104859626</v>
      </c>
      <c r="L744" s="3" t="s">
        <v>2795</v>
      </c>
    </row>
    <row r="745" spans="1:12" ht="21.75" hidden="1" customHeight="1" x14ac:dyDescent="0.35">
      <c r="A745" s="145" t="s">
        <v>1988</v>
      </c>
      <c r="B745" s="146" t="s">
        <v>2746</v>
      </c>
      <c r="C745" s="146"/>
      <c r="D745" s="147">
        <v>45712</v>
      </c>
      <c r="E745" s="148">
        <v>2828000</v>
      </c>
      <c r="F745" s="44">
        <f t="shared" si="43"/>
        <v>226240</v>
      </c>
      <c r="G745" s="149">
        <f t="shared" si="44"/>
        <v>3054240</v>
      </c>
      <c r="H745" s="149">
        <v>3054240</v>
      </c>
      <c r="I745" s="150">
        <f t="shared" si="42"/>
        <v>0</v>
      </c>
      <c r="J745" s="151">
        <v>45792</v>
      </c>
      <c r="K745" s="3">
        <v>9104859031</v>
      </c>
      <c r="L745" s="3" t="s">
        <v>2826</v>
      </c>
    </row>
    <row r="746" spans="1:12" ht="21.75" hidden="1" customHeight="1" x14ac:dyDescent="0.35">
      <c r="A746" s="145" t="s">
        <v>1692</v>
      </c>
      <c r="B746" s="146" t="s">
        <v>2747</v>
      </c>
      <c r="C746" s="146"/>
      <c r="D746" s="147">
        <v>45712</v>
      </c>
      <c r="E746" s="148">
        <v>15162000</v>
      </c>
      <c r="F746" s="44">
        <f t="shared" si="43"/>
        <v>1212960</v>
      </c>
      <c r="G746" s="149">
        <f t="shared" si="44"/>
        <v>16374960</v>
      </c>
      <c r="H746" s="149">
        <v>16374960</v>
      </c>
      <c r="I746" s="150">
        <f t="shared" si="42"/>
        <v>0</v>
      </c>
      <c r="J746" s="151">
        <v>45792</v>
      </c>
      <c r="K746" s="3">
        <v>9104923572</v>
      </c>
    </row>
    <row r="747" spans="1:12" ht="21.75" hidden="1" customHeight="1" x14ac:dyDescent="0.35">
      <c r="A747" s="145" t="s">
        <v>1735</v>
      </c>
      <c r="B747" s="146" t="s">
        <v>2748</v>
      </c>
      <c r="C747" s="146"/>
      <c r="D747" s="147">
        <v>45713</v>
      </c>
      <c r="E747" s="148">
        <v>1930000</v>
      </c>
      <c r="F747" s="44">
        <f t="shared" si="43"/>
        <v>154400</v>
      </c>
      <c r="G747" s="149">
        <f t="shared" si="44"/>
        <v>2084400</v>
      </c>
      <c r="H747" s="149">
        <v>2084400</v>
      </c>
      <c r="I747" s="150">
        <f t="shared" si="42"/>
        <v>0</v>
      </c>
      <c r="J747" s="151">
        <v>45792</v>
      </c>
      <c r="K747" s="3">
        <v>9104924703</v>
      </c>
    </row>
    <row r="748" spans="1:12" ht="21.75" hidden="1" customHeight="1" x14ac:dyDescent="0.35">
      <c r="A748" s="145" t="s">
        <v>1839</v>
      </c>
      <c r="B748" s="146" t="s">
        <v>2749</v>
      </c>
      <c r="C748" s="146"/>
      <c r="D748" s="147">
        <v>45713</v>
      </c>
      <c r="E748" s="148">
        <v>1793000</v>
      </c>
      <c r="F748" s="44">
        <f t="shared" si="43"/>
        <v>143440</v>
      </c>
      <c r="G748" s="149">
        <f t="shared" si="44"/>
        <v>1936440</v>
      </c>
      <c r="H748" s="149">
        <v>1936440</v>
      </c>
      <c r="I748" s="150">
        <f t="shared" si="42"/>
        <v>0</v>
      </c>
      <c r="J748" s="151">
        <v>45792</v>
      </c>
      <c r="K748" s="3">
        <v>9104881651</v>
      </c>
    </row>
    <row r="749" spans="1:12" ht="21.75" hidden="1" customHeight="1" x14ac:dyDescent="0.35">
      <c r="A749" s="145" t="s">
        <v>1379</v>
      </c>
      <c r="B749" s="146" t="s">
        <v>2750</v>
      </c>
      <c r="C749" s="146"/>
      <c r="D749" s="147">
        <v>45713</v>
      </c>
      <c r="E749" s="148">
        <v>9904000</v>
      </c>
      <c r="F749" s="44">
        <f t="shared" si="43"/>
        <v>792320</v>
      </c>
      <c r="G749" s="149">
        <f t="shared" si="44"/>
        <v>10696320</v>
      </c>
      <c r="H749" s="149">
        <v>10696320</v>
      </c>
      <c r="I749" s="150">
        <f t="shared" si="42"/>
        <v>0</v>
      </c>
      <c r="J749" s="151">
        <v>45792</v>
      </c>
      <c r="K749" s="3">
        <v>9104925284</v>
      </c>
    </row>
    <row r="750" spans="1:12" ht="21.75" hidden="1" customHeight="1" x14ac:dyDescent="0.35">
      <c r="A750" s="145" t="s">
        <v>1832</v>
      </c>
      <c r="B750" s="146" t="s">
        <v>2751</v>
      </c>
      <c r="C750" s="146"/>
      <c r="D750" s="147">
        <v>45712</v>
      </c>
      <c r="E750" s="148">
        <v>96000</v>
      </c>
      <c r="F750" s="44">
        <f t="shared" si="43"/>
        <v>7680</v>
      </c>
      <c r="G750" s="149">
        <f t="shared" si="44"/>
        <v>103680</v>
      </c>
      <c r="H750" s="149">
        <v>103680</v>
      </c>
      <c r="I750" s="150">
        <f t="shared" si="42"/>
        <v>0</v>
      </c>
      <c r="J750" s="151">
        <v>45792</v>
      </c>
      <c r="K750" s="3">
        <v>9104921990</v>
      </c>
    </row>
    <row r="751" spans="1:12" ht="21.75" hidden="1" customHeight="1" x14ac:dyDescent="0.35">
      <c r="A751" s="145" t="s">
        <v>1827</v>
      </c>
      <c r="B751" s="146" t="s">
        <v>2752</v>
      </c>
      <c r="C751" s="146"/>
      <c r="D751" s="147">
        <v>45713</v>
      </c>
      <c r="E751" s="148">
        <v>173000</v>
      </c>
      <c r="F751" s="44">
        <f t="shared" si="43"/>
        <v>13840</v>
      </c>
      <c r="G751" s="149">
        <f t="shared" si="44"/>
        <v>186840</v>
      </c>
      <c r="H751" s="149">
        <v>186840</v>
      </c>
      <c r="I751" s="150">
        <f t="shared" si="42"/>
        <v>0</v>
      </c>
      <c r="J751" s="151">
        <v>45792</v>
      </c>
      <c r="K751" s="3">
        <v>9104926794</v>
      </c>
    </row>
    <row r="752" spans="1:12" ht="21.75" hidden="1" customHeight="1" x14ac:dyDescent="0.35">
      <c r="A752" s="145" t="s">
        <v>1778</v>
      </c>
      <c r="B752" s="146" t="s">
        <v>2753</v>
      </c>
      <c r="C752" s="146"/>
      <c r="D752" s="147">
        <v>45712</v>
      </c>
      <c r="E752" s="148">
        <v>30907000</v>
      </c>
      <c r="F752" s="44">
        <f t="shared" si="43"/>
        <v>2472560</v>
      </c>
      <c r="G752" s="149">
        <f t="shared" si="44"/>
        <v>33379560</v>
      </c>
      <c r="H752" s="149">
        <v>33379560</v>
      </c>
      <c r="I752" s="150">
        <f t="shared" si="42"/>
        <v>0</v>
      </c>
      <c r="J752" s="151">
        <v>45792</v>
      </c>
      <c r="K752" s="3">
        <v>9104883769</v>
      </c>
    </row>
    <row r="753" spans="1:11" ht="21.75" hidden="1" customHeight="1" x14ac:dyDescent="0.35">
      <c r="A753" s="145" t="s">
        <v>1614</v>
      </c>
      <c r="B753" s="146" t="s">
        <v>2777</v>
      </c>
      <c r="C753" s="146"/>
      <c r="D753" s="147">
        <v>45714</v>
      </c>
      <c r="E753" s="148">
        <v>8510000</v>
      </c>
      <c r="F753" s="44">
        <f t="shared" si="43"/>
        <v>680800</v>
      </c>
      <c r="G753" s="149">
        <f t="shared" si="44"/>
        <v>9190800</v>
      </c>
      <c r="H753" s="149">
        <v>9190800</v>
      </c>
      <c r="I753" s="150">
        <f t="shared" si="42"/>
        <v>0</v>
      </c>
      <c r="J753" s="151">
        <v>45792</v>
      </c>
      <c r="K753" s="3">
        <v>9104836043</v>
      </c>
    </row>
    <row r="754" spans="1:11" ht="21.75" hidden="1" customHeight="1" x14ac:dyDescent="0.35">
      <c r="A754" s="145" t="s">
        <v>1876</v>
      </c>
      <c r="B754" s="146" t="s">
        <v>2796</v>
      </c>
      <c r="C754" s="146"/>
      <c r="D754" s="147">
        <v>45714</v>
      </c>
      <c r="E754" s="148">
        <v>1221000</v>
      </c>
      <c r="F754" s="44">
        <f t="shared" ref="F754:F757" si="45">+E754*0.08</f>
        <v>97680</v>
      </c>
      <c r="G754" s="149">
        <f t="shared" ref="G754:G757" si="46">+F754+E754</f>
        <v>1318680</v>
      </c>
      <c r="H754" s="149">
        <v>1318680</v>
      </c>
      <c r="I754" s="150">
        <f t="shared" ref="I754:I757" si="47">+G754-H754</f>
        <v>0</v>
      </c>
      <c r="J754" s="151">
        <v>45792</v>
      </c>
      <c r="K754" s="3">
        <v>9104907419</v>
      </c>
    </row>
    <row r="755" spans="1:11" ht="21.75" hidden="1" customHeight="1" x14ac:dyDescent="0.35">
      <c r="A755" s="145" t="s">
        <v>1667</v>
      </c>
      <c r="B755" s="146" t="s">
        <v>2797</v>
      </c>
      <c r="C755" s="146"/>
      <c r="D755" s="147">
        <v>45714</v>
      </c>
      <c r="E755" s="148">
        <v>595000</v>
      </c>
      <c r="F755" s="44">
        <f t="shared" si="45"/>
        <v>47600</v>
      </c>
      <c r="G755" s="149">
        <f t="shared" si="46"/>
        <v>642600</v>
      </c>
      <c r="H755" s="149">
        <v>642600</v>
      </c>
      <c r="I755" s="150">
        <f t="shared" si="47"/>
        <v>0</v>
      </c>
      <c r="J755" s="151">
        <v>45792</v>
      </c>
      <c r="K755" s="3">
        <v>9104931877</v>
      </c>
    </row>
    <row r="756" spans="1:11" ht="21.75" hidden="1" customHeight="1" x14ac:dyDescent="0.35">
      <c r="A756" s="145" t="s">
        <v>2381</v>
      </c>
      <c r="B756" s="146" t="s">
        <v>2798</v>
      </c>
      <c r="C756" s="146"/>
      <c r="D756" s="147">
        <v>45715</v>
      </c>
      <c r="E756" s="148">
        <v>30222000</v>
      </c>
      <c r="F756" s="44">
        <f t="shared" si="45"/>
        <v>2417760</v>
      </c>
      <c r="G756" s="149">
        <f t="shared" si="46"/>
        <v>32639760</v>
      </c>
      <c r="H756" s="149">
        <v>32639760</v>
      </c>
      <c r="I756" s="150">
        <f t="shared" si="47"/>
        <v>0</v>
      </c>
      <c r="J756" s="151">
        <v>45792</v>
      </c>
      <c r="K756" s="3">
        <v>9104858305</v>
      </c>
    </row>
    <row r="757" spans="1:11" ht="21.75" hidden="1" customHeight="1" x14ac:dyDescent="0.35">
      <c r="A757" s="145" t="s">
        <v>1686</v>
      </c>
      <c r="B757" s="146" t="s">
        <v>2799</v>
      </c>
      <c r="C757" s="146"/>
      <c r="D757" s="147">
        <v>45715</v>
      </c>
      <c r="E757" s="148">
        <v>64000</v>
      </c>
      <c r="F757" s="44">
        <f t="shared" si="45"/>
        <v>5120</v>
      </c>
      <c r="G757" s="149">
        <f t="shared" si="46"/>
        <v>69120</v>
      </c>
      <c r="H757" s="149">
        <v>69120</v>
      </c>
      <c r="I757" s="150">
        <f t="shared" si="47"/>
        <v>0</v>
      </c>
      <c r="J757" s="151">
        <v>45792</v>
      </c>
      <c r="K757" s="3">
        <v>9104934369</v>
      </c>
    </row>
    <row r="758" spans="1:11" ht="21.75" hidden="1" customHeight="1" x14ac:dyDescent="0.35">
      <c r="A758" s="145" t="s">
        <v>2778</v>
      </c>
      <c r="B758" s="146" t="s">
        <v>2779</v>
      </c>
      <c r="C758" s="146"/>
      <c r="D758" s="147">
        <v>45715</v>
      </c>
      <c r="E758" s="148">
        <v>11694000</v>
      </c>
      <c r="F758" s="44">
        <f t="shared" si="43"/>
        <v>935520</v>
      </c>
      <c r="G758" s="149">
        <f t="shared" si="44"/>
        <v>12629520</v>
      </c>
      <c r="H758" s="149">
        <v>12629520</v>
      </c>
      <c r="I758" s="150">
        <f t="shared" si="42"/>
        <v>0</v>
      </c>
      <c r="J758" s="151">
        <v>45792</v>
      </c>
      <c r="K758" s="3">
        <v>9104895432</v>
      </c>
    </row>
    <row r="759" spans="1:11" ht="21.75" hidden="1" customHeight="1" x14ac:dyDescent="0.35">
      <c r="A759" s="145" t="s">
        <v>1464</v>
      </c>
      <c r="B759" s="146" t="s">
        <v>2780</v>
      </c>
      <c r="C759" s="146"/>
      <c r="D759" s="147">
        <v>45715</v>
      </c>
      <c r="E759" s="148">
        <v>3609000</v>
      </c>
      <c r="F759" s="44">
        <f t="shared" si="43"/>
        <v>288720</v>
      </c>
      <c r="G759" s="149">
        <f t="shared" si="44"/>
        <v>3897720</v>
      </c>
      <c r="H759" s="149">
        <v>3897720</v>
      </c>
      <c r="I759" s="150">
        <f t="shared" si="42"/>
        <v>0</v>
      </c>
      <c r="J759" s="151">
        <v>45792</v>
      </c>
      <c r="K759" s="3">
        <v>9104935680</v>
      </c>
    </row>
    <row r="760" spans="1:11" ht="21.75" hidden="1" customHeight="1" x14ac:dyDescent="0.35">
      <c r="A760" s="145" t="s">
        <v>2251</v>
      </c>
      <c r="B760" s="146" t="s">
        <v>2781</v>
      </c>
      <c r="C760" s="146"/>
      <c r="D760" s="147">
        <v>45715</v>
      </c>
      <c r="E760" s="148">
        <v>15747000</v>
      </c>
      <c r="F760" s="44">
        <f t="shared" si="43"/>
        <v>1259760</v>
      </c>
      <c r="G760" s="149">
        <f t="shared" si="44"/>
        <v>17006760</v>
      </c>
      <c r="H760" s="149">
        <v>17006760</v>
      </c>
      <c r="I760" s="150">
        <f t="shared" si="42"/>
        <v>0</v>
      </c>
      <c r="J760" s="151">
        <v>45792</v>
      </c>
      <c r="K760" s="3">
        <v>9104889902</v>
      </c>
    </row>
    <row r="761" spans="1:11" ht="21.75" hidden="1" customHeight="1" x14ac:dyDescent="0.35">
      <c r="A761" s="145" t="s">
        <v>1500</v>
      </c>
      <c r="B761" s="146" t="s">
        <v>2782</v>
      </c>
      <c r="C761" s="146"/>
      <c r="D761" s="147">
        <v>45716</v>
      </c>
      <c r="E761" s="148">
        <v>1128000</v>
      </c>
      <c r="F761" s="44">
        <f t="shared" si="43"/>
        <v>90240</v>
      </c>
      <c r="G761" s="149">
        <f t="shared" si="44"/>
        <v>1218240</v>
      </c>
      <c r="H761" s="149">
        <v>1218240</v>
      </c>
      <c r="I761" s="150">
        <f t="shared" si="42"/>
        <v>0</v>
      </c>
      <c r="J761" s="151">
        <v>45792</v>
      </c>
      <c r="K761" s="3">
        <v>9104936746</v>
      </c>
    </row>
    <row r="762" spans="1:11" ht="21.75" hidden="1" customHeight="1" x14ac:dyDescent="0.35">
      <c r="A762" s="145" t="s">
        <v>2783</v>
      </c>
      <c r="B762" s="146" t="s">
        <v>2784</v>
      </c>
      <c r="C762" s="146"/>
      <c r="D762" s="147">
        <v>45716</v>
      </c>
      <c r="E762" s="148">
        <v>50000</v>
      </c>
      <c r="F762" s="44">
        <f t="shared" si="43"/>
        <v>4000</v>
      </c>
      <c r="G762" s="149">
        <f t="shared" si="44"/>
        <v>54000</v>
      </c>
      <c r="H762" s="149">
        <v>54000</v>
      </c>
      <c r="I762" s="150">
        <f t="shared" si="42"/>
        <v>0</v>
      </c>
      <c r="J762" s="151">
        <v>45792</v>
      </c>
      <c r="K762" s="3">
        <v>9104939302</v>
      </c>
    </row>
    <row r="763" spans="1:11" ht="21.75" hidden="1" customHeight="1" x14ac:dyDescent="0.35">
      <c r="A763" s="145" t="s">
        <v>1440</v>
      </c>
      <c r="B763" s="146" t="s">
        <v>2785</v>
      </c>
      <c r="C763" s="146"/>
      <c r="D763" s="147">
        <v>45716</v>
      </c>
      <c r="E763" s="148">
        <v>858000</v>
      </c>
      <c r="F763" s="44">
        <f t="shared" si="43"/>
        <v>68640</v>
      </c>
      <c r="G763" s="149">
        <f t="shared" si="44"/>
        <v>926640</v>
      </c>
      <c r="H763" s="149">
        <v>926640</v>
      </c>
      <c r="I763" s="150">
        <f t="shared" si="42"/>
        <v>0</v>
      </c>
      <c r="J763" s="151">
        <v>45792</v>
      </c>
      <c r="K763" s="3">
        <v>9104941548</v>
      </c>
    </row>
    <row r="764" spans="1:11" ht="21.75" hidden="1" customHeight="1" x14ac:dyDescent="0.35">
      <c r="A764" s="145" t="s">
        <v>2220</v>
      </c>
      <c r="B764" s="146" t="s">
        <v>2786</v>
      </c>
      <c r="C764" s="146"/>
      <c r="D764" s="147">
        <v>45716</v>
      </c>
      <c r="E764" s="148">
        <v>9198000</v>
      </c>
      <c r="F764" s="44">
        <f t="shared" si="43"/>
        <v>735840</v>
      </c>
      <c r="G764" s="149">
        <f t="shared" si="44"/>
        <v>9933840</v>
      </c>
      <c r="H764" s="149">
        <v>9933840</v>
      </c>
      <c r="I764" s="150">
        <f t="shared" si="42"/>
        <v>0</v>
      </c>
      <c r="J764" s="151">
        <v>45792</v>
      </c>
      <c r="K764" s="3">
        <v>9104859757</v>
      </c>
    </row>
    <row r="765" spans="1:11" ht="21.75" hidden="1" customHeight="1" x14ac:dyDescent="0.35">
      <c r="A765" s="145" t="s">
        <v>1475</v>
      </c>
      <c r="B765" s="146" t="s">
        <v>2787</v>
      </c>
      <c r="C765" s="146"/>
      <c r="D765" s="147">
        <v>45716</v>
      </c>
      <c r="E765" s="148">
        <v>7768000</v>
      </c>
      <c r="F765" s="44">
        <f t="shared" si="43"/>
        <v>621440</v>
      </c>
      <c r="G765" s="149">
        <f t="shared" si="44"/>
        <v>8389440</v>
      </c>
      <c r="H765" s="149">
        <v>8389440</v>
      </c>
      <c r="I765" s="150">
        <f t="shared" si="42"/>
        <v>0</v>
      </c>
      <c r="J765" s="151">
        <v>45792</v>
      </c>
      <c r="K765" s="3">
        <v>9104936568</v>
      </c>
    </row>
    <row r="766" spans="1:11" ht="21.75" hidden="1" customHeight="1" x14ac:dyDescent="0.35">
      <c r="A766" s="145" t="s">
        <v>1426</v>
      </c>
      <c r="B766" s="146" t="s">
        <v>2788</v>
      </c>
      <c r="C766" s="146"/>
      <c r="D766" s="147">
        <v>45716</v>
      </c>
      <c r="E766" s="148">
        <v>1188000</v>
      </c>
      <c r="F766" s="44">
        <f t="shared" si="43"/>
        <v>95040</v>
      </c>
      <c r="G766" s="149">
        <f t="shared" si="44"/>
        <v>1283040</v>
      </c>
      <c r="H766" s="149">
        <v>1283040</v>
      </c>
      <c r="I766" s="150">
        <f t="shared" si="42"/>
        <v>0</v>
      </c>
      <c r="J766" s="151">
        <v>45792</v>
      </c>
      <c r="K766" s="3">
        <v>9104939989</v>
      </c>
    </row>
    <row r="767" spans="1:11" ht="21.75" hidden="1" customHeight="1" x14ac:dyDescent="0.35">
      <c r="A767" s="145" t="s">
        <v>2789</v>
      </c>
      <c r="B767" s="146" t="s">
        <v>2790</v>
      </c>
      <c r="C767" s="146"/>
      <c r="D767" s="147">
        <v>45718</v>
      </c>
      <c r="E767" s="148">
        <v>4172000</v>
      </c>
      <c r="F767" s="44">
        <f t="shared" si="43"/>
        <v>333760</v>
      </c>
      <c r="G767" s="149">
        <f t="shared" si="44"/>
        <v>4505760</v>
      </c>
      <c r="H767" s="149">
        <v>4505760</v>
      </c>
      <c r="I767" s="150">
        <f t="shared" si="42"/>
        <v>0</v>
      </c>
      <c r="J767" s="151">
        <v>45792</v>
      </c>
      <c r="K767" s="3">
        <v>68</v>
      </c>
    </row>
    <row r="768" spans="1:11" ht="21.75" hidden="1" customHeight="1" x14ac:dyDescent="0.35">
      <c r="A768" s="145" t="s">
        <v>1498</v>
      </c>
      <c r="B768" s="146" t="s">
        <v>2791</v>
      </c>
      <c r="C768" s="146"/>
      <c r="D768" s="147">
        <v>45717</v>
      </c>
      <c r="E768" s="148">
        <v>5360000</v>
      </c>
      <c r="F768" s="44">
        <f t="shared" si="43"/>
        <v>428800</v>
      </c>
      <c r="G768" s="149">
        <f t="shared" si="44"/>
        <v>5788800</v>
      </c>
      <c r="H768" s="149">
        <v>5788800</v>
      </c>
      <c r="I768" s="150">
        <f t="shared" si="42"/>
        <v>0</v>
      </c>
      <c r="J768" s="151">
        <v>45792</v>
      </c>
      <c r="K768" s="3">
        <v>9104879212</v>
      </c>
    </row>
    <row r="769" spans="1:11" ht="21.75" hidden="1" customHeight="1" x14ac:dyDescent="0.35">
      <c r="A769" s="145" t="s">
        <v>1409</v>
      </c>
      <c r="B769" s="146" t="s">
        <v>2792</v>
      </c>
      <c r="C769" s="146"/>
      <c r="D769" s="147">
        <v>45717</v>
      </c>
      <c r="E769" s="148">
        <v>8153000</v>
      </c>
      <c r="F769" s="44">
        <f t="shared" si="43"/>
        <v>652240</v>
      </c>
      <c r="G769" s="149">
        <f t="shared" si="44"/>
        <v>8805240</v>
      </c>
      <c r="H769" s="149">
        <v>8805240</v>
      </c>
      <c r="I769" s="150">
        <f t="shared" si="42"/>
        <v>0</v>
      </c>
      <c r="J769" s="151">
        <v>45792</v>
      </c>
      <c r="K769" s="3">
        <v>9104944701</v>
      </c>
    </row>
    <row r="770" spans="1:11" ht="21.75" hidden="1" customHeight="1" x14ac:dyDescent="0.35">
      <c r="A770" s="145" t="s">
        <v>1384</v>
      </c>
      <c r="B770" s="146" t="s">
        <v>2793</v>
      </c>
      <c r="C770" s="146"/>
      <c r="D770" s="147">
        <v>45719</v>
      </c>
      <c r="E770" s="148">
        <v>4876000</v>
      </c>
      <c r="F770" s="44">
        <f t="shared" si="43"/>
        <v>390080</v>
      </c>
      <c r="G770" s="149">
        <f t="shared" si="44"/>
        <v>5266080</v>
      </c>
      <c r="H770" s="149">
        <v>5266080</v>
      </c>
      <c r="I770" s="150">
        <f t="shared" si="42"/>
        <v>0</v>
      </c>
      <c r="J770" s="151">
        <v>45792</v>
      </c>
      <c r="K770" s="3">
        <v>9104891820</v>
      </c>
    </row>
    <row r="771" spans="1:11" ht="21.75" hidden="1" customHeight="1" x14ac:dyDescent="0.35">
      <c r="A771" s="145" t="s">
        <v>1618</v>
      </c>
      <c r="B771" s="146" t="s">
        <v>2794</v>
      </c>
      <c r="C771" s="146"/>
      <c r="D771" s="147">
        <v>45719</v>
      </c>
      <c r="E771" s="148">
        <v>2291000</v>
      </c>
      <c r="F771" s="44">
        <f t="shared" si="43"/>
        <v>183280</v>
      </c>
      <c r="G771" s="149">
        <f t="shared" si="44"/>
        <v>2474280</v>
      </c>
      <c r="H771" s="149">
        <v>2474280</v>
      </c>
      <c r="I771" s="150">
        <f t="shared" si="42"/>
        <v>0</v>
      </c>
      <c r="J771" s="151">
        <v>45792</v>
      </c>
      <c r="K771" s="3">
        <v>9104907426</v>
      </c>
    </row>
    <row r="772" spans="1:11" ht="21.75" hidden="1" customHeight="1" x14ac:dyDescent="0.35">
      <c r="A772" s="145" t="s">
        <v>1516</v>
      </c>
      <c r="B772" s="146" t="s">
        <v>2800</v>
      </c>
      <c r="C772" s="146"/>
      <c r="D772" s="147">
        <v>45721</v>
      </c>
      <c r="E772" s="148">
        <v>8648000</v>
      </c>
      <c r="F772" s="44">
        <f t="shared" si="43"/>
        <v>691840</v>
      </c>
      <c r="G772" s="149">
        <f t="shared" si="44"/>
        <v>9339840</v>
      </c>
      <c r="H772" s="149">
        <v>9339840</v>
      </c>
      <c r="I772" s="150">
        <f t="shared" si="42"/>
        <v>0</v>
      </c>
      <c r="J772" s="151">
        <v>45792</v>
      </c>
      <c r="K772" s="3">
        <v>9104875861</v>
      </c>
    </row>
    <row r="773" spans="1:11" ht="21.75" hidden="1" customHeight="1" x14ac:dyDescent="0.35">
      <c r="A773" s="145" t="s">
        <v>2801</v>
      </c>
      <c r="B773" s="146" t="s">
        <v>2802</v>
      </c>
      <c r="C773" s="146"/>
      <c r="D773" s="147">
        <v>45721</v>
      </c>
      <c r="E773" s="148">
        <v>34748000</v>
      </c>
      <c r="F773" s="44">
        <f t="shared" si="43"/>
        <v>2779840</v>
      </c>
      <c r="G773" s="149">
        <f t="shared" si="44"/>
        <v>37527840</v>
      </c>
      <c r="H773" s="149">
        <v>37527840</v>
      </c>
      <c r="I773" s="150">
        <f t="shared" si="42"/>
        <v>0</v>
      </c>
      <c r="J773" s="151">
        <v>45792</v>
      </c>
      <c r="K773" s="3">
        <v>9104885227</v>
      </c>
    </row>
    <row r="774" spans="1:11" ht="21.75" hidden="1" customHeight="1" x14ac:dyDescent="0.35">
      <c r="A774" s="145" t="s">
        <v>1490</v>
      </c>
      <c r="B774" s="146" t="s">
        <v>2803</v>
      </c>
      <c r="C774" s="146"/>
      <c r="D774" s="147">
        <v>45721</v>
      </c>
      <c r="E774" s="148">
        <v>4655000</v>
      </c>
      <c r="F774" s="44">
        <f t="shared" si="43"/>
        <v>372400</v>
      </c>
      <c r="G774" s="149">
        <f t="shared" si="44"/>
        <v>5027400</v>
      </c>
      <c r="H774" s="149">
        <v>5027400</v>
      </c>
      <c r="I774" s="150">
        <f t="shared" si="42"/>
        <v>0</v>
      </c>
      <c r="J774" s="151">
        <v>45792</v>
      </c>
      <c r="K774" s="3">
        <v>9104849774</v>
      </c>
    </row>
    <row r="775" spans="1:11" ht="21.75" hidden="1" customHeight="1" x14ac:dyDescent="0.35">
      <c r="A775" s="145" t="s">
        <v>1890</v>
      </c>
      <c r="B775" s="146" t="s">
        <v>2804</v>
      </c>
      <c r="C775" s="146"/>
      <c r="D775" s="147">
        <v>45721</v>
      </c>
      <c r="E775" s="148">
        <v>2525000</v>
      </c>
      <c r="F775" s="44">
        <f t="shared" si="43"/>
        <v>202000</v>
      </c>
      <c r="G775" s="149">
        <f t="shared" si="44"/>
        <v>2727000</v>
      </c>
      <c r="H775" s="149">
        <v>2727000</v>
      </c>
      <c r="I775" s="149">
        <f t="shared" si="42"/>
        <v>0</v>
      </c>
      <c r="J775" s="151">
        <v>45792</v>
      </c>
      <c r="K775" s="3">
        <v>9104859622</v>
      </c>
    </row>
    <row r="776" spans="1:11" ht="21.75" hidden="1" customHeight="1" x14ac:dyDescent="0.35">
      <c r="A776" s="145" t="s">
        <v>1469</v>
      </c>
      <c r="B776" s="146" t="s">
        <v>2805</v>
      </c>
      <c r="C776" s="146"/>
      <c r="D776" s="147">
        <v>45721</v>
      </c>
      <c r="E776" s="148">
        <v>280000</v>
      </c>
      <c r="F776" s="44">
        <f t="shared" si="43"/>
        <v>22400</v>
      </c>
      <c r="G776" s="149">
        <f t="shared" si="44"/>
        <v>302400</v>
      </c>
      <c r="H776" s="149">
        <v>302400</v>
      </c>
      <c r="I776" s="149">
        <f t="shared" si="42"/>
        <v>0</v>
      </c>
      <c r="J776" s="151">
        <v>45792</v>
      </c>
      <c r="K776" s="3">
        <v>9104928427</v>
      </c>
    </row>
    <row r="777" spans="1:11" ht="21.75" hidden="1" customHeight="1" x14ac:dyDescent="0.35">
      <c r="A777" s="145" t="s">
        <v>2806</v>
      </c>
      <c r="B777" s="146" t="s">
        <v>2807</v>
      </c>
      <c r="C777" s="146"/>
      <c r="D777" s="147">
        <v>45721</v>
      </c>
      <c r="E777" s="148">
        <v>10645000</v>
      </c>
      <c r="F777" s="44">
        <f t="shared" si="43"/>
        <v>851600</v>
      </c>
      <c r="G777" s="149">
        <f t="shared" si="44"/>
        <v>11496600</v>
      </c>
      <c r="H777" s="149">
        <v>11496600</v>
      </c>
      <c r="I777" s="150">
        <f t="shared" si="42"/>
        <v>0</v>
      </c>
      <c r="J777" s="151">
        <v>45792</v>
      </c>
      <c r="K777" s="3">
        <v>9104931526</v>
      </c>
    </row>
    <row r="778" spans="1:11" ht="21.75" hidden="1" customHeight="1" x14ac:dyDescent="0.35">
      <c r="A778" s="145" t="s">
        <v>1482</v>
      </c>
      <c r="B778" s="146" t="s">
        <v>2808</v>
      </c>
      <c r="C778" s="146"/>
      <c r="D778" s="147">
        <v>45722</v>
      </c>
      <c r="E778" s="148">
        <v>7938000</v>
      </c>
      <c r="F778" s="44">
        <f t="shared" si="43"/>
        <v>635040</v>
      </c>
      <c r="G778" s="149">
        <f t="shared" si="44"/>
        <v>8573040</v>
      </c>
      <c r="H778" s="149">
        <v>8573040</v>
      </c>
      <c r="I778" s="150">
        <f t="shared" si="42"/>
        <v>0</v>
      </c>
      <c r="J778" s="151">
        <v>45792</v>
      </c>
      <c r="K778" s="3">
        <v>9104849949</v>
      </c>
    </row>
    <row r="779" spans="1:11" ht="21.75" hidden="1" customHeight="1" x14ac:dyDescent="0.35">
      <c r="A779" s="145" t="s">
        <v>1428</v>
      </c>
      <c r="B779" s="146" t="s">
        <v>2809</v>
      </c>
      <c r="C779" s="146"/>
      <c r="D779" s="147">
        <v>45722</v>
      </c>
      <c r="E779" s="148">
        <v>14246000</v>
      </c>
      <c r="F779" s="44">
        <f t="shared" si="43"/>
        <v>1139680</v>
      </c>
      <c r="G779" s="149">
        <f t="shared" si="44"/>
        <v>15385680</v>
      </c>
      <c r="H779" s="149">
        <v>15385680</v>
      </c>
      <c r="I779" s="150">
        <f t="shared" si="42"/>
        <v>0</v>
      </c>
      <c r="J779" s="151">
        <v>45792</v>
      </c>
      <c r="K779" s="3">
        <v>9104892527</v>
      </c>
    </row>
    <row r="780" spans="1:11" ht="21.75" hidden="1" customHeight="1" x14ac:dyDescent="0.35">
      <c r="A780" s="145" t="s">
        <v>2810</v>
      </c>
      <c r="B780" s="146" t="s">
        <v>2811</v>
      </c>
      <c r="C780" s="146"/>
      <c r="D780" s="147">
        <v>45724</v>
      </c>
      <c r="E780" s="148">
        <v>820000</v>
      </c>
      <c r="F780" s="44">
        <f t="shared" si="43"/>
        <v>65600</v>
      </c>
      <c r="G780" s="149">
        <f t="shared" si="44"/>
        <v>885600</v>
      </c>
      <c r="H780" s="149">
        <v>885600</v>
      </c>
      <c r="I780" s="150">
        <f t="shared" si="42"/>
        <v>0</v>
      </c>
      <c r="J780" s="151">
        <v>45792</v>
      </c>
      <c r="K780" s="3">
        <v>9104976616</v>
      </c>
    </row>
    <row r="781" spans="1:11" ht="21.75" hidden="1" customHeight="1" x14ac:dyDescent="0.35">
      <c r="A781" s="145" t="s">
        <v>2812</v>
      </c>
      <c r="B781" s="146" t="s">
        <v>2813</v>
      </c>
      <c r="C781" s="146"/>
      <c r="D781" s="147">
        <v>45725</v>
      </c>
      <c r="E781" s="148">
        <v>450000</v>
      </c>
      <c r="F781" s="44">
        <f t="shared" si="43"/>
        <v>36000</v>
      </c>
      <c r="G781" s="149">
        <f t="shared" si="44"/>
        <v>486000</v>
      </c>
      <c r="H781" s="149">
        <v>486000</v>
      </c>
      <c r="I781" s="150">
        <f t="shared" si="42"/>
        <v>0</v>
      </c>
      <c r="J781" s="151">
        <v>45792</v>
      </c>
      <c r="K781" s="3">
        <v>9104883118</v>
      </c>
    </row>
    <row r="782" spans="1:11" ht="21.75" hidden="1" customHeight="1" x14ac:dyDescent="0.35">
      <c r="A782" s="145" t="s">
        <v>2814</v>
      </c>
      <c r="B782" s="146" t="s">
        <v>2815</v>
      </c>
      <c r="C782" s="146"/>
      <c r="D782" s="147">
        <v>45723</v>
      </c>
      <c r="E782" s="148">
        <v>2778000</v>
      </c>
      <c r="F782" s="44">
        <f t="shared" si="43"/>
        <v>222240</v>
      </c>
      <c r="G782" s="149">
        <f t="shared" si="44"/>
        <v>3000240</v>
      </c>
      <c r="H782" s="149">
        <v>3000240</v>
      </c>
      <c r="I782" s="150">
        <f t="shared" si="42"/>
        <v>0</v>
      </c>
      <c r="J782" s="151">
        <v>45792</v>
      </c>
      <c r="K782" s="3">
        <v>9104871615</v>
      </c>
    </row>
    <row r="783" spans="1:11" ht="21.75" hidden="1" customHeight="1" x14ac:dyDescent="0.35">
      <c r="A783" s="145" t="s">
        <v>1607</v>
      </c>
      <c r="B783" s="146" t="s">
        <v>2816</v>
      </c>
      <c r="C783" s="146"/>
      <c r="D783" s="147">
        <v>45723</v>
      </c>
      <c r="E783" s="148">
        <v>13829000</v>
      </c>
      <c r="F783" s="44">
        <f t="shared" si="43"/>
        <v>1106320</v>
      </c>
      <c r="G783" s="149">
        <f t="shared" si="44"/>
        <v>14935320</v>
      </c>
      <c r="H783" s="149">
        <v>14935320</v>
      </c>
      <c r="I783" s="150">
        <f t="shared" ref="I783:I854" si="48">+G783-H783</f>
        <v>0</v>
      </c>
      <c r="J783" s="151">
        <v>45792</v>
      </c>
      <c r="K783" s="3">
        <v>9104907839</v>
      </c>
    </row>
    <row r="784" spans="1:11" ht="21.75" hidden="1" customHeight="1" x14ac:dyDescent="0.35">
      <c r="A784" s="145" t="s">
        <v>1597</v>
      </c>
      <c r="B784" s="146" t="s">
        <v>2817</v>
      </c>
      <c r="C784" s="146"/>
      <c r="D784" s="147">
        <v>45725</v>
      </c>
      <c r="E784" s="148">
        <v>4991000</v>
      </c>
      <c r="F784" s="44">
        <f t="shared" si="43"/>
        <v>399280</v>
      </c>
      <c r="G784" s="149">
        <f t="shared" si="44"/>
        <v>5390280</v>
      </c>
      <c r="H784" s="149">
        <v>5390280</v>
      </c>
      <c r="I784" s="150">
        <f t="shared" si="48"/>
        <v>0</v>
      </c>
      <c r="J784" s="151">
        <v>45792</v>
      </c>
      <c r="K784" s="3">
        <v>9104980561</v>
      </c>
    </row>
    <row r="785" spans="1:11" ht="21.75" hidden="1" customHeight="1" x14ac:dyDescent="0.35">
      <c r="A785" s="145" t="s">
        <v>1524</v>
      </c>
      <c r="B785" s="146" t="s">
        <v>2818</v>
      </c>
      <c r="C785" s="146"/>
      <c r="D785" s="147">
        <v>45726</v>
      </c>
      <c r="E785" s="148">
        <v>52000</v>
      </c>
      <c r="F785" s="44">
        <f t="shared" si="43"/>
        <v>4160</v>
      </c>
      <c r="G785" s="149">
        <f t="shared" si="44"/>
        <v>56160</v>
      </c>
      <c r="H785" s="149">
        <v>56160</v>
      </c>
      <c r="I785" s="150">
        <f t="shared" si="48"/>
        <v>0</v>
      </c>
      <c r="J785" s="151">
        <v>45792</v>
      </c>
      <c r="K785" s="3">
        <v>9104978824</v>
      </c>
    </row>
    <row r="786" spans="1:11" ht="21.75" hidden="1" customHeight="1" x14ac:dyDescent="0.35">
      <c r="A786" s="145" t="s">
        <v>1599</v>
      </c>
      <c r="B786" s="146" t="s">
        <v>2819</v>
      </c>
      <c r="C786" s="146"/>
      <c r="D786" s="147">
        <v>45726</v>
      </c>
      <c r="E786" s="148">
        <v>2736000</v>
      </c>
      <c r="F786" s="44">
        <f t="shared" si="43"/>
        <v>218880</v>
      </c>
      <c r="G786" s="149">
        <f t="shared" si="44"/>
        <v>2954880</v>
      </c>
      <c r="H786" s="149">
        <v>2954880</v>
      </c>
      <c r="I786" s="150">
        <f t="shared" si="48"/>
        <v>0</v>
      </c>
      <c r="J786" s="151">
        <v>45792</v>
      </c>
      <c r="K786" s="3">
        <v>9104986340</v>
      </c>
    </row>
    <row r="787" spans="1:11" ht="21.75" hidden="1" customHeight="1" x14ac:dyDescent="0.35">
      <c r="A787" s="145" t="s">
        <v>2820</v>
      </c>
      <c r="B787" s="146" t="s">
        <v>2821</v>
      </c>
      <c r="C787" s="146"/>
      <c r="D787" s="147">
        <v>45726</v>
      </c>
      <c r="E787" s="148">
        <v>17572000</v>
      </c>
      <c r="F787" s="44">
        <f t="shared" si="43"/>
        <v>1405760</v>
      </c>
      <c r="G787" s="149">
        <f t="shared" si="44"/>
        <v>18977760</v>
      </c>
      <c r="H787" s="149">
        <v>18977760</v>
      </c>
      <c r="I787" s="150">
        <f t="shared" si="48"/>
        <v>0</v>
      </c>
      <c r="J787" s="151">
        <v>45792</v>
      </c>
      <c r="K787" s="3">
        <v>9104887854</v>
      </c>
    </row>
    <row r="788" spans="1:11" ht="21.75" hidden="1" customHeight="1" x14ac:dyDescent="0.35">
      <c r="A788" s="145" t="s">
        <v>2391</v>
      </c>
      <c r="B788" s="146" t="s">
        <v>2822</v>
      </c>
      <c r="C788" s="146"/>
      <c r="D788" s="147">
        <v>45726</v>
      </c>
      <c r="E788" s="148">
        <v>11906000</v>
      </c>
      <c r="F788" s="44">
        <f t="shared" si="43"/>
        <v>952480</v>
      </c>
      <c r="G788" s="149">
        <f t="shared" si="44"/>
        <v>12858480</v>
      </c>
      <c r="H788" s="149">
        <v>12858480</v>
      </c>
      <c r="I788" s="150">
        <f t="shared" si="48"/>
        <v>0</v>
      </c>
      <c r="J788" s="151">
        <v>45792</v>
      </c>
      <c r="K788" s="3">
        <v>9104918636</v>
      </c>
    </row>
    <row r="789" spans="1:11" ht="21.75" hidden="1" customHeight="1" x14ac:dyDescent="0.35">
      <c r="A789" s="145" t="s">
        <v>1637</v>
      </c>
      <c r="B789" s="146" t="s">
        <v>2823</v>
      </c>
      <c r="C789" s="146"/>
      <c r="D789" s="147">
        <v>45727</v>
      </c>
      <c r="E789" s="148">
        <v>15905000</v>
      </c>
      <c r="F789" s="44">
        <f t="shared" si="43"/>
        <v>1272400</v>
      </c>
      <c r="G789" s="149">
        <f t="shared" si="44"/>
        <v>17177400</v>
      </c>
      <c r="H789" s="149">
        <v>17177400</v>
      </c>
      <c r="I789" s="150">
        <f t="shared" si="48"/>
        <v>0</v>
      </c>
      <c r="J789" s="151">
        <v>45792</v>
      </c>
      <c r="K789" s="3">
        <v>9104982217</v>
      </c>
    </row>
    <row r="790" spans="1:11" ht="21.75" hidden="1" customHeight="1" x14ac:dyDescent="0.35">
      <c r="A790" s="145" t="s">
        <v>2015</v>
      </c>
      <c r="B790" s="146" t="s">
        <v>2824</v>
      </c>
      <c r="C790" s="146"/>
      <c r="D790" s="147">
        <v>45727</v>
      </c>
      <c r="E790" s="148">
        <v>18038000</v>
      </c>
      <c r="F790" s="44">
        <f t="shared" si="43"/>
        <v>1443040</v>
      </c>
      <c r="G790" s="149">
        <f t="shared" si="44"/>
        <v>19481040</v>
      </c>
      <c r="H790" s="149">
        <v>19481040</v>
      </c>
      <c r="I790" s="150">
        <f t="shared" si="48"/>
        <v>0</v>
      </c>
      <c r="J790" s="151">
        <v>45792</v>
      </c>
      <c r="K790" s="3">
        <v>9104838724</v>
      </c>
    </row>
    <row r="791" spans="1:11" ht="21.75" hidden="1" customHeight="1" x14ac:dyDescent="0.35">
      <c r="A791" s="145" t="s">
        <v>1473</v>
      </c>
      <c r="B791" s="146" t="s">
        <v>2825</v>
      </c>
      <c r="C791" s="146"/>
      <c r="D791" s="147">
        <v>45728</v>
      </c>
      <c r="E791" s="148">
        <v>2280000</v>
      </c>
      <c r="F791" s="44">
        <f t="shared" si="43"/>
        <v>182400</v>
      </c>
      <c r="G791" s="149">
        <f t="shared" si="44"/>
        <v>2462400</v>
      </c>
      <c r="H791" s="149">
        <v>2462400</v>
      </c>
      <c r="I791" s="150">
        <f t="shared" si="48"/>
        <v>0</v>
      </c>
      <c r="J791" s="151">
        <v>45792</v>
      </c>
      <c r="K791" s="3">
        <v>9104874983</v>
      </c>
    </row>
    <row r="792" spans="1:11" ht="21.75" hidden="1" customHeight="1" x14ac:dyDescent="0.35">
      <c r="A792" s="145" t="s">
        <v>2827</v>
      </c>
      <c r="B792" s="146" t="s">
        <v>2828</v>
      </c>
      <c r="C792" s="146"/>
      <c r="D792" s="147">
        <v>45730</v>
      </c>
      <c r="E792" s="148">
        <v>1940000</v>
      </c>
      <c r="F792" s="44">
        <f t="shared" si="43"/>
        <v>155200</v>
      </c>
      <c r="G792" s="149">
        <f t="shared" si="44"/>
        <v>2095200</v>
      </c>
      <c r="H792" s="149">
        <v>2095200</v>
      </c>
      <c r="I792" s="150">
        <f t="shared" si="48"/>
        <v>0</v>
      </c>
      <c r="J792" s="151">
        <v>45792</v>
      </c>
      <c r="K792" s="3">
        <v>9105002472</v>
      </c>
    </row>
    <row r="793" spans="1:11" ht="21.75" hidden="1" customHeight="1" x14ac:dyDescent="0.35">
      <c r="A793" s="145" t="s">
        <v>2829</v>
      </c>
      <c r="B793" s="146" t="s">
        <v>2830</v>
      </c>
      <c r="C793" s="146"/>
      <c r="D793" s="147">
        <v>45730</v>
      </c>
      <c r="E793" s="148">
        <v>3507000</v>
      </c>
      <c r="F793" s="44">
        <f t="shared" si="43"/>
        <v>280560</v>
      </c>
      <c r="G793" s="149">
        <f t="shared" si="44"/>
        <v>3787560</v>
      </c>
      <c r="H793" s="149">
        <v>3787560</v>
      </c>
      <c r="I793" s="150">
        <f t="shared" si="48"/>
        <v>0</v>
      </c>
      <c r="J793" s="151">
        <v>45792</v>
      </c>
      <c r="K793" s="3">
        <v>9104897930</v>
      </c>
    </row>
    <row r="794" spans="1:11" ht="21.75" hidden="1" customHeight="1" x14ac:dyDescent="0.35">
      <c r="A794" s="145" t="s">
        <v>1396</v>
      </c>
      <c r="B794" s="146" t="s">
        <v>2831</v>
      </c>
      <c r="C794" s="146"/>
      <c r="D794" s="147">
        <v>45731</v>
      </c>
      <c r="E794" s="148">
        <v>1072000</v>
      </c>
      <c r="F794" s="44">
        <f t="shared" si="43"/>
        <v>85760</v>
      </c>
      <c r="G794" s="149">
        <f t="shared" si="44"/>
        <v>1157760</v>
      </c>
      <c r="H794" s="149">
        <v>1157760</v>
      </c>
      <c r="I794" s="150">
        <f t="shared" si="48"/>
        <v>0</v>
      </c>
      <c r="J794" s="151">
        <v>45792</v>
      </c>
      <c r="K794" s="3">
        <v>9105002435</v>
      </c>
    </row>
    <row r="795" spans="1:11" ht="21.75" hidden="1" customHeight="1" x14ac:dyDescent="0.35">
      <c r="A795" s="145" t="s">
        <v>2832</v>
      </c>
      <c r="B795" s="146" t="s">
        <v>2833</v>
      </c>
      <c r="C795" s="146"/>
      <c r="D795" s="147">
        <v>45733</v>
      </c>
      <c r="E795" s="148">
        <v>14778000</v>
      </c>
      <c r="F795" s="44">
        <f t="shared" si="43"/>
        <v>1182240</v>
      </c>
      <c r="G795" s="149">
        <f t="shared" si="44"/>
        <v>15960240</v>
      </c>
      <c r="H795" s="149">
        <v>15960240</v>
      </c>
      <c r="I795" s="150">
        <f t="shared" si="48"/>
        <v>0</v>
      </c>
      <c r="J795" s="151">
        <v>45792</v>
      </c>
      <c r="K795" s="3">
        <v>9104832596</v>
      </c>
    </row>
    <row r="796" spans="1:11" ht="21.75" hidden="1" customHeight="1" x14ac:dyDescent="0.35">
      <c r="A796" s="145" t="s">
        <v>1392</v>
      </c>
      <c r="B796" s="146" t="s">
        <v>2834</v>
      </c>
      <c r="C796" s="146"/>
      <c r="D796" s="147">
        <v>45734</v>
      </c>
      <c r="E796" s="148">
        <v>1162000</v>
      </c>
      <c r="F796" s="44">
        <f t="shared" si="43"/>
        <v>92960</v>
      </c>
      <c r="G796" s="149">
        <f t="shared" si="44"/>
        <v>1254960</v>
      </c>
      <c r="H796" s="149">
        <v>1254960</v>
      </c>
      <c r="I796" s="150">
        <f t="shared" si="48"/>
        <v>0</v>
      </c>
      <c r="J796" s="151">
        <v>45792</v>
      </c>
      <c r="K796" s="3">
        <v>9105030935</v>
      </c>
    </row>
    <row r="797" spans="1:11" ht="21.75" hidden="1" customHeight="1" x14ac:dyDescent="0.35">
      <c r="A797" s="145" t="s">
        <v>1396</v>
      </c>
      <c r="B797" s="146" t="s">
        <v>2835</v>
      </c>
      <c r="C797" s="146"/>
      <c r="D797" s="147">
        <v>45735</v>
      </c>
      <c r="E797" s="148">
        <v>960000</v>
      </c>
      <c r="F797" s="44">
        <f t="shared" si="43"/>
        <v>76800</v>
      </c>
      <c r="G797" s="149">
        <f t="shared" si="44"/>
        <v>1036800</v>
      </c>
      <c r="H797" s="149">
        <v>1036800</v>
      </c>
      <c r="I797" s="150">
        <f t="shared" si="48"/>
        <v>0</v>
      </c>
      <c r="J797" s="151">
        <v>45792</v>
      </c>
      <c r="K797" s="3">
        <v>9105031643</v>
      </c>
    </row>
    <row r="798" spans="1:11" ht="21.75" hidden="1" customHeight="1" x14ac:dyDescent="0.35">
      <c r="A798" s="145" t="s">
        <v>2121</v>
      </c>
      <c r="B798" s="146" t="s">
        <v>2836</v>
      </c>
      <c r="C798" s="146"/>
      <c r="D798" s="147">
        <v>45736</v>
      </c>
      <c r="E798" s="148">
        <v>9824326</v>
      </c>
      <c r="F798" s="44">
        <f t="shared" si="43"/>
        <v>785946.08000000007</v>
      </c>
      <c r="G798" s="149">
        <f t="shared" si="44"/>
        <v>10610272.08</v>
      </c>
      <c r="H798" s="149">
        <v>10610272.08</v>
      </c>
      <c r="I798" s="150">
        <f t="shared" si="48"/>
        <v>0</v>
      </c>
      <c r="J798" s="151">
        <v>45741</v>
      </c>
    </row>
    <row r="799" spans="1:11" ht="21.75" hidden="1" customHeight="1" x14ac:dyDescent="0.35">
      <c r="A799" s="145" t="s">
        <v>2837</v>
      </c>
      <c r="B799" s="146" t="s">
        <v>2838</v>
      </c>
      <c r="C799" s="146"/>
      <c r="D799" s="147">
        <v>45737</v>
      </c>
      <c r="E799" s="148">
        <v>3427000</v>
      </c>
      <c r="F799" s="44">
        <f t="shared" si="43"/>
        <v>274160</v>
      </c>
      <c r="G799" s="149">
        <f t="shared" si="44"/>
        <v>3701160</v>
      </c>
      <c r="H799" s="149">
        <v>3701160</v>
      </c>
      <c r="I799" s="150">
        <f t="shared" si="48"/>
        <v>0</v>
      </c>
      <c r="J799" s="151">
        <v>45792</v>
      </c>
      <c r="K799" s="3">
        <v>9104895250</v>
      </c>
    </row>
    <row r="800" spans="1:11" ht="21.75" hidden="1" customHeight="1" x14ac:dyDescent="0.35">
      <c r="A800" s="145" t="s">
        <v>2839</v>
      </c>
      <c r="B800" s="146" t="s">
        <v>2840</v>
      </c>
      <c r="C800" s="146"/>
      <c r="D800" s="147">
        <v>45736</v>
      </c>
      <c r="E800" s="148">
        <v>1223000</v>
      </c>
      <c r="F800" s="44">
        <f t="shared" si="43"/>
        <v>97840</v>
      </c>
      <c r="G800" s="149">
        <f t="shared" si="44"/>
        <v>1320840</v>
      </c>
      <c r="H800" s="149">
        <v>1320840</v>
      </c>
      <c r="I800" s="150">
        <f t="shared" si="48"/>
        <v>0</v>
      </c>
      <c r="J800" s="151">
        <v>45792</v>
      </c>
      <c r="K800" s="3">
        <v>9104901239</v>
      </c>
    </row>
    <row r="801" spans="1:11" ht="21.75" hidden="1" customHeight="1" x14ac:dyDescent="0.35">
      <c r="A801" s="145" t="s">
        <v>2841</v>
      </c>
      <c r="B801" s="146" t="s">
        <v>2842</v>
      </c>
      <c r="C801" s="146"/>
      <c r="D801" s="147">
        <v>45736</v>
      </c>
      <c r="E801" s="148">
        <v>128000</v>
      </c>
      <c r="F801" s="44">
        <f t="shared" si="43"/>
        <v>10240</v>
      </c>
      <c r="G801" s="149">
        <f t="shared" si="44"/>
        <v>138240</v>
      </c>
      <c r="H801" s="149">
        <v>138240</v>
      </c>
      <c r="I801" s="150">
        <f t="shared" si="48"/>
        <v>0</v>
      </c>
      <c r="J801" s="151">
        <v>45792</v>
      </c>
      <c r="K801" s="3">
        <v>9105039583</v>
      </c>
    </row>
    <row r="802" spans="1:11" ht="21.75" hidden="1" customHeight="1" x14ac:dyDescent="0.35">
      <c r="A802" s="145" t="s">
        <v>1622</v>
      </c>
      <c r="B802" s="146" t="s">
        <v>2843</v>
      </c>
      <c r="C802" s="146"/>
      <c r="D802" s="147">
        <v>45736</v>
      </c>
      <c r="E802" s="148">
        <v>5980000</v>
      </c>
      <c r="F802" s="44">
        <f t="shared" si="43"/>
        <v>478400</v>
      </c>
      <c r="G802" s="149">
        <f t="shared" si="44"/>
        <v>6458400</v>
      </c>
      <c r="H802" s="149">
        <v>6458400</v>
      </c>
      <c r="I802" s="150">
        <f t="shared" si="48"/>
        <v>0</v>
      </c>
      <c r="J802" s="151">
        <v>45792</v>
      </c>
      <c r="K802" s="3">
        <v>9105004501</v>
      </c>
    </row>
    <row r="803" spans="1:11" ht="21.75" hidden="1" customHeight="1" x14ac:dyDescent="0.35">
      <c r="A803" s="145" t="s">
        <v>2844</v>
      </c>
      <c r="B803" s="146" t="s">
        <v>2845</v>
      </c>
      <c r="C803" s="146"/>
      <c r="D803" s="147">
        <v>45736</v>
      </c>
      <c r="E803" s="148">
        <v>6019000</v>
      </c>
      <c r="F803" s="44">
        <f t="shared" si="43"/>
        <v>481520</v>
      </c>
      <c r="G803" s="149">
        <f t="shared" si="44"/>
        <v>6500520</v>
      </c>
      <c r="H803" s="149">
        <v>6500520</v>
      </c>
      <c r="I803" s="150">
        <f t="shared" si="48"/>
        <v>0</v>
      </c>
      <c r="J803" s="151">
        <v>45792</v>
      </c>
      <c r="K803" s="3">
        <v>9105021655</v>
      </c>
    </row>
    <row r="804" spans="1:11" ht="21.75" hidden="1" customHeight="1" x14ac:dyDescent="0.35">
      <c r="A804" s="145" t="s">
        <v>1974</v>
      </c>
      <c r="B804" s="146" t="s">
        <v>2846</v>
      </c>
      <c r="C804" s="146"/>
      <c r="D804" s="147">
        <v>45742</v>
      </c>
      <c r="E804" s="148">
        <v>6927000</v>
      </c>
      <c r="F804" s="44">
        <f t="shared" si="43"/>
        <v>554160</v>
      </c>
      <c r="G804" s="149">
        <f t="shared" si="44"/>
        <v>7481160</v>
      </c>
      <c r="H804" s="149">
        <v>7481160</v>
      </c>
      <c r="I804" s="150">
        <f t="shared" si="48"/>
        <v>0</v>
      </c>
      <c r="J804" s="151">
        <v>45792</v>
      </c>
      <c r="K804" s="3">
        <v>9105072580</v>
      </c>
    </row>
    <row r="805" spans="1:11" ht="21.75" hidden="1" customHeight="1" x14ac:dyDescent="0.35">
      <c r="A805" s="145" t="s">
        <v>2189</v>
      </c>
      <c r="B805" s="146" t="s">
        <v>2897</v>
      </c>
      <c r="C805" s="146"/>
      <c r="D805" s="147">
        <v>45746</v>
      </c>
      <c r="E805" s="148">
        <v>10919000</v>
      </c>
      <c r="F805" s="44">
        <f t="shared" si="43"/>
        <v>873520</v>
      </c>
      <c r="G805" s="149">
        <f t="shared" si="44"/>
        <v>11792520</v>
      </c>
      <c r="H805" s="149">
        <v>11792520</v>
      </c>
      <c r="I805" s="150">
        <f t="shared" si="48"/>
        <v>0</v>
      </c>
      <c r="J805" s="151">
        <v>45792</v>
      </c>
      <c r="K805" s="3">
        <v>9104914746</v>
      </c>
    </row>
    <row r="806" spans="1:11" ht="21.75" hidden="1" customHeight="1" x14ac:dyDescent="0.35">
      <c r="A806" s="145" t="s">
        <v>1725</v>
      </c>
      <c r="B806" s="146" t="s">
        <v>2898</v>
      </c>
      <c r="C806" s="146"/>
      <c r="D806" s="147">
        <v>45703</v>
      </c>
      <c r="E806" s="148">
        <v>12416000</v>
      </c>
      <c r="F806" s="44">
        <f t="shared" si="43"/>
        <v>993280</v>
      </c>
      <c r="G806" s="149">
        <f t="shared" si="44"/>
        <v>13409280</v>
      </c>
      <c r="H806" s="149">
        <v>13409280</v>
      </c>
      <c r="I806" s="150">
        <f t="shared" si="48"/>
        <v>0</v>
      </c>
      <c r="J806" s="151">
        <v>45731</v>
      </c>
    </row>
    <row r="807" spans="1:11" ht="21.75" hidden="1" customHeight="1" x14ac:dyDescent="0.35">
      <c r="A807" s="145" t="s">
        <v>1377</v>
      </c>
      <c r="B807" s="146" t="s">
        <v>2899</v>
      </c>
      <c r="C807" s="146"/>
      <c r="D807" s="147">
        <v>45703</v>
      </c>
      <c r="E807" s="148">
        <v>7401000</v>
      </c>
      <c r="F807" s="44">
        <f t="shared" ref="F807:F882" si="49">+E807*0.08</f>
        <v>592080</v>
      </c>
      <c r="G807" s="149">
        <f t="shared" ref="G807:G882" si="50">+F807+E807</f>
        <v>7993080</v>
      </c>
      <c r="H807" s="149">
        <v>7993080</v>
      </c>
      <c r="I807" s="150">
        <f t="shared" si="48"/>
        <v>0</v>
      </c>
      <c r="J807" s="151">
        <v>45731</v>
      </c>
    </row>
    <row r="808" spans="1:11" ht="21.75" hidden="1" customHeight="1" x14ac:dyDescent="0.35">
      <c r="A808" s="145" t="s">
        <v>1377</v>
      </c>
      <c r="B808" s="146" t="s">
        <v>2900</v>
      </c>
      <c r="C808" s="146"/>
      <c r="D808" s="147">
        <v>45703</v>
      </c>
      <c r="E808" s="148">
        <v>896000</v>
      </c>
      <c r="F808" s="44">
        <f t="shared" si="49"/>
        <v>71680</v>
      </c>
      <c r="G808" s="149">
        <f t="shared" si="50"/>
        <v>967680</v>
      </c>
      <c r="H808" s="149">
        <v>967680</v>
      </c>
      <c r="I808" s="150">
        <f t="shared" si="48"/>
        <v>0</v>
      </c>
      <c r="J808" s="151">
        <v>45731</v>
      </c>
    </row>
    <row r="809" spans="1:11" ht="21.75" hidden="1" customHeight="1" x14ac:dyDescent="0.35">
      <c r="A809" s="145" t="s">
        <v>2901</v>
      </c>
      <c r="B809" s="146"/>
      <c r="C809" s="146"/>
      <c r="D809" s="147"/>
      <c r="E809" s="148"/>
      <c r="F809" s="44">
        <f t="shared" si="49"/>
        <v>0</v>
      </c>
      <c r="G809" s="149">
        <v>11369060</v>
      </c>
      <c r="H809" s="149">
        <v>11369060</v>
      </c>
      <c r="I809" s="150">
        <f t="shared" si="48"/>
        <v>0</v>
      </c>
      <c r="J809" s="151">
        <v>45731</v>
      </c>
    </row>
    <row r="810" spans="1:11" ht="21.75" hidden="1" customHeight="1" x14ac:dyDescent="0.35">
      <c r="A810" s="145" t="s">
        <v>2902</v>
      </c>
      <c r="B810" s="146"/>
      <c r="C810" s="146"/>
      <c r="D810" s="147"/>
      <c r="E810" s="148"/>
      <c r="F810" s="44">
        <f t="shared" si="49"/>
        <v>0</v>
      </c>
      <c r="G810" s="149">
        <v>45476240</v>
      </c>
      <c r="H810" s="149">
        <v>45476240</v>
      </c>
      <c r="I810" s="150">
        <f t="shared" si="48"/>
        <v>0</v>
      </c>
      <c r="J810" s="151">
        <v>45731</v>
      </c>
    </row>
    <row r="811" spans="1:11" ht="21.75" hidden="1" customHeight="1" x14ac:dyDescent="0.35">
      <c r="A811" s="145" t="s">
        <v>2903</v>
      </c>
      <c r="B811" s="146"/>
      <c r="C811" s="146"/>
      <c r="D811" s="147"/>
      <c r="E811" s="148"/>
      <c r="F811" s="44">
        <f t="shared" si="49"/>
        <v>0</v>
      </c>
      <c r="G811" s="149">
        <v>90952480</v>
      </c>
      <c r="H811" s="149">
        <v>90952480</v>
      </c>
      <c r="I811" s="150">
        <f t="shared" si="48"/>
        <v>0</v>
      </c>
      <c r="J811" s="151">
        <v>45731</v>
      </c>
    </row>
    <row r="812" spans="1:11" ht="21.75" hidden="1" customHeight="1" x14ac:dyDescent="0.35">
      <c r="A812" s="145" t="s">
        <v>2903</v>
      </c>
      <c r="B812" s="146"/>
      <c r="C812" s="146"/>
      <c r="D812" s="147"/>
      <c r="E812" s="148"/>
      <c r="F812" s="44">
        <f t="shared" si="49"/>
        <v>0</v>
      </c>
      <c r="G812" s="149">
        <v>1538160</v>
      </c>
      <c r="H812" s="149">
        <v>1538160</v>
      </c>
      <c r="I812" s="150">
        <f t="shared" si="48"/>
        <v>0</v>
      </c>
      <c r="J812" s="151">
        <v>45731</v>
      </c>
    </row>
    <row r="813" spans="1:11" ht="21.75" hidden="1" customHeight="1" x14ac:dyDescent="0.35">
      <c r="A813" s="145" t="s">
        <v>2901</v>
      </c>
      <c r="B813" s="146"/>
      <c r="C813" s="146"/>
      <c r="D813" s="147"/>
      <c r="E813" s="148"/>
      <c r="F813" s="44">
        <f t="shared" si="49"/>
        <v>0</v>
      </c>
      <c r="G813" s="149">
        <v>192270</v>
      </c>
      <c r="H813" s="149">
        <v>192270</v>
      </c>
      <c r="I813" s="150">
        <f t="shared" si="48"/>
        <v>0</v>
      </c>
      <c r="J813" s="151">
        <v>45731</v>
      </c>
    </row>
    <row r="814" spans="1:11" ht="21.75" hidden="1" customHeight="1" x14ac:dyDescent="0.35">
      <c r="A814" s="145" t="s">
        <v>2904</v>
      </c>
      <c r="B814" s="146"/>
      <c r="C814" s="146"/>
      <c r="D814" s="147"/>
      <c r="E814" s="148"/>
      <c r="F814" s="44">
        <f t="shared" si="49"/>
        <v>0</v>
      </c>
      <c r="G814" s="149">
        <v>4992230</v>
      </c>
      <c r="H814" s="149">
        <v>4992230</v>
      </c>
      <c r="I814" s="150">
        <f t="shared" si="48"/>
        <v>0</v>
      </c>
      <c r="J814" s="151">
        <v>45731</v>
      </c>
    </row>
    <row r="815" spans="1:11" ht="21.75" hidden="1" customHeight="1" x14ac:dyDescent="0.35">
      <c r="A815" s="145" t="s">
        <v>2905</v>
      </c>
      <c r="B815" s="146"/>
      <c r="C815" s="146"/>
      <c r="D815" s="147"/>
      <c r="E815" s="148"/>
      <c r="F815" s="44">
        <f t="shared" si="49"/>
        <v>0</v>
      </c>
      <c r="G815" s="149">
        <v>624030</v>
      </c>
      <c r="H815" s="149">
        <v>624030</v>
      </c>
      <c r="I815" s="150">
        <f t="shared" si="48"/>
        <v>0</v>
      </c>
      <c r="J815" s="151">
        <v>45731</v>
      </c>
    </row>
    <row r="816" spans="1:11" ht="21.75" hidden="1" customHeight="1" x14ac:dyDescent="0.35">
      <c r="A816" s="145" t="s">
        <v>2902</v>
      </c>
      <c r="B816" s="146"/>
      <c r="C816" s="146"/>
      <c r="D816" s="147"/>
      <c r="E816" s="148"/>
      <c r="F816" s="44">
        <f t="shared" si="49"/>
        <v>0</v>
      </c>
      <c r="G816" s="149">
        <v>769080</v>
      </c>
      <c r="H816" s="149">
        <v>769080</v>
      </c>
      <c r="I816" s="150">
        <f t="shared" si="48"/>
        <v>0</v>
      </c>
      <c r="J816" s="151">
        <v>45731</v>
      </c>
    </row>
    <row r="817" spans="1:11" ht="21.75" hidden="1" customHeight="1" x14ac:dyDescent="0.35">
      <c r="A817" s="145" t="s">
        <v>1864</v>
      </c>
      <c r="B817" s="146" t="s">
        <v>2921</v>
      </c>
      <c r="C817" s="146"/>
      <c r="D817" s="147">
        <v>45749</v>
      </c>
      <c r="E817" s="148">
        <v>4023500</v>
      </c>
      <c r="F817" s="44">
        <f t="shared" si="49"/>
        <v>321880</v>
      </c>
      <c r="G817" s="149">
        <f t="shared" si="50"/>
        <v>4345380</v>
      </c>
      <c r="H817" s="149">
        <v>4345380</v>
      </c>
      <c r="I817" s="150">
        <f t="shared" si="48"/>
        <v>0</v>
      </c>
      <c r="J817" s="151">
        <v>45792</v>
      </c>
      <c r="K817" s="3">
        <v>9104910267</v>
      </c>
    </row>
    <row r="818" spans="1:11" ht="21.75" hidden="1" customHeight="1" x14ac:dyDescent="0.35">
      <c r="A818" s="145" t="s">
        <v>1751</v>
      </c>
      <c r="B818" s="146" t="s">
        <v>2922</v>
      </c>
      <c r="C818" s="146"/>
      <c r="D818" s="147">
        <v>45761</v>
      </c>
      <c r="E818" s="148">
        <v>18385000</v>
      </c>
      <c r="F818" s="44">
        <f t="shared" si="49"/>
        <v>1470800</v>
      </c>
      <c r="G818" s="149">
        <f t="shared" si="50"/>
        <v>19855800</v>
      </c>
      <c r="H818" s="149">
        <v>19855800</v>
      </c>
      <c r="I818" s="150">
        <f t="shared" si="48"/>
        <v>0</v>
      </c>
      <c r="J818" s="151">
        <v>45792</v>
      </c>
      <c r="K818" s="3">
        <v>9105158538</v>
      </c>
    </row>
    <row r="819" spans="1:11" ht="21.75" hidden="1" customHeight="1" x14ac:dyDescent="0.35">
      <c r="A819" s="145" t="s">
        <v>1727</v>
      </c>
      <c r="B819" s="146" t="s">
        <v>2963</v>
      </c>
      <c r="C819" s="146"/>
      <c r="D819" s="147">
        <v>45765</v>
      </c>
      <c r="E819" s="148">
        <v>32000</v>
      </c>
      <c r="F819" s="44">
        <f t="shared" si="49"/>
        <v>2560</v>
      </c>
      <c r="G819" s="149">
        <f t="shared" si="50"/>
        <v>34560</v>
      </c>
      <c r="H819" s="149">
        <v>34560</v>
      </c>
      <c r="I819" s="150">
        <f t="shared" si="48"/>
        <v>0</v>
      </c>
      <c r="J819" s="151">
        <v>45853</v>
      </c>
    </row>
    <row r="820" spans="1:11" ht="21.75" hidden="1" customHeight="1" x14ac:dyDescent="0.35">
      <c r="A820" s="145" t="s">
        <v>3536</v>
      </c>
      <c r="B820" s="146" t="s">
        <v>3508</v>
      </c>
      <c r="C820" s="146"/>
      <c r="D820" s="147" t="s">
        <v>3524</v>
      </c>
      <c r="E820" s="148" t="s">
        <v>3516</v>
      </c>
      <c r="F820" s="44">
        <f t="shared" si="49"/>
        <v>62400</v>
      </c>
      <c r="G820" s="149">
        <f t="shared" si="50"/>
        <v>842400</v>
      </c>
      <c r="H820" s="149">
        <v>842400</v>
      </c>
      <c r="I820" s="150">
        <f t="shared" si="48"/>
        <v>0</v>
      </c>
      <c r="J820" s="151">
        <v>45792</v>
      </c>
      <c r="K820" s="3" t="s">
        <v>3528</v>
      </c>
    </row>
    <row r="821" spans="1:11" ht="21.75" hidden="1" customHeight="1" x14ac:dyDescent="0.35">
      <c r="A821" s="145" t="s">
        <v>37</v>
      </c>
      <c r="B821" s="146" t="s">
        <v>3509</v>
      </c>
      <c r="C821" s="146"/>
      <c r="D821" s="147" t="s">
        <v>2947</v>
      </c>
      <c r="E821" s="148" t="s">
        <v>3517</v>
      </c>
      <c r="F821" s="44">
        <f t="shared" si="49"/>
        <v>1529120</v>
      </c>
      <c r="G821" s="149">
        <f t="shared" si="50"/>
        <v>20643120</v>
      </c>
      <c r="H821" s="149">
        <v>20643120</v>
      </c>
      <c r="I821" s="150">
        <f t="shared" si="48"/>
        <v>0</v>
      </c>
      <c r="J821" s="151">
        <v>45792</v>
      </c>
      <c r="K821" s="3" t="s">
        <v>3529</v>
      </c>
    </row>
    <row r="822" spans="1:11" ht="21.75" hidden="1" customHeight="1" x14ac:dyDescent="0.35">
      <c r="A822" s="145" t="s">
        <v>3537</v>
      </c>
      <c r="B822" s="146" t="s">
        <v>3510</v>
      </c>
      <c r="C822" s="146"/>
      <c r="D822" s="147" t="s">
        <v>2947</v>
      </c>
      <c r="E822" s="148" t="s">
        <v>3518</v>
      </c>
      <c r="F822" s="44">
        <f t="shared" si="49"/>
        <v>12800</v>
      </c>
      <c r="G822" s="149">
        <f t="shared" si="50"/>
        <v>172800</v>
      </c>
      <c r="H822" s="149">
        <v>172800</v>
      </c>
      <c r="I822" s="150">
        <f t="shared" si="48"/>
        <v>0</v>
      </c>
      <c r="J822" s="151">
        <v>45792</v>
      </c>
      <c r="K822" s="3" t="s">
        <v>3530</v>
      </c>
    </row>
    <row r="823" spans="1:11" ht="21.75" hidden="1" customHeight="1" x14ac:dyDescent="0.35">
      <c r="A823" s="145" t="s">
        <v>37</v>
      </c>
      <c r="B823" s="146" t="s">
        <v>3511</v>
      </c>
      <c r="C823" s="146"/>
      <c r="D823" s="147" t="s">
        <v>3525</v>
      </c>
      <c r="E823" s="148" t="s">
        <v>3519</v>
      </c>
      <c r="F823" s="44">
        <f t="shared" si="49"/>
        <v>157840</v>
      </c>
      <c r="G823" s="149">
        <f t="shared" si="50"/>
        <v>2130840</v>
      </c>
      <c r="H823" s="149">
        <v>2130840</v>
      </c>
      <c r="I823" s="150">
        <f t="shared" si="48"/>
        <v>0</v>
      </c>
      <c r="J823" s="151">
        <v>45853</v>
      </c>
      <c r="K823" s="3" t="s">
        <v>3531</v>
      </c>
    </row>
    <row r="824" spans="1:11" ht="21.75" hidden="1" customHeight="1" x14ac:dyDescent="0.35">
      <c r="A824" s="145" t="s">
        <v>77</v>
      </c>
      <c r="B824" s="146" t="s">
        <v>3512</v>
      </c>
      <c r="C824" s="146"/>
      <c r="D824" s="147" t="s">
        <v>3526</v>
      </c>
      <c r="E824" s="148" t="s">
        <v>3520</v>
      </c>
      <c r="F824" s="44">
        <f t="shared" si="49"/>
        <v>1696955.68</v>
      </c>
      <c r="G824" s="149">
        <f t="shared" si="50"/>
        <v>22908901.68</v>
      </c>
      <c r="H824" s="149">
        <v>22908901.68</v>
      </c>
      <c r="I824" s="150">
        <f t="shared" si="48"/>
        <v>0</v>
      </c>
      <c r="J824" s="151">
        <v>45792</v>
      </c>
      <c r="K824" s="3" t="s">
        <v>3532</v>
      </c>
    </row>
    <row r="825" spans="1:11" ht="21.75" hidden="1" customHeight="1" x14ac:dyDescent="0.35">
      <c r="A825" s="145" t="s">
        <v>3538</v>
      </c>
      <c r="B825" s="146" t="s">
        <v>3513</v>
      </c>
      <c r="C825" s="146"/>
      <c r="D825" s="147" t="s">
        <v>3527</v>
      </c>
      <c r="E825" s="148" t="s">
        <v>3521</v>
      </c>
      <c r="F825" s="44">
        <f t="shared" si="49"/>
        <v>16640</v>
      </c>
      <c r="G825" s="149">
        <f t="shared" si="50"/>
        <v>224640</v>
      </c>
      <c r="H825" s="149">
        <v>224640</v>
      </c>
      <c r="I825" s="150">
        <f t="shared" si="48"/>
        <v>0</v>
      </c>
      <c r="J825" s="151"/>
      <c r="K825" s="3" t="s">
        <v>3533</v>
      </c>
    </row>
    <row r="826" spans="1:11" ht="21.75" hidden="1" customHeight="1" x14ac:dyDescent="0.35">
      <c r="A826" s="145" t="s">
        <v>3539</v>
      </c>
      <c r="B826" s="146" t="s">
        <v>3514</v>
      </c>
      <c r="C826" s="146"/>
      <c r="D826" s="147" t="s">
        <v>3527</v>
      </c>
      <c r="E826" s="148" t="s">
        <v>3522</v>
      </c>
      <c r="F826" s="44">
        <f t="shared" si="49"/>
        <v>2560</v>
      </c>
      <c r="G826" s="149">
        <f t="shared" si="50"/>
        <v>34560</v>
      </c>
      <c r="H826" s="149">
        <v>34560</v>
      </c>
      <c r="I826" s="150">
        <f t="shared" si="48"/>
        <v>0</v>
      </c>
      <c r="J826" s="151"/>
      <c r="K826" s="3" t="s">
        <v>3534</v>
      </c>
    </row>
    <row r="827" spans="1:11" ht="21.75" hidden="1" customHeight="1" x14ac:dyDescent="0.35">
      <c r="A827" s="145" t="s">
        <v>3540</v>
      </c>
      <c r="B827" s="146" t="s">
        <v>3515</v>
      </c>
      <c r="C827" s="146"/>
      <c r="D827" s="147" t="s">
        <v>3527</v>
      </c>
      <c r="E827" s="148" t="s">
        <v>3523</v>
      </c>
      <c r="F827" s="44">
        <f t="shared" si="49"/>
        <v>17920</v>
      </c>
      <c r="G827" s="149">
        <f t="shared" si="50"/>
        <v>241920</v>
      </c>
      <c r="H827" s="149">
        <v>241920</v>
      </c>
      <c r="I827" s="150">
        <f t="shared" si="48"/>
        <v>0</v>
      </c>
      <c r="J827" s="151"/>
      <c r="K827" s="3" t="s">
        <v>3535</v>
      </c>
    </row>
    <row r="828" spans="1:11" ht="21.75" hidden="1" customHeight="1" x14ac:dyDescent="0.35">
      <c r="A828" s="145" t="s">
        <v>3227</v>
      </c>
      <c r="B828" s="146" t="s">
        <v>3497</v>
      </c>
      <c r="C828" s="146"/>
      <c r="D828" s="147" t="s">
        <v>3503</v>
      </c>
      <c r="E828" s="148" t="s">
        <v>3500</v>
      </c>
      <c r="F828" s="44">
        <f t="shared" si="49"/>
        <v>5120</v>
      </c>
      <c r="G828" s="149">
        <f t="shared" si="50"/>
        <v>69120</v>
      </c>
      <c r="H828" s="149">
        <v>69120</v>
      </c>
      <c r="I828" s="150">
        <f t="shared" si="48"/>
        <v>0</v>
      </c>
      <c r="J828" s="151"/>
      <c r="K828" s="3" t="s">
        <v>3506</v>
      </c>
    </row>
    <row r="829" spans="1:11" ht="21.75" hidden="1" customHeight="1" x14ac:dyDescent="0.35">
      <c r="A829" s="145" t="s">
        <v>3229</v>
      </c>
      <c r="B829" s="146" t="s">
        <v>3498</v>
      </c>
      <c r="C829" s="146"/>
      <c r="D829" s="147" t="s">
        <v>3504</v>
      </c>
      <c r="E829" s="148" t="s">
        <v>3501</v>
      </c>
      <c r="F829" s="44">
        <f t="shared" si="49"/>
        <v>32160</v>
      </c>
      <c r="G829" s="149">
        <f t="shared" si="50"/>
        <v>434160</v>
      </c>
      <c r="H829" s="149">
        <v>434160</v>
      </c>
      <c r="I829" s="150">
        <f t="shared" si="48"/>
        <v>0</v>
      </c>
      <c r="J829" s="151"/>
      <c r="K829" s="3" t="s">
        <v>3507</v>
      </c>
    </row>
    <row r="830" spans="1:11" ht="21.75" hidden="1" customHeight="1" x14ac:dyDescent="0.35">
      <c r="A830" s="145" t="s">
        <v>77</v>
      </c>
      <c r="B830" s="146" t="s">
        <v>3499</v>
      </c>
      <c r="C830" s="146"/>
      <c r="D830" s="147" t="s">
        <v>3505</v>
      </c>
      <c r="E830" s="148" t="s">
        <v>3502</v>
      </c>
      <c r="F830" s="44">
        <f t="shared" si="49"/>
        <v>1472861.84</v>
      </c>
      <c r="G830" s="149">
        <f t="shared" si="50"/>
        <v>19883634.84</v>
      </c>
      <c r="H830" s="149">
        <v>19883634.84</v>
      </c>
      <c r="I830" s="150">
        <f t="shared" si="48"/>
        <v>0</v>
      </c>
      <c r="J830" s="151">
        <v>45802</v>
      </c>
    </row>
    <row r="831" spans="1:11" ht="21.75" hidden="1" customHeight="1" x14ac:dyDescent="0.35">
      <c r="A831" s="145" t="s">
        <v>3229</v>
      </c>
      <c r="B831" s="146" t="s">
        <v>3541</v>
      </c>
      <c r="C831" s="146"/>
      <c r="D831" s="147" t="s">
        <v>3547</v>
      </c>
      <c r="E831" s="148" t="s">
        <v>3544</v>
      </c>
      <c r="F831" s="44">
        <f t="shared" si="49"/>
        <v>198720</v>
      </c>
      <c r="G831" s="149">
        <f t="shared" si="50"/>
        <v>2682720</v>
      </c>
      <c r="H831" s="149">
        <v>2682720</v>
      </c>
      <c r="I831" s="150">
        <f t="shared" si="48"/>
        <v>0</v>
      </c>
      <c r="J831" s="151">
        <v>45853</v>
      </c>
      <c r="K831" s="3" t="s">
        <v>3550</v>
      </c>
    </row>
    <row r="832" spans="1:11" ht="21.75" hidden="1" customHeight="1" x14ac:dyDescent="0.35">
      <c r="A832" s="145" t="s">
        <v>77</v>
      </c>
      <c r="B832" s="146" t="s">
        <v>3542</v>
      </c>
      <c r="C832" s="146"/>
      <c r="D832" s="147" t="s">
        <v>3548</v>
      </c>
      <c r="E832" s="148" t="s">
        <v>3545</v>
      </c>
      <c r="F832" s="44">
        <f t="shared" si="49"/>
        <v>4436254.6399999997</v>
      </c>
      <c r="G832" s="149">
        <f t="shared" si="50"/>
        <v>59889437.640000001</v>
      </c>
      <c r="H832" s="149">
        <v>59889437.640000001</v>
      </c>
      <c r="I832" s="150">
        <f t="shared" si="48"/>
        <v>0</v>
      </c>
      <c r="J832" s="151">
        <v>45833</v>
      </c>
      <c r="K832" s="3" t="s">
        <v>3532</v>
      </c>
    </row>
    <row r="833" spans="1:11" ht="21.75" hidden="1" customHeight="1" x14ac:dyDescent="0.35">
      <c r="A833" s="145" t="s">
        <v>3536</v>
      </c>
      <c r="B833" s="146" t="s">
        <v>3543</v>
      </c>
      <c r="C833" s="146"/>
      <c r="D833" s="147" t="s">
        <v>3549</v>
      </c>
      <c r="E833" s="148" t="s">
        <v>3546</v>
      </c>
      <c r="F833" s="44">
        <f t="shared" si="49"/>
        <v>96000</v>
      </c>
      <c r="G833" s="149">
        <f t="shared" si="50"/>
        <v>1296000</v>
      </c>
      <c r="H833" s="149">
        <v>1296000</v>
      </c>
      <c r="I833" s="150">
        <f t="shared" si="48"/>
        <v>0</v>
      </c>
      <c r="J833" s="151">
        <v>45884</v>
      </c>
      <c r="K833" s="3" t="s">
        <v>3551</v>
      </c>
    </row>
    <row r="834" spans="1:11" ht="21.75" hidden="1" customHeight="1" x14ac:dyDescent="0.35">
      <c r="A834" s="145" t="s">
        <v>37</v>
      </c>
      <c r="B834" s="146" t="s">
        <v>3556</v>
      </c>
      <c r="C834" s="146"/>
      <c r="D834" s="147" t="s">
        <v>3552</v>
      </c>
      <c r="E834" s="148" t="s">
        <v>3522</v>
      </c>
      <c r="F834" s="44">
        <f t="shared" si="49"/>
        <v>2560</v>
      </c>
      <c r="G834" s="149">
        <f t="shared" si="50"/>
        <v>34560</v>
      </c>
      <c r="H834" s="149">
        <v>34560</v>
      </c>
      <c r="I834" s="150">
        <f t="shared" si="48"/>
        <v>0</v>
      </c>
      <c r="J834" s="151">
        <v>46006</v>
      </c>
      <c r="K834" s="3" t="s">
        <v>3565</v>
      </c>
    </row>
    <row r="835" spans="1:11" ht="21.75" hidden="1" customHeight="1" x14ac:dyDescent="0.35">
      <c r="A835" s="145" t="s">
        <v>37</v>
      </c>
      <c r="B835" s="146" t="s">
        <v>3557</v>
      </c>
      <c r="C835" s="146"/>
      <c r="D835" s="147" t="s">
        <v>3553</v>
      </c>
      <c r="E835" s="148" t="s">
        <v>3561</v>
      </c>
      <c r="F835" s="44">
        <f t="shared" si="49"/>
        <v>10240</v>
      </c>
      <c r="G835" s="149">
        <f t="shared" si="50"/>
        <v>138240</v>
      </c>
      <c r="H835" s="149">
        <v>138240</v>
      </c>
      <c r="I835" s="150">
        <f t="shared" si="48"/>
        <v>0</v>
      </c>
      <c r="J835" s="151">
        <v>46006</v>
      </c>
      <c r="K835" s="3" t="s">
        <v>3566</v>
      </c>
    </row>
    <row r="836" spans="1:11" ht="21.75" hidden="1" customHeight="1" x14ac:dyDescent="0.35">
      <c r="A836" s="145" t="s">
        <v>3229</v>
      </c>
      <c r="B836" s="146" t="s">
        <v>3558</v>
      </c>
      <c r="C836" s="146"/>
      <c r="D836" s="147" t="s">
        <v>3554</v>
      </c>
      <c r="E836" s="148" t="s">
        <v>3562</v>
      </c>
      <c r="F836" s="44">
        <f t="shared" si="49"/>
        <v>10720</v>
      </c>
      <c r="G836" s="149">
        <f t="shared" si="50"/>
        <v>144720</v>
      </c>
      <c r="H836" s="149">
        <v>144720</v>
      </c>
      <c r="I836" s="150">
        <f t="shared" si="48"/>
        <v>0</v>
      </c>
      <c r="J836" s="151">
        <v>46006</v>
      </c>
      <c r="K836" s="3" t="s">
        <v>3567</v>
      </c>
    </row>
    <row r="837" spans="1:11" ht="21.75" hidden="1" customHeight="1" x14ac:dyDescent="0.35">
      <c r="A837" s="145" t="s">
        <v>3229</v>
      </c>
      <c r="B837" s="146" t="s">
        <v>3559</v>
      </c>
      <c r="C837" s="146"/>
      <c r="D837" s="147" t="s">
        <v>3554</v>
      </c>
      <c r="E837" s="148" t="s">
        <v>3563</v>
      </c>
      <c r="F837" s="44">
        <f t="shared" si="49"/>
        <v>21440</v>
      </c>
      <c r="G837" s="149">
        <f t="shared" si="50"/>
        <v>289440</v>
      </c>
      <c r="H837" s="149">
        <v>289440</v>
      </c>
      <c r="I837" s="150">
        <f t="shared" si="48"/>
        <v>0</v>
      </c>
      <c r="J837" s="151">
        <v>46006</v>
      </c>
      <c r="K837" s="3" t="s">
        <v>3568</v>
      </c>
    </row>
    <row r="838" spans="1:11" ht="21.75" hidden="1" customHeight="1" x14ac:dyDescent="0.35">
      <c r="A838" s="145" t="s">
        <v>77</v>
      </c>
      <c r="B838" s="146" t="s">
        <v>3560</v>
      </c>
      <c r="C838" s="146"/>
      <c r="D838" s="147" t="s">
        <v>3555</v>
      </c>
      <c r="E838" s="148" t="s">
        <v>3564</v>
      </c>
      <c r="F838" s="44">
        <f t="shared" si="49"/>
        <v>6056432.7999999998</v>
      </c>
      <c r="G838" s="149">
        <f t="shared" si="50"/>
        <v>81761842.799999997</v>
      </c>
      <c r="H838" s="149">
        <v>81761842.799999997</v>
      </c>
      <c r="I838" s="150">
        <f t="shared" si="48"/>
        <v>0</v>
      </c>
      <c r="J838" s="151">
        <v>45863</v>
      </c>
    </row>
    <row r="839" spans="1:11" ht="21.75" hidden="1" customHeight="1" x14ac:dyDescent="0.35">
      <c r="A839" s="145" t="s">
        <v>37</v>
      </c>
      <c r="B839" s="146" t="s">
        <v>3577</v>
      </c>
      <c r="C839" s="146"/>
      <c r="D839" s="147" t="s">
        <v>3569</v>
      </c>
      <c r="E839" s="148" t="s">
        <v>3518</v>
      </c>
      <c r="F839" s="44">
        <f t="shared" si="49"/>
        <v>12800</v>
      </c>
      <c r="G839" s="149">
        <f t="shared" si="50"/>
        <v>172800</v>
      </c>
      <c r="H839" s="149">
        <v>172800</v>
      </c>
      <c r="I839" s="150">
        <f t="shared" si="48"/>
        <v>0</v>
      </c>
      <c r="J839" s="151">
        <v>46006</v>
      </c>
      <c r="K839" s="3" t="s">
        <v>3593</v>
      </c>
    </row>
    <row r="840" spans="1:11" ht="21.75" hidden="1" customHeight="1" x14ac:dyDescent="0.35">
      <c r="A840" s="145" t="s">
        <v>3229</v>
      </c>
      <c r="B840" s="146" t="s">
        <v>3578</v>
      </c>
      <c r="C840" s="146"/>
      <c r="D840" s="147" t="s">
        <v>3570</v>
      </c>
      <c r="E840" s="148" t="s">
        <v>3522</v>
      </c>
      <c r="F840" s="44">
        <f t="shared" si="49"/>
        <v>2560</v>
      </c>
      <c r="G840" s="149">
        <f t="shared" si="50"/>
        <v>34560</v>
      </c>
      <c r="H840" s="149">
        <v>34560</v>
      </c>
      <c r="I840" s="150">
        <f t="shared" si="48"/>
        <v>0</v>
      </c>
      <c r="J840" s="151">
        <v>46006</v>
      </c>
      <c r="K840" s="3" t="s">
        <v>3594</v>
      </c>
    </row>
    <row r="841" spans="1:11" ht="21.75" hidden="1" customHeight="1" x14ac:dyDescent="0.35">
      <c r="A841" s="145" t="s">
        <v>3591</v>
      </c>
      <c r="B841" s="146" t="s">
        <v>3579</v>
      </c>
      <c r="C841" s="146"/>
      <c r="D841" s="147" t="s">
        <v>3571</v>
      </c>
      <c r="E841" s="148" t="s">
        <v>3586</v>
      </c>
      <c r="F841" s="44">
        <f t="shared" si="49"/>
        <v>22880</v>
      </c>
      <c r="G841" s="149">
        <f t="shared" si="50"/>
        <v>308880</v>
      </c>
      <c r="H841" s="149">
        <v>308880</v>
      </c>
      <c r="I841" s="150">
        <f t="shared" si="48"/>
        <v>0</v>
      </c>
      <c r="J841" s="151">
        <v>46006</v>
      </c>
      <c r="K841" s="3" t="s">
        <v>3595</v>
      </c>
    </row>
    <row r="842" spans="1:11" ht="21.75" hidden="1" customHeight="1" x14ac:dyDescent="0.35">
      <c r="A842" s="145" t="s">
        <v>3592</v>
      </c>
      <c r="B842" s="146" t="s">
        <v>3580</v>
      </c>
      <c r="C842" s="146"/>
      <c r="D842" s="147" t="s">
        <v>3572</v>
      </c>
      <c r="E842" s="148" t="s">
        <v>3587</v>
      </c>
      <c r="F842" s="44">
        <f t="shared" si="49"/>
        <v>103240</v>
      </c>
      <c r="G842" s="149">
        <f t="shared" si="50"/>
        <v>1393740</v>
      </c>
      <c r="H842" s="149">
        <v>1393740</v>
      </c>
      <c r="I842" s="150">
        <f t="shared" si="48"/>
        <v>0</v>
      </c>
      <c r="J842" s="151">
        <v>46006</v>
      </c>
      <c r="K842" s="3" t="s">
        <v>3596</v>
      </c>
    </row>
    <row r="843" spans="1:11" ht="21.75" hidden="1" customHeight="1" x14ac:dyDescent="0.35">
      <c r="A843" s="145" t="s">
        <v>77</v>
      </c>
      <c r="B843" s="146" t="s">
        <v>3581</v>
      </c>
      <c r="C843" s="146"/>
      <c r="D843" s="147" t="s">
        <v>3573</v>
      </c>
      <c r="E843" s="148" t="s">
        <v>3588</v>
      </c>
      <c r="F843" s="44">
        <f t="shared" si="49"/>
        <v>4675728</v>
      </c>
      <c r="G843" s="149">
        <f t="shared" si="50"/>
        <v>63122328</v>
      </c>
      <c r="H843" s="149">
        <v>63122328</v>
      </c>
      <c r="I843" s="150">
        <f t="shared" si="48"/>
        <v>0</v>
      </c>
      <c r="J843" s="151">
        <v>45894</v>
      </c>
      <c r="K843" s="3" t="s">
        <v>3532</v>
      </c>
    </row>
    <row r="844" spans="1:11" ht="21.75" hidden="1" customHeight="1" x14ac:dyDescent="0.35">
      <c r="A844" s="145" t="s">
        <v>3537</v>
      </c>
      <c r="B844" s="146" t="s">
        <v>3582</v>
      </c>
      <c r="C844" s="146"/>
      <c r="D844" s="147" t="s">
        <v>3574</v>
      </c>
      <c r="E844" s="148" t="s">
        <v>3589</v>
      </c>
      <c r="F844" s="44">
        <f t="shared" si="49"/>
        <v>2080</v>
      </c>
      <c r="G844" s="149">
        <f t="shared" si="50"/>
        <v>28080</v>
      </c>
      <c r="H844" s="149">
        <v>28080</v>
      </c>
      <c r="I844" s="150">
        <f t="shared" si="48"/>
        <v>0</v>
      </c>
      <c r="J844" s="151">
        <v>46006</v>
      </c>
      <c r="K844" s="3" t="s">
        <v>3597</v>
      </c>
    </row>
    <row r="845" spans="1:11" ht="21.75" hidden="1" customHeight="1" x14ac:dyDescent="0.35">
      <c r="A845" s="145" t="s">
        <v>3229</v>
      </c>
      <c r="B845" s="146" t="s">
        <v>3583</v>
      </c>
      <c r="C845" s="146"/>
      <c r="D845" s="147" t="s">
        <v>3575</v>
      </c>
      <c r="E845" s="148" t="s">
        <v>3590</v>
      </c>
      <c r="F845" s="44">
        <f t="shared" si="49"/>
        <v>45560</v>
      </c>
      <c r="G845" s="149">
        <f t="shared" si="50"/>
        <v>615060</v>
      </c>
      <c r="H845" s="149">
        <v>615060</v>
      </c>
      <c r="I845" s="150">
        <f t="shared" si="48"/>
        <v>0</v>
      </c>
      <c r="J845" s="151">
        <v>46006</v>
      </c>
      <c r="K845" s="3" t="s">
        <v>3598</v>
      </c>
    </row>
    <row r="846" spans="1:11" ht="21.75" hidden="1" customHeight="1" x14ac:dyDescent="0.35">
      <c r="A846" s="145" t="s">
        <v>3229</v>
      </c>
      <c r="B846" s="146" t="s">
        <v>3584</v>
      </c>
      <c r="C846" s="146"/>
      <c r="D846" s="147" t="s">
        <v>3576</v>
      </c>
      <c r="E846" s="148" t="s">
        <v>3500</v>
      </c>
      <c r="F846" s="44">
        <f t="shared" si="49"/>
        <v>5120</v>
      </c>
      <c r="G846" s="149">
        <f t="shared" si="50"/>
        <v>69120</v>
      </c>
      <c r="H846" s="149">
        <v>69120</v>
      </c>
      <c r="I846" s="150">
        <f t="shared" si="48"/>
        <v>0</v>
      </c>
      <c r="J846" s="151">
        <v>46006</v>
      </c>
      <c r="K846" s="3" t="s">
        <v>3599</v>
      </c>
    </row>
    <row r="847" spans="1:11" ht="21.75" hidden="1" customHeight="1" x14ac:dyDescent="0.35">
      <c r="A847" s="145" t="s">
        <v>37</v>
      </c>
      <c r="B847" s="146" t="s">
        <v>3585</v>
      </c>
      <c r="C847" s="146"/>
      <c r="D847" s="147" t="s">
        <v>3222</v>
      </c>
      <c r="E847" s="148" t="s">
        <v>3518</v>
      </c>
      <c r="F847" s="44">
        <f t="shared" si="49"/>
        <v>12800</v>
      </c>
      <c r="G847" s="149">
        <f t="shared" si="50"/>
        <v>172800</v>
      </c>
      <c r="H847" s="149">
        <v>172800</v>
      </c>
      <c r="I847" s="150">
        <f t="shared" si="48"/>
        <v>0</v>
      </c>
      <c r="J847" s="151">
        <v>46006</v>
      </c>
      <c r="K847" s="3" t="s">
        <v>3600</v>
      </c>
    </row>
    <row r="848" spans="1:11" ht="21.75" hidden="1" customHeight="1" x14ac:dyDescent="0.35">
      <c r="A848" s="145" t="s">
        <v>3539</v>
      </c>
      <c r="B848" s="146" t="s">
        <v>1069</v>
      </c>
      <c r="C848" s="146"/>
      <c r="D848" s="147" t="s">
        <v>3601</v>
      </c>
      <c r="E848" s="148" t="s">
        <v>3609</v>
      </c>
      <c r="F848" s="44">
        <f t="shared" si="49"/>
        <v>8320</v>
      </c>
      <c r="G848" s="149">
        <f t="shared" si="50"/>
        <v>112320</v>
      </c>
      <c r="H848" s="149">
        <v>112320</v>
      </c>
      <c r="I848" s="150">
        <f t="shared" si="48"/>
        <v>0</v>
      </c>
      <c r="J848" s="151">
        <v>46006</v>
      </c>
      <c r="K848" s="3" t="s">
        <v>3614</v>
      </c>
    </row>
    <row r="849" spans="1:11" ht="21.75" hidden="1" customHeight="1" x14ac:dyDescent="0.35">
      <c r="A849" s="145" t="s">
        <v>3229</v>
      </c>
      <c r="B849" s="146" t="s">
        <v>3605</v>
      </c>
      <c r="C849" s="146"/>
      <c r="D849" s="147" t="s">
        <v>3602</v>
      </c>
      <c r="E849" s="148" t="s">
        <v>3610</v>
      </c>
      <c r="F849" s="44">
        <f t="shared" si="49"/>
        <v>36920</v>
      </c>
      <c r="G849" s="149">
        <f t="shared" si="50"/>
        <v>498420</v>
      </c>
      <c r="H849" s="149">
        <v>498420</v>
      </c>
      <c r="I849" s="150">
        <f t="shared" si="48"/>
        <v>0</v>
      </c>
      <c r="J849" s="151">
        <v>46006</v>
      </c>
      <c r="K849" s="3" t="s">
        <v>3615</v>
      </c>
    </row>
    <row r="850" spans="1:11" ht="21.75" hidden="1" customHeight="1" x14ac:dyDescent="0.35">
      <c r="A850" s="145" t="s">
        <v>3536</v>
      </c>
      <c r="B850" s="146" t="s">
        <v>3606</v>
      </c>
      <c r="C850" s="146"/>
      <c r="D850" s="147" t="s">
        <v>3602</v>
      </c>
      <c r="E850" s="148" t="s">
        <v>3611</v>
      </c>
      <c r="F850" s="44">
        <f t="shared" si="49"/>
        <v>9600</v>
      </c>
      <c r="G850" s="149">
        <f t="shared" si="50"/>
        <v>129600</v>
      </c>
      <c r="H850" s="149">
        <v>129600</v>
      </c>
      <c r="I850" s="150">
        <f t="shared" si="48"/>
        <v>0</v>
      </c>
      <c r="J850" s="151">
        <v>46006</v>
      </c>
      <c r="K850" s="3" t="s">
        <v>3616</v>
      </c>
    </row>
    <row r="851" spans="1:11" ht="21.75" hidden="1" customHeight="1" x14ac:dyDescent="0.35">
      <c r="A851" s="145" t="s">
        <v>77</v>
      </c>
      <c r="B851" s="146" t="s">
        <v>3607</v>
      </c>
      <c r="C851" s="146"/>
      <c r="D851" s="147" t="s">
        <v>3603</v>
      </c>
      <c r="E851" s="148" t="s">
        <v>3612</v>
      </c>
      <c r="F851" s="44">
        <f t="shared" si="49"/>
        <v>5488072.7999999998</v>
      </c>
      <c r="G851" s="149">
        <f t="shared" si="50"/>
        <v>74088982.799999997</v>
      </c>
      <c r="H851" s="149">
        <v>74088982.799999997</v>
      </c>
      <c r="I851" s="150">
        <f t="shared" si="48"/>
        <v>0</v>
      </c>
      <c r="J851" s="151">
        <v>45915</v>
      </c>
      <c r="K851" s="3" t="s">
        <v>3532</v>
      </c>
    </row>
    <row r="852" spans="1:11" ht="21.75" hidden="1" customHeight="1" x14ac:dyDescent="0.35">
      <c r="A852" s="145" t="s">
        <v>37</v>
      </c>
      <c r="B852" s="146" t="s">
        <v>3608</v>
      </c>
      <c r="C852" s="146"/>
      <c r="D852" s="147" t="s">
        <v>3604</v>
      </c>
      <c r="E852" s="148" t="s">
        <v>3613</v>
      </c>
      <c r="F852" s="44">
        <f t="shared" si="49"/>
        <v>7680</v>
      </c>
      <c r="G852" s="149">
        <f t="shared" si="50"/>
        <v>103680</v>
      </c>
      <c r="H852" s="149">
        <v>103680</v>
      </c>
      <c r="I852" s="150">
        <f t="shared" si="48"/>
        <v>0</v>
      </c>
      <c r="J852" s="151">
        <v>46006</v>
      </c>
      <c r="K852" s="3" t="s">
        <v>3617</v>
      </c>
    </row>
    <row r="853" spans="1:11" ht="21.75" hidden="1" customHeight="1" x14ac:dyDescent="0.35">
      <c r="A853" s="145" t="s">
        <v>3227</v>
      </c>
      <c r="B853" s="146" t="s">
        <v>3621</v>
      </c>
      <c r="C853" s="146"/>
      <c r="D853" s="147" t="s">
        <v>3618</v>
      </c>
      <c r="E853" s="148" t="s">
        <v>3625</v>
      </c>
      <c r="F853" s="44">
        <f t="shared" si="49"/>
        <v>8640</v>
      </c>
      <c r="G853" s="149">
        <f t="shared" si="50"/>
        <v>116640</v>
      </c>
      <c r="H853" s="149">
        <v>116640</v>
      </c>
      <c r="I853" s="150">
        <f t="shared" si="48"/>
        <v>0</v>
      </c>
      <c r="J853" s="151">
        <v>46006</v>
      </c>
      <c r="K853" s="3" t="s">
        <v>3629</v>
      </c>
    </row>
    <row r="854" spans="1:11" ht="21.75" hidden="1" customHeight="1" x14ac:dyDescent="0.35">
      <c r="A854" s="145" t="s">
        <v>77</v>
      </c>
      <c r="B854" s="146" t="s">
        <v>3622</v>
      </c>
      <c r="C854" s="146"/>
      <c r="D854" s="147" t="s">
        <v>3619</v>
      </c>
      <c r="E854" s="148" t="s">
        <v>3626</v>
      </c>
      <c r="F854" s="44">
        <f t="shared" si="49"/>
        <v>4824669.2</v>
      </c>
      <c r="G854" s="149">
        <f t="shared" si="50"/>
        <v>65133034.200000003</v>
      </c>
      <c r="H854" s="149">
        <v>65133034.200000003</v>
      </c>
      <c r="I854" s="150">
        <f t="shared" si="48"/>
        <v>0</v>
      </c>
      <c r="J854" s="151">
        <v>45945</v>
      </c>
      <c r="K854" s="3" t="s">
        <v>3532</v>
      </c>
    </row>
    <row r="855" spans="1:11" ht="21.75" hidden="1" customHeight="1" x14ac:dyDescent="0.35">
      <c r="A855" s="145" t="s">
        <v>3229</v>
      </c>
      <c r="B855" s="146" t="s">
        <v>3623</v>
      </c>
      <c r="C855" s="146"/>
      <c r="D855" s="147" t="s">
        <v>3620</v>
      </c>
      <c r="E855" s="148" t="s">
        <v>3627</v>
      </c>
      <c r="F855" s="44">
        <f t="shared" si="49"/>
        <v>38400</v>
      </c>
      <c r="G855" s="149">
        <f t="shared" si="50"/>
        <v>518400</v>
      </c>
      <c r="H855" s="149">
        <v>518400</v>
      </c>
      <c r="I855" s="150">
        <f t="shared" ref="I855:I922" si="51">+G855-H855</f>
        <v>0</v>
      </c>
      <c r="J855" s="151">
        <v>46006</v>
      </c>
      <c r="K855" s="3" t="s">
        <v>3630</v>
      </c>
    </row>
    <row r="856" spans="1:11" ht="21.75" hidden="1" customHeight="1" x14ac:dyDescent="0.35">
      <c r="A856" s="145" t="s">
        <v>3229</v>
      </c>
      <c r="B856" s="146" t="s">
        <v>3624</v>
      </c>
      <c r="C856" s="146"/>
      <c r="D856" s="147" t="s">
        <v>3226</v>
      </c>
      <c r="E856" s="148" t="s">
        <v>3628</v>
      </c>
      <c r="F856" s="44">
        <f t="shared" si="49"/>
        <v>28160</v>
      </c>
      <c r="G856" s="149">
        <f t="shared" si="50"/>
        <v>380160</v>
      </c>
      <c r="H856" s="149">
        <v>380160</v>
      </c>
      <c r="I856" s="150">
        <f t="shared" si="51"/>
        <v>0</v>
      </c>
      <c r="J856" s="151">
        <v>46006</v>
      </c>
      <c r="K856" s="3" t="s">
        <v>3631</v>
      </c>
    </row>
    <row r="857" spans="1:11" ht="21.75" hidden="1" customHeight="1" x14ac:dyDescent="0.35">
      <c r="A857" s="145" t="s">
        <v>3539</v>
      </c>
      <c r="B857" s="146" t="s">
        <v>1144</v>
      </c>
      <c r="C857" s="146"/>
      <c r="D857" s="147" t="s">
        <v>3632</v>
      </c>
      <c r="E857" s="148" t="s">
        <v>3500</v>
      </c>
      <c r="F857" s="44">
        <f t="shared" si="49"/>
        <v>5120</v>
      </c>
      <c r="G857" s="149">
        <f t="shared" si="50"/>
        <v>69120</v>
      </c>
      <c r="H857" s="149">
        <v>69120</v>
      </c>
      <c r="I857" s="150">
        <f t="shared" si="51"/>
        <v>0</v>
      </c>
      <c r="J857" s="151">
        <v>46106</v>
      </c>
      <c r="K857" s="3" t="s">
        <v>3641</v>
      </c>
    </row>
    <row r="858" spans="1:11" ht="21.75" hidden="1" customHeight="1" x14ac:dyDescent="0.35">
      <c r="A858" s="145" t="s">
        <v>37</v>
      </c>
      <c r="B858" s="146" t="s">
        <v>3636</v>
      </c>
      <c r="C858" s="146"/>
      <c r="D858" s="147" t="s">
        <v>3633</v>
      </c>
      <c r="E858" s="148" t="s">
        <v>3639</v>
      </c>
      <c r="F858" s="44">
        <f t="shared" si="49"/>
        <v>6240</v>
      </c>
      <c r="G858" s="149">
        <f t="shared" si="50"/>
        <v>84240</v>
      </c>
      <c r="H858" s="149">
        <v>84240</v>
      </c>
      <c r="I858" s="150">
        <f t="shared" si="51"/>
        <v>0</v>
      </c>
      <c r="J858" s="151">
        <v>46106</v>
      </c>
      <c r="K858" s="3" t="s">
        <v>3642</v>
      </c>
    </row>
    <row r="859" spans="1:11" ht="21.75" hidden="1" customHeight="1" x14ac:dyDescent="0.35">
      <c r="A859" s="145" t="s">
        <v>77</v>
      </c>
      <c r="B859" s="146" t="s">
        <v>3637</v>
      </c>
      <c r="C859" s="146"/>
      <c r="D859" s="147" t="s">
        <v>3634</v>
      </c>
      <c r="E859" s="148" t="s">
        <v>3640</v>
      </c>
      <c r="F859" s="44">
        <f t="shared" si="49"/>
        <v>5593252.3200000003</v>
      </c>
      <c r="G859" s="149">
        <f t="shared" si="50"/>
        <v>75508906.319999993</v>
      </c>
      <c r="H859" s="149">
        <v>75508906.319999993</v>
      </c>
      <c r="I859" s="150">
        <f t="shared" si="51"/>
        <v>0</v>
      </c>
      <c r="J859" s="151">
        <v>45976</v>
      </c>
      <c r="K859" s="3" t="s">
        <v>3532</v>
      </c>
    </row>
    <row r="860" spans="1:11" ht="21.75" hidden="1" customHeight="1" x14ac:dyDescent="0.35">
      <c r="A860" s="145" t="s">
        <v>3644</v>
      </c>
      <c r="B860" s="146" t="s">
        <v>3638</v>
      </c>
      <c r="C860" s="146"/>
      <c r="D860" s="147" t="s">
        <v>3635</v>
      </c>
      <c r="E860" s="148" t="s">
        <v>3609</v>
      </c>
      <c r="F860" s="44">
        <f t="shared" si="49"/>
        <v>8320</v>
      </c>
      <c r="G860" s="149">
        <f t="shared" si="50"/>
        <v>112320</v>
      </c>
      <c r="H860" s="149">
        <v>112320</v>
      </c>
      <c r="I860" s="150">
        <f t="shared" si="51"/>
        <v>0</v>
      </c>
      <c r="J860" s="151">
        <v>46106</v>
      </c>
      <c r="K860" s="3" t="s">
        <v>3643</v>
      </c>
    </row>
    <row r="861" spans="1:11" ht="21.75" hidden="1" customHeight="1" x14ac:dyDescent="0.35">
      <c r="A861" s="145" t="s">
        <v>1396</v>
      </c>
      <c r="B861" s="146" t="s">
        <v>3778</v>
      </c>
      <c r="C861" s="146"/>
      <c r="D861" s="147">
        <v>45979</v>
      </c>
      <c r="E861" s="148">
        <v>298500</v>
      </c>
      <c r="F861" s="44">
        <f t="shared" si="49"/>
        <v>23880</v>
      </c>
      <c r="G861" s="149">
        <f t="shared" si="50"/>
        <v>322380</v>
      </c>
      <c r="H861" s="149">
        <v>322380</v>
      </c>
      <c r="I861" s="150">
        <f t="shared" si="51"/>
        <v>0</v>
      </c>
      <c r="J861" s="151">
        <v>46106</v>
      </c>
      <c r="K861" s="3">
        <v>9106217233</v>
      </c>
    </row>
    <row r="862" spans="1:11" ht="21.75" hidden="1" customHeight="1" x14ac:dyDescent="0.35">
      <c r="A862" s="145" t="s">
        <v>1939</v>
      </c>
      <c r="B862" s="146" t="s">
        <v>3779</v>
      </c>
      <c r="C862" s="146"/>
      <c r="D862" s="147">
        <v>45979</v>
      </c>
      <c r="E862" s="148">
        <v>193500</v>
      </c>
      <c r="F862" s="44">
        <f t="shared" si="49"/>
        <v>15480</v>
      </c>
      <c r="G862" s="149">
        <f t="shared" si="50"/>
        <v>208980</v>
      </c>
      <c r="H862" s="149">
        <v>208980</v>
      </c>
      <c r="I862" s="150">
        <f t="shared" si="51"/>
        <v>0</v>
      </c>
      <c r="J862" s="151">
        <v>46106</v>
      </c>
      <c r="K862">
        <v>9106220403</v>
      </c>
    </row>
    <row r="863" spans="1:11" ht="21.75" hidden="1" customHeight="1" x14ac:dyDescent="0.35">
      <c r="A863" s="145" t="s">
        <v>1965</v>
      </c>
      <c r="B863" s="146" t="s">
        <v>3780</v>
      </c>
      <c r="C863" s="146"/>
      <c r="D863" s="147">
        <v>45996</v>
      </c>
      <c r="E863" s="148">
        <v>128000</v>
      </c>
      <c r="F863" s="44">
        <f t="shared" si="49"/>
        <v>10240</v>
      </c>
      <c r="G863" s="149">
        <f t="shared" si="50"/>
        <v>138240</v>
      </c>
      <c r="H863" s="149">
        <v>138240</v>
      </c>
      <c r="I863" s="150">
        <f t="shared" si="51"/>
        <v>0</v>
      </c>
      <c r="J863" s="151">
        <v>46106</v>
      </c>
      <c r="K863">
        <v>9106289234</v>
      </c>
    </row>
    <row r="864" spans="1:11" ht="21.75" hidden="1" customHeight="1" x14ac:dyDescent="0.35">
      <c r="A864" s="145" t="s">
        <v>3646</v>
      </c>
      <c r="B864" s="146" t="s">
        <v>3647</v>
      </c>
      <c r="C864" s="146"/>
      <c r="D864" s="147">
        <v>46006</v>
      </c>
      <c r="E864" s="148">
        <v>416000</v>
      </c>
      <c r="F864" s="44">
        <f t="shared" si="49"/>
        <v>33280</v>
      </c>
      <c r="G864" s="149">
        <f t="shared" si="50"/>
        <v>449280</v>
      </c>
      <c r="H864" s="149">
        <v>449280</v>
      </c>
      <c r="I864" s="150">
        <f t="shared" si="51"/>
        <v>0</v>
      </c>
      <c r="J864" s="151">
        <v>46106</v>
      </c>
      <c r="K864" s="3">
        <v>9106325522</v>
      </c>
    </row>
    <row r="865" spans="1:12" ht="21.75" hidden="1" customHeight="1" x14ac:dyDescent="0.35">
      <c r="A865" s="145" t="s">
        <v>3648</v>
      </c>
      <c r="B865" s="146" t="s">
        <v>3649</v>
      </c>
      <c r="C865" s="146"/>
      <c r="D865" s="147">
        <v>46006</v>
      </c>
      <c r="E865" s="148">
        <v>569500</v>
      </c>
      <c r="F865" s="44">
        <f t="shared" si="49"/>
        <v>45560</v>
      </c>
      <c r="G865" s="149">
        <f t="shared" si="50"/>
        <v>615060</v>
      </c>
      <c r="H865" s="149">
        <v>615060</v>
      </c>
      <c r="I865" s="150">
        <f t="shared" si="51"/>
        <v>0</v>
      </c>
      <c r="J865" s="151">
        <v>46106</v>
      </c>
      <c r="K865" s="3">
        <v>9106324427</v>
      </c>
    </row>
    <row r="866" spans="1:12" ht="21.75" hidden="1" customHeight="1" x14ac:dyDescent="0.35">
      <c r="A866" s="145" t="s">
        <v>3650</v>
      </c>
      <c r="B866" s="146" t="s">
        <v>3651</v>
      </c>
      <c r="C866" s="146"/>
      <c r="D866" s="147">
        <v>46004</v>
      </c>
      <c r="E866" s="148">
        <v>167500</v>
      </c>
      <c r="F866" s="44">
        <f t="shared" si="49"/>
        <v>13400</v>
      </c>
      <c r="G866" s="149">
        <f t="shared" si="50"/>
        <v>180900</v>
      </c>
      <c r="H866" s="149">
        <v>180900</v>
      </c>
      <c r="I866" s="150">
        <f t="shared" si="51"/>
        <v>0</v>
      </c>
      <c r="J866" s="151">
        <v>46106</v>
      </c>
      <c r="K866" s="3">
        <v>9106319745</v>
      </c>
    </row>
    <row r="867" spans="1:12" ht="21.75" hidden="1" customHeight="1" x14ac:dyDescent="0.35">
      <c r="A867" s="145" t="s">
        <v>3652</v>
      </c>
      <c r="B867" s="146" t="s">
        <v>3653</v>
      </c>
      <c r="C867" s="146"/>
      <c r="D867" s="147">
        <v>46001</v>
      </c>
      <c r="E867" s="148">
        <v>61812504</v>
      </c>
      <c r="F867" s="44">
        <f t="shared" si="49"/>
        <v>4945000.32</v>
      </c>
      <c r="G867" s="149">
        <f t="shared" si="50"/>
        <v>66757504.32</v>
      </c>
      <c r="H867" s="149">
        <v>66757504.32</v>
      </c>
      <c r="I867" s="150">
        <f t="shared" si="51"/>
        <v>0</v>
      </c>
      <c r="J867" s="151">
        <v>46006</v>
      </c>
    </row>
    <row r="868" spans="1:12" ht="21.75" hidden="1" customHeight="1" x14ac:dyDescent="0.35">
      <c r="A868" s="145" t="s">
        <v>3654</v>
      </c>
      <c r="B868" s="146"/>
      <c r="C868" s="146"/>
      <c r="D868" s="147"/>
      <c r="E868" s="148"/>
      <c r="F868" s="44">
        <f t="shared" si="49"/>
        <v>0</v>
      </c>
      <c r="G868" s="149">
        <v>6277334</v>
      </c>
      <c r="H868" s="149">
        <v>6277334</v>
      </c>
      <c r="I868" s="150">
        <f t="shared" si="51"/>
        <v>0</v>
      </c>
      <c r="J868" s="151">
        <v>46006</v>
      </c>
    </row>
    <row r="869" spans="1:12" ht="21.75" hidden="1" customHeight="1" x14ac:dyDescent="0.35">
      <c r="A869" s="145" t="s">
        <v>3655</v>
      </c>
      <c r="B869" s="146"/>
      <c r="C869" s="146"/>
      <c r="D869" s="147"/>
      <c r="E869" s="148"/>
      <c r="F869" s="44">
        <f t="shared" si="49"/>
        <v>0</v>
      </c>
      <c r="G869" s="149">
        <v>25439203</v>
      </c>
      <c r="H869" s="149">
        <v>25439203</v>
      </c>
      <c r="I869" s="150">
        <f t="shared" si="51"/>
        <v>0</v>
      </c>
      <c r="J869" s="151">
        <v>46006</v>
      </c>
    </row>
    <row r="870" spans="1:12" ht="21.75" hidden="1" customHeight="1" x14ac:dyDescent="0.35">
      <c r="A870" s="145" t="s">
        <v>3656</v>
      </c>
      <c r="B870" s="146" t="s">
        <v>3657</v>
      </c>
      <c r="C870" s="146"/>
      <c r="D870" s="147">
        <v>46007</v>
      </c>
      <c r="E870" s="148">
        <v>442000</v>
      </c>
      <c r="F870" s="44">
        <f t="shared" si="49"/>
        <v>35360</v>
      </c>
      <c r="G870" s="149">
        <f t="shared" si="50"/>
        <v>477360</v>
      </c>
      <c r="H870" s="149">
        <v>477360</v>
      </c>
      <c r="I870" s="150">
        <f t="shared" si="51"/>
        <v>0</v>
      </c>
      <c r="J870" s="151">
        <v>46106</v>
      </c>
      <c r="K870" s="3">
        <v>9106325478</v>
      </c>
    </row>
    <row r="871" spans="1:12" ht="21.75" hidden="1" customHeight="1" x14ac:dyDescent="0.35">
      <c r="A871" s="145" t="s">
        <v>3659</v>
      </c>
      <c r="B871" s="146" t="s">
        <v>3660</v>
      </c>
      <c r="C871" s="146"/>
      <c r="D871" s="147">
        <v>46017</v>
      </c>
      <c r="E871" s="148">
        <v>131100</v>
      </c>
      <c r="F871" s="44">
        <f t="shared" si="49"/>
        <v>10488</v>
      </c>
      <c r="G871" s="149">
        <f t="shared" si="50"/>
        <v>141588</v>
      </c>
      <c r="H871" s="149">
        <v>141588</v>
      </c>
      <c r="I871" s="150">
        <f t="shared" si="51"/>
        <v>0</v>
      </c>
      <c r="J871" s="151">
        <v>46106</v>
      </c>
      <c r="K871" s="3">
        <v>9106362866</v>
      </c>
    </row>
    <row r="872" spans="1:12" ht="21.75" hidden="1" customHeight="1" x14ac:dyDescent="0.35">
      <c r="A872" s="145" t="s">
        <v>1686</v>
      </c>
      <c r="B872" s="146" t="s">
        <v>1954</v>
      </c>
      <c r="C872" s="146"/>
      <c r="D872" s="147">
        <v>46031</v>
      </c>
      <c r="E872" s="148">
        <v>128000</v>
      </c>
      <c r="F872" s="44">
        <f t="shared" si="49"/>
        <v>10240</v>
      </c>
      <c r="G872" s="149">
        <f t="shared" si="50"/>
        <v>138240</v>
      </c>
      <c r="H872" s="149">
        <v>138240</v>
      </c>
      <c r="I872" s="150">
        <f t="shared" si="51"/>
        <v>0</v>
      </c>
      <c r="J872" s="151">
        <v>46157</v>
      </c>
      <c r="K872" s="3">
        <v>9106412564</v>
      </c>
      <c r="L872" s="3" t="s">
        <v>3715</v>
      </c>
    </row>
    <row r="873" spans="1:12" ht="21.75" hidden="1" customHeight="1" x14ac:dyDescent="0.35">
      <c r="A873" s="145" t="s">
        <v>1648</v>
      </c>
      <c r="B873" s="146" t="s">
        <v>3665</v>
      </c>
      <c r="C873" s="146"/>
      <c r="D873" s="147">
        <v>46034</v>
      </c>
      <c r="E873" s="148">
        <v>260000</v>
      </c>
      <c r="F873" s="44">
        <f t="shared" si="49"/>
        <v>20800</v>
      </c>
      <c r="G873" s="149">
        <f t="shared" si="50"/>
        <v>280800</v>
      </c>
      <c r="H873" s="149">
        <v>280800</v>
      </c>
      <c r="I873" s="150">
        <f t="shared" si="51"/>
        <v>0</v>
      </c>
      <c r="J873" s="151">
        <v>46157</v>
      </c>
      <c r="K873" s="3">
        <v>9106422340</v>
      </c>
    </row>
    <row r="874" spans="1:12" ht="21.75" hidden="1" customHeight="1" x14ac:dyDescent="0.35">
      <c r="A874" s="145" t="s">
        <v>3775</v>
      </c>
      <c r="B874" s="146" t="s">
        <v>3776</v>
      </c>
      <c r="C874" s="146"/>
      <c r="D874" s="147">
        <v>46034</v>
      </c>
      <c r="E874" s="148">
        <v>769857811</v>
      </c>
      <c r="F874" s="44">
        <f t="shared" si="49"/>
        <v>61588624.880000003</v>
      </c>
      <c r="G874" s="149">
        <f t="shared" si="50"/>
        <v>831446435.88</v>
      </c>
      <c r="H874" s="149">
        <v>831446435.88</v>
      </c>
      <c r="I874" s="150">
        <f t="shared" si="51"/>
        <v>0</v>
      </c>
      <c r="J874" s="151">
        <v>46106</v>
      </c>
    </row>
    <row r="875" spans="1:12" ht="21.75" hidden="1" customHeight="1" x14ac:dyDescent="0.35">
      <c r="A875" s="145" t="s">
        <v>3666</v>
      </c>
      <c r="B875" s="146" t="s">
        <v>3667</v>
      </c>
      <c r="C875" s="146"/>
      <c r="D875" s="147">
        <v>46035</v>
      </c>
      <c r="E875" s="148">
        <v>96000</v>
      </c>
      <c r="F875" s="44">
        <f t="shared" si="49"/>
        <v>7680</v>
      </c>
      <c r="G875" s="149">
        <f t="shared" si="50"/>
        <v>103680</v>
      </c>
      <c r="H875" s="149">
        <v>103680</v>
      </c>
      <c r="I875" s="150">
        <f t="shared" si="51"/>
        <v>0</v>
      </c>
      <c r="J875" s="151">
        <v>46157</v>
      </c>
      <c r="K875" s="3">
        <v>9106428068</v>
      </c>
    </row>
    <row r="876" spans="1:12" ht="21.75" hidden="1" customHeight="1" x14ac:dyDescent="0.35">
      <c r="A876" s="145" t="s">
        <v>3668</v>
      </c>
      <c r="B876" s="146" t="s">
        <v>3669</v>
      </c>
      <c r="C876" s="146"/>
      <c r="D876" s="147">
        <v>46038</v>
      </c>
      <c r="E876" s="148">
        <v>608000</v>
      </c>
      <c r="F876" s="44">
        <f t="shared" si="49"/>
        <v>48640</v>
      </c>
      <c r="G876" s="149">
        <f t="shared" si="50"/>
        <v>656640</v>
      </c>
      <c r="H876" s="149">
        <v>656640</v>
      </c>
      <c r="I876" s="150">
        <f t="shared" si="51"/>
        <v>0</v>
      </c>
      <c r="J876" s="151">
        <v>46157</v>
      </c>
      <c r="K876" s="3">
        <v>9106426594</v>
      </c>
    </row>
    <row r="877" spans="1:12" ht="21.75" hidden="1" customHeight="1" x14ac:dyDescent="0.35">
      <c r="A877" s="145" t="s">
        <v>3670</v>
      </c>
      <c r="B877" s="146" t="s">
        <v>3671</v>
      </c>
      <c r="C877" s="146"/>
      <c r="D877" s="147">
        <v>46059</v>
      </c>
      <c r="E877" s="148">
        <v>434935273</v>
      </c>
      <c r="F877" s="44">
        <f t="shared" si="49"/>
        <v>34794821.840000004</v>
      </c>
      <c r="G877" s="149">
        <f t="shared" si="50"/>
        <v>469730094.84000003</v>
      </c>
      <c r="H877" s="149">
        <v>469730094.84000003</v>
      </c>
      <c r="I877" s="150">
        <f t="shared" si="51"/>
        <v>0</v>
      </c>
      <c r="J877" s="151">
        <v>46106</v>
      </c>
    </row>
    <row r="878" spans="1:12" ht="21.75" hidden="1" customHeight="1" x14ac:dyDescent="0.35">
      <c r="A878" s="145" t="s">
        <v>3672</v>
      </c>
      <c r="B878" s="146" t="s">
        <v>3673</v>
      </c>
      <c r="C878" s="146"/>
      <c r="D878" s="147">
        <v>46079</v>
      </c>
      <c r="E878" s="148">
        <v>118750</v>
      </c>
      <c r="F878" s="44">
        <f t="shared" si="49"/>
        <v>9500</v>
      </c>
      <c r="G878" s="149">
        <f t="shared" si="50"/>
        <v>128250</v>
      </c>
      <c r="H878" s="149">
        <v>128250</v>
      </c>
      <c r="I878" s="150">
        <f t="shared" si="51"/>
        <v>0</v>
      </c>
      <c r="J878" s="151">
        <v>46157</v>
      </c>
      <c r="K878" s="3">
        <v>9106572029</v>
      </c>
    </row>
    <row r="879" spans="1:12" ht="21.75" hidden="1" customHeight="1" x14ac:dyDescent="0.35">
      <c r="A879" s="145" t="s">
        <v>3672</v>
      </c>
      <c r="B879" s="146" t="s">
        <v>3674</v>
      </c>
      <c r="C879" s="146"/>
      <c r="D879" s="147">
        <v>46079</v>
      </c>
      <c r="E879" s="148">
        <v>3269000</v>
      </c>
      <c r="F879" s="44">
        <f t="shared" si="49"/>
        <v>261520</v>
      </c>
      <c r="G879" s="149">
        <f t="shared" si="50"/>
        <v>3530520</v>
      </c>
      <c r="H879" s="149">
        <v>3530520</v>
      </c>
      <c r="I879" s="150">
        <f t="shared" si="51"/>
        <v>0</v>
      </c>
      <c r="J879" s="151">
        <v>46157</v>
      </c>
      <c r="K879" s="3">
        <v>9106559655</v>
      </c>
    </row>
    <row r="880" spans="1:12" ht="21.75" customHeight="1" x14ac:dyDescent="0.35">
      <c r="A880" s="145" t="s">
        <v>3675</v>
      </c>
      <c r="B880" s="146" t="s">
        <v>2780</v>
      </c>
      <c r="C880" s="146"/>
      <c r="D880" s="147">
        <v>46079</v>
      </c>
      <c r="E880" s="148">
        <v>452000</v>
      </c>
      <c r="F880" s="44">
        <f t="shared" si="49"/>
        <v>36160</v>
      </c>
      <c r="G880" s="149">
        <f t="shared" si="50"/>
        <v>488160</v>
      </c>
      <c r="H880" s="149"/>
      <c r="I880" s="150">
        <f t="shared" si="51"/>
        <v>488160</v>
      </c>
      <c r="J880" s="151"/>
      <c r="K880" s="3">
        <v>9106572469</v>
      </c>
    </row>
    <row r="881" spans="1:12" ht="21.75" hidden="1" customHeight="1" x14ac:dyDescent="0.35">
      <c r="A881" s="145" t="s">
        <v>1382</v>
      </c>
      <c r="B881" s="146" t="s">
        <v>3676</v>
      </c>
      <c r="C881" s="146"/>
      <c r="D881" s="147">
        <v>46080</v>
      </c>
      <c r="E881" s="148">
        <v>3110000</v>
      </c>
      <c r="F881" s="44">
        <f t="shared" si="49"/>
        <v>248800</v>
      </c>
      <c r="G881" s="149">
        <f t="shared" si="50"/>
        <v>3358800</v>
      </c>
      <c r="H881" s="149">
        <v>3358800</v>
      </c>
      <c r="I881" s="150">
        <f t="shared" si="51"/>
        <v>0</v>
      </c>
      <c r="J881" s="151">
        <v>46157</v>
      </c>
      <c r="K881" s="3">
        <v>9106572367</v>
      </c>
    </row>
    <row r="882" spans="1:12" ht="21.75" hidden="1" customHeight="1" x14ac:dyDescent="0.35">
      <c r="A882" s="145" t="s">
        <v>3677</v>
      </c>
      <c r="B882" s="146" t="s">
        <v>3678</v>
      </c>
      <c r="C882" s="146"/>
      <c r="D882" s="147">
        <v>46080</v>
      </c>
      <c r="E882" s="148">
        <v>3726000</v>
      </c>
      <c r="F882" s="44">
        <f t="shared" si="49"/>
        <v>298080</v>
      </c>
      <c r="G882" s="149">
        <f t="shared" si="50"/>
        <v>4024080</v>
      </c>
      <c r="H882" s="149">
        <v>4024080</v>
      </c>
      <c r="I882" s="150">
        <f t="shared" si="51"/>
        <v>0</v>
      </c>
      <c r="J882" s="151">
        <v>46157</v>
      </c>
      <c r="K882" s="3">
        <v>9106578982</v>
      </c>
    </row>
    <row r="883" spans="1:12" ht="21.75" hidden="1" customHeight="1" x14ac:dyDescent="0.35">
      <c r="A883" s="145" t="s">
        <v>3679</v>
      </c>
      <c r="B883" s="146" t="s">
        <v>3680</v>
      </c>
      <c r="C883" s="146"/>
      <c r="D883" s="147">
        <v>46080</v>
      </c>
      <c r="E883" s="148">
        <v>1580000</v>
      </c>
      <c r="F883" s="44">
        <f t="shared" ref="F883:F946" si="52">+E883*0.08</f>
        <v>126400</v>
      </c>
      <c r="G883" s="149">
        <f t="shared" ref="G883:G946" si="53">+F883+E883</f>
        <v>1706400</v>
      </c>
      <c r="H883" s="149">
        <v>1706400</v>
      </c>
      <c r="I883" s="150">
        <f t="shared" si="51"/>
        <v>0</v>
      </c>
      <c r="J883" s="151">
        <v>46157</v>
      </c>
      <c r="K883" s="3">
        <v>9106578795</v>
      </c>
    </row>
    <row r="884" spans="1:12" ht="21.75" hidden="1" customHeight="1" x14ac:dyDescent="0.35">
      <c r="A884" s="145" t="s">
        <v>2820</v>
      </c>
      <c r="B884" s="146" t="s">
        <v>3681</v>
      </c>
      <c r="C884" s="146"/>
      <c r="D884" s="147">
        <v>46081</v>
      </c>
      <c r="E884" s="148">
        <v>64000</v>
      </c>
      <c r="F884" s="44">
        <f t="shared" si="52"/>
        <v>5120</v>
      </c>
      <c r="G884" s="149">
        <f t="shared" si="53"/>
        <v>69120</v>
      </c>
      <c r="H884" s="149">
        <v>69120</v>
      </c>
      <c r="I884" s="150">
        <f t="shared" si="51"/>
        <v>0</v>
      </c>
      <c r="J884" s="151">
        <v>46157</v>
      </c>
      <c r="K884" s="3">
        <v>9106584820</v>
      </c>
    </row>
    <row r="885" spans="1:12" ht="21.75" hidden="1" customHeight="1" x14ac:dyDescent="0.35">
      <c r="A885" s="145" t="s">
        <v>3682</v>
      </c>
      <c r="B885" s="146" t="s">
        <v>3683</v>
      </c>
      <c r="C885" s="146"/>
      <c r="D885" s="147">
        <v>46081</v>
      </c>
      <c r="E885" s="148">
        <v>1388000</v>
      </c>
      <c r="F885" s="44">
        <f t="shared" si="52"/>
        <v>111040</v>
      </c>
      <c r="G885" s="149">
        <f t="shared" si="53"/>
        <v>1499040</v>
      </c>
      <c r="H885" s="149">
        <v>1499040</v>
      </c>
      <c r="I885" s="150">
        <f t="shared" si="51"/>
        <v>0</v>
      </c>
      <c r="J885" s="151">
        <v>46157</v>
      </c>
      <c r="K885" s="3">
        <v>9106585308</v>
      </c>
    </row>
    <row r="886" spans="1:12" ht="21.75" hidden="1" customHeight="1" x14ac:dyDescent="0.35">
      <c r="A886" s="145" t="s">
        <v>3684</v>
      </c>
      <c r="B886" s="146" t="s">
        <v>3685</v>
      </c>
      <c r="C886" s="146"/>
      <c r="D886" s="147">
        <v>46081</v>
      </c>
      <c r="E886" s="148">
        <v>6208000</v>
      </c>
      <c r="F886" s="44">
        <f t="shared" si="52"/>
        <v>496640</v>
      </c>
      <c r="G886" s="149">
        <f t="shared" si="53"/>
        <v>6704640</v>
      </c>
      <c r="H886" s="149">
        <v>6704640</v>
      </c>
      <c r="I886" s="150">
        <f t="shared" si="51"/>
        <v>0</v>
      </c>
      <c r="J886" s="151">
        <v>46157</v>
      </c>
      <c r="K886" s="3">
        <v>9106576883</v>
      </c>
    </row>
    <row r="887" spans="1:12" ht="21.75" hidden="1" customHeight="1" x14ac:dyDescent="0.35">
      <c r="A887" s="145" t="s">
        <v>1479</v>
      </c>
      <c r="B887" s="155" t="s">
        <v>3686</v>
      </c>
      <c r="C887" s="146"/>
      <c r="D887" s="147">
        <v>46082</v>
      </c>
      <c r="E887" s="148">
        <v>4857000</v>
      </c>
      <c r="F887" s="44">
        <f t="shared" si="52"/>
        <v>388560</v>
      </c>
      <c r="G887" s="149">
        <f t="shared" si="53"/>
        <v>5245560</v>
      </c>
      <c r="H887" s="149">
        <v>5245560</v>
      </c>
      <c r="I887" s="150">
        <f t="shared" si="51"/>
        <v>0</v>
      </c>
      <c r="J887" s="151">
        <v>46249</v>
      </c>
      <c r="K887" s="3">
        <v>9106587006</v>
      </c>
    </row>
    <row r="888" spans="1:12" ht="21.75" hidden="1" customHeight="1" x14ac:dyDescent="0.35">
      <c r="A888" s="145" t="s">
        <v>3687</v>
      </c>
      <c r="B888" s="155" t="s">
        <v>3688</v>
      </c>
      <c r="C888" s="146"/>
      <c r="D888" s="147">
        <v>46083</v>
      </c>
      <c r="E888" s="148">
        <v>4143000</v>
      </c>
      <c r="F888" s="44">
        <f t="shared" si="52"/>
        <v>331440</v>
      </c>
      <c r="G888" s="149">
        <f t="shared" si="53"/>
        <v>4474440</v>
      </c>
      <c r="H888" s="149">
        <v>4474440</v>
      </c>
      <c r="I888" s="150">
        <f t="shared" si="51"/>
        <v>0</v>
      </c>
      <c r="J888" s="151">
        <v>46249</v>
      </c>
      <c r="K888" s="3">
        <v>9106590969</v>
      </c>
    </row>
    <row r="889" spans="1:12" ht="21.75" hidden="1" customHeight="1" x14ac:dyDescent="0.35">
      <c r="A889" s="145" t="s">
        <v>1605</v>
      </c>
      <c r="B889" s="155" t="s">
        <v>3689</v>
      </c>
      <c r="C889" s="146"/>
      <c r="D889" s="147">
        <v>46083</v>
      </c>
      <c r="E889" s="148">
        <v>3825000</v>
      </c>
      <c r="F889" s="44">
        <f t="shared" si="52"/>
        <v>306000</v>
      </c>
      <c r="G889" s="149">
        <f t="shared" si="53"/>
        <v>4131000</v>
      </c>
      <c r="H889" s="149">
        <v>4131000</v>
      </c>
      <c r="I889" s="150">
        <f t="shared" si="51"/>
        <v>0</v>
      </c>
      <c r="J889" s="151">
        <v>46249</v>
      </c>
      <c r="K889" s="3">
        <v>9106589405</v>
      </c>
    </row>
    <row r="890" spans="1:12" ht="21.75" customHeight="1" x14ac:dyDescent="0.35">
      <c r="A890" s="145" t="s">
        <v>3675</v>
      </c>
      <c r="B890" s="146" t="s">
        <v>3690</v>
      </c>
      <c r="C890" s="146"/>
      <c r="D890" s="147">
        <v>46083</v>
      </c>
      <c r="E890" s="148">
        <v>-452000</v>
      </c>
      <c r="F890" s="44">
        <f t="shared" si="52"/>
        <v>-36160</v>
      </c>
      <c r="G890" s="149">
        <f t="shared" si="53"/>
        <v>-488160</v>
      </c>
      <c r="H890" s="149"/>
      <c r="I890" s="150">
        <f t="shared" si="51"/>
        <v>-488160</v>
      </c>
      <c r="J890" s="151"/>
      <c r="K890" s="3">
        <v>9106572469</v>
      </c>
      <c r="L890" s="3" t="s">
        <v>3691</v>
      </c>
    </row>
    <row r="891" spans="1:12" ht="21.75" hidden="1" customHeight="1" x14ac:dyDescent="0.35">
      <c r="A891" s="145" t="s">
        <v>2319</v>
      </c>
      <c r="B891" s="155" t="s">
        <v>3692</v>
      </c>
      <c r="C891" s="146"/>
      <c r="D891" s="147">
        <v>46084</v>
      </c>
      <c r="E891" s="148">
        <v>678000</v>
      </c>
      <c r="F891" s="44">
        <f t="shared" si="52"/>
        <v>54240</v>
      </c>
      <c r="G891" s="149">
        <f t="shared" si="53"/>
        <v>732240</v>
      </c>
      <c r="H891" s="149">
        <v>732240</v>
      </c>
      <c r="I891" s="150">
        <f t="shared" si="51"/>
        <v>0</v>
      </c>
      <c r="J891" s="151">
        <v>46249</v>
      </c>
      <c r="K891" s="3">
        <v>9106594791</v>
      </c>
    </row>
    <row r="892" spans="1:12" ht="21.75" hidden="1" customHeight="1" x14ac:dyDescent="0.35">
      <c r="A892" s="145" t="s">
        <v>3693</v>
      </c>
      <c r="B892" s="155" t="s">
        <v>3694</v>
      </c>
      <c r="C892" s="146"/>
      <c r="D892" s="147">
        <v>46084</v>
      </c>
      <c r="E892" s="148">
        <v>6642000</v>
      </c>
      <c r="F892" s="44">
        <f t="shared" si="52"/>
        <v>531360</v>
      </c>
      <c r="G892" s="149">
        <f t="shared" si="53"/>
        <v>7173360</v>
      </c>
      <c r="H892" s="149">
        <v>7173360</v>
      </c>
      <c r="I892" s="150">
        <f t="shared" si="51"/>
        <v>0</v>
      </c>
      <c r="J892" s="151">
        <v>46249</v>
      </c>
      <c r="K892" s="3">
        <v>9106593851</v>
      </c>
    </row>
    <row r="893" spans="1:12" ht="21.75" hidden="1" customHeight="1" x14ac:dyDescent="0.35">
      <c r="A893" s="145" t="s">
        <v>3695</v>
      </c>
      <c r="B893" s="155" t="s">
        <v>3696</v>
      </c>
      <c r="C893" s="146"/>
      <c r="D893" s="147">
        <v>46084</v>
      </c>
      <c r="E893" s="148">
        <v>3008000</v>
      </c>
      <c r="F893" s="44">
        <f t="shared" si="52"/>
        <v>240640</v>
      </c>
      <c r="G893" s="149">
        <f t="shared" si="53"/>
        <v>3248640</v>
      </c>
      <c r="H893" s="149">
        <v>3248640</v>
      </c>
      <c r="I893" s="150">
        <f t="shared" si="51"/>
        <v>0</v>
      </c>
      <c r="J893" s="151">
        <v>46249</v>
      </c>
      <c r="K893" s="3">
        <v>9106588394</v>
      </c>
    </row>
    <row r="894" spans="1:12" ht="21.75" hidden="1" customHeight="1" x14ac:dyDescent="0.35">
      <c r="A894" s="145" t="s">
        <v>3697</v>
      </c>
      <c r="B894" s="155" t="s">
        <v>3698</v>
      </c>
      <c r="C894" s="146"/>
      <c r="D894" s="147">
        <v>46084</v>
      </c>
      <c r="E894" s="148">
        <v>4539000</v>
      </c>
      <c r="F894" s="44">
        <f t="shared" si="52"/>
        <v>363120</v>
      </c>
      <c r="G894" s="149">
        <f t="shared" si="53"/>
        <v>4902120</v>
      </c>
      <c r="H894" s="149">
        <v>4902120</v>
      </c>
      <c r="I894" s="150">
        <f t="shared" si="51"/>
        <v>0</v>
      </c>
      <c r="J894" s="151">
        <v>46249</v>
      </c>
      <c r="K894" s="3">
        <v>9106595122</v>
      </c>
    </row>
    <row r="895" spans="1:12" ht="21.75" hidden="1" customHeight="1" x14ac:dyDescent="0.35">
      <c r="A895" s="145" t="s">
        <v>3699</v>
      </c>
      <c r="B895" s="155" t="s">
        <v>3700</v>
      </c>
      <c r="C895" s="146"/>
      <c r="D895" s="147">
        <v>46085</v>
      </c>
      <c r="E895" s="148">
        <v>4701000</v>
      </c>
      <c r="F895" s="44">
        <f t="shared" si="52"/>
        <v>376080</v>
      </c>
      <c r="G895" s="149">
        <f t="shared" si="53"/>
        <v>5077080</v>
      </c>
      <c r="H895" s="149">
        <v>5077080</v>
      </c>
      <c r="I895" s="150">
        <f t="shared" si="51"/>
        <v>0</v>
      </c>
      <c r="J895" s="151">
        <v>46249</v>
      </c>
      <c r="K895" s="3">
        <v>9106594407</v>
      </c>
    </row>
    <row r="896" spans="1:12" ht="21.75" hidden="1" customHeight="1" x14ac:dyDescent="0.35">
      <c r="A896" s="145" t="s">
        <v>3701</v>
      </c>
      <c r="B896" s="155" t="s">
        <v>3702</v>
      </c>
      <c r="C896" s="146"/>
      <c r="D896" s="147">
        <v>46086</v>
      </c>
      <c r="E896" s="148">
        <v>412000</v>
      </c>
      <c r="F896" s="44">
        <f t="shared" si="52"/>
        <v>32960</v>
      </c>
      <c r="G896" s="149">
        <f t="shared" si="53"/>
        <v>444960</v>
      </c>
      <c r="H896" s="149">
        <v>444960</v>
      </c>
      <c r="I896" s="150">
        <f t="shared" si="51"/>
        <v>0</v>
      </c>
      <c r="J896" s="151">
        <v>46249</v>
      </c>
      <c r="K896" s="3">
        <v>9106601859</v>
      </c>
    </row>
    <row r="897" spans="1:11" ht="21.75" hidden="1" customHeight="1" x14ac:dyDescent="0.35">
      <c r="A897" s="145" t="s">
        <v>3703</v>
      </c>
      <c r="B897" s="146" t="s">
        <v>3704</v>
      </c>
      <c r="C897" s="146"/>
      <c r="D897" s="147">
        <v>46087</v>
      </c>
      <c r="E897" s="148">
        <v>84801310</v>
      </c>
      <c r="F897" s="44">
        <f t="shared" si="52"/>
        <v>6784104.7999999998</v>
      </c>
      <c r="G897" s="149">
        <f t="shared" si="53"/>
        <v>91585414.799999997</v>
      </c>
      <c r="H897" s="149">
        <v>91585414.799999997</v>
      </c>
      <c r="I897" s="150">
        <f t="shared" si="51"/>
        <v>0</v>
      </c>
      <c r="J897" s="151">
        <v>46106</v>
      </c>
    </row>
    <row r="898" spans="1:11" ht="21.75" hidden="1" customHeight="1" x14ac:dyDescent="0.35">
      <c r="A898" s="145" t="s">
        <v>2107</v>
      </c>
      <c r="B898" s="155" t="s">
        <v>3705</v>
      </c>
      <c r="C898" s="146"/>
      <c r="D898" s="147">
        <v>46087</v>
      </c>
      <c r="E898" s="148">
        <v>258000</v>
      </c>
      <c r="F898" s="44">
        <f t="shared" si="52"/>
        <v>20640</v>
      </c>
      <c r="G898" s="149">
        <f t="shared" si="53"/>
        <v>278640</v>
      </c>
      <c r="H898" s="149">
        <v>278640</v>
      </c>
      <c r="I898" s="150">
        <f t="shared" si="51"/>
        <v>0</v>
      </c>
      <c r="J898" s="151">
        <v>46249</v>
      </c>
      <c r="K898" s="3">
        <v>9106608390</v>
      </c>
    </row>
    <row r="899" spans="1:11" ht="21.75" hidden="1" customHeight="1" x14ac:dyDescent="0.35">
      <c r="A899" s="145" t="s">
        <v>1464</v>
      </c>
      <c r="B899" s="155" t="s">
        <v>3706</v>
      </c>
      <c r="C899" s="146"/>
      <c r="D899" s="147">
        <v>46087</v>
      </c>
      <c r="E899" s="148">
        <v>6023000</v>
      </c>
      <c r="F899" s="44">
        <f t="shared" si="52"/>
        <v>481840</v>
      </c>
      <c r="G899" s="149">
        <f t="shared" si="53"/>
        <v>6504840</v>
      </c>
      <c r="H899" s="149">
        <v>6504840</v>
      </c>
      <c r="I899" s="150">
        <f t="shared" si="51"/>
        <v>0</v>
      </c>
      <c r="J899" s="151">
        <v>46249</v>
      </c>
      <c r="K899" s="3">
        <v>9106604241</v>
      </c>
    </row>
    <row r="900" spans="1:11" ht="21.75" hidden="1" customHeight="1" x14ac:dyDescent="0.35">
      <c r="A900" s="145" t="s">
        <v>3707</v>
      </c>
      <c r="B900" s="155" t="s">
        <v>3708</v>
      </c>
      <c r="C900" s="146"/>
      <c r="D900" s="147">
        <v>46089</v>
      </c>
      <c r="E900" s="148">
        <v>260000</v>
      </c>
      <c r="F900" s="44">
        <f t="shared" si="52"/>
        <v>20800</v>
      </c>
      <c r="G900" s="149">
        <f t="shared" si="53"/>
        <v>280800</v>
      </c>
      <c r="H900" s="149">
        <v>280800</v>
      </c>
      <c r="I900" s="150">
        <f t="shared" si="51"/>
        <v>0</v>
      </c>
      <c r="J900" s="151">
        <v>46249</v>
      </c>
      <c r="K900" s="3">
        <v>9106615278</v>
      </c>
    </row>
    <row r="901" spans="1:11" ht="21.75" hidden="1" customHeight="1" x14ac:dyDescent="0.35">
      <c r="A901" s="145" t="s">
        <v>3709</v>
      </c>
      <c r="B901" s="155" t="s">
        <v>3710</v>
      </c>
      <c r="C901" s="146"/>
      <c r="D901" s="147">
        <v>46088</v>
      </c>
      <c r="E901" s="148">
        <v>330200</v>
      </c>
      <c r="F901" s="44">
        <f t="shared" si="52"/>
        <v>26416</v>
      </c>
      <c r="G901" s="149">
        <f t="shared" si="53"/>
        <v>356616</v>
      </c>
      <c r="H901" s="149">
        <v>356616</v>
      </c>
      <c r="I901" s="150">
        <f t="shared" si="51"/>
        <v>0</v>
      </c>
      <c r="J901" s="151">
        <v>46249</v>
      </c>
      <c r="K901" s="3">
        <v>9106610774</v>
      </c>
    </row>
    <row r="902" spans="1:11" ht="21.75" hidden="1" customHeight="1" x14ac:dyDescent="0.35">
      <c r="A902" s="145" t="s">
        <v>3711</v>
      </c>
      <c r="B902" s="155" t="s">
        <v>3712</v>
      </c>
      <c r="C902" s="146"/>
      <c r="D902" s="147">
        <v>46089</v>
      </c>
      <c r="E902" s="148">
        <v>28443000</v>
      </c>
      <c r="F902" s="44">
        <f t="shared" si="52"/>
        <v>2275440</v>
      </c>
      <c r="G902" s="149">
        <f t="shared" si="53"/>
        <v>30718440</v>
      </c>
      <c r="H902" s="149">
        <v>30718440</v>
      </c>
      <c r="I902" s="150">
        <f t="shared" si="51"/>
        <v>0</v>
      </c>
      <c r="J902" s="151">
        <v>46249</v>
      </c>
      <c r="K902" s="3">
        <v>9106606545</v>
      </c>
    </row>
    <row r="903" spans="1:11" ht="21.75" hidden="1" customHeight="1" x14ac:dyDescent="0.35">
      <c r="A903" s="145" t="s">
        <v>3713</v>
      </c>
      <c r="B903" s="155" t="s">
        <v>3714</v>
      </c>
      <c r="C903" s="146"/>
      <c r="D903" s="147">
        <v>46088</v>
      </c>
      <c r="E903" s="148">
        <v>4005000</v>
      </c>
      <c r="F903" s="44">
        <f t="shared" si="52"/>
        <v>320400</v>
      </c>
      <c r="G903" s="149">
        <f t="shared" si="53"/>
        <v>4325400</v>
      </c>
      <c r="H903" s="149">
        <v>4325400</v>
      </c>
      <c r="I903" s="150">
        <f t="shared" si="51"/>
        <v>0</v>
      </c>
      <c r="J903" s="151">
        <v>46249</v>
      </c>
      <c r="K903" s="3">
        <v>9106581068</v>
      </c>
    </row>
    <row r="904" spans="1:11" ht="21.75" hidden="1" customHeight="1" x14ac:dyDescent="0.35">
      <c r="A904" s="145" t="s">
        <v>3716</v>
      </c>
      <c r="B904" s="155" t="s">
        <v>3717</v>
      </c>
      <c r="C904" s="146"/>
      <c r="D904" s="147">
        <v>46090</v>
      </c>
      <c r="E904" s="148">
        <v>7583950</v>
      </c>
      <c r="F904" s="44">
        <f t="shared" si="52"/>
        <v>606716</v>
      </c>
      <c r="G904" s="149">
        <f t="shared" si="53"/>
        <v>8190666</v>
      </c>
      <c r="H904" s="149">
        <v>8190666</v>
      </c>
      <c r="I904" s="150">
        <f t="shared" si="51"/>
        <v>0</v>
      </c>
      <c r="J904" s="151">
        <v>46249</v>
      </c>
      <c r="K904" s="3">
        <v>9106614807</v>
      </c>
    </row>
    <row r="905" spans="1:11" ht="21.75" hidden="1" customHeight="1" x14ac:dyDescent="0.35">
      <c r="A905" s="145" t="s">
        <v>2266</v>
      </c>
      <c r="B905" s="155" t="s">
        <v>3718</v>
      </c>
      <c r="C905" s="146"/>
      <c r="D905" s="147">
        <v>46091</v>
      </c>
      <c r="E905" s="148">
        <v>300000</v>
      </c>
      <c r="F905" s="44">
        <f t="shared" si="52"/>
        <v>24000</v>
      </c>
      <c r="G905" s="149">
        <f t="shared" si="53"/>
        <v>324000</v>
      </c>
      <c r="H905" s="149">
        <v>324000</v>
      </c>
      <c r="I905" s="150">
        <f t="shared" si="51"/>
        <v>0</v>
      </c>
      <c r="J905" s="151">
        <v>46249</v>
      </c>
      <c r="K905" s="3">
        <v>9106627350</v>
      </c>
    </row>
    <row r="906" spans="1:11" ht="21.75" hidden="1" customHeight="1" x14ac:dyDescent="0.35">
      <c r="A906" s="145" t="s">
        <v>3719</v>
      </c>
      <c r="B906" s="155" t="s">
        <v>3720</v>
      </c>
      <c r="C906" s="146"/>
      <c r="D906" s="147">
        <v>46091</v>
      </c>
      <c r="E906" s="148">
        <v>3089700</v>
      </c>
      <c r="F906" s="44">
        <f t="shared" si="52"/>
        <v>247176</v>
      </c>
      <c r="G906" s="149">
        <f t="shared" si="53"/>
        <v>3336876</v>
      </c>
      <c r="H906" s="149">
        <v>3336876</v>
      </c>
      <c r="I906" s="150">
        <f t="shared" si="51"/>
        <v>0</v>
      </c>
      <c r="J906" s="151">
        <v>46249</v>
      </c>
      <c r="K906" s="3">
        <v>9106622888</v>
      </c>
    </row>
    <row r="907" spans="1:11" ht="21.75" hidden="1" customHeight="1" x14ac:dyDescent="0.35">
      <c r="A907" s="145" t="s">
        <v>3721</v>
      </c>
      <c r="B907" s="155" t="s">
        <v>3722</v>
      </c>
      <c r="C907" s="146"/>
      <c r="D907" s="147">
        <v>46092</v>
      </c>
      <c r="E907" s="148">
        <v>2900650</v>
      </c>
      <c r="F907" s="44">
        <f t="shared" si="52"/>
        <v>232052</v>
      </c>
      <c r="G907" s="149">
        <f t="shared" si="53"/>
        <v>3132702</v>
      </c>
      <c r="H907" s="149">
        <v>3132702</v>
      </c>
      <c r="I907" s="150">
        <f t="shared" si="51"/>
        <v>0</v>
      </c>
      <c r="J907" s="151">
        <v>46249</v>
      </c>
      <c r="K907" s="3">
        <v>9106606472</v>
      </c>
    </row>
    <row r="908" spans="1:11" ht="21.75" hidden="1" customHeight="1" x14ac:dyDescent="0.35">
      <c r="A908" s="145" t="s">
        <v>3723</v>
      </c>
      <c r="B908" s="155" t="s">
        <v>3724</v>
      </c>
      <c r="C908" s="146"/>
      <c r="D908" s="147">
        <v>46092</v>
      </c>
      <c r="E908" s="148">
        <v>3944750</v>
      </c>
      <c r="F908" s="44">
        <f t="shared" si="52"/>
        <v>315580</v>
      </c>
      <c r="G908" s="149">
        <f t="shared" si="53"/>
        <v>4260330</v>
      </c>
      <c r="H908" s="149">
        <v>4260330</v>
      </c>
      <c r="I908" s="150">
        <f t="shared" si="51"/>
        <v>0</v>
      </c>
      <c r="J908" s="151">
        <v>46249</v>
      </c>
      <c r="K908" s="3">
        <v>9106624354</v>
      </c>
    </row>
    <row r="909" spans="1:11" ht="21.75" hidden="1" customHeight="1" x14ac:dyDescent="0.35">
      <c r="A909" s="145" t="s">
        <v>3725</v>
      </c>
      <c r="B909" s="155" t="s">
        <v>3726</v>
      </c>
      <c r="C909" s="146"/>
      <c r="D909" s="147">
        <v>46092</v>
      </c>
      <c r="E909" s="148">
        <v>2857000</v>
      </c>
      <c r="F909" s="44">
        <f t="shared" si="52"/>
        <v>228560</v>
      </c>
      <c r="G909" s="149">
        <f t="shared" si="53"/>
        <v>3085560</v>
      </c>
      <c r="H909" s="149">
        <v>3085560</v>
      </c>
      <c r="I909" s="150">
        <f t="shared" si="51"/>
        <v>0</v>
      </c>
      <c r="J909" s="151">
        <v>46249</v>
      </c>
      <c r="K909" s="3">
        <v>9106626947</v>
      </c>
    </row>
    <row r="910" spans="1:11" ht="21.75" hidden="1" customHeight="1" x14ac:dyDescent="0.35">
      <c r="A910" s="145" t="s">
        <v>2262</v>
      </c>
      <c r="B910" s="155" t="s">
        <v>3727</v>
      </c>
      <c r="C910" s="146"/>
      <c r="D910" s="147">
        <v>46092</v>
      </c>
      <c r="E910" s="148">
        <v>652700</v>
      </c>
      <c r="F910" s="44">
        <f t="shared" si="52"/>
        <v>52216</v>
      </c>
      <c r="G910" s="149">
        <f t="shared" si="53"/>
        <v>704916</v>
      </c>
      <c r="H910" s="149">
        <v>704916</v>
      </c>
      <c r="I910" s="150">
        <f t="shared" si="51"/>
        <v>0</v>
      </c>
      <c r="J910" s="151">
        <v>46249</v>
      </c>
      <c r="K910" s="3">
        <v>9106628130</v>
      </c>
    </row>
    <row r="911" spans="1:11" ht="21.75" hidden="1" customHeight="1" x14ac:dyDescent="0.35">
      <c r="A911" s="145" t="s">
        <v>2315</v>
      </c>
      <c r="B911" s="155" t="s">
        <v>3728</v>
      </c>
      <c r="C911" s="146"/>
      <c r="D911" s="147">
        <v>46092</v>
      </c>
      <c r="E911" s="148">
        <v>6822000</v>
      </c>
      <c r="F911" s="44">
        <f t="shared" si="52"/>
        <v>545760</v>
      </c>
      <c r="G911" s="149">
        <f t="shared" si="53"/>
        <v>7367760</v>
      </c>
      <c r="H911" s="149">
        <v>7367760</v>
      </c>
      <c r="I911" s="150">
        <f t="shared" si="51"/>
        <v>0</v>
      </c>
      <c r="J911" s="151">
        <v>46249</v>
      </c>
      <c r="K911" s="3">
        <v>9106629315</v>
      </c>
    </row>
    <row r="912" spans="1:11" ht="21.75" hidden="1" customHeight="1" x14ac:dyDescent="0.35">
      <c r="A912" s="145" t="s">
        <v>3729</v>
      </c>
      <c r="B912" s="155" t="s">
        <v>3730</v>
      </c>
      <c r="C912" s="146"/>
      <c r="D912" s="147">
        <v>46092</v>
      </c>
      <c r="E912" s="148">
        <v>551000</v>
      </c>
      <c r="F912" s="44">
        <f t="shared" si="52"/>
        <v>44080</v>
      </c>
      <c r="G912" s="149">
        <f t="shared" si="53"/>
        <v>595080</v>
      </c>
      <c r="H912" s="149">
        <v>595080</v>
      </c>
      <c r="I912" s="150">
        <f t="shared" si="51"/>
        <v>0</v>
      </c>
      <c r="J912" s="151">
        <v>46249</v>
      </c>
      <c r="K912" s="3">
        <v>9106626639</v>
      </c>
    </row>
    <row r="913" spans="1:11" ht="21.75" hidden="1" customHeight="1" x14ac:dyDescent="0.35">
      <c r="A913" s="145" t="s">
        <v>2574</v>
      </c>
      <c r="B913" s="155" t="s">
        <v>3731</v>
      </c>
      <c r="C913" s="146"/>
      <c r="D913" s="147">
        <v>46093</v>
      </c>
      <c r="E913" s="148">
        <v>5162900</v>
      </c>
      <c r="F913" s="44">
        <f t="shared" si="52"/>
        <v>413032</v>
      </c>
      <c r="G913" s="149">
        <f t="shared" si="53"/>
        <v>5575932</v>
      </c>
      <c r="H913" s="149">
        <v>5575932</v>
      </c>
      <c r="I913" s="150">
        <f t="shared" si="51"/>
        <v>0</v>
      </c>
      <c r="J913" s="151">
        <v>46249</v>
      </c>
      <c r="K913" s="3">
        <v>9106624146</v>
      </c>
    </row>
    <row r="914" spans="1:11" ht="21.75" hidden="1" customHeight="1" x14ac:dyDescent="0.35">
      <c r="A914" s="145" t="s">
        <v>3743</v>
      </c>
      <c r="B914" s="155" t="s">
        <v>3732</v>
      </c>
      <c r="C914" s="146"/>
      <c r="D914" s="147">
        <v>46095</v>
      </c>
      <c r="E914" s="148">
        <v>375000</v>
      </c>
      <c r="F914" s="44">
        <f t="shared" si="52"/>
        <v>30000</v>
      </c>
      <c r="G914" s="149">
        <f t="shared" si="53"/>
        <v>405000</v>
      </c>
      <c r="H914" s="149">
        <v>405000</v>
      </c>
      <c r="I914" s="150">
        <f t="shared" si="51"/>
        <v>0</v>
      </c>
      <c r="J914" s="151">
        <v>46249</v>
      </c>
      <c r="K914" s="3">
        <v>9106639464</v>
      </c>
    </row>
    <row r="915" spans="1:11" ht="21.75" customHeight="1" x14ac:dyDescent="0.35">
      <c r="A915" s="145" t="s">
        <v>3744</v>
      </c>
      <c r="B915" s="155" t="s">
        <v>3733</v>
      </c>
      <c r="C915" s="155" t="s">
        <v>3806</v>
      </c>
      <c r="D915" s="147">
        <v>46128</v>
      </c>
      <c r="E915" s="148">
        <v>0</v>
      </c>
      <c r="F915" s="44">
        <f t="shared" si="52"/>
        <v>0</v>
      </c>
      <c r="G915" s="149">
        <f t="shared" si="53"/>
        <v>0</v>
      </c>
      <c r="H915" s="149"/>
      <c r="I915" s="150">
        <f t="shared" si="51"/>
        <v>0</v>
      </c>
      <c r="J915" s="151">
        <v>46249</v>
      </c>
      <c r="K915" s="3">
        <v>9106640543</v>
      </c>
    </row>
    <row r="916" spans="1:11" ht="21.75" hidden="1" customHeight="1" x14ac:dyDescent="0.35">
      <c r="A916" s="145" t="s">
        <v>3745</v>
      </c>
      <c r="B916" s="155" t="s">
        <v>3734</v>
      </c>
      <c r="C916" s="146"/>
      <c r="D916" s="147">
        <v>46095</v>
      </c>
      <c r="E916" s="148">
        <v>1400000</v>
      </c>
      <c r="F916" s="44">
        <f t="shared" si="52"/>
        <v>112000</v>
      </c>
      <c r="G916" s="149">
        <f t="shared" si="53"/>
        <v>1512000</v>
      </c>
      <c r="H916" s="149">
        <v>1512000</v>
      </c>
      <c r="I916" s="150">
        <f t="shared" si="51"/>
        <v>0</v>
      </c>
      <c r="J916" s="151">
        <v>46249</v>
      </c>
      <c r="K916" s="3">
        <v>9106644609</v>
      </c>
    </row>
    <row r="917" spans="1:11" ht="21.75" hidden="1" customHeight="1" x14ac:dyDescent="0.35">
      <c r="A917" s="145" t="s">
        <v>2245</v>
      </c>
      <c r="B917" s="155" t="s">
        <v>3735</v>
      </c>
      <c r="C917" s="146"/>
      <c r="D917" s="147">
        <v>46093</v>
      </c>
      <c r="E917" s="148">
        <v>4055000</v>
      </c>
      <c r="F917" s="44">
        <f t="shared" si="52"/>
        <v>324400</v>
      </c>
      <c r="G917" s="149">
        <f t="shared" si="53"/>
        <v>4379400</v>
      </c>
      <c r="H917" s="149">
        <v>4379400</v>
      </c>
      <c r="I917" s="150">
        <f t="shared" si="51"/>
        <v>0</v>
      </c>
      <c r="J917" s="151">
        <v>46249</v>
      </c>
      <c r="K917" s="3">
        <v>9106635147</v>
      </c>
    </row>
    <row r="918" spans="1:11" ht="21.75" hidden="1" customHeight="1" x14ac:dyDescent="0.35">
      <c r="A918" s="145" t="s">
        <v>3746</v>
      </c>
      <c r="B918" s="155" t="s">
        <v>3736</v>
      </c>
      <c r="C918" s="146"/>
      <c r="D918" s="147">
        <v>46093</v>
      </c>
      <c r="E918" s="148">
        <v>2075500</v>
      </c>
      <c r="F918" s="44">
        <f t="shared" si="52"/>
        <v>166040</v>
      </c>
      <c r="G918" s="149">
        <f t="shared" si="53"/>
        <v>2241540</v>
      </c>
      <c r="H918" s="149">
        <v>2241540</v>
      </c>
      <c r="I918" s="150">
        <f t="shared" si="51"/>
        <v>0</v>
      </c>
      <c r="J918" s="151">
        <v>46249</v>
      </c>
      <c r="K918" s="3">
        <v>9106626195</v>
      </c>
    </row>
    <row r="919" spans="1:11" ht="21.75" hidden="1" customHeight="1" x14ac:dyDescent="0.35">
      <c r="A919" s="145" t="s">
        <v>3747</v>
      </c>
      <c r="B919" s="155" t="s">
        <v>3737</v>
      </c>
      <c r="C919" s="146"/>
      <c r="D919" s="147">
        <v>46093</v>
      </c>
      <c r="E919" s="148">
        <v>3762800</v>
      </c>
      <c r="F919" s="44">
        <f t="shared" si="52"/>
        <v>301024</v>
      </c>
      <c r="G919" s="149">
        <f t="shared" si="53"/>
        <v>4063824</v>
      </c>
      <c r="H919" s="149">
        <v>4063824</v>
      </c>
      <c r="I919" s="150">
        <f t="shared" si="51"/>
        <v>0</v>
      </c>
      <c r="J919" s="151">
        <v>46249</v>
      </c>
      <c r="K919" s="3">
        <v>9106626762</v>
      </c>
    </row>
    <row r="920" spans="1:11" ht="21.75" hidden="1" customHeight="1" x14ac:dyDescent="0.35">
      <c r="A920" s="145" t="s">
        <v>2568</v>
      </c>
      <c r="B920" s="155" t="s">
        <v>3738</v>
      </c>
      <c r="C920" s="146"/>
      <c r="D920" s="147">
        <v>46095</v>
      </c>
      <c r="E920" s="148">
        <v>1084000</v>
      </c>
      <c r="F920" s="44">
        <f t="shared" si="52"/>
        <v>86720</v>
      </c>
      <c r="G920" s="149">
        <f t="shared" si="53"/>
        <v>1170720</v>
      </c>
      <c r="H920" s="149">
        <v>1170720</v>
      </c>
      <c r="I920" s="150">
        <f t="shared" si="51"/>
        <v>0</v>
      </c>
      <c r="J920" s="151">
        <v>46249</v>
      </c>
      <c r="K920" s="3">
        <v>9106587378</v>
      </c>
    </row>
    <row r="921" spans="1:11" ht="21.75" hidden="1" customHeight="1" x14ac:dyDescent="0.35">
      <c r="A921" s="145" t="s">
        <v>3748</v>
      </c>
      <c r="B921" s="155" t="s">
        <v>3739</v>
      </c>
      <c r="C921" s="146"/>
      <c r="D921" s="147">
        <v>46095</v>
      </c>
      <c r="E921" s="148">
        <v>7178200</v>
      </c>
      <c r="F921" s="44">
        <f t="shared" si="52"/>
        <v>574256</v>
      </c>
      <c r="G921" s="149">
        <f t="shared" si="53"/>
        <v>7752456</v>
      </c>
      <c r="H921" s="149">
        <v>7752456</v>
      </c>
      <c r="I921" s="150">
        <f t="shared" si="51"/>
        <v>0</v>
      </c>
      <c r="J921" s="151">
        <v>46249</v>
      </c>
      <c r="K921" s="3">
        <v>9106636364</v>
      </c>
    </row>
    <row r="922" spans="1:11" ht="21.75" hidden="1" customHeight="1" x14ac:dyDescent="0.35">
      <c r="A922" s="145" t="s">
        <v>3749</v>
      </c>
      <c r="B922" s="155" t="s">
        <v>3740</v>
      </c>
      <c r="C922" s="146"/>
      <c r="D922" s="147">
        <v>46095</v>
      </c>
      <c r="E922" s="148">
        <v>2591200</v>
      </c>
      <c r="F922" s="44">
        <f t="shared" si="52"/>
        <v>207296</v>
      </c>
      <c r="G922" s="149">
        <f t="shared" si="53"/>
        <v>2798496</v>
      </c>
      <c r="H922" s="149">
        <v>2798496</v>
      </c>
      <c r="I922" s="150">
        <f t="shared" si="51"/>
        <v>0</v>
      </c>
      <c r="J922" s="151">
        <v>46249</v>
      </c>
      <c r="K922" s="3">
        <v>9106641813</v>
      </c>
    </row>
    <row r="923" spans="1:11" ht="21.75" hidden="1" customHeight="1" x14ac:dyDescent="0.35">
      <c r="A923" s="145" t="s">
        <v>2268</v>
      </c>
      <c r="B923" s="155" t="s">
        <v>3741</v>
      </c>
      <c r="C923" s="146"/>
      <c r="D923" s="147">
        <v>46096</v>
      </c>
      <c r="E923" s="148">
        <v>8640900</v>
      </c>
      <c r="F923" s="44">
        <f t="shared" si="52"/>
        <v>691272</v>
      </c>
      <c r="G923" s="149">
        <f t="shared" si="53"/>
        <v>9332172</v>
      </c>
      <c r="H923" s="149">
        <v>9332172</v>
      </c>
      <c r="I923" s="150">
        <f t="shared" ref="I923:I964" si="54">+G923-H923</f>
        <v>0</v>
      </c>
      <c r="J923" s="151">
        <v>46249</v>
      </c>
      <c r="K923" s="3">
        <v>9106634427</v>
      </c>
    </row>
    <row r="924" spans="1:11" ht="21.75" hidden="1" customHeight="1" x14ac:dyDescent="0.35">
      <c r="A924" s="145" t="s">
        <v>3750</v>
      </c>
      <c r="B924" s="155" t="s">
        <v>3742</v>
      </c>
      <c r="C924" s="146"/>
      <c r="D924" s="147">
        <v>46096</v>
      </c>
      <c r="E924" s="148">
        <v>448000</v>
      </c>
      <c r="F924" s="44">
        <f t="shared" si="52"/>
        <v>35840</v>
      </c>
      <c r="G924" s="149">
        <f t="shared" si="53"/>
        <v>483840</v>
      </c>
      <c r="H924" s="149">
        <v>483840</v>
      </c>
      <c r="I924" s="150">
        <f t="shared" si="54"/>
        <v>0</v>
      </c>
      <c r="J924" s="151">
        <v>46249</v>
      </c>
      <c r="K924" s="3">
        <v>9106646780</v>
      </c>
    </row>
    <row r="925" spans="1:11" ht="21.75" hidden="1" customHeight="1" x14ac:dyDescent="0.35">
      <c r="A925" s="145" t="s">
        <v>2375</v>
      </c>
      <c r="B925" s="155" t="s">
        <v>3751</v>
      </c>
      <c r="C925" s="146"/>
      <c r="D925" s="147">
        <v>46097</v>
      </c>
      <c r="E925" s="148">
        <v>9667000</v>
      </c>
      <c r="F925" s="44">
        <f t="shared" si="52"/>
        <v>773360</v>
      </c>
      <c r="G925" s="149">
        <f t="shared" si="53"/>
        <v>10440360</v>
      </c>
      <c r="H925" s="149">
        <v>10440360</v>
      </c>
      <c r="I925" s="150">
        <f t="shared" si="54"/>
        <v>0</v>
      </c>
      <c r="J925" s="151">
        <v>46249</v>
      </c>
      <c r="K925" s="3">
        <v>9106641643</v>
      </c>
    </row>
    <row r="926" spans="1:11" ht="21.75" hidden="1" customHeight="1" x14ac:dyDescent="0.35">
      <c r="A926" s="145" t="s">
        <v>2365</v>
      </c>
      <c r="B926" s="155" t="s">
        <v>3752</v>
      </c>
      <c r="C926" s="146"/>
      <c r="D926" s="147">
        <v>46098</v>
      </c>
      <c r="E926" s="148">
        <v>1103000</v>
      </c>
      <c r="F926" s="44">
        <f t="shared" si="52"/>
        <v>88240</v>
      </c>
      <c r="G926" s="149">
        <f t="shared" si="53"/>
        <v>1191240</v>
      </c>
      <c r="H926" s="149">
        <v>1191240</v>
      </c>
      <c r="I926" s="150">
        <f t="shared" si="54"/>
        <v>0</v>
      </c>
      <c r="J926" s="151">
        <v>46249</v>
      </c>
      <c r="K926" s="3">
        <v>9106620662</v>
      </c>
    </row>
    <row r="927" spans="1:11" ht="21.75" hidden="1" customHeight="1" x14ac:dyDescent="0.35">
      <c r="A927" s="145" t="s">
        <v>3753</v>
      </c>
      <c r="B927" s="155" t="s">
        <v>3754</v>
      </c>
      <c r="C927" s="146"/>
      <c r="D927" s="147">
        <v>46097</v>
      </c>
      <c r="E927" s="148">
        <v>5697200</v>
      </c>
      <c r="F927" s="44">
        <f t="shared" si="52"/>
        <v>455776</v>
      </c>
      <c r="G927" s="149">
        <f t="shared" si="53"/>
        <v>6152976</v>
      </c>
      <c r="H927" s="149">
        <v>6152976</v>
      </c>
      <c r="I927" s="150">
        <f t="shared" si="54"/>
        <v>0</v>
      </c>
      <c r="J927" s="151">
        <v>46249</v>
      </c>
      <c r="K927" s="3">
        <v>9106650857</v>
      </c>
    </row>
    <row r="928" spans="1:11" ht="21.75" hidden="1" customHeight="1" x14ac:dyDescent="0.35">
      <c r="A928" s="145" t="s">
        <v>2340</v>
      </c>
      <c r="B928" s="155" t="s">
        <v>3755</v>
      </c>
      <c r="C928" s="146"/>
      <c r="D928" s="147">
        <v>46099</v>
      </c>
      <c r="E928" s="148">
        <v>24569000</v>
      </c>
      <c r="F928" s="44">
        <f t="shared" si="52"/>
        <v>1965520</v>
      </c>
      <c r="G928" s="149">
        <f t="shared" si="53"/>
        <v>26534520</v>
      </c>
      <c r="H928" s="149">
        <v>26534520</v>
      </c>
      <c r="I928" s="150">
        <f t="shared" si="54"/>
        <v>0</v>
      </c>
      <c r="J928" s="151">
        <v>46249</v>
      </c>
      <c r="K928" s="3">
        <v>9106600515</v>
      </c>
    </row>
    <row r="929" spans="1:11" ht="21.75" hidden="1" customHeight="1" x14ac:dyDescent="0.35">
      <c r="A929" s="145" t="s">
        <v>3756</v>
      </c>
      <c r="B929" s="155" t="s">
        <v>2054</v>
      </c>
      <c r="C929" s="146"/>
      <c r="D929" s="147">
        <v>46099</v>
      </c>
      <c r="E929" s="148">
        <v>12819450</v>
      </c>
      <c r="F929" s="44">
        <f t="shared" si="52"/>
        <v>1025556</v>
      </c>
      <c r="G929" s="149">
        <f t="shared" si="53"/>
        <v>13845006</v>
      </c>
      <c r="H929" s="149">
        <v>13845006</v>
      </c>
      <c r="I929" s="150">
        <f t="shared" si="54"/>
        <v>0</v>
      </c>
      <c r="J929" s="151">
        <v>46249</v>
      </c>
      <c r="K929" s="3">
        <v>9106659667</v>
      </c>
    </row>
    <row r="930" spans="1:11" ht="21.75" hidden="1" customHeight="1" x14ac:dyDescent="0.35">
      <c r="A930" s="145" t="s">
        <v>2260</v>
      </c>
      <c r="B930" s="155" t="s">
        <v>3757</v>
      </c>
      <c r="C930" s="146"/>
      <c r="D930" s="147">
        <v>46100</v>
      </c>
      <c r="E930" s="148">
        <v>8112400</v>
      </c>
      <c r="F930" s="44">
        <f t="shared" si="52"/>
        <v>648992</v>
      </c>
      <c r="G930" s="149">
        <f t="shared" si="53"/>
        <v>8761392</v>
      </c>
      <c r="H930" s="149">
        <v>8761392</v>
      </c>
      <c r="I930" s="150">
        <f t="shared" si="54"/>
        <v>0</v>
      </c>
      <c r="J930" s="151">
        <v>46249</v>
      </c>
      <c r="K930" s="3">
        <v>9106666358</v>
      </c>
    </row>
    <row r="931" spans="1:11" ht="21.75" hidden="1" customHeight="1" x14ac:dyDescent="0.35">
      <c r="A931" s="145" t="s">
        <v>3758</v>
      </c>
      <c r="B931" s="155" t="s">
        <v>3759</v>
      </c>
      <c r="C931" s="146"/>
      <c r="D931" s="147">
        <v>46101</v>
      </c>
      <c r="E931" s="148">
        <v>8896600</v>
      </c>
      <c r="F931" s="44">
        <f t="shared" si="52"/>
        <v>711728</v>
      </c>
      <c r="G931" s="149">
        <f t="shared" si="53"/>
        <v>9608328</v>
      </c>
      <c r="H931" s="149">
        <v>9608328</v>
      </c>
      <c r="I931" s="150">
        <f t="shared" si="54"/>
        <v>0</v>
      </c>
      <c r="J931" s="151">
        <v>46249</v>
      </c>
      <c r="K931" s="3">
        <v>9106652011</v>
      </c>
    </row>
    <row r="932" spans="1:11" ht="21.75" hidden="1" customHeight="1" x14ac:dyDescent="0.35">
      <c r="A932" s="145" t="s">
        <v>3760</v>
      </c>
      <c r="B932" s="155" t="s">
        <v>3761</v>
      </c>
      <c r="C932" s="146"/>
      <c r="D932" s="147">
        <v>46106</v>
      </c>
      <c r="E932" s="148">
        <v>13475750</v>
      </c>
      <c r="F932" s="44">
        <f t="shared" si="52"/>
        <v>1078060</v>
      </c>
      <c r="G932" s="149">
        <f t="shared" si="53"/>
        <v>14553810</v>
      </c>
      <c r="H932" s="149">
        <v>14553810</v>
      </c>
      <c r="I932" s="150">
        <f t="shared" si="54"/>
        <v>0</v>
      </c>
      <c r="J932" s="151">
        <v>46249</v>
      </c>
      <c r="K932" s="3">
        <v>9106631449</v>
      </c>
    </row>
    <row r="933" spans="1:11" ht="21.75" hidden="1" customHeight="1" x14ac:dyDescent="0.35">
      <c r="A933" s="145" t="s">
        <v>3762</v>
      </c>
      <c r="B933" s="155" t="s">
        <v>3763</v>
      </c>
      <c r="C933" s="146"/>
      <c r="D933" s="147">
        <v>46106</v>
      </c>
      <c r="E933" s="148">
        <v>4999000</v>
      </c>
      <c r="F933" s="44">
        <f t="shared" si="52"/>
        <v>399920</v>
      </c>
      <c r="G933" s="149">
        <f t="shared" si="53"/>
        <v>5398920</v>
      </c>
      <c r="H933" s="149">
        <v>5398920</v>
      </c>
      <c r="I933" s="150">
        <f t="shared" si="54"/>
        <v>0</v>
      </c>
      <c r="J933" s="151">
        <v>46249</v>
      </c>
      <c r="K933" s="3">
        <v>9106628506</v>
      </c>
    </row>
    <row r="934" spans="1:11" ht="21.75" hidden="1" customHeight="1" x14ac:dyDescent="0.35">
      <c r="A934" s="145" t="s">
        <v>2832</v>
      </c>
      <c r="B934" s="155" t="s">
        <v>3764</v>
      </c>
      <c r="C934" s="146"/>
      <c r="D934" s="147">
        <v>46107</v>
      </c>
      <c r="E934" s="148">
        <v>3488000</v>
      </c>
      <c r="F934" s="44">
        <f t="shared" si="52"/>
        <v>279040</v>
      </c>
      <c r="G934" s="149">
        <f t="shared" si="53"/>
        <v>3767040</v>
      </c>
      <c r="H934" s="149">
        <v>3767040</v>
      </c>
      <c r="I934" s="150">
        <f t="shared" si="54"/>
        <v>0</v>
      </c>
      <c r="J934" s="151">
        <v>46249</v>
      </c>
      <c r="K934" s="3">
        <v>9106576958</v>
      </c>
    </row>
    <row r="935" spans="1:11" ht="21.75" hidden="1" customHeight="1" x14ac:dyDescent="0.35">
      <c r="A935" s="145" t="s">
        <v>1974</v>
      </c>
      <c r="B935" s="155" t="s">
        <v>3765</v>
      </c>
      <c r="C935" s="146"/>
      <c r="D935" s="147">
        <v>46104</v>
      </c>
      <c r="E935" s="148">
        <v>3850800</v>
      </c>
      <c r="F935" s="44">
        <f t="shared" si="52"/>
        <v>308064</v>
      </c>
      <c r="G935" s="149">
        <f t="shared" si="53"/>
        <v>4158864</v>
      </c>
      <c r="H935" s="149">
        <v>4158864</v>
      </c>
      <c r="I935" s="150">
        <f t="shared" si="54"/>
        <v>0</v>
      </c>
      <c r="J935" s="151">
        <v>46249</v>
      </c>
      <c r="K935" s="3">
        <v>9106679797</v>
      </c>
    </row>
    <row r="936" spans="1:11" ht="21.75" hidden="1" customHeight="1" x14ac:dyDescent="0.35">
      <c r="A936" s="145" t="s">
        <v>1988</v>
      </c>
      <c r="B936" s="155" t="s">
        <v>3766</v>
      </c>
      <c r="C936" s="146"/>
      <c r="D936" s="147">
        <v>46108</v>
      </c>
      <c r="E936" s="148">
        <v>11652100</v>
      </c>
      <c r="F936" s="44">
        <f t="shared" si="52"/>
        <v>932168</v>
      </c>
      <c r="G936" s="149">
        <f t="shared" si="53"/>
        <v>12584268</v>
      </c>
      <c r="H936" s="149">
        <v>12584268</v>
      </c>
      <c r="I936" s="150">
        <f t="shared" si="54"/>
        <v>0</v>
      </c>
      <c r="J936" s="151">
        <v>46249</v>
      </c>
      <c r="K936" s="3">
        <v>9106659565</v>
      </c>
    </row>
    <row r="937" spans="1:11" ht="21.75" hidden="1" customHeight="1" x14ac:dyDescent="0.35">
      <c r="A937" s="145" t="s">
        <v>3767</v>
      </c>
      <c r="B937" s="155" t="s">
        <v>3768</v>
      </c>
      <c r="C937" s="146"/>
      <c r="D937" s="147">
        <v>46111</v>
      </c>
      <c r="E937" s="148">
        <v>64000</v>
      </c>
      <c r="F937" s="44">
        <f t="shared" si="52"/>
        <v>5120</v>
      </c>
      <c r="G937" s="149">
        <f t="shared" si="53"/>
        <v>69120</v>
      </c>
      <c r="H937" s="149">
        <v>69120</v>
      </c>
      <c r="I937" s="150">
        <f t="shared" si="54"/>
        <v>0</v>
      </c>
      <c r="J937" s="151">
        <v>46249</v>
      </c>
      <c r="K937" s="3">
        <v>9106707495</v>
      </c>
    </row>
    <row r="938" spans="1:11" ht="21.75" hidden="1" customHeight="1" x14ac:dyDescent="0.35">
      <c r="A938" s="145" t="s">
        <v>3769</v>
      </c>
      <c r="B938" s="155" t="s">
        <v>3770</v>
      </c>
      <c r="C938" s="146"/>
      <c r="D938" s="147">
        <v>46107</v>
      </c>
      <c r="E938" s="148">
        <v>182000</v>
      </c>
      <c r="F938" s="44">
        <f t="shared" si="52"/>
        <v>14560</v>
      </c>
      <c r="G938" s="149">
        <f t="shared" si="53"/>
        <v>196560</v>
      </c>
      <c r="H938" s="149">
        <v>196560</v>
      </c>
      <c r="I938" s="150">
        <f t="shared" si="54"/>
        <v>0</v>
      </c>
      <c r="J938" s="151">
        <v>46249</v>
      </c>
      <c r="K938" s="3">
        <v>9106693418</v>
      </c>
    </row>
    <row r="939" spans="1:11" ht="21.75" hidden="1" customHeight="1" x14ac:dyDescent="0.35">
      <c r="A939" s="145" t="s">
        <v>3771</v>
      </c>
      <c r="B939" s="155" t="s">
        <v>3772</v>
      </c>
      <c r="C939" s="146"/>
      <c r="D939" s="147">
        <v>46111</v>
      </c>
      <c r="E939" s="148">
        <v>110000</v>
      </c>
      <c r="F939" s="44">
        <f t="shared" si="52"/>
        <v>8800</v>
      </c>
      <c r="G939" s="149">
        <f t="shared" si="53"/>
        <v>118800</v>
      </c>
      <c r="H939" s="149">
        <v>118800</v>
      </c>
      <c r="I939" s="150">
        <f t="shared" si="54"/>
        <v>0</v>
      </c>
      <c r="J939" s="151">
        <v>46249</v>
      </c>
      <c r="K939" s="3">
        <v>9106707893</v>
      </c>
    </row>
    <row r="940" spans="1:11" ht="21.75" hidden="1" customHeight="1" x14ac:dyDescent="0.35">
      <c r="A940" s="145" t="s">
        <v>1937</v>
      </c>
      <c r="B940" s="155" t="s">
        <v>3773</v>
      </c>
      <c r="C940" s="146"/>
      <c r="D940" s="147">
        <v>46111</v>
      </c>
      <c r="E940" s="148">
        <v>2262700</v>
      </c>
      <c r="F940" s="44">
        <f t="shared" si="52"/>
        <v>181016</v>
      </c>
      <c r="G940" s="149">
        <f t="shared" si="53"/>
        <v>2443716</v>
      </c>
      <c r="H940" s="149">
        <v>2443716</v>
      </c>
      <c r="I940" s="150">
        <f t="shared" si="54"/>
        <v>0</v>
      </c>
      <c r="J940" s="151">
        <v>46249</v>
      </c>
      <c r="K940" s="3">
        <v>9106623275</v>
      </c>
    </row>
    <row r="941" spans="1:11" ht="21.75" hidden="1" customHeight="1" x14ac:dyDescent="0.35">
      <c r="A941" s="145" t="s">
        <v>3774</v>
      </c>
      <c r="B941" s="155" t="s">
        <v>1853</v>
      </c>
      <c r="C941" s="146"/>
      <c r="D941" s="147">
        <v>46112</v>
      </c>
      <c r="E941" s="148">
        <v>11342950</v>
      </c>
      <c r="F941" s="44">
        <f t="shared" si="52"/>
        <v>907436</v>
      </c>
      <c r="G941" s="149">
        <f t="shared" si="53"/>
        <v>12250386</v>
      </c>
      <c r="H941" s="149">
        <v>12250386</v>
      </c>
      <c r="I941" s="150">
        <f t="shared" si="54"/>
        <v>0</v>
      </c>
      <c r="J941" s="151">
        <v>46249</v>
      </c>
      <c r="K941" s="3">
        <v>9106648487</v>
      </c>
    </row>
    <row r="942" spans="1:11" ht="21.75" hidden="1" customHeight="1" x14ac:dyDescent="0.35">
      <c r="A942" s="145" t="s">
        <v>1899</v>
      </c>
      <c r="B942" s="155" t="s">
        <v>3782</v>
      </c>
      <c r="C942" s="146"/>
      <c r="D942" s="147">
        <v>46105</v>
      </c>
      <c r="E942" s="148">
        <v>2800000</v>
      </c>
      <c r="F942" s="44">
        <f t="shared" si="52"/>
        <v>224000</v>
      </c>
      <c r="G942" s="149">
        <f t="shared" si="53"/>
        <v>3024000</v>
      </c>
      <c r="H942" s="149">
        <v>3024000</v>
      </c>
      <c r="I942" s="150">
        <f t="shared" si="54"/>
        <v>0</v>
      </c>
      <c r="J942" s="151">
        <v>46249</v>
      </c>
      <c r="K942" s="3">
        <v>9106616756</v>
      </c>
    </row>
    <row r="943" spans="1:11" ht="21.75" hidden="1" customHeight="1" x14ac:dyDescent="0.35">
      <c r="A943" s="145" t="s">
        <v>1928</v>
      </c>
      <c r="B943" s="155" t="s">
        <v>3783</v>
      </c>
      <c r="C943" s="146"/>
      <c r="D943" s="147">
        <v>46106</v>
      </c>
      <c r="E943" s="148">
        <v>3999500</v>
      </c>
      <c r="F943" s="44">
        <f t="shared" si="52"/>
        <v>319960</v>
      </c>
      <c r="G943" s="149">
        <f t="shared" si="53"/>
        <v>4319460</v>
      </c>
      <c r="H943" s="149">
        <v>4319460</v>
      </c>
      <c r="I943" s="150">
        <f t="shared" si="54"/>
        <v>0</v>
      </c>
      <c r="J943" s="151">
        <v>46249</v>
      </c>
      <c r="K943" s="3">
        <v>9106652214</v>
      </c>
    </row>
    <row r="944" spans="1:11" ht="21.75" hidden="1" customHeight="1" x14ac:dyDescent="0.35">
      <c r="A944" s="145" t="s">
        <v>1727</v>
      </c>
      <c r="B944" s="155" t="s">
        <v>3784</v>
      </c>
      <c r="C944" s="146"/>
      <c r="D944" s="147">
        <v>46107</v>
      </c>
      <c r="E944" s="148">
        <v>832200</v>
      </c>
      <c r="F944" s="44">
        <f t="shared" si="52"/>
        <v>66576</v>
      </c>
      <c r="G944" s="149">
        <f t="shared" si="53"/>
        <v>898776</v>
      </c>
      <c r="H944" s="149">
        <v>898776</v>
      </c>
      <c r="I944" s="150">
        <f t="shared" si="54"/>
        <v>0</v>
      </c>
      <c r="J944" s="151">
        <v>46249</v>
      </c>
      <c r="K944" s="3">
        <v>9106684246</v>
      </c>
    </row>
    <row r="945" spans="1:11" ht="21.75" hidden="1" customHeight="1" x14ac:dyDescent="0.35">
      <c r="A945" s="145" t="s">
        <v>2212</v>
      </c>
      <c r="B945" s="155" t="s">
        <v>3785</v>
      </c>
      <c r="C945" s="146"/>
      <c r="D945" s="147">
        <v>46108</v>
      </c>
      <c r="E945" s="148">
        <v>1003200</v>
      </c>
      <c r="F945" s="44">
        <f t="shared" si="52"/>
        <v>80256</v>
      </c>
      <c r="G945" s="149">
        <f t="shared" si="53"/>
        <v>1083456</v>
      </c>
      <c r="H945" s="149">
        <v>1083456</v>
      </c>
      <c r="I945" s="150">
        <f t="shared" si="54"/>
        <v>0</v>
      </c>
      <c r="J945" s="151">
        <v>46249</v>
      </c>
      <c r="K945" s="3">
        <v>9106624931</v>
      </c>
    </row>
    <row r="946" spans="1:11" ht="21.75" hidden="1" customHeight="1" x14ac:dyDescent="0.35">
      <c r="A946" s="145" t="s">
        <v>1864</v>
      </c>
      <c r="B946" s="155" t="s">
        <v>3786</v>
      </c>
      <c r="C946" s="146"/>
      <c r="D946" s="147">
        <v>46109</v>
      </c>
      <c r="E946" s="148">
        <v>3600000</v>
      </c>
      <c r="F946" s="44">
        <f t="shared" si="52"/>
        <v>288000</v>
      </c>
      <c r="G946" s="149">
        <f t="shared" si="53"/>
        <v>3888000</v>
      </c>
      <c r="H946" s="149">
        <v>3888000</v>
      </c>
      <c r="I946" s="150">
        <f t="shared" si="54"/>
        <v>0</v>
      </c>
      <c r="J946" s="151">
        <v>46249</v>
      </c>
      <c r="K946" s="3">
        <v>9106633713</v>
      </c>
    </row>
    <row r="947" spans="1:11" ht="21.75" hidden="1" customHeight="1" x14ac:dyDescent="0.35">
      <c r="A947" s="145" t="s">
        <v>1916</v>
      </c>
      <c r="B947" s="155" t="s">
        <v>3787</v>
      </c>
      <c r="C947" s="146"/>
      <c r="D947" s="147">
        <v>46110</v>
      </c>
      <c r="E947" s="148">
        <v>64000</v>
      </c>
      <c r="F947" s="44">
        <f t="shared" ref="F947:F966" si="55">+E947*0.08</f>
        <v>5120</v>
      </c>
      <c r="G947" s="149">
        <f t="shared" ref="G947:G966" si="56">+F947+E947</f>
        <v>69120</v>
      </c>
      <c r="H947" s="149">
        <v>69120</v>
      </c>
      <c r="I947" s="150">
        <f t="shared" si="54"/>
        <v>0</v>
      </c>
      <c r="J947" s="151">
        <v>46249</v>
      </c>
      <c r="K947" s="3">
        <v>9106706146</v>
      </c>
    </row>
    <row r="948" spans="1:11" ht="21.75" hidden="1" customHeight="1" x14ac:dyDescent="0.35">
      <c r="A948" s="145" t="s">
        <v>3788</v>
      </c>
      <c r="B948" s="155" t="s">
        <v>3789</v>
      </c>
      <c r="C948" s="146"/>
      <c r="D948" s="147">
        <v>46119</v>
      </c>
      <c r="E948" s="148">
        <v>208000</v>
      </c>
      <c r="F948" s="44">
        <f t="shared" si="55"/>
        <v>16640</v>
      </c>
      <c r="G948" s="149">
        <f t="shared" si="56"/>
        <v>224640</v>
      </c>
      <c r="H948" s="149">
        <v>224640</v>
      </c>
      <c r="I948" s="150">
        <f t="shared" si="54"/>
        <v>0</v>
      </c>
      <c r="J948" s="151">
        <v>46249</v>
      </c>
      <c r="K948" s="3">
        <v>9106742926</v>
      </c>
    </row>
    <row r="949" spans="1:11" ht="21.75" hidden="1" customHeight="1" x14ac:dyDescent="0.35">
      <c r="A949" s="145" t="s">
        <v>1783</v>
      </c>
      <c r="B949" s="155" t="s">
        <v>3790</v>
      </c>
      <c r="C949" s="146"/>
      <c r="D949" s="147">
        <v>46114</v>
      </c>
      <c r="E949" s="148">
        <v>25252000</v>
      </c>
      <c r="F949" s="44">
        <f t="shared" si="55"/>
        <v>2020160</v>
      </c>
      <c r="G949" s="149">
        <f t="shared" si="56"/>
        <v>27272160</v>
      </c>
      <c r="H949" s="149">
        <v>27272160</v>
      </c>
      <c r="I949" s="150">
        <f t="shared" si="54"/>
        <v>0</v>
      </c>
      <c r="J949" s="151">
        <v>46249</v>
      </c>
      <c r="K949" s="3">
        <v>9106723221</v>
      </c>
    </row>
    <row r="950" spans="1:11" ht="21.75" hidden="1" customHeight="1" x14ac:dyDescent="0.35">
      <c r="A950" s="145" t="s">
        <v>3791</v>
      </c>
      <c r="B950" s="155" t="s">
        <v>3792</v>
      </c>
      <c r="C950" s="146"/>
      <c r="D950" s="147">
        <v>46121</v>
      </c>
      <c r="E950" s="148">
        <v>5214000</v>
      </c>
      <c r="F950" s="44">
        <f t="shared" si="55"/>
        <v>417120</v>
      </c>
      <c r="G950" s="149">
        <f t="shared" si="56"/>
        <v>5631120</v>
      </c>
      <c r="H950" s="149">
        <v>5631120</v>
      </c>
      <c r="I950" s="150">
        <f t="shared" si="54"/>
        <v>0</v>
      </c>
      <c r="J950" s="151">
        <v>46249</v>
      </c>
      <c r="K950" s="3">
        <v>9106729695</v>
      </c>
    </row>
    <row r="951" spans="1:11" ht="21.75" hidden="1" customHeight="1" x14ac:dyDescent="0.35">
      <c r="A951" s="145" t="s">
        <v>3793</v>
      </c>
      <c r="B951" s="155" t="s">
        <v>3794</v>
      </c>
      <c r="C951" s="146"/>
      <c r="D951" s="147">
        <v>46120</v>
      </c>
      <c r="E951" s="148">
        <v>8755000</v>
      </c>
      <c r="F951" s="44">
        <f t="shared" si="55"/>
        <v>700400</v>
      </c>
      <c r="G951" s="149">
        <f t="shared" si="56"/>
        <v>9455400</v>
      </c>
      <c r="H951" s="149">
        <v>9455400</v>
      </c>
      <c r="I951" s="150">
        <f t="shared" si="54"/>
        <v>0</v>
      </c>
      <c r="J951" s="151">
        <v>46249</v>
      </c>
      <c r="K951" s="3">
        <v>9106747721</v>
      </c>
    </row>
    <row r="952" spans="1:11" ht="21.75" hidden="1" customHeight="1" x14ac:dyDescent="0.35">
      <c r="A952" s="145" t="s">
        <v>3652</v>
      </c>
      <c r="B952" s="146" t="s">
        <v>3795</v>
      </c>
      <c r="C952" s="146"/>
      <c r="D952" s="147">
        <v>46119</v>
      </c>
      <c r="E952" s="148">
        <v>143757472</v>
      </c>
      <c r="F952" s="44">
        <f t="shared" si="55"/>
        <v>11500597.76</v>
      </c>
      <c r="G952" s="149">
        <f t="shared" si="56"/>
        <v>155258069.75999999</v>
      </c>
      <c r="H952" s="149">
        <v>155258069.75999999</v>
      </c>
      <c r="I952" s="150">
        <f t="shared" si="54"/>
        <v>0</v>
      </c>
      <c r="J952" s="151">
        <v>46127</v>
      </c>
    </row>
    <row r="953" spans="1:11" ht="21.75" hidden="1" customHeight="1" x14ac:dyDescent="0.35">
      <c r="A953" s="145" t="s">
        <v>2013</v>
      </c>
      <c r="B953" s="155" t="s">
        <v>3796</v>
      </c>
      <c r="C953" s="146"/>
      <c r="D953" s="147">
        <v>46122</v>
      </c>
      <c r="E953" s="148">
        <v>47710000</v>
      </c>
      <c r="F953" s="44">
        <f t="shared" si="55"/>
        <v>3816800</v>
      </c>
      <c r="G953" s="149">
        <f t="shared" si="56"/>
        <v>51526800</v>
      </c>
      <c r="H953" s="149">
        <v>51526800</v>
      </c>
      <c r="I953" s="150">
        <f t="shared" si="54"/>
        <v>0</v>
      </c>
      <c r="J953" s="151">
        <v>46249</v>
      </c>
      <c r="K953" s="3">
        <v>9106756713</v>
      </c>
    </row>
    <row r="954" spans="1:11" ht="21.75" hidden="1" customHeight="1" x14ac:dyDescent="0.35">
      <c r="A954" s="145" t="s">
        <v>3797</v>
      </c>
      <c r="B954" s="155" t="s">
        <v>3798</v>
      </c>
      <c r="C954" s="146"/>
      <c r="D954" s="147">
        <v>46125</v>
      </c>
      <c r="E954" s="148">
        <v>1543000</v>
      </c>
      <c r="F954" s="44">
        <f t="shared" si="55"/>
        <v>123440</v>
      </c>
      <c r="G954" s="149">
        <f t="shared" si="56"/>
        <v>1666440</v>
      </c>
      <c r="H954" s="149">
        <v>1666440</v>
      </c>
      <c r="I954" s="150">
        <f t="shared" si="54"/>
        <v>0</v>
      </c>
      <c r="J954" s="151">
        <v>46249</v>
      </c>
      <c r="K954" s="3">
        <v>9106761687</v>
      </c>
    </row>
    <row r="955" spans="1:11" ht="21.75" hidden="1" customHeight="1" x14ac:dyDescent="0.35">
      <c r="A955" s="145" t="s">
        <v>3799</v>
      </c>
      <c r="B955" s="155" t="s">
        <v>3800</v>
      </c>
      <c r="C955" s="146"/>
      <c r="D955" s="147">
        <v>46123</v>
      </c>
      <c r="E955" s="148">
        <v>73967800</v>
      </c>
      <c r="F955" s="44">
        <f t="shared" si="55"/>
        <v>5917424</v>
      </c>
      <c r="G955" s="149">
        <f t="shared" si="56"/>
        <v>79885224</v>
      </c>
      <c r="H955" s="149">
        <v>79885224</v>
      </c>
      <c r="I955" s="150">
        <f t="shared" si="54"/>
        <v>0</v>
      </c>
      <c r="J955" s="151">
        <v>46249</v>
      </c>
      <c r="K955" s="3">
        <v>9106757000</v>
      </c>
    </row>
    <row r="956" spans="1:11" ht="21.75" hidden="1" customHeight="1" x14ac:dyDescent="0.35">
      <c r="A956" s="145" t="s">
        <v>1677</v>
      </c>
      <c r="B956" s="155" t="s">
        <v>3801</v>
      </c>
      <c r="C956" s="146"/>
      <c r="D956" s="147">
        <v>46126</v>
      </c>
      <c r="E956" s="148">
        <v>4077000</v>
      </c>
      <c r="F956" s="44">
        <f t="shared" si="55"/>
        <v>326160</v>
      </c>
      <c r="G956" s="149">
        <f t="shared" si="56"/>
        <v>4403160</v>
      </c>
      <c r="H956" s="149">
        <v>4403160</v>
      </c>
      <c r="I956" s="150">
        <f t="shared" si="54"/>
        <v>0</v>
      </c>
      <c r="J956" s="151">
        <v>46249</v>
      </c>
      <c r="K956" s="3">
        <v>9106730389</v>
      </c>
    </row>
    <row r="957" spans="1:11" ht="21.75" hidden="1" customHeight="1" x14ac:dyDescent="0.35">
      <c r="A957" s="145" t="s">
        <v>3802</v>
      </c>
      <c r="B957" s="155" t="s">
        <v>3803</v>
      </c>
      <c r="C957" s="146"/>
      <c r="D957" s="147">
        <v>46127</v>
      </c>
      <c r="E957" s="148">
        <v>104000</v>
      </c>
      <c r="F957" s="44">
        <f t="shared" si="55"/>
        <v>8320</v>
      </c>
      <c r="G957" s="149">
        <f t="shared" si="56"/>
        <v>112320</v>
      </c>
      <c r="H957" s="149">
        <v>112320</v>
      </c>
      <c r="I957" s="150">
        <f t="shared" si="54"/>
        <v>0</v>
      </c>
      <c r="J957" s="151">
        <v>46249</v>
      </c>
      <c r="K957" s="3">
        <v>9106778380</v>
      </c>
    </row>
    <row r="958" spans="1:11" ht="21.75" hidden="1" customHeight="1" x14ac:dyDescent="0.35">
      <c r="A958" s="145" t="s">
        <v>1914</v>
      </c>
      <c r="B958" s="155" t="s">
        <v>3807</v>
      </c>
      <c r="C958" s="146"/>
      <c r="D958" s="147">
        <v>46132</v>
      </c>
      <c r="E958" s="148">
        <v>32000</v>
      </c>
      <c r="F958" s="44">
        <f t="shared" si="55"/>
        <v>2560</v>
      </c>
      <c r="G958" s="149">
        <f t="shared" si="56"/>
        <v>34560</v>
      </c>
      <c r="H958" s="149">
        <v>34560</v>
      </c>
      <c r="I958" s="150">
        <f t="shared" si="54"/>
        <v>0</v>
      </c>
      <c r="J958" s="151">
        <v>46249</v>
      </c>
      <c r="K958" s="3">
        <v>9106255976</v>
      </c>
    </row>
    <row r="959" spans="1:11" ht="21.75" hidden="1" customHeight="1" x14ac:dyDescent="0.35">
      <c r="A959" s="145" t="s">
        <v>3808</v>
      </c>
      <c r="B959" s="155" t="s">
        <v>3809</v>
      </c>
      <c r="C959" s="146"/>
      <c r="D959" s="147">
        <v>46135</v>
      </c>
      <c r="E959" s="148">
        <v>208000</v>
      </c>
      <c r="F959" s="44">
        <f t="shared" si="55"/>
        <v>16640</v>
      </c>
      <c r="G959" s="149">
        <f t="shared" si="56"/>
        <v>224640</v>
      </c>
      <c r="H959" s="149">
        <v>224640</v>
      </c>
      <c r="I959" s="150">
        <f t="shared" si="54"/>
        <v>0</v>
      </c>
      <c r="J959" s="151">
        <v>46249</v>
      </c>
      <c r="K959" s="3">
        <v>9106815613</v>
      </c>
    </row>
    <row r="960" spans="1:11" ht="21.75" hidden="1" customHeight="1" x14ac:dyDescent="0.35">
      <c r="A960" s="145" t="s">
        <v>1912</v>
      </c>
      <c r="B960" s="155" t="s">
        <v>3810</v>
      </c>
      <c r="C960" s="146"/>
      <c r="D960" s="147">
        <v>46133</v>
      </c>
      <c r="E960" s="148">
        <v>288000</v>
      </c>
      <c r="F960" s="44">
        <f t="shared" si="55"/>
        <v>23040</v>
      </c>
      <c r="G960" s="149">
        <f t="shared" si="56"/>
        <v>311040</v>
      </c>
      <c r="H960" s="149">
        <v>311040</v>
      </c>
      <c r="I960" s="150">
        <f t="shared" si="54"/>
        <v>0</v>
      </c>
      <c r="J960" s="151">
        <v>46249</v>
      </c>
      <c r="K960" s="3">
        <v>9106804038</v>
      </c>
    </row>
    <row r="961" spans="1:11" ht="21.75" hidden="1" customHeight="1" x14ac:dyDescent="0.35">
      <c r="A961" s="145" t="s">
        <v>1686</v>
      </c>
      <c r="B961" s="155" t="s">
        <v>3811</v>
      </c>
      <c r="C961" s="146"/>
      <c r="D961" s="147">
        <v>46134</v>
      </c>
      <c r="E961" s="148">
        <v>96000</v>
      </c>
      <c r="F961" s="44">
        <f t="shared" si="55"/>
        <v>7680</v>
      </c>
      <c r="G961" s="149">
        <f t="shared" si="56"/>
        <v>103680</v>
      </c>
      <c r="H961" s="149">
        <v>103680</v>
      </c>
      <c r="I961" s="150">
        <f t="shared" si="54"/>
        <v>0</v>
      </c>
      <c r="J961" s="151">
        <v>46249</v>
      </c>
      <c r="K961" s="3">
        <v>9106809848</v>
      </c>
    </row>
    <row r="962" spans="1:11" ht="21.75" hidden="1" customHeight="1" x14ac:dyDescent="0.35">
      <c r="A962" s="145" t="s">
        <v>1705</v>
      </c>
      <c r="B962" s="155" t="s">
        <v>3812</v>
      </c>
      <c r="C962" s="146"/>
      <c r="D962" s="147">
        <v>46137</v>
      </c>
      <c r="E962" s="148">
        <v>15536600</v>
      </c>
      <c r="F962" s="44">
        <f t="shared" si="55"/>
        <v>1242928</v>
      </c>
      <c r="G962" s="149">
        <f t="shared" si="56"/>
        <v>16779528</v>
      </c>
      <c r="H962" s="149">
        <v>16779528</v>
      </c>
      <c r="I962" s="150">
        <f t="shared" si="54"/>
        <v>0</v>
      </c>
      <c r="J962" s="151">
        <v>46249</v>
      </c>
      <c r="K962" s="3">
        <v>9106821630</v>
      </c>
    </row>
    <row r="963" spans="1:11" ht="21.75" hidden="1" customHeight="1" x14ac:dyDescent="0.35">
      <c r="A963" s="145" t="s">
        <v>1741</v>
      </c>
      <c r="B963" s="155" t="s">
        <v>3813</v>
      </c>
      <c r="C963" s="146"/>
      <c r="D963" s="147">
        <v>46129</v>
      </c>
      <c r="E963" s="148">
        <v>1550500</v>
      </c>
      <c r="F963" s="44">
        <f t="shared" si="55"/>
        <v>124040</v>
      </c>
      <c r="G963" s="149">
        <f t="shared" si="56"/>
        <v>1674540</v>
      </c>
      <c r="H963" s="149">
        <v>1674540</v>
      </c>
      <c r="I963" s="150">
        <f t="shared" si="54"/>
        <v>0</v>
      </c>
      <c r="J963" s="151">
        <v>46249</v>
      </c>
      <c r="K963" s="3">
        <v>9106782707</v>
      </c>
    </row>
    <row r="964" spans="1:11" ht="21.75" hidden="1" customHeight="1" x14ac:dyDescent="0.35">
      <c r="A964" s="145" t="s">
        <v>1885</v>
      </c>
      <c r="B964" s="155" t="s">
        <v>3814</v>
      </c>
      <c r="C964" s="146"/>
      <c r="D964" s="147">
        <v>46138</v>
      </c>
      <c r="E964" s="148">
        <v>384000</v>
      </c>
      <c r="F964" s="44">
        <f t="shared" si="55"/>
        <v>30720</v>
      </c>
      <c r="G964" s="149">
        <f t="shared" si="56"/>
        <v>414720</v>
      </c>
      <c r="H964" s="149">
        <v>414720</v>
      </c>
      <c r="I964" s="150">
        <f t="shared" si="54"/>
        <v>0</v>
      </c>
      <c r="J964" s="151">
        <v>46249</v>
      </c>
      <c r="K964" s="3">
        <v>9106826361</v>
      </c>
    </row>
    <row r="965" spans="1:11" ht="21.75" hidden="1" customHeight="1" x14ac:dyDescent="0.35">
      <c r="A965" s="145" t="s">
        <v>1630</v>
      </c>
      <c r="B965" s="155" t="s">
        <v>3815</v>
      </c>
      <c r="C965" s="146"/>
      <c r="D965" s="147">
        <v>46127</v>
      </c>
      <c r="E965" s="148">
        <v>4363850</v>
      </c>
      <c r="F965" s="44">
        <f t="shared" si="55"/>
        <v>349108</v>
      </c>
      <c r="G965" s="149">
        <f t="shared" si="56"/>
        <v>4712958</v>
      </c>
      <c r="H965" s="149">
        <v>4712958</v>
      </c>
      <c r="I965" s="150">
        <f t="shared" ref="I965:I973" si="57">+G965-H965</f>
        <v>0</v>
      </c>
      <c r="J965" s="151">
        <v>46249</v>
      </c>
      <c r="K965" s="3">
        <v>9106770201</v>
      </c>
    </row>
    <row r="966" spans="1:11" ht="21.75" customHeight="1" x14ac:dyDescent="0.35">
      <c r="A966" s="145" t="s">
        <v>3816</v>
      </c>
      <c r="B966" s="155" t="s">
        <v>3817</v>
      </c>
      <c r="C966" s="146"/>
      <c r="D966" s="147">
        <v>46146</v>
      </c>
      <c r="E966" s="148">
        <v>156000</v>
      </c>
      <c r="F966" s="44">
        <f t="shared" si="55"/>
        <v>12480</v>
      </c>
      <c r="G966" s="149">
        <f t="shared" si="56"/>
        <v>168480</v>
      </c>
      <c r="H966" s="149"/>
      <c r="I966" s="150">
        <f t="shared" si="57"/>
        <v>168480</v>
      </c>
      <c r="J966" s="151"/>
      <c r="K966" s="3">
        <v>9106857257</v>
      </c>
    </row>
    <row r="967" spans="1:11" ht="21.75" customHeight="1" x14ac:dyDescent="0.35">
      <c r="A967" s="145" t="s">
        <v>3818</v>
      </c>
      <c r="B967" s="155" t="s">
        <v>3819</v>
      </c>
      <c r="C967" s="146"/>
      <c r="D967" s="147">
        <v>46149</v>
      </c>
      <c r="E967" s="148">
        <v>39442000</v>
      </c>
      <c r="F967" s="44">
        <f t="shared" ref="F967:F1030" si="58">+E967*0.08</f>
        <v>3155360</v>
      </c>
      <c r="G967" s="149">
        <f t="shared" ref="G967:G1030" si="59">+F967+E967</f>
        <v>42597360</v>
      </c>
      <c r="H967" s="149"/>
      <c r="I967" s="150">
        <f t="shared" si="57"/>
        <v>42597360</v>
      </c>
      <c r="J967" s="151"/>
      <c r="K967" s="3">
        <v>9106873351</v>
      </c>
    </row>
    <row r="968" spans="1:11" ht="21.75" customHeight="1" x14ac:dyDescent="0.35">
      <c r="A968" s="145" t="s">
        <v>2290</v>
      </c>
      <c r="B968" s="155" t="s">
        <v>3824</v>
      </c>
      <c r="C968" s="146"/>
      <c r="D968" s="147">
        <v>46146</v>
      </c>
      <c r="E968" s="148">
        <v>64000</v>
      </c>
      <c r="F968" s="44">
        <f t="shared" si="58"/>
        <v>5120</v>
      </c>
      <c r="G968" s="149">
        <f t="shared" si="59"/>
        <v>69120</v>
      </c>
      <c r="H968" s="149"/>
      <c r="I968" s="150">
        <f t="shared" si="57"/>
        <v>69120</v>
      </c>
      <c r="J968" s="151"/>
      <c r="K968" s="3">
        <v>9106852294</v>
      </c>
    </row>
    <row r="969" spans="1:11" ht="21.75" customHeight="1" x14ac:dyDescent="0.35">
      <c r="A969" s="145" t="s">
        <v>3820</v>
      </c>
      <c r="B969" s="155" t="s">
        <v>3823</v>
      </c>
      <c r="C969" s="146"/>
      <c r="D969" s="147">
        <v>46144</v>
      </c>
      <c r="E969" s="148">
        <v>64000</v>
      </c>
      <c r="F969" s="44">
        <f t="shared" si="58"/>
        <v>5120</v>
      </c>
      <c r="G969" s="149">
        <f t="shared" si="59"/>
        <v>69120</v>
      </c>
      <c r="H969" s="149"/>
      <c r="I969" s="150">
        <f t="shared" si="57"/>
        <v>69120</v>
      </c>
      <c r="J969" s="151"/>
      <c r="K969" s="3">
        <v>9106847027</v>
      </c>
    </row>
    <row r="970" spans="1:11" ht="21.75" customHeight="1" x14ac:dyDescent="0.35">
      <c r="A970" s="145" t="s">
        <v>3821</v>
      </c>
      <c r="B970" s="155" t="s">
        <v>3822</v>
      </c>
      <c r="C970" s="146"/>
      <c r="D970" s="147">
        <v>46147</v>
      </c>
      <c r="E970" s="148">
        <v>13500</v>
      </c>
      <c r="F970" s="44">
        <f t="shared" si="58"/>
        <v>1080</v>
      </c>
      <c r="G970" s="149">
        <f t="shared" si="59"/>
        <v>14580</v>
      </c>
      <c r="H970" s="149"/>
      <c r="I970" s="150">
        <f t="shared" si="57"/>
        <v>14580</v>
      </c>
      <c r="J970" s="151"/>
      <c r="K970" s="3">
        <v>9106860764</v>
      </c>
    </row>
    <row r="971" spans="1:11" ht="21.75" hidden="1" customHeight="1" x14ac:dyDescent="0.35">
      <c r="A971" s="145" t="s">
        <v>3652</v>
      </c>
      <c r="B971" s="146" t="s">
        <v>3825</v>
      </c>
      <c r="C971" s="146"/>
      <c r="D971" s="147">
        <v>46149</v>
      </c>
      <c r="E971" s="148">
        <v>94105908</v>
      </c>
      <c r="F971" s="44">
        <f t="shared" si="58"/>
        <v>7528472.6400000006</v>
      </c>
      <c r="G971" s="149">
        <f t="shared" si="59"/>
        <v>101634380.64</v>
      </c>
      <c r="H971" s="149">
        <v>101634380.64</v>
      </c>
      <c r="I971" s="150">
        <f t="shared" si="57"/>
        <v>0</v>
      </c>
      <c r="J971" s="151">
        <v>46157</v>
      </c>
    </row>
    <row r="972" spans="1:11" ht="21.75" customHeight="1" x14ac:dyDescent="0.35">
      <c r="A972" s="145" t="s">
        <v>3826</v>
      </c>
      <c r="B972" s="155" t="s">
        <v>3827</v>
      </c>
      <c r="C972" s="146"/>
      <c r="D972" s="147">
        <v>46154</v>
      </c>
      <c r="E972" s="148">
        <v>438000</v>
      </c>
      <c r="F972" s="44">
        <f t="shared" si="58"/>
        <v>35040</v>
      </c>
      <c r="G972" s="149">
        <f t="shared" si="59"/>
        <v>473040</v>
      </c>
      <c r="H972" s="149"/>
      <c r="I972" s="150">
        <f t="shared" si="57"/>
        <v>473040</v>
      </c>
      <c r="J972" s="151"/>
      <c r="K972" s="3">
        <v>9106891603</v>
      </c>
    </row>
    <row r="973" spans="1:11" ht="21.75" customHeight="1" x14ac:dyDescent="0.35">
      <c r="A973" s="145" t="s">
        <v>2290</v>
      </c>
      <c r="B973" s="155" t="s">
        <v>3828</v>
      </c>
      <c r="C973" s="146"/>
      <c r="D973" s="147">
        <v>46159</v>
      </c>
      <c r="E973" s="148">
        <v>224000</v>
      </c>
      <c r="F973" s="44">
        <f t="shared" si="58"/>
        <v>17920</v>
      </c>
      <c r="G973" s="149">
        <f t="shared" si="59"/>
        <v>241920</v>
      </c>
      <c r="H973" s="149"/>
      <c r="I973" s="150">
        <f t="shared" si="57"/>
        <v>241920</v>
      </c>
      <c r="J973" s="151"/>
      <c r="K973" s="3">
        <v>9106917069</v>
      </c>
    </row>
    <row r="974" spans="1:11" ht="21.75" customHeight="1" x14ac:dyDescent="0.35">
      <c r="A974" s="145" t="s">
        <v>3829</v>
      </c>
      <c r="B974" s="155" t="s">
        <v>3830</v>
      </c>
      <c r="C974" s="146"/>
      <c r="D974" s="147">
        <v>46157</v>
      </c>
      <c r="E974" s="148">
        <v>1928500</v>
      </c>
      <c r="F974" s="44">
        <f t="shared" si="58"/>
        <v>154280</v>
      </c>
      <c r="G974" s="149">
        <f t="shared" si="59"/>
        <v>2082780</v>
      </c>
      <c r="H974" s="149"/>
      <c r="I974" s="150">
        <f t="shared" ref="I974:I1037" si="60">+G974-H974</f>
        <v>2082780</v>
      </c>
      <c r="J974" s="151"/>
      <c r="K974" s="3">
        <v>9106908770</v>
      </c>
    </row>
    <row r="975" spans="1:11" ht="21.75" customHeight="1" x14ac:dyDescent="0.35">
      <c r="A975" s="145" t="s">
        <v>3831</v>
      </c>
      <c r="B975" s="155" t="s">
        <v>3832</v>
      </c>
      <c r="C975" s="146"/>
      <c r="D975" s="147">
        <v>46153</v>
      </c>
      <c r="E975" s="148">
        <v>104000</v>
      </c>
      <c r="F975" s="44">
        <f t="shared" si="58"/>
        <v>8320</v>
      </c>
      <c r="G975" s="149">
        <f t="shared" si="59"/>
        <v>112320</v>
      </c>
      <c r="H975" s="149"/>
      <c r="I975" s="150">
        <f t="shared" si="60"/>
        <v>112320</v>
      </c>
      <c r="J975" s="151"/>
      <c r="K975" s="3">
        <v>9106887061</v>
      </c>
    </row>
    <row r="976" spans="1:11" ht="21.75" customHeight="1" x14ac:dyDescent="0.35">
      <c r="A976" s="145" t="s">
        <v>3833</v>
      </c>
      <c r="B976" s="155" t="s">
        <v>3834</v>
      </c>
      <c r="C976" s="146"/>
      <c r="D976" s="147">
        <v>46153</v>
      </c>
      <c r="E976" s="148">
        <v>160000</v>
      </c>
      <c r="F976" s="44">
        <f t="shared" si="58"/>
        <v>12800</v>
      </c>
      <c r="G976" s="149">
        <f t="shared" si="59"/>
        <v>172800</v>
      </c>
      <c r="H976" s="149"/>
      <c r="I976" s="150">
        <f t="shared" si="60"/>
        <v>172800</v>
      </c>
      <c r="J976" s="151"/>
      <c r="K976" s="3">
        <v>9106891675</v>
      </c>
    </row>
    <row r="977" spans="1:11" ht="21.75" customHeight="1" x14ac:dyDescent="0.35">
      <c r="A977" s="145" t="s">
        <v>3833</v>
      </c>
      <c r="B977" s="155" t="s">
        <v>3835</v>
      </c>
      <c r="C977" s="146"/>
      <c r="D977" s="147">
        <v>46153</v>
      </c>
      <c r="E977" s="148">
        <v>104000</v>
      </c>
      <c r="F977" s="44">
        <f t="shared" si="58"/>
        <v>8320</v>
      </c>
      <c r="G977" s="149">
        <f t="shared" si="59"/>
        <v>112320</v>
      </c>
      <c r="H977" s="149"/>
      <c r="I977" s="150">
        <f t="shared" si="60"/>
        <v>112320</v>
      </c>
      <c r="J977" s="151"/>
      <c r="K977" s="3">
        <v>9106891595</v>
      </c>
    </row>
    <row r="978" spans="1:11" ht="21.75" customHeight="1" x14ac:dyDescent="0.35">
      <c r="A978" s="145" t="s">
        <v>3716</v>
      </c>
      <c r="B978" s="155" t="s">
        <v>3836</v>
      </c>
      <c r="C978" s="146"/>
      <c r="D978" s="147">
        <v>46180</v>
      </c>
      <c r="E978" s="148">
        <v>320000</v>
      </c>
      <c r="F978" s="44">
        <f t="shared" si="58"/>
        <v>25600</v>
      </c>
      <c r="G978" s="149">
        <f t="shared" si="59"/>
        <v>345600</v>
      </c>
      <c r="H978" s="149"/>
      <c r="I978" s="150">
        <f t="shared" si="60"/>
        <v>345600</v>
      </c>
      <c r="J978" s="151"/>
      <c r="K978" s="3">
        <v>9107000849</v>
      </c>
    </row>
    <row r="979" spans="1:11" ht="21.75" hidden="1" customHeight="1" x14ac:dyDescent="0.35">
      <c r="A979" s="145" t="s">
        <v>3652</v>
      </c>
      <c r="B979" s="146" t="s">
        <v>3837</v>
      </c>
      <c r="C979" s="146"/>
      <c r="D979" s="147">
        <v>46178</v>
      </c>
      <c r="E979" s="148">
        <v>76500494</v>
      </c>
      <c r="F979" s="44">
        <f t="shared" si="58"/>
        <v>6120039.5200000005</v>
      </c>
      <c r="G979" s="149">
        <f t="shared" si="59"/>
        <v>82620533.519999996</v>
      </c>
      <c r="H979" s="149">
        <v>82620533.519999996</v>
      </c>
      <c r="I979" s="150">
        <f t="shared" si="60"/>
        <v>0</v>
      </c>
      <c r="J979" s="151">
        <v>46188</v>
      </c>
    </row>
    <row r="980" spans="1:11" ht="21.75" customHeight="1" x14ac:dyDescent="0.35">
      <c r="A980" s="145" t="s">
        <v>3838</v>
      </c>
      <c r="B980" s="155" t="s">
        <v>3839</v>
      </c>
      <c r="C980" s="146"/>
      <c r="D980" s="147">
        <v>46186</v>
      </c>
      <c r="E980" s="148">
        <v>66000</v>
      </c>
      <c r="F980" s="44">
        <f t="shared" si="58"/>
        <v>5280</v>
      </c>
      <c r="G980" s="149">
        <f t="shared" si="59"/>
        <v>71280</v>
      </c>
      <c r="H980" s="149"/>
      <c r="I980" s="150">
        <f t="shared" si="60"/>
        <v>71280</v>
      </c>
      <c r="J980" s="151"/>
      <c r="K980" s="3">
        <v>9107027806</v>
      </c>
    </row>
    <row r="981" spans="1:11" ht="21.75" customHeight="1" x14ac:dyDescent="0.35">
      <c r="A981" s="145" t="s">
        <v>3840</v>
      </c>
      <c r="B981" s="155" t="s">
        <v>3841</v>
      </c>
      <c r="C981" s="146"/>
      <c r="D981" s="147">
        <v>46203</v>
      </c>
      <c r="E981" s="148">
        <v>152000</v>
      </c>
      <c r="F981" s="44">
        <f t="shared" si="58"/>
        <v>12160</v>
      </c>
      <c r="G981" s="149">
        <f t="shared" si="59"/>
        <v>164160</v>
      </c>
      <c r="H981" s="149"/>
      <c r="I981" s="150">
        <f t="shared" si="60"/>
        <v>164160</v>
      </c>
      <c r="J981" s="151"/>
      <c r="K981" s="3">
        <v>9107099808</v>
      </c>
    </row>
    <row r="982" spans="1:11" ht="21.75" customHeight="1" x14ac:dyDescent="0.35">
      <c r="A982" s="145" t="s">
        <v>3842</v>
      </c>
      <c r="B982" s="155" t="s">
        <v>3843</v>
      </c>
      <c r="C982" s="146"/>
      <c r="D982" s="147">
        <v>46200</v>
      </c>
      <c r="E982" s="148">
        <v>1382400</v>
      </c>
      <c r="F982" s="44">
        <f t="shared" si="58"/>
        <v>110592</v>
      </c>
      <c r="G982" s="149">
        <f t="shared" si="59"/>
        <v>1492992</v>
      </c>
      <c r="H982" s="149"/>
      <c r="I982" s="150">
        <f t="shared" si="60"/>
        <v>1492992</v>
      </c>
      <c r="J982" s="151"/>
      <c r="K982" s="3">
        <v>9107086089</v>
      </c>
    </row>
    <row r="983" spans="1:11" ht="21.75" customHeight="1" x14ac:dyDescent="0.35">
      <c r="A983" s="145" t="s">
        <v>3743</v>
      </c>
      <c r="B983" s="155" t="s">
        <v>3844</v>
      </c>
      <c r="C983" s="146"/>
      <c r="D983" s="147">
        <v>46178</v>
      </c>
      <c r="E983" s="148">
        <v>248000</v>
      </c>
      <c r="F983" s="44">
        <f t="shared" si="58"/>
        <v>19840</v>
      </c>
      <c r="G983" s="149">
        <f t="shared" si="59"/>
        <v>267840</v>
      </c>
      <c r="H983" s="149"/>
      <c r="I983" s="150">
        <f t="shared" si="60"/>
        <v>267840</v>
      </c>
      <c r="J983" s="151"/>
      <c r="K983" s="3">
        <v>9106990862</v>
      </c>
    </row>
    <row r="984" spans="1:11" ht="21.75" customHeight="1" x14ac:dyDescent="0.35">
      <c r="A984" s="145" t="s">
        <v>2321</v>
      </c>
      <c r="B984" s="155" t="s">
        <v>3845</v>
      </c>
      <c r="C984" s="146"/>
      <c r="D984" s="147">
        <v>46167</v>
      </c>
      <c r="E984" s="148">
        <v>384000</v>
      </c>
      <c r="F984" s="44">
        <f t="shared" si="58"/>
        <v>30720</v>
      </c>
      <c r="G984" s="149">
        <f t="shared" si="59"/>
        <v>414720</v>
      </c>
      <c r="H984" s="149"/>
      <c r="I984" s="150">
        <f t="shared" si="60"/>
        <v>414720</v>
      </c>
      <c r="J984" s="151"/>
      <c r="K984" s="3">
        <v>9106953499</v>
      </c>
    </row>
    <row r="985" spans="1:11" ht="21.75" hidden="1" customHeight="1" x14ac:dyDescent="0.35">
      <c r="A985" s="145" t="s">
        <v>2282</v>
      </c>
      <c r="B985" s="155" t="s">
        <v>3846</v>
      </c>
      <c r="C985" s="146"/>
      <c r="D985" s="147">
        <v>46097</v>
      </c>
      <c r="E985" s="148">
        <v>300000</v>
      </c>
      <c r="F985" s="44">
        <f t="shared" si="58"/>
        <v>24000</v>
      </c>
      <c r="G985" s="149">
        <f t="shared" si="59"/>
        <v>324000</v>
      </c>
      <c r="H985" s="149">
        <v>324000</v>
      </c>
      <c r="I985" s="150">
        <f t="shared" si="60"/>
        <v>0</v>
      </c>
      <c r="J985" s="151">
        <v>46249</v>
      </c>
      <c r="K985" s="3">
        <v>9106649854</v>
      </c>
    </row>
    <row r="986" spans="1:11" ht="21.75" hidden="1" customHeight="1" x14ac:dyDescent="0.35">
      <c r="A986" s="145" t="s">
        <v>3847</v>
      </c>
      <c r="B986" s="155" t="s">
        <v>3848</v>
      </c>
      <c r="C986" s="146"/>
      <c r="D986" s="147">
        <v>46140</v>
      </c>
      <c r="E986" s="148">
        <v>64000</v>
      </c>
      <c r="F986" s="44">
        <f t="shared" si="58"/>
        <v>5120</v>
      </c>
      <c r="G986" s="149">
        <f t="shared" si="59"/>
        <v>69120</v>
      </c>
      <c r="H986" s="149">
        <v>69120</v>
      </c>
      <c r="I986" s="150">
        <f t="shared" si="60"/>
        <v>0</v>
      </c>
      <c r="J986" s="151">
        <v>46249</v>
      </c>
      <c r="K986" s="3">
        <v>9106832740</v>
      </c>
    </row>
    <row r="987" spans="1:11" ht="21.75" customHeight="1" x14ac:dyDescent="0.35">
      <c r="A987" s="145" t="s">
        <v>3849</v>
      </c>
      <c r="B987" s="155" t="s">
        <v>3850</v>
      </c>
      <c r="C987" s="146"/>
      <c r="D987" s="147">
        <v>46219</v>
      </c>
      <c r="E987" s="148">
        <v>80000</v>
      </c>
      <c r="F987" s="44">
        <f t="shared" si="58"/>
        <v>6400</v>
      </c>
      <c r="G987" s="149">
        <f t="shared" si="59"/>
        <v>86400</v>
      </c>
      <c r="H987" s="149"/>
      <c r="I987" s="150">
        <f t="shared" si="60"/>
        <v>86400</v>
      </c>
      <c r="J987" s="151"/>
      <c r="K987" s="3">
        <v>9107176594</v>
      </c>
    </row>
    <row r="988" spans="1:11" ht="21.75" customHeight="1" x14ac:dyDescent="0.35">
      <c r="A988" s="145" t="s">
        <v>3753</v>
      </c>
      <c r="B988" s="146" t="s">
        <v>3851</v>
      </c>
      <c r="C988" s="146"/>
      <c r="D988" s="147">
        <v>46232</v>
      </c>
      <c r="E988" s="148">
        <v>130000</v>
      </c>
      <c r="F988" s="44">
        <f t="shared" si="58"/>
        <v>10400</v>
      </c>
      <c r="G988" s="149">
        <f t="shared" si="59"/>
        <v>140400</v>
      </c>
      <c r="H988" s="149"/>
      <c r="I988" s="150">
        <f t="shared" si="60"/>
        <v>140400</v>
      </c>
      <c r="J988" s="151"/>
      <c r="K988" s="3">
        <v>9107237811</v>
      </c>
    </row>
    <row r="989" spans="1:11" ht="21.75" customHeight="1" x14ac:dyDescent="0.35">
      <c r="A989" s="145" t="s">
        <v>2321</v>
      </c>
      <c r="B989" s="146" t="s">
        <v>3852</v>
      </c>
      <c r="C989" s="146"/>
      <c r="D989" s="147">
        <v>46233</v>
      </c>
      <c r="E989" s="148">
        <v>64000</v>
      </c>
      <c r="F989" s="44">
        <f t="shared" si="58"/>
        <v>5120</v>
      </c>
      <c r="G989" s="149">
        <f t="shared" si="59"/>
        <v>69120</v>
      </c>
      <c r="H989" s="149"/>
      <c r="I989" s="150">
        <f t="shared" si="60"/>
        <v>69120</v>
      </c>
      <c r="J989" s="151"/>
      <c r="K989" s="3">
        <v>9107244795</v>
      </c>
    </row>
    <row r="990" spans="1:11" ht="21.75" customHeight="1" x14ac:dyDescent="0.35">
      <c r="A990" s="145" t="s">
        <v>2254</v>
      </c>
      <c r="B990" s="146" t="s">
        <v>3853</v>
      </c>
      <c r="C990" s="146"/>
      <c r="D990" s="147">
        <v>46222</v>
      </c>
      <c r="E990" s="148">
        <v>172800</v>
      </c>
      <c r="F990" s="44">
        <f t="shared" si="58"/>
        <v>13824</v>
      </c>
      <c r="G990" s="149">
        <f t="shared" si="59"/>
        <v>186624</v>
      </c>
      <c r="H990" s="149"/>
      <c r="I990" s="150">
        <f t="shared" si="60"/>
        <v>186624</v>
      </c>
      <c r="J990" s="151"/>
      <c r="K990" s="3">
        <v>9107189152</v>
      </c>
    </row>
    <row r="991" spans="1:11" ht="21.75" customHeight="1" x14ac:dyDescent="0.35">
      <c r="A991" s="145" t="s">
        <v>3854</v>
      </c>
      <c r="B991" s="146" t="s">
        <v>3855</v>
      </c>
      <c r="C991" s="146"/>
      <c r="D991" s="147">
        <v>46234</v>
      </c>
      <c r="E991" s="148">
        <v>64000</v>
      </c>
      <c r="F991" s="44">
        <f t="shared" si="58"/>
        <v>5120</v>
      </c>
      <c r="G991" s="149">
        <f t="shared" si="59"/>
        <v>69120</v>
      </c>
      <c r="H991" s="149"/>
      <c r="I991" s="150">
        <f t="shared" si="60"/>
        <v>69120</v>
      </c>
      <c r="J991" s="151"/>
      <c r="K991" s="3">
        <v>9107249004</v>
      </c>
    </row>
    <row r="992" spans="1:11" ht="21.75" customHeight="1" x14ac:dyDescent="0.35">
      <c r="A992" s="145" t="s">
        <v>2268</v>
      </c>
      <c r="B992" s="146" t="s">
        <v>3856</v>
      </c>
      <c r="C992" s="146"/>
      <c r="D992" s="147">
        <v>46216</v>
      </c>
      <c r="E992" s="148">
        <v>437400</v>
      </c>
      <c r="F992" s="44">
        <f t="shared" si="58"/>
        <v>34992</v>
      </c>
      <c r="G992" s="149">
        <f t="shared" si="59"/>
        <v>472392</v>
      </c>
      <c r="H992" s="149"/>
      <c r="I992" s="150">
        <f t="shared" si="60"/>
        <v>472392</v>
      </c>
      <c r="J992" s="151"/>
      <c r="K992" s="3">
        <v>9107159203</v>
      </c>
    </row>
    <row r="993" spans="1:11" ht="21.75" hidden="1" customHeight="1" x14ac:dyDescent="0.35">
      <c r="A993" s="145" t="s">
        <v>3775</v>
      </c>
      <c r="B993" s="146" t="s">
        <v>3857</v>
      </c>
      <c r="C993" s="146"/>
      <c r="D993" s="147">
        <v>46210</v>
      </c>
      <c r="E993" s="148">
        <v>108412285</v>
      </c>
      <c r="F993" s="44">
        <f t="shared" si="58"/>
        <v>8672982.8000000007</v>
      </c>
      <c r="G993" s="149">
        <f t="shared" si="59"/>
        <v>117085267.8</v>
      </c>
      <c r="H993" s="149">
        <v>117085267.8</v>
      </c>
      <c r="I993" s="150">
        <f t="shared" si="60"/>
        <v>0</v>
      </c>
      <c r="J993" s="151">
        <v>46249</v>
      </c>
    </row>
    <row r="994" spans="1:11" ht="21.75" customHeight="1" x14ac:dyDescent="0.35">
      <c r="A994" s="145" t="s">
        <v>2576</v>
      </c>
      <c r="B994" s="146" t="s">
        <v>3858</v>
      </c>
      <c r="C994" s="146"/>
      <c r="D994" s="147">
        <v>46233</v>
      </c>
      <c r="E994" s="148">
        <v>224000</v>
      </c>
      <c r="F994" s="44">
        <f t="shared" si="58"/>
        <v>17920</v>
      </c>
      <c r="G994" s="149">
        <f t="shared" si="59"/>
        <v>241920</v>
      </c>
      <c r="H994" s="149"/>
      <c r="I994" s="150">
        <f t="shared" si="60"/>
        <v>241920</v>
      </c>
      <c r="J994" s="151"/>
      <c r="K994" s="3">
        <v>9107244242</v>
      </c>
    </row>
    <row r="995" spans="1:11" ht="21.75" customHeight="1" x14ac:dyDescent="0.35">
      <c r="A995" s="145" t="s">
        <v>2359</v>
      </c>
      <c r="B995" s="146" t="s">
        <v>1345</v>
      </c>
      <c r="C995" s="146"/>
      <c r="D995" s="147">
        <v>46238</v>
      </c>
      <c r="E995" s="148">
        <v>312000</v>
      </c>
      <c r="F995" s="44">
        <f t="shared" si="58"/>
        <v>24960</v>
      </c>
      <c r="G995" s="149">
        <f t="shared" si="59"/>
        <v>336960</v>
      </c>
      <c r="H995" s="149"/>
      <c r="I995" s="150">
        <f t="shared" si="60"/>
        <v>336960</v>
      </c>
      <c r="J995" s="151"/>
      <c r="K995" s="3">
        <v>9107264328</v>
      </c>
    </row>
    <row r="996" spans="1:11" ht="21.75" hidden="1" customHeight="1" x14ac:dyDescent="0.35">
      <c r="A996" s="145" t="s">
        <v>3775</v>
      </c>
      <c r="B996" s="146" t="s">
        <v>3859</v>
      </c>
      <c r="C996" s="146"/>
      <c r="D996" s="147">
        <v>46241</v>
      </c>
      <c r="E996" s="148">
        <v>59628759</v>
      </c>
      <c r="F996" s="44">
        <f t="shared" si="58"/>
        <v>4770300.72</v>
      </c>
      <c r="G996" s="149">
        <f t="shared" si="59"/>
        <v>64399059.719999999</v>
      </c>
      <c r="H996" s="149">
        <v>64399059.719999999</v>
      </c>
      <c r="I996" s="150">
        <f t="shared" si="60"/>
        <v>0</v>
      </c>
      <c r="J996" s="151">
        <v>46249</v>
      </c>
    </row>
    <row r="997" spans="1:11" ht="21.75" customHeight="1" x14ac:dyDescent="0.35">
      <c r="A997" s="145" t="s">
        <v>2282</v>
      </c>
      <c r="B997" s="146" t="s">
        <v>3860</v>
      </c>
      <c r="C997" s="146"/>
      <c r="D997" s="147">
        <v>46249</v>
      </c>
      <c r="E997" s="148">
        <v>78000</v>
      </c>
      <c r="F997" s="44">
        <f t="shared" si="58"/>
        <v>6240</v>
      </c>
      <c r="G997" s="149">
        <f t="shared" si="59"/>
        <v>84240</v>
      </c>
      <c r="H997" s="149"/>
      <c r="I997" s="150">
        <f t="shared" si="60"/>
        <v>84240</v>
      </c>
      <c r="J997" s="151"/>
      <c r="K997" s="3">
        <v>9107312424</v>
      </c>
    </row>
    <row r="998" spans="1:11" ht="21.75" customHeight="1" x14ac:dyDescent="0.35">
      <c r="A998" s="145" t="s">
        <v>2342</v>
      </c>
      <c r="B998" s="146" t="s">
        <v>3861</v>
      </c>
      <c r="C998" s="146"/>
      <c r="D998" s="147">
        <v>46239</v>
      </c>
      <c r="E998" s="148">
        <v>96000</v>
      </c>
      <c r="F998" s="44">
        <f t="shared" si="58"/>
        <v>7680</v>
      </c>
      <c r="G998" s="149">
        <f t="shared" si="59"/>
        <v>103680</v>
      </c>
      <c r="H998" s="149"/>
      <c r="I998" s="150">
        <f t="shared" si="60"/>
        <v>103680</v>
      </c>
      <c r="J998" s="151"/>
      <c r="K998" s="3">
        <v>9107226682</v>
      </c>
    </row>
    <row r="999" spans="1:11" ht="21.75" customHeight="1" x14ac:dyDescent="0.35">
      <c r="A999" s="145" t="s">
        <v>3743</v>
      </c>
      <c r="B999" s="146" t="s">
        <v>3862</v>
      </c>
      <c r="C999" s="146"/>
      <c r="D999" s="147">
        <v>46249</v>
      </c>
      <c r="E999" s="148">
        <v>96000</v>
      </c>
      <c r="F999" s="44">
        <f t="shared" si="58"/>
        <v>7680</v>
      </c>
      <c r="G999" s="149">
        <f t="shared" si="59"/>
        <v>103680</v>
      </c>
      <c r="H999" s="149"/>
      <c r="I999" s="150">
        <f t="shared" si="60"/>
        <v>103680</v>
      </c>
      <c r="J999" s="151"/>
      <c r="K999" s="3">
        <v>9107312870</v>
      </c>
    </row>
    <row r="1000" spans="1:11" ht="21.75" customHeight="1" x14ac:dyDescent="0.35">
      <c r="A1000" s="145"/>
      <c r="B1000" s="146"/>
      <c r="C1000" s="146"/>
      <c r="D1000" s="147"/>
      <c r="E1000" s="148"/>
      <c r="F1000" s="44">
        <f t="shared" si="58"/>
        <v>0</v>
      </c>
      <c r="G1000" s="149">
        <f t="shared" si="59"/>
        <v>0</v>
      </c>
      <c r="H1000" s="149"/>
      <c r="I1000" s="150">
        <f t="shared" si="60"/>
        <v>0</v>
      </c>
      <c r="J1000" s="151"/>
    </row>
    <row r="1001" spans="1:11" ht="21.75" customHeight="1" x14ac:dyDescent="0.35">
      <c r="A1001" s="145"/>
      <c r="B1001" s="146"/>
      <c r="C1001" s="146"/>
      <c r="D1001" s="147"/>
      <c r="E1001" s="148"/>
      <c r="F1001" s="44">
        <f t="shared" si="58"/>
        <v>0</v>
      </c>
      <c r="G1001" s="149">
        <f t="shared" si="59"/>
        <v>0</v>
      </c>
      <c r="H1001" s="149"/>
      <c r="I1001" s="150">
        <f t="shared" si="60"/>
        <v>0</v>
      </c>
      <c r="J1001" s="151"/>
    </row>
    <row r="1002" spans="1:11" ht="21.75" customHeight="1" x14ac:dyDescent="0.35">
      <c r="A1002" s="145"/>
      <c r="B1002" s="146"/>
      <c r="C1002" s="146"/>
      <c r="D1002" s="147"/>
      <c r="E1002" s="148"/>
      <c r="F1002" s="44">
        <f t="shared" si="58"/>
        <v>0</v>
      </c>
      <c r="G1002" s="149">
        <f t="shared" si="59"/>
        <v>0</v>
      </c>
      <c r="H1002" s="149"/>
      <c r="I1002" s="150">
        <f t="shared" si="60"/>
        <v>0</v>
      </c>
      <c r="J1002" s="151"/>
    </row>
    <row r="1003" spans="1:11" ht="21.75" customHeight="1" x14ac:dyDescent="0.35">
      <c r="A1003" s="145"/>
      <c r="B1003" s="146"/>
      <c r="C1003" s="146"/>
      <c r="D1003" s="147"/>
      <c r="E1003" s="148"/>
      <c r="F1003" s="44">
        <f t="shared" si="58"/>
        <v>0</v>
      </c>
      <c r="G1003" s="149">
        <f t="shared" si="59"/>
        <v>0</v>
      </c>
      <c r="H1003" s="149"/>
      <c r="I1003" s="150">
        <f t="shared" si="60"/>
        <v>0</v>
      </c>
      <c r="J1003" s="151"/>
    </row>
    <row r="1004" spans="1:11" ht="21.75" customHeight="1" x14ac:dyDescent="0.35">
      <c r="A1004" s="145"/>
      <c r="B1004" s="146"/>
      <c r="C1004" s="146"/>
      <c r="D1004" s="147"/>
      <c r="E1004" s="148"/>
      <c r="F1004" s="44">
        <f t="shared" si="58"/>
        <v>0</v>
      </c>
      <c r="G1004" s="149">
        <f t="shared" si="59"/>
        <v>0</v>
      </c>
      <c r="H1004" s="149"/>
      <c r="I1004" s="150">
        <f t="shared" si="60"/>
        <v>0</v>
      </c>
      <c r="J1004" s="151"/>
    </row>
    <row r="1005" spans="1:11" ht="21.75" customHeight="1" x14ac:dyDescent="0.35">
      <c r="A1005" s="145"/>
      <c r="B1005" s="146"/>
      <c r="C1005" s="146"/>
      <c r="D1005" s="147"/>
      <c r="E1005" s="148"/>
      <c r="F1005" s="44">
        <f t="shared" si="58"/>
        <v>0</v>
      </c>
      <c r="G1005" s="149">
        <f t="shared" si="59"/>
        <v>0</v>
      </c>
      <c r="H1005" s="149"/>
      <c r="I1005" s="150">
        <f t="shared" si="60"/>
        <v>0</v>
      </c>
      <c r="J1005" s="151"/>
    </row>
    <row r="1006" spans="1:11" ht="21.75" customHeight="1" x14ac:dyDescent="0.35">
      <c r="A1006" s="145"/>
      <c r="B1006" s="146"/>
      <c r="C1006" s="146"/>
      <c r="D1006" s="147"/>
      <c r="E1006" s="148"/>
      <c r="F1006" s="44">
        <f t="shared" si="58"/>
        <v>0</v>
      </c>
      <c r="G1006" s="149">
        <f t="shared" si="59"/>
        <v>0</v>
      </c>
      <c r="H1006" s="149"/>
      <c r="I1006" s="150">
        <f t="shared" si="60"/>
        <v>0</v>
      </c>
      <c r="J1006" s="151"/>
    </row>
    <row r="1007" spans="1:11" ht="21.75" customHeight="1" x14ac:dyDescent="0.35">
      <c r="A1007" s="145"/>
      <c r="B1007" s="146"/>
      <c r="C1007" s="146"/>
      <c r="D1007" s="147"/>
      <c r="E1007" s="148"/>
      <c r="F1007" s="44">
        <f t="shared" si="58"/>
        <v>0</v>
      </c>
      <c r="G1007" s="149">
        <f t="shared" si="59"/>
        <v>0</v>
      </c>
      <c r="H1007" s="149"/>
      <c r="I1007" s="150">
        <f t="shared" si="60"/>
        <v>0</v>
      </c>
      <c r="J1007" s="151"/>
    </row>
    <row r="1008" spans="1:11" ht="21.75" customHeight="1" x14ac:dyDescent="0.35">
      <c r="A1008" s="145"/>
      <c r="B1008" s="146"/>
      <c r="C1008" s="146"/>
      <c r="D1008" s="147"/>
      <c r="E1008" s="148"/>
      <c r="F1008" s="44">
        <f t="shared" si="58"/>
        <v>0</v>
      </c>
      <c r="G1008" s="149">
        <f t="shared" si="59"/>
        <v>0</v>
      </c>
      <c r="H1008" s="149"/>
      <c r="I1008" s="150">
        <f t="shared" si="60"/>
        <v>0</v>
      </c>
      <c r="J1008" s="151"/>
    </row>
    <row r="1009" spans="1:10" ht="21.75" customHeight="1" x14ac:dyDescent="0.35">
      <c r="A1009" s="145"/>
      <c r="B1009" s="146"/>
      <c r="C1009" s="146"/>
      <c r="D1009" s="147"/>
      <c r="E1009" s="148"/>
      <c r="F1009" s="44">
        <f t="shared" si="58"/>
        <v>0</v>
      </c>
      <c r="G1009" s="149">
        <f t="shared" si="59"/>
        <v>0</v>
      </c>
      <c r="H1009" s="149"/>
      <c r="I1009" s="150">
        <f t="shared" si="60"/>
        <v>0</v>
      </c>
      <c r="J1009" s="151"/>
    </row>
    <row r="1010" spans="1:10" ht="21.75" customHeight="1" x14ac:dyDescent="0.35">
      <c r="A1010" s="145"/>
      <c r="B1010" s="146"/>
      <c r="C1010" s="146"/>
      <c r="D1010" s="147"/>
      <c r="E1010" s="148"/>
      <c r="F1010" s="44">
        <f t="shared" si="58"/>
        <v>0</v>
      </c>
      <c r="G1010" s="149">
        <f t="shared" si="59"/>
        <v>0</v>
      </c>
      <c r="H1010" s="149"/>
      <c r="I1010" s="150">
        <f t="shared" si="60"/>
        <v>0</v>
      </c>
      <c r="J1010" s="151"/>
    </row>
    <row r="1011" spans="1:10" ht="21.75" customHeight="1" x14ac:dyDescent="0.35">
      <c r="A1011" s="145"/>
      <c r="B1011" s="146"/>
      <c r="C1011" s="146"/>
      <c r="D1011" s="147"/>
      <c r="E1011" s="148"/>
      <c r="F1011" s="44">
        <f t="shared" si="58"/>
        <v>0</v>
      </c>
      <c r="G1011" s="149">
        <f t="shared" si="59"/>
        <v>0</v>
      </c>
      <c r="H1011" s="149"/>
      <c r="I1011" s="150">
        <f t="shared" si="60"/>
        <v>0</v>
      </c>
      <c r="J1011" s="151"/>
    </row>
    <row r="1012" spans="1:10" ht="21.75" customHeight="1" x14ac:dyDescent="0.35">
      <c r="A1012" s="145"/>
      <c r="B1012" s="146"/>
      <c r="C1012" s="146"/>
      <c r="D1012" s="147"/>
      <c r="E1012" s="148"/>
      <c r="F1012" s="44">
        <f t="shared" si="58"/>
        <v>0</v>
      </c>
      <c r="G1012" s="149">
        <f t="shared" si="59"/>
        <v>0</v>
      </c>
      <c r="H1012" s="149"/>
      <c r="I1012" s="150">
        <f t="shared" si="60"/>
        <v>0</v>
      </c>
      <c r="J1012" s="151"/>
    </row>
    <row r="1013" spans="1:10" ht="21.75" customHeight="1" x14ac:dyDescent="0.35">
      <c r="A1013" s="145"/>
      <c r="B1013" s="146"/>
      <c r="C1013" s="146"/>
      <c r="D1013" s="147"/>
      <c r="E1013" s="148"/>
      <c r="F1013" s="44">
        <f t="shared" si="58"/>
        <v>0</v>
      </c>
      <c r="G1013" s="149">
        <f t="shared" si="59"/>
        <v>0</v>
      </c>
      <c r="H1013" s="149"/>
      <c r="I1013" s="150">
        <f t="shared" si="60"/>
        <v>0</v>
      </c>
      <c r="J1013" s="151"/>
    </row>
    <row r="1014" spans="1:10" ht="21.75" customHeight="1" x14ac:dyDescent="0.35">
      <c r="A1014" s="145"/>
      <c r="B1014" s="146"/>
      <c r="C1014" s="146"/>
      <c r="D1014" s="147"/>
      <c r="E1014" s="148"/>
      <c r="F1014" s="44">
        <f t="shared" si="58"/>
        <v>0</v>
      </c>
      <c r="G1014" s="149">
        <f t="shared" si="59"/>
        <v>0</v>
      </c>
      <c r="H1014" s="149"/>
      <c r="I1014" s="150">
        <f t="shared" si="60"/>
        <v>0</v>
      </c>
      <c r="J1014" s="151"/>
    </row>
    <row r="1015" spans="1:10" ht="21.75" customHeight="1" x14ac:dyDescent="0.35">
      <c r="A1015" s="145"/>
      <c r="B1015" s="146"/>
      <c r="C1015" s="146"/>
      <c r="D1015" s="147"/>
      <c r="E1015" s="148"/>
      <c r="F1015" s="44">
        <f t="shared" si="58"/>
        <v>0</v>
      </c>
      <c r="G1015" s="149">
        <f t="shared" si="59"/>
        <v>0</v>
      </c>
      <c r="H1015" s="149"/>
      <c r="I1015" s="150">
        <f t="shared" si="60"/>
        <v>0</v>
      </c>
      <c r="J1015" s="151"/>
    </row>
    <row r="1016" spans="1:10" ht="21.75" customHeight="1" x14ac:dyDescent="0.35">
      <c r="A1016" s="145"/>
      <c r="B1016" s="146"/>
      <c r="C1016" s="146"/>
      <c r="D1016" s="147"/>
      <c r="E1016" s="148"/>
      <c r="F1016" s="44">
        <f t="shared" si="58"/>
        <v>0</v>
      </c>
      <c r="G1016" s="149">
        <f t="shared" si="59"/>
        <v>0</v>
      </c>
      <c r="H1016" s="149"/>
      <c r="I1016" s="150">
        <f t="shared" si="60"/>
        <v>0</v>
      </c>
      <c r="J1016" s="151"/>
    </row>
    <row r="1017" spans="1:10" ht="21.75" customHeight="1" x14ac:dyDescent="0.35">
      <c r="A1017" s="145"/>
      <c r="B1017" s="146"/>
      <c r="C1017" s="146"/>
      <c r="D1017" s="147"/>
      <c r="E1017" s="148"/>
      <c r="F1017" s="44">
        <f t="shared" si="58"/>
        <v>0</v>
      </c>
      <c r="G1017" s="149">
        <f t="shared" si="59"/>
        <v>0</v>
      </c>
      <c r="H1017" s="149"/>
      <c r="I1017" s="150">
        <f t="shared" si="60"/>
        <v>0</v>
      </c>
      <c r="J1017" s="151"/>
    </row>
    <row r="1018" spans="1:10" ht="21.75" customHeight="1" x14ac:dyDescent="0.35">
      <c r="A1018" s="145"/>
      <c r="B1018" s="146"/>
      <c r="C1018" s="146"/>
      <c r="D1018" s="147"/>
      <c r="E1018" s="148"/>
      <c r="F1018" s="44">
        <f t="shared" si="58"/>
        <v>0</v>
      </c>
      <c r="G1018" s="149">
        <f t="shared" si="59"/>
        <v>0</v>
      </c>
      <c r="H1018" s="149"/>
      <c r="I1018" s="150">
        <f t="shared" si="60"/>
        <v>0</v>
      </c>
      <c r="J1018" s="151"/>
    </row>
    <row r="1019" spans="1:10" ht="21.75" customHeight="1" x14ac:dyDescent="0.35">
      <c r="A1019" s="145"/>
      <c r="B1019" s="146"/>
      <c r="C1019" s="146"/>
      <c r="D1019" s="147"/>
      <c r="E1019" s="148"/>
      <c r="F1019" s="44">
        <f t="shared" si="58"/>
        <v>0</v>
      </c>
      <c r="G1019" s="149">
        <f t="shared" si="59"/>
        <v>0</v>
      </c>
      <c r="H1019" s="149"/>
      <c r="I1019" s="150">
        <f t="shared" si="60"/>
        <v>0</v>
      </c>
      <c r="J1019" s="151"/>
    </row>
    <row r="1020" spans="1:10" ht="21.75" customHeight="1" x14ac:dyDescent="0.35">
      <c r="A1020" s="145"/>
      <c r="B1020" s="146"/>
      <c r="C1020" s="146"/>
      <c r="D1020" s="147"/>
      <c r="E1020" s="148"/>
      <c r="F1020" s="44">
        <f t="shared" si="58"/>
        <v>0</v>
      </c>
      <c r="G1020" s="149">
        <f t="shared" si="59"/>
        <v>0</v>
      </c>
      <c r="H1020" s="149"/>
      <c r="I1020" s="150">
        <f t="shared" si="60"/>
        <v>0</v>
      </c>
      <c r="J1020" s="151"/>
    </row>
    <row r="1021" spans="1:10" ht="21.75" customHeight="1" x14ac:dyDescent="0.35">
      <c r="A1021" s="145"/>
      <c r="B1021" s="146"/>
      <c r="C1021" s="146"/>
      <c r="D1021" s="147"/>
      <c r="E1021" s="148"/>
      <c r="F1021" s="44">
        <f t="shared" si="58"/>
        <v>0</v>
      </c>
      <c r="G1021" s="149">
        <f t="shared" si="59"/>
        <v>0</v>
      </c>
      <c r="H1021" s="149"/>
      <c r="I1021" s="150">
        <f t="shared" si="60"/>
        <v>0</v>
      </c>
      <c r="J1021" s="151"/>
    </row>
    <row r="1022" spans="1:10" ht="21.75" customHeight="1" x14ac:dyDescent="0.35">
      <c r="A1022" s="145"/>
      <c r="B1022" s="146"/>
      <c r="C1022" s="146"/>
      <c r="D1022" s="147"/>
      <c r="E1022" s="148"/>
      <c r="F1022" s="44">
        <f t="shared" si="58"/>
        <v>0</v>
      </c>
      <c r="G1022" s="149">
        <f t="shared" si="59"/>
        <v>0</v>
      </c>
      <c r="H1022" s="149"/>
      <c r="I1022" s="150">
        <f t="shared" si="60"/>
        <v>0</v>
      </c>
      <c r="J1022" s="151"/>
    </row>
    <row r="1023" spans="1:10" ht="21.75" customHeight="1" x14ac:dyDescent="0.35">
      <c r="A1023" s="145"/>
      <c r="B1023" s="146"/>
      <c r="C1023" s="146"/>
      <c r="D1023" s="147"/>
      <c r="E1023" s="148"/>
      <c r="F1023" s="44">
        <f t="shared" si="58"/>
        <v>0</v>
      </c>
      <c r="G1023" s="149">
        <f t="shared" si="59"/>
        <v>0</v>
      </c>
      <c r="H1023" s="149"/>
      <c r="I1023" s="150">
        <f t="shared" si="60"/>
        <v>0</v>
      </c>
      <c r="J1023" s="151"/>
    </row>
    <row r="1024" spans="1:10" ht="21.75" customHeight="1" x14ac:dyDescent="0.35">
      <c r="A1024" s="145"/>
      <c r="B1024" s="146"/>
      <c r="C1024" s="146"/>
      <c r="D1024" s="147"/>
      <c r="E1024" s="148"/>
      <c r="F1024" s="44">
        <f t="shared" si="58"/>
        <v>0</v>
      </c>
      <c r="G1024" s="149">
        <f t="shared" si="59"/>
        <v>0</v>
      </c>
      <c r="H1024" s="149"/>
      <c r="I1024" s="150">
        <f t="shared" si="60"/>
        <v>0</v>
      </c>
      <c r="J1024" s="151"/>
    </row>
    <row r="1025" spans="1:10" ht="21.75" customHeight="1" x14ac:dyDescent="0.35">
      <c r="A1025" s="145"/>
      <c r="B1025" s="146"/>
      <c r="C1025" s="146"/>
      <c r="D1025" s="147"/>
      <c r="E1025" s="148"/>
      <c r="F1025" s="44">
        <f t="shared" si="58"/>
        <v>0</v>
      </c>
      <c r="G1025" s="149">
        <f t="shared" si="59"/>
        <v>0</v>
      </c>
      <c r="H1025" s="149"/>
      <c r="I1025" s="150">
        <f t="shared" si="60"/>
        <v>0</v>
      </c>
      <c r="J1025" s="151"/>
    </row>
    <row r="1026" spans="1:10" ht="21.75" customHeight="1" x14ac:dyDescent="0.35">
      <c r="A1026" s="145"/>
      <c r="B1026" s="146"/>
      <c r="C1026" s="146"/>
      <c r="D1026" s="147"/>
      <c r="E1026" s="148"/>
      <c r="F1026" s="44">
        <f t="shared" si="58"/>
        <v>0</v>
      </c>
      <c r="G1026" s="149">
        <f t="shared" si="59"/>
        <v>0</v>
      </c>
      <c r="H1026" s="149"/>
      <c r="I1026" s="150">
        <f t="shared" si="60"/>
        <v>0</v>
      </c>
      <c r="J1026" s="151"/>
    </row>
    <row r="1027" spans="1:10" ht="21.75" customHeight="1" x14ac:dyDescent="0.35">
      <c r="A1027" s="145"/>
      <c r="B1027" s="146"/>
      <c r="C1027" s="146"/>
      <c r="D1027" s="147"/>
      <c r="E1027" s="148"/>
      <c r="F1027" s="44">
        <f t="shared" si="58"/>
        <v>0</v>
      </c>
      <c r="G1027" s="149">
        <f t="shared" si="59"/>
        <v>0</v>
      </c>
      <c r="H1027" s="149"/>
      <c r="I1027" s="150">
        <f t="shared" si="60"/>
        <v>0</v>
      </c>
      <c r="J1027" s="151"/>
    </row>
    <row r="1028" spans="1:10" ht="21.75" customHeight="1" x14ac:dyDescent="0.35">
      <c r="A1028" s="145"/>
      <c r="B1028" s="146"/>
      <c r="C1028" s="146"/>
      <c r="D1028" s="147"/>
      <c r="E1028" s="148"/>
      <c r="F1028" s="44">
        <f t="shared" si="58"/>
        <v>0</v>
      </c>
      <c r="G1028" s="149">
        <f t="shared" si="59"/>
        <v>0</v>
      </c>
      <c r="H1028" s="149"/>
      <c r="I1028" s="150">
        <f t="shared" si="60"/>
        <v>0</v>
      </c>
      <c r="J1028" s="151"/>
    </row>
    <row r="1029" spans="1:10" ht="21.75" customHeight="1" x14ac:dyDescent="0.35">
      <c r="A1029" s="145"/>
      <c r="B1029" s="146"/>
      <c r="C1029" s="146"/>
      <c r="D1029" s="147"/>
      <c r="E1029" s="148"/>
      <c r="F1029" s="44">
        <f t="shared" si="58"/>
        <v>0</v>
      </c>
      <c r="G1029" s="149">
        <f t="shared" si="59"/>
        <v>0</v>
      </c>
      <c r="H1029" s="149"/>
      <c r="I1029" s="150">
        <f t="shared" si="60"/>
        <v>0</v>
      </c>
      <c r="J1029" s="151"/>
    </row>
    <row r="1030" spans="1:10" ht="21.75" customHeight="1" x14ac:dyDescent="0.35">
      <c r="A1030" s="145"/>
      <c r="B1030" s="146"/>
      <c r="C1030" s="146"/>
      <c r="D1030" s="147"/>
      <c r="E1030" s="148"/>
      <c r="F1030" s="44">
        <f t="shared" si="58"/>
        <v>0</v>
      </c>
      <c r="G1030" s="149">
        <f t="shared" si="59"/>
        <v>0</v>
      </c>
      <c r="H1030" s="149"/>
      <c r="I1030" s="150">
        <f t="shared" si="60"/>
        <v>0</v>
      </c>
      <c r="J1030" s="151"/>
    </row>
    <row r="1031" spans="1:10" ht="21.75" customHeight="1" x14ac:dyDescent="0.35">
      <c r="A1031" s="145"/>
      <c r="B1031" s="146"/>
      <c r="C1031" s="146"/>
      <c r="D1031" s="147"/>
      <c r="E1031" s="148"/>
      <c r="F1031" s="44">
        <f t="shared" ref="F1031:F1038" si="61">+E1031*0.08</f>
        <v>0</v>
      </c>
      <c r="G1031" s="149">
        <f t="shared" ref="G1031:G1038" si="62">+F1031+E1031</f>
        <v>0</v>
      </c>
      <c r="H1031" s="149"/>
      <c r="I1031" s="150">
        <f t="shared" si="60"/>
        <v>0</v>
      </c>
      <c r="J1031" s="151"/>
    </row>
    <row r="1032" spans="1:10" ht="21.75" customHeight="1" x14ac:dyDescent="0.35">
      <c r="A1032" s="145"/>
      <c r="B1032" s="146"/>
      <c r="C1032" s="146"/>
      <c r="D1032" s="147"/>
      <c r="E1032" s="148"/>
      <c r="F1032" s="44">
        <f t="shared" si="61"/>
        <v>0</v>
      </c>
      <c r="G1032" s="149">
        <f t="shared" si="62"/>
        <v>0</v>
      </c>
      <c r="H1032" s="149"/>
      <c r="I1032" s="150">
        <f t="shared" si="60"/>
        <v>0</v>
      </c>
      <c r="J1032" s="151"/>
    </row>
    <row r="1033" spans="1:10" ht="21.75" customHeight="1" x14ac:dyDescent="0.35">
      <c r="A1033" s="145"/>
      <c r="B1033" s="146"/>
      <c r="C1033" s="146"/>
      <c r="D1033" s="147"/>
      <c r="E1033" s="148"/>
      <c r="F1033" s="44">
        <f t="shared" si="61"/>
        <v>0</v>
      </c>
      <c r="G1033" s="149">
        <f t="shared" si="62"/>
        <v>0</v>
      </c>
      <c r="H1033" s="149"/>
      <c r="I1033" s="150">
        <f t="shared" si="60"/>
        <v>0</v>
      </c>
      <c r="J1033" s="151"/>
    </row>
    <row r="1034" spans="1:10" ht="21.75" customHeight="1" x14ac:dyDescent="0.35">
      <c r="A1034" s="145"/>
      <c r="B1034" s="146"/>
      <c r="C1034" s="146"/>
      <c r="D1034" s="147"/>
      <c r="E1034" s="148"/>
      <c r="F1034" s="44">
        <f t="shared" si="61"/>
        <v>0</v>
      </c>
      <c r="G1034" s="149">
        <f t="shared" si="62"/>
        <v>0</v>
      </c>
      <c r="H1034" s="149"/>
      <c r="I1034" s="150">
        <f t="shared" si="60"/>
        <v>0</v>
      </c>
      <c r="J1034" s="151"/>
    </row>
    <row r="1035" spans="1:10" ht="21.75" customHeight="1" x14ac:dyDescent="0.35">
      <c r="A1035" s="145"/>
      <c r="B1035" s="146"/>
      <c r="C1035" s="146"/>
      <c r="D1035" s="147"/>
      <c r="E1035" s="148"/>
      <c r="F1035" s="44">
        <f t="shared" si="61"/>
        <v>0</v>
      </c>
      <c r="G1035" s="149">
        <f t="shared" si="62"/>
        <v>0</v>
      </c>
      <c r="H1035" s="149"/>
      <c r="I1035" s="150">
        <f t="shared" si="60"/>
        <v>0</v>
      </c>
      <c r="J1035" s="151"/>
    </row>
    <row r="1036" spans="1:10" ht="21.75" customHeight="1" x14ac:dyDescent="0.35">
      <c r="A1036" s="145"/>
      <c r="B1036" s="146"/>
      <c r="C1036" s="146"/>
      <c r="D1036" s="147"/>
      <c r="E1036" s="148"/>
      <c r="F1036" s="44">
        <f t="shared" si="61"/>
        <v>0</v>
      </c>
      <c r="G1036" s="149">
        <f t="shared" si="62"/>
        <v>0</v>
      </c>
      <c r="H1036" s="149"/>
      <c r="I1036" s="150">
        <f t="shared" si="60"/>
        <v>0</v>
      </c>
      <c r="J1036" s="151"/>
    </row>
    <row r="1037" spans="1:10" ht="21.75" customHeight="1" x14ac:dyDescent="0.35">
      <c r="A1037" s="145"/>
      <c r="B1037" s="146"/>
      <c r="C1037" s="146"/>
      <c r="D1037" s="147"/>
      <c r="E1037" s="148"/>
      <c r="F1037" s="44">
        <f t="shared" si="61"/>
        <v>0</v>
      </c>
      <c r="G1037" s="149">
        <f t="shared" si="62"/>
        <v>0</v>
      </c>
      <c r="H1037" s="149"/>
      <c r="I1037" s="150">
        <f t="shared" si="60"/>
        <v>0</v>
      </c>
      <c r="J1037" s="151"/>
    </row>
    <row r="1038" spans="1:10" ht="21.75" customHeight="1" x14ac:dyDescent="0.35">
      <c r="A1038" s="145"/>
      <c r="B1038" s="146"/>
      <c r="C1038" s="146"/>
      <c r="D1038" s="147"/>
      <c r="E1038" s="148"/>
      <c r="F1038" s="44">
        <f t="shared" si="61"/>
        <v>0</v>
      </c>
      <c r="G1038" s="149">
        <f t="shared" si="62"/>
        <v>0</v>
      </c>
      <c r="H1038" s="149"/>
      <c r="I1038" s="150">
        <f t="shared" ref="I1038" si="63">+G1038-H1038</f>
        <v>0</v>
      </c>
      <c r="J1038" s="151"/>
    </row>
  </sheetData>
  <autoFilter ref="A5:M1038" xr:uid="{00000000-0009-0000-0000-000001000000}">
    <filterColumn colId="7">
      <filters blank="1"/>
    </filterColumn>
  </autoFilter>
  <mergeCells count="5">
    <mergeCell ref="A1:G1"/>
    <mergeCell ref="A4:A5"/>
    <mergeCell ref="B4:B5"/>
    <mergeCell ref="D4:D5"/>
    <mergeCell ref="J4:J5"/>
  </mergeCells>
  <phoneticPr fontId="42" type="noConversion"/>
  <conditionalFormatting sqref="B34:C34">
    <cfRule type="duplicateValues" dxfId="64" priority="53"/>
    <cfRule type="duplicateValues" dxfId="63" priority="52"/>
  </conditionalFormatting>
  <conditionalFormatting sqref="B35:C87">
    <cfRule type="duplicateValues" dxfId="62" priority="48"/>
    <cfRule type="duplicateValues" dxfId="61" priority="49"/>
  </conditionalFormatting>
  <conditionalFormatting sqref="B88:C143">
    <cfRule type="duplicateValues" dxfId="60" priority="47"/>
    <cfRule type="duplicateValues" dxfId="59" priority="46"/>
  </conditionalFormatting>
  <conditionalFormatting sqref="B144:C160">
    <cfRule type="duplicateValues" dxfId="58" priority="45"/>
    <cfRule type="duplicateValues" dxfId="57" priority="44"/>
  </conditionalFormatting>
  <conditionalFormatting sqref="B161:C171">
    <cfRule type="duplicateValues" dxfId="56" priority="43"/>
    <cfRule type="duplicateValues" dxfId="55" priority="42"/>
  </conditionalFormatting>
  <conditionalFormatting sqref="B172:C176">
    <cfRule type="duplicateValues" dxfId="54" priority="56"/>
    <cfRule type="duplicateValues" dxfId="53" priority="57"/>
  </conditionalFormatting>
  <conditionalFormatting sqref="B177:C223">
    <cfRule type="duplicateValues" dxfId="52" priority="55"/>
    <cfRule type="duplicateValues" dxfId="51" priority="54"/>
  </conditionalFormatting>
  <conditionalFormatting sqref="B224:C354">
    <cfRule type="duplicateValues" dxfId="50" priority="41"/>
    <cfRule type="duplicateValues" dxfId="49" priority="40"/>
  </conditionalFormatting>
  <conditionalFormatting sqref="B355:C458">
    <cfRule type="duplicateValues" dxfId="48" priority="36"/>
    <cfRule type="duplicateValues" dxfId="47" priority="34"/>
    <cfRule type="duplicateValues" dxfId="46" priority="35"/>
  </conditionalFormatting>
  <conditionalFormatting sqref="B459:C705 B707:C712">
    <cfRule type="duplicateValues" dxfId="45" priority="60"/>
    <cfRule type="duplicateValues" dxfId="44" priority="58"/>
    <cfRule type="duplicateValues" dxfId="43" priority="59"/>
  </conditionalFormatting>
  <conditionalFormatting sqref="B706:C706">
    <cfRule type="duplicateValues" dxfId="42" priority="13"/>
    <cfRule type="duplicateValues" dxfId="41" priority="12"/>
    <cfRule type="duplicateValues" dxfId="40" priority="11"/>
  </conditionalFormatting>
  <conditionalFormatting sqref="B713:C738">
    <cfRule type="duplicateValues" dxfId="39" priority="31"/>
    <cfRule type="duplicateValues" dxfId="38" priority="30"/>
    <cfRule type="duplicateValues" dxfId="37" priority="32"/>
  </conditionalFormatting>
  <conditionalFormatting sqref="B739:C753 B758:C839">
    <cfRule type="duplicateValues" dxfId="36" priority="25"/>
    <cfRule type="duplicateValues" dxfId="35" priority="26"/>
    <cfRule type="duplicateValues" dxfId="34" priority="27"/>
  </conditionalFormatting>
  <conditionalFormatting sqref="B754:C757">
    <cfRule type="duplicateValues" dxfId="33" priority="20"/>
    <cfRule type="duplicateValues" dxfId="32" priority="21"/>
    <cfRule type="duplicateValues" dxfId="31" priority="22"/>
  </conditionalFormatting>
  <conditionalFormatting sqref="B840:C904">
    <cfRule type="duplicateValues" dxfId="30" priority="17"/>
    <cfRule type="duplicateValues" dxfId="29" priority="16"/>
    <cfRule type="duplicateValues" dxfId="28" priority="15"/>
  </conditionalFormatting>
  <conditionalFormatting sqref="B905:C947">
    <cfRule type="duplicateValues" dxfId="27" priority="6"/>
    <cfRule type="duplicateValues" dxfId="26" priority="7"/>
    <cfRule type="duplicateValues" dxfId="25" priority="8"/>
  </conditionalFormatting>
  <conditionalFormatting sqref="B948:C1038">
    <cfRule type="duplicateValues" dxfId="24" priority="4"/>
    <cfRule type="duplicateValues" dxfId="23" priority="3"/>
    <cfRule type="duplicateValues" dxfId="22" priority="2"/>
  </conditionalFormatting>
  <conditionalFormatting sqref="B1039:C1048576 B1:C354">
    <cfRule type="duplicateValues" dxfId="21" priority="37"/>
  </conditionalFormatting>
  <conditionalFormatting sqref="B1039:C1048576 B2:C2 B6:C33 B4:C4">
    <cfRule type="duplicateValues" dxfId="20" priority="50"/>
    <cfRule type="duplicateValues" dxfId="19" priority="51"/>
  </conditionalFormatting>
  <conditionalFormatting sqref="D4">
    <cfRule type="duplicateValues" dxfId="18" priority="38"/>
    <cfRule type="duplicateValues" dxfId="17" priority="39"/>
  </conditionalFormatting>
  <conditionalFormatting sqref="K706">
    <cfRule type="duplicateValues" dxfId="16" priority="10"/>
    <cfRule type="duplicateValues" dxfId="15" priority="9"/>
  </conditionalFormatting>
  <conditionalFormatting sqref="K713:K738">
    <cfRule type="duplicateValues" dxfId="14" priority="29"/>
  </conditionalFormatting>
  <conditionalFormatting sqref="K739:K753 K758:K839">
    <cfRule type="duplicateValues" dxfId="13" priority="24"/>
  </conditionalFormatting>
  <conditionalFormatting sqref="K739:K753">
    <cfRule type="duplicateValues" dxfId="12" priority="23"/>
  </conditionalFormatting>
  <conditionalFormatting sqref="K754:K757">
    <cfRule type="duplicateValues" dxfId="11" priority="19"/>
    <cfRule type="duplicateValues" dxfId="10" priority="18"/>
  </conditionalFormatting>
  <conditionalFormatting sqref="K840:K861 K864:K904">
    <cfRule type="duplicateValues" dxfId="9" priority="14"/>
  </conditionalFormatting>
  <conditionalFormatting sqref="K905:K947">
    <cfRule type="duplicateValues" dxfId="8" priority="5"/>
  </conditionalFormatting>
  <conditionalFormatting sqref="K948:K1038">
    <cfRule type="duplicateValues" dxfId="7" priority="1"/>
  </conditionalFormatting>
  <conditionalFormatting sqref="K1039:K1048576 K1:K705 K707:K712">
    <cfRule type="duplicateValues" dxfId="6" priority="33"/>
  </conditionalFormatting>
  <conditionalFormatting sqref="K1039:K1048576 K1:K705 K707:K738">
    <cfRule type="duplicateValues" dxfId="5" priority="28"/>
  </conditionalFormatting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05.2022-misa</vt:lpstr>
      <vt:lpstr>hd ghi giam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2026-08-21T02:25:07Z</dcterms:modified>
</cp:coreProperties>
</file>